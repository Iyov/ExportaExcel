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D85817CC-8866-4C01-B16D-EB407C5CB869}" xr6:coauthVersionLast="47" xr6:coauthVersionMax="47" xr10:uidLastSave="{00000000-0000-0000-0000-000000000000}"/>
  <bookViews>
    <workbookView xWindow="-120" yWindow="-120" windowWidth="29040" windowHeight="15840" tabRatio="793" activeTab="2" xr2:uid="{00000000-000D-0000-FFFF-FFFF00000000}"/>
  </bookViews>
  <sheets>
    <sheet name="README" sheetId="18" r:id="rId1"/>
    <sheet name="MAPA_DATA" sheetId="12" r:id="rId2"/>
    <sheet name="ReliquidacionEFACT" sheetId="19" r:id="rId3"/>
    <sheet name="ReliquidacionCEN" sheetId="7" r:id="rId4"/>
    <sheet name="ResumenRetiros" sheetId="22" r:id="rId5"/>
    <sheet name="FACT_EMITIDA" sheetId="2" r:id="rId6"/>
    <sheet name="SIGGE_E" sheetId="14" r:id="rId7"/>
    <sheet name="SIGGE_P" sheetId="15" r:id="rId8"/>
    <sheet name="FACT_EST_EFACT" sheetId="6" r:id="rId9"/>
    <sheet name="FactRealE" sheetId="23" r:id="rId10"/>
    <sheet name="FactRealP" sheetId="24" r:id="rId11"/>
    <sheet name="CEN_Energia" sheetId="11" r:id="rId12"/>
    <sheet name="CEN_Potencia" sheetId="21" r:id="rId13"/>
    <sheet name="EFACT_CNE" sheetId="1" r:id="rId14"/>
    <sheet name="EFACT_EST_CEN" sheetId="13" r:id="rId15"/>
    <sheet name="SIN_DATA" sheetId="16" r:id="rId16"/>
    <sheet name="INTERESES" sheetId="17" r:id="rId17"/>
  </sheets>
  <definedNames>
    <definedName name="_xlnm._FilterDatabase" localSheetId="13" hidden="1">EFACT_CNE!$A$1:$Y$415</definedName>
    <definedName name="_xlnm._FilterDatabase" localSheetId="5" hidden="1">FACT_EMITIDA!$A$1:$U$604</definedName>
    <definedName name="_xlnm._FilterDatabase" localSheetId="8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5" i="19" l="1"/>
  <c r="AE15" i="7"/>
  <c r="H15" i="22"/>
  <c r="G15" i="22"/>
  <c r="F15" i="22"/>
  <c r="E15" i="22"/>
  <c r="D15" i="22"/>
  <c r="A14" i="22"/>
  <c r="A13" i="22"/>
  <c r="A12" i="22"/>
  <c r="AA10" i="7"/>
  <c r="AA11" i="7" s="1"/>
  <c r="AA12" i="7" s="1"/>
  <c r="AA13" i="7" s="1"/>
  <c r="AA14" i="7" s="1"/>
  <c r="H9" i="7"/>
  <c r="H10" i="7"/>
  <c r="H11" i="7"/>
  <c r="G9" i="7"/>
  <c r="G10" i="7"/>
  <c r="G11" i="7"/>
  <c r="E9" i="7"/>
  <c r="E10" i="7"/>
  <c r="E11" i="7"/>
  <c r="D9" i="7"/>
  <c r="D10" i="7"/>
  <c r="D11" i="7"/>
  <c r="A14" i="7"/>
  <c r="A13" i="7"/>
  <c r="A12" i="7"/>
  <c r="A10" i="19"/>
  <c r="L9" i="19"/>
  <c r="L10" i="19"/>
  <c r="L11" i="19"/>
  <c r="H9" i="22" l="1"/>
  <c r="G9" i="22"/>
  <c r="F9" i="22"/>
  <c r="E9" i="22"/>
  <c r="D9" i="22"/>
  <c r="A10" i="22"/>
  <c r="A11" i="22" s="1"/>
  <c r="H14" i="22" s="1"/>
  <c r="M9" i="7"/>
  <c r="P9" i="7"/>
  <c r="Q9" i="7"/>
  <c r="N9" i="7"/>
  <c r="F13" i="22" l="1"/>
  <c r="H13" i="22"/>
  <c r="G11" i="22"/>
  <c r="D10" i="22"/>
  <c r="D12" i="22"/>
  <c r="D14" i="22"/>
  <c r="H11" i="22"/>
  <c r="G13" i="22"/>
  <c r="H12" i="22"/>
  <c r="E10" i="22"/>
  <c r="E12" i="22"/>
  <c r="E14" i="22"/>
  <c r="H10" i="22"/>
  <c r="D13" i="22"/>
  <c r="F10" i="22"/>
  <c r="F12" i="22"/>
  <c r="F14" i="22"/>
  <c r="G10" i="22"/>
  <c r="G12" i="22"/>
  <c r="G14" i="22"/>
  <c r="E11" i="22"/>
  <c r="E13" i="22"/>
  <c r="D11" i="22"/>
  <c r="F11" i="22"/>
  <c r="L14" i="19"/>
  <c r="L13" i="19"/>
  <c r="L12" i="19"/>
  <c r="AA10" i="19"/>
  <c r="AA11" i="19" s="1"/>
  <c r="AA12" i="19" s="1"/>
  <c r="AA13" i="19" s="1"/>
  <c r="AA14" i="19" s="1"/>
  <c r="AE9" i="7" l="1"/>
  <c r="AD9" i="7"/>
  <c r="AC9" i="7"/>
  <c r="AB9" i="7"/>
  <c r="V9" i="7"/>
  <c r="R9" i="7"/>
  <c r="O9" i="7"/>
  <c r="I9" i="7"/>
  <c r="F9" i="7"/>
  <c r="S9" i="7"/>
  <c r="J9" i="7"/>
  <c r="A10" i="7" l="1"/>
  <c r="P10" i="7" l="1"/>
  <c r="M10" i="7"/>
  <c r="Q10" i="7"/>
  <c r="N10" i="7"/>
  <c r="V10" i="7"/>
  <c r="S10" i="7"/>
  <c r="F10" i="7"/>
  <c r="I10" i="7"/>
  <c r="AE10" i="7"/>
  <c r="AD10" i="7"/>
  <c r="O10" i="7"/>
  <c r="J10" i="7"/>
  <c r="R10" i="7"/>
  <c r="AC10" i="7"/>
  <c r="AB10" i="7"/>
  <c r="A11" i="7"/>
  <c r="P11" i="7" l="1"/>
  <c r="M11" i="7"/>
  <c r="N11" i="7"/>
  <c r="Q11" i="7"/>
  <c r="AD11" i="7"/>
  <c r="R11" i="7"/>
  <c r="S11" i="7"/>
  <c r="AE11" i="7"/>
  <c r="AC11" i="7"/>
  <c r="F11" i="7"/>
  <c r="J11" i="7"/>
  <c r="AB11" i="7"/>
  <c r="I11" i="7"/>
  <c r="V11" i="7"/>
  <c r="O11" i="7"/>
  <c r="D9" i="19"/>
  <c r="E9" i="19"/>
  <c r="G9" i="19"/>
  <c r="H9" i="19"/>
  <c r="N9" i="19"/>
  <c r="M9" i="19"/>
  <c r="P9" i="19"/>
  <c r="Q9" i="19"/>
  <c r="AC9" i="19"/>
  <c r="O9" i="19"/>
  <c r="F9" i="19"/>
  <c r="V9" i="19"/>
  <c r="R9" i="19"/>
  <c r="I9" i="19"/>
  <c r="AE9" i="19"/>
  <c r="AD9" i="19"/>
  <c r="J9" i="19"/>
  <c r="AB9" i="19"/>
  <c r="S9" i="19"/>
  <c r="D10" i="19" l="1"/>
  <c r="H10" i="19"/>
  <c r="G10" i="19"/>
  <c r="E10" i="19"/>
  <c r="N10" i="19"/>
  <c r="Q10" i="19"/>
  <c r="P10" i="19"/>
  <c r="M10" i="19"/>
  <c r="AE10" i="19"/>
  <c r="AB10" i="19"/>
  <c r="V10" i="19"/>
  <c r="S10" i="19"/>
  <c r="J10" i="19"/>
  <c r="O10" i="19"/>
  <c r="A11" i="19"/>
  <c r="AD10" i="19"/>
  <c r="I10" i="19"/>
  <c r="AC10" i="19"/>
  <c r="R10" i="19"/>
  <c r="F10" i="19"/>
  <c r="D11" i="19" l="1"/>
  <c r="H11" i="19"/>
  <c r="G11" i="19"/>
  <c r="E11" i="19"/>
  <c r="Q11" i="19"/>
  <c r="M11" i="19"/>
  <c r="N11" i="19"/>
  <c r="P11" i="19"/>
  <c r="S11" i="19"/>
  <c r="J11" i="19"/>
  <c r="AD11" i="19"/>
  <c r="AB11" i="19"/>
  <c r="A12" i="19"/>
  <c r="I11" i="19"/>
  <c r="AE11" i="19"/>
  <c r="AC11" i="19"/>
  <c r="F11" i="19"/>
  <c r="V11" i="19"/>
  <c r="R11" i="19"/>
  <c r="O11" i="19"/>
  <c r="D12" i="19" l="1"/>
  <c r="H12" i="19"/>
  <c r="G12" i="19"/>
  <c r="E12" i="19"/>
  <c r="P12" i="19"/>
  <c r="N12" i="19"/>
  <c r="M12" i="19"/>
  <c r="Q12" i="19"/>
  <c r="A13" i="19"/>
  <c r="R12" i="19"/>
  <c r="I12" i="19"/>
  <c r="AD12" i="19"/>
  <c r="AC12" i="19"/>
  <c r="O12" i="19"/>
  <c r="F12" i="19"/>
  <c r="V12" i="19"/>
  <c r="S12" i="19"/>
  <c r="AE12" i="19"/>
  <c r="AB12" i="19"/>
  <c r="J12" i="19"/>
  <c r="D13" i="19" l="1"/>
  <c r="H13" i="19"/>
  <c r="G13" i="19"/>
  <c r="E13" i="19"/>
  <c r="M13" i="19"/>
  <c r="P13" i="19"/>
  <c r="N13" i="19"/>
  <c r="Q13" i="19"/>
  <c r="AC13" i="19"/>
  <c r="O13" i="19"/>
  <c r="F13" i="19"/>
  <c r="V13" i="19"/>
  <c r="A14" i="19"/>
  <c r="R13" i="19"/>
  <c r="I13" i="19"/>
  <c r="AE13" i="19"/>
  <c r="AD13" i="19"/>
  <c r="J13" i="19"/>
  <c r="AB13" i="19"/>
  <c r="S13" i="19"/>
  <c r="D14" i="19" l="1"/>
  <c r="H14" i="19"/>
  <c r="G14" i="19"/>
  <c r="E14" i="19"/>
  <c r="Q14" i="19"/>
  <c r="N14" i="19"/>
  <c r="M14" i="19"/>
  <c r="P14" i="19"/>
  <c r="AE14" i="19"/>
  <c r="AD14" i="19"/>
  <c r="AC14" i="19"/>
  <c r="AB14" i="19"/>
  <c r="V14" i="19"/>
  <c r="S14" i="19"/>
  <c r="J14" i="19"/>
  <c r="F14" i="19"/>
  <c r="R14" i="19"/>
  <c r="O14" i="19"/>
  <c r="I14" i="19"/>
  <c r="G12" i="7" l="1"/>
  <c r="E12" i="7"/>
  <c r="D12" i="7"/>
  <c r="H12" i="7"/>
  <c r="M12" i="7"/>
  <c r="Q12" i="7"/>
  <c r="P12" i="7"/>
  <c r="N12" i="7"/>
  <c r="R12" i="7"/>
  <c r="S12" i="7"/>
  <c r="F12" i="7"/>
  <c r="O12" i="7"/>
  <c r="AE12" i="7"/>
  <c r="AD12" i="7"/>
  <c r="AC12" i="7"/>
  <c r="AB12" i="7"/>
  <c r="I12" i="7"/>
  <c r="J12" i="7"/>
  <c r="V12" i="7"/>
  <c r="H13" i="7" l="1"/>
  <c r="G13" i="7"/>
  <c r="E13" i="7"/>
  <c r="D13" i="7"/>
  <c r="M13" i="7"/>
  <c r="P13" i="7"/>
  <c r="Q13" i="7"/>
  <c r="N13" i="7"/>
  <c r="AB13" i="7"/>
  <c r="O13" i="7"/>
  <c r="J13" i="7"/>
  <c r="F13" i="7"/>
  <c r="V13" i="7"/>
  <c r="I13" i="7"/>
  <c r="R13" i="7"/>
  <c r="S13" i="7"/>
  <c r="AC13" i="7"/>
  <c r="AE13" i="7"/>
  <c r="AD13" i="7"/>
  <c r="G14" i="7" l="1"/>
  <c r="E14" i="7"/>
  <c r="D14" i="7"/>
  <c r="H14" i="7"/>
  <c r="P14" i="7"/>
  <c r="N14" i="7"/>
  <c r="M14" i="7"/>
  <c r="Q14" i="7"/>
  <c r="AE14" i="7"/>
  <c r="S14" i="7"/>
  <c r="AD14" i="7"/>
  <c r="O14" i="7"/>
  <c r="J14" i="7"/>
  <c r="AC14" i="7"/>
  <c r="I14" i="7"/>
  <c r="AB14" i="7"/>
  <c r="R14" i="7"/>
  <c r="V14" i="7"/>
  <c r="F14" i="7"/>
</calcChain>
</file>

<file path=xl/sharedStrings.xml><?xml version="1.0" encoding="utf-8"?>
<sst xmlns="http://schemas.openxmlformats.org/spreadsheetml/2006/main" count="43120" uniqueCount="480">
  <si>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</si>
  <si>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</si>
  <si>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</si>
  <si>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</si>
  <si>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</si>
  <si>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</si>
  <si>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</si>
  <si>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</si>
  <si>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</si>
  <si>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</si>
  <si>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</si>
  <si>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</si>
  <si>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</si>
  <si>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</si>
  <si>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</si>
  <si>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</si>
  <si>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</si>
  <si>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</si>
  <si>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</si>
  <si>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</si>
  <si>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</si>
  <si>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</si>
  <si>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</si>
  <si>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</si>
  <si>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</si>
  <si>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</si>
  <si>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</si>
  <si>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</si>
  <si>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</si>
  <si>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</si>
  <si>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</si>
  <si>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</si>
  <si>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</si>
  <si>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</si>
  <si>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</si>
  <si>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</si>
  <si>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</si>
  <si>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</si>
  <si>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</si>
  <si>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</si>
  <si>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</si>
  <si>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</si>
  <si>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</si>
  <si>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</si>
  <si>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</si>
  <si>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</si>
  <si>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</si>
  <si>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</si>
  <si>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</si>
  <si>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</si>
  <si>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</si>
  <si>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</si>
  <si>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</si>
  <si>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</si>
  <si>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</si>
  <si>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</si>
  <si>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</si>
  <si>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</si>
  <si>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</si>
  <si>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</si>
  <si>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</si>
  <si>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</si>
  <si>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</si>
  <si>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</si>
  <si>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</si>
  <si>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</si>
  <si>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</si>
  <si>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</si>
  <si>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</si>
  <si>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</si>
  <si>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</si>
  <si>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</si>
  <si>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</si>
  <si>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</si>
  <si>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</si>
  <si>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</si>
  <si>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</si>
  <si>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</si>
  <si>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</si>
  <si>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</si>
  <si>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</si>
  <si>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</si>
  <si>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</si>
  <si>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</si>
  <si>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</si>
  <si>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</si>
  <si>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</si>
  <si>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</si>
  <si>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</si>
  <si>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</si>
  <si>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</si>
  <si>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</si>
  <si>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</si>
  <si>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</si>
  <si>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</si>
  <si>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</si>
  <si>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</si>
  <si>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</si>
  <si>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</si>
  <si>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</si>
  <si>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</si>
  <si>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</si>
  <si>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</si>
  <si>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</si>
  <si>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</si>
  <si>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</si>
  <si>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</si>
  <si>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</si>
  <si>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</si>
  <si>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</si>
  <si>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</si>
  <si>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</si>
  <si>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</si>
  <si>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</si>
  <si>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</si>
  <si>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</si>
  <si>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</si>
  <si>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</si>
  <si>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</si>
  <si>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</si>
  <si>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</si>
  <si>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</si>
  <si>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</si>
  <si>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</si>
  <si>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</si>
  <si>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</si>
  <si>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</si>
  <si>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</si>
  <si>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</si>
  <si>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</si>
  <si>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</si>
  <si>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</si>
  <si>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</si>
  <si>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</si>
  <si>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</si>
  <si>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</si>
  <si>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</si>
  <si>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</si>
  <si>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</si>
  <si>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</si>
  <si>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</si>
  <si>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</si>
  <si>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</si>
  <si>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</si>
  <si>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</si>
  <si>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</si>
  <si>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</si>
  <si>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</si>
  <si>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</si>
  <si>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</si>
  <si>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</si>
  <si>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</si>
  <si>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</si>
  <si>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</si>
  <si>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</si>
  <si>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</si>
  <si>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</si>
  <si>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</si>
  <si>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</si>
  <si>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</si>
  <si>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</si>
  <si>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</si>
  <si>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</si>
  <si>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</si>
  <si>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</si>
  <si>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</si>
  <si>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</si>
  <si>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</si>
  <si>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</si>
  <si>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</si>
  <si>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</si>
  <si>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</si>
  <si>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</si>
  <si>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</si>
  <si>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</si>
  <si>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</si>
  <si>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</si>
  <si>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</si>
  <si>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</si>
  <si>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</si>
  <si>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</si>
  <si>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</si>
  <si>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</si>
  <si>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</si>
  <si>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</si>
  <si>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</si>
  <si>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</si>
  <si>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</si>
  <si>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</si>
  <si>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</si>
  <si>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</si>
  <si>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</si>
  <si>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</si>
  <si>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</si>
  <si>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</si>
  <si>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</si>
  <si>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</si>
  <si>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</si>
  <si>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</si>
  <si>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</si>
  <si>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</si>
  <si>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</si>
  <si>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</si>
  <si>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</si>
  <si>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</si>
  <si>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</si>
  <si>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</si>
  <si>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</si>
  <si>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</si>
  <si>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</si>
  <si>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</si>
  <si>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</si>
  <si>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</si>
  <si>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</si>
  <si>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</si>
  <si>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</si>
  <si>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</si>
  <si>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</si>
  <si>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</si>
  <si>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</si>
  <si>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</si>
  <si>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</si>
  <si>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</si>
  <si>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</si>
  <si>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</si>
  <si>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</si>
  <si>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</si>
  <si>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</si>
  <si>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</si>
  <si>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</si>
  <si>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</si>
  <si>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</si>
  <si>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</si>
  <si>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</si>
  <si>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</si>
  <si>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</si>
  <si>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</si>
  <si>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</si>
  <si>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</si>
  <si>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</si>
  <si>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</si>
  <si>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</si>
  <si>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</si>
  <si>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</si>
  <si>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</si>
  <si>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</si>
  <si>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</si>
  <si>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</si>
  <si>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</si>
  <si>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</si>
  <si>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</si>
  <si>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</si>
  <si>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</si>
  <si>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</si>
  <si>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</si>
  <si>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</si>
  <si>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</si>
  <si>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</si>
  <si>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</si>
  <si>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</si>
  <si>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</si>
  <si>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</si>
  <si>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</si>
  <si>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</si>
  <si>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</si>
  <si>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</si>
  <si>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</si>
  <si>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</si>
  <si>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</si>
  <si>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</si>
  <si>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</si>
  <si>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</si>
  <si>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</si>
  <si>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</si>
  <si>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</si>
  <si>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</si>
  <si>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</si>
  <si>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</si>
  <si>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</si>
  <si>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</si>
  <si>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</si>
  <si>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</si>
  <si>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</si>
  <si>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</si>
  <si>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</si>
  <si>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</si>
  <si>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</si>
  <si>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</si>
  <si>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</si>
  <si>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</si>
  <si>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</si>
  <si>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</si>
  <si>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</si>
  <si>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</si>
  <si>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</si>
  <si>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</si>
  <si>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</si>
  <si>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</si>
  <si>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</si>
  <si>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</si>
  <si>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</si>
  <si>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</si>
  <si>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</si>
  <si>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</si>
  <si>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</si>
  <si>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</si>
  <si>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</si>
  <si>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</si>
  <si>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</si>
  <si>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</si>
  <si>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</si>
  <si>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</si>
  <si>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</si>
  <si>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</si>
  <si>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</si>
  <si>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</si>
  <si>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</si>
  <si>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</si>
  <si>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</si>
  <si>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</si>
  <si>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</si>
  <si>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</si>
  <si>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</si>
  <si>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</si>
  <si>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</si>
  <si>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</si>
  <si>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</si>
  <si>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</si>
  <si>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</si>
  <si>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</si>
  <si>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</si>
  <si>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</si>
  <si>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</si>
  <si>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</si>
  <si>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</si>
  <si>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</si>
  <si>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</si>
  <si>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</si>
  <si>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</si>
  <si>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</si>
  <si>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</si>
  <si>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</si>
  <si>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</si>
  <si>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</si>
  <si>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</si>
  <si>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</si>
  <si>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</si>
  <si>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</si>
  <si>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</si>
  <si>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</si>
  <si>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</si>
  <si>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</si>
  <si>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</si>
  <si>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</si>
  <si>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Estimación de facturación emitida en base a información de los EFACT Decretos Precios de Nudo</t>
  </si>
  <si>
    <t>Hoja</t>
  </si>
  <si>
    <t>Descripción</t>
  </si>
  <si>
    <t>SIGGE_E</t>
  </si>
  <si>
    <t>SIGGE_P</t>
  </si>
  <si>
    <t>Información de facturación real de Energía desde PDFs y sistema SIGGE (gestión facturación electrónica)</t>
  </si>
  <si>
    <t>Información de facturación real de Potencia desde PDFs y sistema SIGGE (gestión facturación electrónica)</t>
  </si>
  <si>
    <t>Estimación de la facturación emitida en base a los balances mensuales publicados por el Coordinador</t>
  </si>
  <si>
    <t>Propietario</t>
  </si>
  <si>
    <t>Turno</t>
  </si>
  <si>
    <t>Distribuidora</t>
  </si>
  <si>
    <t>Clave</t>
  </si>
  <si>
    <t>Medida_kWh</t>
  </si>
  <si>
    <t>PuntoRetiroBT</t>
  </si>
  <si>
    <t>BarraEnAT</t>
  </si>
  <si>
    <t>FactorRef_BT_AT</t>
  </si>
  <si>
    <t>ValorAT</t>
  </si>
  <si>
    <t>Incremento</t>
  </si>
  <si>
    <t>kWhAnho</t>
  </si>
  <si>
    <t>PorcenEnergiaAnho</t>
  </si>
  <si>
    <t>kWh_AnhoMes</t>
  </si>
  <si>
    <t>PorcenBarraAnho</t>
  </si>
  <si>
    <t>EnergiaBloqueAnhoMesBarra_kWh</t>
  </si>
  <si>
    <t>Amplificacion24h</t>
  </si>
  <si>
    <t>Denominador</t>
  </si>
  <si>
    <t>Prorrata</t>
  </si>
  <si>
    <t>EnergiaBloqueTurnoAnhoMesBarra_kWh</t>
  </si>
  <si>
    <t>CURICO</t>
  </si>
  <si>
    <t>Charrua</t>
  </si>
  <si>
    <t>Itahue</t>
  </si>
  <si>
    <t>CHARRUA</t>
  </si>
  <si>
    <t>ITAHUE</t>
  </si>
  <si>
    <t>V_DecretoPNPVigente</t>
  </si>
  <si>
    <t>V_DecretoPNCPAsociado</t>
  </si>
  <si>
    <t>V_DecretoPNCPLicitacion</t>
  </si>
  <si>
    <t>V_Barra</t>
  </si>
  <si>
    <t>V_PrecioOferta_EnergiaPolpaico220</t>
  </si>
  <si>
    <t>V_Indexacion</t>
  </si>
  <si>
    <t>V_PrecioEnergiaIndexado_USDMWh</t>
  </si>
  <si>
    <t>V_DolarPNPVigente</t>
  </si>
  <si>
    <t>V_FactorAjusteEnergia</t>
  </si>
  <si>
    <t>V_PrecioEnergiaAjustado_CLP_kWh_Polpaico220</t>
  </si>
  <si>
    <t>V_FPEnergia</t>
  </si>
  <si>
    <t>V_PrecioEnergiaAjustado_CLP_kWh</t>
  </si>
  <si>
    <t>V_PrecioPotenciaUSD_kW_Mes</t>
  </si>
  <si>
    <t>V_PrecioPotenciaIndexadoUSD_kW_Mes</t>
  </si>
  <si>
    <t>V_FactorAjustePotencia</t>
  </si>
  <si>
    <t>V_PrecioPotenciaAjustado_CLP_kW_Mes_Polpaico220</t>
  </si>
  <si>
    <t>V_FPPotencia</t>
  </si>
  <si>
    <t>V_PrecioPotenciaAjustado_CLP_kW_Mes</t>
  </si>
  <si>
    <t>V_TotalPotenciaMesBarraGxDxBloque_CLP_kW_Mes</t>
  </si>
  <si>
    <t>R_DecretoPNPReliquidacion</t>
  </si>
  <si>
    <t>R_DecretoPNCPAsociado</t>
  </si>
  <si>
    <t>R_DecretoPNCPLicitacion</t>
  </si>
  <si>
    <t>R_Barra</t>
  </si>
  <si>
    <t>R_PrecioOfertaEnergiaPolpaico220</t>
  </si>
  <si>
    <t>R_Indexacion</t>
  </si>
  <si>
    <t>R_PrecioEnergiaIndexado_USDMWh</t>
  </si>
  <si>
    <t>R_DolarPNPReliquidacion</t>
  </si>
  <si>
    <t>R_FactorAjusteEnergia</t>
  </si>
  <si>
    <t>R_PrecioEnergiaAjustado_CLP_kWh_Polpaico220</t>
  </si>
  <si>
    <t>R_FPEnergia</t>
  </si>
  <si>
    <t>R_PrecioEnergiaAjustado_CLP_kWh</t>
  </si>
  <si>
    <t>R_PrecioPotenciaUSD_kW_Mes</t>
  </si>
  <si>
    <t>R_FactorAjustePotencia</t>
  </si>
  <si>
    <t>R_PrecioPotenciaAjustado_CLP_kW_Mes_Polpaico220</t>
  </si>
  <si>
    <t>R_FPPotencia</t>
  </si>
  <si>
    <t>R_PrecioPotenciaAjustado_CLP_kW_Mes</t>
  </si>
  <si>
    <t>R_TotalPotenciaMesBarraGxDxBloque_CLP_kW_Mes</t>
  </si>
  <si>
    <t>PNP_1T_05-02-2016</t>
  </si>
  <si>
    <t>PNCP_17T_30-10-2015</t>
  </si>
  <si>
    <t>PNCP_4T_30-04-2013</t>
  </si>
  <si>
    <t>SUM_CEC_C</t>
  </si>
  <si>
    <t>C</t>
  </si>
  <si>
    <t>CCURCURIBLOQC</t>
  </si>
  <si>
    <t>CCURQUINBLOQC</t>
  </si>
  <si>
    <t>CCURTENOBLOQC</t>
  </si>
  <si>
    <t>PNP_4T_26-04-2016</t>
  </si>
  <si>
    <t>PNP_7T_17-05-2016</t>
  </si>
  <si>
    <t>PNCP_5T_29-04-2016</t>
  </si>
  <si>
    <t>PNCP_2T_10-02-2017</t>
  </si>
  <si>
    <t>PNCP_5T_10-08-2017</t>
  </si>
  <si>
    <t>PNCP_1T_09-02-2018</t>
  </si>
  <si>
    <t>PNCP_12T_24-08-2018</t>
  </si>
  <si>
    <t>PNCP_9T_12-08-2019</t>
  </si>
  <si>
    <t>PNCP_2T_10-02-2020</t>
  </si>
  <si>
    <t>BS1C</t>
  </si>
  <si>
    <t>Cliente</t>
  </si>
  <si>
    <t>BarraBT</t>
  </si>
  <si>
    <t>PotenciaConsumo_kW</t>
  </si>
  <si>
    <t>BloqueCompleto</t>
  </si>
  <si>
    <t>FactorRefPotencia_BT_AT</t>
  </si>
  <si>
    <t>Potencia_kW_AT</t>
  </si>
  <si>
    <t>MaxPPA</t>
  </si>
  <si>
    <t>PotenciaBloqueTurnoAnhoMesBarra_kW</t>
  </si>
  <si>
    <t>SUM_CEC</t>
  </si>
  <si>
    <t>ALTO JAHUEL</t>
  </si>
  <si>
    <t>MELIPILLA</t>
  </si>
  <si>
    <t>RAPEL</t>
  </si>
  <si>
    <t>01-10-2020</t>
  </si>
  <si>
    <t>01-11-2020</t>
  </si>
  <si>
    <t>01-12-2020</t>
  </si>
  <si>
    <t>V_TotalEnergiaMesBarraGxDxBloque_CLP_kW_Mes</t>
  </si>
  <si>
    <t>R_TotalEnergiaMesBarraGxDxBloque_CLP_kW_Mes</t>
  </si>
  <si>
    <t>LO QUE SE FACTURÓ (VIGENTE)</t>
  </si>
  <si>
    <t>LO QUE SE DEBIÓ HABER FACTURADO (RELIQUIDADO)</t>
  </si>
  <si>
    <t>Energía SIGGE (kWh)</t>
  </si>
  <si>
    <t>Energía EFACT AT (kWh)</t>
  </si>
  <si>
    <t>Energía EFACT BT (kWh)</t>
  </si>
  <si>
    <t>Energía Coordinador AT (kWh)</t>
  </si>
  <si>
    <t>Energía Coordinador BT (kWh)</t>
  </si>
  <si>
    <t>IdAgrupacion</t>
  </si>
  <si>
    <t>NombreCliente</t>
  </si>
  <si>
    <t>FechaDeContabilizacion</t>
  </si>
  <si>
    <t>PrefijoFolio</t>
  </si>
  <si>
    <t>CuentaDeMayor</t>
  </si>
  <si>
    <t>CodigoDeArticulo</t>
  </si>
  <si>
    <t>NumDeFolio</t>
  </si>
  <si>
    <t>MontoCLP</t>
  </si>
  <si>
    <t>VENTA PPA ENERGIA</t>
  </si>
  <si>
    <t>VENTA PPA POTENCIA</t>
  </si>
  <si>
    <t>TotalUSD</t>
  </si>
  <si>
    <t>SAN_JUAN_LAP</t>
  </si>
  <si>
    <t>BS3</t>
  </si>
  <si>
    <t>COOPERATIVA DE ABASTECIMIENTO DE ENERGIA ELECTRICA CURICO LTDA.</t>
  </si>
  <si>
    <t>PNP_8T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</si>
</sst>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8" applyNumberFormat="0" applyAlignment="0" applyProtection="0"/>
    <xf numFmtId="0" fontId="25" fillId="48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8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1" applyNumberFormat="0" applyFont="0" applyAlignment="0" applyProtection="0"/>
    <xf numFmtId="0" fontId="31" fillId="4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4" fillId="47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28" fillId="43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7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6" xfId="0" applyNumberFormat="1" applyBorder="1"/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3" xfId="0" applyFont="1" applyFill="1" applyBorder="1" applyAlignment="1">
      <alignment vertical="center" wrapText="1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0" xfId="0" applyFont="1" applyFill="1"/>
    <xf numFmtId="0" fontId="1" fillId="2" borderId="46" xfId="0" applyFont="1" applyFill="1" applyBorder="1" applyAlignment="1">
      <alignment horizontal="center" vertical="top"/>
    </xf>
    <xf numFmtId="0" fontId="0" fillId="0" borderId="0" xfId="0" applyBorder="1"/>
    <xf numFmtId="0" fontId="1" fillId="71" borderId="46" xfId="0" applyFont="1" applyFill="1" applyBorder="1" applyAlignment="1">
      <alignment horizontal="center" vertical="top"/>
    </xf>
    <xf numFmtId="0" fontId="0" fillId="71" borderId="0" xfId="0" applyFill="1"/>
    <xf numFmtId="0" fontId="1" fillId="72" borderId="46" xfId="0" applyFont="1" applyFill="1" applyBorder="1" applyAlignment="1">
      <alignment horizontal="center" vertical="top"/>
    </xf>
    <xf numFmtId="0" fontId="0" fillId="72" borderId="0" xfId="0" applyFill="1"/>
    <xf numFmtId="14" fontId="0" fillId="0" borderId="14" xfId="0" applyNumberFormat="1" applyBorder="1" applyAlignment="1">
      <alignment horizontal="left"/>
    </xf>
    <xf numFmtId="0" fontId="3" fillId="73" borderId="44" xfId="0" applyFont="1" applyFill="1" applyBorder="1"/>
    <xf numFmtId="0" fontId="3" fillId="70" borderId="44" xfId="0" applyFont="1" applyFill="1" applyBorder="1"/>
    <xf numFmtId="0" fontId="3" fillId="74" borderId="44" xfId="0" applyFont="1" applyFill="1" applyBorder="1"/>
    <xf numFmtId="0" fontId="3" fillId="75" borderId="46" xfId="0" applyFont="1" applyFill="1" applyBorder="1" applyAlignment="1">
      <alignment horizontal="center"/>
    </xf>
    <xf numFmtId="0" fontId="0" fillId="0" borderId="46" xfId="0" applyBorder="1" applyAlignment="1">
      <alignment horizontal="center" vertical="center" wrapText="1"/>
    </xf>
    <xf numFmtId="165" fontId="0" fillId="0" borderId="46" xfId="1" applyFont="1" applyBorder="1"/>
    <xf numFmtId="0" fontId="3" fillId="70" borderId="44" xfId="0" applyFont="1" applyFill="1" applyBorder="1" applyAlignment="1">
      <alignment horizontal="center"/>
    </xf>
    <xf numFmtId="0" fontId="3" fillId="70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02F-9139-4809-9AD1-E2075EFCAF45}">
  <dimension ref="A1:E8"/>
  <sheetViews>
    <sheetView workbookViewId="0">
      <selection activeCell="B11" sqref="B11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58"/>
  </cols>
  <sheetData>
    <row r="1" spans="1:2" x14ac:dyDescent="0.25">
      <c r="A1" s="37" t="s">
        <v>355</v>
      </c>
      <c r="B1" s="37" t="s">
        <v>356</v>
      </c>
    </row>
    <row r="2" spans="1:2" x14ac:dyDescent="0.25">
      <c r="A2" s="32" t="s">
        <v>289</v>
      </c>
      <c r="B2" s="32" t="s">
        <v>352</v>
      </c>
    </row>
    <row r="3" spans="1:2" x14ac:dyDescent="0.25">
      <c r="A3" s="32" t="s">
        <v>290</v>
      </c>
      <c r="B3" s="32" t="s">
        <v>353</v>
      </c>
    </row>
    <row r="4" spans="1:2" x14ac:dyDescent="0.25">
      <c r="A4" s="32" t="s">
        <v>357</v>
      </c>
      <c r="B4" s="32" t="s">
        <v>359</v>
      </c>
    </row>
    <row r="5" spans="1:2" x14ac:dyDescent="0.25">
      <c r="A5" s="32" t="s">
        <v>358</v>
      </c>
      <c r="B5" s="32" t="s">
        <v>360</v>
      </c>
    </row>
    <row r="6" spans="1:2" x14ac:dyDescent="0.25">
      <c r="A6" s="32" t="s">
        <v>292</v>
      </c>
      <c r="B6" s="32" t="s">
        <v>354</v>
      </c>
    </row>
    <row r="7" spans="1:2" x14ac:dyDescent="0.25">
      <c r="A7" s="32" t="s">
        <v>293</v>
      </c>
      <c r="B7" s="32" t="s">
        <v>361</v>
      </c>
    </row>
    <row r="8" spans="1:2" x14ac:dyDescent="0.25">
      <c r="A8" s="32"/>
      <c r="B8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zoomScale="85" zoomScaleNormal="85" workbookViewId="0">
      <selection activeCell="A2" sqref="A2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8554687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7" t="s">
        <v>31</v>
      </c>
      <c r="B1" s="37" t="s">
        <v>2</v>
      </c>
      <c r="C1" s="37" t="s">
        <v>3</v>
      </c>
      <c r="D1" s="37" t="s">
        <v>71</v>
      </c>
      <c r="E1" s="37" t="s">
        <v>290</v>
      </c>
      <c r="F1" s="37" t="s">
        <v>292</v>
      </c>
      <c r="G1" s="37" t="s">
        <v>293</v>
      </c>
      <c r="H1" s="37" t="s">
        <v>289</v>
      </c>
      <c r="I1" s="37" t="s">
        <v>291</v>
      </c>
      <c r="J1" s="37" t="s">
        <v>331</v>
      </c>
      <c r="K1" s="37" t="s">
        <v>332</v>
      </c>
    </row>
    <row r="2" spans="1:11" x14ac:dyDescent="0.25">
      <c r="A2">
        <v>1</v>
      </c>
      <c r="B2">
        <v>2020</v>
      </c>
      <c r="C2">
        <v>10</v>
      </c>
      <c r="D2" s="1">
        <v>44105</v>
      </c>
      <c r="E2">
        <v>1</v>
      </c>
      <c r="F2">
        <v>0</v>
      </c>
      <c r="G2">
        <v>0</v>
      </c>
      <c r="H2">
        <v>1</v>
      </c>
      <c r="I2">
        <v>0</v>
      </c>
      <c r="J2" t="s">
        <v>290</v>
      </c>
      <c r="K2" t="s">
        <v>289</v>
      </c>
    </row>
    <row r="3" spans="1:11" x14ac:dyDescent="0.25">
      <c r="A3">
        <v>2</v>
      </c>
      <c r="B3">
        <v>2020</v>
      </c>
      <c r="C3">
        <v>11</v>
      </c>
      <c r="D3" s="1">
        <v>44136</v>
      </c>
      <c r="E3">
        <v>1</v>
      </c>
      <c r="F3">
        <v>0</v>
      </c>
      <c r="G3">
        <v>0</v>
      </c>
      <c r="H3">
        <v>1</v>
      </c>
      <c r="I3">
        <v>0</v>
      </c>
      <c r="J3" t="s">
        <v>290</v>
      </c>
      <c r="K3" t="s">
        <v>289</v>
      </c>
    </row>
    <row r="4" spans="1:11" x14ac:dyDescent="0.25">
      <c r="A4">
        <v>3</v>
      </c>
      <c r="B4">
        <v>2020</v>
      </c>
      <c r="C4">
        <v>12</v>
      </c>
      <c r="D4" s="1">
        <v>44166</v>
      </c>
      <c r="E4">
        <v>1</v>
      </c>
      <c r="F4">
        <v>0</v>
      </c>
      <c r="G4">
        <v>0</v>
      </c>
      <c r="H4">
        <v>1</v>
      </c>
      <c r="I4">
        <v>0</v>
      </c>
      <c r="J4" t="s">
        <v>290</v>
      </c>
      <c r="K4" t="s">
        <v>289</v>
      </c>
    </row>
    <row r="5" spans="1:11" x14ac:dyDescent="0.25">
      <c r="A5">
        <v>4</v>
      </c>
      <c r="B5">
        <v>2021</v>
      </c>
      <c r="C5">
        <v>1</v>
      </c>
      <c r="D5" s="1">
        <v>44197</v>
      </c>
      <c r="E5">
        <v>1</v>
      </c>
      <c r="F5">
        <v>0</v>
      </c>
      <c r="G5">
        <v>0</v>
      </c>
      <c r="H5">
        <v>1</v>
      </c>
      <c r="I5">
        <v>0</v>
      </c>
      <c r="J5" t="s">
        <v>290</v>
      </c>
      <c r="K5" t="s">
        <v>289</v>
      </c>
    </row>
    <row r="6" spans="1:11" x14ac:dyDescent="0.25">
      <c r="A6">
        <v>5</v>
      </c>
      <c r="B6">
        <v>2021</v>
      </c>
      <c r="C6">
        <v>2</v>
      </c>
      <c r="D6" s="1">
        <v>44228</v>
      </c>
      <c r="E6">
        <v>1</v>
      </c>
      <c r="F6">
        <v>0</v>
      </c>
      <c r="G6">
        <v>0</v>
      </c>
      <c r="H6">
        <v>1</v>
      </c>
      <c r="I6">
        <v>0</v>
      </c>
      <c r="J6" t="s">
        <v>290</v>
      </c>
      <c r="K6" t="s">
        <v>289</v>
      </c>
    </row>
    <row r="7" spans="1:11" x14ac:dyDescent="0.25">
      <c r="A7">
        <v>6</v>
      </c>
      <c r="B7">
        <v>2021</v>
      </c>
      <c r="C7">
        <v>3</v>
      </c>
      <c r="D7" s="1">
        <v>44256</v>
      </c>
      <c r="E7">
        <v>1</v>
      </c>
      <c r="F7">
        <v>0</v>
      </c>
      <c r="G7">
        <v>0</v>
      </c>
      <c r="H7">
        <v>1</v>
      </c>
      <c r="I7">
        <v>0</v>
      </c>
      <c r="J7" t="s">
        <v>290</v>
      </c>
      <c r="K7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74F0-35DC-4FBC-8279-EC7547D741BE}">
  <dimension ref="A1:AE18"/>
  <sheetViews>
    <sheetView tabSelected="1" topLeftCell="Q1" workbookViewId="0">
      <selection activeCell="AE15" sqref="AE15"/>
    </sheetView>
  </sheetViews>
  <sheetFormatPr baseColWidth="10" defaultRowHeight="15" x14ac:dyDescent="0.25"/>
  <cols>
    <col min="1" max="1" width="11.5703125" style="41" bestFit="1" customWidth="1"/>
    <col min="2" max="2" width="18.28515625" style="5" bestFit="1" customWidth="1"/>
    <col min="3" max="3" width="13.85546875" style="5" bestFit="1" customWidth="1"/>
    <col min="4" max="5" width="52.7109375" bestFit="1" customWidth="1"/>
    <col min="6" max="6" width="19.85546875" customWidth="1"/>
    <col min="7" max="8" width="53.5703125" bestFit="1" customWidth="1"/>
    <col min="9" max="9" width="18.42578125" bestFit="1" customWidth="1"/>
    <col min="10" max="10" width="11.85546875" bestFit="1" customWidth="1"/>
    <col min="11" max="11" width="3.42578125" customWidth="1"/>
    <col min="12" max="12" width="13.140625" bestFit="1" customWidth="1"/>
    <col min="13" max="14" width="58.5703125" bestFit="1" customWidth="1"/>
    <col min="15" max="15" width="20.5703125" customWidth="1"/>
    <col min="16" max="17" width="59.140625" bestFit="1" customWidth="1"/>
    <col min="18" max="18" width="18.42578125" bestFit="1" customWidth="1"/>
    <col min="19" max="19" width="11.85546875" bestFit="1" customWidth="1"/>
    <col min="20" max="20" width="3.42578125" customWidth="1"/>
    <col min="21" max="21" width="7.140625" bestFit="1" customWidth="1"/>
    <col min="22" max="22" width="13.140625" bestFit="1" customWidth="1"/>
    <col min="23" max="23" width="13.140625" style="5" bestFit="1" customWidth="1"/>
    <col min="24" max="24" width="16.85546875" style="5" bestFit="1" customWidth="1"/>
    <col min="25" max="25" width="12.85546875" style="5" bestFit="1" customWidth="1"/>
    <col min="26" max="26" width="11.140625" bestFit="1" customWidth="1"/>
    <col min="27" max="27" width="13.140625" bestFit="1" customWidth="1"/>
    <col min="28" max="28" width="12.42578125" bestFit="1" customWidth="1"/>
    <col min="29" max="29" width="19.7109375" customWidth="1"/>
    <col min="30" max="30" width="24.140625" bestFit="1" customWidth="1"/>
    <col min="31" max="31" width="15.7109375" bestFit="1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3" t="s">
        <v>96</v>
      </c>
      <c r="W2"/>
      <c r="X2"/>
      <c r="Y2"/>
    </row>
    <row r="3" spans="1:31" x14ac:dyDescent="0.25">
      <c r="A3" s="7" t="s">
        <v>61</v>
      </c>
      <c r="B3" s="34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5" t="s">
        <v>98</v>
      </c>
      <c r="W5"/>
      <c r="X5"/>
      <c r="Y5"/>
    </row>
    <row r="7" spans="1:31" ht="14.45" customHeight="1" x14ac:dyDescent="0.25">
      <c r="C7" s="70" t="s">
        <v>294</v>
      </c>
      <c r="D7" s="70"/>
      <c r="E7" s="70"/>
      <c r="F7" s="70"/>
      <c r="G7" s="70"/>
      <c r="H7" s="70"/>
      <c r="I7" s="70"/>
      <c r="J7" s="71"/>
      <c r="L7" s="72" t="s">
        <v>295</v>
      </c>
      <c r="M7" s="72"/>
      <c r="N7" s="72"/>
      <c r="O7" s="72"/>
      <c r="P7" s="72"/>
      <c r="Q7" s="72"/>
      <c r="R7" s="72"/>
      <c r="S7" s="72"/>
      <c r="U7" s="73" t="s">
        <v>297</v>
      </c>
      <c r="V7" s="74"/>
      <c r="W7" s="74"/>
      <c r="X7" s="74"/>
      <c r="Y7" s="74"/>
      <c r="Z7" s="74"/>
      <c r="AA7" s="74"/>
      <c r="AB7" s="74"/>
      <c r="AC7" s="74"/>
      <c r="AD7" s="74"/>
      <c r="AE7" s="75"/>
    </row>
    <row r="8" spans="1:31" s="3" customFormat="1" ht="30" x14ac:dyDescent="0.25">
      <c r="A8" s="36" t="s">
        <v>299</v>
      </c>
      <c r="B8" s="36" t="s">
        <v>298</v>
      </c>
      <c r="C8" s="36" t="s">
        <v>296</v>
      </c>
      <c r="D8" s="36" t="s">
        <v>62</v>
      </c>
      <c r="E8" s="24" t="s">
        <v>68</v>
      </c>
      <c r="F8" s="36" t="s">
        <v>64</v>
      </c>
      <c r="G8" s="36" t="s">
        <v>66</v>
      </c>
      <c r="H8" s="24" t="s">
        <v>69</v>
      </c>
      <c r="I8" s="36" t="s">
        <v>67</v>
      </c>
      <c r="J8" s="25" t="s">
        <v>63</v>
      </c>
      <c r="L8" s="36" t="s">
        <v>296</v>
      </c>
      <c r="M8" s="36" t="s">
        <v>62</v>
      </c>
      <c r="N8" s="24" t="s">
        <v>68</v>
      </c>
      <c r="O8" s="36" t="s">
        <v>64</v>
      </c>
      <c r="P8" s="36" t="s">
        <v>66</v>
      </c>
      <c r="Q8" s="24" t="s">
        <v>69</v>
      </c>
      <c r="R8" s="36" t="s">
        <v>67</v>
      </c>
      <c r="S8" s="25" t="s">
        <v>63</v>
      </c>
      <c r="U8" s="17" t="s">
        <v>3</v>
      </c>
      <c r="V8" s="51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2">
        <v>9</v>
      </c>
      <c r="B9" s="39">
        <v>44105</v>
      </c>
      <c r="C9" s="52" t="s">
        <v>290</v>
      </c>
      <c r="D9" s="11" t="str">
        <f t="shared" ref="D9:D14" si="0">CONCATENATE("SUMIF(",IF(C9="FACT_EMITIDA","SIGGE_E",C9),"!B:B,ReliquidacionEFACT!B",A9,",",IF(C9="FACT_EMITIDA","SIGGE_E",C9),"!S:S)")</f>
        <v>SUMIF(SIGGE_E!B:B,ReliquidacionEFACT!B9,SIGGE_E!S:S)</v>
      </c>
      <c r="E9" s="11" t="str">
        <f t="shared" ref="E9:E14" si="1">CONCATENATE("SUMIF(",IF(C9="FACT_EMITIDA","SIGGE_E",C9),"!B:B,ReliquidacionEFACT!B",A9,",",IF(C9="FACT_EMITIDA","SIGGE_E",C9),"!T:T)")</f>
        <v>SUMIF(SIGGE_E!B:B,ReliquidacionEFACT!B9,SIGGE_E!T:T)</v>
      </c>
      <c r="F9" s="12" t="str">
        <f t="shared" ref="F9:F14" si="2">CONCATENATE("IFERROR((E",A9,"/D",A9,"),0)")</f>
        <v>IFERROR((E9/D9),0)</v>
      </c>
      <c r="G9" s="13" t="str">
        <f t="shared" ref="G9:G14" si="3">CONCATENATE("SUMIF(",IF(C9="FACT_EMITIDA","SIGGE_P",C9),"!B:B,ReliquidacionEFACT!B",A9,",",IF(C9="FACT_EMITIDA","SIGGE_P",C9),"!U:U)")</f>
        <v>SUMIF(SIGGE_P!B:B,ReliquidacionEFACT!B9,SIGGE_P!U:U)</v>
      </c>
      <c r="H9" s="11" t="str">
        <f t="shared" ref="H9:H14" si="4">CONCATENATE("SUMIF(",IF(C9="FACT_EMITIDA","SIGGE_P",C9),"!B:B,ReliquidacionEFACT!B",A9,",",IF(C9="FACT_EMITIDA","SIGGE_P",C9),"!V:V)")</f>
        <v>SUMIF(SIGGE_P!B:B,ReliquidacionEFACT!B9,SIGGE_P!V:V)</v>
      </c>
      <c r="I9" s="12" t="str">
        <f t="shared" ref="I9:I14" si="5">CONCATENATE("IFERROR((H",A9,"/G",A9,"),0)")</f>
        <v>IFERROR((H9/G9),0)</v>
      </c>
      <c r="J9" s="11" t="str">
        <f t="shared" ref="J9:J14" si="6">CONCATENATE("(E",A9,"+H",A9,")")</f>
        <v>(E9+H9)</v>
      </c>
      <c r="L9" s="40" t="str">
        <f>(MAPA_DATA!K2)</f>
        <v>EFACT_CNE</v>
      </c>
      <c r="M9" s="11" t="str">
        <f t="shared" ref="M9:M14" si="7">CONCATENATE("SUMIF(",L9,"!B:B,ReliquidacionEFACT!B",A9,",",L9,"!S:S)")</f>
        <v>SUMIF(EFACT_CNE!B:B,ReliquidacionEFACT!B9,EFACT_CNE!S:S)</v>
      </c>
      <c r="N9" s="11" t="str">
        <f t="shared" ref="N9:N14" si="8">CONCATENATE("SUMIF(",L9,"!B:B,ReliquidacionEFACT!B",A9,",",L9,"!T:T)")</f>
        <v>SUMIF(EFACT_CNE!B:B,ReliquidacionEFACT!B9,EFACT_CNE!T:T)</v>
      </c>
      <c r="O9" s="12" t="str">
        <f t="shared" ref="O9:O14" si="9">CONCATENATE("IFERROR((N",A9,"/M",A9,"),0)")</f>
        <v>IFERROR((N9/M9),0)</v>
      </c>
      <c r="P9" s="13" t="str">
        <f t="shared" ref="P9:P14" si="10">CONCATENATE("SUMIF(",L9,"!B:B,ReliquidacionEFACT!B",A9,",",L9,"!U:U)")</f>
        <v>SUMIF(EFACT_CNE!B:B,ReliquidacionEFACT!B9,EFACT_CNE!U:U)</v>
      </c>
      <c r="Q9" s="11" t="str">
        <f t="shared" ref="Q9:Q14" si="11">CONCATENATE("SUMIF(",L9,"!B:B,ReliquidacionEFACT!B",A9,",",L9,"!V:V)")</f>
        <v>SUMIF(EFACT_CNE!B:B,ReliquidacionEFACT!B9,EFACT_CNE!V:V)</v>
      </c>
      <c r="R9" s="12" t="str">
        <f t="shared" ref="R9:R14" si="12">CONCATENATE("IFERROR((Q",A9,"/P",A9,"),0)")</f>
        <v>IFERROR((Q9/P9),0)</v>
      </c>
      <c r="S9" s="11" t="str">
        <f t="shared" ref="S9:S14" si="13">CONCATENATE("(N",A9,"+Q",A9,")")</f>
        <v>(N9+Q9)</v>
      </c>
      <c r="U9" s="39">
        <v>44105</v>
      </c>
      <c r="V9" s="28" t="str">
        <f t="shared" ref="V9:V14" si="14">CONCATENATE("(S",A9,"-J",A9,")")</f>
        <v>(S9-J9)</v>
      </c>
      <c r="W9" s="52" t="s">
        <v>479</v>
      </c>
      <c r="X9" s="29">
        <v>44600</v>
      </c>
      <c r="Y9" s="30">
        <v>3.2800000000000003E-2</v>
      </c>
      <c r="Z9" s="31">
        <v>44129</v>
      </c>
      <c r="AA9" s="31">
        <v>44651</v>
      </c>
      <c r="AB9" s="32" t="str">
        <f t="shared" ref="AB9:AB14" si="15">CONCATENATE("(AA",A9,"-Z",A9,")")</f>
        <v>(AA9-Z9)</v>
      </c>
      <c r="AC9" s="32" t="str">
        <f t="shared" ref="AC9:AC14" si="16">CONCATENATE("(1+Y",A9,")^(AB",A9,"/360)-1")</f>
        <v>(1+Y9)^(AB9/360)-1</v>
      </c>
      <c r="AD9" s="52" t="str">
        <f t="shared" ref="AD9:AD14" si="17">CONCATENATE("(AC",A9,"*V",A9,")")</f>
        <v>(AC9*V9)</v>
      </c>
      <c r="AE9" s="32" t="str">
        <f t="shared" ref="AE9:AE14" si="18">CONCATENATE("(V",A9,"+AD",A9,")")</f>
        <v>(V9+AD9)</v>
      </c>
    </row>
    <row r="10" spans="1:31" x14ac:dyDescent="0.25">
      <c r="A10" s="42">
        <f t="shared" ref="A10:A13" si="19">A9+1</f>
        <v>10</v>
      </c>
      <c r="B10" s="39">
        <v>44136</v>
      </c>
      <c r="C10" s="52" t="s">
        <v>290</v>
      </c>
      <c r="D10" s="11" t="str">
        <f t="shared" si="0"/>
        <v>SUMIF(SIGGE_E!B:B,ReliquidacionEFACT!B10,SIGGE_E!S:S)</v>
      </c>
      <c r="E10" s="11" t="str">
        <f t="shared" si="1"/>
        <v>SUMIF(SIGGE_E!B:B,ReliquidacionEFACT!B10,SIGGE_E!T:T)</v>
      </c>
      <c r="F10" s="12" t="str">
        <f t="shared" si="2"/>
        <v>IFERROR((E10/D10),0)</v>
      </c>
      <c r="G10" s="13" t="str">
        <f t="shared" si="3"/>
        <v>SUMIF(SIGGE_P!B:B,ReliquidacionEFACT!B10,SIGGE_P!U:U)</v>
      </c>
      <c r="H10" s="11" t="str">
        <f t="shared" si="4"/>
        <v>SUMIF(SIGGE_P!B:B,ReliquidacionEFACT!B10,SIGGE_P!V:V)</v>
      </c>
      <c r="I10" s="12" t="str">
        <f t="shared" si="5"/>
        <v>IFERROR((H10/G10),0)</v>
      </c>
      <c r="J10" s="11" t="str">
        <f t="shared" si="6"/>
        <v>(E10+H10)</v>
      </c>
      <c r="L10" s="40" t="str">
        <f>(MAPA_DATA!K3)</f>
        <v>EFACT_CNE</v>
      </c>
      <c r="M10" s="11" t="str">
        <f t="shared" si="7"/>
        <v>SUMIF(EFACT_CNE!B:B,ReliquidacionEFACT!B10,EFACT_CNE!S:S)</v>
      </c>
      <c r="N10" s="11" t="str">
        <f t="shared" si="8"/>
        <v>SUMIF(EFACT_CNE!B:B,ReliquidacionEFACT!B10,EFACT_CNE!T:T)</v>
      </c>
      <c r="O10" s="12" t="str">
        <f t="shared" si="9"/>
        <v>IFERROR((N10/M10),0)</v>
      </c>
      <c r="P10" s="13" t="str">
        <f t="shared" si="10"/>
        <v>SUMIF(EFACT_CNE!B:B,ReliquidacionEFACT!B10,EFACT_CNE!U:U)</v>
      </c>
      <c r="Q10" s="11" t="str">
        <f t="shared" si="11"/>
        <v>SUMIF(EFACT_CNE!B:B,ReliquidacionEFACT!B10,EFACT_CNE!V:V)</v>
      </c>
      <c r="R10" s="12" t="str">
        <f t="shared" si="12"/>
        <v>IFERROR((Q10/P10),0)</v>
      </c>
      <c r="S10" s="11" t="str">
        <f t="shared" si="13"/>
        <v>(N10+Q10)</v>
      </c>
      <c r="U10" s="39">
        <v>44136</v>
      </c>
      <c r="V10" s="28" t="str">
        <f t="shared" si="14"/>
        <v>(S10-J10)</v>
      </c>
      <c r="W10" s="52" t="s">
        <v>479</v>
      </c>
      <c r="X10" s="29">
        <v>44600</v>
      </c>
      <c r="Y10" s="30">
        <v>3.2800000000000003E-2</v>
      </c>
      <c r="Z10" s="31">
        <v>44160</v>
      </c>
      <c r="AA10" s="31">
        <f t="shared" ref="AA10:AA14" si="20">AA9</f>
        <v>44651</v>
      </c>
      <c r="AB10" s="32" t="str">
        <f t="shared" si="15"/>
        <v>(AA10-Z10)</v>
      </c>
      <c r="AC10" s="32" t="str">
        <f t="shared" si="16"/>
        <v>(1+Y10)^(AB10/360)-1</v>
      </c>
      <c r="AD10" s="52" t="str">
        <f t="shared" si="17"/>
        <v>(AC10*V10)</v>
      </c>
      <c r="AE10" s="32" t="str">
        <f t="shared" si="18"/>
        <v>(V10+AD10)</v>
      </c>
    </row>
    <row r="11" spans="1:31" x14ac:dyDescent="0.25">
      <c r="A11" s="42">
        <f t="shared" si="19"/>
        <v>11</v>
      </c>
      <c r="B11" s="39">
        <v>44166</v>
      </c>
      <c r="C11" s="52" t="s">
        <v>290</v>
      </c>
      <c r="D11" s="11" t="str">
        <f t="shared" si="0"/>
        <v>SUMIF(SIGGE_E!B:B,ReliquidacionEFACT!B11,SIGGE_E!S:S)</v>
      </c>
      <c r="E11" s="11" t="str">
        <f t="shared" si="1"/>
        <v>SUMIF(SIGGE_E!B:B,ReliquidacionEFACT!B11,SIGGE_E!T:T)</v>
      </c>
      <c r="F11" s="12" t="str">
        <f t="shared" si="2"/>
        <v>IFERROR((E11/D11),0)</v>
      </c>
      <c r="G11" s="13" t="str">
        <f t="shared" si="3"/>
        <v>SUMIF(SIGGE_P!B:B,ReliquidacionEFACT!B11,SIGGE_P!U:U)</v>
      </c>
      <c r="H11" s="11" t="str">
        <f t="shared" si="4"/>
        <v>SUMIF(SIGGE_P!B:B,ReliquidacionEFACT!B11,SIGGE_P!V:V)</v>
      </c>
      <c r="I11" s="12" t="str">
        <f t="shared" si="5"/>
        <v>IFERROR((H11/G11),0)</v>
      </c>
      <c r="J11" s="11" t="str">
        <f t="shared" si="6"/>
        <v>(E11+H11)</v>
      </c>
      <c r="L11" s="40" t="str">
        <f>(MAPA_DATA!K4)</f>
        <v>EFACT_CNE</v>
      </c>
      <c r="M11" s="11" t="str">
        <f t="shared" si="7"/>
        <v>SUMIF(EFACT_CNE!B:B,ReliquidacionEFACT!B11,EFACT_CNE!S:S)</v>
      </c>
      <c r="N11" s="11" t="str">
        <f t="shared" si="8"/>
        <v>SUMIF(EFACT_CNE!B:B,ReliquidacionEFACT!B11,EFACT_CNE!T:T)</v>
      </c>
      <c r="O11" s="12" t="str">
        <f t="shared" si="9"/>
        <v>IFERROR((N11/M11),0)</v>
      </c>
      <c r="P11" s="13" t="str">
        <f t="shared" si="10"/>
        <v>SUMIF(EFACT_CNE!B:B,ReliquidacionEFACT!B11,EFACT_CNE!U:U)</v>
      </c>
      <c r="Q11" s="11" t="str">
        <f t="shared" si="11"/>
        <v>SUMIF(EFACT_CNE!B:B,ReliquidacionEFACT!B11,EFACT_CNE!V:V)</v>
      </c>
      <c r="R11" s="12" t="str">
        <f t="shared" si="12"/>
        <v>IFERROR((Q11/P11),0)</v>
      </c>
      <c r="S11" s="11" t="str">
        <f t="shared" si="13"/>
        <v>(N11+Q11)</v>
      </c>
      <c r="U11" s="39">
        <v>44166</v>
      </c>
      <c r="V11" s="28" t="str">
        <f t="shared" si="14"/>
        <v>(S11-J11)</v>
      </c>
      <c r="W11" s="52" t="s">
        <v>479</v>
      </c>
      <c r="X11" s="29">
        <v>44600</v>
      </c>
      <c r="Y11" s="30">
        <v>3.2800000000000003E-2</v>
      </c>
      <c r="Z11" s="31">
        <v>44190</v>
      </c>
      <c r="AA11" s="31">
        <f t="shared" si="20"/>
        <v>44651</v>
      </c>
      <c r="AB11" s="32" t="str">
        <f t="shared" si="15"/>
        <v>(AA11-Z11)</v>
      </c>
      <c r="AC11" s="32" t="str">
        <f t="shared" si="16"/>
        <v>(1+Y11)^(AB11/360)-1</v>
      </c>
      <c r="AD11" s="52" t="str">
        <f t="shared" si="17"/>
        <v>(AC11*V11)</v>
      </c>
      <c r="AE11" s="32" t="str">
        <f t="shared" si="18"/>
        <v>(V11+AD11)</v>
      </c>
    </row>
    <row r="12" spans="1:31" x14ac:dyDescent="0.25">
      <c r="A12" s="42">
        <f t="shared" si="19"/>
        <v>12</v>
      </c>
      <c r="B12" s="39">
        <v>44197</v>
      </c>
      <c r="C12" s="52" t="s">
        <v>290</v>
      </c>
      <c r="D12" s="11" t="str">
        <f t="shared" si="0"/>
        <v>SUMIF(SIGGE_E!B:B,ReliquidacionEFACT!B12,SIGGE_E!S:S)</v>
      </c>
      <c r="E12" s="11" t="str">
        <f t="shared" si="1"/>
        <v>SUMIF(SIGGE_E!B:B,ReliquidacionEFACT!B12,SIGGE_E!T:T)</v>
      </c>
      <c r="F12" s="12" t="str">
        <f t="shared" si="2"/>
        <v>IFERROR((E12/D12),0)</v>
      </c>
      <c r="G12" s="13" t="str">
        <f t="shared" si="3"/>
        <v>SUMIF(SIGGE_P!B:B,ReliquidacionEFACT!B12,SIGGE_P!U:U)</v>
      </c>
      <c r="H12" s="11" t="str">
        <f t="shared" si="4"/>
        <v>SUMIF(SIGGE_P!B:B,ReliquidacionEFACT!B12,SIGGE_P!V:V)</v>
      </c>
      <c r="I12" s="12" t="str">
        <f t="shared" si="5"/>
        <v>IFERROR((H12/G12),0)</v>
      </c>
      <c r="J12" s="11" t="str">
        <f t="shared" si="6"/>
        <v>(E12+H12)</v>
      </c>
      <c r="L12" s="40" t="str">
        <f>(MAPA_DATA!K5)</f>
        <v>EFACT_CNE</v>
      </c>
      <c r="M12" s="11" t="str">
        <f t="shared" si="7"/>
        <v>SUMIF(EFACT_CNE!B:B,ReliquidacionEFACT!B12,EFACT_CNE!S:S)</v>
      </c>
      <c r="N12" s="11" t="str">
        <f t="shared" si="8"/>
        <v>SUMIF(EFACT_CNE!B:B,ReliquidacionEFACT!B12,EFACT_CNE!T:T)</v>
      </c>
      <c r="O12" s="12" t="str">
        <f t="shared" si="9"/>
        <v>IFERROR((N12/M12),0)</v>
      </c>
      <c r="P12" s="13" t="str">
        <f t="shared" si="10"/>
        <v>SUMIF(EFACT_CNE!B:B,ReliquidacionEFACT!B12,EFACT_CNE!U:U)</v>
      </c>
      <c r="Q12" s="11" t="str">
        <f t="shared" si="11"/>
        <v>SUMIF(EFACT_CNE!B:B,ReliquidacionEFACT!B12,EFACT_CNE!V:V)</v>
      </c>
      <c r="R12" s="12" t="str">
        <f t="shared" si="12"/>
        <v>IFERROR((Q12/P12),0)</v>
      </c>
      <c r="S12" s="11" t="str">
        <f t="shared" si="13"/>
        <v>(N12+Q12)</v>
      </c>
      <c r="U12" s="39">
        <v>44197</v>
      </c>
      <c r="V12" s="28" t="str">
        <f t="shared" si="14"/>
        <v>(S12-J12)</v>
      </c>
      <c r="W12" s="52" t="s">
        <v>479</v>
      </c>
      <c r="X12" s="29">
        <v>44600</v>
      </c>
      <c r="Y12" s="30">
        <v>3.2800000000000003E-2</v>
      </c>
      <c r="Z12" s="31">
        <v>44221</v>
      </c>
      <c r="AA12" s="31">
        <f t="shared" si="20"/>
        <v>44651</v>
      </c>
      <c r="AB12" s="32" t="str">
        <f t="shared" si="15"/>
        <v>(AA12-Z12)</v>
      </c>
      <c r="AC12" s="32" t="str">
        <f t="shared" si="16"/>
        <v>(1+Y12)^(AB12/360)-1</v>
      </c>
      <c r="AD12" s="52" t="str">
        <f t="shared" si="17"/>
        <v>(AC12*V12)</v>
      </c>
      <c r="AE12" s="32" t="str">
        <f t="shared" si="18"/>
        <v>(V12+AD12)</v>
      </c>
    </row>
    <row r="13" spans="1:31" x14ac:dyDescent="0.25">
      <c r="A13" s="42">
        <f t="shared" si="19"/>
        <v>13</v>
      </c>
      <c r="B13" s="39">
        <v>44228</v>
      </c>
      <c r="C13" s="52" t="s">
        <v>290</v>
      </c>
      <c r="D13" s="11" t="str">
        <f t="shared" si="0"/>
        <v>SUMIF(SIGGE_E!B:B,ReliquidacionEFACT!B13,SIGGE_E!S:S)</v>
      </c>
      <c r="E13" s="11" t="str">
        <f t="shared" si="1"/>
        <v>SUMIF(SIGGE_E!B:B,ReliquidacionEFACT!B13,SIGGE_E!T:T)</v>
      </c>
      <c r="F13" s="12" t="str">
        <f t="shared" si="2"/>
        <v>IFERROR((E13/D13),0)</v>
      </c>
      <c r="G13" s="13" t="str">
        <f t="shared" si="3"/>
        <v>SUMIF(SIGGE_P!B:B,ReliquidacionEFACT!B13,SIGGE_P!U:U)</v>
      </c>
      <c r="H13" s="11" t="str">
        <f t="shared" si="4"/>
        <v>SUMIF(SIGGE_P!B:B,ReliquidacionEFACT!B13,SIGGE_P!V:V)</v>
      </c>
      <c r="I13" s="12" t="str">
        <f t="shared" si="5"/>
        <v>IFERROR((H13/G13),0)</v>
      </c>
      <c r="J13" s="11" t="str">
        <f t="shared" si="6"/>
        <v>(E13+H13)</v>
      </c>
      <c r="L13" s="40" t="str">
        <f>(MAPA_DATA!K6)</f>
        <v>EFACT_CNE</v>
      </c>
      <c r="M13" s="11" t="str">
        <f t="shared" si="7"/>
        <v>SUMIF(EFACT_CNE!B:B,ReliquidacionEFACT!B13,EFACT_CNE!S:S)</v>
      </c>
      <c r="N13" s="11" t="str">
        <f t="shared" si="8"/>
        <v>SUMIF(EFACT_CNE!B:B,ReliquidacionEFACT!B13,EFACT_CNE!T:T)</v>
      </c>
      <c r="O13" s="12" t="str">
        <f t="shared" si="9"/>
        <v>IFERROR((N13/M13),0)</v>
      </c>
      <c r="P13" s="13" t="str">
        <f t="shared" si="10"/>
        <v>SUMIF(EFACT_CNE!B:B,ReliquidacionEFACT!B13,EFACT_CNE!U:U)</v>
      </c>
      <c r="Q13" s="11" t="str">
        <f t="shared" si="11"/>
        <v>SUMIF(EFACT_CNE!B:B,ReliquidacionEFACT!B13,EFACT_CNE!V:V)</v>
      </c>
      <c r="R13" s="12" t="str">
        <f t="shared" si="12"/>
        <v>IFERROR((Q13/P13),0)</v>
      </c>
      <c r="S13" s="11" t="str">
        <f t="shared" si="13"/>
        <v>(N13+Q13)</v>
      </c>
      <c r="U13" s="39">
        <v>44228</v>
      </c>
      <c r="V13" s="28" t="str">
        <f t="shared" si="14"/>
        <v>(S13-J13)</v>
      </c>
      <c r="W13" s="52" t="s">
        <v>479</v>
      </c>
      <c r="X13" s="29">
        <v>44600</v>
      </c>
      <c r="Y13" s="30">
        <v>3.2800000000000003E-2</v>
      </c>
      <c r="Z13" s="31">
        <v>44252</v>
      </c>
      <c r="AA13" s="31">
        <f t="shared" si="20"/>
        <v>44651</v>
      </c>
      <c r="AB13" s="32" t="str">
        <f t="shared" si="15"/>
        <v>(AA13-Z13)</v>
      </c>
      <c r="AC13" s="32" t="str">
        <f t="shared" si="16"/>
        <v>(1+Y13)^(AB13/360)-1</v>
      </c>
      <c r="AD13" s="52" t="str">
        <f t="shared" si="17"/>
        <v>(AC13*V13)</v>
      </c>
      <c r="AE13" s="32" t="str">
        <f t="shared" si="18"/>
        <v>(V13+AD13)</v>
      </c>
    </row>
    <row r="14" spans="1:31" x14ac:dyDescent="0.25">
      <c r="A14" s="42">
        <f>A13+1</f>
        <v>14</v>
      </c>
      <c r="B14" s="39">
        <v>44256</v>
      </c>
      <c r="C14" s="52" t="s">
        <v>290</v>
      </c>
      <c r="D14" s="11" t="str">
        <f t="shared" si="0"/>
        <v>SUMIF(SIGGE_E!B:B,ReliquidacionEFACT!B14,SIGGE_E!S:S)</v>
      </c>
      <c r="E14" s="11" t="str">
        <f t="shared" si="1"/>
        <v>SUMIF(SIGGE_E!B:B,ReliquidacionEFACT!B14,SIGGE_E!T:T)</v>
      </c>
      <c r="F14" s="12" t="str">
        <f t="shared" si="2"/>
        <v>IFERROR((E14/D14),0)</v>
      </c>
      <c r="G14" s="13" t="str">
        <f t="shared" si="3"/>
        <v>SUMIF(SIGGE_P!B:B,ReliquidacionEFACT!B14,SIGGE_P!U:U)</v>
      </c>
      <c r="H14" s="11" t="str">
        <f t="shared" si="4"/>
        <v>SUMIF(SIGGE_P!B:B,ReliquidacionEFACT!B14,SIGGE_P!V:V)</v>
      </c>
      <c r="I14" s="12" t="str">
        <f t="shared" si="5"/>
        <v>IFERROR((H14/G14),0)</v>
      </c>
      <c r="J14" s="11" t="str">
        <f t="shared" si="6"/>
        <v>(E14+H14)</v>
      </c>
      <c r="L14" s="40" t="str">
        <f>(MAPA_DATA!K7)</f>
        <v>EFACT_CNE</v>
      </c>
      <c r="M14" s="11" t="str">
        <f t="shared" si="7"/>
        <v>SUMIF(EFACT_CNE!B:B,ReliquidacionEFACT!B14,EFACT_CNE!S:S)</v>
      </c>
      <c r="N14" s="11" t="str">
        <f t="shared" si="8"/>
        <v>SUMIF(EFACT_CNE!B:B,ReliquidacionEFACT!B14,EFACT_CNE!T:T)</v>
      </c>
      <c r="O14" s="12" t="str">
        <f t="shared" si="9"/>
        <v>IFERROR((N14/M14),0)</v>
      </c>
      <c r="P14" s="13" t="str">
        <f t="shared" si="10"/>
        <v>SUMIF(EFACT_CNE!B:B,ReliquidacionEFACT!B14,EFACT_CNE!U:U)</v>
      </c>
      <c r="Q14" s="11" t="str">
        <f t="shared" si="11"/>
        <v>SUMIF(EFACT_CNE!B:B,ReliquidacionEFACT!B14,EFACT_CNE!V:V)</v>
      </c>
      <c r="R14" s="12" t="str">
        <f t="shared" si="12"/>
        <v>IFERROR((Q14/P14),0)</v>
      </c>
      <c r="S14" s="11" t="str">
        <f t="shared" si="13"/>
        <v>(N14+Q14)</v>
      </c>
      <c r="U14" s="39">
        <v>44256</v>
      </c>
      <c r="V14" s="28" t="str">
        <f t="shared" si="14"/>
        <v>(S14-J14)</v>
      </c>
      <c r="W14" s="52" t="s">
        <v>479</v>
      </c>
      <c r="X14" s="29">
        <v>44600</v>
      </c>
      <c r="Y14" s="30">
        <v>3.2800000000000003E-2</v>
      </c>
      <c r="Z14" s="31">
        <v>44280</v>
      </c>
      <c r="AA14" s="31">
        <f t="shared" si="20"/>
        <v>44651</v>
      </c>
      <c r="AB14" s="32" t="str">
        <f t="shared" si="15"/>
        <v>(AA14-Z14)</v>
      </c>
      <c r="AC14" s="32" t="str">
        <f t="shared" si="16"/>
        <v>(1+Y14)^(AB14/360)-1</v>
      </c>
      <c r="AD14" s="52" t="str">
        <f t="shared" si="17"/>
        <v>(AC14*V14)</v>
      </c>
      <c r="AE14" s="32" t="str">
        <f t="shared" si="18"/>
        <v>(V14+AD14)</v>
      </c>
    </row>
    <row r="15" spans="1:31" ht="15.75" thickBot="1" x14ac:dyDescent="0.3">
      <c r="Z15" s="1"/>
      <c r="AD15" s="53" t="s">
        <v>70</v>
      </c>
      <c r="AE15" s="54" t="str">
        <f>CONCATENATE("SUM(AE9:AE14)")</f>
        <v>SUM(AE9:AE14)</v>
      </c>
    </row>
    <row r="17" spans="29:31" x14ac:dyDescent="0.25">
      <c r="AC17" s="18" t="s">
        <v>72</v>
      </c>
      <c r="AD17" s="19" t="s">
        <v>329</v>
      </c>
      <c r="AE17" s="20"/>
    </row>
    <row r="18" spans="29:31" x14ac:dyDescent="0.25">
      <c r="AC18" s="21" t="s">
        <v>73</v>
      </c>
      <c r="AD18" s="14" t="s">
        <v>330</v>
      </c>
      <c r="AE18" s="22"/>
    </row>
  </sheetData>
  <mergeCells count="3">
    <mergeCell ref="C7:J7"/>
    <mergeCell ref="L7:S7"/>
    <mergeCell ref="U7:A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showGridLines="0" topLeftCell="R1" zoomScaleNormal="100" workbookViewId="0">
      <selection activeCell="AE15" sqref="AE15"/>
    </sheetView>
  </sheetViews>
  <sheetFormatPr baseColWidth="10" defaultRowHeight="15" x14ac:dyDescent="0.25"/>
  <cols>
    <col min="1" max="1" width="11.5703125" style="41" bestFit="1" customWidth="1"/>
    <col min="2" max="2" width="18.28515625" style="5" bestFit="1" customWidth="1"/>
    <col min="3" max="3" width="13.85546875" style="5" bestFit="1" customWidth="1"/>
    <col min="4" max="5" width="51.7109375" bestFit="1" customWidth="1"/>
    <col min="6" max="6" width="20.140625" bestFit="1" customWidth="1"/>
    <col min="7" max="8" width="52.7109375" bestFit="1" customWidth="1"/>
    <col min="9" max="9" width="20.42578125" bestFit="1" customWidth="1"/>
    <col min="10" max="10" width="11.85546875" bestFit="1" customWidth="1"/>
    <col min="11" max="11" width="3.42578125" customWidth="1"/>
    <col min="12" max="12" width="14" bestFit="1" customWidth="1"/>
    <col min="13" max="13" width="60" bestFit="1" customWidth="1"/>
    <col min="14" max="14" width="62.7109375" bestFit="1" customWidth="1"/>
    <col min="15" max="15" width="21" bestFit="1" customWidth="1"/>
    <col min="16" max="16" width="62.7109375" bestFit="1" customWidth="1"/>
    <col min="17" max="17" width="65" bestFit="1" customWidth="1"/>
    <col min="18" max="18" width="20.42578125" bestFit="1" customWidth="1"/>
    <col min="19" max="19" width="11.85546875" bestFit="1" customWidth="1"/>
    <col min="20" max="20" width="3.42578125" customWidth="1"/>
    <col min="21" max="21" width="7.140625" bestFit="1" customWidth="1"/>
    <col min="22" max="22" width="13.140625" bestFit="1" customWidth="1"/>
    <col min="23" max="23" width="13.140625" style="5" bestFit="1" customWidth="1"/>
    <col min="24" max="24" width="16.85546875" style="5" bestFit="1" customWidth="1"/>
    <col min="25" max="25" width="12.85546875" style="5" bestFit="1" customWidth="1"/>
    <col min="26" max="26" width="11.140625" bestFit="1" customWidth="1"/>
    <col min="27" max="27" width="13.140625" bestFit="1" customWidth="1"/>
    <col min="28" max="28" width="12.42578125" bestFit="1" customWidth="1"/>
    <col min="29" max="29" width="20" bestFit="1" customWidth="1"/>
    <col min="30" max="30" width="24.140625" bestFit="1" customWidth="1"/>
    <col min="31" max="31" width="15.7109375" bestFit="1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3" t="s">
        <v>96</v>
      </c>
      <c r="W2"/>
      <c r="X2"/>
      <c r="Y2"/>
    </row>
    <row r="3" spans="1:31" x14ac:dyDescent="0.25">
      <c r="A3" s="7" t="s">
        <v>61</v>
      </c>
      <c r="B3" s="34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5" t="s">
        <v>98</v>
      </c>
      <c r="W5"/>
      <c r="X5"/>
      <c r="Y5"/>
    </row>
    <row r="7" spans="1:31" ht="14.45" customHeight="1" x14ac:dyDescent="0.25">
      <c r="C7" s="70" t="s">
        <v>458</v>
      </c>
      <c r="D7" s="70"/>
      <c r="E7" s="70"/>
      <c r="F7" s="70"/>
      <c r="G7" s="70"/>
      <c r="H7" s="70"/>
      <c r="I7" s="70"/>
      <c r="J7" s="71"/>
      <c r="L7" s="72" t="s">
        <v>459</v>
      </c>
      <c r="M7" s="72"/>
      <c r="N7" s="72"/>
      <c r="O7" s="72"/>
      <c r="P7" s="72"/>
      <c r="Q7" s="72"/>
      <c r="R7" s="72"/>
      <c r="S7" s="72"/>
      <c r="U7" s="73" t="s">
        <v>297</v>
      </c>
      <c r="V7" s="74"/>
      <c r="W7" s="74"/>
      <c r="X7" s="74"/>
      <c r="Y7" s="74"/>
      <c r="Z7" s="74"/>
      <c r="AA7" s="74"/>
      <c r="AB7" s="74"/>
      <c r="AC7" s="74"/>
      <c r="AD7" s="74"/>
      <c r="AE7" s="75"/>
    </row>
    <row r="8" spans="1:31" s="3" customFormat="1" ht="30" x14ac:dyDescent="0.25">
      <c r="A8" s="36" t="s">
        <v>299</v>
      </c>
      <c r="B8" s="36" t="s">
        <v>298</v>
      </c>
      <c r="C8" s="36" t="s">
        <v>296</v>
      </c>
      <c r="D8" s="23" t="s">
        <v>62</v>
      </c>
      <c r="E8" s="24" t="s">
        <v>68</v>
      </c>
      <c r="F8" s="23" t="s">
        <v>64</v>
      </c>
      <c r="G8" s="23" t="s">
        <v>66</v>
      </c>
      <c r="H8" s="24" t="s">
        <v>69</v>
      </c>
      <c r="I8" s="23" t="s">
        <v>67</v>
      </c>
      <c r="J8" s="25" t="s">
        <v>63</v>
      </c>
      <c r="L8" s="36" t="s">
        <v>296</v>
      </c>
      <c r="M8" s="23" t="s">
        <v>62</v>
      </c>
      <c r="N8" s="24" t="s">
        <v>68</v>
      </c>
      <c r="O8" s="23" t="s">
        <v>64</v>
      </c>
      <c r="P8" s="23" t="s">
        <v>66</v>
      </c>
      <c r="Q8" s="24" t="s">
        <v>69</v>
      </c>
      <c r="R8" s="23" t="s">
        <v>67</v>
      </c>
      <c r="S8" s="25" t="s">
        <v>63</v>
      </c>
      <c r="U8" s="17" t="s">
        <v>3</v>
      </c>
      <c r="V8" s="51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2">
        <v>9</v>
      </c>
      <c r="B9" s="39">
        <v>44105</v>
      </c>
      <c r="C9" s="52" t="s">
        <v>290</v>
      </c>
      <c r="D9" s="11" t="str">
        <f t="shared" ref="D9:D14" si="0">CONCATENATE("SUMIF(",IF(C9="FACT_EMITIDA","SIGGE_E",C9),"!B:B,ReliquidacionCEN!B",A9,",",IF(C9="FACT_EMITIDA","SIGGE_E",C9),"!S:S)")</f>
        <v>SUMIF(SIGGE_E!B:B,ReliquidacionCEN!B9,SIGGE_E!S:S)</v>
      </c>
      <c r="E9" s="11" t="str">
        <f t="shared" ref="E9:E14" si="1">CONCATENATE("SUMIF(",IF(C9="FACT_EMITIDA","SIGGE_E",C9),"!B:B,ReliquidacionCEN!B",A9,",",IF(C9="FACT_EMITIDA","SIGGE_E",C9),"!T:T)")</f>
        <v>SUMIF(SIGGE_E!B:B,ReliquidacionCEN!B9,SIGGE_E!T:T)</v>
      </c>
      <c r="F9" s="12" t="str">
        <f>CONCATENATE("IFERROR((E",A9,"/D",A9,"),0)")</f>
        <v>IFERROR((E9/D9),0)</v>
      </c>
      <c r="G9" s="13" t="str">
        <f t="shared" ref="G9:G14" si="2">CONCATENATE("SUMIF(",IF(C9="FACT_EMITIDA","SIGGE_P",C9),"!B:B,ReliquidacionCEN!B",A9,",",IF(C9="FACT_EMITIDA","SIGGE_P",C9),"!U:U)")</f>
        <v>SUMIF(SIGGE_P!B:B,ReliquidacionCEN!B9,SIGGE_P!U:U)</v>
      </c>
      <c r="H9" s="11" t="str">
        <f t="shared" ref="H9:H14" si="3">CONCATENATE("SUMIF(",IF(C9="FACT_EMITIDA","SIGGE_P",C9),"!B:B,ReliquidacionCEN!B",A9,",",IF(C9="FACT_EMITIDA","SIGGE_P",C9),"!V:V)")</f>
        <v>SUMIF(SIGGE_P!B:B,ReliquidacionCEN!B9,SIGGE_P!V:V)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52" t="s">
        <v>293</v>
      </c>
      <c r="M9" s="11" t="str">
        <f>CONCATENATE("SUMIF(",IF(L9="FACT_EST_CEN","CEN_Energia",L9),"!B:B,ReliquidacionCEN!B",A9,",",IF(L9="FACT_EST_CEN","CEN_Energia",L9),"!Z:Z)")</f>
        <v>SUMIF(CEN_Energia!B:B,ReliquidacionCEN!B9,CEN_Energia!Z:Z)</v>
      </c>
      <c r="N9" s="11" t="str">
        <f>CONCATENATE("SUMIF(",IF(L9="FACT_EST_CEN","CEN_Energia",L9),"!B:B,ReliquidacionCEN!B",A9,",",IF(L9="FACT_EST_CEN","CEN_Energia",L9),"!BK:BK)")</f>
        <v>SUMIF(CEN_Energia!B:B,ReliquidacionCEN!B9,CEN_Energia!BK:BK)</v>
      </c>
      <c r="O9" s="12" t="str">
        <f>CONCATENATE("IFERROR((N",A9,"/M",A9,"),0)")</f>
        <v>IFERROR((N9/M9),0)</v>
      </c>
      <c r="P9" s="13" t="str">
        <f>CONCATENATE("SUMIF(",IF(L9="FACT_EST_CEN","CEN_Potencia",L9),"!B:B,ReliquidacionCEN!B",A9,",",IF(L9="FACT_EST_CEN","CEN_Potencia",L9),"!R:R)")</f>
        <v>SUMIF(CEN_Potencia!B:B,ReliquidacionCEN!B9,CEN_Potencia!R:R)</v>
      </c>
      <c r="Q9" s="11" t="str">
        <f>CONCATENATE("SUMIF(",IF(L9="FACT_EST_CEN","CEN_Potencia",L9),"!B:B,ReliquidacionCEN!B",A9,",",IF(L9="FACT_EST_CEN","CEN_Potencia",L9),"!BC:BC)")</f>
        <v>SUMIF(CEN_Potencia!B:B,ReliquidacionCEN!B9,CEN_Potencia!BC:BC)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39">
        <v>44105</v>
      </c>
      <c r="V9" s="28" t="str">
        <f>CONCATENATE("(S",A9,"-J",A9,")")</f>
        <v>(S9-J9)</v>
      </c>
      <c r="W9" s="52" t="s">
        <v>479</v>
      </c>
      <c r="X9" s="29">
        <v>44600</v>
      </c>
      <c r="Y9" s="30">
        <v>3.2800000000000003E-2</v>
      </c>
      <c r="Z9" s="31">
        <v>44129</v>
      </c>
      <c r="AA9" s="31">
        <v>44651</v>
      </c>
      <c r="AB9" s="32" t="str">
        <f>CONCATENATE("(AA",A9,"-Z",A9,")")</f>
        <v>(AA9-Z9)</v>
      </c>
      <c r="AC9" s="32" t="str">
        <f>CONCATENATE("(1+Y",A9,")^(AB",A9,"/360)-1")</f>
        <v>(1+Y9)^(AB9/360)-1</v>
      </c>
      <c r="AD9" s="52" t="str">
        <f>CONCATENATE("(AC",A9,"*V",A9,")")</f>
        <v>(AC9*V9)</v>
      </c>
      <c r="AE9" s="32" t="str">
        <f>CONCATENATE("(V",A9,"+AD",A9,")")</f>
        <v>(V9+AD9)</v>
      </c>
    </row>
    <row r="10" spans="1:31" x14ac:dyDescent="0.25">
      <c r="A10" s="42">
        <f>A9+1</f>
        <v>10</v>
      </c>
      <c r="B10" s="39">
        <v>44136</v>
      </c>
      <c r="C10" s="52" t="s">
        <v>290</v>
      </c>
      <c r="D10" s="11" t="str">
        <f t="shared" si="0"/>
        <v>SUMIF(SIGGE_E!B:B,ReliquidacionCEN!B10,SIGGE_E!S:S)</v>
      </c>
      <c r="E10" s="11" t="str">
        <f t="shared" si="1"/>
        <v>SUMIF(SIGGE_E!B:B,ReliquidacionCEN!B10,SIGGE_E!T:T)</v>
      </c>
      <c r="F10" s="12" t="str">
        <f t="shared" ref="F10:F14" si="4">CONCATENATE("IFERROR((E",A10,"/D",A10,"),0)")</f>
        <v>IFERROR((E10/D10),0)</v>
      </c>
      <c r="G10" s="13" t="str">
        <f t="shared" si="2"/>
        <v>SUMIF(SIGGE_P!B:B,ReliquidacionCEN!B10,SIGGE_P!U:U)</v>
      </c>
      <c r="H10" s="11" t="str">
        <f t="shared" si="3"/>
        <v>SUMIF(SIGGE_P!B:B,ReliquidacionCEN!B10,SIGGE_P!V:V)</v>
      </c>
      <c r="I10" s="12" t="str">
        <f t="shared" ref="I10:I14" si="5">CONCATENATE("IFERROR((H",A10,"/G",A10,"),0)")</f>
        <v>IFERROR((H10/G10),0)</v>
      </c>
      <c r="J10" s="11" t="str">
        <f t="shared" ref="J10:J14" si="6">CONCATENATE("(E",A10,"+H",A10,")")</f>
        <v>(E10+H10)</v>
      </c>
      <c r="L10" s="52" t="s">
        <v>293</v>
      </c>
      <c r="M10" s="11" t="str">
        <f t="shared" ref="M10:M14" si="7">CONCATENATE("SUMIF(",IF(L10="FACT_EST_CEN","CEN_Energia",L10),"!B:B,ReliquidacionCEN!B",A10,",",IF(L10="FACT_EST_CEN","CEN_Energia",L10),"!Z:Z)")</f>
        <v>SUMIF(CEN_Energia!B:B,ReliquidacionCEN!B10,CEN_Energia!Z:Z)</v>
      </c>
      <c r="N10" s="11" t="str">
        <f t="shared" ref="N10:N14" si="8">CONCATENATE("SUMIF(",IF(L10="FACT_EST_CEN","CEN_Energia",L10),"!B:B,ReliquidacionCEN!B",A10,",",IF(L10="FACT_EST_CEN","CEN_Energia",L10),"!BK:BK)")</f>
        <v>SUMIF(CEN_Energia!B:B,ReliquidacionCEN!B10,CEN_Energia!BK:BK)</v>
      </c>
      <c r="O10" s="12" t="str">
        <f t="shared" ref="O10:O14" si="9">CONCATENATE("IFERROR((N",A10,"/M",A10,"),0)")</f>
        <v>IFERROR((N10/M10),0)</v>
      </c>
      <c r="P10" s="13" t="str">
        <f t="shared" ref="P10:P14" si="10">CONCATENATE("SUMIF(",IF(L10="FACT_EST_CEN","CEN_Potencia",L10),"!B:B,ReliquidacionCEN!B",A10,",",IF(L10="FACT_EST_CEN","CEN_Potencia",L10),"!R:R)")</f>
        <v>SUMIF(CEN_Potencia!B:B,ReliquidacionCEN!B10,CEN_Potencia!R:R)</v>
      </c>
      <c r="Q10" s="11" t="str">
        <f t="shared" ref="Q10:Q14" si="11">CONCATENATE("SUMIF(",IF(L10="FACT_EST_CEN","CEN_Potencia",L10),"!B:B,ReliquidacionCEN!B",A10,",",IF(L10="FACT_EST_CEN","CEN_Potencia",L10),"!BC:BC)")</f>
        <v>SUMIF(CEN_Potencia!B:B,ReliquidacionCEN!B10,CEN_Potencia!BC:BC)</v>
      </c>
      <c r="R10" s="12" t="str">
        <f t="shared" ref="R10:R14" si="12">CONCATENATE("IFERROR((Q",A10,"/P",A10,"),0)")</f>
        <v>IFERROR((Q10/P10),0)</v>
      </c>
      <c r="S10" s="11" t="str">
        <f t="shared" ref="S10:S14" si="13">CONCATENATE("(N",A10,"+Q",A10,")")</f>
        <v>(N10+Q10)</v>
      </c>
      <c r="U10" s="39">
        <v>44136</v>
      </c>
      <c r="V10" s="28" t="str">
        <f t="shared" ref="V10:V14" si="14">CONCATENATE("(S",A10,"-J",A10,")")</f>
        <v>(S10-J10)</v>
      </c>
      <c r="W10" s="52" t="s">
        <v>479</v>
      </c>
      <c r="X10" s="29">
        <v>44600</v>
      </c>
      <c r="Y10" s="30">
        <v>3.2800000000000003E-2</v>
      </c>
      <c r="Z10" s="31">
        <v>44160</v>
      </c>
      <c r="AA10" s="31">
        <f t="shared" ref="AA10:AA14" si="15">AA9</f>
        <v>44651</v>
      </c>
      <c r="AB10" s="32" t="str">
        <f t="shared" ref="AB10:AB14" si="16">CONCATENATE("(AA",A10,"-Z",A10,")")</f>
        <v>(AA10-Z10)</v>
      </c>
      <c r="AC10" s="32" t="str">
        <f t="shared" ref="AC10:AC14" si="17">CONCATENATE("(1+Y",A10,")^(AB",A10,"/360)-1")</f>
        <v>(1+Y10)^(AB10/360)-1</v>
      </c>
      <c r="AD10" s="52" t="str">
        <f t="shared" ref="AD10:AD14" si="18">CONCATENATE("(AC",A10,"*V",A10,")")</f>
        <v>(AC10*V10)</v>
      </c>
      <c r="AE10" s="32" t="str">
        <f t="shared" ref="AE10:AE14" si="19">CONCATENATE("(V",A10,"+AD",A10,")")</f>
        <v>(V10+AD10)</v>
      </c>
    </row>
    <row r="11" spans="1:31" x14ac:dyDescent="0.25">
      <c r="A11" s="42">
        <f t="shared" ref="A11:A14" si="20">A10+1</f>
        <v>11</v>
      </c>
      <c r="B11" s="39">
        <v>44166</v>
      </c>
      <c r="C11" s="52" t="s">
        <v>290</v>
      </c>
      <c r="D11" s="11" t="str">
        <f t="shared" si="0"/>
        <v>SUMIF(SIGGE_E!B:B,ReliquidacionCEN!B11,SIGGE_E!S:S)</v>
      </c>
      <c r="E11" s="11" t="str">
        <f t="shared" si="1"/>
        <v>SUMIF(SIGGE_E!B:B,ReliquidacionCEN!B11,SIGGE_E!T:T)</v>
      </c>
      <c r="F11" s="12" t="str">
        <f t="shared" si="4"/>
        <v>IFERROR((E11/D11),0)</v>
      </c>
      <c r="G11" s="13" t="str">
        <f t="shared" si="2"/>
        <v>SUMIF(SIGGE_P!B:B,ReliquidacionCEN!B11,SIGGE_P!U:U)</v>
      </c>
      <c r="H11" s="11" t="str">
        <f t="shared" si="3"/>
        <v>SUMIF(SIGGE_P!B:B,ReliquidacionCEN!B11,SIGGE_P!V:V)</v>
      </c>
      <c r="I11" s="12" t="str">
        <f t="shared" si="5"/>
        <v>IFERROR((H11/G11),0)</v>
      </c>
      <c r="J11" s="11" t="str">
        <f t="shared" si="6"/>
        <v>(E11+H11)</v>
      </c>
      <c r="L11" s="52" t="s">
        <v>293</v>
      </c>
      <c r="M11" s="11" t="str">
        <f t="shared" si="7"/>
        <v>SUMIF(CEN_Energia!B:B,ReliquidacionCEN!B11,CEN_Energia!Z:Z)</v>
      </c>
      <c r="N11" s="11" t="str">
        <f t="shared" si="8"/>
        <v>SUMIF(CEN_Energia!B:B,ReliquidacionCEN!B11,CEN_Energia!BK:BK)</v>
      </c>
      <c r="O11" s="12" t="str">
        <f t="shared" si="9"/>
        <v>IFERROR((N11/M11),0)</v>
      </c>
      <c r="P11" s="13" t="str">
        <f t="shared" si="10"/>
        <v>SUMIF(CEN_Potencia!B:B,ReliquidacionCEN!B11,CEN_Potencia!R:R)</v>
      </c>
      <c r="Q11" s="11" t="str">
        <f t="shared" si="11"/>
        <v>SUMIF(CEN_Potencia!B:B,ReliquidacionCEN!B11,CEN_Potencia!BC:BC)</v>
      </c>
      <c r="R11" s="12" t="str">
        <f t="shared" si="12"/>
        <v>IFERROR((Q11/P11),0)</v>
      </c>
      <c r="S11" s="11" t="str">
        <f t="shared" si="13"/>
        <v>(N11+Q11)</v>
      </c>
      <c r="U11" s="39">
        <v>44166</v>
      </c>
      <c r="V11" s="28" t="str">
        <f t="shared" si="14"/>
        <v>(S11-J11)</v>
      </c>
      <c r="W11" s="52" t="s">
        <v>479</v>
      </c>
      <c r="X11" s="29">
        <v>44600</v>
      </c>
      <c r="Y11" s="30">
        <v>3.2800000000000003E-2</v>
      </c>
      <c r="Z11" s="31">
        <v>44190</v>
      </c>
      <c r="AA11" s="31">
        <f t="shared" si="15"/>
        <v>44651</v>
      </c>
      <c r="AB11" s="32" t="str">
        <f t="shared" si="16"/>
        <v>(AA11-Z11)</v>
      </c>
      <c r="AC11" s="32" t="str">
        <f t="shared" si="17"/>
        <v>(1+Y11)^(AB11/360)-1</v>
      </c>
      <c r="AD11" s="52" t="str">
        <f t="shared" si="18"/>
        <v>(AC11*V11)</v>
      </c>
      <c r="AE11" s="32" t="str">
        <f t="shared" si="19"/>
        <v>(V11+AD11)</v>
      </c>
    </row>
    <row r="12" spans="1:31" x14ac:dyDescent="0.25">
      <c r="A12" s="42">
        <f t="shared" si="20"/>
        <v>12</v>
      </c>
      <c r="B12" s="39">
        <v>44197</v>
      </c>
      <c r="C12" s="52" t="s">
        <v>290</v>
      </c>
      <c r="D12" s="11" t="str">
        <f t="shared" si="0"/>
        <v>SUMIF(SIGGE_E!B:B,ReliquidacionCEN!B12,SIGGE_E!S:S)</v>
      </c>
      <c r="E12" s="11" t="str">
        <f t="shared" si="1"/>
        <v>SUMIF(SIGGE_E!B:B,ReliquidacionCEN!B12,SIGGE_E!T:T)</v>
      </c>
      <c r="F12" s="12" t="str">
        <f t="shared" si="4"/>
        <v>IFERROR((E12/D12),0)</v>
      </c>
      <c r="G12" s="13" t="str">
        <f t="shared" si="2"/>
        <v>SUMIF(SIGGE_P!B:B,ReliquidacionCEN!B12,SIGGE_P!U:U)</v>
      </c>
      <c r="H12" s="11" t="str">
        <f t="shared" si="3"/>
        <v>SUMIF(SIGGE_P!B:B,ReliquidacionCEN!B12,SIGGE_P!V:V)</v>
      </c>
      <c r="I12" s="12" t="str">
        <f t="shared" si="5"/>
        <v>IFERROR((H12/G12),0)</v>
      </c>
      <c r="J12" s="11" t="str">
        <f t="shared" si="6"/>
        <v>(E12+H12)</v>
      </c>
      <c r="L12" s="52" t="s">
        <v>293</v>
      </c>
      <c r="M12" s="11" t="str">
        <f t="shared" si="7"/>
        <v>SUMIF(CEN_Energia!B:B,ReliquidacionCEN!B12,CEN_Energia!Z:Z)</v>
      </c>
      <c r="N12" s="11" t="str">
        <f t="shared" si="8"/>
        <v>SUMIF(CEN_Energia!B:B,ReliquidacionCEN!B12,CEN_Energia!BK:BK)</v>
      </c>
      <c r="O12" s="12" t="str">
        <f t="shared" si="9"/>
        <v>IFERROR((N12/M12),0)</v>
      </c>
      <c r="P12" s="13" t="str">
        <f t="shared" si="10"/>
        <v>SUMIF(CEN_Potencia!B:B,ReliquidacionCEN!B12,CEN_Potencia!R:R)</v>
      </c>
      <c r="Q12" s="11" t="str">
        <f t="shared" si="11"/>
        <v>SUMIF(CEN_Potencia!B:B,ReliquidacionCEN!B12,CEN_Potencia!BC:BC)</v>
      </c>
      <c r="R12" s="12" t="str">
        <f t="shared" si="12"/>
        <v>IFERROR((Q12/P12),0)</v>
      </c>
      <c r="S12" s="11" t="str">
        <f t="shared" si="13"/>
        <v>(N12+Q12)</v>
      </c>
      <c r="U12" s="39">
        <v>44197</v>
      </c>
      <c r="V12" s="28" t="str">
        <f t="shared" si="14"/>
        <v>(S12-J12)</v>
      </c>
      <c r="W12" s="52" t="s">
        <v>479</v>
      </c>
      <c r="X12" s="29">
        <v>44600</v>
      </c>
      <c r="Y12" s="30">
        <v>3.2800000000000003E-2</v>
      </c>
      <c r="Z12" s="31">
        <v>44221</v>
      </c>
      <c r="AA12" s="31">
        <f t="shared" si="15"/>
        <v>44651</v>
      </c>
      <c r="AB12" s="32" t="str">
        <f t="shared" si="16"/>
        <v>(AA12-Z12)</v>
      </c>
      <c r="AC12" s="32" t="str">
        <f t="shared" si="17"/>
        <v>(1+Y12)^(AB12/360)-1</v>
      </c>
      <c r="AD12" s="52" t="str">
        <f t="shared" si="18"/>
        <v>(AC12*V12)</v>
      </c>
      <c r="AE12" s="32" t="str">
        <f t="shared" si="19"/>
        <v>(V12+AD12)</v>
      </c>
    </row>
    <row r="13" spans="1:31" x14ac:dyDescent="0.25">
      <c r="A13" s="42">
        <f t="shared" si="20"/>
        <v>13</v>
      </c>
      <c r="B13" s="39">
        <v>44228</v>
      </c>
      <c r="C13" s="52" t="s">
        <v>290</v>
      </c>
      <c r="D13" s="11" t="str">
        <f t="shared" si="0"/>
        <v>SUMIF(SIGGE_E!B:B,ReliquidacionCEN!B13,SIGGE_E!S:S)</v>
      </c>
      <c r="E13" s="11" t="str">
        <f t="shared" si="1"/>
        <v>SUMIF(SIGGE_E!B:B,ReliquidacionCEN!B13,SIGGE_E!T:T)</v>
      </c>
      <c r="F13" s="12" t="str">
        <f t="shared" si="4"/>
        <v>IFERROR((E13/D13),0)</v>
      </c>
      <c r="G13" s="13" t="str">
        <f t="shared" si="2"/>
        <v>SUMIF(SIGGE_P!B:B,ReliquidacionCEN!B13,SIGGE_P!U:U)</v>
      </c>
      <c r="H13" s="11" t="str">
        <f t="shared" si="3"/>
        <v>SUMIF(SIGGE_P!B:B,ReliquidacionCEN!B13,SIGGE_P!V:V)</v>
      </c>
      <c r="I13" s="12" t="str">
        <f t="shared" si="5"/>
        <v>IFERROR((H13/G13),0)</v>
      </c>
      <c r="J13" s="11" t="str">
        <f t="shared" si="6"/>
        <v>(E13+H13)</v>
      </c>
      <c r="L13" s="52" t="s">
        <v>293</v>
      </c>
      <c r="M13" s="11" t="str">
        <f t="shared" si="7"/>
        <v>SUMIF(CEN_Energia!B:B,ReliquidacionCEN!B13,CEN_Energia!Z:Z)</v>
      </c>
      <c r="N13" s="11" t="str">
        <f t="shared" si="8"/>
        <v>SUMIF(CEN_Energia!B:B,ReliquidacionCEN!B13,CEN_Energia!BK:BK)</v>
      </c>
      <c r="O13" s="12" t="str">
        <f t="shared" si="9"/>
        <v>IFERROR((N13/M13),0)</v>
      </c>
      <c r="P13" s="13" t="str">
        <f t="shared" si="10"/>
        <v>SUMIF(CEN_Potencia!B:B,ReliquidacionCEN!B13,CEN_Potencia!R:R)</v>
      </c>
      <c r="Q13" s="11" t="str">
        <f t="shared" si="11"/>
        <v>SUMIF(CEN_Potencia!B:B,ReliquidacionCEN!B13,CEN_Potencia!BC:BC)</v>
      </c>
      <c r="R13" s="12" t="str">
        <f t="shared" si="12"/>
        <v>IFERROR((Q13/P13),0)</v>
      </c>
      <c r="S13" s="11" t="str">
        <f t="shared" si="13"/>
        <v>(N13+Q13)</v>
      </c>
      <c r="U13" s="39">
        <v>44228</v>
      </c>
      <c r="V13" s="28" t="str">
        <f t="shared" si="14"/>
        <v>(S13-J13)</v>
      </c>
      <c r="W13" s="52" t="s">
        <v>479</v>
      </c>
      <c r="X13" s="29">
        <v>44600</v>
      </c>
      <c r="Y13" s="30">
        <v>3.2800000000000003E-2</v>
      </c>
      <c r="Z13" s="31">
        <v>44252</v>
      </c>
      <c r="AA13" s="31">
        <f t="shared" si="15"/>
        <v>44651</v>
      </c>
      <c r="AB13" s="32" t="str">
        <f t="shared" si="16"/>
        <v>(AA13-Z13)</v>
      </c>
      <c r="AC13" s="32" t="str">
        <f t="shared" si="17"/>
        <v>(1+Y13)^(AB13/360)-1</v>
      </c>
      <c r="AD13" s="52" t="str">
        <f t="shared" si="18"/>
        <v>(AC13*V13)</v>
      </c>
      <c r="AE13" s="32" t="str">
        <f t="shared" si="19"/>
        <v>(V13+AD13)</v>
      </c>
    </row>
    <row r="14" spans="1:31" x14ac:dyDescent="0.25">
      <c r="A14" s="42">
        <f t="shared" si="20"/>
        <v>14</v>
      </c>
      <c r="B14" s="39">
        <v>44256</v>
      </c>
      <c r="C14" s="52" t="s">
        <v>290</v>
      </c>
      <c r="D14" s="11" t="str">
        <f t="shared" si="0"/>
        <v>SUMIF(SIGGE_E!B:B,ReliquidacionCEN!B14,SIGGE_E!S:S)</v>
      </c>
      <c r="E14" s="11" t="str">
        <f t="shared" si="1"/>
        <v>SUMIF(SIGGE_E!B:B,ReliquidacionCEN!B14,SIGGE_E!T:T)</v>
      </c>
      <c r="F14" s="12" t="str">
        <f t="shared" si="4"/>
        <v>IFERROR((E14/D14),0)</v>
      </c>
      <c r="G14" s="13" t="str">
        <f t="shared" si="2"/>
        <v>SUMIF(SIGGE_P!B:B,ReliquidacionCEN!B14,SIGGE_P!U:U)</v>
      </c>
      <c r="H14" s="11" t="str">
        <f t="shared" si="3"/>
        <v>SUMIF(SIGGE_P!B:B,ReliquidacionCEN!B14,SIGGE_P!V:V)</v>
      </c>
      <c r="I14" s="12" t="str">
        <f t="shared" si="5"/>
        <v>IFERROR((H14/G14),0)</v>
      </c>
      <c r="J14" s="11" t="str">
        <f t="shared" si="6"/>
        <v>(E14+H14)</v>
      </c>
      <c r="L14" s="52" t="s">
        <v>293</v>
      </c>
      <c r="M14" s="11" t="str">
        <f t="shared" si="7"/>
        <v>SUMIF(CEN_Energia!B:B,ReliquidacionCEN!B14,CEN_Energia!Z:Z)</v>
      </c>
      <c r="N14" s="11" t="str">
        <f t="shared" si="8"/>
        <v>SUMIF(CEN_Energia!B:B,ReliquidacionCEN!B14,CEN_Energia!BK:BK)</v>
      </c>
      <c r="O14" s="12" t="str">
        <f t="shared" si="9"/>
        <v>IFERROR((N14/M14),0)</v>
      </c>
      <c r="P14" s="13" t="str">
        <f t="shared" si="10"/>
        <v>SUMIF(CEN_Potencia!B:B,ReliquidacionCEN!B14,CEN_Potencia!R:R)</v>
      </c>
      <c r="Q14" s="11" t="str">
        <f t="shared" si="11"/>
        <v>SUMIF(CEN_Potencia!B:B,ReliquidacionCEN!B14,CEN_Potencia!BC:BC)</v>
      </c>
      <c r="R14" s="12" t="str">
        <f t="shared" si="12"/>
        <v>IFERROR((Q14/P14),0)</v>
      </c>
      <c r="S14" s="11" t="str">
        <f t="shared" si="13"/>
        <v>(N14+Q14)</v>
      </c>
      <c r="U14" s="39">
        <v>44256</v>
      </c>
      <c r="V14" s="28" t="str">
        <f t="shared" si="14"/>
        <v>(S14-J14)</v>
      </c>
      <c r="W14" s="52" t="s">
        <v>479</v>
      </c>
      <c r="X14" s="29">
        <v>44600</v>
      </c>
      <c r="Y14" s="30">
        <v>3.2800000000000003E-2</v>
      </c>
      <c r="Z14" s="31">
        <v>44280</v>
      </c>
      <c r="AA14" s="31">
        <f t="shared" si="15"/>
        <v>44651</v>
      </c>
      <c r="AB14" s="32" t="str">
        <f t="shared" si="16"/>
        <v>(AA14-Z14)</v>
      </c>
      <c r="AC14" s="32" t="str">
        <f t="shared" si="17"/>
        <v>(1+Y14)^(AB14/360)-1</v>
      </c>
      <c r="AD14" s="52" t="str">
        <f t="shared" si="18"/>
        <v>(AC14*V14)</v>
      </c>
      <c r="AE14" s="32" t="str">
        <f t="shared" si="19"/>
        <v>(V14+AD14)</v>
      </c>
    </row>
    <row r="15" spans="1:31" ht="15.75" thickBot="1" x14ac:dyDescent="0.3">
      <c r="Z15" s="1"/>
      <c r="AD15" s="53" t="s">
        <v>70</v>
      </c>
      <c r="AE15" s="54" t="str">
        <f>CONCATENATE("SUM(AE9:AE14)")</f>
        <v>SUM(AE9:AE14)</v>
      </c>
    </row>
    <row r="17" spans="29:31" x14ac:dyDescent="0.25">
      <c r="AC17" s="18" t="s">
        <v>72</v>
      </c>
      <c r="AD17" s="19" t="s">
        <v>329</v>
      </c>
      <c r="AE17" s="20"/>
    </row>
    <row r="18" spans="29:31" x14ac:dyDescent="0.25">
      <c r="AC18" s="21" t="s">
        <v>73</v>
      </c>
      <c r="AD18" s="14" t="s">
        <v>330</v>
      </c>
      <c r="AE18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6649-A117-470D-BD2D-BE8613BE2F5A}">
  <dimension ref="A2:H15"/>
  <sheetViews>
    <sheetView workbookViewId="0">
      <selection activeCell="C13" sqref="C13"/>
    </sheetView>
  </sheetViews>
  <sheetFormatPr baseColWidth="10" defaultRowHeight="15" x14ac:dyDescent="0.25"/>
  <cols>
    <col min="1" max="1" width="11.5703125" style="41" bestFit="1" customWidth="1"/>
    <col min="2" max="2" width="18.28515625" style="5" bestFit="1" customWidth="1"/>
    <col min="3" max="3" width="13.85546875" style="5" bestFit="1" customWidth="1"/>
    <col min="4" max="4" width="50.5703125" style="5" bestFit="1" customWidth="1"/>
    <col min="5" max="5" width="56.42578125" bestFit="1" customWidth="1"/>
    <col min="6" max="6" width="60" customWidth="1"/>
    <col min="7" max="7" width="58.85546875" bestFit="1" customWidth="1"/>
    <col min="8" max="8" width="63.5703125" bestFit="1" customWidth="1"/>
  </cols>
  <sheetData>
    <row r="2" spans="1:8" x14ac:dyDescent="0.25">
      <c r="A2" s="6" t="s">
        <v>60</v>
      </c>
      <c r="B2" s="33" t="s">
        <v>96</v>
      </c>
    </row>
    <row r="3" spans="1:8" x14ac:dyDescent="0.25">
      <c r="A3" s="7" t="s">
        <v>61</v>
      </c>
      <c r="B3" s="34" t="s">
        <v>97</v>
      </c>
    </row>
    <row r="4" spans="1:8" x14ac:dyDescent="0.25">
      <c r="A4" s="7" t="s">
        <v>45</v>
      </c>
      <c r="B4" s="63" t="s">
        <v>65</v>
      </c>
    </row>
    <row r="5" spans="1:8" x14ac:dyDescent="0.25">
      <c r="A5" s="9" t="s">
        <v>42</v>
      </c>
      <c r="B5" s="35" t="s">
        <v>98</v>
      </c>
    </row>
    <row r="7" spans="1:8" ht="14.45" customHeight="1" x14ac:dyDescent="0.25">
      <c r="C7" s="64"/>
      <c r="D7" s="65"/>
      <c r="E7" s="66"/>
      <c r="F7" s="66"/>
      <c r="G7" s="67"/>
      <c r="H7" s="67"/>
    </row>
    <row r="8" spans="1:8" s="3" customFormat="1" x14ac:dyDescent="0.25">
      <c r="A8" s="68" t="s">
        <v>299</v>
      </c>
      <c r="B8" s="68" t="s">
        <v>298</v>
      </c>
      <c r="C8" s="68" t="s">
        <v>296</v>
      </c>
      <c r="D8" s="68" t="s">
        <v>460</v>
      </c>
      <c r="E8" s="68" t="s">
        <v>461</v>
      </c>
      <c r="F8" s="68" t="s">
        <v>462</v>
      </c>
      <c r="G8" s="68" t="s">
        <v>463</v>
      </c>
      <c r="H8" s="68" t="s">
        <v>464</v>
      </c>
    </row>
    <row r="9" spans="1:8" x14ac:dyDescent="0.25">
      <c r="A9" s="42">
        <v>9</v>
      </c>
      <c r="B9" s="39">
        <v>44105</v>
      </c>
      <c r="C9" s="52" t="s">
        <v>290</v>
      </c>
      <c r="D9" s="69" t="str">
        <f t="shared" ref="D9:D11" si="0">CONCATENATE("SUMIF(","SIGGE_E!B:B,ResumenRetiros!B",A9,",","SIGGE_E","!S:S)")</f>
        <v>SUMIF(SIGGE_E!B:B,ResumenRetiros!B9,SIGGE_E!S:S)</v>
      </c>
      <c r="E9" s="69" t="str">
        <f t="shared" ref="E9:E11" si="1">CONCATENATE("SUMIF(","EFACT_CNE","!B:B,ResumenRetiros!B",A9,",","EFACT_CNE","!S:S)")</f>
        <v>SUMIF(EFACT_CNE!B:B,ResumenRetiros!B9,EFACT_CNE!S:S)</v>
      </c>
      <c r="F9" s="69" t="str">
        <f t="shared" ref="F9:F11" si="2">CONCATENATE("SUMIF(","EfactCNE_BT","!B:B,ResumenRetiros!B",A9,",","EfactCNE_BT","!M:M)")</f>
        <v>SUMIF(EfactCNE_BT!B:B,ResumenRetiros!B9,EfactCNE_BT!M:M)</v>
      </c>
      <c r="G9" s="69" t="str">
        <f t="shared" ref="G9:G11" si="3">CONCATENATE("SUMIF(CEN_Energia!B:B,ResumenRetiros!B",A9,",CEN_Energia!Z:Z)")</f>
        <v>SUMIF(CEN_Energia!B:B,ResumenRetiros!B9,CEN_Energia!Z:Z)</v>
      </c>
      <c r="H9" s="69" t="str">
        <f>CONCATENATE("SUMIF(CEN_EnergiaBT!B:B,ResumenRetiros!B",A9,",CEN_EnergiaBT!K:K)")</f>
        <v>SUMIF(CEN_EnergiaBT!B:B,ResumenRetiros!B9,CEN_EnergiaBT!K:K)</v>
      </c>
    </row>
    <row r="10" spans="1:8" x14ac:dyDescent="0.25">
      <c r="A10" s="42">
        <f>A9+1</f>
        <v>10</v>
      </c>
      <c r="B10" s="39">
        <v>44136</v>
      </c>
      <c r="C10" s="52" t="s">
        <v>290</v>
      </c>
      <c r="D10" s="69" t="str">
        <f t="shared" si="0"/>
        <v>SUMIF(SIGGE_E!B:B,ResumenRetiros!B10,SIGGE_E!S:S)</v>
      </c>
      <c r="E10" s="69" t="str">
        <f t="shared" si="1"/>
        <v>SUMIF(EFACT_CNE!B:B,ResumenRetiros!B10,EFACT_CNE!S:S)</v>
      </c>
      <c r="F10" s="69" t="str">
        <f t="shared" si="2"/>
        <v>SUMIF(EfactCNE_BT!B:B,ResumenRetiros!B10,EfactCNE_BT!M:M)</v>
      </c>
      <c r="G10" s="69" t="str">
        <f t="shared" si="3"/>
        <v>SUMIF(CEN_Energia!B:B,ResumenRetiros!B10,CEN_Energia!Z:Z)</v>
      </c>
      <c r="H10" s="69" t="str">
        <f t="shared" ref="H10:H14" si="4">CONCATENATE("SUMIF(CEN_EnergiaBT!B:B,ResumenRetiros!B",A10,",CEN_EnergiaBT!K:K)")</f>
        <v>SUMIF(CEN_EnergiaBT!B:B,ResumenRetiros!B10,CEN_EnergiaBT!K:K)</v>
      </c>
    </row>
    <row r="11" spans="1:8" x14ac:dyDescent="0.25">
      <c r="A11" s="42">
        <f t="shared" ref="A11:A14" si="5">A10+1</f>
        <v>11</v>
      </c>
      <c r="B11" s="39">
        <v>44166</v>
      </c>
      <c r="C11" s="52" t="s">
        <v>290</v>
      </c>
      <c r="D11" s="69" t="str">
        <f t="shared" si="0"/>
        <v>SUMIF(SIGGE_E!B:B,ResumenRetiros!B11,SIGGE_E!S:S)</v>
      </c>
      <c r="E11" s="69" t="str">
        <f t="shared" si="1"/>
        <v>SUMIF(EFACT_CNE!B:B,ResumenRetiros!B11,EFACT_CNE!S:S)</v>
      </c>
      <c r="F11" s="69" t="str">
        <f t="shared" si="2"/>
        <v>SUMIF(EfactCNE_BT!B:B,ResumenRetiros!B11,EfactCNE_BT!M:M)</v>
      </c>
      <c r="G11" s="69" t="str">
        <f t="shared" si="3"/>
        <v>SUMIF(CEN_Energia!B:B,ResumenRetiros!B11,CEN_Energia!Z:Z)</v>
      </c>
      <c r="H11" s="69" t="str">
        <f t="shared" si="4"/>
        <v>SUMIF(CEN_EnergiaBT!B:B,ResumenRetiros!B11,CEN_EnergiaBT!K:K)</v>
      </c>
    </row>
    <row r="12" spans="1:8" x14ac:dyDescent="0.25">
      <c r="A12" s="42">
        <f t="shared" si="5"/>
        <v>12</v>
      </c>
      <c r="B12" s="39">
        <v>44197</v>
      </c>
      <c r="C12" s="52" t="s">
        <v>290</v>
      </c>
      <c r="D12" s="69" t="str">
        <f t="shared" ref="D12:D14" si="6">CONCATENATE("SUMIF(","SIGGE_E!B:B,ResumenRetiros!B",A12,",","SIGGE_E","!S:S)")</f>
        <v>SUMIF(SIGGE_E!B:B,ResumenRetiros!B12,SIGGE_E!S:S)</v>
      </c>
      <c r="E12" s="69" t="str">
        <f t="shared" ref="E12:E14" si="7">CONCATENATE("SUMIF(","EFACT_CNE","!B:B,ResumenRetiros!B",A12,",","EFACT_CNE","!S:S)")</f>
        <v>SUMIF(EFACT_CNE!B:B,ResumenRetiros!B12,EFACT_CNE!S:S)</v>
      </c>
      <c r="F12" s="69" t="str">
        <f t="shared" ref="F12:F14" si="8">CONCATENATE("SUMIF(","EfactCNE_BT","!B:B,ResumenRetiros!B",A12,",","EfactCNE_BT","!M:M)")</f>
        <v>SUMIF(EfactCNE_BT!B:B,ResumenRetiros!B12,EfactCNE_BT!M:M)</v>
      </c>
      <c r="G12" s="69" t="str">
        <f t="shared" ref="G12:G14" si="9">CONCATENATE("SUMIF(CEN_Energia!B:B,ResumenRetiros!B",A12,",CEN_Energia!Z:Z)")</f>
        <v>SUMIF(CEN_Energia!B:B,ResumenRetiros!B12,CEN_Energia!Z:Z)</v>
      </c>
      <c r="H12" s="69" t="str">
        <f t="shared" si="4"/>
        <v>SUMIF(CEN_EnergiaBT!B:B,ResumenRetiros!B12,CEN_EnergiaBT!K:K)</v>
      </c>
    </row>
    <row r="13" spans="1:8" x14ac:dyDescent="0.25">
      <c r="A13" s="42">
        <f t="shared" si="5"/>
        <v>13</v>
      </c>
      <c r="B13" s="39">
        <v>44228</v>
      </c>
      <c r="C13" s="52" t="s">
        <v>290</v>
      </c>
      <c r="D13" s="69" t="str">
        <f t="shared" si="6"/>
        <v>SUMIF(SIGGE_E!B:B,ResumenRetiros!B13,SIGGE_E!S:S)</v>
      </c>
      <c r="E13" s="69" t="str">
        <f t="shared" si="7"/>
        <v>SUMIF(EFACT_CNE!B:B,ResumenRetiros!B13,EFACT_CNE!S:S)</v>
      </c>
      <c r="F13" s="69" t="str">
        <f t="shared" si="8"/>
        <v>SUMIF(EfactCNE_BT!B:B,ResumenRetiros!B13,EfactCNE_BT!M:M)</v>
      </c>
      <c r="G13" s="69" t="str">
        <f t="shared" si="9"/>
        <v>SUMIF(CEN_Energia!B:B,ResumenRetiros!B13,CEN_Energia!Z:Z)</v>
      </c>
      <c r="H13" s="69" t="str">
        <f t="shared" si="4"/>
        <v>SUMIF(CEN_EnergiaBT!B:B,ResumenRetiros!B13,CEN_EnergiaBT!K:K)</v>
      </c>
    </row>
    <row r="14" spans="1:8" x14ac:dyDescent="0.25">
      <c r="A14" s="42">
        <f t="shared" si="5"/>
        <v>14</v>
      </c>
      <c r="B14" s="39">
        <v>44256</v>
      </c>
      <c r="C14" s="52" t="s">
        <v>290</v>
      </c>
      <c r="D14" s="69" t="str">
        <f t="shared" si="6"/>
        <v>SUMIF(SIGGE_E!B:B,ResumenRetiros!B14,SIGGE_E!S:S)</v>
      </c>
      <c r="E14" s="69" t="str">
        <f t="shared" si="7"/>
        <v>SUMIF(EFACT_CNE!B:B,ResumenRetiros!B14,EFACT_CNE!S:S)</v>
      </c>
      <c r="F14" s="69" t="str">
        <f t="shared" si="8"/>
        <v>SUMIF(EfactCNE_BT!B:B,ResumenRetiros!B14,EfactCNE_BT!M:M)</v>
      </c>
      <c r="G14" s="69" t="str">
        <f t="shared" si="9"/>
        <v>SUMIF(CEN_Energia!B:B,ResumenRetiros!B14,CEN_Energia!Z:Z)</v>
      </c>
      <c r="H14" s="69" t="str">
        <f t="shared" si="4"/>
        <v>SUMIF(CEN_EnergiaBT!B:B,ResumenRetiros!B14,CEN_EnergiaBT!K:K)</v>
      </c>
    </row>
    <row r="15" spans="1:8" x14ac:dyDescent="0.25">
      <c r="D15" s="52" t="str">
        <f>CONCATENATE("SUM(D9:D14)")</f>
        <v>SUM(D9:D14)</v>
      </c>
      <c r="E15" s="52" t="str">
        <f>CONCATENATE("SUM(E9:E14)")</f>
        <v>SUM(E9:E14)</v>
      </c>
      <c r="F15" s="52" t="str">
        <f>CONCATENATE("SUM(F9:F14)")</f>
        <v>SUM(F9:F14)</v>
      </c>
      <c r="G15" s="52" t="str">
        <f>CONCATENATE("SUM(G9:G14)")</f>
        <v>SUM(G9:G14)</v>
      </c>
      <c r="H15" s="52" t="str">
        <f>CONCATENATE("SUM(H9:H14)")</f>
        <v>SUM(H9:H14)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topLeftCell="C1" zoomScale="60" zoomScaleNormal="60" workbookViewId="0">
      <selection activeCell="V1" sqref="V1:V1048576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7" t="s">
        <v>29</v>
      </c>
      <c r="B1" s="37" t="s">
        <v>1</v>
      </c>
      <c r="C1" s="37" t="s">
        <v>30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  <c r="I1" s="37" t="s">
        <v>39</v>
      </c>
      <c r="J1" s="37" t="s">
        <v>40</v>
      </c>
      <c r="K1" s="37" t="s">
        <v>41</v>
      </c>
      <c r="L1" s="37" t="s">
        <v>42</v>
      </c>
      <c r="M1" s="37" t="s">
        <v>43</v>
      </c>
      <c r="N1" s="37" t="s">
        <v>44</v>
      </c>
      <c r="O1" s="37" t="s">
        <v>45</v>
      </c>
      <c r="P1" s="37" t="s">
        <v>46</v>
      </c>
      <c r="Q1" s="37" t="s">
        <v>31</v>
      </c>
      <c r="R1" s="37" t="s">
        <v>32</v>
      </c>
      <c r="S1" s="37" t="s">
        <v>18</v>
      </c>
      <c r="T1" s="37" t="s">
        <v>19</v>
      </c>
      <c r="U1" s="37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5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5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5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5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5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5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5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5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5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5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5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5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5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5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5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5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5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5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5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5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5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5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5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5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5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5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5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5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5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5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5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5">
        <v>43913.49763888889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351</v>
      </c>
      <c r="V33" t="s">
        <v>351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5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351</v>
      </c>
      <c r="V34" t="s">
        <v>351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5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5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351</v>
      </c>
      <c r="V36" t="s">
        <v>351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5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351</v>
      </c>
      <c r="V37" t="s">
        <v>351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5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5">
        <v>43913.49763888889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351</v>
      </c>
      <c r="V39" t="s">
        <v>351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5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351</v>
      </c>
      <c r="V40" t="s">
        <v>351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5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5">
        <v>43913.49763888889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351</v>
      </c>
      <c r="V42" t="s">
        <v>351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5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351</v>
      </c>
      <c r="V43" t="s">
        <v>351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5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5">
        <v>43913.49763888889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351</v>
      </c>
      <c r="V45" t="s">
        <v>351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5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351</v>
      </c>
      <c r="V46" t="s">
        <v>351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5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5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351</v>
      </c>
      <c r="V48" t="s">
        <v>351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5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351</v>
      </c>
      <c r="V49" t="s">
        <v>351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5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351</v>
      </c>
      <c r="T50" t="s">
        <v>351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5">
        <v>43915.631481481483</v>
      </c>
      <c r="H51">
        <v>61</v>
      </c>
      <c r="I51" t="s">
        <v>351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351</v>
      </c>
      <c r="V51" t="s">
        <v>351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5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351</v>
      </c>
      <c r="V52" t="s">
        <v>351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5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351</v>
      </c>
      <c r="T53" t="s">
        <v>351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5">
        <v>43915.631481481483</v>
      </c>
      <c r="H54">
        <v>61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351</v>
      </c>
      <c r="V54" t="s">
        <v>351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5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351</v>
      </c>
      <c r="V55" t="s">
        <v>351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5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351</v>
      </c>
      <c r="T56" t="s">
        <v>351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5">
        <v>43915.631481481483</v>
      </c>
      <c r="H57">
        <v>61</v>
      </c>
      <c r="I57" t="s">
        <v>351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351</v>
      </c>
      <c r="V57" t="s">
        <v>351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5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351</v>
      </c>
      <c r="V58" t="s">
        <v>351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5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351</v>
      </c>
      <c r="T59" t="s">
        <v>351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5">
        <v>43915.631481481483</v>
      </c>
      <c r="H60">
        <v>61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351</v>
      </c>
      <c r="V60" t="s">
        <v>351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5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351</v>
      </c>
      <c r="V61" t="s">
        <v>351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5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5">
        <v>43693</v>
      </c>
      <c r="H63">
        <v>33</v>
      </c>
      <c r="I63" t="s">
        <v>351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351</v>
      </c>
      <c r="V63" t="s">
        <v>351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5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351</v>
      </c>
      <c r="V64" t="s">
        <v>351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5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351</v>
      </c>
      <c r="T65" t="s">
        <v>351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5">
        <v>43693</v>
      </c>
      <c r="H66">
        <v>33</v>
      </c>
      <c r="I66" t="s">
        <v>351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351</v>
      </c>
      <c r="V66" t="s">
        <v>351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5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351</v>
      </c>
      <c r="V67" t="s">
        <v>351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5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351</v>
      </c>
      <c r="T68" t="s">
        <v>351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5">
        <v>43693</v>
      </c>
      <c r="H69">
        <v>33</v>
      </c>
      <c r="I69" t="s">
        <v>351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351</v>
      </c>
      <c r="V69" t="s">
        <v>351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5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351</v>
      </c>
      <c r="V70" t="s">
        <v>351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5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351</v>
      </c>
      <c r="T71" t="s">
        <v>351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5">
        <v>43693</v>
      </c>
      <c r="H72">
        <v>33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351</v>
      </c>
      <c r="V72" t="s">
        <v>351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5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351</v>
      </c>
      <c r="V73" t="s">
        <v>351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5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351</v>
      </c>
      <c r="T74" t="s">
        <v>351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5">
        <v>43693</v>
      </c>
      <c r="H75">
        <v>33</v>
      </c>
      <c r="I75" t="s">
        <v>351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351</v>
      </c>
      <c r="V75" t="s">
        <v>351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5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351</v>
      </c>
      <c r="V76" t="s">
        <v>351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5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5">
        <v>43914.908402777779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351</v>
      </c>
      <c r="V78" t="s">
        <v>351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5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351</v>
      </c>
      <c r="V79" t="s">
        <v>351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5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351</v>
      </c>
      <c r="T80" t="s">
        <v>351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5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351</v>
      </c>
      <c r="V81" t="s">
        <v>351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5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351</v>
      </c>
      <c r="T82" t="s">
        <v>351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5">
        <v>43914.908402777779</v>
      </c>
      <c r="H83">
        <v>61</v>
      </c>
      <c r="I83" t="s">
        <v>351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351</v>
      </c>
      <c r="V83" t="s">
        <v>351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5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351</v>
      </c>
      <c r="V84" t="s">
        <v>351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5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5">
        <v>43914.908402777779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351</v>
      </c>
      <c r="V86" t="s">
        <v>351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5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351</v>
      </c>
      <c r="V87" t="s">
        <v>351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5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351</v>
      </c>
      <c r="T88" t="s">
        <v>351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5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351</v>
      </c>
      <c r="V89" t="s">
        <v>351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5">
        <v>43915.393750000003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351</v>
      </c>
      <c r="V90" t="s">
        <v>351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5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351</v>
      </c>
      <c r="V91" t="s">
        <v>351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5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5">
        <v>43915.393750000003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351</v>
      </c>
      <c r="V93" t="s">
        <v>351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5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351</v>
      </c>
      <c r="V94" t="s">
        <v>351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5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351</v>
      </c>
      <c r="T95" t="s">
        <v>351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5">
        <v>43915.393750000003</v>
      </c>
      <c r="H96">
        <v>61</v>
      </c>
      <c r="I96" t="s">
        <v>351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351</v>
      </c>
      <c r="V96" t="s">
        <v>351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5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351</v>
      </c>
      <c r="V97" t="s">
        <v>351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5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351</v>
      </c>
      <c r="T98" t="s">
        <v>351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5">
        <v>43915.393750000003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351</v>
      </c>
      <c r="V99" t="s">
        <v>351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5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351</v>
      </c>
      <c r="V100" t="s">
        <v>351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5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351</v>
      </c>
      <c r="T101" t="s">
        <v>351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5">
        <v>43915.393750000003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351</v>
      </c>
      <c r="V102" t="s">
        <v>351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5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351</v>
      </c>
      <c r="V103" t="s">
        <v>351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5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351</v>
      </c>
      <c r="T104" t="s">
        <v>351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5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351</v>
      </c>
      <c r="V105" t="s">
        <v>351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5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351</v>
      </c>
      <c r="T106" t="s">
        <v>351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5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351</v>
      </c>
      <c r="V107" t="s">
        <v>351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5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5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351</v>
      </c>
      <c r="V109" t="s">
        <v>351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5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351</v>
      </c>
      <c r="T110" t="s">
        <v>351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5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351</v>
      </c>
      <c r="V111" t="s">
        <v>351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5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351</v>
      </c>
      <c r="T112" t="s">
        <v>351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5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351</v>
      </c>
      <c r="V113" t="s">
        <v>351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5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351</v>
      </c>
      <c r="T114" t="s">
        <v>351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5">
        <v>43944.47278935185</v>
      </c>
      <c r="H115">
        <v>61</v>
      </c>
      <c r="I115" t="s">
        <v>351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351</v>
      </c>
      <c r="V115" t="s">
        <v>351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5">
        <v>43944.47278935185</v>
      </c>
      <c r="H116">
        <v>61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351</v>
      </c>
      <c r="T116" t="s">
        <v>351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5">
        <v>43944.47278935185</v>
      </c>
      <c r="H117">
        <v>61</v>
      </c>
      <c r="I117" t="s">
        <v>351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5">
        <v>43944.47278935185</v>
      </c>
      <c r="H118">
        <v>61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351</v>
      </c>
      <c r="V118" t="s">
        <v>351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5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351</v>
      </c>
      <c r="T119" t="s">
        <v>351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5">
        <v>43812</v>
      </c>
      <c r="H120">
        <v>61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351</v>
      </c>
      <c r="V120" t="s">
        <v>351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5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351</v>
      </c>
      <c r="V121" t="s">
        <v>351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5">
        <v>43944.47278935185</v>
      </c>
      <c r="H122">
        <v>61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351</v>
      </c>
      <c r="V122" t="s">
        <v>351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5">
        <v>43944.47278935185</v>
      </c>
      <c r="H123">
        <v>61</v>
      </c>
      <c r="I123" t="s">
        <v>351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5">
        <v>43944.47278935185</v>
      </c>
      <c r="H124">
        <v>61</v>
      </c>
      <c r="I124" t="s">
        <v>351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351</v>
      </c>
      <c r="T124" t="s">
        <v>351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5">
        <v>43944.47278935185</v>
      </c>
      <c r="H125">
        <v>61</v>
      </c>
      <c r="I125" t="s">
        <v>351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351</v>
      </c>
      <c r="V125" t="s">
        <v>351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5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351</v>
      </c>
      <c r="T126" t="s">
        <v>351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5">
        <v>43812</v>
      </c>
      <c r="H127">
        <v>61</v>
      </c>
      <c r="I127" t="s">
        <v>351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351</v>
      </c>
      <c r="V127" t="s">
        <v>351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5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351</v>
      </c>
      <c r="V128" t="s">
        <v>351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5">
        <v>43944.47278935185</v>
      </c>
      <c r="H129">
        <v>61</v>
      </c>
      <c r="I129" t="s">
        <v>351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351</v>
      </c>
      <c r="V129" t="s">
        <v>351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5">
        <v>43944.47278935185</v>
      </c>
      <c r="H130">
        <v>61</v>
      </c>
      <c r="I130" t="s">
        <v>351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351</v>
      </c>
      <c r="T130" t="s">
        <v>351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5">
        <v>43944.47278935185</v>
      </c>
      <c r="H131">
        <v>61</v>
      </c>
      <c r="I131" t="s">
        <v>351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351</v>
      </c>
      <c r="T131" t="s">
        <v>351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5">
        <v>43944.47278935185</v>
      </c>
      <c r="H132">
        <v>61</v>
      </c>
      <c r="I132" t="s">
        <v>351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351</v>
      </c>
      <c r="V132" t="s">
        <v>351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5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351</v>
      </c>
      <c r="T133" t="s">
        <v>351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5">
        <v>43812</v>
      </c>
      <c r="H134">
        <v>61</v>
      </c>
      <c r="I134" t="s">
        <v>351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351</v>
      </c>
      <c r="V134" t="s">
        <v>351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5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351</v>
      </c>
      <c r="V135" t="s">
        <v>351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5">
        <v>43944.47278935185</v>
      </c>
      <c r="H136">
        <v>61</v>
      </c>
      <c r="I136" t="s">
        <v>351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351</v>
      </c>
      <c r="V136" t="s">
        <v>351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5">
        <v>43944.47278935185</v>
      </c>
      <c r="H137">
        <v>61</v>
      </c>
      <c r="I137" t="s">
        <v>351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351</v>
      </c>
      <c r="T137" t="s">
        <v>351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5">
        <v>43944.47278935185</v>
      </c>
      <c r="H138">
        <v>61</v>
      </c>
      <c r="I138" t="s">
        <v>351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351</v>
      </c>
      <c r="T138" t="s">
        <v>351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5">
        <v>43944.47278935185</v>
      </c>
      <c r="H139">
        <v>61</v>
      </c>
      <c r="I139" t="s">
        <v>351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351</v>
      </c>
      <c r="V139" t="s">
        <v>351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5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351</v>
      </c>
      <c r="T140" t="s">
        <v>351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5">
        <v>43812</v>
      </c>
      <c r="H141">
        <v>61</v>
      </c>
      <c r="I141" t="s">
        <v>351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351</v>
      </c>
      <c r="V141" t="s">
        <v>351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5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351</v>
      </c>
      <c r="V142" t="s">
        <v>351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5">
        <v>43944.47278935185</v>
      </c>
      <c r="H143">
        <v>61</v>
      </c>
      <c r="I143" t="s">
        <v>351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351</v>
      </c>
      <c r="V143" t="s">
        <v>351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5">
        <v>43944.47278935185</v>
      </c>
      <c r="H144">
        <v>61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351</v>
      </c>
      <c r="T144" t="s">
        <v>351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5">
        <v>43944.47278935185</v>
      </c>
      <c r="H145">
        <v>61</v>
      </c>
      <c r="I145" t="s">
        <v>351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351</v>
      </c>
      <c r="T145" t="s">
        <v>351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5">
        <v>43944.47278935185</v>
      </c>
      <c r="H146">
        <v>61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351</v>
      </c>
      <c r="V146" t="s">
        <v>351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5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351</v>
      </c>
      <c r="T147" t="s">
        <v>351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5">
        <v>43812</v>
      </c>
      <c r="H148">
        <v>61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351</v>
      </c>
      <c r="V148" t="s">
        <v>351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5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351</v>
      </c>
      <c r="V149" t="s">
        <v>351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5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351</v>
      </c>
      <c r="T150" t="s">
        <v>351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5">
        <v>43837</v>
      </c>
      <c r="H151">
        <v>61</v>
      </c>
      <c r="I151" t="s">
        <v>351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351</v>
      </c>
      <c r="V151" t="s">
        <v>351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5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351</v>
      </c>
      <c r="V152" t="s">
        <v>351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5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351</v>
      </c>
      <c r="T153" t="s">
        <v>351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5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351</v>
      </c>
      <c r="V154" t="s">
        <v>351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5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351</v>
      </c>
      <c r="T155" t="s">
        <v>351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5">
        <v>43837</v>
      </c>
      <c r="H156">
        <v>61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351</v>
      </c>
      <c r="V156" t="s">
        <v>351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5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351</v>
      </c>
      <c r="V157" t="s">
        <v>351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5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351</v>
      </c>
      <c r="T158" t="s">
        <v>351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5">
        <v>43837</v>
      </c>
      <c r="H159">
        <v>61</v>
      </c>
      <c r="I159" t="s">
        <v>351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351</v>
      </c>
      <c r="V159" t="s">
        <v>351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5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351</v>
      </c>
      <c r="V160" t="s">
        <v>351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5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351</v>
      </c>
      <c r="T161" t="s">
        <v>351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5">
        <v>43837</v>
      </c>
      <c r="H162">
        <v>61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351</v>
      </c>
      <c r="V162" t="s">
        <v>351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5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351</v>
      </c>
      <c r="V163" t="s">
        <v>351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5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351</v>
      </c>
      <c r="T164" t="s">
        <v>351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5">
        <v>43928.729247685187</v>
      </c>
      <c r="H165">
        <v>33</v>
      </c>
      <c r="I165" t="s">
        <v>351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351</v>
      </c>
      <c r="V165" t="s">
        <v>351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5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351</v>
      </c>
      <c r="V166" t="s">
        <v>351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5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351</v>
      </c>
      <c r="T167" t="s">
        <v>351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5">
        <v>43928.729247685187</v>
      </c>
      <c r="H168">
        <v>33</v>
      </c>
      <c r="I168" t="s">
        <v>351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351</v>
      </c>
      <c r="V168" t="s">
        <v>351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5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351</v>
      </c>
      <c r="V169" t="s">
        <v>351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5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351</v>
      </c>
      <c r="T170" t="s">
        <v>351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5">
        <v>43928.729247685187</v>
      </c>
      <c r="H171">
        <v>33</v>
      </c>
      <c r="I171" t="s">
        <v>351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351</v>
      </c>
      <c r="V171" t="s">
        <v>351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5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351</v>
      </c>
      <c r="V172" t="s">
        <v>351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5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351</v>
      </c>
      <c r="T173" t="s">
        <v>351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5">
        <v>43928.729247685187</v>
      </c>
      <c r="H174">
        <v>33</v>
      </c>
      <c r="I174" t="s">
        <v>351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351</v>
      </c>
      <c r="V174" t="s">
        <v>351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5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351</v>
      </c>
      <c r="V175" t="s">
        <v>351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5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351</v>
      </c>
      <c r="T176" t="s">
        <v>351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5">
        <v>43928.729247685187</v>
      </c>
      <c r="H177">
        <v>33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351</v>
      </c>
      <c r="V177" t="s">
        <v>351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5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351</v>
      </c>
      <c r="V178" t="s">
        <v>351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5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351</v>
      </c>
      <c r="T179" t="s">
        <v>351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5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351</v>
      </c>
      <c r="V180" t="s">
        <v>351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5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351</v>
      </c>
      <c r="V181" t="s">
        <v>351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5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351</v>
      </c>
      <c r="T182" t="s">
        <v>351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5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351</v>
      </c>
      <c r="V183" t="s">
        <v>351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5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351</v>
      </c>
      <c r="V184" t="s">
        <v>351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5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351</v>
      </c>
      <c r="T185" t="s">
        <v>351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5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351</v>
      </c>
      <c r="V186" t="s">
        <v>351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5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351</v>
      </c>
      <c r="V187" t="s">
        <v>351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5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351</v>
      </c>
      <c r="T188" t="s">
        <v>351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5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351</v>
      </c>
      <c r="V189" t="s">
        <v>351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5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351</v>
      </c>
      <c r="V190" t="s">
        <v>351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5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351</v>
      </c>
      <c r="T191" t="s">
        <v>351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5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351</v>
      </c>
      <c r="V192" t="s">
        <v>351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5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351</v>
      </c>
      <c r="V193" t="s">
        <v>351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5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351</v>
      </c>
      <c r="T194" t="s">
        <v>351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5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351</v>
      </c>
      <c r="V195" t="s">
        <v>351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5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351</v>
      </c>
      <c r="V196" t="s">
        <v>351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5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351</v>
      </c>
      <c r="T197" t="s">
        <v>351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5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351</v>
      </c>
      <c r="V198" t="s">
        <v>351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5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351</v>
      </c>
      <c r="V199" t="s">
        <v>351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5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351</v>
      </c>
      <c r="T200" t="s">
        <v>351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5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351</v>
      </c>
      <c r="V201" t="s">
        <v>351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5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351</v>
      </c>
      <c r="V202" t="s">
        <v>351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5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351</v>
      </c>
      <c r="T203" t="s">
        <v>351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5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351</v>
      </c>
      <c r="V204" t="s">
        <v>351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5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351</v>
      </c>
      <c r="V205" t="s">
        <v>351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5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351</v>
      </c>
      <c r="T206" t="s">
        <v>351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5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351</v>
      </c>
      <c r="V207" t="s">
        <v>351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5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351</v>
      </c>
      <c r="V208" t="s">
        <v>351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5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351</v>
      </c>
      <c r="T209" t="s">
        <v>351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5">
        <v>43970.737210648149</v>
      </c>
      <c r="H210">
        <v>33</v>
      </c>
      <c r="I210" t="s">
        <v>351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351</v>
      </c>
      <c r="V210" t="s">
        <v>351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5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351</v>
      </c>
      <c r="V211" t="s">
        <v>351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5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351</v>
      </c>
      <c r="T212" t="s">
        <v>351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5">
        <v>43970.737210648149</v>
      </c>
      <c r="H213">
        <v>33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351</v>
      </c>
      <c r="V213" t="s">
        <v>351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5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351</v>
      </c>
      <c r="V214" t="s">
        <v>351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5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351</v>
      </c>
      <c r="T215" t="s">
        <v>351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5">
        <v>43970.737210648149</v>
      </c>
      <c r="H216">
        <v>33</v>
      </c>
      <c r="I216" t="s">
        <v>351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351</v>
      </c>
      <c r="V216" t="s">
        <v>351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5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351</v>
      </c>
      <c r="V217" t="s">
        <v>351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5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351</v>
      </c>
      <c r="T218" t="s">
        <v>351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5">
        <v>43970.737210648149</v>
      </c>
      <c r="H219">
        <v>33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351</v>
      </c>
      <c r="V219" t="s">
        <v>351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5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351</v>
      </c>
      <c r="V220" t="s">
        <v>351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5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351</v>
      </c>
      <c r="T221" t="s">
        <v>351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5">
        <v>43970.737210648149</v>
      </c>
      <c r="H222">
        <v>33</v>
      </c>
      <c r="I222" t="s">
        <v>351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351</v>
      </c>
      <c r="V222" t="s">
        <v>351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5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351</v>
      </c>
      <c r="V223" t="s">
        <v>351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5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351</v>
      </c>
      <c r="T224" t="s">
        <v>351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5">
        <v>43992.659548611111</v>
      </c>
      <c r="H225">
        <v>33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351</v>
      </c>
      <c r="V225" t="s">
        <v>351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5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351</v>
      </c>
      <c r="V226" t="s">
        <v>351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5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351</v>
      </c>
      <c r="T227" t="s">
        <v>351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5">
        <v>43992.659548611111</v>
      </c>
      <c r="H228">
        <v>33</v>
      </c>
      <c r="I228" t="s">
        <v>351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351</v>
      </c>
      <c r="V228" t="s">
        <v>351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5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351</v>
      </c>
      <c r="V229" t="s">
        <v>351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5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351</v>
      </c>
      <c r="T230" t="s">
        <v>351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5">
        <v>43992.659548611111</v>
      </c>
      <c r="H231">
        <v>33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351</v>
      </c>
      <c r="V231" t="s">
        <v>351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5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351</v>
      </c>
      <c r="V232" t="s">
        <v>351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5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351</v>
      </c>
      <c r="T233" t="s">
        <v>351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5">
        <v>43992.659548611111</v>
      </c>
      <c r="H234">
        <v>33</v>
      </c>
      <c r="I234" t="s">
        <v>351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351</v>
      </c>
      <c r="V234" t="s">
        <v>351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5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351</v>
      </c>
      <c r="V235" t="s">
        <v>351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5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351</v>
      </c>
      <c r="T236" t="s">
        <v>351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5">
        <v>43992.659548611111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351</v>
      </c>
      <c r="V237" t="s">
        <v>351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5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351</v>
      </c>
      <c r="V238" t="s">
        <v>351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5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351</v>
      </c>
      <c r="T239" t="s">
        <v>351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5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351</v>
      </c>
      <c r="V240" t="s">
        <v>351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5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351</v>
      </c>
      <c r="V241" t="s">
        <v>351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5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351</v>
      </c>
      <c r="T242" t="s">
        <v>351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5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351</v>
      </c>
      <c r="V243" t="s">
        <v>351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5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351</v>
      </c>
      <c r="T244" t="s">
        <v>351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5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351</v>
      </c>
      <c r="V245" t="s">
        <v>351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5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351</v>
      </c>
      <c r="V246" t="s">
        <v>351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5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351</v>
      </c>
      <c r="T247" t="s">
        <v>351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5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351</v>
      </c>
      <c r="V248" t="s">
        <v>351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5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351</v>
      </c>
      <c r="V249" t="s">
        <v>351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5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351</v>
      </c>
      <c r="T250" t="s">
        <v>351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5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351</v>
      </c>
      <c r="V251" t="s">
        <v>351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5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351</v>
      </c>
      <c r="V252" t="s">
        <v>351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5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351</v>
      </c>
      <c r="T253" t="s">
        <v>351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5">
        <v>44057.743877314817</v>
      </c>
      <c r="H254">
        <v>61</v>
      </c>
      <c r="I254" t="s">
        <v>351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351</v>
      </c>
      <c r="V254" t="s">
        <v>351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5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351</v>
      </c>
      <c r="V255" t="s">
        <v>351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5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351</v>
      </c>
      <c r="T256" t="s">
        <v>351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5">
        <v>44057.743877314817</v>
      </c>
      <c r="H257">
        <v>61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351</v>
      </c>
      <c r="V257" t="s">
        <v>351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5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351</v>
      </c>
      <c r="V258" t="s">
        <v>351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5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351</v>
      </c>
      <c r="T259" t="s">
        <v>351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5">
        <v>44057.743877314817</v>
      </c>
      <c r="H260">
        <v>61</v>
      </c>
      <c r="I260" t="s">
        <v>351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351</v>
      </c>
      <c r="V260" t="s">
        <v>351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5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351</v>
      </c>
      <c r="V261" t="s">
        <v>351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5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351</v>
      </c>
      <c r="T262" t="s">
        <v>351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5">
        <v>44057.743877314817</v>
      </c>
      <c r="H263">
        <v>61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351</v>
      </c>
      <c r="V263" t="s">
        <v>351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5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351</v>
      </c>
      <c r="V264" t="s">
        <v>351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5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351</v>
      </c>
      <c r="T265" t="s">
        <v>351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5">
        <v>44057.743877314817</v>
      </c>
      <c r="H266">
        <v>61</v>
      </c>
      <c r="I266" t="s">
        <v>351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351</v>
      </c>
      <c r="V266" t="s">
        <v>351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5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351</v>
      </c>
      <c r="V267" t="s">
        <v>351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5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351</v>
      </c>
      <c r="T268" t="s">
        <v>351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5">
        <v>44082.485532407409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351</v>
      </c>
      <c r="V269" t="s">
        <v>351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5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351</v>
      </c>
      <c r="V270" t="s">
        <v>351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5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351</v>
      </c>
      <c r="T271" t="s">
        <v>351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5">
        <v>44082.485532407409</v>
      </c>
      <c r="H272">
        <v>33</v>
      </c>
      <c r="I272" t="s">
        <v>351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351</v>
      </c>
      <c r="V272" t="s">
        <v>351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5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351</v>
      </c>
      <c r="V273" t="s">
        <v>351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5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351</v>
      </c>
      <c r="T274" t="s">
        <v>351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5">
        <v>44082.485532407409</v>
      </c>
      <c r="H275">
        <v>33</v>
      </c>
      <c r="I275" t="s">
        <v>351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351</v>
      </c>
      <c r="V275" t="s">
        <v>351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5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351</v>
      </c>
      <c r="V276" t="s">
        <v>351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5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351</v>
      </c>
      <c r="T277" t="s">
        <v>351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5">
        <v>44082.485532407409</v>
      </c>
      <c r="H278">
        <v>33</v>
      </c>
      <c r="I278" t="s">
        <v>351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351</v>
      </c>
      <c r="V278" t="s">
        <v>351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5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351</v>
      </c>
      <c r="V279" t="s">
        <v>351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5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351</v>
      </c>
      <c r="T280" t="s">
        <v>351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5">
        <v>44082.485532407409</v>
      </c>
      <c r="H281">
        <v>33</v>
      </c>
      <c r="I281" t="s">
        <v>351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351</v>
      </c>
      <c r="V281" t="s">
        <v>351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5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351</v>
      </c>
      <c r="V282" t="s">
        <v>351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5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351</v>
      </c>
      <c r="T283" t="s">
        <v>351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5">
        <v>44119.739837962959</v>
      </c>
      <c r="H284">
        <v>33</v>
      </c>
      <c r="I284" t="s">
        <v>351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351</v>
      </c>
      <c r="V284" t="s">
        <v>351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5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351</v>
      </c>
      <c r="V285" t="s">
        <v>351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5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351</v>
      </c>
      <c r="T286" t="s">
        <v>351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5">
        <v>44119.739837962959</v>
      </c>
      <c r="H287">
        <v>33</v>
      </c>
      <c r="I287" t="s">
        <v>351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351</v>
      </c>
      <c r="V287" t="s">
        <v>351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5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351</v>
      </c>
      <c r="V288" t="s">
        <v>351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5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351</v>
      </c>
      <c r="T289" t="s">
        <v>351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5">
        <v>44119.739837962959</v>
      </c>
      <c r="H290">
        <v>33</v>
      </c>
      <c r="I290" t="s">
        <v>351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351</v>
      </c>
      <c r="V290" t="s">
        <v>351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5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351</v>
      </c>
      <c r="V291" t="s">
        <v>351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5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351</v>
      </c>
      <c r="T292" t="s">
        <v>351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5">
        <v>44119.739837962959</v>
      </c>
      <c r="H293">
        <v>33</v>
      </c>
      <c r="I293" t="s">
        <v>351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351</v>
      </c>
      <c r="V293" t="s">
        <v>351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5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351</v>
      </c>
      <c r="V294" t="s">
        <v>351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5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351</v>
      </c>
      <c r="T295" t="s">
        <v>351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5">
        <v>44119.739837962959</v>
      </c>
      <c r="H296">
        <v>33</v>
      </c>
      <c r="I296" t="s">
        <v>351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351</v>
      </c>
      <c r="V296" t="s">
        <v>351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5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351</v>
      </c>
      <c r="V297" t="s">
        <v>351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5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351</v>
      </c>
      <c r="T298" t="s">
        <v>351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5">
        <v>44153.723773148151</v>
      </c>
      <c r="H299">
        <v>61</v>
      </c>
      <c r="I299" t="s">
        <v>351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351</v>
      </c>
      <c r="V299" t="s">
        <v>351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5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351</v>
      </c>
      <c r="V300" t="s">
        <v>351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5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351</v>
      </c>
      <c r="T301" t="s">
        <v>351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5">
        <v>44153.723773148151</v>
      </c>
      <c r="H302">
        <v>61</v>
      </c>
      <c r="I302" t="s">
        <v>351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351</v>
      </c>
      <c r="V302" t="s">
        <v>351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5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351</v>
      </c>
      <c r="V303" t="s">
        <v>351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5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351</v>
      </c>
      <c r="T304" t="s">
        <v>351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5">
        <v>44153.723773148151</v>
      </c>
      <c r="H305">
        <v>61</v>
      </c>
      <c r="I305" t="s">
        <v>351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351</v>
      </c>
      <c r="V305" t="s">
        <v>351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5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351</v>
      </c>
      <c r="V306" t="s">
        <v>351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5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351</v>
      </c>
      <c r="T307" t="s">
        <v>351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5">
        <v>44153.723773148151</v>
      </c>
      <c r="H308">
        <v>61</v>
      </c>
      <c r="I308" t="s">
        <v>351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351</v>
      </c>
      <c r="V308" t="s">
        <v>351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5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351</v>
      </c>
      <c r="V309" t="s">
        <v>351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5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351</v>
      </c>
      <c r="T310" t="s">
        <v>351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5">
        <v>44153.723773148151</v>
      </c>
      <c r="H311">
        <v>61</v>
      </c>
      <c r="I311" t="s">
        <v>351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351</v>
      </c>
      <c r="V311" t="s">
        <v>351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5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351</v>
      </c>
      <c r="V312" t="s">
        <v>351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5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351</v>
      </c>
      <c r="T313" t="s">
        <v>351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5">
        <v>44221.697384259256</v>
      </c>
      <c r="H314">
        <v>61</v>
      </c>
      <c r="I314" t="s">
        <v>351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351</v>
      </c>
      <c r="V314" t="s">
        <v>351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5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351</v>
      </c>
      <c r="V315" t="s">
        <v>351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5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351</v>
      </c>
      <c r="T316" t="s">
        <v>351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5">
        <v>44221.697384259256</v>
      </c>
      <c r="H317">
        <v>61</v>
      </c>
      <c r="I317" t="s">
        <v>351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351</v>
      </c>
      <c r="V317" t="s">
        <v>351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5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351</v>
      </c>
      <c r="V318" t="s">
        <v>351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5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351</v>
      </c>
      <c r="T319" t="s">
        <v>351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5">
        <v>44221.697384259256</v>
      </c>
      <c r="H320">
        <v>61</v>
      </c>
      <c r="I320" t="s">
        <v>351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351</v>
      </c>
      <c r="V320" t="s">
        <v>351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5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351</v>
      </c>
      <c r="V321" t="s">
        <v>351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5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351</v>
      </c>
      <c r="T322" t="s">
        <v>351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5">
        <v>44221.697384259256</v>
      </c>
      <c r="H323">
        <v>61</v>
      </c>
      <c r="I323" t="s">
        <v>351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351</v>
      </c>
      <c r="V323" t="s">
        <v>351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5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351</v>
      </c>
      <c r="V324" t="s">
        <v>351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5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351</v>
      </c>
      <c r="T325" t="s">
        <v>351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5">
        <v>44221.697384259256</v>
      </c>
      <c r="H326">
        <v>61</v>
      </c>
      <c r="I326" t="s">
        <v>351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351</v>
      </c>
      <c r="V326" t="s">
        <v>351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5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351</v>
      </c>
      <c r="V327" t="s">
        <v>351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5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351</v>
      </c>
      <c r="T328" t="s">
        <v>351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5">
        <v>44215.508055555554</v>
      </c>
      <c r="H329">
        <v>61</v>
      </c>
      <c r="I329" t="s">
        <v>351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351</v>
      </c>
      <c r="V329" t="s">
        <v>351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5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351</v>
      </c>
      <c r="V330" t="s">
        <v>351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5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351</v>
      </c>
      <c r="T331" t="s">
        <v>351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5">
        <v>44215.508055555554</v>
      </c>
      <c r="H332">
        <v>61</v>
      </c>
      <c r="I332" t="s">
        <v>351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351</v>
      </c>
      <c r="V332" t="s">
        <v>351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5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351</v>
      </c>
      <c r="V333" t="s">
        <v>351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5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351</v>
      </c>
      <c r="T334" t="s">
        <v>351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5">
        <v>44215.508055555554</v>
      </c>
      <c r="H335">
        <v>61</v>
      </c>
      <c r="I335" t="s">
        <v>351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351</v>
      </c>
      <c r="V335" t="s">
        <v>351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5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351</v>
      </c>
      <c r="V336" t="s">
        <v>351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5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351</v>
      </c>
      <c r="T337" t="s">
        <v>351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5">
        <v>44215.508055555554</v>
      </c>
      <c r="H338">
        <v>61</v>
      </c>
      <c r="I338" t="s">
        <v>351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351</v>
      </c>
      <c r="V338" t="s">
        <v>351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5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351</v>
      </c>
      <c r="V339" t="s">
        <v>351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5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351</v>
      </c>
      <c r="T340" t="s">
        <v>351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5">
        <v>44215.508055555554</v>
      </c>
      <c r="H341">
        <v>61</v>
      </c>
      <c r="I341" t="s">
        <v>351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351</v>
      </c>
      <c r="V341" t="s">
        <v>351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5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351</v>
      </c>
      <c r="V342" t="s">
        <v>351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5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351</v>
      </c>
      <c r="T343" t="s">
        <v>351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5">
        <v>44251.474293981482</v>
      </c>
      <c r="H344">
        <v>33</v>
      </c>
      <c r="I344" t="s">
        <v>351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351</v>
      </c>
      <c r="V344" t="s">
        <v>351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5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351</v>
      </c>
      <c r="V345" t="s">
        <v>351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5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351</v>
      </c>
      <c r="T346" t="s">
        <v>351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5">
        <v>44251.474293981482</v>
      </c>
      <c r="H347">
        <v>33</v>
      </c>
      <c r="I347" t="s">
        <v>351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351</v>
      </c>
      <c r="V347" t="s">
        <v>351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5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351</v>
      </c>
      <c r="V348" t="s">
        <v>351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5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351</v>
      </c>
      <c r="T349" t="s">
        <v>351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5">
        <v>44251.474293981482</v>
      </c>
      <c r="H350">
        <v>33</v>
      </c>
      <c r="I350" t="s">
        <v>351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351</v>
      </c>
      <c r="V350" t="s">
        <v>351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5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351</v>
      </c>
      <c r="V351" t="s">
        <v>351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5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351</v>
      </c>
      <c r="T352" t="s">
        <v>351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5">
        <v>44251.474293981482</v>
      </c>
      <c r="H353">
        <v>33</v>
      </c>
      <c r="I353" t="s">
        <v>351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351</v>
      </c>
      <c r="V353" t="s">
        <v>351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5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351</v>
      </c>
      <c r="V354" t="s">
        <v>351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5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351</v>
      </c>
      <c r="T355" t="s">
        <v>351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5">
        <v>44251.474293981482</v>
      </c>
      <c r="H356">
        <v>33</v>
      </c>
      <c r="I356" t="s">
        <v>351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351</v>
      </c>
      <c r="V356" t="s">
        <v>351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5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351</v>
      </c>
      <c r="V357" t="s">
        <v>351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5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351</v>
      </c>
      <c r="T358" t="s">
        <v>351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5">
        <v>44273.429872685185</v>
      </c>
      <c r="H359">
        <v>61</v>
      </c>
      <c r="I359" t="s">
        <v>351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351</v>
      </c>
      <c r="V359" t="s">
        <v>351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5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351</v>
      </c>
      <c r="V360" t="s">
        <v>351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5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351</v>
      </c>
      <c r="T361" t="s">
        <v>351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5">
        <v>44273.429872685185</v>
      </c>
      <c r="H362">
        <v>61</v>
      </c>
      <c r="I362" t="s">
        <v>351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351</v>
      </c>
      <c r="V362" t="s">
        <v>351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5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351</v>
      </c>
      <c r="V363" t="s">
        <v>351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5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351</v>
      </c>
      <c r="T364" t="s">
        <v>351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5">
        <v>44273.429872685185</v>
      </c>
      <c r="H365">
        <v>61</v>
      </c>
      <c r="I365" t="s">
        <v>351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351</v>
      </c>
      <c r="V365" t="s">
        <v>351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5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351</v>
      </c>
      <c r="V366" t="s">
        <v>351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5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351</v>
      </c>
      <c r="T367" t="s">
        <v>351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5">
        <v>44273.429872685185</v>
      </c>
      <c r="H368">
        <v>61</v>
      </c>
      <c r="I368" t="s">
        <v>351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351</v>
      </c>
      <c r="V368" t="s">
        <v>351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5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351</v>
      </c>
      <c r="V369" t="s">
        <v>351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5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351</v>
      </c>
      <c r="T370" t="s">
        <v>351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5">
        <v>44273.429872685185</v>
      </c>
      <c r="H371">
        <v>61</v>
      </c>
      <c r="I371" t="s">
        <v>351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351</v>
      </c>
      <c r="V371" t="s">
        <v>351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5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351</v>
      </c>
      <c r="V372" t="s">
        <v>351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5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351</v>
      </c>
      <c r="T373" t="s">
        <v>351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5">
        <v>44302.769236111111</v>
      </c>
      <c r="H374">
        <v>33</v>
      </c>
      <c r="I374" t="s">
        <v>351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351</v>
      </c>
      <c r="V374" t="s">
        <v>351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5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351</v>
      </c>
      <c r="V375" t="s">
        <v>351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5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351</v>
      </c>
      <c r="T376" t="s">
        <v>351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5">
        <v>44302.769236111111</v>
      </c>
      <c r="H377">
        <v>33</v>
      </c>
      <c r="I377" t="s">
        <v>351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351</v>
      </c>
      <c r="V377" t="s">
        <v>351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5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351</v>
      </c>
      <c r="V378" t="s">
        <v>351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5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351</v>
      </c>
      <c r="T379" t="s">
        <v>351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5">
        <v>44302.769236111111</v>
      </c>
      <c r="H380">
        <v>33</v>
      </c>
      <c r="I380" t="s">
        <v>351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351</v>
      </c>
      <c r="V380" t="s">
        <v>351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5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351</v>
      </c>
      <c r="V381" t="s">
        <v>351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5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351</v>
      </c>
      <c r="T382" t="s">
        <v>351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5">
        <v>44302.769236111111</v>
      </c>
      <c r="H383">
        <v>33</v>
      </c>
      <c r="I383" t="s">
        <v>351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351</v>
      </c>
      <c r="V383" t="s">
        <v>351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5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351</v>
      </c>
      <c r="V384" t="s">
        <v>351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5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351</v>
      </c>
      <c r="T385" t="s">
        <v>351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5">
        <v>44302.769236111111</v>
      </c>
      <c r="H386">
        <v>33</v>
      </c>
      <c r="I386" t="s">
        <v>351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351</v>
      </c>
      <c r="V386" t="s">
        <v>351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5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351</v>
      </c>
      <c r="V387" t="s">
        <v>351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5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351</v>
      </c>
      <c r="T388" t="s">
        <v>351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5">
        <v>44327.522789351853</v>
      </c>
      <c r="H389">
        <v>33</v>
      </c>
      <c r="I389" t="s">
        <v>351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351</v>
      </c>
      <c r="V389" t="s">
        <v>351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5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351</v>
      </c>
      <c r="V390" t="s">
        <v>351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5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351</v>
      </c>
      <c r="T391" t="s">
        <v>351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5">
        <v>44327.522789351853</v>
      </c>
      <c r="H392">
        <v>33</v>
      </c>
      <c r="I392" t="s">
        <v>351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351</v>
      </c>
      <c r="V392" t="s">
        <v>351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5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351</v>
      </c>
      <c r="V393" t="s">
        <v>351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5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351</v>
      </c>
      <c r="T394" t="s">
        <v>351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5">
        <v>44327.522789351853</v>
      </c>
      <c r="H395">
        <v>33</v>
      </c>
      <c r="I395" t="s">
        <v>351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351</v>
      </c>
      <c r="V395" t="s">
        <v>351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5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351</v>
      </c>
      <c r="V396" t="s">
        <v>351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5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351</v>
      </c>
      <c r="T397" t="s">
        <v>351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5">
        <v>44327.522789351853</v>
      </c>
      <c r="H398">
        <v>33</v>
      </c>
      <c r="I398" t="s">
        <v>351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351</v>
      </c>
      <c r="V398" t="s">
        <v>351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5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351</v>
      </c>
      <c r="V399" t="s">
        <v>351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5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351</v>
      </c>
      <c r="T400" t="s">
        <v>351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5">
        <v>44327.522789351853</v>
      </c>
      <c r="H401">
        <v>33</v>
      </c>
      <c r="I401" t="s">
        <v>351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351</v>
      </c>
      <c r="V401" t="s">
        <v>351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5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351</v>
      </c>
      <c r="V402" t="s">
        <v>351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5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351</v>
      </c>
      <c r="T403" t="s">
        <v>351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5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351</v>
      </c>
      <c r="V404" t="s">
        <v>351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5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351</v>
      </c>
      <c r="T405" t="s">
        <v>351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5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351</v>
      </c>
      <c r="V406" t="s">
        <v>351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5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351</v>
      </c>
      <c r="T407" t="s">
        <v>351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5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351</v>
      </c>
      <c r="V408" t="s">
        <v>351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5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351</v>
      </c>
      <c r="T409" t="s">
        <v>351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5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351</v>
      </c>
      <c r="V410" t="s">
        <v>351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5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351</v>
      </c>
      <c r="T411" t="s">
        <v>351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5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351</v>
      </c>
      <c r="V412" t="s">
        <v>351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5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5">
        <v>43992.659548611111</v>
      </c>
      <c r="H414">
        <v>33</v>
      </c>
      <c r="I414" t="s">
        <v>351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5">
        <v>43992.659548611111</v>
      </c>
      <c r="H415">
        <v>33</v>
      </c>
      <c r="I415" t="s">
        <v>351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5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5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5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5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5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5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5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5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5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5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5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5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5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5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5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5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5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5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5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5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5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5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5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5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5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5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5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5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5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5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5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5">
        <v>44057.743877314817</v>
      </c>
      <c r="H447">
        <v>61</v>
      </c>
      <c r="I447" t="s">
        <v>351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5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5">
        <v>44057.743877314817</v>
      </c>
      <c r="H449">
        <v>61</v>
      </c>
      <c r="I449" t="s">
        <v>351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5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5">
        <v>44057.743877314817</v>
      </c>
      <c r="H451">
        <v>61</v>
      </c>
      <c r="I451" t="s">
        <v>351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5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5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5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5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5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5">
        <v>44057.743877314817</v>
      </c>
      <c r="H457">
        <v>61</v>
      </c>
      <c r="I457" t="s">
        <v>351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5">
        <v>44057.743877314817</v>
      </c>
      <c r="H458">
        <v>61</v>
      </c>
      <c r="I458" t="s">
        <v>351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5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5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5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5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5">
        <v>44057.743877314817</v>
      </c>
      <c r="H463">
        <v>61</v>
      </c>
      <c r="I463" t="s">
        <v>351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5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5">
        <v>44057.743877314817</v>
      </c>
      <c r="H465">
        <v>61</v>
      </c>
      <c r="I465" t="s">
        <v>351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5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5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5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5">
        <v>44057.743877314817</v>
      </c>
      <c r="H469">
        <v>61</v>
      </c>
      <c r="I469" t="s">
        <v>351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5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5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5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5">
        <v>44082.485532407409</v>
      </c>
      <c r="H473">
        <v>33</v>
      </c>
      <c r="I473" t="s">
        <v>351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5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5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5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5">
        <v>44082.485532407409</v>
      </c>
      <c r="H477">
        <v>33</v>
      </c>
      <c r="I477" t="s">
        <v>351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5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5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5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5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5">
        <v>44082.485532407409</v>
      </c>
      <c r="H482">
        <v>33</v>
      </c>
      <c r="I482" t="s">
        <v>351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5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5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5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5">
        <v>44082.485532407409</v>
      </c>
      <c r="H486">
        <v>33</v>
      </c>
      <c r="I486" t="s">
        <v>351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5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5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5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5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5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5">
        <v>44082.485532407409</v>
      </c>
      <c r="H492">
        <v>33</v>
      </c>
      <c r="I492" t="s">
        <v>351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5">
        <v>44082.485532407409</v>
      </c>
      <c r="H493">
        <v>33</v>
      </c>
      <c r="I493" t="s">
        <v>351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5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5">
        <v>44082.485532407409</v>
      </c>
      <c r="H495">
        <v>33</v>
      </c>
      <c r="I495" t="s">
        <v>351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5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5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5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5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5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5">
        <v>44119.739837962959</v>
      </c>
      <c r="H501">
        <v>33</v>
      </c>
      <c r="I501" t="s">
        <v>351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5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5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5">
        <v>44119.739837962959</v>
      </c>
      <c r="H504">
        <v>33</v>
      </c>
      <c r="I504" t="s">
        <v>351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5">
        <v>44119.739837962959</v>
      </c>
      <c r="H505">
        <v>33</v>
      </c>
      <c r="I505" t="s">
        <v>351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5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5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5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5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5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5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5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5">
        <v>44119.739837962959</v>
      </c>
      <c r="H513">
        <v>33</v>
      </c>
      <c r="I513" t="s">
        <v>351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5">
        <v>44119.739837962959</v>
      </c>
      <c r="H514">
        <v>33</v>
      </c>
      <c r="I514" t="s">
        <v>351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5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5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5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5">
        <v>44119.739837962959</v>
      </c>
      <c r="H518">
        <v>33</v>
      </c>
      <c r="I518" t="s">
        <v>351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5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5">
        <v>44119.739837962959</v>
      </c>
      <c r="H520">
        <v>33</v>
      </c>
      <c r="I520" t="s">
        <v>351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5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5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5">
        <v>44119.739837962959</v>
      </c>
      <c r="H523">
        <v>33</v>
      </c>
      <c r="I523" t="s">
        <v>351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5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5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5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5">
        <v>44153.723773148151</v>
      </c>
      <c r="H527">
        <v>61</v>
      </c>
      <c r="I527" t="s">
        <v>351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5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5">
        <v>44153.723773148151</v>
      </c>
      <c r="H529">
        <v>61</v>
      </c>
      <c r="I529" t="s">
        <v>351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5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5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5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5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5">
        <v>44153.723773148151</v>
      </c>
      <c r="H534">
        <v>61</v>
      </c>
      <c r="I534" t="s">
        <v>351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5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5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5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5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5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5">
        <v>44153.723773148151</v>
      </c>
      <c r="H540">
        <v>61</v>
      </c>
      <c r="I540" t="s">
        <v>351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5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5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5">
        <v>44153.723773148151</v>
      </c>
      <c r="H543">
        <v>61</v>
      </c>
      <c r="I543" t="s">
        <v>351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5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5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5">
        <v>44153.723773148151</v>
      </c>
      <c r="H546">
        <v>61</v>
      </c>
      <c r="I546" t="s">
        <v>351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5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5">
        <v>44153.723773148151</v>
      </c>
      <c r="H548">
        <v>61</v>
      </c>
      <c r="I548" t="s">
        <v>351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5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5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5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5">
        <v>44153.723773148151</v>
      </c>
      <c r="H552">
        <v>61</v>
      </c>
      <c r="I552" t="s">
        <v>351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5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5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5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5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5">
        <v>44221.697384259256</v>
      </c>
      <c r="H557">
        <v>61</v>
      </c>
      <c r="I557" t="s">
        <v>351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5">
        <v>44221.697384259256</v>
      </c>
      <c r="H558">
        <v>61</v>
      </c>
      <c r="I558" t="s">
        <v>351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5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5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5">
        <v>44221.697384259256</v>
      </c>
      <c r="H561">
        <v>61</v>
      </c>
      <c r="I561" t="s">
        <v>351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5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5">
        <v>44221.697384259256</v>
      </c>
      <c r="H563">
        <v>61</v>
      </c>
      <c r="I563" t="s">
        <v>351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5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5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5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5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5">
        <v>44221.697384259256</v>
      </c>
      <c r="H568">
        <v>61</v>
      </c>
      <c r="I568" t="s">
        <v>351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5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5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5">
        <v>44221.697384259256</v>
      </c>
      <c r="H571">
        <v>61</v>
      </c>
      <c r="I571" t="s">
        <v>351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5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5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5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5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5">
        <v>44221.697384259256</v>
      </c>
      <c r="H576">
        <v>61</v>
      </c>
      <c r="I576" t="s">
        <v>351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5">
        <v>44221.697384259256</v>
      </c>
      <c r="H577">
        <v>61</v>
      </c>
      <c r="I577" t="s">
        <v>351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5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5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5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5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5">
        <v>44221.697384259256</v>
      </c>
      <c r="H582">
        <v>61</v>
      </c>
      <c r="I582" t="s">
        <v>351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5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5">
        <v>44221.697384259256</v>
      </c>
      <c r="H584">
        <v>61</v>
      </c>
      <c r="I584" t="s">
        <v>351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5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5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5">
        <v>44215.508055555554</v>
      </c>
      <c r="H587">
        <v>61</v>
      </c>
      <c r="I587" t="s">
        <v>351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5">
        <v>44215.706747685188</v>
      </c>
      <c r="H588">
        <v>61</v>
      </c>
      <c r="I588" t="s">
        <v>351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5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5">
        <v>44215.508055555554</v>
      </c>
      <c r="H590">
        <v>61</v>
      </c>
      <c r="I590" t="s">
        <v>351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5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5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5">
        <v>44215.706747685188</v>
      </c>
      <c r="H593">
        <v>61</v>
      </c>
      <c r="I593" t="s">
        <v>351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5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5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5">
        <v>44215.508055555554</v>
      </c>
      <c r="H596">
        <v>61</v>
      </c>
      <c r="I596" t="s">
        <v>351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5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5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5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5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5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5">
        <v>44215.706747685188</v>
      </c>
      <c r="H602">
        <v>61</v>
      </c>
      <c r="I602" t="s">
        <v>351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5">
        <v>44215.508055555554</v>
      </c>
      <c r="H603">
        <v>61</v>
      </c>
      <c r="I603" t="s">
        <v>351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5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5">
        <v>44215.508055555554</v>
      </c>
      <c r="H605">
        <v>61</v>
      </c>
      <c r="I605" t="s">
        <v>351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5">
        <v>44215.706747685188</v>
      </c>
      <c r="H606">
        <v>61</v>
      </c>
      <c r="I606" t="s">
        <v>351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5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5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5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5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5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5">
        <v>44215.508055555554</v>
      </c>
      <c r="H612">
        <v>61</v>
      </c>
      <c r="I612" t="s">
        <v>351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5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5">
        <v>44215.706747685188</v>
      </c>
      <c r="H614">
        <v>61</v>
      </c>
      <c r="I614" t="s">
        <v>351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5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5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5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5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5">
        <v>44251.474293981482</v>
      </c>
      <c r="H619">
        <v>33</v>
      </c>
      <c r="I619" t="s">
        <v>351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5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5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5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5">
        <v>44251.474293981482</v>
      </c>
      <c r="H623">
        <v>33</v>
      </c>
      <c r="I623" t="s">
        <v>351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5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5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5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5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5">
        <v>44251.474293981482</v>
      </c>
      <c r="H628">
        <v>33</v>
      </c>
      <c r="I628" t="s">
        <v>351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5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5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5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5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5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5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5">
        <v>44251.474293981482</v>
      </c>
      <c r="H635">
        <v>33</v>
      </c>
      <c r="I635" t="s">
        <v>351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5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5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5">
        <v>44251.474293981482</v>
      </c>
      <c r="H638">
        <v>33</v>
      </c>
      <c r="I638" t="s">
        <v>351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5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5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5">
        <v>44273.429872685185</v>
      </c>
      <c r="H641">
        <v>61</v>
      </c>
      <c r="I641" t="s">
        <v>351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5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5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5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5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5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5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5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5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5">
        <v>44273.429872685185</v>
      </c>
      <c r="H650">
        <v>61</v>
      </c>
      <c r="I650" t="s">
        <v>351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5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5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5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5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5">
        <v>44273.429872685185</v>
      </c>
      <c r="H655">
        <v>61</v>
      </c>
      <c r="I655" t="s">
        <v>351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5">
        <v>44273.429872685185</v>
      </c>
      <c r="H656">
        <v>61</v>
      </c>
      <c r="I656" t="s">
        <v>351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5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5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5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5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5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5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5">
        <v>44273.429872685185</v>
      </c>
      <c r="H663">
        <v>61</v>
      </c>
      <c r="I663" t="s">
        <v>351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5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5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5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5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5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5">
        <v>44302.769236111111</v>
      </c>
      <c r="H669">
        <v>33</v>
      </c>
      <c r="I669" t="s">
        <v>351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5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5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5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5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5">
        <v>44302.769236111111</v>
      </c>
      <c r="H674">
        <v>33</v>
      </c>
      <c r="I674" t="s">
        <v>351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5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5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5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5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5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5">
        <v>44302.769236111111</v>
      </c>
      <c r="H680">
        <v>33</v>
      </c>
      <c r="I680" t="s">
        <v>351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5">
        <v>44302.769236111111</v>
      </c>
      <c r="H681">
        <v>33</v>
      </c>
      <c r="I681" t="s">
        <v>351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5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5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5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5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5">
        <v>44302.769236111111</v>
      </c>
      <c r="H686">
        <v>33</v>
      </c>
      <c r="I686" t="s">
        <v>351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5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5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5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5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5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5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5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5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5">
        <v>44327.522789351853</v>
      </c>
      <c r="H695">
        <v>33</v>
      </c>
      <c r="I695" t="s">
        <v>351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5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5">
        <v>44327.522789351853</v>
      </c>
      <c r="H697">
        <v>33</v>
      </c>
      <c r="I697" t="s">
        <v>351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5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5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5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5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5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5">
        <v>44327.522789351853</v>
      </c>
      <c r="H703">
        <v>33</v>
      </c>
      <c r="I703" t="s">
        <v>351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5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5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5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5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5">
        <v>44327.522789351853</v>
      </c>
      <c r="H708">
        <v>33</v>
      </c>
      <c r="I708" t="s">
        <v>351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5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5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5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5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5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5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5">
        <v>44327.522789351853</v>
      </c>
      <c r="H715">
        <v>33</v>
      </c>
      <c r="I715" t="s">
        <v>351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5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5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5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5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5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5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5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5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5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5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5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5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5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5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5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5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5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5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5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5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topLeftCell="D1" zoomScale="60" zoomScaleNormal="60" workbookViewId="0">
      <selection activeCell="U1" sqref="U1:U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7" t="s">
        <v>29</v>
      </c>
      <c r="B1" s="37" t="s">
        <v>1</v>
      </c>
      <c r="C1" s="37" t="s">
        <v>30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  <c r="I1" s="37" t="s">
        <v>39</v>
      </c>
      <c r="J1" s="37" t="s">
        <v>40</v>
      </c>
      <c r="K1" s="37" t="s">
        <v>41</v>
      </c>
      <c r="L1" s="37" t="s">
        <v>42</v>
      </c>
      <c r="M1" s="37" t="s">
        <v>43</v>
      </c>
      <c r="N1" s="37" t="s">
        <v>44</v>
      </c>
      <c r="O1" s="37" t="s">
        <v>45</v>
      </c>
      <c r="P1" s="37" t="s">
        <v>46</v>
      </c>
      <c r="Q1" s="37" t="s">
        <v>31</v>
      </c>
      <c r="R1" s="37" t="s">
        <v>32</v>
      </c>
      <c r="S1" s="37" t="s">
        <v>18</v>
      </c>
      <c r="T1" s="37" t="s">
        <v>19</v>
      </c>
      <c r="U1" s="37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5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5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5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5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5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5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5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5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5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5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5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5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5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5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5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5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5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5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5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5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5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5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5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5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5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5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5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5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5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5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5">
        <v>43913.49763888889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351</v>
      </c>
      <c r="V32" t="s">
        <v>351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5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351</v>
      </c>
      <c r="V33" t="s">
        <v>351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5">
        <v>43913.49763888889</v>
      </c>
      <c r="H34">
        <v>61</v>
      </c>
      <c r="I34" t="s">
        <v>351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351</v>
      </c>
      <c r="V34" t="s">
        <v>351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5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351</v>
      </c>
      <c r="V35" t="s">
        <v>351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5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351</v>
      </c>
      <c r="V36" t="s">
        <v>351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5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351</v>
      </c>
      <c r="V37" t="s">
        <v>351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5">
        <v>43913.49763888889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351</v>
      </c>
      <c r="V38" t="s">
        <v>351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5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351</v>
      </c>
      <c r="V39" t="s">
        <v>351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5">
        <v>43913.49763888889</v>
      </c>
      <c r="H40">
        <v>61</v>
      </c>
      <c r="I40" t="s">
        <v>351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351</v>
      </c>
      <c r="V40" t="s">
        <v>351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5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351</v>
      </c>
      <c r="V41" t="s">
        <v>351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5">
        <v>43915.631481481483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351</v>
      </c>
      <c r="V42" t="s">
        <v>351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5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351</v>
      </c>
      <c r="V43" t="s">
        <v>351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5">
        <v>43915.631481481483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351</v>
      </c>
      <c r="V44" t="s">
        <v>351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5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351</v>
      </c>
      <c r="V45" t="s">
        <v>351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5">
        <v>43915.631481481483</v>
      </c>
      <c r="H46">
        <v>61</v>
      </c>
      <c r="I46" t="s">
        <v>351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351</v>
      </c>
      <c r="V46" t="s">
        <v>351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5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351</v>
      </c>
      <c r="V47" t="s">
        <v>351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5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351</v>
      </c>
      <c r="V48" t="s">
        <v>351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5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351</v>
      </c>
      <c r="V49" t="s">
        <v>351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5">
        <v>43915.631481481483</v>
      </c>
      <c r="H50">
        <v>61</v>
      </c>
      <c r="I50" t="s">
        <v>351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351</v>
      </c>
      <c r="V50" t="s">
        <v>351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5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351</v>
      </c>
      <c r="V51" t="s">
        <v>351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5">
        <v>43693</v>
      </c>
      <c r="H52">
        <v>33</v>
      </c>
      <c r="I52" t="s">
        <v>351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351</v>
      </c>
      <c r="V52" t="s">
        <v>351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5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351</v>
      </c>
      <c r="V53" t="s">
        <v>351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5">
        <v>43693</v>
      </c>
      <c r="H54">
        <v>33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351</v>
      </c>
      <c r="V54" t="s">
        <v>351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5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351</v>
      </c>
      <c r="V55" t="s">
        <v>351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5">
        <v>43693</v>
      </c>
      <c r="H56">
        <v>33</v>
      </c>
      <c r="I56" t="s">
        <v>351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351</v>
      </c>
      <c r="V56" t="s">
        <v>351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5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351</v>
      </c>
      <c r="V57" t="s">
        <v>351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5">
        <v>43693</v>
      </c>
      <c r="H58">
        <v>33</v>
      </c>
      <c r="I58" t="s">
        <v>351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351</v>
      </c>
      <c r="V58" t="s">
        <v>351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5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351</v>
      </c>
      <c r="V59" t="s">
        <v>351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5">
        <v>43693</v>
      </c>
      <c r="H60">
        <v>33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351</v>
      </c>
      <c r="V60" t="s">
        <v>351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5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351</v>
      </c>
      <c r="V61" t="s">
        <v>351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5">
        <v>43914.908402777779</v>
      </c>
      <c r="H62">
        <v>61</v>
      </c>
      <c r="I62" t="s">
        <v>351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351</v>
      </c>
      <c r="V62" t="s">
        <v>351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5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351</v>
      </c>
      <c r="V63" t="s">
        <v>351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5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351</v>
      </c>
      <c r="V64" t="s">
        <v>351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5">
        <v>43914.908402777779</v>
      </c>
      <c r="H65">
        <v>61</v>
      </c>
      <c r="I65" t="s">
        <v>351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351</v>
      </c>
      <c r="V65" t="s">
        <v>351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5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351</v>
      </c>
      <c r="V66" t="s">
        <v>351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5">
        <v>43914.908402777779</v>
      </c>
      <c r="H67">
        <v>61</v>
      </c>
      <c r="I67" t="s">
        <v>351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351</v>
      </c>
      <c r="V67" t="s">
        <v>351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5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351</v>
      </c>
      <c r="V68" t="s">
        <v>351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5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351</v>
      </c>
      <c r="V69" t="s">
        <v>351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5">
        <v>43915.393750000003</v>
      </c>
      <c r="H70">
        <v>61</v>
      </c>
      <c r="I70" t="s">
        <v>351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351</v>
      </c>
      <c r="V70" t="s">
        <v>351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5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351</v>
      </c>
      <c r="V71" t="s">
        <v>351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5">
        <v>43915.393750000003</v>
      </c>
      <c r="H72">
        <v>61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351</v>
      </c>
      <c r="V72" t="s">
        <v>351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5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351</v>
      </c>
      <c r="V73" t="s">
        <v>351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5">
        <v>43915.393750000003</v>
      </c>
      <c r="H74">
        <v>61</v>
      </c>
      <c r="I74" t="s">
        <v>351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351</v>
      </c>
      <c r="V74" t="s">
        <v>351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5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351</v>
      </c>
      <c r="V75" t="s">
        <v>351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5">
        <v>43915.393750000003</v>
      </c>
      <c r="H76">
        <v>61</v>
      </c>
      <c r="I76" t="s">
        <v>351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351</v>
      </c>
      <c r="V76" t="s">
        <v>351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5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351</v>
      </c>
      <c r="V77" t="s">
        <v>351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5">
        <v>43915.393750000003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351</v>
      </c>
      <c r="V78" t="s">
        <v>351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5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351</v>
      </c>
      <c r="V79" t="s">
        <v>351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5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351</v>
      </c>
      <c r="V80" t="s">
        <v>351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5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351</v>
      </c>
      <c r="V81" t="s">
        <v>351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5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351</v>
      </c>
      <c r="V82" t="s">
        <v>351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5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351</v>
      </c>
      <c r="V83" t="s">
        <v>351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5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351</v>
      </c>
      <c r="V84" t="s">
        <v>351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5">
        <v>43944.47278935185</v>
      </c>
      <c r="H85">
        <v>61</v>
      </c>
      <c r="I85" t="s">
        <v>351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351</v>
      </c>
      <c r="V85" t="s">
        <v>351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5">
        <v>43944.47278935185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351</v>
      </c>
      <c r="V86" t="s">
        <v>351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5">
        <v>43812</v>
      </c>
      <c r="H87">
        <v>61</v>
      </c>
      <c r="I87" t="s">
        <v>351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351</v>
      </c>
      <c r="V87" t="s">
        <v>351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5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351</v>
      </c>
      <c r="V88" t="s">
        <v>351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5">
        <v>43944.47278935185</v>
      </c>
      <c r="H89">
        <v>61</v>
      </c>
      <c r="I89" t="s">
        <v>351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351</v>
      </c>
      <c r="V89" t="s">
        <v>351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5">
        <v>43944.47278935185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351</v>
      </c>
      <c r="V90" t="s">
        <v>351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5">
        <v>43812</v>
      </c>
      <c r="H91">
        <v>61</v>
      </c>
      <c r="I91" t="s">
        <v>351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351</v>
      </c>
      <c r="V91" t="s">
        <v>351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5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351</v>
      </c>
      <c r="V92" t="s">
        <v>351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5">
        <v>43944.47278935185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351</v>
      </c>
      <c r="V93" t="s">
        <v>351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5">
        <v>43944.47278935185</v>
      </c>
      <c r="H94">
        <v>61</v>
      </c>
      <c r="I94" t="s">
        <v>351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351</v>
      </c>
      <c r="V94" t="s">
        <v>351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5">
        <v>43812</v>
      </c>
      <c r="H95">
        <v>61</v>
      </c>
      <c r="I95" t="s">
        <v>351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351</v>
      </c>
      <c r="V95" t="s">
        <v>351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5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351</v>
      </c>
      <c r="V96" t="s">
        <v>351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5">
        <v>43944.47278935185</v>
      </c>
      <c r="H97">
        <v>61</v>
      </c>
      <c r="I97" t="s">
        <v>351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351</v>
      </c>
      <c r="V97" t="s">
        <v>351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5">
        <v>43944.47278935185</v>
      </c>
      <c r="H98">
        <v>61</v>
      </c>
      <c r="I98" t="s">
        <v>351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351</v>
      </c>
      <c r="V98" t="s">
        <v>351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5">
        <v>43812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351</v>
      </c>
      <c r="V99" t="s">
        <v>351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5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351</v>
      </c>
      <c r="V100" t="s">
        <v>351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5">
        <v>43944.47278935185</v>
      </c>
      <c r="H101">
        <v>61</v>
      </c>
      <c r="I101" t="s">
        <v>351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351</v>
      </c>
      <c r="V101" t="s">
        <v>351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5">
        <v>43944.47278935185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351</v>
      </c>
      <c r="V102" t="s">
        <v>351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5">
        <v>43812</v>
      </c>
      <c r="H103">
        <v>61</v>
      </c>
      <c r="I103" t="s">
        <v>351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351</v>
      </c>
      <c r="V103" t="s">
        <v>351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5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351</v>
      </c>
      <c r="V104" t="s">
        <v>351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5">
        <v>43837</v>
      </c>
      <c r="H105">
        <v>61</v>
      </c>
      <c r="I105" t="s">
        <v>351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351</v>
      </c>
      <c r="V105" t="s">
        <v>351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5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351</v>
      </c>
      <c r="V106" t="s">
        <v>351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5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351</v>
      </c>
      <c r="V107" t="s">
        <v>351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5">
        <v>43837</v>
      </c>
      <c r="H108">
        <v>61</v>
      </c>
      <c r="I108" t="s">
        <v>351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351</v>
      </c>
      <c r="V108" t="s">
        <v>351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5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351</v>
      </c>
      <c r="V109" t="s">
        <v>351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5">
        <v>43837</v>
      </c>
      <c r="H110">
        <v>61</v>
      </c>
      <c r="I110" t="s">
        <v>351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351</v>
      </c>
      <c r="V110" t="s">
        <v>351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5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351</v>
      </c>
      <c r="V111" t="s">
        <v>351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5">
        <v>43837</v>
      </c>
      <c r="H112">
        <v>61</v>
      </c>
      <c r="I112" t="s">
        <v>351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351</v>
      </c>
      <c r="V112" t="s">
        <v>351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5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351</v>
      </c>
      <c r="V113" t="s">
        <v>351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5">
        <v>43928.729247685187</v>
      </c>
      <c r="H114">
        <v>33</v>
      </c>
      <c r="I114" t="s">
        <v>351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351</v>
      </c>
      <c r="V114" t="s">
        <v>351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5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351</v>
      </c>
      <c r="V115" t="s">
        <v>351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5">
        <v>43928.729247685187</v>
      </c>
      <c r="H116">
        <v>33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351</v>
      </c>
      <c r="V116" t="s">
        <v>351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5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351</v>
      </c>
      <c r="V117" t="s">
        <v>351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5">
        <v>43928.729247685187</v>
      </c>
      <c r="H118">
        <v>33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351</v>
      </c>
      <c r="V118" t="s">
        <v>351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5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351</v>
      </c>
      <c r="V119" t="s">
        <v>351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5">
        <v>43928.729247685187</v>
      </c>
      <c r="H120">
        <v>33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351</v>
      </c>
      <c r="V120" t="s">
        <v>351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5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351</v>
      </c>
      <c r="V121" t="s">
        <v>351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5">
        <v>43928.729247685187</v>
      </c>
      <c r="H122">
        <v>33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351</v>
      </c>
      <c r="V122" t="s">
        <v>351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5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351</v>
      </c>
      <c r="V123" t="s">
        <v>351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5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351</v>
      </c>
      <c r="V124" t="s">
        <v>351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5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351</v>
      </c>
      <c r="V125" t="s">
        <v>351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5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351</v>
      </c>
      <c r="V126" t="s">
        <v>351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5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351</v>
      </c>
      <c r="V127" t="s">
        <v>351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5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351</v>
      </c>
      <c r="V128" t="s">
        <v>351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5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351</v>
      </c>
      <c r="V129" t="s">
        <v>351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5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351</v>
      </c>
      <c r="V130" t="s">
        <v>351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5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351</v>
      </c>
      <c r="V131" t="s">
        <v>351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5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351</v>
      </c>
      <c r="V132" t="s">
        <v>351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5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351</v>
      </c>
      <c r="V133" t="s">
        <v>351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5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351</v>
      </c>
      <c r="V134" t="s">
        <v>351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5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351</v>
      </c>
      <c r="V135" t="s">
        <v>351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5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351</v>
      </c>
      <c r="V136" t="s">
        <v>351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5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351</v>
      </c>
      <c r="V137" t="s">
        <v>351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5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351</v>
      </c>
      <c r="V138" t="s">
        <v>351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5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351</v>
      </c>
      <c r="V139" t="s">
        <v>351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5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351</v>
      </c>
      <c r="V140" t="s">
        <v>351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5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351</v>
      </c>
      <c r="V141" t="s">
        <v>351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5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351</v>
      </c>
      <c r="V142" t="s">
        <v>351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5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351</v>
      </c>
      <c r="V143" t="s">
        <v>351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5">
        <v>43970.737210648149</v>
      </c>
      <c r="H144">
        <v>33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351</v>
      </c>
      <c r="V144" t="s">
        <v>351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5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351</v>
      </c>
      <c r="V145" t="s">
        <v>351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5">
        <v>43970.737210648149</v>
      </c>
      <c r="H146">
        <v>33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351</v>
      </c>
      <c r="V146" t="s">
        <v>351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5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351</v>
      </c>
      <c r="V147" t="s">
        <v>351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5">
        <v>43970.737210648149</v>
      </c>
      <c r="H148">
        <v>33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351</v>
      </c>
      <c r="V148" t="s">
        <v>351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5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351</v>
      </c>
      <c r="V149" t="s">
        <v>351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5">
        <v>43970.737210648149</v>
      </c>
      <c r="H150">
        <v>33</v>
      </c>
      <c r="I150" t="s">
        <v>351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351</v>
      </c>
      <c r="V150" t="s">
        <v>351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5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351</v>
      </c>
      <c r="V151" t="s">
        <v>351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5">
        <v>43970.737210648149</v>
      </c>
      <c r="H152">
        <v>33</v>
      </c>
      <c r="I152" t="s">
        <v>351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351</v>
      </c>
      <c r="V152" t="s">
        <v>351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5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351</v>
      </c>
      <c r="V153" t="s">
        <v>351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5">
        <v>43992.659548611111</v>
      </c>
      <c r="H154">
        <v>33</v>
      </c>
      <c r="I154" t="s">
        <v>351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351</v>
      </c>
      <c r="V154" t="s">
        <v>351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5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351</v>
      </c>
      <c r="V155" t="s">
        <v>351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5">
        <v>43992.659548611111</v>
      </c>
      <c r="H156">
        <v>33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351</v>
      </c>
      <c r="V156" t="s">
        <v>351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5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351</v>
      </c>
      <c r="V157" t="s">
        <v>351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5">
        <v>43992.659548611111</v>
      </c>
      <c r="H158">
        <v>33</v>
      </c>
      <c r="I158" t="s">
        <v>351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351</v>
      </c>
      <c r="V158" t="s">
        <v>351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5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351</v>
      </c>
      <c r="V159" t="s">
        <v>351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5">
        <v>43992.659548611111</v>
      </c>
      <c r="H160">
        <v>33</v>
      </c>
      <c r="I160" t="s">
        <v>351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351</v>
      </c>
      <c r="V160" t="s">
        <v>351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5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351</v>
      </c>
      <c r="V161" t="s">
        <v>351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5">
        <v>43992.659548611111</v>
      </c>
      <c r="H162">
        <v>33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351</v>
      </c>
      <c r="V162" t="s">
        <v>351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5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351</v>
      </c>
      <c r="V163" t="s">
        <v>351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5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351</v>
      </c>
      <c r="V164" t="s">
        <v>351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5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351</v>
      </c>
      <c r="V165" t="s">
        <v>351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5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351</v>
      </c>
      <c r="V166" t="s">
        <v>351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5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351</v>
      </c>
      <c r="V167" t="s">
        <v>351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5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351</v>
      </c>
      <c r="V168" t="s">
        <v>351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5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351</v>
      </c>
      <c r="V169" t="s">
        <v>351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5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351</v>
      </c>
      <c r="V170" t="s">
        <v>351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5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351</v>
      </c>
      <c r="V171" t="s">
        <v>351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5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351</v>
      </c>
      <c r="V172" t="s">
        <v>351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5">
        <v>44057.743877314817</v>
      </c>
      <c r="H173">
        <v>61</v>
      </c>
      <c r="I173" t="s">
        <v>351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351</v>
      </c>
      <c r="V173" t="s">
        <v>351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5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351</v>
      </c>
      <c r="V174" t="s">
        <v>351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5">
        <v>44057.743877314817</v>
      </c>
      <c r="H175">
        <v>61</v>
      </c>
      <c r="I175" t="s">
        <v>351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351</v>
      </c>
      <c r="V175" t="s">
        <v>351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5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351</v>
      </c>
      <c r="V176" t="s">
        <v>351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5">
        <v>44057.743877314817</v>
      </c>
      <c r="H177">
        <v>61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351</v>
      </c>
      <c r="V177" t="s">
        <v>351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5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351</v>
      </c>
      <c r="V178" t="s">
        <v>351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5">
        <v>44057.743877314817</v>
      </c>
      <c r="H179">
        <v>61</v>
      </c>
      <c r="I179" t="s">
        <v>351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351</v>
      </c>
      <c r="V179" t="s">
        <v>351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5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351</v>
      </c>
      <c r="V180" t="s">
        <v>351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5">
        <v>44057.743877314817</v>
      </c>
      <c r="H181">
        <v>61</v>
      </c>
      <c r="I181" t="s">
        <v>351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351</v>
      </c>
      <c r="V181" t="s">
        <v>351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5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351</v>
      </c>
      <c r="V182" t="s">
        <v>351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5">
        <v>44082.485532407409</v>
      </c>
      <c r="H183">
        <v>33</v>
      </c>
      <c r="I183" t="s">
        <v>351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351</v>
      </c>
      <c r="V183" t="s">
        <v>351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5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351</v>
      </c>
      <c r="V184" t="s">
        <v>351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5">
        <v>44082.485532407409</v>
      </c>
      <c r="H185">
        <v>33</v>
      </c>
      <c r="I185" t="s">
        <v>351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351</v>
      </c>
      <c r="V185" t="s">
        <v>351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5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351</v>
      </c>
      <c r="V186" t="s">
        <v>351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5">
        <v>44082.485532407409</v>
      </c>
      <c r="H187">
        <v>33</v>
      </c>
      <c r="I187" t="s">
        <v>351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351</v>
      </c>
      <c r="V187" t="s">
        <v>351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5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351</v>
      </c>
      <c r="V188" t="s">
        <v>351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5">
        <v>44082.485532407409</v>
      </c>
      <c r="H189">
        <v>33</v>
      </c>
      <c r="I189" t="s">
        <v>351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351</v>
      </c>
      <c r="V189" t="s">
        <v>351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5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351</v>
      </c>
      <c r="V190" t="s">
        <v>351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5">
        <v>44082.485532407409</v>
      </c>
      <c r="H191">
        <v>33</v>
      </c>
      <c r="I191" t="s">
        <v>351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351</v>
      </c>
      <c r="V191" t="s">
        <v>351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5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351</v>
      </c>
      <c r="V192" t="s">
        <v>351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5">
        <v>44119.739837962959</v>
      </c>
      <c r="H193">
        <v>33</v>
      </c>
      <c r="I193" t="s">
        <v>351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351</v>
      </c>
      <c r="V193" t="s">
        <v>351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5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351</v>
      </c>
      <c r="V194" t="s">
        <v>351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5">
        <v>44119.739837962959</v>
      </c>
      <c r="H195">
        <v>33</v>
      </c>
      <c r="I195" t="s">
        <v>351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351</v>
      </c>
      <c r="V195" t="s">
        <v>351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5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351</v>
      </c>
      <c r="V196" t="s">
        <v>351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5">
        <v>44119.739837962959</v>
      </c>
      <c r="H197">
        <v>33</v>
      </c>
      <c r="I197" t="s">
        <v>351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351</v>
      </c>
      <c r="V197" t="s">
        <v>351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5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351</v>
      </c>
      <c r="V198" t="s">
        <v>351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5">
        <v>44119.739837962959</v>
      </c>
      <c r="H199">
        <v>33</v>
      </c>
      <c r="I199" t="s">
        <v>351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351</v>
      </c>
      <c r="V199" t="s">
        <v>351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5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351</v>
      </c>
      <c r="V200" t="s">
        <v>351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5">
        <v>44119.739837962959</v>
      </c>
      <c r="H201">
        <v>33</v>
      </c>
      <c r="I201" t="s">
        <v>351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351</v>
      </c>
      <c r="V201" t="s">
        <v>351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5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351</v>
      </c>
      <c r="V202" t="s">
        <v>351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5">
        <v>44153.723773148151</v>
      </c>
      <c r="H203">
        <v>61</v>
      </c>
      <c r="I203" t="s">
        <v>351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351</v>
      </c>
      <c r="V203" t="s">
        <v>351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5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351</v>
      </c>
      <c r="V204" t="s">
        <v>351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5">
        <v>44153.723773148151</v>
      </c>
      <c r="H205">
        <v>61</v>
      </c>
      <c r="I205" t="s">
        <v>351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351</v>
      </c>
      <c r="V205" t="s">
        <v>351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5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351</v>
      </c>
      <c r="V206" t="s">
        <v>351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5">
        <v>44153.723773148151</v>
      </c>
      <c r="H207">
        <v>61</v>
      </c>
      <c r="I207" t="s">
        <v>351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351</v>
      </c>
      <c r="V207" t="s">
        <v>351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5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351</v>
      </c>
      <c r="V208" t="s">
        <v>351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5">
        <v>44153.723773148151</v>
      </c>
      <c r="H209">
        <v>61</v>
      </c>
      <c r="I209" t="s">
        <v>351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351</v>
      </c>
      <c r="V209" t="s">
        <v>351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5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351</v>
      </c>
      <c r="V210" t="s">
        <v>351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5">
        <v>44153.723773148151</v>
      </c>
      <c r="H211">
        <v>61</v>
      </c>
      <c r="I211" t="s">
        <v>351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351</v>
      </c>
      <c r="V211" t="s">
        <v>351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5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351</v>
      </c>
      <c r="V212" t="s">
        <v>351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5">
        <v>44221.697384259256</v>
      </c>
      <c r="H213">
        <v>61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351</v>
      </c>
      <c r="V213" t="s">
        <v>351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5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351</v>
      </c>
      <c r="V214" t="s">
        <v>351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5">
        <v>44221.697384259256</v>
      </c>
      <c r="H215">
        <v>61</v>
      </c>
      <c r="I215" t="s">
        <v>351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351</v>
      </c>
      <c r="V215" t="s">
        <v>351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5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351</v>
      </c>
      <c r="V216" t="s">
        <v>351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5">
        <v>44221.697384259256</v>
      </c>
      <c r="H217">
        <v>61</v>
      </c>
      <c r="I217" t="s">
        <v>351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351</v>
      </c>
      <c r="V217" t="s">
        <v>351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5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351</v>
      </c>
      <c r="V218" t="s">
        <v>351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5">
        <v>44221.697384259256</v>
      </c>
      <c r="H219">
        <v>61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351</v>
      </c>
      <c r="V219" t="s">
        <v>351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5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351</v>
      </c>
      <c r="V220" t="s">
        <v>351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5">
        <v>44221.697384259256</v>
      </c>
      <c r="H221">
        <v>61</v>
      </c>
      <c r="I221" t="s">
        <v>351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351</v>
      </c>
      <c r="V221" t="s">
        <v>351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5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351</v>
      </c>
      <c r="V222" t="s">
        <v>351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5">
        <v>44215.508055555554</v>
      </c>
      <c r="H223">
        <v>61</v>
      </c>
      <c r="I223" t="s">
        <v>351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351</v>
      </c>
      <c r="V223" t="s">
        <v>351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5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351</v>
      </c>
      <c r="V224" t="s">
        <v>351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5">
        <v>44215.508055555554</v>
      </c>
      <c r="H225">
        <v>61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351</v>
      </c>
      <c r="V225" t="s">
        <v>351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5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351</v>
      </c>
      <c r="V226" t="s">
        <v>351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5">
        <v>44215.508055555554</v>
      </c>
      <c r="H227">
        <v>61</v>
      </c>
      <c r="I227" t="s">
        <v>351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351</v>
      </c>
      <c r="V227" t="s">
        <v>351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5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351</v>
      </c>
      <c r="V228" t="s">
        <v>351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5">
        <v>44215.508055555554</v>
      </c>
      <c r="H229">
        <v>61</v>
      </c>
      <c r="I229" t="s">
        <v>351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351</v>
      </c>
      <c r="V229" t="s">
        <v>351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5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351</v>
      </c>
      <c r="V230" t="s">
        <v>351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5">
        <v>44215.508055555554</v>
      </c>
      <c r="H231">
        <v>61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351</v>
      </c>
      <c r="V231" t="s">
        <v>351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5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351</v>
      </c>
      <c r="V232" t="s">
        <v>351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5">
        <v>44251.474293981482</v>
      </c>
      <c r="H233">
        <v>33</v>
      </c>
      <c r="I233" t="s">
        <v>351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351</v>
      </c>
      <c r="V233" t="s">
        <v>351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5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351</v>
      </c>
      <c r="V234" t="s">
        <v>351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5">
        <v>44251.474293981482</v>
      </c>
      <c r="H235">
        <v>33</v>
      </c>
      <c r="I235" t="s">
        <v>351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351</v>
      </c>
      <c r="V235" t="s">
        <v>351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5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351</v>
      </c>
      <c r="V236" t="s">
        <v>351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5">
        <v>44251.474293981482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351</v>
      </c>
      <c r="V237" t="s">
        <v>351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5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351</v>
      </c>
      <c r="V238" t="s">
        <v>351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5">
        <v>44251.474293981482</v>
      </c>
      <c r="H239">
        <v>33</v>
      </c>
      <c r="I239" t="s">
        <v>351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351</v>
      </c>
      <c r="V239" t="s">
        <v>351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5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351</v>
      </c>
      <c r="V240" t="s">
        <v>351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5">
        <v>44251.474293981482</v>
      </c>
      <c r="H241">
        <v>33</v>
      </c>
      <c r="I241" t="s">
        <v>351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351</v>
      </c>
      <c r="V241" t="s">
        <v>351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5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351</v>
      </c>
      <c r="V242" t="s">
        <v>351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5">
        <v>44273.429872685185</v>
      </c>
      <c r="H243">
        <v>61</v>
      </c>
      <c r="I243" t="s">
        <v>351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351</v>
      </c>
      <c r="V243" t="s">
        <v>351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5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351</v>
      </c>
      <c r="V244" t="s">
        <v>351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5">
        <v>44273.429872685185</v>
      </c>
      <c r="H245">
        <v>61</v>
      </c>
      <c r="I245" t="s">
        <v>351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351</v>
      </c>
      <c r="V245" t="s">
        <v>351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5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351</v>
      </c>
      <c r="V246" t="s">
        <v>351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5">
        <v>44273.429872685185</v>
      </c>
      <c r="H247">
        <v>61</v>
      </c>
      <c r="I247" t="s">
        <v>351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351</v>
      </c>
      <c r="V247" t="s">
        <v>351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5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351</v>
      </c>
      <c r="V248" t="s">
        <v>351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5">
        <v>44273.429872685185</v>
      </c>
      <c r="H249">
        <v>61</v>
      </c>
      <c r="I249" t="s">
        <v>351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351</v>
      </c>
      <c r="V249" t="s">
        <v>351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5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351</v>
      </c>
      <c r="V250" t="s">
        <v>351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5">
        <v>44273.429872685185</v>
      </c>
      <c r="H251">
        <v>61</v>
      </c>
      <c r="I251" t="s">
        <v>351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351</v>
      </c>
      <c r="V251" t="s">
        <v>351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5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351</v>
      </c>
      <c r="V252" t="s">
        <v>351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5">
        <v>44302.769236111111</v>
      </c>
      <c r="H253">
        <v>33</v>
      </c>
      <c r="I253" t="s">
        <v>351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351</v>
      </c>
      <c r="V253" t="s">
        <v>351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5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351</v>
      </c>
      <c r="V254" t="s">
        <v>351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5">
        <v>44302.769236111111</v>
      </c>
      <c r="H255">
        <v>33</v>
      </c>
      <c r="I255" t="s">
        <v>351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351</v>
      </c>
      <c r="V255" t="s">
        <v>351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5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351</v>
      </c>
      <c r="V256" t="s">
        <v>351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5">
        <v>44302.769236111111</v>
      </c>
      <c r="H257">
        <v>33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351</v>
      </c>
      <c r="V257" t="s">
        <v>351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5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351</v>
      </c>
      <c r="V258" t="s">
        <v>351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5">
        <v>44302.769236111111</v>
      </c>
      <c r="H259">
        <v>33</v>
      </c>
      <c r="I259" t="s">
        <v>351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351</v>
      </c>
      <c r="V259" t="s">
        <v>351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5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351</v>
      </c>
      <c r="V260" t="s">
        <v>351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5">
        <v>44302.769236111111</v>
      </c>
      <c r="H261">
        <v>33</v>
      </c>
      <c r="I261" t="s">
        <v>351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351</v>
      </c>
      <c r="V261" t="s">
        <v>351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5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351</v>
      </c>
      <c r="V262" t="s">
        <v>351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5">
        <v>44327.522789351853</v>
      </c>
      <c r="H263">
        <v>33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351</v>
      </c>
      <c r="V263" t="s">
        <v>351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5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351</v>
      </c>
      <c r="V264" t="s">
        <v>351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5">
        <v>44327.522789351853</v>
      </c>
      <c r="H265">
        <v>33</v>
      </c>
      <c r="I265" t="s">
        <v>351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351</v>
      </c>
      <c r="V265" t="s">
        <v>351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5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351</v>
      </c>
      <c r="V266" t="s">
        <v>351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5">
        <v>44327.522789351853</v>
      </c>
      <c r="H267">
        <v>33</v>
      </c>
      <c r="I267" t="s">
        <v>351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351</v>
      </c>
      <c r="V267" t="s">
        <v>351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5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351</v>
      </c>
      <c r="V268" t="s">
        <v>351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5">
        <v>44327.522789351853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351</v>
      </c>
      <c r="V269" t="s">
        <v>351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5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351</v>
      </c>
      <c r="V270" t="s">
        <v>351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5">
        <v>44327.522789351853</v>
      </c>
      <c r="H271">
        <v>33</v>
      </c>
      <c r="I271" t="s">
        <v>351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351</v>
      </c>
      <c r="V271" t="s">
        <v>351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5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351</v>
      </c>
      <c r="V272" t="s">
        <v>351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5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351</v>
      </c>
      <c r="V273" t="s">
        <v>351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5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351</v>
      </c>
      <c r="V274" t="s">
        <v>351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5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351</v>
      </c>
      <c r="V275" t="s">
        <v>351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5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351</v>
      </c>
      <c r="V276" t="s">
        <v>351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5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351</v>
      </c>
      <c r="V277" t="s">
        <v>351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7" t="s">
        <v>29</v>
      </c>
      <c r="B1" s="37" t="s">
        <v>1</v>
      </c>
      <c r="C1" s="37" t="s">
        <v>30</v>
      </c>
      <c r="D1" s="37" t="s">
        <v>34</v>
      </c>
      <c r="E1" s="37" t="s">
        <v>35</v>
      </c>
      <c r="F1" s="37" t="s">
        <v>36</v>
      </c>
      <c r="G1" s="37" t="s">
        <v>37</v>
      </c>
      <c r="H1" s="37" t="s">
        <v>38</v>
      </c>
      <c r="I1" s="37" t="s">
        <v>39</v>
      </c>
      <c r="J1" s="37" t="s">
        <v>40</v>
      </c>
      <c r="K1" s="37" t="s">
        <v>41</v>
      </c>
      <c r="L1" s="37" t="s">
        <v>42</v>
      </c>
      <c r="M1" s="37" t="s">
        <v>43</v>
      </c>
      <c r="N1" s="37" t="s">
        <v>44</v>
      </c>
      <c r="O1" s="37" t="s">
        <v>45</v>
      </c>
      <c r="P1" s="37" t="s">
        <v>46</v>
      </c>
      <c r="Q1" s="37" t="s">
        <v>31</v>
      </c>
      <c r="R1" s="37" t="s">
        <v>32</v>
      </c>
      <c r="S1" s="37" t="s">
        <v>18</v>
      </c>
      <c r="T1" s="37" t="s">
        <v>19</v>
      </c>
      <c r="U1" s="37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5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351</v>
      </c>
      <c r="T2" t="s">
        <v>351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5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351</v>
      </c>
      <c r="T3" t="s">
        <v>351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5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351</v>
      </c>
      <c r="T4" t="s">
        <v>351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5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351</v>
      </c>
      <c r="T5" t="s">
        <v>351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5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351</v>
      </c>
      <c r="T6" t="s">
        <v>351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5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351</v>
      </c>
      <c r="T7" t="s">
        <v>351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5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351</v>
      </c>
      <c r="T8" t="s">
        <v>351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5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351</v>
      </c>
      <c r="T9" t="s">
        <v>351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5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351</v>
      </c>
      <c r="T10" t="s">
        <v>351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5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351</v>
      </c>
      <c r="T11" t="s">
        <v>351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5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351</v>
      </c>
      <c r="T12" t="s">
        <v>351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5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351</v>
      </c>
      <c r="T13" t="s">
        <v>351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5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351</v>
      </c>
      <c r="T14" t="s">
        <v>351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5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351</v>
      </c>
      <c r="T15" t="s">
        <v>351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5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351</v>
      </c>
      <c r="T16" t="s">
        <v>351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5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351</v>
      </c>
      <c r="T17" t="s">
        <v>351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5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351</v>
      </c>
      <c r="T18" t="s">
        <v>351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5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351</v>
      </c>
      <c r="T19" t="s">
        <v>351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5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351</v>
      </c>
      <c r="T20" t="s">
        <v>351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5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351</v>
      </c>
      <c r="T21" t="s">
        <v>351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5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351</v>
      </c>
      <c r="T22" t="s">
        <v>351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5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351</v>
      </c>
      <c r="T23" t="s">
        <v>351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5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351</v>
      </c>
      <c r="T24" t="s">
        <v>351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5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351</v>
      </c>
      <c r="T25" t="s">
        <v>351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5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351</v>
      </c>
      <c r="T26" t="s">
        <v>351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5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351</v>
      </c>
      <c r="T27" t="s">
        <v>351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5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351</v>
      </c>
      <c r="T28" t="s">
        <v>351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5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351</v>
      </c>
      <c r="T29" t="s">
        <v>351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5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351</v>
      </c>
      <c r="T30" t="s">
        <v>351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5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351</v>
      </c>
      <c r="T31" t="s">
        <v>351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5">
        <v>43944.47278935185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5">
        <v>43944.47278935185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351</v>
      </c>
      <c r="T33" t="s">
        <v>351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5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351</v>
      </c>
      <c r="T34" t="s">
        <v>351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5">
        <v>43944.47278935185</v>
      </c>
      <c r="H35">
        <v>61</v>
      </c>
      <c r="I35" t="s">
        <v>351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5">
        <v>43944.47278935185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351</v>
      </c>
      <c r="T36" t="s">
        <v>351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5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351</v>
      </c>
      <c r="T37" t="s">
        <v>351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5">
        <v>43944.47278935185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5">
        <v>43944.47278935185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351</v>
      </c>
      <c r="T39" t="s">
        <v>351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5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351</v>
      </c>
      <c r="T40" t="s">
        <v>351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5">
        <v>43944.47278935185</v>
      </c>
      <c r="H41">
        <v>61</v>
      </c>
      <c r="I41" t="s">
        <v>351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5">
        <v>43944.47278935185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351</v>
      </c>
      <c r="T42" t="s">
        <v>351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5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351</v>
      </c>
      <c r="T43" t="s">
        <v>351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5">
        <v>43944.47278935185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5">
        <v>43944.47278935185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351</v>
      </c>
      <c r="T45" t="s">
        <v>351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5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351</v>
      </c>
      <c r="T46" t="s">
        <v>351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5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5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351</v>
      </c>
      <c r="T48" t="s">
        <v>351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5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351</v>
      </c>
      <c r="T49" t="s">
        <v>351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5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351</v>
      </c>
      <c r="T50" t="s">
        <v>351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5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351</v>
      </c>
      <c r="T51" t="s">
        <v>351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5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351</v>
      </c>
      <c r="T52" t="s">
        <v>351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5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351</v>
      </c>
      <c r="T53" t="s">
        <v>351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5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351</v>
      </c>
      <c r="T54" t="s">
        <v>351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5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351</v>
      </c>
      <c r="T55" t="s">
        <v>351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5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351</v>
      </c>
      <c r="T56" t="s">
        <v>351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5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351</v>
      </c>
      <c r="T57" t="s">
        <v>351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5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351</v>
      </c>
      <c r="T58" t="s">
        <v>351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5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351</v>
      </c>
      <c r="T59" t="s">
        <v>351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5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351</v>
      </c>
      <c r="T60" t="s">
        <v>351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5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351</v>
      </c>
      <c r="T61" t="s">
        <v>351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5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5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351</v>
      </c>
      <c r="T63" t="s">
        <v>351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5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351</v>
      </c>
      <c r="T64" t="s">
        <v>351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5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351</v>
      </c>
      <c r="T65" t="s">
        <v>351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5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351</v>
      </c>
      <c r="T66" t="s">
        <v>351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5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351</v>
      </c>
      <c r="T67" t="s">
        <v>351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5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351</v>
      </c>
      <c r="T68" t="s">
        <v>351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5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351</v>
      </c>
      <c r="T69" t="s">
        <v>351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5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351</v>
      </c>
      <c r="T70" t="s">
        <v>351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5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351</v>
      </c>
      <c r="T71" t="s">
        <v>351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5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351</v>
      </c>
      <c r="T72" t="s">
        <v>351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5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351</v>
      </c>
      <c r="T73" t="s">
        <v>351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5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351</v>
      </c>
      <c r="T74" t="s">
        <v>351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5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351</v>
      </c>
      <c r="T75" t="s">
        <v>351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5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351</v>
      </c>
      <c r="T76" t="s">
        <v>351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5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5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351</v>
      </c>
      <c r="T78" t="s">
        <v>351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5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351</v>
      </c>
      <c r="T79" t="s">
        <v>351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5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351</v>
      </c>
      <c r="T80" t="s">
        <v>351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5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351</v>
      </c>
      <c r="T81" t="s">
        <v>351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5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351</v>
      </c>
      <c r="T82" t="s">
        <v>351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5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351</v>
      </c>
      <c r="T83" t="s">
        <v>351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5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351</v>
      </c>
      <c r="T84" t="s">
        <v>351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5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5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351</v>
      </c>
      <c r="T86" t="s">
        <v>351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5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351</v>
      </c>
      <c r="T87" t="s">
        <v>351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5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351</v>
      </c>
      <c r="T88" t="s">
        <v>351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5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351</v>
      </c>
      <c r="T89" t="s">
        <v>351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5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351</v>
      </c>
      <c r="T90" t="s">
        <v>351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5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351</v>
      </c>
      <c r="T91" t="s">
        <v>351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5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5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351</v>
      </c>
      <c r="T93" t="s">
        <v>351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5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351</v>
      </c>
      <c r="T94" t="s">
        <v>351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5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351</v>
      </c>
      <c r="T95" t="s">
        <v>351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5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351</v>
      </c>
      <c r="T96" t="s">
        <v>351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5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351</v>
      </c>
      <c r="T97" t="s">
        <v>351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5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351</v>
      </c>
      <c r="T98" t="s">
        <v>351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5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351</v>
      </c>
      <c r="T99" t="s">
        <v>351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5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351</v>
      </c>
      <c r="T100" t="s">
        <v>351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5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351</v>
      </c>
      <c r="T101" t="s">
        <v>351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5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351</v>
      </c>
      <c r="T102" t="s">
        <v>351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5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351</v>
      </c>
      <c r="T103" t="s">
        <v>351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5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351</v>
      </c>
      <c r="T104" t="s">
        <v>351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5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351</v>
      </c>
      <c r="T105" t="s">
        <v>351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5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351</v>
      </c>
      <c r="T106" t="s">
        <v>351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5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351</v>
      </c>
      <c r="T107" t="s">
        <v>351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5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5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351</v>
      </c>
      <c r="T109" t="s">
        <v>351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5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351</v>
      </c>
      <c r="T110" t="s">
        <v>351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5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351</v>
      </c>
      <c r="T111" t="s">
        <v>351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5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351</v>
      </c>
      <c r="T112" t="s">
        <v>351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5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351</v>
      </c>
      <c r="T113" t="s">
        <v>351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5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351</v>
      </c>
      <c r="T114" t="s">
        <v>351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5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351</v>
      </c>
      <c r="T115" t="s">
        <v>351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5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351</v>
      </c>
      <c r="T116" t="s">
        <v>351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5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5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351</v>
      </c>
      <c r="T118" t="s">
        <v>351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5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351</v>
      </c>
      <c r="T119" t="s">
        <v>351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5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351</v>
      </c>
      <c r="T120" t="s">
        <v>351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5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351</v>
      </c>
      <c r="T121" t="s">
        <v>351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5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351</v>
      </c>
      <c r="T122" t="s">
        <v>351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5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5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351</v>
      </c>
      <c r="T124" t="s">
        <v>351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5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351</v>
      </c>
      <c r="T125" t="s">
        <v>351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5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351</v>
      </c>
      <c r="T126" t="s">
        <v>351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5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351</v>
      </c>
      <c r="T127" t="s">
        <v>351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5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351</v>
      </c>
      <c r="T128" t="s">
        <v>351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5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351</v>
      </c>
      <c r="T129" t="s">
        <v>351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5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351</v>
      </c>
      <c r="T130" t="s">
        <v>351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5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351</v>
      </c>
      <c r="T131" t="s">
        <v>351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5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351</v>
      </c>
      <c r="T132" t="s">
        <v>351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5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351</v>
      </c>
      <c r="T133" t="s">
        <v>351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5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351</v>
      </c>
      <c r="T134" t="s">
        <v>351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5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351</v>
      </c>
      <c r="T135" t="s">
        <v>351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5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351</v>
      </c>
      <c r="T136" t="s">
        <v>351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topLeftCell="I1" zoomScale="60" zoomScaleNormal="60" workbookViewId="0">
      <selection activeCell="U1" sqref="U1:U1048576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27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6" t="s">
        <v>18</v>
      </c>
      <c r="T1" s="2" t="s">
        <v>19</v>
      </c>
      <c r="U1" s="2" t="s">
        <v>75</v>
      </c>
      <c r="V1" s="2" t="s">
        <v>20</v>
      </c>
      <c r="W1" s="26" t="s">
        <v>76</v>
      </c>
      <c r="X1" s="2" t="s">
        <v>21</v>
      </c>
      <c r="Y1" s="2" t="s">
        <v>22</v>
      </c>
      <c r="Z1" s="2" t="s">
        <v>77</v>
      </c>
      <c r="AA1" t="s">
        <v>23</v>
      </c>
      <c r="AB1" t="s">
        <v>78</v>
      </c>
      <c r="AC1" t="s">
        <v>24</v>
      </c>
      <c r="AD1" t="s">
        <v>71</v>
      </c>
    </row>
    <row r="2" spans="1:30" x14ac:dyDescent="0.25">
      <c r="A2">
        <v>607827</v>
      </c>
      <c r="B2" t="s">
        <v>105</v>
      </c>
      <c r="C2">
        <v>2016</v>
      </c>
      <c r="D2">
        <v>3</v>
      </c>
      <c r="E2" t="s">
        <v>87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104</v>
      </c>
      <c r="L2" t="s">
        <v>103</v>
      </c>
      <c r="M2">
        <v>1703.6853574199999</v>
      </c>
      <c r="N2">
        <v>0</v>
      </c>
      <c r="O2" t="s">
        <v>79</v>
      </c>
      <c r="P2" s="38">
        <v>44330.494940509263</v>
      </c>
      <c r="Q2">
        <v>5439222</v>
      </c>
      <c r="R2" t="s">
        <v>74</v>
      </c>
      <c r="S2" s="4">
        <v>45.689989320000002</v>
      </c>
      <c r="W2"/>
      <c r="X2">
        <v>0</v>
      </c>
      <c r="AC2" t="s">
        <v>84</v>
      </c>
      <c r="AD2" s="38">
        <v>42430</v>
      </c>
    </row>
    <row r="3" spans="1:30" x14ac:dyDescent="0.25">
      <c r="A3">
        <v>607809</v>
      </c>
      <c r="B3" t="s">
        <v>105</v>
      </c>
      <c r="C3">
        <v>2016</v>
      </c>
      <c r="D3">
        <v>3</v>
      </c>
      <c r="E3" t="s">
        <v>85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102</v>
      </c>
      <c r="L3" t="s">
        <v>103</v>
      </c>
      <c r="M3">
        <v>6396.77665523</v>
      </c>
      <c r="N3">
        <v>0</v>
      </c>
      <c r="O3" t="s">
        <v>79</v>
      </c>
      <c r="P3" s="38">
        <v>44330.494939849537</v>
      </c>
      <c r="Q3">
        <v>5439188</v>
      </c>
      <c r="R3" t="s">
        <v>74</v>
      </c>
      <c r="S3" s="4">
        <v>95.084381250000007</v>
      </c>
      <c r="W3"/>
      <c r="X3">
        <v>0</v>
      </c>
      <c r="AC3" t="s">
        <v>84</v>
      </c>
      <c r="AD3" s="38">
        <v>42430</v>
      </c>
    </row>
    <row r="4" spans="1:30" x14ac:dyDescent="0.25">
      <c r="A4">
        <v>607845</v>
      </c>
      <c r="B4" t="s">
        <v>105</v>
      </c>
      <c r="C4">
        <v>2016</v>
      </c>
      <c r="D4">
        <v>3</v>
      </c>
      <c r="E4" t="s">
        <v>59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106</v>
      </c>
      <c r="L4" t="s">
        <v>103</v>
      </c>
      <c r="M4">
        <v>2312.6677555199999</v>
      </c>
      <c r="N4">
        <v>0</v>
      </c>
      <c r="O4" t="s">
        <v>79</v>
      </c>
      <c r="P4" s="38">
        <v>44330.494941122677</v>
      </c>
      <c r="Q4">
        <v>5439256</v>
      </c>
      <c r="R4" t="s">
        <v>74</v>
      </c>
      <c r="S4" s="4">
        <v>61.060298299999999</v>
      </c>
      <c r="W4"/>
      <c r="X4">
        <v>0</v>
      </c>
      <c r="AC4" t="s">
        <v>84</v>
      </c>
      <c r="AD4" s="38">
        <v>42430</v>
      </c>
    </row>
    <row r="5" spans="1:30" x14ac:dyDescent="0.25">
      <c r="A5">
        <v>607827</v>
      </c>
      <c r="B5" t="s">
        <v>105</v>
      </c>
      <c r="C5">
        <v>2016</v>
      </c>
      <c r="D5">
        <v>3</v>
      </c>
      <c r="E5" t="s">
        <v>87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104</v>
      </c>
      <c r="L5" t="s">
        <v>103</v>
      </c>
      <c r="M5">
        <v>1703.6853574199999</v>
      </c>
      <c r="N5">
        <v>0</v>
      </c>
      <c r="O5" t="s">
        <v>79</v>
      </c>
      <c r="P5" s="38">
        <v>44330.494940509263</v>
      </c>
      <c r="Q5">
        <v>5439221</v>
      </c>
      <c r="R5" t="s">
        <v>82</v>
      </c>
      <c r="S5" s="4">
        <v>1725.23982916</v>
      </c>
      <c r="W5"/>
      <c r="X5">
        <v>0</v>
      </c>
      <c r="AC5" t="s">
        <v>84</v>
      </c>
      <c r="AD5" s="38">
        <v>42430</v>
      </c>
    </row>
    <row r="6" spans="1:30" x14ac:dyDescent="0.25">
      <c r="A6">
        <v>607845</v>
      </c>
      <c r="B6" t="s">
        <v>105</v>
      </c>
      <c r="C6">
        <v>2016</v>
      </c>
      <c r="D6">
        <v>3</v>
      </c>
      <c r="E6" t="s">
        <v>59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106</v>
      </c>
      <c r="L6" t="s">
        <v>103</v>
      </c>
      <c r="M6">
        <v>2312.6677555199999</v>
      </c>
      <c r="N6">
        <v>0</v>
      </c>
      <c r="O6" t="s">
        <v>79</v>
      </c>
      <c r="P6" s="38">
        <v>44330.494941122677</v>
      </c>
      <c r="Q6">
        <v>5439255</v>
      </c>
      <c r="R6" t="s">
        <v>82</v>
      </c>
      <c r="S6" s="4">
        <v>2342.8884535299999</v>
      </c>
      <c r="W6"/>
      <c r="X6">
        <v>0</v>
      </c>
      <c r="AC6" t="s">
        <v>84</v>
      </c>
      <c r="AD6" s="38">
        <v>42430</v>
      </c>
    </row>
    <row r="7" spans="1:30" x14ac:dyDescent="0.25">
      <c r="A7">
        <v>607809</v>
      </c>
      <c r="B7" t="s">
        <v>105</v>
      </c>
      <c r="C7">
        <v>2016</v>
      </c>
      <c r="D7">
        <v>3</v>
      </c>
      <c r="E7" t="s">
        <v>85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102</v>
      </c>
      <c r="L7" t="s">
        <v>103</v>
      </c>
      <c r="M7">
        <v>6396.77665523</v>
      </c>
      <c r="N7">
        <v>0</v>
      </c>
      <c r="O7" t="s">
        <v>79</v>
      </c>
      <c r="P7" s="38">
        <v>44330.494939849537</v>
      </c>
      <c r="Q7">
        <v>5439187</v>
      </c>
      <c r="R7" t="s">
        <v>82</v>
      </c>
      <c r="S7" s="4">
        <v>6554.1730485600001</v>
      </c>
      <c r="W7"/>
      <c r="X7">
        <v>0</v>
      </c>
      <c r="AC7" t="s">
        <v>84</v>
      </c>
      <c r="AD7" s="38">
        <v>42430</v>
      </c>
    </row>
    <row r="8" spans="1:30" x14ac:dyDescent="0.25">
      <c r="A8">
        <v>600911</v>
      </c>
      <c r="B8" t="s">
        <v>99</v>
      </c>
      <c r="C8">
        <v>2016</v>
      </c>
      <c r="D8">
        <v>4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4919.3408924699997</v>
      </c>
      <c r="N8">
        <v>0</v>
      </c>
      <c r="O8" t="s">
        <v>79</v>
      </c>
      <c r="P8" s="38">
        <v>44330.488381134259</v>
      </c>
      <c r="Q8">
        <v>5423000</v>
      </c>
      <c r="R8" t="s">
        <v>74</v>
      </c>
      <c r="S8" s="4">
        <v>73.123154069999998</v>
      </c>
      <c r="W8"/>
      <c r="X8">
        <v>0</v>
      </c>
      <c r="AC8" t="s">
        <v>84</v>
      </c>
      <c r="AD8" s="38">
        <v>42461</v>
      </c>
    </row>
    <row r="9" spans="1:30" x14ac:dyDescent="0.25">
      <c r="A9">
        <v>600947</v>
      </c>
      <c r="B9" t="s">
        <v>99</v>
      </c>
      <c r="C9">
        <v>2016</v>
      </c>
      <c r="D9">
        <v>4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2065.7815005799998</v>
      </c>
      <c r="N9">
        <v>0</v>
      </c>
      <c r="O9" t="s">
        <v>79</v>
      </c>
      <c r="P9" s="38">
        <v>44330.488382442127</v>
      </c>
      <c r="Q9">
        <v>5423068</v>
      </c>
      <c r="R9" t="s">
        <v>74</v>
      </c>
      <c r="S9" s="4">
        <v>54.541874569999997</v>
      </c>
      <c r="W9"/>
      <c r="X9">
        <v>0</v>
      </c>
      <c r="AC9" t="s">
        <v>84</v>
      </c>
      <c r="AD9" s="38">
        <v>42461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8">
        <v>44330.488381793977</v>
      </c>
      <c r="Q10">
        <v>5423034</v>
      </c>
      <c r="R10" t="s">
        <v>74</v>
      </c>
      <c r="S10" s="4">
        <v>35.336403199999999</v>
      </c>
      <c r="W10"/>
      <c r="X10">
        <v>0</v>
      </c>
      <c r="AC10" t="s">
        <v>84</v>
      </c>
      <c r="AD10" s="38">
        <v>42461</v>
      </c>
    </row>
    <row r="11" spans="1:30" x14ac:dyDescent="0.25">
      <c r="A11">
        <v>600929</v>
      </c>
      <c r="B11" t="s">
        <v>99</v>
      </c>
      <c r="C11">
        <v>2016</v>
      </c>
      <c r="D11">
        <v>4</v>
      </c>
      <c r="E11" t="s">
        <v>87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104</v>
      </c>
      <c r="L11" t="s">
        <v>103</v>
      </c>
      <c r="M11">
        <v>1317.6215099999999</v>
      </c>
      <c r="N11">
        <v>0</v>
      </c>
      <c r="O11" t="s">
        <v>79</v>
      </c>
      <c r="P11" s="38">
        <v>44330.488381793977</v>
      </c>
      <c r="Q11">
        <v>5423033</v>
      </c>
      <c r="R11" t="s">
        <v>82</v>
      </c>
      <c r="S11" s="4">
        <v>1334.2916278</v>
      </c>
      <c r="W11"/>
      <c r="X11">
        <v>0</v>
      </c>
      <c r="AC11" t="s">
        <v>84</v>
      </c>
      <c r="AD11" s="38">
        <v>42461</v>
      </c>
    </row>
    <row r="12" spans="1:30" x14ac:dyDescent="0.25">
      <c r="A12">
        <v>600911</v>
      </c>
      <c r="B12" t="s">
        <v>99</v>
      </c>
      <c r="C12">
        <v>2016</v>
      </c>
      <c r="D12">
        <v>4</v>
      </c>
      <c r="E12" t="s">
        <v>85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102</v>
      </c>
      <c r="L12" t="s">
        <v>103</v>
      </c>
      <c r="M12">
        <v>4919.3408924699997</v>
      </c>
      <c r="N12">
        <v>0</v>
      </c>
      <c r="O12" t="s">
        <v>79</v>
      </c>
      <c r="P12" s="38">
        <v>44330.488381134259</v>
      </c>
      <c r="Q12">
        <v>5422999</v>
      </c>
      <c r="R12" t="s">
        <v>82</v>
      </c>
      <c r="S12" s="4">
        <v>5040.3841234299998</v>
      </c>
      <c r="W12"/>
      <c r="X12">
        <v>0</v>
      </c>
      <c r="AC12" t="s">
        <v>84</v>
      </c>
      <c r="AD12" s="38">
        <v>42461</v>
      </c>
    </row>
    <row r="13" spans="1:30" x14ac:dyDescent="0.25">
      <c r="A13">
        <v>600947</v>
      </c>
      <c r="B13" t="s">
        <v>99</v>
      </c>
      <c r="C13">
        <v>2016</v>
      </c>
      <c r="D13">
        <v>4</v>
      </c>
      <c r="E13" t="s">
        <v>59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106</v>
      </c>
      <c r="L13" t="s">
        <v>103</v>
      </c>
      <c r="M13">
        <v>2065.7815005799998</v>
      </c>
      <c r="N13">
        <v>0</v>
      </c>
      <c r="O13" t="s">
        <v>79</v>
      </c>
      <c r="P13" s="38">
        <v>44330.488382442127</v>
      </c>
      <c r="Q13">
        <v>5423067</v>
      </c>
      <c r="R13" t="s">
        <v>82</v>
      </c>
      <c r="S13" s="4">
        <v>2092.7760218399999</v>
      </c>
      <c r="W13"/>
      <c r="X13">
        <v>0</v>
      </c>
      <c r="AC13" t="s">
        <v>84</v>
      </c>
      <c r="AD13" s="38">
        <v>42461</v>
      </c>
    </row>
    <row r="14" spans="1:30" x14ac:dyDescent="0.25">
      <c r="A14">
        <v>672488</v>
      </c>
      <c r="B14" t="s">
        <v>134</v>
      </c>
      <c r="C14">
        <v>2016</v>
      </c>
      <c r="D14">
        <v>5</v>
      </c>
      <c r="E14" t="s">
        <v>59</v>
      </c>
      <c r="F14" t="s">
        <v>84</v>
      </c>
      <c r="G14" t="s">
        <v>84</v>
      </c>
      <c r="H14" t="s">
        <v>25</v>
      </c>
      <c r="I14" t="s">
        <v>25</v>
      </c>
      <c r="J14" t="s">
        <v>101</v>
      </c>
      <c r="K14" t="s">
        <v>106</v>
      </c>
      <c r="L14" t="s">
        <v>103</v>
      </c>
      <c r="M14">
        <v>2057.3166490100002</v>
      </c>
      <c r="N14">
        <v>0</v>
      </c>
      <c r="O14" t="s">
        <v>79</v>
      </c>
      <c r="P14" s="38">
        <v>44334.070165358797</v>
      </c>
      <c r="Q14">
        <v>5939587</v>
      </c>
      <c r="R14" t="s">
        <v>74</v>
      </c>
      <c r="S14" s="4">
        <v>54.318381000000002</v>
      </c>
      <c r="W14"/>
      <c r="X14">
        <v>0</v>
      </c>
      <c r="AC14" t="s">
        <v>84</v>
      </c>
      <c r="AD14" s="38">
        <v>42491</v>
      </c>
    </row>
    <row r="15" spans="1:30" x14ac:dyDescent="0.25">
      <c r="A15">
        <v>672470</v>
      </c>
      <c r="B15" t="s">
        <v>134</v>
      </c>
      <c r="C15">
        <v>2016</v>
      </c>
      <c r="D15">
        <v>5</v>
      </c>
      <c r="E15" t="s">
        <v>87</v>
      </c>
      <c r="F15" t="s">
        <v>84</v>
      </c>
      <c r="G15" t="s">
        <v>84</v>
      </c>
      <c r="H15" t="s">
        <v>25</v>
      </c>
      <c r="I15" t="s">
        <v>25</v>
      </c>
      <c r="J15" t="s">
        <v>101</v>
      </c>
      <c r="K15" t="s">
        <v>104</v>
      </c>
      <c r="L15" t="s">
        <v>103</v>
      </c>
      <c r="M15">
        <v>1352.1891427099999</v>
      </c>
      <c r="N15">
        <v>0</v>
      </c>
      <c r="O15" t="s">
        <v>79</v>
      </c>
      <c r="P15" s="38">
        <v>44334.07016489582</v>
      </c>
      <c r="Q15">
        <v>5939551</v>
      </c>
      <c r="R15" t="s">
        <v>74</v>
      </c>
      <c r="S15" s="4">
        <v>36.26344924</v>
      </c>
      <c r="W15"/>
      <c r="X15">
        <v>0</v>
      </c>
      <c r="AC15" t="s">
        <v>84</v>
      </c>
      <c r="AD15" s="38">
        <v>42491</v>
      </c>
    </row>
    <row r="16" spans="1:30" x14ac:dyDescent="0.25">
      <c r="A16">
        <v>672452</v>
      </c>
      <c r="B16" t="s">
        <v>134</v>
      </c>
      <c r="C16">
        <v>2016</v>
      </c>
      <c r="D16">
        <v>5</v>
      </c>
      <c r="E16" t="s">
        <v>85</v>
      </c>
      <c r="F16" t="s">
        <v>84</v>
      </c>
      <c r="G16" t="s">
        <v>84</v>
      </c>
      <c r="H16" t="s">
        <v>25</v>
      </c>
      <c r="I16" t="s">
        <v>25</v>
      </c>
      <c r="J16" t="s">
        <v>101</v>
      </c>
      <c r="K16" t="s">
        <v>102</v>
      </c>
      <c r="L16" t="s">
        <v>103</v>
      </c>
      <c r="M16">
        <v>4669.0953959799999</v>
      </c>
      <c r="N16">
        <v>0</v>
      </c>
      <c r="O16" t="s">
        <v>79</v>
      </c>
      <c r="P16" s="38">
        <v>44334.070164432873</v>
      </c>
      <c r="Q16">
        <v>5939515</v>
      </c>
      <c r="R16" t="s">
        <v>74</v>
      </c>
      <c r="S16" s="4">
        <v>69.403399649999997</v>
      </c>
      <c r="W16"/>
      <c r="X16">
        <v>0</v>
      </c>
      <c r="AC16" t="s">
        <v>84</v>
      </c>
      <c r="AD16" s="38">
        <v>42491</v>
      </c>
    </row>
    <row r="17" spans="1:30" x14ac:dyDescent="0.25">
      <c r="A17">
        <v>672488</v>
      </c>
      <c r="B17" t="s">
        <v>134</v>
      </c>
      <c r="C17">
        <v>2016</v>
      </c>
      <c r="D17">
        <v>5</v>
      </c>
      <c r="E17" t="s">
        <v>59</v>
      </c>
      <c r="F17" t="s">
        <v>84</v>
      </c>
      <c r="G17" t="s">
        <v>84</v>
      </c>
      <c r="H17" t="s">
        <v>25</v>
      </c>
      <c r="I17" t="s">
        <v>25</v>
      </c>
      <c r="J17" t="s">
        <v>101</v>
      </c>
      <c r="K17" t="s">
        <v>106</v>
      </c>
      <c r="L17" t="s">
        <v>103</v>
      </c>
      <c r="M17">
        <v>2057.3166490100002</v>
      </c>
      <c r="N17">
        <v>0</v>
      </c>
      <c r="O17" t="s">
        <v>79</v>
      </c>
      <c r="P17" s="38">
        <v>44334.070165358797</v>
      </c>
      <c r="Q17">
        <v>5939586</v>
      </c>
      <c r="R17" t="s">
        <v>82</v>
      </c>
      <c r="S17" s="4">
        <v>2084.2005561400001</v>
      </c>
      <c r="W17"/>
      <c r="X17">
        <v>0</v>
      </c>
      <c r="AC17" t="s">
        <v>84</v>
      </c>
      <c r="AD17" s="38">
        <v>42491</v>
      </c>
    </row>
    <row r="18" spans="1:30" x14ac:dyDescent="0.25">
      <c r="A18">
        <v>672470</v>
      </c>
      <c r="B18" t="s">
        <v>134</v>
      </c>
      <c r="C18">
        <v>2016</v>
      </c>
      <c r="D18">
        <v>5</v>
      </c>
      <c r="E18" t="s">
        <v>87</v>
      </c>
      <c r="F18" t="s">
        <v>84</v>
      </c>
      <c r="G18" t="s">
        <v>84</v>
      </c>
      <c r="H18" t="s">
        <v>25</v>
      </c>
      <c r="I18" t="s">
        <v>25</v>
      </c>
      <c r="J18" t="s">
        <v>101</v>
      </c>
      <c r="K18" t="s">
        <v>104</v>
      </c>
      <c r="L18" t="s">
        <v>103</v>
      </c>
      <c r="M18">
        <v>1352.1891427099999</v>
      </c>
      <c r="N18">
        <v>0</v>
      </c>
      <c r="O18" t="s">
        <v>79</v>
      </c>
      <c r="P18" s="38">
        <v>44334.07016489582</v>
      </c>
      <c r="Q18">
        <v>5939550</v>
      </c>
      <c r="R18" t="s">
        <v>82</v>
      </c>
      <c r="S18" s="4">
        <v>1369.2965989300001</v>
      </c>
      <c r="W18"/>
      <c r="X18">
        <v>0</v>
      </c>
      <c r="AC18" t="s">
        <v>84</v>
      </c>
      <c r="AD18" s="38">
        <v>42491</v>
      </c>
    </row>
    <row r="19" spans="1:30" x14ac:dyDescent="0.25">
      <c r="A19">
        <v>672452</v>
      </c>
      <c r="B19" t="s">
        <v>134</v>
      </c>
      <c r="C19">
        <v>2016</v>
      </c>
      <c r="D19">
        <v>5</v>
      </c>
      <c r="E19" t="s">
        <v>85</v>
      </c>
      <c r="F19" t="s">
        <v>84</v>
      </c>
      <c r="G19" t="s">
        <v>84</v>
      </c>
      <c r="H19" t="s">
        <v>25</v>
      </c>
      <c r="I19" t="s">
        <v>25</v>
      </c>
      <c r="J19" t="s">
        <v>101</v>
      </c>
      <c r="K19" t="s">
        <v>102</v>
      </c>
      <c r="L19" t="s">
        <v>103</v>
      </c>
      <c r="M19">
        <v>4669.0953959799999</v>
      </c>
      <c r="N19">
        <v>0</v>
      </c>
      <c r="O19" t="s">
        <v>79</v>
      </c>
      <c r="P19" s="38">
        <v>44334.070164432873</v>
      </c>
      <c r="Q19">
        <v>5939514</v>
      </c>
      <c r="R19" t="s">
        <v>82</v>
      </c>
      <c r="S19" s="4">
        <v>4783.9811915999999</v>
      </c>
      <c r="W19"/>
      <c r="X19">
        <v>0</v>
      </c>
      <c r="AC19" t="s">
        <v>84</v>
      </c>
      <c r="AD19" s="38">
        <v>42491</v>
      </c>
    </row>
    <row r="20" spans="1:30" x14ac:dyDescent="0.25">
      <c r="A20">
        <v>723878</v>
      </c>
      <c r="B20" t="s">
        <v>136</v>
      </c>
      <c r="C20">
        <v>2016</v>
      </c>
      <c r="D20">
        <v>6</v>
      </c>
      <c r="E20" t="s">
        <v>59</v>
      </c>
      <c r="F20" t="s">
        <v>84</v>
      </c>
      <c r="G20" t="s">
        <v>84</v>
      </c>
      <c r="H20" t="s">
        <v>25</v>
      </c>
      <c r="I20" t="s">
        <v>25</v>
      </c>
      <c r="J20" t="s">
        <v>101</v>
      </c>
      <c r="K20" t="s">
        <v>106</v>
      </c>
      <c r="L20" t="s">
        <v>103</v>
      </c>
      <c r="M20">
        <v>1810.25289694</v>
      </c>
      <c r="N20">
        <v>0</v>
      </c>
      <c r="O20" t="s">
        <v>79</v>
      </c>
      <c r="P20" s="38">
        <v>44334.106443090277</v>
      </c>
      <c r="Q20">
        <v>6309635</v>
      </c>
      <c r="R20" t="s">
        <v>74</v>
      </c>
      <c r="S20" s="4">
        <v>47.795270899999998</v>
      </c>
      <c r="W20"/>
      <c r="X20">
        <v>0</v>
      </c>
      <c r="AC20" t="s">
        <v>84</v>
      </c>
      <c r="AD20" s="38">
        <v>42522</v>
      </c>
    </row>
    <row r="21" spans="1:30" x14ac:dyDescent="0.25">
      <c r="A21">
        <v>723860</v>
      </c>
      <c r="B21" t="s">
        <v>136</v>
      </c>
      <c r="C21">
        <v>2016</v>
      </c>
      <c r="D21">
        <v>6</v>
      </c>
      <c r="E21" t="s">
        <v>87</v>
      </c>
      <c r="F21" t="s">
        <v>84</v>
      </c>
      <c r="G21" t="s">
        <v>84</v>
      </c>
      <c r="H21" t="s">
        <v>25</v>
      </c>
      <c r="I21" t="s">
        <v>25</v>
      </c>
      <c r="J21" t="s">
        <v>101</v>
      </c>
      <c r="K21" t="s">
        <v>104</v>
      </c>
      <c r="L21" t="s">
        <v>103</v>
      </c>
      <c r="M21">
        <v>1074.09600742</v>
      </c>
      <c r="N21">
        <v>0</v>
      </c>
      <c r="O21" t="s">
        <v>79</v>
      </c>
      <c r="P21" s="38">
        <v>44334.10644262733</v>
      </c>
      <c r="Q21">
        <v>6309599</v>
      </c>
      <c r="R21" t="s">
        <v>74</v>
      </c>
      <c r="S21" s="4">
        <v>28.805456880000001</v>
      </c>
      <c r="W21"/>
      <c r="X21">
        <v>0</v>
      </c>
      <c r="AC21" t="s">
        <v>84</v>
      </c>
      <c r="AD21" s="38">
        <v>42522</v>
      </c>
    </row>
    <row r="22" spans="1:30" x14ac:dyDescent="0.25">
      <c r="A22">
        <v>723842</v>
      </c>
      <c r="B22" t="s">
        <v>136</v>
      </c>
      <c r="C22">
        <v>2016</v>
      </c>
      <c r="D22">
        <v>6</v>
      </c>
      <c r="E22" t="s">
        <v>85</v>
      </c>
      <c r="F22" t="s">
        <v>84</v>
      </c>
      <c r="G22" t="s">
        <v>84</v>
      </c>
      <c r="H22" t="s">
        <v>25</v>
      </c>
      <c r="I22" t="s">
        <v>25</v>
      </c>
      <c r="J22" t="s">
        <v>101</v>
      </c>
      <c r="K22" t="s">
        <v>102</v>
      </c>
      <c r="L22" t="s">
        <v>103</v>
      </c>
      <c r="M22">
        <v>3755.8750081799999</v>
      </c>
      <c r="N22">
        <v>0</v>
      </c>
      <c r="O22" t="s">
        <v>79</v>
      </c>
      <c r="P22" s="38">
        <v>44334.106442164353</v>
      </c>
      <c r="Q22">
        <v>6309563</v>
      </c>
      <c r="R22" t="s">
        <v>74</v>
      </c>
      <c r="S22" s="4">
        <v>55.828907340000001</v>
      </c>
      <c r="W22"/>
      <c r="X22">
        <v>0</v>
      </c>
      <c r="AC22" t="s">
        <v>84</v>
      </c>
      <c r="AD22" s="38">
        <v>42522</v>
      </c>
    </row>
    <row r="23" spans="1:30" x14ac:dyDescent="0.25">
      <c r="A23">
        <v>723878</v>
      </c>
      <c r="B23" t="s">
        <v>136</v>
      </c>
      <c r="C23">
        <v>2016</v>
      </c>
      <c r="D23">
        <v>6</v>
      </c>
      <c r="E23" t="s">
        <v>59</v>
      </c>
      <c r="F23" t="s">
        <v>84</v>
      </c>
      <c r="G23" t="s">
        <v>84</v>
      </c>
      <c r="H23" t="s">
        <v>25</v>
      </c>
      <c r="I23" t="s">
        <v>25</v>
      </c>
      <c r="J23" t="s">
        <v>101</v>
      </c>
      <c r="K23" t="s">
        <v>106</v>
      </c>
      <c r="L23" t="s">
        <v>103</v>
      </c>
      <c r="M23">
        <v>1810.25289694</v>
      </c>
      <c r="N23">
        <v>0</v>
      </c>
      <c r="O23" t="s">
        <v>79</v>
      </c>
      <c r="P23" s="38">
        <v>44334.106443090277</v>
      </c>
      <c r="Q23">
        <v>6309634</v>
      </c>
      <c r="R23" t="s">
        <v>82</v>
      </c>
      <c r="S23" s="4">
        <v>1833.9083078799999</v>
      </c>
      <c r="W23"/>
      <c r="X23">
        <v>0</v>
      </c>
      <c r="AC23" t="s">
        <v>84</v>
      </c>
      <c r="AD23" s="38">
        <v>42522</v>
      </c>
    </row>
    <row r="24" spans="1:30" x14ac:dyDescent="0.25">
      <c r="A24">
        <v>723842</v>
      </c>
      <c r="B24" t="s">
        <v>136</v>
      </c>
      <c r="C24">
        <v>2016</v>
      </c>
      <c r="D24">
        <v>6</v>
      </c>
      <c r="E24" t="s">
        <v>85</v>
      </c>
      <c r="F24" t="s">
        <v>84</v>
      </c>
      <c r="G24" t="s">
        <v>84</v>
      </c>
      <c r="H24" t="s">
        <v>25</v>
      </c>
      <c r="I24" t="s">
        <v>25</v>
      </c>
      <c r="J24" t="s">
        <v>101</v>
      </c>
      <c r="K24" t="s">
        <v>102</v>
      </c>
      <c r="L24" t="s">
        <v>103</v>
      </c>
      <c r="M24">
        <v>3755.8750081799999</v>
      </c>
      <c r="N24">
        <v>0</v>
      </c>
      <c r="O24" t="s">
        <v>79</v>
      </c>
      <c r="P24" s="38">
        <v>44334.106442164353</v>
      </c>
      <c r="Q24">
        <v>6309562</v>
      </c>
      <c r="R24" t="s">
        <v>82</v>
      </c>
      <c r="S24" s="4">
        <v>3848.29048741</v>
      </c>
      <c r="W24"/>
      <c r="X24">
        <v>0</v>
      </c>
      <c r="AC24" t="s">
        <v>84</v>
      </c>
      <c r="AD24" s="38">
        <v>42522</v>
      </c>
    </row>
    <row r="25" spans="1:30" x14ac:dyDescent="0.25">
      <c r="A25">
        <v>723860</v>
      </c>
      <c r="B25" t="s">
        <v>136</v>
      </c>
      <c r="C25">
        <v>2016</v>
      </c>
      <c r="D25">
        <v>6</v>
      </c>
      <c r="E25" t="s">
        <v>87</v>
      </c>
      <c r="F25" t="s">
        <v>84</v>
      </c>
      <c r="G25" t="s">
        <v>84</v>
      </c>
      <c r="H25" t="s">
        <v>25</v>
      </c>
      <c r="I25" t="s">
        <v>25</v>
      </c>
      <c r="J25" t="s">
        <v>101</v>
      </c>
      <c r="K25" t="s">
        <v>104</v>
      </c>
      <c r="L25" t="s">
        <v>103</v>
      </c>
      <c r="M25">
        <v>1074.09600742</v>
      </c>
      <c r="N25">
        <v>0</v>
      </c>
      <c r="O25" t="s">
        <v>79</v>
      </c>
      <c r="P25" s="38">
        <v>44334.10644262733</v>
      </c>
      <c r="Q25">
        <v>6309598</v>
      </c>
      <c r="R25" t="s">
        <v>82</v>
      </c>
      <c r="S25" s="4">
        <v>1087.6851199499999</v>
      </c>
      <c r="W25"/>
      <c r="X25">
        <v>0</v>
      </c>
      <c r="AC25" t="s">
        <v>84</v>
      </c>
      <c r="AD25" s="38">
        <v>42522</v>
      </c>
    </row>
    <row r="26" spans="1:30" x14ac:dyDescent="0.25">
      <c r="A26">
        <v>730790</v>
      </c>
      <c r="B26" t="s">
        <v>135</v>
      </c>
      <c r="C26">
        <v>2016</v>
      </c>
      <c r="D26">
        <v>7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104</v>
      </c>
      <c r="L26" t="s">
        <v>103</v>
      </c>
      <c r="M26">
        <v>1169.0560399599999</v>
      </c>
      <c r="N26">
        <v>0</v>
      </c>
      <c r="O26" t="s">
        <v>79</v>
      </c>
      <c r="P26" s="38">
        <v>44334.107075081018</v>
      </c>
      <c r="Q26">
        <v>6360111</v>
      </c>
      <c r="R26" t="s">
        <v>74</v>
      </c>
      <c r="S26" s="4">
        <v>31.352125990000001</v>
      </c>
      <c r="W26"/>
      <c r="X26">
        <v>0</v>
      </c>
      <c r="AC26" t="s">
        <v>84</v>
      </c>
      <c r="AD26" s="38">
        <v>42552</v>
      </c>
    </row>
    <row r="27" spans="1:30" x14ac:dyDescent="0.25">
      <c r="A27">
        <v>730808</v>
      </c>
      <c r="B27" t="s">
        <v>135</v>
      </c>
      <c r="C27">
        <v>2016</v>
      </c>
      <c r="D27">
        <v>7</v>
      </c>
      <c r="E27" t="s">
        <v>59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106</v>
      </c>
      <c r="L27" t="s">
        <v>103</v>
      </c>
      <c r="M27">
        <v>2027.083069</v>
      </c>
      <c r="N27">
        <v>0</v>
      </c>
      <c r="O27" t="s">
        <v>79</v>
      </c>
      <c r="P27" s="38">
        <v>44334.10707554398</v>
      </c>
      <c r="Q27">
        <v>6360147</v>
      </c>
      <c r="R27" t="s">
        <v>74</v>
      </c>
      <c r="S27" s="4">
        <v>53.520137759999997</v>
      </c>
      <c r="W27"/>
      <c r="X27">
        <v>0</v>
      </c>
      <c r="AC27" t="s">
        <v>84</v>
      </c>
      <c r="AD27" s="38">
        <v>42552</v>
      </c>
    </row>
    <row r="28" spans="1:30" x14ac:dyDescent="0.25">
      <c r="A28">
        <v>730772</v>
      </c>
      <c r="B28" t="s">
        <v>135</v>
      </c>
      <c r="C28">
        <v>2016</v>
      </c>
      <c r="D28">
        <v>7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102</v>
      </c>
      <c r="L28" t="s">
        <v>103</v>
      </c>
      <c r="M28">
        <v>3778.6930292400002</v>
      </c>
      <c r="N28">
        <v>0</v>
      </c>
      <c r="O28" t="s">
        <v>79</v>
      </c>
      <c r="P28" s="38">
        <v>44334.107074571759</v>
      </c>
      <c r="Q28">
        <v>6360075</v>
      </c>
      <c r="R28" t="s">
        <v>74</v>
      </c>
      <c r="S28" s="4">
        <v>56.168084020000002</v>
      </c>
      <c r="W28"/>
      <c r="X28">
        <v>0</v>
      </c>
      <c r="AC28" t="s">
        <v>84</v>
      </c>
      <c r="AD28" s="38">
        <v>42552</v>
      </c>
    </row>
    <row r="29" spans="1:30" x14ac:dyDescent="0.25">
      <c r="A29">
        <v>730772</v>
      </c>
      <c r="B29" t="s">
        <v>135</v>
      </c>
      <c r="C29">
        <v>2016</v>
      </c>
      <c r="D29">
        <v>7</v>
      </c>
      <c r="E29" t="s">
        <v>85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102</v>
      </c>
      <c r="L29" t="s">
        <v>103</v>
      </c>
      <c r="M29">
        <v>3778.6930292400002</v>
      </c>
      <c r="N29">
        <v>0</v>
      </c>
      <c r="O29" t="s">
        <v>79</v>
      </c>
      <c r="P29" s="38">
        <v>44334.107074571759</v>
      </c>
      <c r="Q29">
        <v>6360074</v>
      </c>
      <c r="R29" t="s">
        <v>82</v>
      </c>
      <c r="S29" s="4">
        <v>3871.6699590899998</v>
      </c>
      <c r="W29"/>
      <c r="X29">
        <v>0</v>
      </c>
      <c r="AC29" t="s">
        <v>84</v>
      </c>
      <c r="AD29" s="38">
        <v>42552</v>
      </c>
    </row>
    <row r="30" spans="1:30" x14ac:dyDescent="0.25">
      <c r="A30">
        <v>730808</v>
      </c>
      <c r="B30" t="s">
        <v>135</v>
      </c>
      <c r="C30">
        <v>2016</v>
      </c>
      <c r="D30">
        <v>7</v>
      </c>
      <c r="E30" t="s">
        <v>59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106</v>
      </c>
      <c r="L30" t="s">
        <v>103</v>
      </c>
      <c r="M30">
        <v>2027.083069</v>
      </c>
      <c r="N30">
        <v>0</v>
      </c>
      <c r="O30" t="s">
        <v>79</v>
      </c>
      <c r="P30" s="38">
        <v>44334.10707554398</v>
      </c>
      <c r="Q30">
        <v>6360146</v>
      </c>
      <c r="R30" t="s">
        <v>82</v>
      </c>
      <c r="S30" s="4">
        <v>2053.5718999800001</v>
      </c>
      <c r="W30"/>
      <c r="X30">
        <v>0</v>
      </c>
      <c r="AC30" t="s">
        <v>84</v>
      </c>
      <c r="AD30" s="38">
        <v>42552</v>
      </c>
    </row>
    <row r="31" spans="1:30" x14ac:dyDescent="0.25">
      <c r="A31">
        <v>730790</v>
      </c>
      <c r="B31" t="s">
        <v>135</v>
      </c>
      <c r="C31">
        <v>2016</v>
      </c>
      <c r="D31">
        <v>7</v>
      </c>
      <c r="E31" t="s">
        <v>87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104</v>
      </c>
      <c r="L31" t="s">
        <v>103</v>
      </c>
      <c r="M31">
        <v>1169.0560399599999</v>
      </c>
      <c r="N31">
        <v>0</v>
      </c>
      <c r="O31" t="s">
        <v>79</v>
      </c>
      <c r="P31" s="38">
        <v>44334.107075081018</v>
      </c>
      <c r="Q31">
        <v>6360110</v>
      </c>
      <c r="R31" t="s">
        <v>82</v>
      </c>
      <c r="S31" s="4">
        <v>1183.8465558600001</v>
      </c>
      <c r="W31"/>
      <c r="X31">
        <v>0</v>
      </c>
      <c r="AC31" t="s">
        <v>84</v>
      </c>
      <c r="AD31" s="38">
        <v>42552</v>
      </c>
    </row>
    <row r="32" spans="1:30" x14ac:dyDescent="0.25">
      <c r="A32">
        <v>490481</v>
      </c>
      <c r="B32" t="s">
        <v>131</v>
      </c>
      <c r="C32">
        <v>2016</v>
      </c>
      <c r="D32">
        <v>9</v>
      </c>
      <c r="E32" t="s">
        <v>85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86</v>
      </c>
      <c r="L32" t="s">
        <v>103</v>
      </c>
      <c r="M32">
        <v>2263.3159081700001</v>
      </c>
      <c r="N32">
        <v>0</v>
      </c>
      <c r="O32" t="s">
        <v>79</v>
      </c>
      <c r="P32" s="38">
        <v>44330.097784143523</v>
      </c>
      <c r="Q32">
        <v>4588262</v>
      </c>
      <c r="R32" t="s">
        <v>74</v>
      </c>
      <c r="S32" s="4">
        <v>33.642880519999999</v>
      </c>
      <c r="W32"/>
      <c r="X32">
        <v>0</v>
      </c>
      <c r="AC32" t="s">
        <v>84</v>
      </c>
      <c r="AD32" s="38">
        <v>42614</v>
      </c>
    </row>
    <row r="33" spans="1:30" x14ac:dyDescent="0.25">
      <c r="A33">
        <v>490499</v>
      </c>
      <c r="B33" t="s">
        <v>131</v>
      </c>
      <c r="C33">
        <v>2016</v>
      </c>
      <c r="D33">
        <v>9</v>
      </c>
      <c r="E33" t="s">
        <v>87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104</v>
      </c>
      <c r="L33" t="s">
        <v>103</v>
      </c>
      <c r="M33">
        <v>672.74702771</v>
      </c>
      <c r="N33">
        <v>0</v>
      </c>
      <c r="O33" t="s">
        <v>79</v>
      </c>
      <c r="P33" s="38">
        <v>44330.097784641213</v>
      </c>
      <c r="Q33">
        <v>4588298</v>
      </c>
      <c r="R33" t="s">
        <v>74</v>
      </c>
      <c r="S33" s="4">
        <v>18.0419491</v>
      </c>
      <c r="W33"/>
      <c r="X33">
        <v>0</v>
      </c>
      <c r="AC33" t="s">
        <v>84</v>
      </c>
      <c r="AD33" s="38">
        <v>42614</v>
      </c>
    </row>
    <row r="34" spans="1:30" x14ac:dyDescent="0.25">
      <c r="A34">
        <v>490517</v>
      </c>
      <c r="B34" t="s">
        <v>131</v>
      </c>
      <c r="C34">
        <v>2016</v>
      </c>
      <c r="D34">
        <v>9</v>
      </c>
      <c r="E34" t="s">
        <v>89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90</v>
      </c>
      <c r="L34" t="s">
        <v>103</v>
      </c>
      <c r="M34">
        <v>1264.39372551</v>
      </c>
      <c r="N34">
        <v>0</v>
      </c>
      <c r="O34" t="s">
        <v>79</v>
      </c>
      <c r="P34" s="38">
        <v>44330.097785150458</v>
      </c>
      <c r="Q34">
        <v>4588334</v>
      </c>
      <c r="R34" t="s">
        <v>74</v>
      </c>
      <c r="S34" s="4">
        <v>33.383203379999998</v>
      </c>
      <c r="W34"/>
      <c r="X34">
        <v>0</v>
      </c>
      <c r="AC34" t="s">
        <v>84</v>
      </c>
      <c r="AD34" s="38">
        <v>42614</v>
      </c>
    </row>
    <row r="35" spans="1:30" x14ac:dyDescent="0.25">
      <c r="A35">
        <v>490517</v>
      </c>
      <c r="B35" t="s">
        <v>131</v>
      </c>
      <c r="C35">
        <v>2016</v>
      </c>
      <c r="D35">
        <v>9</v>
      </c>
      <c r="E35" t="s">
        <v>89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90</v>
      </c>
      <c r="L35" t="s">
        <v>103</v>
      </c>
      <c r="M35">
        <v>1264.39372551</v>
      </c>
      <c r="N35">
        <v>0</v>
      </c>
      <c r="O35" t="s">
        <v>79</v>
      </c>
      <c r="P35" s="38">
        <v>44330.097785150458</v>
      </c>
      <c r="Q35">
        <v>4588333</v>
      </c>
      <c r="R35" t="s">
        <v>82</v>
      </c>
      <c r="S35" s="4">
        <v>1280.9161424700001</v>
      </c>
      <c r="W35"/>
      <c r="X35">
        <v>0</v>
      </c>
      <c r="AC35" t="s">
        <v>84</v>
      </c>
      <c r="AD35" s="38">
        <v>42614</v>
      </c>
    </row>
    <row r="36" spans="1:30" x14ac:dyDescent="0.25">
      <c r="A36">
        <v>490499</v>
      </c>
      <c r="B36" t="s">
        <v>131</v>
      </c>
      <c r="C36">
        <v>2016</v>
      </c>
      <c r="D36">
        <v>9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104</v>
      </c>
      <c r="L36" t="s">
        <v>103</v>
      </c>
      <c r="M36">
        <v>672.74702771</v>
      </c>
      <c r="N36">
        <v>0</v>
      </c>
      <c r="O36" t="s">
        <v>79</v>
      </c>
      <c r="P36" s="38">
        <v>44330.097784641213</v>
      </c>
      <c r="Q36">
        <v>4588297</v>
      </c>
      <c r="R36" t="s">
        <v>82</v>
      </c>
      <c r="S36" s="4">
        <v>681.25840378999999</v>
      </c>
      <c r="W36"/>
      <c r="X36">
        <v>0</v>
      </c>
      <c r="AC36" t="s">
        <v>84</v>
      </c>
      <c r="AD36" s="38">
        <v>42614</v>
      </c>
    </row>
    <row r="37" spans="1:30" x14ac:dyDescent="0.25">
      <c r="A37">
        <v>490481</v>
      </c>
      <c r="B37" t="s">
        <v>131</v>
      </c>
      <c r="C37">
        <v>2016</v>
      </c>
      <c r="D37">
        <v>9</v>
      </c>
      <c r="E37" t="s">
        <v>85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86</v>
      </c>
      <c r="L37" t="s">
        <v>103</v>
      </c>
      <c r="M37">
        <v>2263.3159081700001</v>
      </c>
      <c r="N37">
        <v>0</v>
      </c>
      <c r="O37" t="s">
        <v>79</v>
      </c>
      <c r="P37" s="38">
        <v>44330.097784143523</v>
      </c>
      <c r="Q37">
        <v>4588261</v>
      </c>
      <c r="R37" t="s">
        <v>82</v>
      </c>
      <c r="S37" s="4">
        <v>2319.0061065499999</v>
      </c>
      <c r="W37"/>
      <c r="X37">
        <v>0</v>
      </c>
      <c r="AC37" t="s">
        <v>84</v>
      </c>
      <c r="AD37" s="38">
        <v>42614</v>
      </c>
    </row>
    <row r="38" spans="1:30" x14ac:dyDescent="0.25">
      <c r="A38">
        <v>496212</v>
      </c>
      <c r="B38" t="s">
        <v>133</v>
      </c>
      <c r="C38">
        <v>2016</v>
      </c>
      <c r="D38">
        <v>10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717.31728549000002</v>
      </c>
      <c r="N38">
        <v>0</v>
      </c>
      <c r="O38" t="s">
        <v>79</v>
      </c>
      <c r="P38" s="38">
        <v>44330.098264814813</v>
      </c>
      <c r="Q38">
        <v>4615654</v>
      </c>
      <c r="R38" t="s">
        <v>74</v>
      </c>
      <c r="S38" s="4">
        <v>18.938996889999999</v>
      </c>
      <c r="W38"/>
      <c r="X38">
        <v>0</v>
      </c>
      <c r="AC38" t="s">
        <v>84</v>
      </c>
      <c r="AD38" s="38">
        <v>42644</v>
      </c>
    </row>
    <row r="39" spans="1:30" x14ac:dyDescent="0.25">
      <c r="A39">
        <v>496194</v>
      </c>
      <c r="B39" t="s">
        <v>133</v>
      </c>
      <c r="C39">
        <v>2016</v>
      </c>
      <c r="D39">
        <v>10</v>
      </c>
      <c r="E39" t="s">
        <v>87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88</v>
      </c>
      <c r="L39" t="s">
        <v>103</v>
      </c>
      <c r="M39">
        <v>420.24133938</v>
      </c>
      <c r="N39">
        <v>0</v>
      </c>
      <c r="O39" t="s">
        <v>79</v>
      </c>
      <c r="P39" s="38">
        <v>44330.098264351851</v>
      </c>
      <c r="Q39">
        <v>4615618</v>
      </c>
      <c r="R39" t="s">
        <v>74</v>
      </c>
      <c r="S39" s="4">
        <v>11.27016924</v>
      </c>
      <c r="W39"/>
      <c r="X39">
        <v>0</v>
      </c>
      <c r="AC39" t="s">
        <v>84</v>
      </c>
      <c r="AD39" s="38">
        <v>42644</v>
      </c>
    </row>
    <row r="40" spans="1:30" x14ac:dyDescent="0.25">
      <c r="A40">
        <v>496176</v>
      </c>
      <c r="B40" t="s">
        <v>133</v>
      </c>
      <c r="C40">
        <v>2016</v>
      </c>
      <c r="D40">
        <v>10</v>
      </c>
      <c r="E40" t="s">
        <v>85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86</v>
      </c>
      <c r="L40" t="s">
        <v>103</v>
      </c>
      <c r="M40">
        <v>1382.4463402700001</v>
      </c>
      <c r="N40">
        <v>0</v>
      </c>
      <c r="O40" t="s">
        <v>79</v>
      </c>
      <c r="P40" s="38">
        <v>44330.098263807871</v>
      </c>
      <c r="Q40">
        <v>4615582</v>
      </c>
      <c r="R40" t="s">
        <v>74</v>
      </c>
      <c r="S40" s="4">
        <v>20.549264409999999</v>
      </c>
      <c r="W40"/>
      <c r="X40">
        <v>0</v>
      </c>
      <c r="AC40" t="s">
        <v>84</v>
      </c>
      <c r="AD40" s="38">
        <v>42644</v>
      </c>
    </row>
    <row r="41" spans="1:30" x14ac:dyDescent="0.25">
      <c r="A41">
        <v>496176</v>
      </c>
      <c r="B41" t="s">
        <v>133</v>
      </c>
      <c r="C41">
        <v>2016</v>
      </c>
      <c r="D41">
        <v>10</v>
      </c>
      <c r="E41" t="s">
        <v>85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86</v>
      </c>
      <c r="L41" t="s">
        <v>103</v>
      </c>
      <c r="M41">
        <v>1382.4463402700001</v>
      </c>
      <c r="N41">
        <v>0</v>
      </c>
      <c r="O41" t="s">
        <v>79</v>
      </c>
      <c r="P41" s="38">
        <v>44330.098263807871</v>
      </c>
      <c r="Q41">
        <v>4615581</v>
      </c>
      <c r="R41" t="s">
        <v>82</v>
      </c>
      <c r="S41" s="4">
        <v>1416.46223291</v>
      </c>
      <c r="W41"/>
      <c r="X41">
        <v>0</v>
      </c>
      <c r="AC41" t="s">
        <v>84</v>
      </c>
      <c r="AD41" s="38">
        <v>42644</v>
      </c>
    </row>
    <row r="42" spans="1:30" x14ac:dyDescent="0.25">
      <c r="A42">
        <v>496194</v>
      </c>
      <c r="B42" t="s">
        <v>133</v>
      </c>
      <c r="C42">
        <v>2016</v>
      </c>
      <c r="D42">
        <v>10</v>
      </c>
      <c r="E42" t="s">
        <v>87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88</v>
      </c>
      <c r="L42" t="s">
        <v>103</v>
      </c>
      <c r="M42">
        <v>420.24133938</v>
      </c>
      <c r="N42">
        <v>0</v>
      </c>
      <c r="O42" t="s">
        <v>79</v>
      </c>
      <c r="P42" s="38">
        <v>44330.098264351851</v>
      </c>
      <c r="Q42">
        <v>4615617</v>
      </c>
      <c r="R42" t="s">
        <v>82</v>
      </c>
      <c r="S42" s="4">
        <v>425.55809579999999</v>
      </c>
      <c r="W42"/>
      <c r="X42">
        <v>0</v>
      </c>
      <c r="AC42" t="s">
        <v>84</v>
      </c>
      <c r="AD42" s="38">
        <v>42644</v>
      </c>
    </row>
    <row r="43" spans="1:30" x14ac:dyDescent="0.25">
      <c r="A43">
        <v>496212</v>
      </c>
      <c r="B43" t="s">
        <v>133</v>
      </c>
      <c r="C43">
        <v>2016</v>
      </c>
      <c r="D43">
        <v>10</v>
      </c>
      <c r="E43" t="s">
        <v>89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90</v>
      </c>
      <c r="L43" t="s">
        <v>103</v>
      </c>
      <c r="M43">
        <v>717.31728549000002</v>
      </c>
      <c r="N43">
        <v>0</v>
      </c>
      <c r="O43" t="s">
        <v>79</v>
      </c>
      <c r="P43" s="38">
        <v>44330.098264814813</v>
      </c>
      <c r="Q43">
        <v>4615653</v>
      </c>
      <c r="R43" t="s">
        <v>82</v>
      </c>
      <c r="S43" s="4">
        <v>726.69080185999997</v>
      </c>
      <c r="W43"/>
      <c r="X43">
        <v>0</v>
      </c>
      <c r="AC43" t="s">
        <v>84</v>
      </c>
      <c r="AD43" s="38">
        <v>42644</v>
      </c>
    </row>
    <row r="44" spans="1:30" x14ac:dyDescent="0.25">
      <c r="A44">
        <v>505299</v>
      </c>
      <c r="B44" t="s">
        <v>130</v>
      </c>
      <c r="C44">
        <v>2016</v>
      </c>
      <c r="D44">
        <v>11</v>
      </c>
      <c r="E44" t="s">
        <v>87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88</v>
      </c>
      <c r="L44" t="s">
        <v>103</v>
      </c>
      <c r="M44">
        <v>3.0402221699999998</v>
      </c>
      <c r="N44">
        <v>0</v>
      </c>
      <c r="O44" t="s">
        <v>79</v>
      </c>
      <c r="P44" s="38">
        <v>44330.099023298608</v>
      </c>
      <c r="Q44">
        <v>4677104</v>
      </c>
      <c r="R44" t="s">
        <v>74</v>
      </c>
      <c r="S44" s="4">
        <v>8.1533670000000003E-2</v>
      </c>
      <c r="W44"/>
      <c r="X44">
        <v>0</v>
      </c>
      <c r="AC44" t="s">
        <v>84</v>
      </c>
      <c r="AD44" s="38">
        <v>42675</v>
      </c>
    </row>
    <row r="45" spans="1:30" x14ac:dyDescent="0.25">
      <c r="A45">
        <v>505281</v>
      </c>
      <c r="B45" t="s">
        <v>130</v>
      </c>
      <c r="C45">
        <v>2016</v>
      </c>
      <c r="D45">
        <v>11</v>
      </c>
      <c r="E45" t="s">
        <v>85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86</v>
      </c>
      <c r="L45" t="s">
        <v>103</v>
      </c>
      <c r="M45">
        <v>10.93651025</v>
      </c>
      <c r="N45">
        <v>0</v>
      </c>
      <c r="O45" t="s">
        <v>79</v>
      </c>
      <c r="P45" s="38">
        <v>44330.09902276619</v>
      </c>
      <c r="Q45">
        <v>4677068</v>
      </c>
      <c r="R45" t="s">
        <v>74</v>
      </c>
      <c r="S45" s="4">
        <v>0.16256488999999999</v>
      </c>
      <c r="W45"/>
      <c r="X45">
        <v>0</v>
      </c>
      <c r="AC45" t="s">
        <v>84</v>
      </c>
      <c r="AD45" s="38">
        <v>42675</v>
      </c>
    </row>
    <row r="46" spans="1:30" x14ac:dyDescent="0.25">
      <c r="A46">
        <v>505317</v>
      </c>
      <c r="B46" t="s">
        <v>130</v>
      </c>
      <c r="C46">
        <v>2016</v>
      </c>
      <c r="D46">
        <v>11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4.6410682200000002</v>
      </c>
      <c r="N46">
        <v>0</v>
      </c>
      <c r="O46" t="s">
        <v>79</v>
      </c>
      <c r="P46" s="38">
        <v>44330.099023842587</v>
      </c>
      <c r="Q46">
        <v>4677140</v>
      </c>
      <c r="R46" t="s">
        <v>74</v>
      </c>
      <c r="S46" s="4">
        <v>0.12253598</v>
      </c>
      <c r="W46"/>
      <c r="X46">
        <v>0</v>
      </c>
      <c r="AC46" t="s">
        <v>84</v>
      </c>
      <c r="AD46" s="38">
        <v>42675</v>
      </c>
    </row>
    <row r="47" spans="1:30" x14ac:dyDescent="0.25">
      <c r="A47">
        <v>505281</v>
      </c>
      <c r="B47" t="s">
        <v>130</v>
      </c>
      <c r="C47">
        <v>2016</v>
      </c>
      <c r="D47">
        <v>11</v>
      </c>
      <c r="E47" t="s">
        <v>85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86</v>
      </c>
      <c r="L47" t="s">
        <v>103</v>
      </c>
      <c r="M47">
        <v>10.93651025</v>
      </c>
      <c r="N47">
        <v>0</v>
      </c>
      <c r="O47" t="s">
        <v>79</v>
      </c>
      <c r="P47" s="38">
        <v>44330.09902276619</v>
      </c>
      <c r="Q47">
        <v>4677067</v>
      </c>
      <c r="R47" t="s">
        <v>82</v>
      </c>
      <c r="S47" s="4">
        <v>11.20560942</v>
      </c>
      <c r="W47"/>
      <c r="X47">
        <v>0</v>
      </c>
      <c r="AC47" t="s">
        <v>84</v>
      </c>
      <c r="AD47" s="38">
        <v>42675</v>
      </c>
    </row>
    <row r="48" spans="1:30" x14ac:dyDescent="0.25">
      <c r="A48">
        <v>505299</v>
      </c>
      <c r="B48" t="s">
        <v>130</v>
      </c>
      <c r="C48">
        <v>2016</v>
      </c>
      <c r="D48">
        <v>11</v>
      </c>
      <c r="E48" t="s">
        <v>87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88</v>
      </c>
      <c r="L48" t="s">
        <v>103</v>
      </c>
      <c r="M48">
        <v>3.0402221699999998</v>
      </c>
      <c r="N48">
        <v>0</v>
      </c>
      <c r="O48" t="s">
        <v>79</v>
      </c>
      <c r="P48" s="38">
        <v>44330.099023298608</v>
      </c>
      <c r="Q48">
        <v>4677103</v>
      </c>
      <c r="R48" t="s">
        <v>82</v>
      </c>
      <c r="S48" s="4">
        <v>3.0786860699999998</v>
      </c>
      <c r="W48"/>
      <c r="X48">
        <v>0</v>
      </c>
      <c r="AC48" t="s">
        <v>84</v>
      </c>
      <c r="AD48" s="38">
        <v>42675</v>
      </c>
    </row>
    <row r="49" spans="1:30" x14ac:dyDescent="0.25">
      <c r="A49">
        <v>505317</v>
      </c>
      <c r="B49" t="s">
        <v>130</v>
      </c>
      <c r="C49">
        <v>2016</v>
      </c>
      <c r="D49">
        <v>11</v>
      </c>
      <c r="E49" t="s">
        <v>89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90</v>
      </c>
      <c r="L49" t="s">
        <v>103</v>
      </c>
      <c r="M49">
        <v>4.6410682200000002</v>
      </c>
      <c r="N49">
        <v>0</v>
      </c>
      <c r="O49" t="s">
        <v>79</v>
      </c>
      <c r="P49" s="38">
        <v>44330.099023842587</v>
      </c>
      <c r="Q49">
        <v>4677139</v>
      </c>
      <c r="R49" t="s">
        <v>82</v>
      </c>
      <c r="S49" s="4">
        <v>4.7017151999999998</v>
      </c>
      <c r="W49"/>
      <c r="X49">
        <v>0</v>
      </c>
      <c r="AC49" t="s">
        <v>84</v>
      </c>
      <c r="AD49" s="38">
        <v>42675</v>
      </c>
    </row>
    <row r="50" spans="1:30" x14ac:dyDescent="0.25">
      <c r="A50">
        <v>518433</v>
      </c>
      <c r="B50" t="s">
        <v>132</v>
      </c>
      <c r="C50">
        <v>2016</v>
      </c>
      <c r="D50">
        <v>12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2.1233140000000001E-2</v>
      </c>
      <c r="N50">
        <v>0</v>
      </c>
      <c r="O50" t="s">
        <v>79</v>
      </c>
      <c r="P50" s="38">
        <v>44330.1002351852</v>
      </c>
      <c r="Q50">
        <v>4792674</v>
      </c>
      <c r="R50" t="s">
        <v>74</v>
      </c>
      <c r="S50" s="4">
        <v>3.1562000000000002E-4</v>
      </c>
      <c r="W50"/>
      <c r="X50">
        <v>0</v>
      </c>
      <c r="AC50" t="s">
        <v>84</v>
      </c>
      <c r="AD50" s="38">
        <v>42705</v>
      </c>
    </row>
    <row r="51" spans="1:30" x14ac:dyDescent="0.25">
      <c r="A51">
        <v>518451</v>
      </c>
      <c r="B51" t="s">
        <v>132</v>
      </c>
      <c r="C51">
        <v>2016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5.24655E-3</v>
      </c>
      <c r="N51">
        <v>0</v>
      </c>
      <c r="O51" t="s">
        <v>79</v>
      </c>
      <c r="P51" s="38">
        <v>44330.100235682869</v>
      </c>
      <c r="Q51">
        <v>4792710</v>
      </c>
      <c r="R51" t="s">
        <v>74</v>
      </c>
      <c r="S51" s="4">
        <v>1.407E-4</v>
      </c>
      <c r="W51"/>
      <c r="X51">
        <v>0</v>
      </c>
      <c r="AC51" t="s">
        <v>84</v>
      </c>
      <c r="AD51" s="38">
        <v>42705</v>
      </c>
    </row>
    <row r="52" spans="1:30" x14ac:dyDescent="0.25">
      <c r="A52">
        <v>518469</v>
      </c>
      <c r="B52" t="s">
        <v>132</v>
      </c>
      <c r="C52">
        <v>2016</v>
      </c>
      <c r="D52">
        <v>12</v>
      </c>
      <c r="E52" t="s">
        <v>89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90</v>
      </c>
      <c r="L52" t="s">
        <v>103</v>
      </c>
      <c r="M52">
        <v>7.6207699999999998E-3</v>
      </c>
      <c r="N52">
        <v>0</v>
      </c>
      <c r="O52" t="s">
        <v>79</v>
      </c>
      <c r="P52" s="38">
        <v>44330.100236226863</v>
      </c>
      <c r="Q52">
        <v>4792746</v>
      </c>
      <c r="R52" t="s">
        <v>74</v>
      </c>
      <c r="S52" s="4">
        <v>2.0121000000000001E-4</v>
      </c>
      <c r="W52"/>
      <c r="X52">
        <v>0</v>
      </c>
      <c r="AC52" t="s">
        <v>84</v>
      </c>
      <c r="AD52" s="38">
        <v>42705</v>
      </c>
    </row>
    <row r="53" spans="1:30" x14ac:dyDescent="0.25">
      <c r="A53">
        <v>518433</v>
      </c>
      <c r="B53" t="s">
        <v>132</v>
      </c>
      <c r="C53">
        <v>2016</v>
      </c>
      <c r="D53">
        <v>12</v>
      </c>
      <c r="E53" t="s">
        <v>85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86</v>
      </c>
      <c r="L53" t="s">
        <v>103</v>
      </c>
      <c r="M53">
        <v>2.1233140000000001E-2</v>
      </c>
      <c r="N53">
        <v>0</v>
      </c>
      <c r="O53" t="s">
        <v>79</v>
      </c>
      <c r="P53" s="38">
        <v>44330.1002351852</v>
      </c>
      <c r="Q53">
        <v>4792673</v>
      </c>
      <c r="R53" t="s">
        <v>82</v>
      </c>
      <c r="S53" s="4">
        <v>2.1755590000000002E-2</v>
      </c>
      <c r="W53"/>
      <c r="X53">
        <v>0</v>
      </c>
      <c r="AC53" t="s">
        <v>84</v>
      </c>
      <c r="AD53" s="38">
        <v>42705</v>
      </c>
    </row>
    <row r="54" spans="1:30" x14ac:dyDescent="0.25">
      <c r="A54">
        <v>518469</v>
      </c>
      <c r="B54" t="s">
        <v>132</v>
      </c>
      <c r="C54">
        <v>2016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7.6207699999999998E-3</v>
      </c>
      <c r="N54">
        <v>0</v>
      </c>
      <c r="O54" t="s">
        <v>79</v>
      </c>
      <c r="P54" s="38">
        <v>44330.100236226863</v>
      </c>
      <c r="Q54">
        <v>4792745</v>
      </c>
      <c r="R54" t="s">
        <v>82</v>
      </c>
      <c r="S54" s="4">
        <v>7.72035E-3</v>
      </c>
      <c r="W54"/>
      <c r="X54">
        <v>0</v>
      </c>
      <c r="AC54" t="s">
        <v>84</v>
      </c>
      <c r="AD54" s="38">
        <v>42705</v>
      </c>
    </row>
    <row r="55" spans="1:30" x14ac:dyDescent="0.25">
      <c r="A55">
        <v>518451</v>
      </c>
      <c r="B55" t="s">
        <v>132</v>
      </c>
      <c r="C55">
        <v>2016</v>
      </c>
      <c r="D55">
        <v>12</v>
      </c>
      <c r="E55" t="s">
        <v>87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88</v>
      </c>
      <c r="L55" t="s">
        <v>103</v>
      </c>
      <c r="M55">
        <v>5.24655E-3</v>
      </c>
      <c r="N55">
        <v>0</v>
      </c>
      <c r="O55" t="s">
        <v>79</v>
      </c>
      <c r="P55" s="38">
        <v>44330.100235682869</v>
      </c>
      <c r="Q55">
        <v>4792709</v>
      </c>
      <c r="R55" t="s">
        <v>82</v>
      </c>
      <c r="S55" s="4">
        <v>5.3129300000000004E-3</v>
      </c>
      <c r="W55"/>
      <c r="X55">
        <v>0</v>
      </c>
      <c r="AC55" t="s">
        <v>84</v>
      </c>
      <c r="AD55" s="38">
        <v>42705</v>
      </c>
    </row>
    <row r="56" spans="1:30" x14ac:dyDescent="0.25">
      <c r="A56">
        <v>520743</v>
      </c>
      <c r="B56" t="s">
        <v>124</v>
      </c>
      <c r="C56">
        <v>2017</v>
      </c>
      <c r="D56">
        <v>2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1936.6982957099999</v>
      </c>
      <c r="N56">
        <v>0</v>
      </c>
      <c r="O56" t="s">
        <v>79</v>
      </c>
      <c r="P56" s="38">
        <v>44330.100814583333</v>
      </c>
      <c r="Q56">
        <v>4802892</v>
      </c>
      <c r="R56" t="s">
        <v>74</v>
      </c>
      <c r="S56" s="4">
        <v>51.13375035</v>
      </c>
      <c r="W56"/>
      <c r="X56">
        <v>0</v>
      </c>
      <c r="AC56" t="s">
        <v>84</v>
      </c>
      <c r="AD56" s="38">
        <v>42767</v>
      </c>
    </row>
    <row r="57" spans="1:30" x14ac:dyDescent="0.25">
      <c r="A57">
        <v>520699</v>
      </c>
      <c r="B57" t="s">
        <v>124</v>
      </c>
      <c r="C57">
        <v>2017</v>
      </c>
      <c r="D57">
        <v>2</v>
      </c>
      <c r="E57" t="s">
        <v>85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86</v>
      </c>
      <c r="L57" t="s">
        <v>103</v>
      </c>
      <c r="M57">
        <v>5836.6764009500002</v>
      </c>
      <c r="N57">
        <v>0</v>
      </c>
      <c r="O57" t="s">
        <v>79</v>
      </c>
      <c r="P57" s="38">
        <v>44330.100813229168</v>
      </c>
      <c r="Q57">
        <v>4802804</v>
      </c>
      <c r="R57" t="s">
        <v>74</v>
      </c>
      <c r="S57" s="4">
        <v>86.758815260000006</v>
      </c>
      <c r="W57"/>
      <c r="X57">
        <v>0</v>
      </c>
      <c r="AC57" t="s">
        <v>84</v>
      </c>
      <c r="AD57" s="38">
        <v>42767</v>
      </c>
    </row>
    <row r="58" spans="1:30" x14ac:dyDescent="0.25">
      <c r="A58">
        <v>520721</v>
      </c>
      <c r="B58" t="s">
        <v>124</v>
      </c>
      <c r="C58">
        <v>2017</v>
      </c>
      <c r="D58">
        <v>2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1561.42030755</v>
      </c>
      <c r="N58">
        <v>0</v>
      </c>
      <c r="O58" t="s">
        <v>79</v>
      </c>
      <c r="P58" s="38">
        <v>44330.100813923607</v>
      </c>
      <c r="Q58">
        <v>4802848</v>
      </c>
      <c r="R58" t="s">
        <v>74</v>
      </c>
      <c r="S58" s="4">
        <v>41.874678830000001</v>
      </c>
      <c r="W58"/>
      <c r="X58">
        <v>0</v>
      </c>
      <c r="AC58" t="s">
        <v>84</v>
      </c>
      <c r="AD58" s="38">
        <v>42767</v>
      </c>
    </row>
    <row r="59" spans="1:30" x14ac:dyDescent="0.25">
      <c r="A59">
        <v>520743</v>
      </c>
      <c r="B59" t="s">
        <v>124</v>
      </c>
      <c r="C59">
        <v>2017</v>
      </c>
      <c r="D59">
        <v>2</v>
      </c>
      <c r="E59" t="s">
        <v>89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90</v>
      </c>
      <c r="L59" t="s">
        <v>103</v>
      </c>
      <c r="M59">
        <v>1936.6982957099999</v>
      </c>
      <c r="N59">
        <v>0</v>
      </c>
      <c r="O59" t="s">
        <v>79</v>
      </c>
      <c r="P59" s="38">
        <v>44330.100814583333</v>
      </c>
      <c r="Q59">
        <v>4802891</v>
      </c>
      <c r="R59" t="s">
        <v>82</v>
      </c>
      <c r="S59" s="4">
        <v>1962.0060271</v>
      </c>
      <c r="W59"/>
      <c r="X59">
        <v>0</v>
      </c>
      <c r="AC59" t="s">
        <v>84</v>
      </c>
      <c r="AD59" s="38">
        <v>42767</v>
      </c>
    </row>
    <row r="60" spans="1:30" x14ac:dyDescent="0.25">
      <c r="A60">
        <v>520721</v>
      </c>
      <c r="B60" t="s">
        <v>124</v>
      </c>
      <c r="C60">
        <v>2017</v>
      </c>
      <c r="D60">
        <v>2</v>
      </c>
      <c r="E60" t="s">
        <v>87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88</v>
      </c>
      <c r="L60" t="s">
        <v>103</v>
      </c>
      <c r="M60">
        <v>1561.42030755</v>
      </c>
      <c r="N60">
        <v>0</v>
      </c>
      <c r="O60" t="s">
        <v>79</v>
      </c>
      <c r="P60" s="38">
        <v>44330.100813923607</v>
      </c>
      <c r="Q60">
        <v>4802847</v>
      </c>
      <c r="R60" t="s">
        <v>82</v>
      </c>
      <c r="S60" s="4">
        <v>1581.17488826</v>
      </c>
      <c r="W60"/>
      <c r="X60">
        <v>0</v>
      </c>
      <c r="AC60" t="s">
        <v>84</v>
      </c>
      <c r="AD60" s="38">
        <v>42767</v>
      </c>
    </row>
    <row r="61" spans="1:30" x14ac:dyDescent="0.25">
      <c r="A61">
        <v>520699</v>
      </c>
      <c r="B61" t="s">
        <v>124</v>
      </c>
      <c r="C61">
        <v>2017</v>
      </c>
      <c r="D61">
        <v>2</v>
      </c>
      <c r="E61" t="s">
        <v>85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86</v>
      </c>
      <c r="L61" t="s">
        <v>103</v>
      </c>
      <c r="M61">
        <v>5836.6764009500002</v>
      </c>
      <c r="N61">
        <v>0</v>
      </c>
      <c r="O61" t="s">
        <v>79</v>
      </c>
      <c r="P61" s="38">
        <v>44330.100813229168</v>
      </c>
      <c r="Q61">
        <v>4802803</v>
      </c>
      <c r="R61" t="s">
        <v>82</v>
      </c>
      <c r="S61" s="4">
        <v>5980.2912032300001</v>
      </c>
      <c r="W61"/>
      <c r="X61">
        <v>0</v>
      </c>
      <c r="AC61" t="s">
        <v>84</v>
      </c>
      <c r="AD61" s="38">
        <v>42767</v>
      </c>
    </row>
    <row r="62" spans="1:30" x14ac:dyDescent="0.25">
      <c r="A62">
        <v>530744</v>
      </c>
      <c r="B62" t="s">
        <v>125</v>
      </c>
      <c r="C62">
        <v>2017</v>
      </c>
      <c r="D62">
        <v>3</v>
      </c>
      <c r="E62" t="s">
        <v>87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88</v>
      </c>
      <c r="L62" t="s">
        <v>103</v>
      </c>
      <c r="M62">
        <v>1611.96951592</v>
      </c>
      <c r="N62">
        <v>0</v>
      </c>
      <c r="O62" t="s">
        <v>79</v>
      </c>
      <c r="P62" s="38">
        <v>44330.101799884258</v>
      </c>
      <c r="Q62">
        <v>4888357</v>
      </c>
      <c r="R62" t="s">
        <v>74</v>
      </c>
      <c r="S62" s="4">
        <v>43.230323980000001</v>
      </c>
      <c r="W62"/>
      <c r="X62">
        <v>0</v>
      </c>
      <c r="AC62" t="s">
        <v>84</v>
      </c>
      <c r="AD62" s="38">
        <v>42795</v>
      </c>
    </row>
    <row r="63" spans="1:30" x14ac:dyDescent="0.25">
      <c r="A63">
        <v>530722</v>
      </c>
      <c r="B63" t="s">
        <v>125</v>
      </c>
      <c r="C63">
        <v>2017</v>
      </c>
      <c r="D63">
        <v>3</v>
      </c>
      <c r="E63" t="s">
        <v>85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86</v>
      </c>
      <c r="L63" t="s">
        <v>103</v>
      </c>
      <c r="M63">
        <v>6064.1041034099999</v>
      </c>
      <c r="N63">
        <v>0</v>
      </c>
      <c r="O63" t="s">
        <v>79</v>
      </c>
      <c r="P63" s="38">
        <v>44330.101799189812</v>
      </c>
      <c r="Q63">
        <v>4888313</v>
      </c>
      <c r="R63" t="s">
        <v>74</v>
      </c>
      <c r="S63" s="4">
        <v>90.139396379999994</v>
      </c>
      <c r="W63"/>
      <c r="X63">
        <v>0</v>
      </c>
      <c r="AC63" t="s">
        <v>84</v>
      </c>
      <c r="AD63" s="38">
        <v>42795</v>
      </c>
    </row>
    <row r="64" spans="1:30" x14ac:dyDescent="0.25">
      <c r="A64">
        <v>530766</v>
      </c>
      <c r="B64" t="s">
        <v>125</v>
      </c>
      <c r="C64">
        <v>2017</v>
      </c>
      <c r="D64">
        <v>3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1971.01751208</v>
      </c>
      <c r="N64">
        <v>0</v>
      </c>
      <c r="O64" t="s">
        <v>79</v>
      </c>
      <c r="P64" s="38">
        <v>44330.101800497687</v>
      </c>
      <c r="Q64">
        <v>4888401</v>
      </c>
      <c r="R64" t="s">
        <v>74</v>
      </c>
      <c r="S64" s="4">
        <v>52.03986476</v>
      </c>
      <c r="W64"/>
      <c r="X64">
        <v>0</v>
      </c>
      <c r="AC64" t="s">
        <v>84</v>
      </c>
      <c r="AD64" s="38">
        <v>42795</v>
      </c>
    </row>
    <row r="65" spans="1:30" x14ac:dyDescent="0.25">
      <c r="A65">
        <v>530722</v>
      </c>
      <c r="B65" t="s">
        <v>125</v>
      </c>
      <c r="C65">
        <v>2017</v>
      </c>
      <c r="D65">
        <v>3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6064.1041034099999</v>
      </c>
      <c r="N65">
        <v>0</v>
      </c>
      <c r="O65" t="s">
        <v>79</v>
      </c>
      <c r="P65" s="38">
        <v>44330.101799189812</v>
      </c>
      <c r="Q65">
        <v>4888312</v>
      </c>
      <c r="R65" t="s">
        <v>82</v>
      </c>
      <c r="S65" s="4">
        <v>6213.31489599</v>
      </c>
      <c r="W65"/>
      <c r="X65">
        <v>0</v>
      </c>
      <c r="AC65" t="s">
        <v>84</v>
      </c>
      <c r="AD65" s="38">
        <v>42795</v>
      </c>
    </row>
    <row r="66" spans="1:30" x14ac:dyDescent="0.25">
      <c r="A66">
        <v>530744</v>
      </c>
      <c r="B66" t="s">
        <v>125</v>
      </c>
      <c r="C66">
        <v>2017</v>
      </c>
      <c r="D66">
        <v>3</v>
      </c>
      <c r="E66" t="s">
        <v>87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88</v>
      </c>
      <c r="L66" t="s">
        <v>103</v>
      </c>
      <c r="M66">
        <v>1611.96951592</v>
      </c>
      <c r="N66">
        <v>0</v>
      </c>
      <c r="O66" t="s">
        <v>79</v>
      </c>
      <c r="P66" s="38">
        <v>44330.101799884258</v>
      </c>
      <c r="Q66">
        <v>4888356</v>
      </c>
      <c r="R66" t="s">
        <v>82</v>
      </c>
      <c r="S66" s="4">
        <v>1632.36362874</v>
      </c>
      <c r="W66"/>
      <c r="X66">
        <v>0</v>
      </c>
      <c r="AC66" t="s">
        <v>84</v>
      </c>
      <c r="AD66" s="38">
        <v>42795</v>
      </c>
    </row>
    <row r="67" spans="1:30" x14ac:dyDescent="0.25">
      <c r="A67">
        <v>530766</v>
      </c>
      <c r="B67" t="s">
        <v>125</v>
      </c>
      <c r="C67">
        <v>2017</v>
      </c>
      <c r="D67">
        <v>3</v>
      </c>
      <c r="E67" t="s">
        <v>89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90</v>
      </c>
      <c r="L67" t="s">
        <v>103</v>
      </c>
      <c r="M67">
        <v>1971.01751208</v>
      </c>
      <c r="N67">
        <v>0</v>
      </c>
      <c r="O67" t="s">
        <v>79</v>
      </c>
      <c r="P67" s="38">
        <v>44330.101800497687</v>
      </c>
      <c r="Q67">
        <v>4888400</v>
      </c>
      <c r="R67" t="s">
        <v>82</v>
      </c>
      <c r="S67" s="4">
        <v>1996.7737085199999</v>
      </c>
      <c r="W67"/>
      <c r="X67">
        <v>0</v>
      </c>
      <c r="AC67" t="s">
        <v>84</v>
      </c>
      <c r="AD67" s="38">
        <v>42795</v>
      </c>
    </row>
    <row r="68" spans="1:30" x14ac:dyDescent="0.25">
      <c r="A68">
        <v>628657</v>
      </c>
      <c r="B68" t="s">
        <v>141</v>
      </c>
      <c r="C68">
        <v>2017</v>
      </c>
      <c r="D68">
        <v>4</v>
      </c>
      <c r="E68" t="s">
        <v>89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90</v>
      </c>
      <c r="L68" t="s">
        <v>103</v>
      </c>
      <c r="M68">
        <v>1712.75377718</v>
      </c>
      <c r="N68">
        <v>0</v>
      </c>
      <c r="O68" t="s">
        <v>79</v>
      </c>
      <c r="P68" s="38">
        <v>44334.047875810182</v>
      </c>
      <c r="Q68">
        <v>5584410</v>
      </c>
      <c r="R68" t="s">
        <v>74</v>
      </c>
      <c r="S68" s="4">
        <v>45.221046690000001</v>
      </c>
      <c r="W68"/>
      <c r="X68">
        <v>0</v>
      </c>
      <c r="AC68" t="s">
        <v>84</v>
      </c>
      <c r="AD68" s="38">
        <v>42826</v>
      </c>
    </row>
    <row r="69" spans="1:30" x14ac:dyDescent="0.25">
      <c r="A69">
        <v>628613</v>
      </c>
      <c r="B69" t="s">
        <v>141</v>
      </c>
      <c r="C69">
        <v>2017</v>
      </c>
      <c r="D69">
        <v>4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4420.2930050699997</v>
      </c>
      <c r="N69">
        <v>0</v>
      </c>
      <c r="O69" t="s">
        <v>79</v>
      </c>
      <c r="P69" s="38">
        <v>44334.04787422454</v>
      </c>
      <c r="Q69">
        <v>5584322</v>
      </c>
      <c r="R69" t="s">
        <v>74</v>
      </c>
      <c r="S69" s="4">
        <v>65.705096170000004</v>
      </c>
      <c r="W69"/>
      <c r="X69">
        <v>0</v>
      </c>
      <c r="AC69" t="s">
        <v>84</v>
      </c>
      <c r="AD69" s="38">
        <v>42826</v>
      </c>
    </row>
    <row r="70" spans="1:30" x14ac:dyDescent="0.25">
      <c r="A70">
        <v>628635</v>
      </c>
      <c r="B70" t="s">
        <v>141</v>
      </c>
      <c r="C70">
        <v>2017</v>
      </c>
      <c r="D70">
        <v>4</v>
      </c>
      <c r="E70" t="s">
        <v>87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88</v>
      </c>
      <c r="L70" t="s">
        <v>103</v>
      </c>
      <c r="M70">
        <v>1117.7193056399999</v>
      </c>
      <c r="N70">
        <v>0</v>
      </c>
      <c r="O70" t="s">
        <v>79</v>
      </c>
      <c r="P70" s="38">
        <v>44334.047875034717</v>
      </c>
      <c r="Q70">
        <v>5584366</v>
      </c>
      <c r="R70" t="s">
        <v>74</v>
      </c>
      <c r="S70" s="4">
        <v>29.975360720000001</v>
      </c>
      <c r="W70"/>
      <c r="X70">
        <v>0</v>
      </c>
      <c r="AC70" t="s">
        <v>84</v>
      </c>
      <c r="AD70" s="38">
        <v>42826</v>
      </c>
    </row>
    <row r="71" spans="1:30" x14ac:dyDescent="0.25">
      <c r="A71">
        <v>628613</v>
      </c>
      <c r="B71" t="s">
        <v>141</v>
      </c>
      <c r="C71">
        <v>2017</v>
      </c>
      <c r="D71">
        <v>4</v>
      </c>
      <c r="E71" t="s">
        <v>85</v>
      </c>
      <c r="F71" t="s">
        <v>84</v>
      </c>
      <c r="G71" t="s">
        <v>84</v>
      </c>
      <c r="H71" t="s">
        <v>25</v>
      </c>
      <c r="I71" t="s">
        <v>25</v>
      </c>
      <c r="J71" t="s">
        <v>101</v>
      </c>
      <c r="K71" t="s">
        <v>86</v>
      </c>
      <c r="L71" t="s">
        <v>103</v>
      </c>
      <c r="M71">
        <v>4420.2930050699997</v>
      </c>
      <c r="N71">
        <v>0</v>
      </c>
      <c r="O71" t="s">
        <v>79</v>
      </c>
      <c r="P71" s="38">
        <v>44334.04787422454</v>
      </c>
      <c r="Q71">
        <v>5584321</v>
      </c>
      <c r="R71" t="s">
        <v>82</v>
      </c>
      <c r="S71" s="4">
        <v>4529.0568738100001</v>
      </c>
      <c r="W71"/>
      <c r="X71">
        <v>0</v>
      </c>
      <c r="AC71" t="s">
        <v>84</v>
      </c>
      <c r="AD71" s="38">
        <v>42826</v>
      </c>
    </row>
    <row r="72" spans="1:30" x14ac:dyDescent="0.25">
      <c r="A72">
        <v>628635</v>
      </c>
      <c r="B72" t="s">
        <v>141</v>
      </c>
      <c r="C72">
        <v>2017</v>
      </c>
      <c r="D72">
        <v>4</v>
      </c>
      <c r="E72" t="s">
        <v>87</v>
      </c>
      <c r="F72" t="s">
        <v>84</v>
      </c>
      <c r="G72" t="s">
        <v>84</v>
      </c>
      <c r="H72" t="s">
        <v>25</v>
      </c>
      <c r="I72" t="s">
        <v>25</v>
      </c>
      <c r="J72" t="s">
        <v>101</v>
      </c>
      <c r="K72" t="s">
        <v>88</v>
      </c>
      <c r="L72" t="s">
        <v>103</v>
      </c>
      <c r="M72">
        <v>1117.7193056399999</v>
      </c>
      <c r="N72">
        <v>0</v>
      </c>
      <c r="O72" t="s">
        <v>79</v>
      </c>
      <c r="P72" s="38">
        <v>44334.047875034717</v>
      </c>
      <c r="Q72">
        <v>5584365</v>
      </c>
      <c r="R72" t="s">
        <v>82</v>
      </c>
      <c r="S72" s="4">
        <v>1131.86032591</v>
      </c>
      <c r="W72"/>
      <c r="X72">
        <v>0</v>
      </c>
      <c r="AC72" t="s">
        <v>84</v>
      </c>
      <c r="AD72" s="38">
        <v>42826</v>
      </c>
    </row>
    <row r="73" spans="1:30" x14ac:dyDescent="0.25">
      <c r="A73">
        <v>628657</v>
      </c>
      <c r="B73" t="s">
        <v>141</v>
      </c>
      <c r="C73">
        <v>2017</v>
      </c>
      <c r="D73">
        <v>4</v>
      </c>
      <c r="E73" t="s">
        <v>89</v>
      </c>
      <c r="F73" t="s">
        <v>84</v>
      </c>
      <c r="G73" t="s">
        <v>84</v>
      </c>
      <c r="H73" t="s">
        <v>25</v>
      </c>
      <c r="I73" t="s">
        <v>25</v>
      </c>
      <c r="J73" t="s">
        <v>101</v>
      </c>
      <c r="K73" t="s">
        <v>90</v>
      </c>
      <c r="L73" t="s">
        <v>103</v>
      </c>
      <c r="M73">
        <v>1712.75377718</v>
      </c>
      <c r="N73">
        <v>0</v>
      </c>
      <c r="O73" t="s">
        <v>79</v>
      </c>
      <c r="P73" s="38">
        <v>44334.047875810182</v>
      </c>
      <c r="Q73">
        <v>5584409</v>
      </c>
      <c r="R73" t="s">
        <v>82</v>
      </c>
      <c r="S73" s="4">
        <v>1735.13512208</v>
      </c>
      <c r="W73"/>
      <c r="X73">
        <v>0</v>
      </c>
      <c r="AC73" t="s">
        <v>84</v>
      </c>
      <c r="AD73" s="38">
        <v>42826</v>
      </c>
    </row>
    <row r="74" spans="1:30" x14ac:dyDescent="0.25">
      <c r="A74">
        <v>550982</v>
      </c>
      <c r="B74" t="s">
        <v>144</v>
      </c>
      <c r="C74">
        <v>2017</v>
      </c>
      <c r="D74">
        <v>5</v>
      </c>
      <c r="E74" t="s">
        <v>89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90</v>
      </c>
      <c r="L74" t="s">
        <v>103</v>
      </c>
      <c r="M74">
        <v>1465.7128444299999</v>
      </c>
      <c r="N74">
        <v>0</v>
      </c>
      <c r="O74" t="s">
        <v>79</v>
      </c>
      <c r="P74" s="38">
        <v>44330.103752581017</v>
      </c>
      <c r="Q74">
        <v>5059859</v>
      </c>
      <c r="R74" t="s">
        <v>74</v>
      </c>
      <c r="S74" s="4">
        <v>38.698539070000002</v>
      </c>
      <c r="W74"/>
      <c r="X74">
        <v>0</v>
      </c>
      <c r="AC74" t="s">
        <v>84</v>
      </c>
      <c r="AD74" s="38">
        <v>42856</v>
      </c>
    </row>
    <row r="75" spans="1:30" x14ac:dyDescent="0.25">
      <c r="A75">
        <v>550961</v>
      </c>
      <c r="B75" t="s">
        <v>144</v>
      </c>
      <c r="C75">
        <v>2017</v>
      </c>
      <c r="D75">
        <v>5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999.01457314000004</v>
      </c>
      <c r="N75">
        <v>0</v>
      </c>
      <c r="O75" t="s">
        <v>79</v>
      </c>
      <c r="P75" s="38">
        <v>44330.10375185185</v>
      </c>
      <c r="Q75">
        <v>5059817</v>
      </c>
      <c r="R75" t="s">
        <v>74</v>
      </c>
      <c r="S75" s="4">
        <v>26.791898499999999</v>
      </c>
      <c r="W75"/>
      <c r="X75">
        <v>0</v>
      </c>
      <c r="AC75" t="s">
        <v>84</v>
      </c>
      <c r="AD75" s="38">
        <v>42856</v>
      </c>
    </row>
    <row r="76" spans="1:30" x14ac:dyDescent="0.25">
      <c r="A76">
        <v>550940</v>
      </c>
      <c r="B76" t="s">
        <v>144</v>
      </c>
      <c r="C76">
        <v>2017</v>
      </c>
      <c r="D76">
        <v>5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2827.3129987100001</v>
      </c>
      <c r="N76">
        <v>0</v>
      </c>
      <c r="O76" t="s">
        <v>79</v>
      </c>
      <c r="P76" s="38">
        <v>44330.103751238428</v>
      </c>
      <c r="Q76">
        <v>5059775</v>
      </c>
      <c r="R76" t="s">
        <v>74</v>
      </c>
      <c r="S76" s="4">
        <v>42.026370710000002</v>
      </c>
      <c r="W76"/>
      <c r="X76">
        <v>0</v>
      </c>
      <c r="AC76" t="s">
        <v>84</v>
      </c>
      <c r="AD76" s="38">
        <v>42856</v>
      </c>
    </row>
    <row r="77" spans="1:30" x14ac:dyDescent="0.25">
      <c r="A77">
        <v>550961</v>
      </c>
      <c r="B77" t="s">
        <v>144</v>
      </c>
      <c r="C77">
        <v>2017</v>
      </c>
      <c r="D77">
        <v>5</v>
      </c>
      <c r="E77" t="s">
        <v>87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88</v>
      </c>
      <c r="L77" t="s">
        <v>103</v>
      </c>
      <c r="M77">
        <v>999.01457314000004</v>
      </c>
      <c r="N77">
        <v>0</v>
      </c>
      <c r="O77" t="s">
        <v>79</v>
      </c>
      <c r="P77" s="38">
        <v>44330.10375185185</v>
      </c>
      <c r="Q77">
        <v>5059816</v>
      </c>
      <c r="R77" t="s">
        <v>82</v>
      </c>
      <c r="S77" s="4">
        <v>1011.65377984</v>
      </c>
      <c r="W77"/>
      <c r="X77">
        <v>0</v>
      </c>
      <c r="AC77" t="s">
        <v>84</v>
      </c>
      <c r="AD77" s="38">
        <v>42856</v>
      </c>
    </row>
    <row r="78" spans="1:30" x14ac:dyDescent="0.25">
      <c r="A78">
        <v>550982</v>
      </c>
      <c r="B78" t="s">
        <v>144</v>
      </c>
      <c r="C78">
        <v>2017</v>
      </c>
      <c r="D78">
        <v>5</v>
      </c>
      <c r="E78" t="s">
        <v>89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90</v>
      </c>
      <c r="L78" t="s">
        <v>103</v>
      </c>
      <c r="M78">
        <v>1465.7128444299999</v>
      </c>
      <c r="N78">
        <v>0</v>
      </c>
      <c r="O78" t="s">
        <v>79</v>
      </c>
      <c r="P78" s="38">
        <v>44330.103752581017</v>
      </c>
      <c r="Q78">
        <v>5059858</v>
      </c>
      <c r="R78" t="s">
        <v>82</v>
      </c>
      <c r="S78" s="4">
        <v>1484.86599133</v>
      </c>
      <c r="W78"/>
      <c r="X78">
        <v>0</v>
      </c>
      <c r="AC78" t="s">
        <v>84</v>
      </c>
      <c r="AD78" s="38">
        <v>42856</v>
      </c>
    </row>
    <row r="79" spans="1:30" x14ac:dyDescent="0.25">
      <c r="A79">
        <v>550940</v>
      </c>
      <c r="B79" t="s">
        <v>144</v>
      </c>
      <c r="C79">
        <v>2017</v>
      </c>
      <c r="D79">
        <v>5</v>
      </c>
      <c r="E79" t="s">
        <v>85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86</v>
      </c>
      <c r="L79" t="s">
        <v>103</v>
      </c>
      <c r="M79">
        <v>2827.3129987100001</v>
      </c>
      <c r="N79">
        <v>0</v>
      </c>
      <c r="O79" t="s">
        <v>79</v>
      </c>
      <c r="P79" s="38">
        <v>44330.103751238428</v>
      </c>
      <c r="Q79">
        <v>5059774</v>
      </c>
      <c r="R79" t="s">
        <v>82</v>
      </c>
      <c r="S79" s="4">
        <v>2896.8806720600001</v>
      </c>
      <c r="W79"/>
      <c r="X79">
        <v>0</v>
      </c>
      <c r="AC79" t="s">
        <v>84</v>
      </c>
      <c r="AD79" s="38">
        <v>42856</v>
      </c>
    </row>
    <row r="80" spans="1:30" x14ac:dyDescent="0.25">
      <c r="A80">
        <v>560915</v>
      </c>
      <c r="B80" t="s">
        <v>143</v>
      </c>
      <c r="C80">
        <v>2017</v>
      </c>
      <c r="D80">
        <v>6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2370.0725542700002</v>
      </c>
      <c r="N80">
        <v>0</v>
      </c>
      <c r="O80" t="s">
        <v>79</v>
      </c>
      <c r="P80" s="38">
        <v>44330.104735567133</v>
      </c>
      <c r="Q80">
        <v>5144509</v>
      </c>
      <c r="R80" t="s">
        <v>74</v>
      </c>
      <c r="S80" s="4">
        <v>35.229756250000001</v>
      </c>
      <c r="W80"/>
      <c r="X80">
        <v>0</v>
      </c>
      <c r="AC80" t="s">
        <v>84</v>
      </c>
      <c r="AD80" s="38">
        <v>42887</v>
      </c>
    </row>
    <row r="81" spans="1:30" x14ac:dyDescent="0.25">
      <c r="A81">
        <v>560936</v>
      </c>
      <c r="B81" t="s">
        <v>143</v>
      </c>
      <c r="C81">
        <v>2017</v>
      </c>
      <c r="D81">
        <v>6</v>
      </c>
      <c r="E81" t="s">
        <v>87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88</v>
      </c>
      <c r="L81" t="s">
        <v>103</v>
      </c>
      <c r="M81">
        <v>850.28490937000004</v>
      </c>
      <c r="N81">
        <v>0</v>
      </c>
      <c r="O81" t="s">
        <v>79</v>
      </c>
      <c r="P81" s="38">
        <v>44330.104736226851</v>
      </c>
      <c r="Q81">
        <v>5144551</v>
      </c>
      <c r="R81" t="s">
        <v>74</v>
      </c>
      <c r="S81" s="4">
        <v>22.803217889999999</v>
      </c>
      <c r="W81"/>
      <c r="X81">
        <v>0</v>
      </c>
      <c r="AC81" t="s">
        <v>84</v>
      </c>
      <c r="AD81" s="38">
        <v>42887</v>
      </c>
    </row>
    <row r="82" spans="1:30" x14ac:dyDescent="0.25">
      <c r="A82">
        <v>560957</v>
      </c>
      <c r="B82" t="s">
        <v>143</v>
      </c>
      <c r="C82">
        <v>2017</v>
      </c>
      <c r="D82">
        <v>6</v>
      </c>
      <c r="E82" t="s">
        <v>89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90</v>
      </c>
      <c r="L82" t="s">
        <v>103</v>
      </c>
      <c r="M82">
        <v>1321.58655047</v>
      </c>
      <c r="N82">
        <v>0</v>
      </c>
      <c r="O82" t="s">
        <v>79</v>
      </c>
      <c r="P82" s="38">
        <v>44330.104736770831</v>
      </c>
      <c r="Q82">
        <v>5144593</v>
      </c>
      <c r="R82" t="s">
        <v>74</v>
      </c>
      <c r="S82" s="4">
        <v>34.893239119999997</v>
      </c>
      <c r="W82"/>
      <c r="X82">
        <v>0</v>
      </c>
      <c r="AC82" t="s">
        <v>84</v>
      </c>
      <c r="AD82" s="38">
        <v>42887</v>
      </c>
    </row>
    <row r="83" spans="1:30" x14ac:dyDescent="0.25">
      <c r="A83">
        <v>560957</v>
      </c>
      <c r="B83" t="s">
        <v>143</v>
      </c>
      <c r="C83">
        <v>2017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1321.58655047</v>
      </c>
      <c r="N83">
        <v>0</v>
      </c>
      <c r="O83" t="s">
        <v>79</v>
      </c>
      <c r="P83" s="38">
        <v>44330.104736770831</v>
      </c>
      <c r="Q83">
        <v>5144592</v>
      </c>
      <c r="R83" t="s">
        <v>82</v>
      </c>
      <c r="S83" s="4">
        <v>1338.8563325</v>
      </c>
      <c r="W83"/>
      <c r="X83">
        <v>0</v>
      </c>
      <c r="AC83" t="s">
        <v>84</v>
      </c>
      <c r="AD83" s="38">
        <v>42887</v>
      </c>
    </row>
    <row r="84" spans="1:30" x14ac:dyDescent="0.25">
      <c r="A84">
        <v>560915</v>
      </c>
      <c r="B84" t="s">
        <v>143</v>
      </c>
      <c r="C84">
        <v>2017</v>
      </c>
      <c r="D84">
        <v>6</v>
      </c>
      <c r="E84" t="s">
        <v>85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86</v>
      </c>
      <c r="L84" t="s">
        <v>103</v>
      </c>
      <c r="M84">
        <v>2370.0725542700002</v>
      </c>
      <c r="N84">
        <v>0</v>
      </c>
      <c r="O84" t="s">
        <v>79</v>
      </c>
      <c r="P84" s="38">
        <v>44330.104735567133</v>
      </c>
      <c r="Q84">
        <v>5144508</v>
      </c>
      <c r="R84" t="s">
        <v>82</v>
      </c>
      <c r="S84" s="4">
        <v>2428.3895617399999</v>
      </c>
      <c r="W84"/>
      <c r="X84">
        <v>0</v>
      </c>
      <c r="AC84" t="s">
        <v>84</v>
      </c>
      <c r="AD84" s="38">
        <v>42887</v>
      </c>
    </row>
    <row r="85" spans="1:30" x14ac:dyDescent="0.25">
      <c r="A85">
        <v>560936</v>
      </c>
      <c r="B85" t="s">
        <v>143</v>
      </c>
      <c r="C85">
        <v>2017</v>
      </c>
      <c r="D85">
        <v>6</v>
      </c>
      <c r="E85" t="s">
        <v>87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88</v>
      </c>
      <c r="L85" t="s">
        <v>103</v>
      </c>
      <c r="M85">
        <v>850.28490937000004</v>
      </c>
      <c r="N85">
        <v>0</v>
      </c>
      <c r="O85" t="s">
        <v>79</v>
      </c>
      <c r="P85" s="38">
        <v>44330.104736226851</v>
      </c>
      <c r="Q85">
        <v>5144550</v>
      </c>
      <c r="R85" t="s">
        <v>82</v>
      </c>
      <c r="S85" s="4">
        <v>861.04243684999994</v>
      </c>
      <c r="W85"/>
      <c r="X85">
        <v>0</v>
      </c>
      <c r="AC85" t="s">
        <v>84</v>
      </c>
      <c r="AD85" s="38">
        <v>42887</v>
      </c>
    </row>
    <row r="86" spans="1:30" x14ac:dyDescent="0.25">
      <c r="A86">
        <v>570927</v>
      </c>
      <c r="B86" t="s">
        <v>142</v>
      </c>
      <c r="C86">
        <v>2017</v>
      </c>
      <c r="D86">
        <v>7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1241.0892522700001</v>
      </c>
      <c r="N86">
        <v>0</v>
      </c>
      <c r="O86" t="s">
        <v>79</v>
      </c>
      <c r="P86" s="38">
        <v>44330.105698263891</v>
      </c>
      <c r="Q86">
        <v>5229297</v>
      </c>
      <c r="R86" t="s">
        <v>74</v>
      </c>
      <c r="S86" s="4">
        <v>32.767906140000001</v>
      </c>
      <c r="W86"/>
      <c r="X86">
        <v>0</v>
      </c>
      <c r="AC86" t="s">
        <v>84</v>
      </c>
      <c r="AD86" s="38">
        <v>42917</v>
      </c>
    </row>
    <row r="87" spans="1:30" x14ac:dyDescent="0.25">
      <c r="A87">
        <v>570885</v>
      </c>
      <c r="B87" t="s">
        <v>142</v>
      </c>
      <c r="C87">
        <v>2017</v>
      </c>
      <c r="D87">
        <v>7</v>
      </c>
      <c r="E87" t="s">
        <v>85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86</v>
      </c>
      <c r="L87" t="s">
        <v>103</v>
      </c>
      <c r="M87">
        <v>2146.3813947499998</v>
      </c>
      <c r="N87">
        <v>0</v>
      </c>
      <c r="O87" t="s">
        <v>79</v>
      </c>
      <c r="P87" s="38">
        <v>44330.105697106483</v>
      </c>
      <c r="Q87">
        <v>5229213</v>
      </c>
      <c r="R87" t="s">
        <v>74</v>
      </c>
      <c r="S87" s="4">
        <v>31.90471668</v>
      </c>
      <c r="W87"/>
      <c r="X87">
        <v>0</v>
      </c>
      <c r="AC87" t="s">
        <v>84</v>
      </c>
      <c r="AD87" s="38">
        <v>42917</v>
      </c>
    </row>
    <row r="88" spans="1:30" x14ac:dyDescent="0.25">
      <c r="A88">
        <v>570906</v>
      </c>
      <c r="B88" t="s">
        <v>142</v>
      </c>
      <c r="C88">
        <v>2017</v>
      </c>
      <c r="D88">
        <v>7</v>
      </c>
      <c r="E88" t="s">
        <v>87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88</v>
      </c>
      <c r="L88" t="s">
        <v>103</v>
      </c>
      <c r="M88">
        <v>331.86459323999998</v>
      </c>
      <c r="N88">
        <v>0</v>
      </c>
      <c r="O88" t="s">
        <v>79</v>
      </c>
      <c r="P88" s="38">
        <v>44330.105697719897</v>
      </c>
      <c r="Q88">
        <v>5229255</v>
      </c>
      <c r="R88" t="s">
        <v>74</v>
      </c>
      <c r="S88" s="4">
        <v>8.9000528499999998</v>
      </c>
      <c r="W88"/>
      <c r="X88">
        <v>0</v>
      </c>
      <c r="AC88" t="s">
        <v>84</v>
      </c>
      <c r="AD88" s="38">
        <v>42917</v>
      </c>
    </row>
    <row r="89" spans="1:30" x14ac:dyDescent="0.25">
      <c r="A89">
        <v>570885</v>
      </c>
      <c r="B89" t="s">
        <v>142</v>
      </c>
      <c r="C89">
        <v>2017</v>
      </c>
      <c r="D89">
        <v>7</v>
      </c>
      <c r="E89" t="s">
        <v>85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86</v>
      </c>
      <c r="L89" t="s">
        <v>103</v>
      </c>
      <c r="M89">
        <v>2146.3813947499998</v>
      </c>
      <c r="N89">
        <v>0</v>
      </c>
      <c r="O89" t="s">
        <v>79</v>
      </c>
      <c r="P89" s="38">
        <v>44330.105697106483</v>
      </c>
      <c r="Q89">
        <v>5229212</v>
      </c>
      <c r="R89" t="s">
        <v>82</v>
      </c>
      <c r="S89" s="4">
        <v>2199.1943517200002</v>
      </c>
      <c r="W89"/>
      <c r="X89">
        <v>0</v>
      </c>
      <c r="AC89" t="s">
        <v>84</v>
      </c>
      <c r="AD89" s="38">
        <v>42917</v>
      </c>
    </row>
    <row r="90" spans="1:30" x14ac:dyDescent="0.25">
      <c r="A90">
        <v>570927</v>
      </c>
      <c r="B90" t="s">
        <v>142</v>
      </c>
      <c r="C90">
        <v>2017</v>
      </c>
      <c r="D90">
        <v>7</v>
      </c>
      <c r="E90" t="s">
        <v>89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90</v>
      </c>
      <c r="L90" t="s">
        <v>103</v>
      </c>
      <c r="M90">
        <v>1241.0892522700001</v>
      </c>
      <c r="N90">
        <v>0</v>
      </c>
      <c r="O90" t="s">
        <v>79</v>
      </c>
      <c r="P90" s="38">
        <v>44330.105698263891</v>
      </c>
      <c r="Q90">
        <v>5229296</v>
      </c>
      <c r="R90" t="s">
        <v>82</v>
      </c>
      <c r="S90" s="4">
        <v>1257.30713891</v>
      </c>
      <c r="W90"/>
      <c r="X90">
        <v>0</v>
      </c>
      <c r="AC90" t="s">
        <v>84</v>
      </c>
      <c r="AD90" s="38">
        <v>42917</v>
      </c>
    </row>
    <row r="91" spans="1:30" x14ac:dyDescent="0.25">
      <c r="A91">
        <v>570906</v>
      </c>
      <c r="B91" t="s">
        <v>142</v>
      </c>
      <c r="C91">
        <v>2017</v>
      </c>
      <c r="D91">
        <v>7</v>
      </c>
      <c r="E91" t="s">
        <v>87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88</v>
      </c>
      <c r="L91" t="s">
        <v>103</v>
      </c>
      <c r="M91">
        <v>331.86459323999998</v>
      </c>
      <c r="N91">
        <v>0</v>
      </c>
      <c r="O91" t="s">
        <v>79</v>
      </c>
      <c r="P91" s="38">
        <v>44330.105697719897</v>
      </c>
      <c r="Q91">
        <v>5229254</v>
      </c>
      <c r="R91" t="s">
        <v>82</v>
      </c>
      <c r="S91" s="4">
        <v>336.06323587999998</v>
      </c>
      <c r="W91"/>
      <c r="X91">
        <v>0</v>
      </c>
      <c r="AC91" t="s">
        <v>84</v>
      </c>
      <c r="AD91" s="38">
        <v>42917</v>
      </c>
    </row>
    <row r="92" spans="1:30" x14ac:dyDescent="0.25">
      <c r="A92">
        <v>580771</v>
      </c>
      <c r="B92" t="s">
        <v>137</v>
      </c>
      <c r="C92">
        <v>2017</v>
      </c>
      <c r="D92">
        <v>8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1825.75210223</v>
      </c>
      <c r="N92">
        <v>0</v>
      </c>
      <c r="O92" t="s">
        <v>79</v>
      </c>
      <c r="P92" s="38">
        <v>44330.106720752323</v>
      </c>
      <c r="Q92">
        <v>5313253</v>
      </c>
      <c r="R92" t="s">
        <v>74</v>
      </c>
      <c r="S92" s="4">
        <v>27.138747890000001</v>
      </c>
      <c r="W92"/>
      <c r="X92">
        <v>0</v>
      </c>
      <c r="AC92" t="s">
        <v>84</v>
      </c>
      <c r="AD92" s="38">
        <v>42948</v>
      </c>
    </row>
    <row r="93" spans="1:30" x14ac:dyDescent="0.25">
      <c r="A93">
        <v>580793</v>
      </c>
      <c r="B93" t="s">
        <v>137</v>
      </c>
      <c r="C93">
        <v>2017</v>
      </c>
      <c r="D93">
        <v>8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317.95009379999999</v>
      </c>
      <c r="N93">
        <v>0</v>
      </c>
      <c r="O93" t="s">
        <v>79</v>
      </c>
      <c r="P93" s="38">
        <v>44330.106721331023</v>
      </c>
      <c r="Q93">
        <v>5313297</v>
      </c>
      <c r="R93" t="s">
        <v>74</v>
      </c>
      <c r="S93" s="4">
        <v>8.5268892699999999</v>
      </c>
      <c r="W93"/>
      <c r="X93">
        <v>0</v>
      </c>
      <c r="AC93" t="s">
        <v>84</v>
      </c>
      <c r="AD93" s="38">
        <v>42948</v>
      </c>
    </row>
    <row r="94" spans="1:30" x14ac:dyDescent="0.25">
      <c r="A94">
        <v>580815</v>
      </c>
      <c r="B94" t="s">
        <v>137</v>
      </c>
      <c r="C94">
        <v>2017</v>
      </c>
      <c r="D94">
        <v>8</v>
      </c>
      <c r="E94" t="s">
        <v>89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90</v>
      </c>
      <c r="L94" t="s">
        <v>103</v>
      </c>
      <c r="M94">
        <v>1252.6346749899999</v>
      </c>
      <c r="N94">
        <v>0</v>
      </c>
      <c r="O94" t="s">
        <v>79</v>
      </c>
      <c r="P94" s="38">
        <v>44330.106721909717</v>
      </c>
      <c r="Q94">
        <v>5313341</v>
      </c>
      <c r="R94" t="s">
        <v>74</v>
      </c>
      <c r="S94" s="4">
        <v>33.072734609999998</v>
      </c>
      <c r="W94"/>
      <c r="X94">
        <v>0</v>
      </c>
      <c r="AC94" t="s">
        <v>84</v>
      </c>
      <c r="AD94" s="38">
        <v>42948</v>
      </c>
    </row>
    <row r="95" spans="1:30" x14ac:dyDescent="0.25">
      <c r="A95">
        <v>580771</v>
      </c>
      <c r="B95" t="s">
        <v>137</v>
      </c>
      <c r="C95">
        <v>2017</v>
      </c>
      <c r="D95">
        <v>8</v>
      </c>
      <c r="E95" t="s">
        <v>85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86</v>
      </c>
      <c r="L95" t="s">
        <v>103</v>
      </c>
      <c r="M95">
        <v>1825.75210223</v>
      </c>
      <c r="N95">
        <v>0</v>
      </c>
      <c r="O95" t="s">
        <v>79</v>
      </c>
      <c r="P95" s="38">
        <v>44330.106720752323</v>
      </c>
      <c r="Q95">
        <v>5313252</v>
      </c>
      <c r="R95" t="s">
        <v>82</v>
      </c>
      <c r="S95" s="4">
        <v>1870.67578981</v>
      </c>
      <c r="W95"/>
      <c r="X95">
        <v>0</v>
      </c>
      <c r="AC95" t="s">
        <v>84</v>
      </c>
      <c r="AD95" s="38">
        <v>42948</v>
      </c>
    </row>
    <row r="96" spans="1:30" x14ac:dyDescent="0.25">
      <c r="A96">
        <v>580793</v>
      </c>
      <c r="B96" t="s">
        <v>137</v>
      </c>
      <c r="C96">
        <v>2017</v>
      </c>
      <c r="D96">
        <v>8</v>
      </c>
      <c r="E96" t="s">
        <v>87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88</v>
      </c>
      <c r="L96" t="s">
        <v>103</v>
      </c>
      <c r="M96">
        <v>317.95009379999999</v>
      </c>
      <c r="N96">
        <v>0</v>
      </c>
      <c r="O96" t="s">
        <v>79</v>
      </c>
      <c r="P96" s="38">
        <v>44330.106721331023</v>
      </c>
      <c r="Q96">
        <v>5313296</v>
      </c>
      <c r="R96" t="s">
        <v>82</v>
      </c>
      <c r="S96" s="4">
        <v>321.97269474000001</v>
      </c>
      <c r="W96"/>
      <c r="X96">
        <v>0</v>
      </c>
      <c r="AC96" t="s">
        <v>84</v>
      </c>
      <c r="AD96" s="38">
        <v>42948</v>
      </c>
    </row>
    <row r="97" spans="1:30" x14ac:dyDescent="0.25">
      <c r="A97">
        <v>580815</v>
      </c>
      <c r="B97" t="s">
        <v>137</v>
      </c>
      <c r="C97">
        <v>2017</v>
      </c>
      <c r="D97">
        <v>8</v>
      </c>
      <c r="E97" t="s">
        <v>89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90</v>
      </c>
      <c r="L97" t="s">
        <v>103</v>
      </c>
      <c r="M97">
        <v>1252.6346749899999</v>
      </c>
      <c r="N97">
        <v>0</v>
      </c>
      <c r="O97" t="s">
        <v>79</v>
      </c>
      <c r="P97" s="38">
        <v>44330.106721909717</v>
      </c>
      <c r="Q97">
        <v>5313340</v>
      </c>
      <c r="R97" t="s">
        <v>82</v>
      </c>
      <c r="S97" s="4">
        <v>1269.0034310000001</v>
      </c>
      <c r="W97"/>
      <c r="X97">
        <v>0</v>
      </c>
      <c r="AC97" t="s">
        <v>84</v>
      </c>
      <c r="AD97" s="38">
        <v>42948</v>
      </c>
    </row>
    <row r="98" spans="1:30" x14ac:dyDescent="0.25">
      <c r="A98">
        <v>2</v>
      </c>
      <c r="B98" t="s">
        <v>121</v>
      </c>
      <c r="C98">
        <v>2017</v>
      </c>
      <c r="D98">
        <v>9</v>
      </c>
      <c r="E98" t="s">
        <v>85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86</v>
      </c>
      <c r="L98" t="s">
        <v>103</v>
      </c>
      <c r="M98">
        <v>1525.35760676</v>
      </c>
      <c r="N98">
        <v>0</v>
      </c>
      <c r="O98" t="s">
        <v>79</v>
      </c>
      <c r="P98" s="38">
        <v>44269.837765891207</v>
      </c>
      <c r="Q98">
        <v>4</v>
      </c>
      <c r="R98" t="s">
        <v>74</v>
      </c>
      <c r="S98" s="4">
        <v>22.673557639999999</v>
      </c>
      <c r="W98"/>
      <c r="X98">
        <v>0</v>
      </c>
      <c r="AC98" t="s">
        <v>84</v>
      </c>
      <c r="AD98" s="38">
        <v>42979</v>
      </c>
    </row>
    <row r="99" spans="1:30" x14ac:dyDescent="0.25">
      <c r="A99">
        <v>23</v>
      </c>
      <c r="B99" t="s">
        <v>121</v>
      </c>
      <c r="C99">
        <v>2017</v>
      </c>
      <c r="D99">
        <v>9</v>
      </c>
      <c r="E99" t="s">
        <v>87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88</v>
      </c>
      <c r="L99" t="s">
        <v>103</v>
      </c>
      <c r="M99">
        <v>317.51694221999998</v>
      </c>
      <c r="N99">
        <v>0</v>
      </c>
      <c r="O99" t="s">
        <v>79</v>
      </c>
      <c r="P99" s="38">
        <v>44269.837767013887</v>
      </c>
      <c r="Q99">
        <v>46</v>
      </c>
      <c r="R99" t="s">
        <v>74</v>
      </c>
      <c r="S99" s="4">
        <v>8.5152728700000004</v>
      </c>
      <c r="W99"/>
      <c r="X99">
        <v>0</v>
      </c>
      <c r="AC99" t="s">
        <v>84</v>
      </c>
      <c r="AD99" s="38">
        <v>42979</v>
      </c>
    </row>
    <row r="100" spans="1:30" x14ac:dyDescent="0.25">
      <c r="A100">
        <v>44</v>
      </c>
      <c r="B100" t="s">
        <v>121</v>
      </c>
      <c r="C100">
        <v>2017</v>
      </c>
      <c r="D100">
        <v>9</v>
      </c>
      <c r="E100" t="s">
        <v>89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90</v>
      </c>
      <c r="L100" t="s">
        <v>103</v>
      </c>
      <c r="M100">
        <v>1160.3236436</v>
      </c>
      <c r="N100">
        <v>0</v>
      </c>
      <c r="O100" t="s">
        <v>79</v>
      </c>
      <c r="P100" s="38">
        <v>44269.837768090278</v>
      </c>
      <c r="Q100">
        <v>88</v>
      </c>
      <c r="R100" t="s">
        <v>74</v>
      </c>
      <c r="S100" s="4">
        <v>30.63548909</v>
      </c>
      <c r="W100"/>
      <c r="X100">
        <v>0</v>
      </c>
      <c r="AC100" t="s">
        <v>84</v>
      </c>
      <c r="AD100" s="38">
        <v>42979</v>
      </c>
    </row>
    <row r="101" spans="1:30" x14ac:dyDescent="0.25">
      <c r="A101">
        <v>44</v>
      </c>
      <c r="B101" t="s">
        <v>121</v>
      </c>
      <c r="C101">
        <v>2017</v>
      </c>
      <c r="D101">
        <v>9</v>
      </c>
      <c r="E101" t="s">
        <v>89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90</v>
      </c>
      <c r="L101" t="s">
        <v>103</v>
      </c>
      <c r="M101">
        <v>1160.3236436</v>
      </c>
      <c r="N101">
        <v>0</v>
      </c>
      <c r="O101" t="s">
        <v>79</v>
      </c>
      <c r="P101" s="38">
        <v>44269.837768090278</v>
      </c>
      <c r="Q101">
        <v>87</v>
      </c>
      <c r="R101" t="s">
        <v>82</v>
      </c>
      <c r="S101" s="4">
        <v>1175.4861287199999</v>
      </c>
      <c r="W101"/>
      <c r="X101">
        <v>0</v>
      </c>
      <c r="AC101" t="s">
        <v>84</v>
      </c>
      <c r="AD101" s="38">
        <v>42979</v>
      </c>
    </row>
    <row r="102" spans="1:30" x14ac:dyDescent="0.25">
      <c r="A102">
        <v>23</v>
      </c>
      <c r="B102" t="s">
        <v>121</v>
      </c>
      <c r="C102">
        <v>2017</v>
      </c>
      <c r="D102">
        <v>9</v>
      </c>
      <c r="E102" t="s">
        <v>87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88</v>
      </c>
      <c r="L102" t="s">
        <v>103</v>
      </c>
      <c r="M102">
        <v>317.51694221999998</v>
      </c>
      <c r="N102">
        <v>0</v>
      </c>
      <c r="O102" t="s">
        <v>79</v>
      </c>
      <c r="P102" s="38">
        <v>44269.837767013887</v>
      </c>
      <c r="Q102">
        <v>45</v>
      </c>
      <c r="R102" t="s">
        <v>82</v>
      </c>
      <c r="S102" s="4">
        <v>321.53406305999999</v>
      </c>
      <c r="W102"/>
      <c r="X102">
        <v>0</v>
      </c>
      <c r="AC102" t="s">
        <v>84</v>
      </c>
      <c r="AD102" s="38">
        <v>42979</v>
      </c>
    </row>
    <row r="103" spans="1:30" x14ac:dyDescent="0.25">
      <c r="A103">
        <v>2</v>
      </c>
      <c r="B103" t="s">
        <v>121</v>
      </c>
      <c r="C103">
        <v>2017</v>
      </c>
      <c r="D103">
        <v>9</v>
      </c>
      <c r="E103" t="s">
        <v>85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86</v>
      </c>
      <c r="L103" t="s">
        <v>103</v>
      </c>
      <c r="M103">
        <v>1525.35760676</v>
      </c>
      <c r="N103">
        <v>0</v>
      </c>
      <c r="O103" t="s">
        <v>79</v>
      </c>
      <c r="P103" s="38">
        <v>44269.837765891207</v>
      </c>
      <c r="Q103">
        <v>3</v>
      </c>
      <c r="R103" t="s">
        <v>82</v>
      </c>
      <c r="S103" s="4">
        <v>1562.8899138500001</v>
      </c>
      <c r="W103"/>
      <c r="X103">
        <v>0</v>
      </c>
      <c r="AC103" t="s">
        <v>84</v>
      </c>
      <c r="AD103" s="38">
        <v>42979</v>
      </c>
    </row>
    <row r="104" spans="1:30" x14ac:dyDescent="0.25">
      <c r="A104">
        <v>9800</v>
      </c>
      <c r="B104" t="s">
        <v>127</v>
      </c>
      <c r="C104">
        <v>2017</v>
      </c>
      <c r="D104">
        <v>10</v>
      </c>
      <c r="E104" t="s">
        <v>85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86</v>
      </c>
      <c r="L104" t="s">
        <v>103</v>
      </c>
      <c r="M104">
        <v>1690.9131185399999</v>
      </c>
      <c r="N104">
        <v>0</v>
      </c>
      <c r="O104" t="s">
        <v>79</v>
      </c>
      <c r="P104" s="38">
        <v>44269.83878622685</v>
      </c>
      <c r="Q104">
        <v>83885</v>
      </c>
      <c r="R104" t="s">
        <v>74</v>
      </c>
      <c r="S104" s="4">
        <v>25.134444469999998</v>
      </c>
      <c r="W104"/>
      <c r="X104">
        <v>0</v>
      </c>
      <c r="AC104" t="s">
        <v>84</v>
      </c>
      <c r="AD104" s="38">
        <v>43009</v>
      </c>
    </row>
    <row r="105" spans="1:30" x14ac:dyDescent="0.25">
      <c r="A105">
        <v>9821</v>
      </c>
      <c r="B105" t="s">
        <v>127</v>
      </c>
      <c r="C105">
        <v>2017</v>
      </c>
      <c r="D105">
        <v>10</v>
      </c>
      <c r="E105" t="s">
        <v>87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88</v>
      </c>
      <c r="L105" t="s">
        <v>103</v>
      </c>
      <c r="M105">
        <v>345.79406583999997</v>
      </c>
      <c r="N105">
        <v>0</v>
      </c>
      <c r="O105" t="s">
        <v>79</v>
      </c>
      <c r="P105" s="38">
        <v>44269.83878726852</v>
      </c>
      <c r="Q105">
        <v>83927</v>
      </c>
      <c r="R105" t="s">
        <v>74</v>
      </c>
      <c r="S105" s="4">
        <v>9.27361799</v>
      </c>
      <c r="W105"/>
      <c r="X105">
        <v>0</v>
      </c>
      <c r="AC105" t="s">
        <v>84</v>
      </c>
      <c r="AD105" s="38">
        <v>43009</v>
      </c>
    </row>
    <row r="106" spans="1:30" x14ac:dyDescent="0.25">
      <c r="A106">
        <v>9842</v>
      </c>
      <c r="B106" t="s">
        <v>127</v>
      </c>
      <c r="C106">
        <v>2017</v>
      </c>
      <c r="D106">
        <v>10</v>
      </c>
      <c r="E106" t="s">
        <v>89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90</v>
      </c>
      <c r="L106" t="s">
        <v>103</v>
      </c>
      <c r="M106">
        <v>1325.6322066800001</v>
      </c>
      <c r="N106">
        <v>0</v>
      </c>
      <c r="O106" t="s">
        <v>79</v>
      </c>
      <c r="P106" s="38">
        <v>44269.838788229157</v>
      </c>
      <c r="Q106">
        <v>83969</v>
      </c>
      <c r="R106" t="s">
        <v>74</v>
      </c>
      <c r="S106" s="4">
        <v>35.000054710000001</v>
      </c>
      <c r="W106"/>
      <c r="X106">
        <v>0</v>
      </c>
      <c r="AC106" t="s">
        <v>84</v>
      </c>
      <c r="AD106" s="38">
        <v>43009</v>
      </c>
    </row>
    <row r="107" spans="1:30" x14ac:dyDescent="0.25">
      <c r="A107">
        <v>9821</v>
      </c>
      <c r="B107" t="s">
        <v>127</v>
      </c>
      <c r="C107">
        <v>2017</v>
      </c>
      <c r="D107">
        <v>10</v>
      </c>
      <c r="E107" t="s">
        <v>87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88</v>
      </c>
      <c r="L107" t="s">
        <v>103</v>
      </c>
      <c r="M107">
        <v>345.79406583999997</v>
      </c>
      <c r="N107">
        <v>0</v>
      </c>
      <c r="O107" t="s">
        <v>79</v>
      </c>
      <c r="P107" s="38">
        <v>44269.83878726852</v>
      </c>
      <c r="Q107">
        <v>83926</v>
      </c>
      <c r="R107" t="s">
        <v>82</v>
      </c>
      <c r="S107" s="4">
        <v>350.16893963000001</v>
      </c>
      <c r="W107"/>
      <c r="X107">
        <v>0</v>
      </c>
      <c r="AC107" t="s">
        <v>84</v>
      </c>
      <c r="AD107" s="38">
        <v>43009</v>
      </c>
    </row>
    <row r="108" spans="1:30" x14ac:dyDescent="0.25">
      <c r="A108">
        <v>9842</v>
      </c>
      <c r="B108" t="s">
        <v>127</v>
      </c>
      <c r="C108">
        <v>2017</v>
      </c>
      <c r="D108">
        <v>10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1325.6322066800001</v>
      </c>
      <c r="N108">
        <v>0</v>
      </c>
      <c r="O108" t="s">
        <v>79</v>
      </c>
      <c r="P108" s="38">
        <v>44269.838788229157</v>
      </c>
      <c r="Q108">
        <v>83968</v>
      </c>
      <c r="R108" t="s">
        <v>82</v>
      </c>
      <c r="S108" s="4">
        <v>1342.95485517</v>
      </c>
      <c r="W108"/>
      <c r="X108">
        <v>0</v>
      </c>
      <c r="AC108" t="s">
        <v>84</v>
      </c>
      <c r="AD108" s="38">
        <v>43009</v>
      </c>
    </row>
    <row r="109" spans="1:30" x14ac:dyDescent="0.25">
      <c r="A109">
        <v>9800</v>
      </c>
      <c r="B109" t="s">
        <v>127</v>
      </c>
      <c r="C109">
        <v>2017</v>
      </c>
      <c r="D109">
        <v>10</v>
      </c>
      <c r="E109" t="s">
        <v>85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86</v>
      </c>
      <c r="L109" t="s">
        <v>103</v>
      </c>
      <c r="M109">
        <v>1690.9131185399999</v>
      </c>
      <c r="N109">
        <v>0</v>
      </c>
      <c r="O109" t="s">
        <v>79</v>
      </c>
      <c r="P109" s="38">
        <v>44269.83878622685</v>
      </c>
      <c r="Q109">
        <v>83884</v>
      </c>
      <c r="R109" t="s">
        <v>82</v>
      </c>
      <c r="S109" s="4">
        <v>1732.51901486</v>
      </c>
      <c r="W109"/>
      <c r="X109">
        <v>0</v>
      </c>
      <c r="AC109" t="s">
        <v>84</v>
      </c>
      <c r="AD109" s="38">
        <v>43009</v>
      </c>
    </row>
    <row r="110" spans="1:30" x14ac:dyDescent="0.25">
      <c r="A110">
        <v>446664</v>
      </c>
      <c r="B110" t="s">
        <v>128</v>
      </c>
      <c r="C110">
        <v>2017</v>
      </c>
      <c r="D110">
        <v>11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2041.4187845900001</v>
      </c>
      <c r="N110">
        <v>0</v>
      </c>
      <c r="O110" t="s">
        <v>79</v>
      </c>
      <c r="P110" s="38">
        <v>44284.5259379977</v>
      </c>
      <c r="Q110">
        <v>4237044</v>
      </c>
      <c r="R110" t="s">
        <v>74</v>
      </c>
      <c r="S110" s="4">
        <v>30.344508250000001</v>
      </c>
      <c r="W110"/>
      <c r="X110">
        <v>0</v>
      </c>
      <c r="AC110" t="s">
        <v>84</v>
      </c>
      <c r="AD110" s="38">
        <v>43040</v>
      </c>
    </row>
    <row r="111" spans="1:30" x14ac:dyDescent="0.25">
      <c r="A111">
        <v>446686</v>
      </c>
      <c r="B111" t="s">
        <v>128</v>
      </c>
      <c r="C111">
        <v>2017</v>
      </c>
      <c r="D111">
        <v>11</v>
      </c>
      <c r="E111" t="s">
        <v>87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88</v>
      </c>
      <c r="L111" t="s">
        <v>103</v>
      </c>
      <c r="M111">
        <v>547.58038690000001</v>
      </c>
      <c r="N111">
        <v>0</v>
      </c>
      <c r="O111" t="s">
        <v>79</v>
      </c>
      <c r="P111" s="38">
        <v>44284.525938576393</v>
      </c>
      <c r="Q111">
        <v>4237088</v>
      </c>
      <c r="R111" t="s">
        <v>74</v>
      </c>
      <c r="S111" s="4">
        <v>14.68518933</v>
      </c>
      <c r="W111"/>
      <c r="X111">
        <v>0</v>
      </c>
      <c r="AC111" t="s">
        <v>84</v>
      </c>
      <c r="AD111" s="38">
        <v>43040</v>
      </c>
    </row>
    <row r="112" spans="1:30" x14ac:dyDescent="0.25">
      <c r="A112">
        <v>446708</v>
      </c>
      <c r="B112" t="s">
        <v>128</v>
      </c>
      <c r="C112">
        <v>2017</v>
      </c>
      <c r="D112">
        <v>11</v>
      </c>
      <c r="E112" t="s">
        <v>89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90</v>
      </c>
      <c r="L112" t="s">
        <v>103</v>
      </c>
      <c r="M112">
        <v>1364.6638703399999</v>
      </c>
      <c r="N112">
        <v>0</v>
      </c>
      <c r="O112" t="s">
        <v>79</v>
      </c>
      <c r="P112" s="38">
        <v>44284.525939120373</v>
      </c>
      <c r="Q112">
        <v>4237132</v>
      </c>
      <c r="R112" t="s">
        <v>74</v>
      </c>
      <c r="S112" s="4">
        <v>36.030589689999999</v>
      </c>
      <c r="W112"/>
      <c r="X112">
        <v>0</v>
      </c>
      <c r="AC112" t="s">
        <v>84</v>
      </c>
      <c r="AD112" s="38">
        <v>43040</v>
      </c>
    </row>
    <row r="113" spans="1:30" x14ac:dyDescent="0.25">
      <c r="A113">
        <v>446686</v>
      </c>
      <c r="B113" t="s">
        <v>128</v>
      </c>
      <c r="C113">
        <v>2017</v>
      </c>
      <c r="D113">
        <v>11</v>
      </c>
      <c r="E113" t="s">
        <v>87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88</v>
      </c>
      <c r="L113" t="s">
        <v>103</v>
      </c>
      <c r="M113">
        <v>547.58038690000001</v>
      </c>
      <c r="N113">
        <v>0</v>
      </c>
      <c r="O113" t="s">
        <v>79</v>
      </c>
      <c r="P113" s="38">
        <v>44284.525938576393</v>
      </c>
      <c r="Q113">
        <v>4237087</v>
      </c>
      <c r="R113" t="s">
        <v>82</v>
      </c>
      <c r="S113" s="4">
        <v>554.50819544000001</v>
      </c>
      <c r="W113"/>
      <c r="X113">
        <v>0</v>
      </c>
      <c r="AC113" t="s">
        <v>84</v>
      </c>
      <c r="AD113" s="38">
        <v>43040</v>
      </c>
    </row>
    <row r="114" spans="1:30" x14ac:dyDescent="0.25">
      <c r="A114">
        <v>446664</v>
      </c>
      <c r="B114" t="s">
        <v>128</v>
      </c>
      <c r="C114">
        <v>2017</v>
      </c>
      <c r="D114">
        <v>11</v>
      </c>
      <c r="E114" t="s">
        <v>85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86</v>
      </c>
      <c r="L114" t="s">
        <v>103</v>
      </c>
      <c r="M114">
        <v>2041.4187845900001</v>
      </c>
      <c r="N114">
        <v>0</v>
      </c>
      <c r="O114" t="s">
        <v>79</v>
      </c>
      <c r="P114" s="38">
        <v>44284.5259379977</v>
      </c>
      <c r="Q114">
        <v>4237043</v>
      </c>
      <c r="R114" t="s">
        <v>82</v>
      </c>
      <c r="S114" s="4">
        <v>2091.6490757699999</v>
      </c>
      <c r="W114"/>
      <c r="X114">
        <v>0</v>
      </c>
      <c r="AC114" t="s">
        <v>84</v>
      </c>
      <c r="AD114" s="38">
        <v>43040</v>
      </c>
    </row>
    <row r="115" spans="1:30" x14ac:dyDescent="0.25">
      <c r="A115">
        <v>446708</v>
      </c>
      <c r="B115" t="s">
        <v>128</v>
      </c>
      <c r="C115">
        <v>2017</v>
      </c>
      <c r="D115">
        <v>11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1364.6638703399999</v>
      </c>
      <c r="N115">
        <v>0</v>
      </c>
      <c r="O115" t="s">
        <v>79</v>
      </c>
      <c r="P115" s="38">
        <v>44284.525939120373</v>
      </c>
      <c r="Q115">
        <v>4237131</v>
      </c>
      <c r="R115" t="s">
        <v>82</v>
      </c>
      <c r="S115" s="4">
        <v>1382.4965636100001</v>
      </c>
      <c r="W115"/>
      <c r="X115">
        <v>0</v>
      </c>
      <c r="AC115" t="s">
        <v>84</v>
      </c>
      <c r="AD115" s="38">
        <v>43040</v>
      </c>
    </row>
    <row r="116" spans="1:30" x14ac:dyDescent="0.25">
      <c r="A116">
        <v>456416</v>
      </c>
      <c r="B116" t="s">
        <v>138</v>
      </c>
      <c r="C116">
        <v>2017</v>
      </c>
      <c r="D116">
        <v>12</v>
      </c>
      <c r="E116" t="s">
        <v>85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86</v>
      </c>
      <c r="L116" t="s">
        <v>103</v>
      </c>
      <c r="M116">
        <v>1221.88235865</v>
      </c>
      <c r="N116">
        <v>0</v>
      </c>
      <c r="O116" t="s">
        <v>79</v>
      </c>
      <c r="P116" s="38">
        <v>44284.526843402768</v>
      </c>
      <c r="Q116">
        <v>4320917</v>
      </c>
      <c r="R116" t="s">
        <v>74</v>
      </c>
      <c r="S116" s="4">
        <v>18.16257379</v>
      </c>
      <c r="W116"/>
      <c r="X116">
        <v>0</v>
      </c>
      <c r="AC116" t="s">
        <v>84</v>
      </c>
      <c r="AD116" s="38">
        <v>43070</v>
      </c>
    </row>
    <row r="117" spans="1:30" x14ac:dyDescent="0.25">
      <c r="A117">
        <v>456438</v>
      </c>
      <c r="B117" t="s">
        <v>138</v>
      </c>
      <c r="C117">
        <v>2017</v>
      </c>
      <c r="D117">
        <v>12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326.92489831</v>
      </c>
      <c r="N117">
        <v>0</v>
      </c>
      <c r="O117" t="s">
        <v>79</v>
      </c>
      <c r="P117" s="38">
        <v>44284.5268440625</v>
      </c>
      <c r="Q117">
        <v>4320961</v>
      </c>
      <c r="R117" t="s">
        <v>74</v>
      </c>
      <c r="S117" s="4">
        <v>8.7675785000000008</v>
      </c>
      <c r="W117"/>
      <c r="X117">
        <v>0</v>
      </c>
      <c r="AC117" t="s">
        <v>84</v>
      </c>
      <c r="AD117" s="38">
        <v>43070</v>
      </c>
    </row>
    <row r="118" spans="1:30" x14ac:dyDescent="0.25">
      <c r="A118">
        <v>456460</v>
      </c>
      <c r="B118" t="s">
        <v>138</v>
      </c>
      <c r="C118">
        <v>2017</v>
      </c>
      <c r="D118">
        <v>12</v>
      </c>
      <c r="E118" t="s">
        <v>89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90</v>
      </c>
      <c r="L118" t="s">
        <v>103</v>
      </c>
      <c r="M118">
        <v>577.39533010000002</v>
      </c>
      <c r="N118">
        <v>0</v>
      </c>
      <c r="O118" t="s">
        <v>79</v>
      </c>
      <c r="P118" s="38">
        <v>44284.52684471065</v>
      </c>
      <c r="Q118">
        <v>4321005</v>
      </c>
      <c r="R118" t="s">
        <v>74</v>
      </c>
      <c r="S118" s="4">
        <v>15.244702139999999</v>
      </c>
      <c r="W118"/>
      <c r="X118">
        <v>0</v>
      </c>
      <c r="AC118" t="s">
        <v>84</v>
      </c>
      <c r="AD118" s="38">
        <v>43070</v>
      </c>
    </row>
    <row r="119" spans="1:30" x14ac:dyDescent="0.25">
      <c r="A119">
        <v>456438</v>
      </c>
      <c r="B119" t="s">
        <v>138</v>
      </c>
      <c r="C119">
        <v>2017</v>
      </c>
      <c r="D119">
        <v>12</v>
      </c>
      <c r="E119" t="s">
        <v>87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88</v>
      </c>
      <c r="L119" t="s">
        <v>103</v>
      </c>
      <c r="M119">
        <v>326.92489831</v>
      </c>
      <c r="N119">
        <v>0</v>
      </c>
      <c r="O119" t="s">
        <v>79</v>
      </c>
      <c r="P119" s="38">
        <v>44284.5268440625</v>
      </c>
      <c r="Q119">
        <v>4320960</v>
      </c>
      <c r="R119" t="s">
        <v>82</v>
      </c>
      <c r="S119" s="4">
        <v>331.06104555000002</v>
      </c>
      <c r="W119"/>
      <c r="X119">
        <v>0</v>
      </c>
      <c r="AC119" t="s">
        <v>84</v>
      </c>
      <c r="AD119" s="38">
        <v>43070</v>
      </c>
    </row>
    <row r="120" spans="1:30" x14ac:dyDescent="0.25">
      <c r="A120">
        <v>456460</v>
      </c>
      <c r="B120" t="s">
        <v>138</v>
      </c>
      <c r="C120">
        <v>2017</v>
      </c>
      <c r="D120">
        <v>12</v>
      </c>
      <c r="E120" t="s">
        <v>89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90</v>
      </c>
      <c r="L120" t="s">
        <v>103</v>
      </c>
      <c r="M120">
        <v>577.39533010000002</v>
      </c>
      <c r="N120">
        <v>0</v>
      </c>
      <c r="O120" t="s">
        <v>79</v>
      </c>
      <c r="P120" s="38">
        <v>44284.52684471065</v>
      </c>
      <c r="Q120">
        <v>4321004</v>
      </c>
      <c r="R120" t="s">
        <v>82</v>
      </c>
      <c r="S120" s="4">
        <v>584.94042162999995</v>
      </c>
      <c r="W120"/>
      <c r="X120">
        <v>0</v>
      </c>
      <c r="AC120" t="s">
        <v>84</v>
      </c>
      <c r="AD120" s="38">
        <v>43070</v>
      </c>
    </row>
    <row r="121" spans="1:30" x14ac:dyDescent="0.25">
      <c r="A121">
        <v>456416</v>
      </c>
      <c r="B121" t="s">
        <v>138</v>
      </c>
      <c r="C121">
        <v>2017</v>
      </c>
      <c r="D121">
        <v>12</v>
      </c>
      <c r="E121" t="s">
        <v>85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86</v>
      </c>
      <c r="L121" t="s">
        <v>103</v>
      </c>
      <c r="M121">
        <v>1221.88235865</v>
      </c>
      <c r="N121">
        <v>0</v>
      </c>
      <c r="O121" t="s">
        <v>79</v>
      </c>
      <c r="P121" s="38">
        <v>44284.526843402768</v>
      </c>
      <c r="Q121">
        <v>4320916</v>
      </c>
      <c r="R121" t="s">
        <v>82</v>
      </c>
      <c r="S121" s="4">
        <v>1251.9474815599999</v>
      </c>
      <c r="W121"/>
      <c r="X121">
        <v>0</v>
      </c>
      <c r="AC121" t="s">
        <v>84</v>
      </c>
      <c r="AD121" s="38">
        <v>43070</v>
      </c>
    </row>
    <row r="122" spans="1:30" x14ac:dyDescent="0.25">
      <c r="A122">
        <v>38591</v>
      </c>
      <c r="B122" t="s">
        <v>119</v>
      </c>
      <c r="C122">
        <v>2018</v>
      </c>
      <c r="D122">
        <v>1</v>
      </c>
      <c r="E122" t="s">
        <v>89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90</v>
      </c>
      <c r="L122" t="s">
        <v>103</v>
      </c>
      <c r="M122">
        <v>1063.1400695499999</v>
      </c>
      <c r="N122">
        <v>0</v>
      </c>
      <c r="O122" t="s">
        <v>79</v>
      </c>
      <c r="P122" s="38">
        <v>44269.841714548609</v>
      </c>
      <c r="Q122">
        <v>327830</v>
      </c>
      <c r="R122" t="s">
        <v>74</v>
      </c>
      <c r="S122" s="4">
        <v>27.84811478</v>
      </c>
      <c r="W122"/>
      <c r="X122">
        <v>0</v>
      </c>
      <c r="AC122" t="s">
        <v>84</v>
      </c>
      <c r="AD122" s="38">
        <v>43101</v>
      </c>
    </row>
    <row r="123" spans="1:30" x14ac:dyDescent="0.25">
      <c r="A123">
        <v>38568</v>
      </c>
      <c r="B123" t="s">
        <v>119</v>
      </c>
      <c r="C123">
        <v>2018</v>
      </c>
      <c r="D123">
        <v>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892.08334261000005</v>
      </c>
      <c r="N123">
        <v>0</v>
      </c>
      <c r="O123" t="s">
        <v>79</v>
      </c>
      <c r="P123" s="38">
        <v>44269.841713576388</v>
      </c>
      <c r="Q123">
        <v>327784</v>
      </c>
      <c r="R123" t="s">
        <v>74</v>
      </c>
      <c r="S123" s="4">
        <v>23.73540972</v>
      </c>
      <c r="W123"/>
      <c r="X123">
        <v>0</v>
      </c>
      <c r="AC123" t="s">
        <v>84</v>
      </c>
      <c r="AD123" s="38">
        <v>43101</v>
      </c>
    </row>
    <row r="124" spans="1:30" x14ac:dyDescent="0.25">
      <c r="A124">
        <v>38545</v>
      </c>
      <c r="B124" t="s">
        <v>119</v>
      </c>
      <c r="C124">
        <v>2018</v>
      </c>
      <c r="D124">
        <v>1</v>
      </c>
      <c r="E124" t="s">
        <v>85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86</v>
      </c>
      <c r="L124" t="s">
        <v>103</v>
      </c>
      <c r="M124">
        <v>2934.8747129799999</v>
      </c>
      <c r="N124">
        <v>0</v>
      </c>
      <c r="O124" t="s">
        <v>79</v>
      </c>
      <c r="P124" s="38">
        <v>44269.841712766203</v>
      </c>
      <c r="Q124">
        <v>327738</v>
      </c>
      <c r="R124" t="s">
        <v>74</v>
      </c>
      <c r="S124" s="4">
        <v>43.280991440000001</v>
      </c>
      <c r="W124"/>
      <c r="X124">
        <v>0</v>
      </c>
      <c r="AC124" t="s">
        <v>84</v>
      </c>
      <c r="AD124" s="38">
        <v>43101</v>
      </c>
    </row>
    <row r="125" spans="1:30" x14ac:dyDescent="0.25">
      <c r="A125">
        <v>38568</v>
      </c>
      <c r="B125" t="s">
        <v>119</v>
      </c>
      <c r="C125">
        <v>2018</v>
      </c>
      <c r="D125">
        <v>1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101</v>
      </c>
      <c r="K125" t="s">
        <v>88</v>
      </c>
      <c r="L125" t="s">
        <v>103</v>
      </c>
      <c r="M125">
        <v>892.08334261000005</v>
      </c>
      <c r="N125">
        <v>0</v>
      </c>
      <c r="O125" t="s">
        <v>79</v>
      </c>
      <c r="P125" s="38">
        <v>44269.841713576388</v>
      </c>
      <c r="Q125">
        <v>327783</v>
      </c>
      <c r="R125" t="s">
        <v>82</v>
      </c>
      <c r="S125" s="4">
        <v>896.24171113</v>
      </c>
      <c r="W125"/>
      <c r="X125">
        <v>0</v>
      </c>
      <c r="AC125" t="s">
        <v>84</v>
      </c>
      <c r="AD125" s="38">
        <v>43101</v>
      </c>
    </row>
    <row r="126" spans="1:30" x14ac:dyDescent="0.25">
      <c r="A126">
        <v>38591</v>
      </c>
      <c r="B126" t="s">
        <v>119</v>
      </c>
      <c r="C126">
        <v>2018</v>
      </c>
      <c r="D126">
        <v>1</v>
      </c>
      <c r="E126" t="s">
        <v>89</v>
      </c>
      <c r="F126" t="s">
        <v>84</v>
      </c>
      <c r="G126" t="s">
        <v>84</v>
      </c>
      <c r="H126" t="s">
        <v>25</v>
      </c>
      <c r="I126" t="s">
        <v>25</v>
      </c>
      <c r="J126" t="s">
        <v>101</v>
      </c>
      <c r="K126" t="s">
        <v>90</v>
      </c>
      <c r="L126" t="s">
        <v>103</v>
      </c>
      <c r="M126">
        <v>1063.1400695499999</v>
      </c>
      <c r="N126">
        <v>0</v>
      </c>
      <c r="O126" t="s">
        <v>79</v>
      </c>
      <c r="P126" s="38">
        <v>44269.841714548609</v>
      </c>
      <c r="Q126">
        <v>327829</v>
      </c>
      <c r="R126" t="s">
        <v>82</v>
      </c>
      <c r="S126" s="4">
        <v>1068.53435704</v>
      </c>
      <c r="W126"/>
      <c r="X126">
        <v>0</v>
      </c>
      <c r="AC126" t="s">
        <v>84</v>
      </c>
      <c r="AD126" s="38">
        <v>43101</v>
      </c>
    </row>
    <row r="127" spans="1:30" x14ac:dyDescent="0.25">
      <c r="A127">
        <v>38545</v>
      </c>
      <c r="B127" t="s">
        <v>119</v>
      </c>
      <c r="C127">
        <v>2018</v>
      </c>
      <c r="D127">
        <v>1</v>
      </c>
      <c r="E127" t="s">
        <v>85</v>
      </c>
      <c r="F127" t="s">
        <v>84</v>
      </c>
      <c r="G127" t="s">
        <v>84</v>
      </c>
      <c r="H127" t="s">
        <v>25</v>
      </c>
      <c r="I127" t="s">
        <v>25</v>
      </c>
      <c r="J127" t="s">
        <v>101</v>
      </c>
      <c r="K127" t="s">
        <v>86</v>
      </c>
      <c r="L127" t="s">
        <v>103</v>
      </c>
      <c r="M127">
        <v>2934.8747129799999</v>
      </c>
      <c r="N127">
        <v>0</v>
      </c>
      <c r="O127" t="s">
        <v>79</v>
      </c>
      <c r="P127" s="38">
        <v>44269.841712766203</v>
      </c>
      <c r="Q127">
        <v>327737</v>
      </c>
      <c r="R127" t="s">
        <v>82</v>
      </c>
      <c r="S127" s="4">
        <v>2983.3617666300001</v>
      </c>
      <c r="W127"/>
      <c r="X127">
        <v>0</v>
      </c>
      <c r="AC127" t="s">
        <v>84</v>
      </c>
      <c r="AD127" s="38">
        <v>43101</v>
      </c>
    </row>
    <row r="128" spans="1:30" x14ac:dyDescent="0.25">
      <c r="A128">
        <v>51320</v>
      </c>
      <c r="B128" t="s">
        <v>117</v>
      </c>
      <c r="C128">
        <v>2018</v>
      </c>
      <c r="D128">
        <v>2</v>
      </c>
      <c r="E128" t="s">
        <v>85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86</v>
      </c>
      <c r="L128" t="s">
        <v>103</v>
      </c>
      <c r="M128">
        <v>2992.3278786400001</v>
      </c>
      <c r="N128">
        <v>0</v>
      </c>
      <c r="O128" t="s">
        <v>79</v>
      </c>
      <c r="P128" s="38">
        <v>44269.843124270832</v>
      </c>
      <c r="Q128">
        <v>446370</v>
      </c>
      <c r="R128" t="s">
        <v>74</v>
      </c>
      <c r="S128" s="4">
        <v>44.320619090000001</v>
      </c>
      <c r="W128"/>
      <c r="X128">
        <v>0</v>
      </c>
      <c r="AC128" t="s">
        <v>84</v>
      </c>
      <c r="AD128" s="38">
        <v>43132</v>
      </c>
    </row>
    <row r="129" spans="1:30" x14ac:dyDescent="0.25">
      <c r="A129">
        <v>51364</v>
      </c>
      <c r="B129" t="s">
        <v>117</v>
      </c>
      <c r="C129">
        <v>2018</v>
      </c>
      <c r="D129">
        <v>2</v>
      </c>
      <c r="E129" t="s">
        <v>89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90</v>
      </c>
      <c r="L129" t="s">
        <v>103</v>
      </c>
      <c r="M129">
        <v>1043.8948492300001</v>
      </c>
      <c r="N129">
        <v>0</v>
      </c>
      <c r="O129" t="s">
        <v>79</v>
      </c>
      <c r="P129" s="38">
        <v>44269.843125613428</v>
      </c>
      <c r="Q129">
        <v>446458</v>
      </c>
      <c r="R129" t="s">
        <v>74</v>
      </c>
      <c r="S129" s="4">
        <v>27.463195800000001</v>
      </c>
      <c r="W129"/>
      <c r="X129">
        <v>0</v>
      </c>
      <c r="AC129" t="s">
        <v>84</v>
      </c>
      <c r="AD129" s="38">
        <v>43132</v>
      </c>
    </row>
    <row r="130" spans="1:30" x14ac:dyDescent="0.25">
      <c r="A130">
        <v>51342</v>
      </c>
      <c r="B130" t="s">
        <v>117</v>
      </c>
      <c r="C130">
        <v>2018</v>
      </c>
      <c r="D130">
        <v>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828.89142677999996</v>
      </c>
      <c r="N130">
        <v>0</v>
      </c>
      <c r="O130" t="s">
        <v>79</v>
      </c>
      <c r="P130" s="38">
        <v>44269.843124965279</v>
      </c>
      <c r="Q130">
        <v>446414</v>
      </c>
      <c r="R130" t="s">
        <v>74</v>
      </c>
      <c r="S130" s="4">
        <v>22.150215490000001</v>
      </c>
      <c r="W130"/>
      <c r="X130">
        <v>0</v>
      </c>
      <c r="AC130" t="s">
        <v>84</v>
      </c>
      <c r="AD130" s="38">
        <v>43132</v>
      </c>
    </row>
    <row r="131" spans="1:30" x14ac:dyDescent="0.25">
      <c r="A131">
        <v>51364</v>
      </c>
      <c r="B131" t="s">
        <v>117</v>
      </c>
      <c r="C131">
        <v>2018</v>
      </c>
      <c r="D131">
        <v>2</v>
      </c>
      <c r="E131" t="s">
        <v>89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90</v>
      </c>
      <c r="L131" t="s">
        <v>103</v>
      </c>
      <c r="M131">
        <v>1043.8948492300001</v>
      </c>
      <c r="N131">
        <v>0</v>
      </c>
      <c r="O131" t="s">
        <v>79</v>
      </c>
      <c r="P131" s="38">
        <v>44269.843125613428</v>
      </c>
      <c r="Q131">
        <v>446457</v>
      </c>
      <c r="R131" t="s">
        <v>82</v>
      </c>
      <c r="S131" s="4">
        <v>1053.7649853099999</v>
      </c>
      <c r="W131"/>
      <c r="X131">
        <v>0</v>
      </c>
      <c r="AC131" t="s">
        <v>84</v>
      </c>
      <c r="AD131" s="38">
        <v>43132</v>
      </c>
    </row>
    <row r="132" spans="1:30" x14ac:dyDescent="0.25">
      <c r="A132">
        <v>51342</v>
      </c>
      <c r="B132" t="s">
        <v>117</v>
      </c>
      <c r="C132">
        <v>2018</v>
      </c>
      <c r="D132">
        <v>2</v>
      </c>
      <c r="E132" t="s">
        <v>87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88</v>
      </c>
      <c r="L132" t="s">
        <v>103</v>
      </c>
      <c r="M132">
        <v>828.89142677999996</v>
      </c>
      <c r="N132">
        <v>0</v>
      </c>
      <c r="O132" t="s">
        <v>79</v>
      </c>
      <c r="P132" s="38">
        <v>44269.843124965279</v>
      </c>
      <c r="Q132">
        <v>446413</v>
      </c>
      <c r="R132" t="s">
        <v>82</v>
      </c>
      <c r="S132" s="4">
        <v>836.38526859000001</v>
      </c>
      <c r="W132"/>
      <c r="X132">
        <v>0</v>
      </c>
      <c r="AC132" t="s">
        <v>84</v>
      </c>
      <c r="AD132" s="38">
        <v>43132</v>
      </c>
    </row>
    <row r="133" spans="1:30" x14ac:dyDescent="0.25">
      <c r="A133">
        <v>51320</v>
      </c>
      <c r="B133" t="s">
        <v>117</v>
      </c>
      <c r="C133">
        <v>2018</v>
      </c>
      <c r="D133">
        <v>2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2992.3278786400001</v>
      </c>
      <c r="N133">
        <v>0</v>
      </c>
      <c r="O133" t="s">
        <v>79</v>
      </c>
      <c r="P133" s="38">
        <v>44269.843124270832</v>
      </c>
      <c r="Q133">
        <v>446369</v>
      </c>
      <c r="R133" t="s">
        <v>82</v>
      </c>
      <c r="S133" s="4">
        <v>3055.02337317</v>
      </c>
      <c r="W133"/>
      <c r="X133">
        <v>0</v>
      </c>
      <c r="AC133" t="s">
        <v>84</v>
      </c>
      <c r="AD133" s="38">
        <v>43132</v>
      </c>
    </row>
    <row r="134" spans="1:30" x14ac:dyDescent="0.25">
      <c r="A134">
        <v>63558</v>
      </c>
      <c r="B134" t="s">
        <v>118</v>
      </c>
      <c r="C134">
        <v>2018</v>
      </c>
      <c r="D134">
        <v>3</v>
      </c>
      <c r="E134" t="s">
        <v>85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86</v>
      </c>
      <c r="L134" t="s">
        <v>103</v>
      </c>
      <c r="M134">
        <v>2918.7091952800001</v>
      </c>
      <c r="N134">
        <v>0</v>
      </c>
      <c r="O134" t="s">
        <v>79</v>
      </c>
      <c r="P134" s="38">
        <v>44269.844469872682</v>
      </c>
      <c r="Q134">
        <v>560913</v>
      </c>
      <c r="R134" t="s">
        <v>74</v>
      </c>
      <c r="S134" s="4">
        <v>42.925512990000001</v>
      </c>
      <c r="W134"/>
      <c r="X134">
        <v>0</v>
      </c>
      <c r="AC134" t="s">
        <v>84</v>
      </c>
      <c r="AD134" s="38">
        <v>43160</v>
      </c>
    </row>
    <row r="135" spans="1:30" x14ac:dyDescent="0.25">
      <c r="A135">
        <v>63581</v>
      </c>
      <c r="B135" t="s">
        <v>118</v>
      </c>
      <c r="C135">
        <v>2018</v>
      </c>
      <c r="D135">
        <v>3</v>
      </c>
      <c r="E135" t="s">
        <v>87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88</v>
      </c>
      <c r="L135" t="s">
        <v>103</v>
      </c>
      <c r="M135">
        <v>681.39686511000002</v>
      </c>
      <c r="N135">
        <v>0</v>
      </c>
      <c r="O135" t="s">
        <v>79</v>
      </c>
      <c r="P135" s="38">
        <v>44269.844470682867</v>
      </c>
      <c r="Q135">
        <v>560959</v>
      </c>
      <c r="R135" t="s">
        <v>74</v>
      </c>
      <c r="S135" s="4">
        <v>18.080418030000001</v>
      </c>
      <c r="W135"/>
      <c r="X135">
        <v>0</v>
      </c>
      <c r="AC135" t="s">
        <v>84</v>
      </c>
      <c r="AD135" s="38">
        <v>43160</v>
      </c>
    </row>
    <row r="136" spans="1:30" x14ac:dyDescent="0.25">
      <c r="A136">
        <v>63604</v>
      </c>
      <c r="B136" t="s">
        <v>118</v>
      </c>
      <c r="C136">
        <v>2018</v>
      </c>
      <c r="D136">
        <v>3</v>
      </c>
      <c r="E136" t="s">
        <v>89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90</v>
      </c>
      <c r="L136" t="s">
        <v>103</v>
      </c>
      <c r="M136">
        <v>1101.95310419</v>
      </c>
      <c r="N136">
        <v>0</v>
      </c>
      <c r="O136" t="s">
        <v>79</v>
      </c>
      <c r="P136" s="38">
        <v>44269.844471643519</v>
      </c>
      <c r="Q136">
        <v>561005</v>
      </c>
      <c r="R136" t="s">
        <v>74</v>
      </c>
      <c r="S136" s="4">
        <v>28.786274299999999</v>
      </c>
      <c r="W136"/>
      <c r="X136">
        <v>0</v>
      </c>
      <c r="AC136" t="s">
        <v>84</v>
      </c>
      <c r="AD136" s="38">
        <v>43160</v>
      </c>
    </row>
    <row r="137" spans="1:30" x14ac:dyDescent="0.25">
      <c r="A137">
        <v>63604</v>
      </c>
      <c r="B137" t="s">
        <v>118</v>
      </c>
      <c r="C137">
        <v>2018</v>
      </c>
      <c r="D137">
        <v>3</v>
      </c>
      <c r="E137" t="s">
        <v>89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90</v>
      </c>
      <c r="L137" t="s">
        <v>103</v>
      </c>
      <c r="M137">
        <v>1101.95310419</v>
      </c>
      <c r="N137">
        <v>0</v>
      </c>
      <c r="O137" t="s">
        <v>79</v>
      </c>
      <c r="P137" s="38">
        <v>44269.844471643519</v>
      </c>
      <c r="Q137">
        <v>561004</v>
      </c>
      <c r="R137" t="s">
        <v>82</v>
      </c>
      <c r="S137" s="4">
        <v>1104.53161153</v>
      </c>
      <c r="W137"/>
      <c r="X137">
        <v>0</v>
      </c>
      <c r="AC137" t="s">
        <v>84</v>
      </c>
      <c r="AD137" s="38">
        <v>43160</v>
      </c>
    </row>
    <row r="138" spans="1:30" x14ac:dyDescent="0.25">
      <c r="A138">
        <v>63558</v>
      </c>
      <c r="B138" t="s">
        <v>118</v>
      </c>
      <c r="C138">
        <v>2018</v>
      </c>
      <c r="D138">
        <v>3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86</v>
      </c>
      <c r="L138" t="s">
        <v>103</v>
      </c>
      <c r="M138">
        <v>2918.7091952800001</v>
      </c>
      <c r="N138">
        <v>0</v>
      </c>
      <c r="O138" t="s">
        <v>79</v>
      </c>
      <c r="P138" s="38">
        <v>44269.844469872682</v>
      </c>
      <c r="Q138">
        <v>560912</v>
      </c>
      <c r="R138" t="s">
        <v>82</v>
      </c>
      <c r="S138" s="4">
        <v>2958.8586119199999</v>
      </c>
      <c r="W138"/>
      <c r="X138">
        <v>0</v>
      </c>
      <c r="AC138" t="s">
        <v>84</v>
      </c>
      <c r="AD138" s="38">
        <v>43160</v>
      </c>
    </row>
    <row r="139" spans="1:30" x14ac:dyDescent="0.25">
      <c r="A139">
        <v>63581</v>
      </c>
      <c r="B139" t="s">
        <v>118</v>
      </c>
      <c r="C139">
        <v>2018</v>
      </c>
      <c r="D139">
        <v>3</v>
      </c>
      <c r="E139" t="s">
        <v>87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88</v>
      </c>
      <c r="L139" t="s">
        <v>103</v>
      </c>
      <c r="M139">
        <v>681.39686511000002</v>
      </c>
      <c r="N139">
        <v>0</v>
      </c>
      <c r="O139" t="s">
        <v>79</v>
      </c>
      <c r="P139" s="38">
        <v>44269.844470682867</v>
      </c>
      <c r="Q139">
        <v>560958</v>
      </c>
      <c r="R139" t="s">
        <v>82</v>
      </c>
      <c r="S139" s="4">
        <v>682.71097830999997</v>
      </c>
      <c r="W139"/>
      <c r="X139">
        <v>0</v>
      </c>
      <c r="AC139" t="s">
        <v>84</v>
      </c>
      <c r="AD139" s="38">
        <v>43160</v>
      </c>
    </row>
    <row r="140" spans="1:30" x14ac:dyDescent="0.25">
      <c r="A140">
        <v>339851</v>
      </c>
      <c r="B140" t="s">
        <v>112</v>
      </c>
      <c r="C140">
        <v>2018</v>
      </c>
      <c r="D140">
        <v>4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2217.9983667299998</v>
      </c>
      <c r="N140">
        <v>0</v>
      </c>
      <c r="O140" t="s">
        <v>79</v>
      </c>
      <c r="P140" s="38">
        <v>44269.88311489582</v>
      </c>
      <c r="Q140">
        <v>3217137</v>
      </c>
      <c r="R140" t="s">
        <v>74</v>
      </c>
      <c r="S140" s="4">
        <v>32.708752820000001</v>
      </c>
      <c r="W140"/>
      <c r="X140">
        <v>0</v>
      </c>
      <c r="AC140" t="s">
        <v>84</v>
      </c>
      <c r="AD140" s="38">
        <v>43191</v>
      </c>
    </row>
    <row r="141" spans="1:30" x14ac:dyDescent="0.25">
      <c r="A141">
        <v>339874</v>
      </c>
      <c r="B141" t="s">
        <v>112</v>
      </c>
      <c r="C141">
        <v>2018</v>
      </c>
      <c r="D141">
        <v>4</v>
      </c>
      <c r="E141" t="s">
        <v>87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88</v>
      </c>
      <c r="L141" t="s">
        <v>103</v>
      </c>
      <c r="M141">
        <v>395.73036543000001</v>
      </c>
      <c r="N141">
        <v>0</v>
      </c>
      <c r="O141" t="s">
        <v>79</v>
      </c>
      <c r="P141" s="38">
        <v>44269.883115474528</v>
      </c>
      <c r="Q141">
        <v>3217183</v>
      </c>
      <c r="R141" t="s">
        <v>74</v>
      </c>
      <c r="S141" s="4">
        <v>10.528968040000001</v>
      </c>
      <c r="W141"/>
      <c r="X141">
        <v>0</v>
      </c>
      <c r="AC141" t="s">
        <v>84</v>
      </c>
      <c r="AD141" s="38">
        <v>43191</v>
      </c>
    </row>
    <row r="142" spans="1:30" x14ac:dyDescent="0.25">
      <c r="A142">
        <v>339897</v>
      </c>
      <c r="B142" t="s">
        <v>112</v>
      </c>
      <c r="C142">
        <v>2018</v>
      </c>
      <c r="D142">
        <v>4</v>
      </c>
      <c r="E142" t="s">
        <v>89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90</v>
      </c>
      <c r="L142" t="s">
        <v>103</v>
      </c>
      <c r="M142">
        <v>912.57738198000004</v>
      </c>
      <c r="N142">
        <v>0</v>
      </c>
      <c r="O142" t="s">
        <v>79</v>
      </c>
      <c r="P142" s="38">
        <v>44269.883116168981</v>
      </c>
      <c r="Q142">
        <v>3217229</v>
      </c>
      <c r="R142" t="s">
        <v>74</v>
      </c>
      <c r="S142" s="4">
        <v>23.903975920000001</v>
      </c>
      <c r="W142"/>
      <c r="X142">
        <v>0</v>
      </c>
      <c r="AC142" t="s">
        <v>84</v>
      </c>
      <c r="AD142" s="38">
        <v>43191</v>
      </c>
    </row>
    <row r="143" spans="1:30" x14ac:dyDescent="0.25">
      <c r="A143">
        <v>339851</v>
      </c>
      <c r="B143" t="s">
        <v>112</v>
      </c>
      <c r="C143">
        <v>2018</v>
      </c>
      <c r="D143">
        <v>4</v>
      </c>
      <c r="E143" t="s">
        <v>85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86</v>
      </c>
      <c r="L143" t="s">
        <v>103</v>
      </c>
      <c r="M143">
        <v>2217.9983667299998</v>
      </c>
      <c r="N143">
        <v>0</v>
      </c>
      <c r="O143" t="s">
        <v>79</v>
      </c>
      <c r="P143" s="38">
        <v>44269.88311489582</v>
      </c>
      <c r="Q143">
        <v>3217136</v>
      </c>
      <c r="R143" t="s">
        <v>82</v>
      </c>
      <c r="S143" s="4">
        <v>2254.6166188699999</v>
      </c>
      <c r="W143"/>
      <c r="X143">
        <v>0</v>
      </c>
      <c r="AC143" t="s">
        <v>84</v>
      </c>
      <c r="AD143" s="38">
        <v>43191</v>
      </c>
    </row>
    <row r="144" spans="1:30" x14ac:dyDescent="0.25">
      <c r="A144">
        <v>339874</v>
      </c>
      <c r="B144" t="s">
        <v>112</v>
      </c>
      <c r="C144">
        <v>2018</v>
      </c>
      <c r="D144">
        <v>4</v>
      </c>
      <c r="E144" t="s">
        <v>87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88</v>
      </c>
      <c r="L144" t="s">
        <v>103</v>
      </c>
      <c r="M144">
        <v>395.73036543000001</v>
      </c>
      <c r="N144">
        <v>0</v>
      </c>
      <c r="O144" t="s">
        <v>79</v>
      </c>
      <c r="P144" s="38">
        <v>44269.883115474528</v>
      </c>
      <c r="Q144">
        <v>3217182</v>
      </c>
      <c r="R144" t="s">
        <v>82</v>
      </c>
      <c r="S144" s="4">
        <v>397.57056835999998</v>
      </c>
      <c r="W144"/>
      <c r="X144">
        <v>0</v>
      </c>
      <c r="AC144" t="s">
        <v>84</v>
      </c>
      <c r="AD144" s="38">
        <v>43191</v>
      </c>
    </row>
    <row r="145" spans="1:30" x14ac:dyDescent="0.25">
      <c r="A145">
        <v>339897</v>
      </c>
      <c r="B145" t="s">
        <v>112</v>
      </c>
      <c r="C145">
        <v>2018</v>
      </c>
      <c r="D145">
        <v>4</v>
      </c>
      <c r="E145" t="s">
        <v>89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90</v>
      </c>
      <c r="L145" t="s">
        <v>103</v>
      </c>
      <c r="M145">
        <v>912.57738198000004</v>
      </c>
      <c r="N145">
        <v>0</v>
      </c>
      <c r="O145" t="s">
        <v>79</v>
      </c>
      <c r="P145" s="38">
        <v>44269.883116168981</v>
      </c>
      <c r="Q145">
        <v>3217228</v>
      </c>
      <c r="R145" t="s">
        <v>82</v>
      </c>
      <c r="S145" s="4">
        <v>917.19743819999997</v>
      </c>
      <c r="W145"/>
      <c r="X145">
        <v>0</v>
      </c>
      <c r="AC145" t="s">
        <v>84</v>
      </c>
      <c r="AD145" s="38">
        <v>43191</v>
      </c>
    </row>
    <row r="146" spans="1:30" x14ac:dyDescent="0.25">
      <c r="A146">
        <v>352707</v>
      </c>
      <c r="B146" t="s">
        <v>120</v>
      </c>
      <c r="C146">
        <v>2018</v>
      </c>
      <c r="D146">
        <v>5</v>
      </c>
      <c r="E146" t="s">
        <v>87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88</v>
      </c>
      <c r="L146" t="s">
        <v>103</v>
      </c>
      <c r="M146">
        <v>393.55599067000003</v>
      </c>
      <c r="N146">
        <v>0</v>
      </c>
      <c r="O146" t="s">
        <v>79</v>
      </c>
      <c r="P146" s="38">
        <v>44269.884374386573</v>
      </c>
      <c r="Q146">
        <v>3336213</v>
      </c>
      <c r="R146" t="s">
        <v>74</v>
      </c>
      <c r="S146" s="4">
        <v>10.47281476</v>
      </c>
      <c r="W146"/>
      <c r="X146">
        <v>0</v>
      </c>
      <c r="AC146" t="s">
        <v>84</v>
      </c>
      <c r="AD146" s="38">
        <v>43221</v>
      </c>
    </row>
    <row r="147" spans="1:30" x14ac:dyDescent="0.25">
      <c r="A147">
        <v>352730</v>
      </c>
      <c r="B147" t="s">
        <v>120</v>
      </c>
      <c r="C147">
        <v>2018</v>
      </c>
      <c r="D147">
        <v>5</v>
      </c>
      <c r="E147" t="s">
        <v>89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90</v>
      </c>
      <c r="L147" t="s">
        <v>103</v>
      </c>
      <c r="M147">
        <v>932.17317322999997</v>
      </c>
      <c r="N147">
        <v>0</v>
      </c>
      <c r="O147" t="s">
        <v>79</v>
      </c>
      <c r="P147" s="38">
        <v>44269.884375000001</v>
      </c>
      <c r="Q147">
        <v>3336259</v>
      </c>
      <c r="R147" t="s">
        <v>74</v>
      </c>
      <c r="S147" s="4">
        <v>24.421228410000001</v>
      </c>
      <c r="W147"/>
      <c r="X147">
        <v>0</v>
      </c>
      <c r="AC147" t="s">
        <v>84</v>
      </c>
      <c r="AD147" s="38">
        <v>43221</v>
      </c>
    </row>
    <row r="148" spans="1:30" x14ac:dyDescent="0.25">
      <c r="A148">
        <v>352684</v>
      </c>
      <c r="B148" t="s">
        <v>120</v>
      </c>
      <c r="C148">
        <v>2018</v>
      </c>
      <c r="D148">
        <v>5</v>
      </c>
      <c r="E148" t="s">
        <v>85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86</v>
      </c>
      <c r="L148" t="s">
        <v>103</v>
      </c>
      <c r="M148">
        <v>2108.0789959600002</v>
      </c>
      <c r="N148">
        <v>0</v>
      </c>
      <c r="O148" t="s">
        <v>79</v>
      </c>
      <c r="P148" s="38">
        <v>44269.884373807872</v>
      </c>
      <c r="Q148">
        <v>3336167</v>
      </c>
      <c r="R148" t="s">
        <v>74</v>
      </c>
      <c r="S148" s="4">
        <v>31.092819609999999</v>
      </c>
      <c r="W148"/>
      <c r="X148">
        <v>0</v>
      </c>
      <c r="AC148" t="s">
        <v>84</v>
      </c>
      <c r="AD148" s="38">
        <v>43221</v>
      </c>
    </row>
    <row r="149" spans="1:30" x14ac:dyDescent="0.25">
      <c r="A149">
        <v>352684</v>
      </c>
      <c r="B149" t="s">
        <v>120</v>
      </c>
      <c r="C149">
        <v>2018</v>
      </c>
      <c r="D149">
        <v>5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2108.0789959600002</v>
      </c>
      <c r="N149">
        <v>0</v>
      </c>
      <c r="O149" t="s">
        <v>79</v>
      </c>
      <c r="P149" s="38">
        <v>44269.884373807872</v>
      </c>
      <c r="Q149">
        <v>3336166</v>
      </c>
      <c r="R149" t="s">
        <v>82</v>
      </c>
      <c r="S149" s="4">
        <v>2143.2302299799999</v>
      </c>
      <c r="W149"/>
      <c r="X149">
        <v>0</v>
      </c>
      <c r="AC149" t="s">
        <v>84</v>
      </c>
      <c r="AD149" s="38">
        <v>43221</v>
      </c>
    </row>
    <row r="150" spans="1:30" x14ac:dyDescent="0.25">
      <c r="A150">
        <v>352730</v>
      </c>
      <c r="B150" t="s">
        <v>120</v>
      </c>
      <c r="C150">
        <v>2018</v>
      </c>
      <c r="D150">
        <v>5</v>
      </c>
      <c r="E150" t="s">
        <v>89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90</v>
      </c>
      <c r="L150" t="s">
        <v>103</v>
      </c>
      <c r="M150">
        <v>932.17317322999997</v>
      </c>
      <c r="N150">
        <v>0</v>
      </c>
      <c r="O150" t="s">
        <v>79</v>
      </c>
      <c r="P150" s="38">
        <v>44269.884375000001</v>
      </c>
      <c r="Q150">
        <v>3336258</v>
      </c>
      <c r="R150" t="s">
        <v>82</v>
      </c>
      <c r="S150" s="4">
        <v>937.04445700999997</v>
      </c>
      <c r="W150"/>
      <c r="X150">
        <v>0</v>
      </c>
      <c r="AC150" t="s">
        <v>84</v>
      </c>
      <c r="AD150" s="38">
        <v>43221</v>
      </c>
    </row>
    <row r="151" spans="1:30" x14ac:dyDescent="0.25">
      <c r="A151">
        <v>352707</v>
      </c>
      <c r="B151" t="s">
        <v>120</v>
      </c>
      <c r="C151">
        <v>2018</v>
      </c>
      <c r="D151">
        <v>5</v>
      </c>
      <c r="E151" t="s">
        <v>87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88</v>
      </c>
      <c r="L151" t="s">
        <v>103</v>
      </c>
      <c r="M151">
        <v>393.55599067000003</v>
      </c>
      <c r="N151">
        <v>0</v>
      </c>
      <c r="O151" t="s">
        <v>79</v>
      </c>
      <c r="P151" s="38">
        <v>44269.884374386573</v>
      </c>
      <c r="Q151">
        <v>3336212</v>
      </c>
      <c r="R151" t="s">
        <v>82</v>
      </c>
      <c r="S151" s="4">
        <v>395.45023814000001</v>
      </c>
      <c r="W151"/>
      <c r="X151">
        <v>0</v>
      </c>
      <c r="AC151" t="s">
        <v>84</v>
      </c>
      <c r="AD151" s="38">
        <v>43221</v>
      </c>
    </row>
    <row r="152" spans="1:30" x14ac:dyDescent="0.25">
      <c r="A152">
        <v>86373</v>
      </c>
      <c r="B152" t="s">
        <v>126</v>
      </c>
      <c r="C152">
        <v>2018</v>
      </c>
      <c r="D152">
        <v>6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349.81857975999998</v>
      </c>
      <c r="N152">
        <v>0</v>
      </c>
      <c r="O152" t="s">
        <v>79</v>
      </c>
      <c r="P152" s="38">
        <v>44269.847217708331</v>
      </c>
      <c r="Q152">
        <v>783250</v>
      </c>
      <c r="R152" t="s">
        <v>74</v>
      </c>
      <c r="S152" s="4">
        <v>9.2434089799999999</v>
      </c>
      <c r="W152"/>
      <c r="X152">
        <v>0</v>
      </c>
      <c r="AC152" t="s">
        <v>84</v>
      </c>
      <c r="AD152" s="38">
        <v>43252</v>
      </c>
    </row>
    <row r="153" spans="1:30" x14ac:dyDescent="0.25">
      <c r="A153">
        <v>86349</v>
      </c>
      <c r="B153" t="s">
        <v>126</v>
      </c>
      <c r="C153">
        <v>2018</v>
      </c>
      <c r="D153">
        <v>6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1943.0653741900001</v>
      </c>
      <c r="N153">
        <v>0</v>
      </c>
      <c r="O153" t="s">
        <v>79</v>
      </c>
      <c r="P153" s="38">
        <v>44269.847216898153</v>
      </c>
      <c r="Q153">
        <v>783202</v>
      </c>
      <c r="R153" t="s">
        <v>74</v>
      </c>
      <c r="S153" s="4">
        <v>28.457257309999999</v>
      </c>
      <c r="W153"/>
      <c r="X153">
        <v>0</v>
      </c>
      <c r="AC153" t="s">
        <v>84</v>
      </c>
      <c r="AD153" s="38">
        <v>43252</v>
      </c>
    </row>
    <row r="154" spans="1:30" x14ac:dyDescent="0.25">
      <c r="A154">
        <v>86397</v>
      </c>
      <c r="B154" t="s">
        <v>126</v>
      </c>
      <c r="C154">
        <v>2018</v>
      </c>
      <c r="D154">
        <v>6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915.94283647999998</v>
      </c>
      <c r="N154">
        <v>0</v>
      </c>
      <c r="O154" t="s">
        <v>79</v>
      </c>
      <c r="P154" s="38">
        <v>44269.847218599527</v>
      </c>
      <c r="Q154">
        <v>783298</v>
      </c>
      <c r="R154" t="s">
        <v>74</v>
      </c>
      <c r="S154" s="4">
        <v>23.827126889999999</v>
      </c>
      <c r="W154"/>
      <c r="X154">
        <v>0</v>
      </c>
      <c r="AC154" t="s">
        <v>84</v>
      </c>
      <c r="AD154" s="38">
        <v>43252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8">
        <v>44269.847218599527</v>
      </c>
      <c r="Q155">
        <v>783297</v>
      </c>
      <c r="R155" t="s">
        <v>82</v>
      </c>
      <c r="S155" s="4">
        <v>914.24873505999994</v>
      </c>
      <c r="W155"/>
      <c r="X155">
        <v>0</v>
      </c>
      <c r="AC155" t="s">
        <v>84</v>
      </c>
      <c r="AD155" s="38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8">
        <v>44269.847217708331</v>
      </c>
      <c r="Q156">
        <v>783249</v>
      </c>
      <c r="R156" t="s">
        <v>82</v>
      </c>
      <c r="S156" s="4">
        <v>349.02825675000003</v>
      </c>
      <c r="W156"/>
      <c r="X156">
        <v>0</v>
      </c>
      <c r="AC156" t="s">
        <v>84</v>
      </c>
      <c r="AD156" s="38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8">
        <v>44269.847216898153</v>
      </c>
      <c r="Q157">
        <v>783201</v>
      </c>
      <c r="R157" t="s">
        <v>82</v>
      </c>
      <c r="S157" s="4">
        <v>1961.56073631</v>
      </c>
      <c r="W157"/>
      <c r="X157">
        <v>0</v>
      </c>
      <c r="AC157" t="s">
        <v>84</v>
      </c>
      <c r="AD157" s="38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8">
        <v>44269.848710416663</v>
      </c>
      <c r="Q158">
        <v>913750</v>
      </c>
      <c r="R158" t="s">
        <v>26</v>
      </c>
      <c r="S158" s="4">
        <v>347.17526719</v>
      </c>
      <c r="W158"/>
      <c r="X158">
        <v>0</v>
      </c>
      <c r="AC158" t="s">
        <v>84</v>
      </c>
      <c r="AD158" s="38">
        <v>43282</v>
      </c>
    </row>
    <row r="159" spans="1:30" x14ac:dyDescent="0.25">
      <c r="A159">
        <v>100194</v>
      </c>
      <c r="B159" t="s">
        <v>139</v>
      </c>
      <c r="C159">
        <v>2018</v>
      </c>
      <c r="D159">
        <v>7</v>
      </c>
      <c r="E159" t="s">
        <v>85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86</v>
      </c>
      <c r="L159" t="s">
        <v>103</v>
      </c>
      <c r="M159">
        <v>1870.62563673</v>
      </c>
      <c r="N159">
        <v>0</v>
      </c>
      <c r="O159" t="s">
        <v>80</v>
      </c>
      <c r="P159" s="38">
        <v>44269.848707986108</v>
      </c>
      <c r="Q159">
        <v>913510</v>
      </c>
      <c r="R159" t="s">
        <v>26</v>
      </c>
      <c r="S159" s="4">
        <v>644.41063382000004</v>
      </c>
      <c r="W159"/>
      <c r="X159">
        <v>0</v>
      </c>
      <c r="AC159" t="s">
        <v>84</v>
      </c>
      <c r="AD159" s="38">
        <v>43282</v>
      </c>
    </row>
    <row r="160" spans="1:30" x14ac:dyDescent="0.25">
      <c r="A160">
        <v>100218</v>
      </c>
      <c r="B160" t="s">
        <v>139</v>
      </c>
      <c r="C160">
        <v>2018</v>
      </c>
      <c r="D160">
        <v>7</v>
      </c>
      <c r="E160" t="s">
        <v>87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88</v>
      </c>
      <c r="L160" t="s">
        <v>103</v>
      </c>
      <c r="M160">
        <v>347.46938798999997</v>
      </c>
      <c r="N160">
        <v>0</v>
      </c>
      <c r="O160" t="s">
        <v>80</v>
      </c>
      <c r="P160" s="38">
        <v>44269.848709224527</v>
      </c>
      <c r="Q160">
        <v>913630</v>
      </c>
      <c r="R160" t="s">
        <v>26</v>
      </c>
      <c r="S160" s="4">
        <v>139.07614885999999</v>
      </c>
      <c r="W160"/>
      <c r="X160">
        <v>0</v>
      </c>
      <c r="AC160" t="s">
        <v>84</v>
      </c>
      <c r="AD160" s="38">
        <v>43282</v>
      </c>
    </row>
    <row r="161" spans="1:30" x14ac:dyDescent="0.25">
      <c r="A161">
        <v>100194</v>
      </c>
      <c r="B161" t="s">
        <v>139</v>
      </c>
      <c r="C161">
        <v>2018</v>
      </c>
      <c r="D161">
        <v>7</v>
      </c>
      <c r="E161" t="s">
        <v>85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86</v>
      </c>
      <c r="L161" t="s">
        <v>103</v>
      </c>
      <c r="M161">
        <v>1870.62563673</v>
      </c>
      <c r="N161">
        <v>0</v>
      </c>
      <c r="O161" t="s">
        <v>80</v>
      </c>
      <c r="P161" s="38">
        <v>44269.848707986108</v>
      </c>
      <c r="Q161">
        <v>913513</v>
      </c>
      <c r="R161" t="s">
        <v>81</v>
      </c>
      <c r="S161" s="4">
        <v>383.70225341999998</v>
      </c>
      <c r="W161"/>
      <c r="X161">
        <v>0</v>
      </c>
      <c r="AC161" t="s">
        <v>84</v>
      </c>
      <c r="AD161" s="38">
        <v>43282</v>
      </c>
    </row>
    <row r="162" spans="1:30" x14ac:dyDescent="0.25">
      <c r="A162">
        <v>100218</v>
      </c>
      <c r="B162" t="s">
        <v>139</v>
      </c>
      <c r="C162">
        <v>2018</v>
      </c>
      <c r="D162">
        <v>7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347.46938798999997</v>
      </c>
      <c r="N162">
        <v>0</v>
      </c>
      <c r="O162" t="s">
        <v>80</v>
      </c>
      <c r="P162" s="38">
        <v>44269.848709224527</v>
      </c>
      <c r="Q162">
        <v>913633</v>
      </c>
      <c r="R162" t="s">
        <v>81</v>
      </c>
      <c r="S162" s="4">
        <v>71.881931199999997</v>
      </c>
      <c r="W162"/>
      <c r="X162">
        <v>0</v>
      </c>
      <c r="AC162" t="s">
        <v>84</v>
      </c>
      <c r="AD162" s="38">
        <v>43282</v>
      </c>
    </row>
    <row r="163" spans="1:30" x14ac:dyDescent="0.25">
      <c r="A163">
        <v>100242</v>
      </c>
      <c r="B163" t="s">
        <v>139</v>
      </c>
      <c r="C163">
        <v>2018</v>
      </c>
      <c r="D163">
        <v>7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953.47078386999999</v>
      </c>
      <c r="N163">
        <v>0</v>
      </c>
      <c r="O163" t="s">
        <v>80</v>
      </c>
      <c r="P163" s="38">
        <v>44269.848710416663</v>
      </c>
      <c r="Q163">
        <v>913753</v>
      </c>
      <c r="R163" t="s">
        <v>81</v>
      </c>
      <c r="S163" s="4">
        <v>188.52696423</v>
      </c>
      <c r="W163"/>
      <c r="X163">
        <v>0</v>
      </c>
      <c r="AC163" t="s">
        <v>84</v>
      </c>
      <c r="AD163" s="38">
        <v>43282</v>
      </c>
    </row>
    <row r="164" spans="1:30" x14ac:dyDescent="0.25">
      <c r="A164">
        <v>100218</v>
      </c>
      <c r="B164" t="s">
        <v>139</v>
      </c>
      <c r="C164">
        <v>2018</v>
      </c>
      <c r="D164">
        <v>7</v>
      </c>
      <c r="E164" t="s">
        <v>87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88</v>
      </c>
      <c r="L164" t="s">
        <v>103</v>
      </c>
      <c r="M164">
        <v>347.46938798999997</v>
      </c>
      <c r="N164">
        <v>0</v>
      </c>
      <c r="O164" t="s">
        <v>80</v>
      </c>
      <c r="P164" s="38">
        <v>44269.848709224527</v>
      </c>
      <c r="Q164">
        <v>913632</v>
      </c>
      <c r="R164" t="s">
        <v>27</v>
      </c>
      <c r="S164" s="4">
        <v>143.69052761</v>
      </c>
      <c r="W164"/>
      <c r="X164">
        <v>0</v>
      </c>
      <c r="AC164" t="s">
        <v>84</v>
      </c>
      <c r="AD164" s="38">
        <v>43282</v>
      </c>
    </row>
    <row r="165" spans="1:30" x14ac:dyDescent="0.25">
      <c r="A165">
        <v>100194</v>
      </c>
      <c r="B165" t="s">
        <v>139</v>
      </c>
      <c r="C165">
        <v>2018</v>
      </c>
      <c r="D165">
        <v>7</v>
      </c>
      <c r="E165" t="s">
        <v>85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86</v>
      </c>
      <c r="L165" t="s">
        <v>103</v>
      </c>
      <c r="M165">
        <v>1870.62563673</v>
      </c>
      <c r="N165">
        <v>0</v>
      </c>
      <c r="O165" t="s">
        <v>80</v>
      </c>
      <c r="P165" s="38">
        <v>44269.848707986108</v>
      </c>
      <c r="Q165">
        <v>913512</v>
      </c>
      <c r="R165" t="s">
        <v>27</v>
      </c>
      <c r="S165" s="4">
        <v>863.33721008999999</v>
      </c>
      <c r="W165"/>
      <c r="X165">
        <v>0</v>
      </c>
      <c r="AC165" t="s">
        <v>84</v>
      </c>
      <c r="AD165" s="38">
        <v>43282</v>
      </c>
    </row>
    <row r="166" spans="1:30" x14ac:dyDescent="0.25">
      <c r="A166">
        <v>100242</v>
      </c>
      <c r="B166" t="s">
        <v>139</v>
      </c>
      <c r="C166">
        <v>2018</v>
      </c>
      <c r="D166">
        <v>7</v>
      </c>
      <c r="E166" t="s">
        <v>89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90</v>
      </c>
      <c r="L166" t="s">
        <v>103</v>
      </c>
      <c r="M166">
        <v>953.47078386999999</v>
      </c>
      <c r="N166">
        <v>0</v>
      </c>
      <c r="O166" t="s">
        <v>80</v>
      </c>
      <c r="P166" s="38">
        <v>44269.848710416663</v>
      </c>
      <c r="Q166">
        <v>913752</v>
      </c>
      <c r="R166" t="s">
        <v>27</v>
      </c>
      <c r="S166" s="4">
        <v>426.12866946000003</v>
      </c>
      <c r="W166"/>
      <c r="X166">
        <v>0</v>
      </c>
      <c r="AC166" t="s">
        <v>84</v>
      </c>
      <c r="AD166" s="38">
        <v>43282</v>
      </c>
    </row>
    <row r="167" spans="1:30" x14ac:dyDescent="0.25">
      <c r="A167">
        <v>100242</v>
      </c>
      <c r="B167" t="s">
        <v>139</v>
      </c>
      <c r="C167">
        <v>2018</v>
      </c>
      <c r="D167">
        <v>7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953.47078386999999</v>
      </c>
      <c r="N167">
        <v>0</v>
      </c>
      <c r="O167" t="s">
        <v>80</v>
      </c>
      <c r="P167" s="38">
        <v>44269.848710416663</v>
      </c>
      <c r="Q167">
        <v>913749</v>
      </c>
      <c r="R167" t="s">
        <v>91</v>
      </c>
      <c r="S167" s="4">
        <v>11.06076429</v>
      </c>
      <c r="W167"/>
      <c r="X167">
        <v>0</v>
      </c>
      <c r="AC167" t="s">
        <v>84</v>
      </c>
      <c r="AD167" s="38">
        <v>43282</v>
      </c>
    </row>
    <row r="168" spans="1:30" x14ac:dyDescent="0.25">
      <c r="A168">
        <v>100218</v>
      </c>
      <c r="B168" t="s">
        <v>139</v>
      </c>
      <c r="C168">
        <v>2018</v>
      </c>
      <c r="D168">
        <v>7</v>
      </c>
      <c r="E168" t="s">
        <v>87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88</v>
      </c>
      <c r="L168" t="s">
        <v>103</v>
      </c>
      <c r="M168">
        <v>347.46938798999997</v>
      </c>
      <c r="N168">
        <v>0</v>
      </c>
      <c r="O168" t="s">
        <v>80</v>
      </c>
      <c r="P168" s="38">
        <v>44269.848709224527</v>
      </c>
      <c r="Q168">
        <v>913629</v>
      </c>
      <c r="R168" t="s">
        <v>91</v>
      </c>
      <c r="S168" s="4">
        <v>0</v>
      </c>
      <c r="W168"/>
      <c r="X168">
        <v>0</v>
      </c>
      <c r="AC168" t="s">
        <v>84</v>
      </c>
      <c r="AD168" s="38">
        <v>43282</v>
      </c>
    </row>
    <row r="169" spans="1:30" x14ac:dyDescent="0.25">
      <c r="A169">
        <v>100194</v>
      </c>
      <c r="B169" t="s">
        <v>139</v>
      </c>
      <c r="C169">
        <v>2018</v>
      </c>
      <c r="D169">
        <v>7</v>
      </c>
      <c r="E169" t="s">
        <v>85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86</v>
      </c>
      <c r="L169" t="s">
        <v>103</v>
      </c>
      <c r="M169">
        <v>1870.62563673</v>
      </c>
      <c r="N169">
        <v>0</v>
      </c>
      <c r="O169" t="s">
        <v>80</v>
      </c>
      <c r="P169" s="38">
        <v>44269.848707986108</v>
      </c>
      <c r="Q169">
        <v>913509</v>
      </c>
      <c r="R169" t="s">
        <v>91</v>
      </c>
      <c r="S169" s="4">
        <v>17.35939364</v>
      </c>
      <c r="W169"/>
      <c r="X169">
        <v>0</v>
      </c>
      <c r="AC169" t="s">
        <v>84</v>
      </c>
      <c r="AD169" s="38">
        <v>43282</v>
      </c>
    </row>
    <row r="170" spans="1:30" x14ac:dyDescent="0.25">
      <c r="A170">
        <v>100218</v>
      </c>
      <c r="B170" t="s">
        <v>139</v>
      </c>
      <c r="C170">
        <v>2018</v>
      </c>
      <c r="D170">
        <v>7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347.46938798999997</v>
      </c>
      <c r="N170">
        <v>0</v>
      </c>
      <c r="O170" t="s">
        <v>80</v>
      </c>
      <c r="P170" s="38">
        <v>44269.848709224527</v>
      </c>
      <c r="Q170">
        <v>913631</v>
      </c>
      <c r="R170" t="s">
        <v>28</v>
      </c>
      <c r="S170" s="4">
        <v>2.3024822199999999</v>
      </c>
      <c r="W170"/>
      <c r="X170">
        <v>0</v>
      </c>
      <c r="AC170" t="s">
        <v>84</v>
      </c>
      <c r="AD170" s="38">
        <v>43282</v>
      </c>
    </row>
    <row r="171" spans="1:30" x14ac:dyDescent="0.25">
      <c r="A171">
        <v>100194</v>
      </c>
      <c r="B171" t="s">
        <v>139</v>
      </c>
      <c r="C171">
        <v>2018</v>
      </c>
      <c r="D171">
        <v>7</v>
      </c>
      <c r="E171" t="s">
        <v>85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86</v>
      </c>
      <c r="L171" t="s">
        <v>103</v>
      </c>
      <c r="M171">
        <v>1870.62563673</v>
      </c>
      <c r="N171">
        <v>0</v>
      </c>
      <c r="O171" t="s">
        <v>80</v>
      </c>
      <c r="P171" s="38">
        <v>44269.848707986108</v>
      </c>
      <c r="Q171">
        <v>913511</v>
      </c>
      <c r="R171" t="s">
        <v>28</v>
      </c>
      <c r="S171" s="4">
        <v>12.86154784</v>
      </c>
      <c r="W171"/>
      <c r="X171">
        <v>0</v>
      </c>
      <c r="AC171" t="s">
        <v>84</v>
      </c>
      <c r="AD171" s="38">
        <v>43282</v>
      </c>
    </row>
    <row r="172" spans="1:30" x14ac:dyDescent="0.25">
      <c r="A172">
        <v>100242</v>
      </c>
      <c r="B172" t="s">
        <v>139</v>
      </c>
      <c r="C172">
        <v>2018</v>
      </c>
      <c r="D172">
        <v>7</v>
      </c>
      <c r="E172" t="s">
        <v>89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90</v>
      </c>
      <c r="L172" t="s">
        <v>103</v>
      </c>
      <c r="M172">
        <v>953.47078386999999</v>
      </c>
      <c r="N172">
        <v>0</v>
      </c>
      <c r="O172" t="s">
        <v>80</v>
      </c>
      <c r="P172" s="38">
        <v>44269.848710416663</v>
      </c>
      <c r="Q172">
        <v>913751</v>
      </c>
      <c r="R172" t="s">
        <v>28</v>
      </c>
      <c r="S172" s="4">
        <v>6.5973120700000001</v>
      </c>
      <c r="W172"/>
      <c r="X172">
        <v>0</v>
      </c>
      <c r="AC172" t="s">
        <v>84</v>
      </c>
      <c r="AD172" s="38">
        <v>43282</v>
      </c>
    </row>
    <row r="173" spans="1:30" x14ac:dyDescent="0.25">
      <c r="A173">
        <v>113052</v>
      </c>
      <c r="B173" t="s">
        <v>140</v>
      </c>
      <c r="C173">
        <v>2018</v>
      </c>
      <c r="D173">
        <v>8</v>
      </c>
      <c r="E173" t="s">
        <v>85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86</v>
      </c>
      <c r="L173" t="s">
        <v>103</v>
      </c>
      <c r="M173">
        <v>1702.89201288</v>
      </c>
      <c r="N173">
        <v>0</v>
      </c>
      <c r="O173" t="s">
        <v>80</v>
      </c>
      <c r="P173" s="38">
        <v>44269.85022109955</v>
      </c>
      <c r="Q173">
        <v>1042039</v>
      </c>
      <c r="R173" t="s">
        <v>26</v>
      </c>
      <c r="S173" s="4">
        <v>586.18816269000001</v>
      </c>
      <c r="W173"/>
      <c r="X173">
        <v>0</v>
      </c>
      <c r="AC173" t="s">
        <v>84</v>
      </c>
      <c r="AD173" s="38">
        <v>43313</v>
      </c>
    </row>
    <row r="174" spans="1:30" x14ac:dyDescent="0.25">
      <c r="A174">
        <v>113076</v>
      </c>
      <c r="B174" t="s">
        <v>140</v>
      </c>
      <c r="C174">
        <v>2018</v>
      </c>
      <c r="D174">
        <v>8</v>
      </c>
      <c r="E174" t="s">
        <v>87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88</v>
      </c>
      <c r="L174" t="s">
        <v>103</v>
      </c>
      <c r="M174">
        <v>336.78904151</v>
      </c>
      <c r="N174">
        <v>0</v>
      </c>
      <c r="O174" t="s">
        <v>80</v>
      </c>
      <c r="P174" s="38">
        <v>44269.850222337962</v>
      </c>
      <c r="Q174">
        <v>1042159</v>
      </c>
      <c r="R174" t="s">
        <v>26</v>
      </c>
      <c r="S174" s="4">
        <v>134.70018062</v>
      </c>
      <c r="W174"/>
      <c r="X174">
        <v>0</v>
      </c>
      <c r="AC174" t="s">
        <v>84</v>
      </c>
      <c r="AD174" s="38">
        <v>43313</v>
      </c>
    </row>
    <row r="175" spans="1:30" x14ac:dyDescent="0.25">
      <c r="A175">
        <v>113100</v>
      </c>
      <c r="B175" t="s">
        <v>140</v>
      </c>
      <c r="C175">
        <v>2018</v>
      </c>
      <c r="D175">
        <v>8</v>
      </c>
      <c r="E175" t="s">
        <v>89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90</v>
      </c>
      <c r="L175" t="s">
        <v>103</v>
      </c>
      <c r="M175">
        <v>901.42463836000002</v>
      </c>
      <c r="N175">
        <v>0</v>
      </c>
      <c r="O175" t="s">
        <v>80</v>
      </c>
      <c r="P175" s="38">
        <v>44269.850223530091</v>
      </c>
      <c r="Q175">
        <v>1042279</v>
      </c>
      <c r="R175" t="s">
        <v>26</v>
      </c>
      <c r="S175" s="4">
        <v>327.97816526999998</v>
      </c>
      <c r="W175"/>
      <c r="X175">
        <v>0</v>
      </c>
      <c r="AC175" t="s">
        <v>84</v>
      </c>
      <c r="AD175" s="38">
        <v>43313</v>
      </c>
    </row>
    <row r="176" spans="1:30" x14ac:dyDescent="0.25">
      <c r="A176">
        <v>113052</v>
      </c>
      <c r="B176" t="s">
        <v>140</v>
      </c>
      <c r="C176">
        <v>2018</v>
      </c>
      <c r="D176">
        <v>8</v>
      </c>
      <c r="E176" t="s">
        <v>85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86</v>
      </c>
      <c r="L176" t="s">
        <v>103</v>
      </c>
      <c r="M176">
        <v>1702.89201288</v>
      </c>
      <c r="N176">
        <v>0</v>
      </c>
      <c r="O176" t="s">
        <v>80</v>
      </c>
      <c r="P176" s="38">
        <v>44269.85022109955</v>
      </c>
      <c r="Q176">
        <v>1042042</v>
      </c>
      <c r="R176" t="s">
        <v>81</v>
      </c>
      <c r="S176" s="4">
        <v>349.03477247000001</v>
      </c>
      <c r="W176"/>
      <c r="X176">
        <v>0</v>
      </c>
      <c r="AC176" t="s">
        <v>84</v>
      </c>
      <c r="AD176" s="38">
        <v>43313</v>
      </c>
    </row>
    <row r="177" spans="1:30" x14ac:dyDescent="0.25">
      <c r="A177">
        <v>113076</v>
      </c>
      <c r="B177" t="s">
        <v>140</v>
      </c>
      <c r="C177">
        <v>2018</v>
      </c>
      <c r="D177">
        <v>8</v>
      </c>
      <c r="E177" t="s">
        <v>87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88</v>
      </c>
      <c r="L177" t="s">
        <v>103</v>
      </c>
      <c r="M177">
        <v>336.78904151</v>
      </c>
      <c r="N177">
        <v>0</v>
      </c>
      <c r="O177" t="s">
        <v>80</v>
      </c>
      <c r="P177" s="38">
        <v>44269.850222337962</v>
      </c>
      <c r="Q177">
        <v>1042162</v>
      </c>
      <c r="R177" t="s">
        <v>81</v>
      </c>
      <c r="S177" s="4">
        <v>69.620198680000001</v>
      </c>
      <c r="W177"/>
      <c r="X177">
        <v>0</v>
      </c>
      <c r="AC177" t="s">
        <v>84</v>
      </c>
      <c r="AD177" s="38">
        <v>43313</v>
      </c>
    </row>
    <row r="178" spans="1:30" x14ac:dyDescent="0.25">
      <c r="A178">
        <v>113100</v>
      </c>
      <c r="B178" t="s">
        <v>140</v>
      </c>
      <c r="C178">
        <v>2018</v>
      </c>
      <c r="D178">
        <v>8</v>
      </c>
      <c r="E178" t="s">
        <v>89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90</v>
      </c>
      <c r="L178" t="s">
        <v>103</v>
      </c>
      <c r="M178">
        <v>901.42463836000002</v>
      </c>
      <c r="N178">
        <v>0</v>
      </c>
      <c r="O178" t="s">
        <v>80</v>
      </c>
      <c r="P178" s="38">
        <v>44269.850223530091</v>
      </c>
      <c r="Q178">
        <v>1042282</v>
      </c>
      <c r="R178" t="s">
        <v>81</v>
      </c>
      <c r="S178" s="4">
        <v>178.10234102000001</v>
      </c>
      <c r="W178"/>
      <c r="X178">
        <v>0</v>
      </c>
      <c r="AC178" t="s">
        <v>84</v>
      </c>
      <c r="AD178" s="38">
        <v>43313</v>
      </c>
    </row>
    <row r="179" spans="1:30" x14ac:dyDescent="0.25">
      <c r="A179">
        <v>113076</v>
      </c>
      <c r="B179" t="s">
        <v>140</v>
      </c>
      <c r="C179">
        <v>2018</v>
      </c>
      <c r="D179">
        <v>8</v>
      </c>
      <c r="E179" t="s">
        <v>87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88</v>
      </c>
      <c r="L179" t="s">
        <v>103</v>
      </c>
      <c r="M179">
        <v>336.78904151</v>
      </c>
      <c r="N179">
        <v>0</v>
      </c>
      <c r="O179" t="s">
        <v>80</v>
      </c>
      <c r="P179" s="38">
        <v>44269.850222337962</v>
      </c>
      <c r="Q179">
        <v>1042161</v>
      </c>
      <c r="R179" t="s">
        <v>27</v>
      </c>
      <c r="S179" s="4">
        <v>139.16937003000001</v>
      </c>
      <c r="W179"/>
      <c r="X179">
        <v>0</v>
      </c>
      <c r="AC179" t="s">
        <v>84</v>
      </c>
      <c r="AD179" s="38">
        <v>43313</v>
      </c>
    </row>
    <row r="180" spans="1:30" x14ac:dyDescent="0.25">
      <c r="A180">
        <v>113100</v>
      </c>
      <c r="B180" t="s">
        <v>140</v>
      </c>
      <c r="C180">
        <v>2018</v>
      </c>
      <c r="D180">
        <v>8</v>
      </c>
      <c r="E180" t="s">
        <v>89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90</v>
      </c>
      <c r="L180" t="s">
        <v>103</v>
      </c>
      <c r="M180">
        <v>901.42463836000002</v>
      </c>
      <c r="N180">
        <v>0</v>
      </c>
      <c r="O180" t="s">
        <v>80</v>
      </c>
      <c r="P180" s="38">
        <v>44269.850223530091</v>
      </c>
      <c r="Q180">
        <v>1042281</v>
      </c>
      <c r="R180" t="s">
        <v>27</v>
      </c>
      <c r="S180" s="4">
        <v>402.56582880000002</v>
      </c>
      <c r="W180"/>
      <c r="X180">
        <v>0</v>
      </c>
      <c r="AC180" t="s">
        <v>84</v>
      </c>
      <c r="AD180" s="38">
        <v>43313</v>
      </c>
    </row>
    <row r="181" spans="1:30" x14ac:dyDescent="0.25">
      <c r="A181">
        <v>113052</v>
      </c>
      <c r="B181" t="s">
        <v>140</v>
      </c>
      <c r="C181">
        <v>2018</v>
      </c>
      <c r="D181">
        <v>8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1702.89201288</v>
      </c>
      <c r="N181">
        <v>0</v>
      </c>
      <c r="O181" t="s">
        <v>80</v>
      </c>
      <c r="P181" s="38">
        <v>44269.85022109955</v>
      </c>
      <c r="Q181">
        <v>1042041</v>
      </c>
      <c r="R181" t="s">
        <v>27</v>
      </c>
      <c r="S181" s="4">
        <v>785.33473286000003</v>
      </c>
      <c r="W181"/>
      <c r="X181">
        <v>0</v>
      </c>
      <c r="AC181" t="s">
        <v>84</v>
      </c>
      <c r="AD181" s="38">
        <v>43313</v>
      </c>
    </row>
    <row r="182" spans="1:30" x14ac:dyDescent="0.25">
      <c r="A182">
        <v>113076</v>
      </c>
      <c r="B182" t="s">
        <v>140</v>
      </c>
      <c r="C182">
        <v>2018</v>
      </c>
      <c r="D182">
        <v>8</v>
      </c>
      <c r="E182" t="s">
        <v>87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88</v>
      </c>
      <c r="L182" t="s">
        <v>103</v>
      </c>
      <c r="M182">
        <v>336.78904151</v>
      </c>
      <c r="N182">
        <v>0</v>
      </c>
      <c r="O182" t="s">
        <v>80</v>
      </c>
      <c r="P182" s="38">
        <v>44269.850222337962</v>
      </c>
      <c r="Q182">
        <v>1042158</v>
      </c>
      <c r="R182" t="s">
        <v>91</v>
      </c>
      <c r="S182" s="4">
        <v>0</v>
      </c>
      <c r="W182"/>
      <c r="X182">
        <v>0</v>
      </c>
      <c r="AC182" t="s">
        <v>84</v>
      </c>
      <c r="AD182" s="38">
        <v>43313</v>
      </c>
    </row>
    <row r="183" spans="1:30" x14ac:dyDescent="0.25">
      <c r="A183">
        <v>113100</v>
      </c>
      <c r="B183" t="s">
        <v>140</v>
      </c>
      <c r="C183">
        <v>2018</v>
      </c>
      <c r="D183">
        <v>8</v>
      </c>
      <c r="E183" t="s">
        <v>89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90</v>
      </c>
      <c r="L183" t="s">
        <v>103</v>
      </c>
      <c r="M183">
        <v>901.42463836000002</v>
      </c>
      <c r="N183">
        <v>0</v>
      </c>
      <c r="O183" t="s">
        <v>80</v>
      </c>
      <c r="P183" s="38">
        <v>44269.850223530091</v>
      </c>
      <c r="Q183">
        <v>1042278</v>
      </c>
      <c r="R183" t="s">
        <v>91</v>
      </c>
      <c r="S183" s="4">
        <v>10.44915788</v>
      </c>
      <c r="W183"/>
      <c r="X183">
        <v>0</v>
      </c>
      <c r="AC183" t="s">
        <v>84</v>
      </c>
      <c r="AD183" s="38">
        <v>43313</v>
      </c>
    </row>
    <row r="184" spans="1:30" x14ac:dyDescent="0.25">
      <c r="A184">
        <v>113052</v>
      </c>
      <c r="B184" t="s">
        <v>140</v>
      </c>
      <c r="C184">
        <v>2018</v>
      </c>
      <c r="D184">
        <v>8</v>
      </c>
      <c r="E184" t="s">
        <v>85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86</v>
      </c>
      <c r="L184" t="s">
        <v>103</v>
      </c>
      <c r="M184">
        <v>1702.89201288</v>
      </c>
      <c r="N184">
        <v>0</v>
      </c>
      <c r="O184" t="s">
        <v>80</v>
      </c>
      <c r="P184" s="38">
        <v>44269.85022109955</v>
      </c>
      <c r="Q184">
        <v>1042038</v>
      </c>
      <c r="R184" t="s">
        <v>91</v>
      </c>
      <c r="S184" s="4">
        <v>15.790973230000001</v>
      </c>
      <c r="W184"/>
      <c r="X184">
        <v>0</v>
      </c>
      <c r="AC184" t="s">
        <v>84</v>
      </c>
      <c r="AD184" s="38">
        <v>43313</v>
      </c>
    </row>
    <row r="185" spans="1:30" x14ac:dyDescent="0.25">
      <c r="A185">
        <v>113052</v>
      </c>
      <c r="B185" t="s">
        <v>140</v>
      </c>
      <c r="C185">
        <v>2018</v>
      </c>
      <c r="D185">
        <v>8</v>
      </c>
      <c r="E185" t="s">
        <v>85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86</v>
      </c>
      <c r="L185" t="s">
        <v>103</v>
      </c>
      <c r="M185">
        <v>1702.89201288</v>
      </c>
      <c r="N185">
        <v>0</v>
      </c>
      <c r="O185" t="s">
        <v>80</v>
      </c>
      <c r="P185" s="38">
        <v>44269.85022109955</v>
      </c>
      <c r="Q185">
        <v>1042040</v>
      </c>
      <c r="R185" t="s">
        <v>28</v>
      </c>
      <c r="S185" s="4">
        <v>11.699507580000001</v>
      </c>
      <c r="W185"/>
      <c r="X185">
        <v>0</v>
      </c>
      <c r="AC185" t="s">
        <v>84</v>
      </c>
      <c r="AD185" s="38">
        <v>43313</v>
      </c>
    </row>
    <row r="186" spans="1:30" x14ac:dyDescent="0.25">
      <c r="A186">
        <v>113100</v>
      </c>
      <c r="B186" t="s">
        <v>140</v>
      </c>
      <c r="C186">
        <v>2018</v>
      </c>
      <c r="D186">
        <v>8</v>
      </c>
      <c r="E186" t="s">
        <v>89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90</v>
      </c>
      <c r="L186" t="s">
        <v>103</v>
      </c>
      <c r="M186">
        <v>901.42463836000002</v>
      </c>
      <c r="N186">
        <v>0</v>
      </c>
      <c r="O186" t="s">
        <v>80</v>
      </c>
      <c r="P186" s="38">
        <v>44269.850223530091</v>
      </c>
      <c r="Q186">
        <v>1042280</v>
      </c>
      <c r="R186" t="s">
        <v>28</v>
      </c>
      <c r="S186" s="4">
        <v>6.2325128300000001</v>
      </c>
      <c r="W186"/>
      <c r="X186">
        <v>0</v>
      </c>
      <c r="AC186" t="s">
        <v>84</v>
      </c>
      <c r="AD186" s="38">
        <v>43313</v>
      </c>
    </row>
    <row r="187" spans="1:30" x14ac:dyDescent="0.25">
      <c r="A187">
        <v>113076</v>
      </c>
      <c r="B187" t="s">
        <v>140</v>
      </c>
      <c r="C187">
        <v>2018</v>
      </c>
      <c r="D187">
        <v>8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336.78904151</v>
      </c>
      <c r="N187">
        <v>0</v>
      </c>
      <c r="O187" t="s">
        <v>80</v>
      </c>
      <c r="P187" s="38">
        <v>44269.850222337962</v>
      </c>
      <c r="Q187">
        <v>1042160</v>
      </c>
      <c r="R187" t="s">
        <v>28</v>
      </c>
      <c r="S187" s="4">
        <v>2.23003565</v>
      </c>
      <c r="W187"/>
      <c r="X187">
        <v>0</v>
      </c>
      <c r="AC187" t="s">
        <v>84</v>
      </c>
      <c r="AD187" s="38">
        <v>43313</v>
      </c>
    </row>
    <row r="188" spans="1:30" x14ac:dyDescent="0.25">
      <c r="A188">
        <v>119662</v>
      </c>
      <c r="B188" t="s">
        <v>113</v>
      </c>
      <c r="C188">
        <v>2018</v>
      </c>
      <c r="D188">
        <v>9</v>
      </c>
      <c r="E188" t="s">
        <v>89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90</v>
      </c>
      <c r="L188" t="s">
        <v>103</v>
      </c>
      <c r="M188">
        <v>843.05591856000001</v>
      </c>
      <c r="N188">
        <v>0</v>
      </c>
      <c r="O188" t="s">
        <v>80</v>
      </c>
      <c r="P188" s="38">
        <v>44269.851107986113</v>
      </c>
      <c r="Q188">
        <v>1081850</v>
      </c>
      <c r="R188" t="s">
        <v>26</v>
      </c>
      <c r="S188" s="4">
        <v>307.76787617000002</v>
      </c>
      <c r="W188"/>
      <c r="X188">
        <v>0</v>
      </c>
      <c r="AC188" t="s">
        <v>84</v>
      </c>
      <c r="AD188" s="38">
        <v>43344</v>
      </c>
    </row>
    <row r="189" spans="1:30" x14ac:dyDescent="0.25">
      <c r="A189">
        <v>119614</v>
      </c>
      <c r="B189" t="s">
        <v>113</v>
      </c>
      <c r="C189">
        <v>2018</v>
      </c>
      <c r="D189">
        <v>9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1439.52704135</v>
      </c>
      <c r="N189">
        <v>0</v>
      </c>
      <c r="O189" t="s">
        <v>80</v>
      </c>
      <c r="P189" s="38">
        <v>44269.851105011578</v>
      </c>
      <c r="Q189">
        <v>1081610</v>
      </c>
      <c r="R189" t="s">
        <v>26</v>
      </c>
      <c r="S189" s="4">
        <v>499.14103108</v>
      </c>
      <c r="W189"/>
      <c r="X189">
        <v>0</v>
      </c>
      <c r="AC189" t="s">
        <v>84</v>
      </c>
      <c r="AD189" s="38">
        <v>43344</v>
      </c>
    </row>
    <row r="190" spans="1:30" x14ac:dyDescent="0.25">
      <c r="A190">
        <v>119638</v>
      </c>
      <c r="B190" t="s">
        <v>113</v>
      </c>
      <c r="C190">
        <v>2018</v>
      </c>
      <c r="D190">
        <v>9</v>
      </c>
      <c r="E190" t="s">
        <v>87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88</v>
      </c>
      <c r="L190" t="s">
        <v>103</v>
      </c>
      <c r="M190">
        <v>316.65874517999998</v>
      </c>
      <c r="N190">
        <v>0</v>
      </c>
      <c r="O190" t="s">
        <v>80</v>
      </c>
      <c r="P190" s="38">
        <v>44269.85110659722</v>
      </c>
      <c r="Q190">
        <v>1081730</v>
      </c>
      <c r="R190" t="s">
        <v>26</v>
      </c>
      <c r="S190" s="4">
        <v>127.07047511</v>
      </c>
      <c r="W190"/>
      <c r="X190">
        <v>0</v>
      </c>
      <c r="AC190" t="s">
        <v>84</v>
      </c>
      <c r="AD190" s="38">
        <v>43344</v>
      </c>
    </row>
    <row r="191" spans="1:30" x14ac:dyDescent="0.25">
      <c r="A191">
        <v>119662</v>
      </c>
      <c r="B191" t="s">
        <v>113</v>
      </c>
      <c r="C191">
        <v>2018</v>
      </c>
      <c r="D191">
        <v>9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843.05591856000001</v>
      </c>
      <c r="N191">
        <v>0</v>
      </c>
      <c r="O191" t="s">
        <v>80</v>
      </c>
      <c r="P191" s="38">
        <v>44269.851107986113</v>
      </c>
      <c r="Q191">
        <v>1081853</v>
      </c>
      <c r="R191" t="s">
        <v>81</v>
      </c>
      <c r="S191" s="4">
        <v>167.12112604999999</v>
      </c>
      <c r="W191"/>
      <c r="X191">
        <v>0</v>
      </c>
      <c r="AC191" t="s">
        <v>84</v>
      </c>
      <c r="AD191" s="38">
        <v>43344</v>
      </c>
    </row>
    <row r="192" spans="1:30" x14ac:dyDescent="0.25">
      <c r="A192">
        <v>119638</v>
      </c>
      <c r="B192" t="s">
        <v>113</v>
      </c>
      <c r="C192">
        <v>2018</v>
      </c>
      <c r="D192">
        <v>9</v>
      </c>
      <c r="E192" t="s">
        <v>87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88</v>
      </c>
      <c r="L192" t="s">
        <v>103</v>
      </c>
      <c r="M192">
        <v>316.65874517999998</v>
      </c>
      <c r="N192">
        <v>0</v>
      </c>
      <c r="O192" t="s">
        <v>80</v>
      </c>
      <c r="P192" s="38">
        <v>44269.85110659722</v>
      </c>
      <c r="Q192">
        <v>1081733</v>
      </c>
      <c r="R192" t="s">
        <v>81</v>
      </c>
      <c r="S192" s="4">
        <v>65.677974120000002</v>
      </c>
      <c r="W192"/>
      <c r="X192">
        <v>0</v>
      </c>
      <c r="AC192" t="s">
        <v>84</v>
      </c>
      <c r="AD192" s="38">
        <v>43344</v>
      </c>
    </row>
    <row r="193" spans="1:30" x14ac:dyDescent="0.25">
      <c r="A193">
        <v>119614</v>
      </c>
      <c r="B193" t="s">
        <v>113</v>
      </c>
      <c r="C193">
        <v>2018</v>
      </c>
      <c r="D193">
        <v>9</v>
      </c>
      <c r="E193" t="s">
        <v>85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86</v>
      </c>
      <c r="L193" t="s">
        <v>103</v>
      </c>
      <c r="M193">
        <v>1439.52704135</v>
      </c>
      <c r="N193">
        <v>0</v>
      </c>
      <c r="O193" t="s">
        <v>80</v>
      </c>
      <c r="P193" s="38">
        <v>44269.851105011578</v>
      </c>
      <c r="Q193">
        <v>1081613</v>
      </c>
      <c r="R193" t="s">
        <v>81</v>
      </c>
      <c r="S193" s="4">
        <v>317.66754981000003</v>
      </c>
      <c r="W193"/>
      <c r="X193">
        <v>0</v>
      </c>
      <c r="AC193" t="s">
        <v>84</v>
      </c>
      <c r="AD193" s="38">
        <v>43344</v>
      </c>
    </row>
    <row r="194" spans="1:30" x14ac:dyDescent="0.25">
      <c r="A194">
        <v>119614</v>
      </c>
      <c r="B194" t="s">
        <v>113</v>
      </c>
      <c r="C194">
        <v>2018</v>
      </c>
      <c r="D194">
        <v>9</v>
      </c>
      <c r="E194" t="s">
        <v>85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86</v>
      </c>
      <c r="L194" t="s">
        <v>103</v>
      </c>
      <c r="M194">
        <v>1439.52704135</v>
      </c>
      <c r="N194">
        <v>0</v>
      </c>
      <c r="O194" t="s">
        <v>80</v>
      </c>
      <c r="P194" s="38">
        <v>44269.851105011578</v>
      </c>
      <c r="Q194">
        <v>1081612</v>
      </c>
      <c r="R194" t="s">
        <v>27</v>
      </c>
      <c r="S194" s="4">
        <v>639.96089424000002</v>
      </c>
      <c r="W194"/>
      <c r="X194">
        <v>0</v>
      </c>
      <c r="AC194" t="s">
        <v>84</v>
      </c>
      <c r="AD194" s="38">
        <v>43344</v>
      </c>
    </row>
    <row r="195" spans="1:30" x14ac:dyDescent="0.25">
      <c r="A195">
        <v>119638</v>
      </c>
      <c r="B195" t="s">
        <v>113</v>
      </c>
      <c r="C195">
        <v>2018</v>
      </c>
      <c r="D195">
        <v>9</v>
      </c>
      <c r="E195" t="s">
        <v>87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88</v>
      </c>
      <c r="L195" t="s">
        <v>103</v>
      </c>
      <c r="M195">
        <v>316.65874517999998</v>
      </c>
      <c r="N195">
        <v>0</v>
      </c>
      <c r="O195" t="s">
        <v>80</v>
      </c>
      <c r="P195" s="38">
        <v>44269.85110659722</v>
      </c>
      <c r="Q195">
        <v>1081732</v>
      </c>
      <c r="R195" t="s">
        <v>27</v>
      </c>
      <c r="S195" s="4">
        <v>131.28745895</v>
      </c>
      <c r="W195"/>
      <c r="X195">
        <v>0</v>
      </c>
      <c r="AC195" t="s">
        <v>84</v>
      </c>
      <c r="AD195" s="38">
        <v>43344</v>
      </c>
    </row>
    <row r="196" spans="1:30" x14ac:dyDescent="0.25">
      <c r="A196">
        <v>119662</v>
      </c>
      <c r="B196" t="s">
        <v>113</v>
      </c>
      <c r="C196">
        <v>2018</v>
      </c>
      <c r="D196">
        <v>9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843.05591856000001</v>
      </c>
      <c r="N196">
        <v>0</v>
      </c>
      <c r="O196" t="s">
        <v>80</v>
      </c>
      <c r="P196" s="38">
        <v>44269.851107986113</v>
      </c>
      <c r="Q196">
        <v>1081852</v>
      </c>
      <c r="R196" t="s">
        <v>27</v>
      </c>
      <c r="S196" s="4">
        <v>377.75261540000002</v>
      </c>
      <c r="W196"/>
      <c r="X196">
        <v>0</v>
      </c>
      <c r="AC196" t="s">
        <v>84</v>
      </c>
      <c r="AD196" s="38">
        <v>43344</v>
      </c>
    </row>
    <row r="197" spans="1:30" x14ac:dyDescent="0.25">
      <c r="A197">
        <v>119614</v>
      </c>
      <c r="B197" t="s">
        <v>113</v>
      </c>
      <c r="C197">
        <v>2018</v>
      </c>
      <c r="D197">
        <v>9</v>
      </c>
      <c r="E197" t="s">
        <v>85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86</v>
      </c>
      <c r="L197" t="s">
        <v>103</v>
      </c>
      <c r="M197">
        <v>1439.52704135</v>
      </c>
      <c r="N197">
        <v>0</v>
      </c>
      <c r="O197" t="s">
        <v>80</v>
      </c>
      <c r="P197" s="38">
        <v>44269.851105011578</v>
      </c>
      <c r="Q197">
        <v>1081609</v>
      </c>
      <c r="R197" t="s">
        <v>91</v>
      </c>
      <c r="S197" s="4">
        <v>15.90858214</v>
      </c>
      <c r="W197"/>
      <c r="X197">
        <v>0</v>
      </c>
      <c r="AC197" t="s">
        <v>84</v>
      </c>
      <c r="AD197" s="38">
        <v>43344</v>
      </c>
    </row>
    <row r="198" spans="1:30" x14ac:dyDescent="0.25">
      <c r="A198">
        <v>119638</v>
      </c>
      <c r="B198" t="s">
        <v>113</v>
      </c>
      <c r="C198">
        <v>2018</v>
      </c>
      <c r="D198">
        <v>9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316.65874517999998</v>
      </c>
      <c r="N198">
        <v>0</v>
      </c>
      <c r="O198" t="s">
        <v>80</v>
      </c>
      <c r="P198" s="38">
        <v>44269.85110659722</v>
      </c>
      <c r="Q198">
        <v>1081729</v>
      </c>
      <c r="R198" t="s">
        <v>91</v>
      </c>
      <c r="S198" s="4">
        <v>0</v>
      </c>
      <c r="W198"/>
      <c r="X198">
        <v>0</v>
      </c>
      <c r="AC198" t="s">
        <v>84</v>
      </c>
      <c r="AD198" s="38">
        <v>43344</v>
      </c>
    </row>
    <row r="199" spans="1:30" x14ac:dyDescent="0.25">
      <c r="A199">
        <v>119662</v>
      </c>
      <c r="B199" t="s">
        <v>113</v>
      </c>
      <c r="C199">
        <v>2018</v>
      </c>
      <c r="D199">
        <v>9</v>
      </c>
      <c r="E199" t="s">
        <v>89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90</v>
      </c>
      <c r="L199" t="s">
        <v>103</v>
      </c>
      <c r="M199">
        <v>843.05591856000001</v>
      </c>
      <c r="N199">
        <v>0</v>
      </c>
      <c r="O199" t="s">
        <v>80</v>
      </c>
      <c r="P199" s="38">
        <v>44269.851107986113</v>
      </c>
      <c r="Q199">
        <v>1081849</v>
      </c>
      <c r="R199" t="s">
        <v>91</v>
      </c>
      <c r="S199" s="4">
        <v>9.8030732700000005</v>
      </c>
      <c r="W199"/>
      <c r="X199">
        <v>0</v>
      </c>
      <c r="AC199" t="s">
        <v>84</v>
      </c>
      <c r="AD199" s="38">
        <v>43344</v>
      </c>
    </row>
    <row r="200" spans="1:30" x14ac:dyDescent="0.25">
      <c r="A200">
        <v>119662</v>
      </c>
      <c r="B200" t="s">
        <v>113</v>
      </c>
      <c r="C200">
        <v>2018</v>
      </c>
      <c r="D200">
        <v>9</v>
      </c>
      <c r="E200" t="s">
        <v>89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843.05591856000001</v>
      </c>
      <c r="N200">
        <v>0</v>
      </c>
      <c r="O200" t="s">
        <v>80</v>
      </c>
      <c r="P200" s="38">
        <v>44269.851107986113</v>
      </c>
      <c r="Q200">
        <v>1081851</v>
      </c>
      <c r="R200" t="s">
        <v>28</v>
      </c>
      <c r="S200" s="4">
        <v>5.8523218699999999</v>
      </c>
      <c r="W200"/>
      <c r="X200">
        <v>0</v>
      </c>
      <c r="AC200" t="s">
        <v>84</v>
      </c>
      <c r="AD200" s="38">
        <v>43344</v>
      </c>
    </row>
    <row r="201" spans="1:30" x14ac:dyDescent="0.25">
      <c r="A201">
        <v>119638</v>
      </c>
      <c r="B201" t="s">
        <v>113</v>
      </c>
      <c r="C201">
        <v>2018</v>
      </c>
      <c r="D201">
        <v>9</v>
      </c>
      <c r="E201" t="s">
        <v>87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316.65874517999998</v>
      </c>
      <c r="N201">
        <v>0</v>
      </c>
      <c r="O201" t="s">
        <v>80</v>
      </c>
      <c r="P201" s="38">
        <v>44269.85110659722</v>
      </c>
      <c r="Q201">
        <v>1081731</v>
      </c>
      <c r="R201" t="s">
        <v>28</v>
      </c>
      <c r="S201" s="4">
        <v>2.1035998299999998</v>
      </c>
      <c r="W201"/>
      <c r="X201">
        <v>0</v>
      </c>
      <c r="AC201" t="s">
        <v>84</v>
      </c>
      <c r="AD201" s="38">
        <v>43344</v>
      </c>
    </row>
    <row r="202" spans="1:30" x14ac:dyDescent="0.25">
      <c r="A202">
        <v>119614</v>
      </c>
      <c r="B202" t="s">
        <v>113</v>
      </c>
      <c r="C202">
        <v>2018</v>
      </c>
      <c r="D202">
        <v>9</v>
      </c>
      <c r="E202" t="s">
        <v>85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86</v>
      </c>
      <c r="L202" t="s">
        <v>103</v>
      </c>
      <c r="M202">
        <v>1439.52704135</v>
      </c>
      <c r="N202">
        <v>0</v>
      </c>
      <c r="O202" t="s">
        <v>80</v>
      </c>
      <c r="P202" s="38">
        <v>44269.851105011578</v>
      </c>
      <c r="Q202">
        <v>1081611</v>
      </c>
      <c r="R202" t="s">
        <v>28</v>
      </c>
      <c r="S202" s="4">
        <v>9.9484236900000003</v>
      </c>
      <c r="W202"/>
      <c r="X202">
        <v>0</v>
      </c>
      <c r="AC202" t="s">
        <v>84</v>
      </c>
      <c r="AD202" s="38">
        <v>43344</v>
      </c>
    </row>
    <row r="203" spans="1:30" x14ac:dyDescent="0.25">
      <c r="A203">
        <v>130318</v>
      </c>
      <c r="B203" t="s">
        <v>114</v>
      </c>
      <c r="C203">
        <v>2018</v>
      </c>
      <c r="D203">
        <v>10</v>
      </c>
      <c r="E203" t="s">
        <v>87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88</v>
      </c>
      <c r="L203" t="s">
        <v>103</v>
      </c>
      <c r="M203">
        <v>333.40243543999998</v>
      </c>
      <c r="N203">
        <v>0</v>
      </c>
      <c r="O203" t="s">
        <v>80</v>
      </c>
      <c r="P203" s="38">
        <v>44269.852573611111</v>
      </c>
      <c r="Q203">
        <v>1193102</v>
      </c>
      <c r="R203" t="s">
        <v>26</v>
      </c>
      <c r="S203" s="4">
        <v>133.79030291999999</v>
      </c>
      <c r="W203"/>
      <c r="X203">
        <v>0</v>
      </c>
      <c r="AC203" t="s">
        <v>84</v>
      </c>
      <c r="AD203" s="38">
        <v>43374</v>
      </c>
    </row>
    <row r="204" spans="1:30" x14ac:dyDescent="0.25">
      <c r="A204">
        <v>130342</v>
      </c>
      <c r="B204" t="s">
        <v>114</v>
      </c>
      <c r="C204">
        <v>2018</v>
      </c>
      <c r="D204">
        <v>10</v>
      </c>
      <c r="E204" t="s">
        <v>89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90</v>
      </c>
      <c r="L204" t="s">
        <v>103</v>
      </c>
      <c r="M204">
        <v>879.43208655000001</v>
      </c>
      <c r="N204">
        <v>0</v>
      </c>
      <c r="O204" t="s">
        <v>80</v>
      </c>
      <c r="P204" s="38">
        <v>44269.852574803241</v>
      </c>
      <c r="Q204">
        <v>1193222</v>
      </c>
      <c r="R204" t="s">
        <v>26</v>
      </c>
      <c r="S204" s="4">
        <v>321.0431868</v>
      </c>
      <c r="W204"/>
      <c r="X204">
        <v>0</v>
      </c>
      <c r="AC204" t="s">
        <v>84</v>
      </c>
      <c r="AD204" s="38">
        <v>43374</v>
      </c>
    </row>
    <row r="205" spans="1:30" x14ac:dyDescent="0.25">
      <c r="A205">
        <v>130294</v>
      </c>
      <c r="B205" t="s">
        <v>114</v>
      </c>
      <c r="C205">
        <v>2018</v>
      </c>
      <c r="D205">
        <v>10</v>
      </c>
      <c r="E205" t="s">
        <v>85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1428.8615156599999</v>
      </c>
      <c r="N205">
        <v>0</v>
      </c>
      <c r="O205" t="s">
        <v>80</v>
      </c>
      <c r="P205" s="38">
        <v>44269.8525723727</v>
      </c>
      <c r="Q205">
        <v>1192982</v>
      </c>
      <c r="R205" t="s">
        <v>26</v>
      </c>
      <c r="S205" s="4">
        <v>493.49836471999998</v>
      </c>
      <c r="W205"/>
      <c r="X205">
        <v>0</v>
      </c>
      <c r="AC205" t="s">
        <v>84</v>
      </c>
      <c r="AD205" s="38">
        <v>43374</v>
      </c>
    </row>
    <row r="206" spans="1:30" x14ac:dyDescent="0.25">
      <c r="A206">
        <v>130318</v>
      </c>
      <c r="B206" t="s">
        <v>114</v>
      </c>
      <c r="C206">
        <v>2018</v>
      </c>
      <c r="D206">
        <v>10</v>
      </c>
      <c r="E206" t="s">
        <v>87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333.40243543999998</v>
      </c>
      <c r="N206">
        <v>0</v>
      </c>
      <c r="O206" t="s">
        <v>80</v>
      </c>
      <c r="P206" s="38">
        <v>44269.852573611111</v>
      </c>
      <c r="Q206">
        <v>1193105</v>
      </c>
      <c r="R206" t="s">
        <v>81</v>
      </c>
      <c r="S206" s="4">
        <v>69.149925620000005</v>
      </c>
      <c r="W206"/>
      <c r="X206">
        <v>0</v>
      </c>
      <c r="AC206" t="s">
        <v>84</v>
      </c>
      <c r="AD206" s="38">
        <v>43374</v>
      </c>
    </row>
    <row r="207" spans="1:30" x14ac:dyDescent="0.25">
      <c r="A207">
        <v>130294</v>
      </c>
      <c r="B207" t="s">
        <v>114</v>
      </c>
      <c r="C207">
        <v>2018</v>
      </c>
      <c r="D207">
        <v>10</v>
      </c>
      <c r="E207" t="s">
        <v>85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1428.8615156599999</v>
      </c>
      <c r="N207">
        <v>0</v>
      </c>
      <c r="O207" t="s">
        <v>80</v>
      </c>
      <c r="P207" s="38">
        <v>44269.8525723727</v>
      </c>
      <c r="Q207">
        <v>1192985</v>
      </c>
      <c r="R207" t="s">
        <v>81</v>
      </c>
      <c r="S207" s="4">
        <v>293.84436671999998</v>
      </c>
      <c r="W207"/>
      <c r="X207">
        <v>0</v>
      </c>
      <c r="AC207" t="s">
        <v>84</v>
      </c>
      <c r="AD207" s="38">
        <v>43374</v>
      </c>
    </row>
    <row r="208" spans="1:30" x14ac:dyDescent="0.25">
      <c r="A208">
        <v>130342</v>
      </c>
      <c r="B208" t="s">
        <v>114</v>
      </c>
      <c r="C208">
        <v>2018</v>
      </c>
      <c r="D208">
        <v>10</v>
      </c>
      <c r="E208" t="s">
        <v>89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879.43208655000001</v>
      </c>
      <c r="N208">
        <v>0</v>
      </c>
      <c r="O208" t="s">
        <v>80</v>
      </c>
      <c r="P208" s="38">
        <v>44269.852574803241</v>
      </c>
      <c r="Q208">
        <v>1193225</v>
      </c>
      <c r="R208" t="s">
        <v>81</v>
      </c>
      <c r="S208" s="4">
        <v>174.33643208999999</v>
      </c>
      <c r="W208"/>
      <c r="X208">
        <v>0</v>
      </c>
      <c r="AC208" t="s">
        <v>84</v>
      </c>
      <c r="AD208" s="38">
        <v>43374</v>
      </c>
    </row>
    <row r="209" spans="1:30" x14ac:dyDescent="0.25">
      <c r="A209">
        <v>130318</v>
      </c>
      <c r="B209" t="s">
        <v>114</v>
      </c>
      <c r="C209">
        <v>2018</v>
      </c>
      <c r="D209">
        <v>10</v>
      </c>
      <c r="E209" t="s">
        <v>87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88</v>
      </c>
      <c r="L209" t="s">
        <v>103</v>
      </c>
      <c r="M209">
        <v>333.40243543999998</v>
      </c>
      <c r="N209">
        <v>0</v>
      </c>
      <c r="O209" t="s">
        <v>80</v>
      </c>
      <c r="P209" s="38">
        <v>44269.852573611111</v>
      </c>
      <c r="Q209">
        <v>1193104</v>
      </c>
      <c r="R209" t="s">
        <v>27</v>
      </c>
      <c r="S209" s="4">
        <v>138.22930368999999</v>
      </c>
      <c r="W209"/>
      <c r="X209">
        <v>0</v>
      </c>
      <c r="AC209" t="s">
        <v>84</v>
      </c>
      <c r="AD209" s="38">
        <v>43374</v>
      </c>
    </row>
    <row r="210" spans="1:30" x14ac:dyDescent="0.25">
      <c r="A210">
        <v>130342</v>
      </c>
      <c r="B210" t="s">
        <v>114</v>
      </c>
      <c r="C210">
        <v>2018</v>
      </c>
      <c r="D210">
        <v>10</v>
      </c>
      <c r="E210" t="s">
        <v>89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90</v>
      </c>
      <c r="L210" t="s">
        <v>103</v>
      </c>
      <c r="M210">
        <v>879.43208655000001</v>
      </c>
      <c r="N210">
        <v>0</v>
      </c>
      <c r="O210" t="s">
        <v>80</v>
      </c>
      <c r="P210" s="38">
        <v>44269.852574803241</v>
      </c>
      <c r="Q210">
        <v>1193224</v>
      </c>
      <c r="R210" t="s">
        <v>27</v>
      </c>
      <c r="S210" s="4">
        <v>394.05372144</v>
      </c>
      <c r="W210"/>
      <c r="X210">
        <v>0</v>
      </c>
      <c r="AC210" t="s">
        <v>84</v>
      </c>
      <c r="AD210" s="38">
        <v>43374</v>
      </c>
    </row>
    <row r="211" spans="1:30" x14ac:dyDescent="0.25">
      <c r="A211">
        <v>130294</v>
      </c>
      <c r="B211" t="s">
        <v>114</v>
      </c>
      <c r="C211">
        <v>2018</v>
      </c>
      <c r="D211">
        <v>10</v>
      </c>
      <c r="E211" t="s">
        <v>85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86</v>
      </c>
      <c r="L211" t="s">
        <v>103</v>
      </c>
      <c r="M211">
        <v>1428.8615156599999</v>
      </c>
      <c r="N211">
        <v>0</v>
      </c>
      <c r="O211" t="s">
        <v>80</v>
      </c>
      <c r="P211" s="38">
        <v>44269.8525723727</v>
      </c>
      <c r="Q211">
        <v>1192984</v>
      </c>
      <c r="R211" t="s">
        <v>27</v>
      </c>
      <c r="S211" s="4">
        <v>661.15529293999998</v>
      </c>
      <c r="W211"/>
      <c r="X211">
        <v>0</v>
      </c>
      <c r="AC211" t="s">
        <v>84</v>
      </c>
      <c r="AD211" s="38">
        <v>43374</v>
      </c>
    </row>
    <row r="212" spans="1:30" x14ac:dyDescent="0.25">
      <c r="A212">
        <v>130318</v>
      </c>
      <c r="B212" t="s">
        <v>114</v>
      </c>
      <c r="C212">
        <v>2018</v>
      </c>
      <c r="D212">
        <v>10</v>
      </c>
      <c r="E212" t="s">
        <v>87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333.40243543999998</v>
      </c>
      <c r="N212">
        <v>0</v>
      </c>
      <c r="O212" t="s">
        <v>80</v>
      </c>
      <c r="P212" s="38">
        <v>44269.852573611111</v>
      </c>
      <c r="Q212">
        <v>1193101</v>
      </c>
      <c r="R212" t="s">
        <v>91</v>
      </c>
      <c r="S212" s="4">
        <v>0</v>
      </c>
      <c r="W212"/>
      <c r="X212">
        <v>0</v>
      </c>
      <c r="AC212" t="s">
        <v>84</v>
      </c>
      <c r="AD212" s="38">
        <v>43374</v>
      </c>
    </row>
    <row r="213" spans="1:30" x14ac:dyDescent="0.25">
      <c r="A213">
        <v>130342</v>
      </c>
      <c r="B213" t="s">
        <v>114</v>
      </c>
      <c r="C213">
        <v>2018</v>
      </c>
      <c r="D213">
        <v>10</v>
      </c>
      <c r="E213" t="s">
        <v>89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90</v>
      </c>
      <c r="L213" t="s">
        <v>103</v>
      </c>
      <c r="M213">
        <v>879.43208655000001</v>
      </c>
      <c r="N213">
        <v>0</v>
      </c>
      <c r="O213" t="s">
        <v>80</v>
      </c>
      <c r="P213" s="38">
        <v>44269.852574803241</v>
      </c>
      <c r="Q213">
        <v>1193221</v>
      </c>
      <c r="R213" t="s">
        <v>91</v>
      </c>
      <c r="S213" s="4">
        <v>10.228214250000001</v>
      </c>
      <c r="W213"/>
      <c r="X213">
        <v>0</v>
      </c>
      <c r="AC213" t="s">
        <v>84</v>
      </c>
      <c r="AD213" s="38">
        <v>43374</v>
      </c>
    </row>
    <row r="214" spans="1:30" x14ac:dyDescent="0.25">
      <c r="A214">
        <v>130294</v>
      </c>
      <c r="B214" t="s">
        <v>114</v>
      </c>
      <c r="C214">
        <v>2018</v>
      </c>
      <c r="D214">
        <v>10</v>
      </c>
      <c r="E214" t="s">
        <v>85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86</v>
      </c>
      <c r="L214" t="s">
        <v>103</v>
      </c>
      <c r="M214">
        <v>1428.8615156599999</v>
      </c>
      <c r="N214">
        <v>0</v>
      </c>
      <c r="O214" t="s">
        <v>80</v>
      </c>
      <c r="P214" s="38">
        <v>44269.8525723727</v>
      </c>
      <c r="Q214">
        <v>1192981</v>
      </c>
      <c r="R214" t="s">
        <v>91</v>
      </c>
      <c r="S214" s="4">
        <v>13.29405805</v>
      </c>
      <c r="W214"/>
      <c r="X214">
        <v>0</v>
      </c>
      <c r="AC214" t="s">
        <v>84</v>
      </c>
      <c r="AD214" s="38">
        <v>43374</v>
      </c>
    </row>
    <row r="215" spans="1:30" x14ac:dyDescent="0.25">
      <c r="A215">
        <v>130318</v>
      </c>
      <c r="B215" t="s">
        <v>114</v>
      </c>
      <c r="C215">
        <v>2018</v>
      </c>
      <c r="D215">
        <v>10</v>
      </c>
      <c r="E215" t="s">
        <v>87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333.40243543999998</v>
      </c>
      <c r="N215">
        <v>0</v>
      </c>
      <c r="O215" t="s">
        <v>80</v>
      </c>
      <c r="P215" s="38">
        <v>44269.852573611111</v>
      </c>
      <c r="Q215">
        <v>1193103</v>
      </c>
      <c r="R215" t="s">
        <v>28</v>
      </c>
      <c r="S215" s="4">
        <v>2.21497213</v>
      </c>
      <c r="W215"/>
      <c r="X215">
        <v>0</v>
      </c>
      <c r="AC215" t="s">
        <v>84</v>
      </c>
      <c r="AD215" s="38">
        <v>43374</v>
      </c>
    </row>
    <row r="216" spans="1:30" x14ac:dyDescent="0.25">
      <c r="A216">
        <v>130342</v>
      </c>
      <c r="B216" t="s">
        <v>114</v>
      </c>
      <c r="C216">
        <v>2018</v>
      </c>
      <c r="D216">
        <v>10</v>
      </c>
      <c r="E216" t="s">
        <v>89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90</v>
      </c>
      <c r="L216" t="s">
        <v>103</v>
      </c>
      <c r="M216">
        <v>879.43208655000001</v>
      </c>
      <c r="N216">
        <v>0</v>
      </c>
      <c r="O216" t="s">
        <v>80</v>
      </c>
      <c r="P216" s="38">
        <v>44269.852574803241</v>
      </c>
      <c r="Q216">
        <v>1193223</v>
      </c>
      <c r="R216" t="s">
        <v>28</v>
      </c>
      <c r="S216" s="4">
        <v>6.1007286299999999</v>
      </c>
      <c r="W216"/>
      <c r="X216">
        <v>0</v>
      </c>
      <c r="AC216" t="s">
        <v>84</v>
      </c>
      <c r="AD216" s="38">
        <v>43374</v>
      </c>
    </row>
    <row r="217" spans="1:30" x14ac:dyDescent="0.25">
      <c r="A217">
        <v>130294</v>
      </c>
      <c r="B217" t="s">
        <v>114</v>
      </c>
      <c r="C217">
        <v>2018</v>
      </c>
      <c r="D217">
        <v>10</v>
      </c>
      <c r="E217" t="s">
        <v>85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86</v>
      </c>
      <c r="L217" t="s">
        <v>103</v>
      </c>
      <c r="M217">
        <v>1428.8615156599999</v>
      </c>
      <c r="N217">
        <v>0</v>
      </c>
      <c r="O217" t="s">
        <v>80</v>
      </c>
      <c r="P217" s="38">
        <v>44269.8525723727</v>
      </c>
      <c r="Q217">
        <v>1192983</v>
      </c>
      <c r="R217" t="s">
        <v>28</v>
      </c>
      <c r="S217" s="4">
        <v>9.8495469999999994</v>
      </c>
      <c r="W217"/>
      <c r="X217">
        <v>0</v>
      </c>
      <c r="AC217" t="s">
        <v>84</v>
      </c>
      <c r="AD217" s="38">
        <v>43374</v>
      </c>
    </row>
    <row r="218" spans="1:30" x14ac:dyDescent="0.25">
      <c r="A218">
        <v>144832</v>
      </c>
      <c r="B218" t="s">
        <v>115</v>
      </c>
      <c r="C218">
        <v>2018</v>
      </c>
      <c r="D218">
        <v>11</v>
      </c>
      <c r="E218" t="s">
        <v>85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86</v>
      </c>
      <c r="L218" t="s">
        <v>103</v>
      </c>
      <c r="M218">
        <v>1939.5207746900001</v>
      </c>
      <c r="N218">
        <v>0</v>
      </c>
      <c r="O218" t="s">
        <v>80</v>
      </c>
      <c r="P218" s="38">
        <v>44269.854262534733</v>
      </c>
      <c r="Q218">
        <v>1336942</v>
      </c>
      <c r="R218" t="s">
        <v>26</v>
      </c>
      <c r="S218" s="4">
        <v>669.86920716999998</v>
      </c>
      <c r="W218"/>
      <c r="X218">
        <v>0</v>
      </c>
      <c r="AC218" t="s">
        <v>84</v>
      </c>
      <c r="AD218" s="38">
        <v>43405</v>
      </c>
    </row>
    <row r="219" spans="1:30" x14ac:dyDescent="0.25">
      <c r="A219">
        <v>144856</v>
      </c>
      <c r="B219" t="s">
        <v>115</v>
      </c>
      <c r="C219">
        <v>2018</v>
      </c>
      <c r="D219">
        <v>11</v>
      </c>
      <c r="E219" t="s">
        <v>87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527.43779992999998</v>
      </c>
      <c r="N219">
        <v>0</v>
      </c>
      <c r="O219" t="s">
        <v>80</v>
      </c>
      <c r="P219" s="38">
        <v>44269.854263738423</v>
      </c>
      <c r="Q219">
        <v>1337062</v>
      </c>
      <c r="R219" t="s">
        <v>26</v>
      </c>
      <c r="S219" s="4">
        <v>211.65431179999999</v>
      </c>
      <c r="W219"/>
      <c r="X219">
        <v>0</v>
      </c>
      <c r="AC219" t="s">
        <v>84</v>
      </c>
      <c r="AD219" s="38">
        <v>43405</v>
      </c>
    </row>
    <row r="220" spans="1:30" x14ac:dyDescent="0.25">
      <c r="A220">
        <v>144880</v>
      </c>
      <c r="B220" t="s">
        <v>115</v>
      </c>
      <c r="C220">
        <v>2018</v>
      </c>
      <c r="D220">
        <v>11</v>
      </c>
      <c r="E220" t="s">
        <v>89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90</v>
      </c>
      <c r="L220" t="s">
        <v>103</v>
      </c>
      <c r="M220">
        <v>1036.3887642100001</v>
      </c>
      <c r="N220">
        <v>0</v>
      </c>
      <c r="O220" t="s">
        <v>80</v>
      </c>
      <c r="P220" s="38">
        <v>44269.854264965281</v>
      </c>
      <c r="Q220">
        <v>1337182</v>
      </c>
      <c r="R220" t="s">
        <v>26</v>
      </c>
      <c r="S220" s="4">
        <v>378.34138271</v>
      </c>
      <c r="W220"/>
      <c r="X220">
        <v>0</v>
      </c>
      <c r="AC220" t="s">
        <v>84</v>
      </c>
      <c r="AD220" s="38">
        <v>43405</v>
      </c>
    </row>
    <row r="221" spans="1:30" x14ac:dyDescent="0.25">
      <c r="A221">
        <v>144880</v>
      </c>
      <c r="B221" t="s">
        <v>115</v>
      </c>
      <c r="C221">
        <v>2018</v>
      </c>
      <c r="D221">
        <v>11</v>
      </c>
      <c r="E221" t="s">
        <v>89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90</v>
      </c>
      <c r="L221" t="s">
        <v>103</v>
      </c>
      <c r="M221">
        <v>1036.3887642100001</v>
      </c>
      <c r="N221">
        <v>0</v>
      </c>
      <c r="O221" t="s">
        <v>80</v>
      </c>
      <c r="P221" s="38">
        <v>44269.854264965281</v>
      </c>
      <c r="Q221">
        <v>1337185</v>
      </c>
      <c r="R221" t="s">
        <v>81</v>
      </c>
      <c r="S221" s="4">
        <v>205.45113395000001</v>
      </c>
      <c r="W221"/>
      <c r="X221">
        <v>0</v>
      </c>
      <c r="AC221" t="s">
        <v>84</v>
      </c>
      <c r="AD221" s="38">
        <v>43405</v>
      </c>
    </row>
    <row r="222" spans="1:30" x14ac:dyDescent="0.25">
      <c r="A222">
        <v>144856</v>
      </c>
      <c r="B222" t="s">
        <v>115</v>
      </c>
      <c r="C222">
        <v>2018</v>
      </c>
      <c r="D222">
        <v>11</v>
      </c>
      <c r="E222" t="s">
        <v>87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88</v>
      </c>
      <c r="L222" t="s">
        <v>103</v>
      </c>
      <c r="M222">
        <v>527.43779992999998</v>
      </c>
      <c r="N222">
        <v>0</v>
      </c>
      <c r="O222" t="s">
        <v>80</v>
      </c>
      <c r="P222" s="38">
        <v>44269.854263738423</v>
      </c>
      <c r="Q222">
        <v>1337065</v>
      </c>
      <c r="R222" t="s">
        <v>81</v>
      </c>
      <c r="S222" s="4">
        <v>109.3941758</v>
      </c>
      <c r="W222"/>
      <c r="X222">
        <v>0</v>
      </c>
      <c r="AC222" t="s">
        <v>84</v>
      </c>
      <c r="AD222" s="38">
        <v>43405</v>
      </c>
    </row>
    <row r="223" spans="1:30" x14ac:dyDescent="0.25">
      <c r="A223">
        <v>144832</v>
      </c>
      <c r="B223" t="s">
        <v>115</v>
      </c>
      <c r="C223">
        <v>2018</v>
      </c>
      <c r="D223">
        <v>11</v>
      </c>
      <c r="E223" t="s">
        <v>85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86</v>
      </c>
      <c r="L223" t="s">
        <v>103</v>
      </c>
      <c r="M223">
        <v>1939.5207746900001</v>
      </c>
      <c r="N223">
        <v>0</v>
      </c>
      <c r="O223" t="s">
        <v>80</v>
      </c>
      <c r="P223" s="38">
        <v>44269.854262534733</v>
      </c>
      <c r="Q223">
        <v>1336945</v>
      </c>
      <c r="R223" t="s">
        <v>81</v>
      </c>
      <c r="S223" s="4">
        <v>398.86108453000003</v>
      </c>
      <c r="W223"/>
      <c r="X223">
        <v>0</v>
      </c>
      <c r="AC223" t="s">
        <v>84</v>
      </c>
      <c r="AD223" s="38">
        <v>43405</v>
      </c>
    </row>
    <row r="224" spans="1:30" x14ac:dyDescent="0.25">
      <c r="A224">
        <v>144856</v>
      </c>
      <c r="B224" t="s">
        <v>115</v>
      </c>
      <c r="C224">
        <v>2018</v>
      </c>
      <c r="D224">
        <v>11</v>
      </c>
      <c r="E224" t="s">
        <v>87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527.43779992999998</v>
      </c>
      <c r="N224">
        <v>0</v>
      </c>
      <c r="O224" t="s">
        <v>80</v>
      </c>
      <c r="P224" s="38">
        <v>44269.854263738423</v>
      </c>
      <c r="Q224">
        <v>1337064</v>
      </c>
      <c r="R224" t="s">
        <v>27</v>
      </c>
      <c r="S224" s="4">
        <v>218.67674640000001</v>
      </c>
      <c r="W224"/>
      <c r="X224">
        <v>0</v>
      </c>
      <c r="AC224" t="s">
        <v>84</v>
      </c>
      <c r="AD224" s="38">
        <v>43405</v>
      </c>
    </row>
    <row r="225" spans="1:30" x14ac:dyDescent="0.25">
      <c r="A225">
        <v>144832</v>
      </c>
      <c r="B225" t="s">
        <v>115</v>
      </c>
      <c r="C225">
        <v>2018</v>
      </c>
      <c r="D225">
        <v>11</v>
      </c>
      <c r="E225" t="s">
        <v>85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86</v>
      </c>
      <c r="L225" t="s">
        <v>103</v>
      </c>
      <c r="M225">
        <v>1939.5207746900001</v>
      </c>
      <c r="N225">
        <v>0</v>
      </c>
      <c r="O225" t="s">
        <v>80</v>
      </c>
      <c r="P225" s="38">
        <v>44269.854262534733</v>
      </c>
      <c r="Q225">
        <v>1336944</v>
      </c>
      <c r="R225" t="s">
        <v>27</v>
      </c>
      <c r="S225" s="4">
        <v>897.44486215999996</v>
      </c>
      <c r="W225"/>
      <c r="X225">
        <v>0</v>
      </c>
      <c r="AC225" t="s">
        <v>84</v>
      </c>
      <c r="AD225" s="38">
        <v>43405</v>
      </c>
    </row>
    <row r="226" spans="1:30" x14ac:dyDescent="0.25">
      <c r="A226">
        <v>144880</v>
      </c>
      <c r="B226" t="s">
        <v>115</v>
      </c>
      <c r="C226">
        <v>2018</v>
      </c>
      <c r="D226">
        <v>11</v>
      </c>
      <c r="E226" t="s">
        <v>89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90</v>
      </c>
      <c r="L226" t="s">
        <v>103</v>
      </c>
      <c r="M226">
        <v>1036.3887642100001</v>
      </c>
      <c r="N226">
        <v>0</v>
      </c>
      <c r="O226" t="s">
        <v>80</v>
      </c>
      <c r="P226" s="38">
        <v>44269.854264965281</v>
      </c>
      <c r="Q226">
        <v>1337184</v>
      </c>
      <c r="R226" t="s">
        <v>27</v>
      </c>
      <c r="S226" s="4">
        <v>464.38247552000001</v>
      </c>
      <c r="W226"/>
      <c r="X226">
        <v>0</v>
      </c>
      <c r="AC226" t="s">
        <v>84</v>
      </c>
      <c r="AD226" s="38">
        <v>43405</v>
      </c>
    </row>
    <row r="227" spans="1:30" x14ac:dyDescent="0.25">
      <c r="A227">
        <v>144832</v>
      </c>
      <c r="B227" t="s">
        <v>115</v>
      </c>
      <c r="C227">
        <v>2018</v>
      </c>
      <c r="D227">
        <v>11</v>
      </c>
      <c r="E227" t="s">
        <v>85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86</v>
      </c>
      <c r="L227" t="s">
        <v>103</v>
      </c>
      <c r="M227">
        <v>1939.5207746900001</v>
      </c>
      <c r="N227">
        <v>0</v>
      </c>
      <c r="O227" t="s">
        <v>80</v>
      </c>
      <c r="P227" s="38">
        <v>44269.854262534733</v>
      </c>
      <c r="Q227">
        <v>1336941</v>
      </c>
      <c r="R227" t="s">
        <v>91</v>
      </c>
      <c r="S227" s="4">
        <v>18.045206960000002</v>
      </c>
      <c r="W227"/>
      <c r="X227">
        <v>0</v>
      </c>
      <c r="AC227" t="s">
        <v>84</v>
      </c>
      <c r="AD227" s="38">
        <v>43405</v>
      </c>
    </row>
    <row r="228" spans="1:30" x14ac:dyDescent="0.25">
      <c r="A228">
        <v>144880</v>
      </c>
      <c r="B228" t="s">
        <v>115</v>
      </c>
      <c r="C228">
        <v>2018</v>
      </c>
      <c r="D228">
        <v>11</v>
      </c>
      <c r="E228" t="s">
        <v>89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90</v>
      </c>
      <c r="L228" t="s">
        <v>103</v>
      </c>
      <c r="M228">
        <v>1036.3887642100001</v>
      </c>
      <c r="N228">
        <v>0</v>
      </c>
      <c r="O228" t="s">
        <v>80</v>
      </c>
      <c r="P228" s="38">
        <v>44269.854264965281</v>
      </c>
      <c r="Q228">
        <v>1337181</v>
      </c>
      <c r="R228" t="s">
        <v>91</v>
      </c>
      <c r="S228" s="4">
        <v>12.053695210000001</v>
      </c>
      <c r="W228"/>
      <c r="X228">
        <v>0</v>
      </c>
      <c r="AC228" t="s">
        <v>84</v>
      </c>
      <c r="AD228" s="38">
        <v>43405</v>
      </c>
    </row>
    <row r="229" spans="1:30" x14ac:dyDescent="0.25">
      <c r="A229">
        <v>144856</v>
      </c>
      <c r="B229" t="s">
        <v>115</v>
      </c>
      <c r="C229">
        <v>2018</v>
      </c>
      <c r="D229">
        <v>11</v>
      </c>
      <c r="E229" t="s">
        <v>87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88</v>
      </c>
      <c r="L229" t="s">
        <v>103</v>
      </c>
      <c r="M229">
        <v>527.43779992999998</v>
      </c>
      <c r="N229">
        <v>0</v>
      </c>
      <c r="O229" t="s">
        <v>80</v>
      </c>
      <c r="P229" s="38">
        <v>44269.854263738423</v>
      </c>
      <c r="Q229">
        <v>1337061</v>
      </c>
      <c r="R229" t="s">
        <v>91</v>
      </c>
      <c r="S229" s="4">
        <v>0</v>
      </c>
      <c r="W229"/>
      <c r="X229">
        <v>0</v>
      </c>
      <c r="AC229" t="s">
        <v>84</v>
      </c>
      <c r="AD229" s="38">
        <v>43405</v>
      </c>
    </row>
    <row r="230" spans="1:30" x14ac:dyDescent="0.25">
      <c r="A230">
        <v>144832</v>
      </c>
      <c r="B230" t="s">
        <v>115</v>
      </c>
      <c r="C230">
        <v>2018</v>
      </c>
      <c r="D230">
        <v>11</v>
      </c>
      <c r="E230" t="s">
        <v>85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1939.5207746900001</v>
      </c>
      <c r="N230">
        <v>0</v>
      </c>
      <c r="O230" t="s">
        <v>80</v>
      </c>
      <c r="P230" s="38">
        <v>44269.854262534733</v>
      </c>
      <c r="Q230">
        <v>1336943</v>
      </c>
      <c r="R230" t="s">
        <v>28</v>
      </c>
      <c r="S230" s="4">
        <v>13.36966587</v>
      </c>
      <c r="W230"/>
      <c r="X230">
        <v>0</v>
      </c>
      <c r="AC230" t="s">
        <v>84</v>
      </c>
      <c r="AD230" s="38">
        <v>43405</v>
      </c>
    </row>
    <row r="231" spans="1:30" x14ac:dyDescent="0.25">
      <c r="A231">
        <v>144880</v>
      </c>
      <c r="B231" t="s">
        <v>115</v>
      </c>
      <c r="C231">
        <v>2018</v>
      </c>
      <c r="D231">
        <v>11</v>
      </c>
      <c r="E231" t="s">
        <v>89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90</v>
      </c>
      <c r="L231" t="s">
        <v>103</v>
      </c>
      <c r="M231">
        <v>1036.3887642100001</v>
      </c>
      <c r="N231">
        <v>0</v>
      </c>
      <c r="O231" t="s">
        <v>80</v>
      </c>
      <c r="P231" s="38">
        <v>44269.854264965281</v>
      </c>
      <c r="Q231">
        <v>1337183</v>
      </c>
      <c r="R231" t="s">
        <v>28</v>
      </c>
      <c r="S231" s="4">
        <v>7.1895564199999997</v>
      </c>
      <c r="W231"/>
      <c r="X231">
        <v>0</v>
      </c>
      <c r="AC231" t="s">
        <v>84</v>
      </c>
      <c r="AD231" s="38">
        <v>43405</v>
      </c>
    </row>
    <row r="232" spans="1:30" x14ac:dyDescent="0.25">
      <c r="A232">
        <v>144856</v>
      </c>
      <c r="B232" t="s">
        <v>115</v>
      </c>
      <c r="C232">
        <v>2018</v>
      </c>
      <c r="D232">
        <v>11</v>
      </c>
      <c r="E232" t="s">
        <v>87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88</v>
      </c>
      <c r="L232" t="s">
        <v>103</v>
      </c>
      <c r="M232">
        <v>527.43779992999998</v>
      </c>
      <c r="N232">
        <v>0</v>
      </c>
      <c r="O232" t="s">
        <v>80</v>
      </c>
      <c r="P232" s="38">
        <v>44269.854263738423</v>
      </c>
      <c r="Q232">
        <v>1337063</v>
      </c>
      <c r="R232" t="s">
        <v>28</v>
      </c>
      <c r="S232" s="4">
        <v>3.5040536599999998</v>
      </c>
      <c r="W232"/>
      <c r="X232">
        <v>0</v>
      </c>
      <c r="AC232" t="s">
        <v>84</v>
      </c>
      <c r="AD232" s="38">
        <v>43405</v>
      </c>
    </row>
    <row r="233" spans="1:30" x14ac:dyDescent="0.25">
      <c r="A233">
        <v>443785</v>
      </c>
      <c r="B233" t="s">
        <v>116</v>
      </c>
      <c r="C233">
        <v>2018</v>
      </c>
      <c r="D233">
        <v>12</v>
      </c>
      <c r="E233" t="s">
        <v>85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86</v>
      </c>
      <c r="L233" t="s">
        <v>103</v>
      </c>
      <c r="M233">
        <v>3041.3129330199999</v>
      </c>
      <c r="N233">
        <v>0</v>
      </c>
      <c r="O233" t="s">
        <v>80</v>
      </c>
      <c r="P233" s="38">
        <v>44284.514579629627</v>
      </c>
      <c r="Q233">
        <v>4215241</v>
      </c>
      <c r="R233" t="s">
        <v>26</v>
      </c>
      <c r="S233" s="4">
        <v>1050.40477513</v>
      </c>
      <c r="W233"/>
      <c r="X233">
        <v>0</v>
      </c>
      <c r="AC233" t="s">
        <v>84</v>
      </c>
      <c r="AD233" s="38">
        <v>43435</v>
      </c>
    </row>
    <row r="234" spans="1:30" x14ac:dyDescent="0.25">
      <c r="A234">
        <v>443809</v>
      </c>
      <c r="B234" t="s">
        <v>116</v>
      </c>
      <c r="C234">
        <v>2018</v>
      </c>
      <c r="D234">
        <v>12</v>
      </c>
      <c r="E234" t="s">
        <v>87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88</v>
      </c>
      <c r="L234" t="s">
        <v>103</v>
      </c>
      <c r="M234">
        <v>824.95046656</v>
      </c>
      <c r="N234">
        <v>0</v>
      </c>
      <c r="O234" t="s">
        <v>80</v>
      </c>
      <c r="P234" s="38">
        <v>44284.514580937503</v>
      </c>
      <c r="Q234">
        <v>4215361</v>
      </c>
      <c r="R234" t="s">
        <v>26</v>
      </c>
      <c r="S234" s="4">
        <v>331.04249125000001</v>
      </c>
      <c r="W234"/>
      <c r="X234">
        <v>0</v>
      </c>
      <c r="AC234" t="s">
        <v>84</v>
      </c>
      <c r="AD234" s="38">
        <v>43435</v>
      </c>
    </row>
    <row r="235" spans="1:30" x14ac:dyDescent="0.25">
      <c r="A235">
        <v>443833</v>
      </c>
      <c r="B235" t="s">
        <v>116</v>
      </c>
      <c r="C235">
        <v>2018</v>
      </c>
      <c r="D235">
        <v>12</v>
      </c>
      <c r="E235" t="s">
        <v>89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90</v>
      </c>
      <c r="L235" t="s">
        <v>103</v>
      </c>
      <c r="M235">
        <v>1153.4816149200001</v>
      </c>
      <c r="N235">
        <v>0</v>
      </c>
      <c r="O235" t="s">
        <v>80</v>
      </c>
      <c r="P235" s="38">
        <v>44284.51458221065</v>
      </c>
      <c r="Q235">
        <v>4215481</v>
      </c>
      <c r="R235" t="s">
        <v>26</v>
      </c>
      <c r="S235" s="4">
        <v>421.08699379000001</v>
      </c>
      <c r="W235"/>
      <c r="X235">
        <v>0</v>
      </c>
      <c r="AC235" t="s">
        <v>84</v>
      </c>
      <c r="AD235" s="38">
        <v>43435</v>
      </c>
    </row>
    <row r="236" spans="1:30" x14ac:dyDescent="0.25">
      <c r="A236">
        <v>443785</v>
      </c>
      <c r="B236" t="s">
        <v>116</v>
      </c>
      <c r="C236">
        <v>2018</v>
      </c>
      <c r="D236">
        <v>12</v>
      </c>
      <c r="E236" t="s">
        <v>85</v>
      </c>
      <c r="F236" t="s">
        <v>84</v>
      </c>
      <c r="G236" t="s">
        <v>84</v>
      </c>
      <c r="H236" t="s">
        <v>25</v>
      </c>
      <c r="I236" t="s">
        <v>25</v>
      </c>
      <c r="J236" t="s">
        <v>101</v>
      </c>
      <c r="K236" t="s">
        <v>86</v>
      </c>
      <c r="L236" t="s">
        <v>103</v>
      </c>
      <c r="M236">
        <v>3041.3129330199999</v>
      </c>
      <c r="N236">
        <v>0</v>
      </c>
      <c r="O236" t="s">
        <v>80</v>
      </c>
      <c r="P236" s="38">
        <v>44284.514579629627</v>
      </c>
      <c r="Q236">
        <v>4215244</v>
      </c>
      <c r="R236" t="s">
        <v>81</v>
      </c>
      <c r="S236" s="4">
        <v>625.44386772999997</v>
      </c>
      <c r="W236"/>
      <c r="X236">
        <v>0</v>
      </c>
      <c r="AC236" t="s">
        <v>84</v>
      </c>
      <c r="AD236" s="38">
        <v>43435</v>
      </c>
    </row>
    <row r="237" spans="1:30" x14ac:dyDescent="0.25">
      <c r="A237">
        <v>443833</v>
      </c>
      <c r="B237" t="s">
        <v>116</v>
      </c>
      <c r="C237">
        <v>2018</v>
      </c>
      <c r="D237">
        <v>12</v>
      </c>
      <c r="E237" t="s">
        <v>89</v>
      </c>
      <c r="F237" t="s">
        <v>84</v>
      </c>
      <c r="G237" t="s">
        <v>84</v>
      </c>
      <c r="H237" t="s">
        <v>25</v>
      </c>
      <c r="I237" t="s">
        <v>25</v>
      </c>
      <c r="J237" t="s">
        <v>101</v>
      </c>
      <c r="K237" t="s">
        <v>90</v>
      </c>
      <c r="L237" t="s">
        <v>103</v>
      </c>
      <c r="M237">
        <v>1153.4816149200001</v>
      </c>
      <c r="N237">
        <v>0</v>
      </c>
      <c r="O237" t="s">
        <v>80</v>
      </c>
      <c r="P237" s="38">
        <v>44284.51458221065</v>
      </c>
      <c r="Q237">
        <v>4215484</v>
      </c>
      <c r="R237" t="s">
        <v>81</v>
      </c>
      <c r="S237" s="4">
        <v>228.66332979000001</v>
      </c>
      <c r="W237"/>
      <c r="X237">
        <v>0</v>
      </c>
      <c r="AC237" t="s">
        <v>84</v>
      </c>
      <c r="AD237" s="38">
        <v>43435</v>
      </c>
    </row>
    <row r="238" spans="1:30" x14ac:dyDescent="0.25">
      <c r="A238">
        <v>443809</v>
      </c>
      <c r="B238" t="s">
        <v>116</v>
      </c>
      <c r="C238">
        <v>2018</v>
      </c>
      <c r="D238">
        <v>12</v>
      </c>
      <c r="E238" t="s">
        <v>87</v>
      </c>
      <c r="F238" t="s">
        <v>84</v>
      </c>
      <c r="G238" t="s">
        <v>84</v>
      </c>
      <c r="H238" t="s">
        <v>25</v>
      </c>
      <c r="I238" t="s">
        <v>25</v>
      </c>
      <c r="J238" t="s">
        <v>101</v>
      </c>
      <c r="K238" t="s">
        <v>88</v>
      </c>
      <c r="L238" t="s">
        <v>103</v>
      </c>
      <c r="M238">
        <v>824.95046656</v>
      </c>
      <c r="N238">
        <v>0</v>
      </c>
      <c r="O238" t="s">
        <v>80</v>
      </c>
      <c r="P238" s="38">
        <v>44284.514580937503</v>
      </c>
      <c r="Q238">
        <v>4215364</v>
      </c>
      <c r="R238" t="s">
        <v>81</v>
      </c>
      <c r="S238" s="4">
        <v>171.10032004000001</v>
      </c>
      <c r="W238"/>
      <c r="X238">
        <v>0</v>
      </c>
      <c r="AC238" t="s">
        <v>84</v>
      </c>
      <c r="AD238" s="38">
        <v>43435</v>
      </c>
    </row>
    <row r="239" spans="1:30" x14ac:dyDescent="0.25">
      <c r="A239">
        <v>443785</v>
      </c>
      <c r="B239" t="s">
        <v>116</v>
      </c>
      <c r="C239">
        <v>2018</v>
      </c>
      <c r="D239">
        <v>12</v>
      </c>
      <c r="E239" t="s">
        <v>85</v>
      </c>
      <c r="F239" t="s">
        <v>84</v>
      </c>
      <c r="G239" t="s">
        <v>84</v>
      </c>
      <c r="H239" t="s">
        <v>25</v>
      </c>
      <c r="I239" t="s">
        <v>25</v>
      </c>
      <c r="J239" t="s">
        <v>101</v>
      </c>
      <c r="K239" t="s">
        <v>86</v>
      </c>
      <c r="L239" t="s">
        <v>103</v>
      </c>
      <c r="M239">
        <v>3041.3129330199999</v>
      </c>
      <c r="N239">
        <v>0</v>
      </c>
      <c r="O239" t="s">
        <v>80</v>
      </c>
      <c r="P239" s="38">
        <v>44284.514579629627</v>
      </c>
      <c r="Q239">
        <v>4215243</v>
      </c>
      <c r="R239" t="s">
        <v>27</v>
      </c>
      <c r="S239" s="4">
        <v>1407.2603405699999</v>
      </c>
      <c r="W239"/>
      <c r="X239">
        <v>0</v>
      </c>
      <c r="AC239" t="s">
        <v>84</v>
      </c>
      <c r="AD239" s="38">
        <v>43435</v>
      </c>
    </row>
    <row r="240" spans="1:30" x14ac:dyDescent="0.25">
      <c r="A240">
        <v>443809</v>
      </c>
      <c r="B240" t="s">
        <v>116</v>
      </c>
      <c r="C240">
        <v>2018</v>
      </c>
      <c r="D240">
        <v>12</v>
      </c>
      <c r="E240" t="s">
        <v>87</v>
      </c>
      <c r="F240" t="s">
        <v>84</v>
      </c>
      <c r="G240" t="s">
        <v>84</v>
      </c>
      <c r="H240" t="s">
        <v>25</v>
      </c>
      <c r="I240" t="s">
        <v>25</v>
      </c>
      <c r="J240" t="s">
        <v>101</v>
      </c>
      <c r="K240" t="s">
        <v>88</v>
      </c>
      <c r="L240" t="s">
        <v>103</v>
      </c>
      <c r="M240">
        <v>824.95046656</v>
      </c>
      <c r="N240">
        <v>0</v>
      </c>
      <c r="O240" t="s">
        <v>80</v>
      </c>
      <c r="P240" s="38">
        <v>44284.514580937503</v>
      </c>
      <c r="Q240">
        <v>4215363</v>
      </c>
      <c r="R240" t="s">
        <v>27</v>
      </c>
      <c r="S240" s="4">
        <v>342.02608154000001</v>
      </c>
      <c r="W240"/>
      <c r="X240">
        <v>0</v>
      </c>
      <c r="AC240" t="s">
        <v>84</v>
      </c>
      <c r="AD240" s="38">
        <v>43435</v>
      </c>
    </row>
    <row r="241" spans="1:30" x14ac:dyDescent="0.25">
      <c r="A241">
        <v>443833</v>
      </c>
      <c r="B241" t="s">
        <v>116</v>
      </c>
      <c r="C241">
        <v>2018</v>
      </c>
      <c r="D241">
        <v>12</v>
      </c>
      <c r="E241" t="s">
        <v>89</v>
      </c>
      <c r="F241" t="s">
        <v>84</v>
      </c>
      <c r="G241" t="s">
        <v>84</v>
      </c>
      <c r="H241" t="s">
        <v>25</v>
      </c>
      <c r="I241" t="s">
        <v>25</v>
      </c>
      <c r="J241" t="s">
        <v>101</v>
      </c>
      <c r="K241" t="s">
        <v>90</v>
      </c>
      <c r="L241" t="s">
        <v>103</v>
      </c>
      <c r="M241">
        <v>1153.4816149200001</v>
      </c>
      <c r="N241">
        <v>0</v>
      </c>
      <c r="O241" t="s">
        <v>80</v>
      </c>
      <c r="P241" s="38">
        <v>44284.51458221065</v>
      </c>
      <c r="Q241">
        <v>4215483</v>
      </c>
      <c r="R241" t="s">
        <v>27</v>
      </c>
      <c r="S241" s="4">
        <v>516.84914608999998</v>
      </c>
      <c r="W241"/>
      <c r="X241">
        <v>0</v>
      </c>
      <c r="AC241" t="s">
        <v>84</v>
      </c>
      <c r="AD241" s="38">
        <v>43435</v>
      </c>
    </row>
    <row r="242" spans="1:30" x14ac:dyDescent="0.25">
      <c r="A242">
        <v>443833</v>
      </c>
      <c r="B242" t="s">
        <v>116</v>
      </c>
      <c r="C242">
        <v>2018</v>
      </c>
      <c r="D242">
        <v>12</v>
      </c>
      <c r="E242" t="s">
        <v>89</v>
      </c>
      <c r="F242" t="s">
        <v>84</v>
      </c>
      <c r="G242" t="s">
        <v>84</v>
      </c>
      <c r="H242" t="s">
        <v>25</v>
      </c>
      <c r="I242" t="s">
        <v>25</v>
      </c>
      <c r="J242" t="s">
        <v>101</v>
      </c>
      <c r="K242" t="s">
        <v>90</v>
      </c>
      <c r="L242" t="s">
        <v>103</v>
      </c>
      <c r="M242">
        <v>1153.4816149200001</v>
      </c>
      <c r="N242">
        <v>0</v>
      </c>
      <c r="O242" t="s">
        <v>80</v>
      </c>
      <c r="P242" s="38">
        <v>44284.51458221065</v>
      </c>
      <c r="Q242">
        <v>4215480</v>
      </c>
      <c r="R242" t="s">
        <v>91</v>
      </c>
      <c r="S242" s="4">
        <v>13.415540869999999</v>
      </c>
      <c r="W242"/>
      <c r="X242">
        <v>0</v>
      </c>
      <c r="AC242" t="s">
        <v>84</v>
      </c>
      <c r="AD242" s="38">
        <v>43435</v>
      </c>
    </row>
    <row r="243" spans="1:30" x14ac:dyDescent="0.25">
      <c r="A243">
        <v>443809</v>
      </c>
      <c r="B243" t="s">
        <v>116</v>
      </c>
      <c r="C243">
        <v>2018</v>
      </c>
      <c r="D243">
        <v>12</v>
      </c>
      <c r="E243" t="s">
        <v>87</v>
      </c>
      <c r="F243" t="s">
        <v>84</v>
      </c>
      <c r="G243" t="s">
        <v>84</v>
      </c>
      <c r="H243" t="s">
        <v>25</v>
      </c>
      <c r="I243" t="s">
        <v>25</v>
      </c>
      <c r="J243" t="s">
        <v>101</v>
      </c>
      <c r="K243" t="s">
        <v>88</v>
      </c>
      <c r="L243" t="s">
        <v>103</v>
      </c>
      <c r="M243">
        <v>824.95046656</v>
      </c>
      <c r="N243">
        <v>0</v>
      </c>
      <c r="O243" t="s">
        <v>80</v>
      </c>
      <c r="P243" s="38">
        <v>44284.514580937503</v>
      </c>
      <c r="Q243">
        <v>4215360</v>
      </c>
      <c r="R243" t="s">
        <v>91</v>
      </c>
      <c r="S243" s="4">
        <v>0</v>
      </c>
      <c r="W243"/>
      <c r="X243">
        <v>0</v>
      </c>
      <c r="AC243" t="s">
        <v>84</v>
      </c>
      <c r="AD243" s="38">
        <v>43435</v>
      </c>
    </row>
    <row r="244" spans="1:30" x14ac:dyDescent="0.25">
      <c r="A244">
        <v>443785</v>
      </c>
      <c r="B244" t="s">
        <v>116</v>
      </c>
      <c r="C244">
        <v>2018</v>
      </c>
      <c r="D244">
        <v>12</v>
      </c>
      <c r="E244" t="s">
        <v>85</v>
      </c>
      <c r="F244" t="s">
        <v>84</v>
      </c>
      <c r="G244" t="s">
        <v>84</v>
      </c>
      <c r="H244" t="s">
        <v>25</v>
      </c>
      <c r="I244" t="s">
        <v>25</v>
      </c>
      <c r="J244" t="s">
        <v>101</v>
      </c>
      <c r="K244" t="s">
        <v>86</v>
      </c>
      <c r="L244" t="s">
        <v>103</v>
      </c>
      <c r="M244">
        <v>3041.3129330199999</v>
      </c>
      <c r="N244">
        <v>0</v>
      </c>
      <c r="O244" t="s">
        <v>80</v>
      </c>
      <c r="P244" s="38">
        <v>44284.514579629627</v>
      </c>
      <c r="Q244">
        <v>4215240</v>
      </c>
      <c r="R244" t="s">
        <v>91</v>
      </c>
      <c r="S244" s="4">
        <v>28.29622762</v>
      </c>
      <c r="W244"/>
      <c r="X244">
        <v>0</v>
      </c>
      <c r="AC244" t="s">
        <v>84</v>
      </c>
      <c r="AD244" s="38">
        <v>43435</v>
      </c>
    </row>
    <row r="245" spans="1:30" x14ac:dyDescent="0.25">
      <c r="A245">
        <v>443833</v>
      </c>
      <c r="B245" t="s">
        <v>116</v>
      </c>
      <c r="C245">
        <v>2018</v>
      </c>
      <c r="D245">
        <v>12</v>
      </c>
      <c r="E245" t="s">
        <v>89</v>
      </c>
      <c r="F245" t="s">
        <v>84</v>
      </c>
      <c r="G245" t="s">
        <v>84</v>
      </c>
      <c r="H245" t="s">
        <v>25</v>
      </c>
      <c r="I245" t="s">
        <v>25</v>
      </c>
      <c r="J245" t="s">
        <v>101</v>
      </c>
      <c r="K245" t="s">
        <v>90</v>
      </c>
      <c r="L245" t="s">
        <v>103</v>
      </c>
      <c r="M245">
        <v>1153.4816149200001</v>
      </c>
      <c r="N245">
        <v>0</v>
      </c>
      <c r="O245" t="s">
        <v>80</v>
      </c>
      <c r="P245" s="38">
        <v>44284.51458221065</v>
      </c>
      <c r="Q245">
        <v>4215482</v>
      </c>
      <c r="R245" t="s">
        <v>28</v>
      </c>
      <c r="S245" s="4">
        <v>8.0018439400000005</v>
      </c>
      <c r="W245"/>
      <c r="X245">
        <v>0</v>
      </c>
      <c r="AC245" t="s">
        <v>84</v>
      </c>
      <c r="AD245" s="38">
        <v>43435</v>
      </c>
    </row>
    <row r="246" spans="1:30" x14ac:dyDescent="0.25">
      <c r="A246">
        <v>443785</v>
      </c>
      <c r="B246" t="s">
        <v>116</v>
      </c>
      <c r="C246">
        <v>2018</v>
      </c>
      <c r="D246">
        <v>12</v>
      </c>
      <c r="E246" t="s">
        <v>85</v>
      </c>
      <c r="F246" t="s">
        <v>84</v>
      </c>
      <c r="G246" t="s">
        <v>84</v>
      </c>
      <c r="H246" t="s">
        <v>25</v>
      </c>
      <c r="I246" t="s">
        <v>25</v>
      </c>
      <c r="J246" t="s">
        <v>101</v>
      </c>
      <c r="K246" t="s">
        <v>86</v>
      </c>
      <c r="L246" t="s">
        <v>103</v>
      </c>
      <c r="M246">
        <v>3041.3129330199999</v>
      </c>
      <c r="N246">
        <v>0</v>
      </c>
      <c r="O246" t="s">
        <v>80</v>
      </c>
      <c r="P246" s="38">
        <v>44284.514579629627</v>
      </c>
      <c r="Q246">
        <v>4215242</v>
      </c>
      <c r="R246" t="s">
        <v>28</v>
      </c>
      <c r="S246" s="4">
        <v>20.964631180000001</v>
      </c>
      <c r="W246"/>
      <c r="X246">
        <v>0</v>
      </c>
      <c r="AC246" t="s">
        <v>84</v>
      </c>
      <c r="AD246" s="38">
        <v>43435</v>
      </c>
    </row>
    <row r="247" spans="1:30" x14ac:dyDescent="0.25">
      <c r="A247">
        <v>443809</v>
      </c>
      <c r="B247" t="s">
        <v>116</v>
      </c>
      <c r="C247">
        <v>2018</v>
      </c>
      <c r="D247">
        <v>12</v>
      </c>
      <c r="E247" t="s">
        <v>87</v>
      </c>
      <c r="F247" t="s">
        <v>84</v>
      </c>
      <c r="G247" t="s">
        <v>84</v>
      </c>
      <c r="H247" t="s">
        <v>25</v>
      </c>
      <c r="I247" t="s">
        <v>25</v>
      </c>
      <c r="J247" t="s">
        <v>101</v>
      </c>
      <c r="K247" t="s">
        <v>88</v>
      </c>
      <c r="L247" t="s">
        <v>103</v>
      </c>
      <c r="M247">
        <v>824.95046656</v>
      </c>
      <c r="N247">
        <v>0</v>
      </c>
      <c r="O247" t="s">
        <v>80</v>
      </c>
      <c r="P247" s="38">
        <v>44284.514580937503</v>
      </c>
      <c r="Q247">
        <v>4215362</v>
      </c>
      <c r="R247" t="s">
        <v>28</v>
      </c>
      <c r="S247" s="4">
        <v>5.4805906999999996</v>
      </c>
      <c r="W247"/>
      <c r="X247">
        <v>0</v>
      </c>
      <c r="AC247" t="s">
        <v>84</v>
      </c>
      <c r="AD247" s="38">
        <v>43435</v>
      </c>
    </row>
    <row r="248" spans="1:30" x14ac:dyDescent="0.25">
      <c r="A248">
        <v>174638</v>
      </c>
      <c r="B248" t="s">
        <v>145</v>
      </c>
      <c r="C248">
        <v>2019</v>
      </c>
      <c r="D248">
        <v>1</v>
      </c>
      <c r="E248" t="s">
        <v>86</v>
      </c>
      <c r="F248" t="s">
        <v>84</v>
      </c>
      <c r="G248" t="s">
        <v>84</v>
      </c>
      <c r="H248" t="s">
        <v>25</v>
      </c>
      <c r="I248" t="s">
        <v>25</v>
      </c>
      <c r="J248" t="s">
        <v>101</v>
      </c>
      <c r="K248" t="s">
        <v>86</v>
      </c>
      <c r="L248" t="s">
        <v>103</v>
      </c>
      <c r="M248">
        <v>2213.9654676300001</v>
      </c>
      <c r="N248">
        <v>0</v>
      </c>
      <c r="O248" t="s">
        <v>80</v>
      </c>
      <c r="P248" s="38">
        <v>44269.857910185186</v>
      </c>
      <c r="Q248">
        <v>1659463</v>
      </c>
      <c r="R248" t="s">
        <v>26</v>
      </c>
      <c r="S248" s="4">
        <v>756.75261966999994</v>
      </c>
      <c r="W248"/>
      <c r="X248">
        <v>0</v>
      </c>
      <c r="AC248" t="s">
        <v>84</v>
      </c>
      <c r="AD248" s="38">
        <v>43466</v>
      </c>
    </row>
    <row r="249" spans="1:30" x14ac:dyDescent="0.25">
      <c r="A249">
        <v>174692</v>
      </c>
      <c r="B249" t="s">
        <v>145</v>
      </c>
      <c r="C249">
        <v>2019</v>
      </c>
      <c r="D249">
        <v>1</v>
      </c>
      <c r="E249" t="s">
        <v>90</v>
      </c>
      <c r="F249" t="s">
        <v>84</v>
      </c>
      <c r="G249" t="s">
        <v>84</v>
      </c>
      <c r="H249" t="s">
        <v>25</v>
      </c>
      <c r="I249" t="s">
        <v>25</v>
      </c>
      <c r="J249" t="s">
        <v>101</v>
      </c>
      <c r="K249" t="s">
        <v>90</v>
      </c>
      <c r="L249" t="s">
        <v>103</v>
      </c>
      <c r="M249">
        <v>1057.08780013</v>
      </c>
      <c r="N249">
        <v>0</v>
      </c>
      <c r="O249" t="s">
        <v>80</v>
      </c>
      <c r="P249" s="38">
        <v>44269.857912731481</v>
      </c>
      <c r="Q249">
        <v>1659733</v>
      </c>
      <c r="R249" t="s">
        <v>26</v>
      </c>
      <c r="S249" s="4">
        <v>382.89238433000003</v>
      </c>
      <c r="W249"/>
      <c r="X249">
        <v>0</v>
      </c>
      <c r="AC249" t="s">
        <v>84</v>
      </c>
      <c r="AD249" s="38">
        <v>43466</v>
      </c>
    </row>
    <row r="250" spans="1:30" x14ac:dyDescent="0.25">
      <c r="A250">
        <v>174665</v>
      </c>
      <c r="B250" t="s">
        <v>145</v>
      </c>
      <c r="C250">
        <v>2019</v>
      </c>
      <c r="D250">
        <v>1</v>
      </c>
      <c r="E250" t="s">
        <v>88</v>
      </c>
      <c r="F250" t="s">
        <v>84</v>
      </c>
      <c r="G250" t="s">
        <v>84</v>
      </c>
      <c r="H250" t="s">
        <v>25</v>
      </c>
      <c r="I250" t="s">
        <v>25</v>
      </c>
      <c r="J250" t="s">
        <v>101</v>
      </c>
      <c r="K250" t="s">
        <v>88</v>
      </c>
      <c r="L250" t="s">
        <v>103</v>
      </c>
      <c r="M250">
        <v>502.14165592000001</v>
      </c>
      <c r="N250">
        <v>0</v>
      </c>
      <c r="O250" t="s">
        <v>80</v>
      </c>
      <c r="P250" s="38">
        <v>44269.857911458334</v>
      </c>
      <c r="Q250">
        <v>1659598</v>
      </c>
      <c r="R250" t="s">
        <v>26</v>
      </c>
      <c r="S250" s="4">
        <v>219.12125985</v>
      </c>
      <c r="W250"/>
      <c r="X250">
        <v>0</v>
      </c>
      <c r="AC250" t="s">
        <v>84</v>
      </c>
      <c r="AD250" s="38">
        <v>43466</v>
      </c>
    </row>
    <row r="251" spans="1:30" x14ac:dyDescent="0.25">
      <c r="A251">
        <v>174638</v>
      </c>
      <c r="B251" t="s">
        <v>145</v>
      </c>
      <c r="C251">
        <v>2019</v>
      </c>
      <c r="D251">
        <v>1</v>
      </c>
      <c r="E251" t="s">
        <v>86</v>
      </c>
      <c r="F251" t="s">
        <v>84</v>
      </c>
      <c r="G251" t="s">
        <v>84</v>
      </c>
      <c r="H251" t="s">
        <v>25</v>
      </c>
      <c r="I251" t="s">
        <v>25</v>
      </c>
      <c r="J251" t="s">
        <v>101</v>
      </c>
      <c r="K251" t="s">
        <v>86</v>
      </c>
      <c r="L251" t="s">
        <v>103</v>
      </c>
      <c r="M251">
        <v>2213.9654676300001</v>
      </c>
      <c r="N251">
        <v>0</v>
      </c>
      <c r="O251" t="s">
        <v>80</v>
      </c>
      <c r="P251" s="38">
        <v>44269.857910185186</v>
      </c>
      <c r="Q251">
        <v>1659466</v>
      </c>
      <c r="R251" t="s">
        <v>81</v>
      </c>
      <c r="S251" s="4">
        <v>263.60226884000002</v>
      </c>
      <c r="W251"/>
      <c r="X251">
        <v>0</v>
      </c>
      <c r="AC251" t="s">
        <v>84</v>
      </c>
      <c r="AD251" s="38">
        <v>43466</v>
      </c>
    </row>
    <row r="252" spans="1:30" x14ac:dyDescent="0.25">
      <c r="A252">
        <v>174665</v>
      </c>
      <c r="B252" t="s">
        <v>145</v>
      </c>
      <c r="C252">
        <v>2019</v>
      </c>
      <c r="D252">
        <v>1</v>
      </c>
      <c r="E252" t="s">
        <v>88</v>
      </c>
      <c r="F252" t="s">
        <v>84</v>
      </c>
      <c r="G252" t="s">
        <v>84</v>
      </c>
      <c r="H252" t="s">
        <v>25</v>
      </c>
      <c r="I252" t="s">
        <v>25</v>
      </c>
      <c r="J252" t="s">
        <v>101</v>
      </c>
      <c r="K252" t="s">
        <v>88</v>
      </c>
      <c r="L252" t="s">
        <v>103</v>
      </c>
      <c r="M252">
        <v>502.14165592000001</v>
      </c>
      <c r="N252">
        <v>0</v>
      </c>
      <c r="O252" t="s">
        <v>80</v>
      </c>
      <c r="P252" s="38">
        <v>44269.857911458334</v>
      </c>
      <c r="Q252">
        <v>1659601</v>
      </c>
      <c r="R252" t="s">
        <v>81</v>
      </c>
      <c r="S252" s="4">
        <v>50.84942375</v>
      </c>
      <c r="W252"/>
      <c r="X252">
        <v>0</v>
      </c>
      <c r="AC252" t="s">
        <v>84</v>
      </c>
      <c r="AD252" s="38">
        <v>43466</v>
      </c>
    </row>
    <row r="253" spans="1:30" x14ac:dyDescent="0.25">
      <c r="A253">
        <v>174692</v>
      </c>
      <c r="B253" t="s">
        <v>145</v>
      </c>
      <c r="C253">
        <v>2019</v>
      </c>
      <c r="D253">
        <v>1</v>
      </c>
      <c r="E253" t="s">
        <v>90</v>
      </c>
      <c r="F253" t="s">
        <v>84</v>
      </c>
      <c r="G253" t="s">
        <v>84</v>
      </c>
      <c r="H253" t="s">
        <v>25</v>
      </c>
      <c r="I253" t="s">
        <v>25</v>
      </c>
      <c r="J253" t="s">
        <v>101</v>
      </c>
      <c r="K253" t="s">
        <v>90</v>
      </c>
      <c r="L253" t="s">
        <v>103</v>
      </c>
      <c r="M253">
        <v>1057.08780013</v>
      </c>
      <c r="N253">
        <v>0</v>
      </c>
      <c r="O253" t="s">
        <v>80</v>
      </c>
      <c r="P253" s="38">
        <v>44269.857912731481</v>
      </c>
      <c r="Q253">
        <v>1659736</v>
      </c>
      <c r="R253" t="s">
        <v>81</v>
      </c>
      <c r="S253" s="4">
        <v>107.26597246999999</v>
      </c>
      <c r="W253"/>
      <c r="X253">
        <v>0</v>
      </c>
      <c r="AC253" t="s">
        <v>84</v>
      </c>
      <c r="AD253" s="38">
        <v>43466</v>
      </c>
    </row>
    <row r="254" spans="1:30" x14ac:dyDescent="0.25">
      <c r="A254">
        <v>174638</v>
      </c>
      <c r="B254" t="s">
        <v>145</v>
      </c>
      <c r="C254">
        <v>2019</v>
      </c>
      <c r="D254">
        <v>1</v>
      </c>
      <c r="E254" t="s">
        <v>86</v>
      </c>
      <c r="F254" t="s">
        <v>84</v>
      </c>
      <c r="G254" t="s">
        <v>84</v>
      </c>
      <c r="H254" t="s">
        <v>25</v>
      </c>
      <c r="I254" t="s">
        <v>25</v>
      </c>
      <c r="J254" t="s">
        <v>101</v>
      </c>
      <c r="K254" t="s">
        <v>86</v>
      </c>
      <c r="L254" t="s">
        <v>103</v>
      </c>
      <c r="M254">
        <v>2213.9654676300001</v>
      </c>
      <c r="N254">
        <v>0</v>
      </c>
      <c r="O254" t="s">
        <v>80</v>
      </c>
      <c r="P254" s="38">
        <v>44269.857910185186</v>
      </c>
      <c r="Q254">
        <v>1659465</v>
      </c>
      <c r="R254" t="s">
        <v>27</v>
      </c>
      <c r="S254" s="4">
        <v>1229.2942782299999</v>
      </c>
      <c r="W254"/>
      <c r="X254">
        <v>0</v>
      </c>
      <c r="AC254" t="s">
        <v>84</v>
      </c>
      <c r="AD254" s="38">
        <v>43466</v>
      </c>
    </row>
    <row r="255" spans="1:30" x14ac:dyDescent="0.25">
      <c r="A255">
        <v>174692</v>
      </c>
      <c r="B255" t="s">
        <v>145</v>
      </c>
      <c r="C255">
        <v>2019</v>
      </c>
      <c r="D255">
        <v>1</v>
      </c>
      <c r="E255" t="s">
        <v>90</v>
      </c>
      <c r="F255" t="s">
        <v>84</v>
      </c>
      <c r="G255" t="s">
        <v>84</v>
      </c>
      <c r="H255" t="s">
        <v>25</v>
      </c>
      <c r="I255" t="s">
        <v>25</v>
      </c>
      <c r="J255" t="s">
        <v>101</v>
      </c>
      <c r="K255" t="s">
        <v>90</v>
      </c>
      <c r="L255" t="s">
        <v>103</v>
      </c>
      <c r="M255">
        <v>1057.08780013</v>
      </c>
      <c r="N255">
        <v>0</v>
      </c>
      <c r="O255" t="s">
        <v>80</v>
      </c>
      <c r="P255" s="38">
        <v>44269.857912731481</v>
      </c>
      <c r="Q255">
        <v>1659735</v>
      </c>
      <c r="R255" t="s">
        <v>27</v>
      </c>
      <c r="S255" s="4">
        <v>584.22585115000004</v>
      </c>
      <c r="W255"/>
      <c r="X255">
        <v>0</v>
      </c>
      <c r="AC255" t="s">
        <v>84</v>
      </c>
      <c r="AD255" s="38">
        <v>43466</v>
      </c>
    </row>
    <row r="256" spans="1:30" x14ac:dyDescent="0.25">
      <c r="A256">
        <v>174665</v>
      </c>
      <c r="B256" t="s">
        <v>145</v>
      </c>
      <c r="C256">
        <v>2019</v>
      </c>
      <c r="D256">
        <v>1</v>
      </c>
      <c r="E256" t="s">
        <v>88</v>
      </c>
      <c r="F256" t="s">
        <v>84</v>
      </c>
      <c r="G256" t="s">
        <v>84</v>
      </c>
      <c r="H256" t="s">
        <v>25</v>
      </c>
      <c r="I256" t="s">
        <v>25</v>
      </c>
      <c r="J256" t="s">
        <v>101</v>
      </c>
      <c r="K256" t="s">
        <v>88</v>
      </c>
      <c r="L256" t="s">
        <v>103</v>
      </c>
      <c r="M256">
        <v>502.14165592000001</v>
      </c>
      <c r="N256">
        <v>0</v>
      </c>
      <c r="O256" t="s">
        <v>80</v>
      </c>
      <c r="P256" s="38">
        <v>44269.857911458334</v>
      </c>
      <c r="Q256">
        <v>1659600</v>
      </c>
      <c r="R256" t="s">
        <v>27</v>
      </c>
      <c r="S256" s="4">
        <v>242.87584304000001</v>
      </c>
      <c r="W256"/>
      <c r="X256">
        <v>0</v>
      </c>
      <c r="AC256" t="s">
        <v>84</v>
      </c>
      <c r="AD256" s="38">
        <v>43466</v>
      </c>
    </row>
    <row r="257" spans="1:30" x14ac:dyDescent="0.25">
      <c r="A257">
        <v>174638</v>
      </c>
      <c r="B257" t="s">
        <v>145</v>
      </c>
      <c r="C257">
        <v>2019</v>
      </c>
      <c r="D257">
        <v>1</v>
      </c>
      <c r="E257" t="s">
        <v>86</v>
      </c>
      <c r="F257" t="s">
        <v>84</v>
      </c>
      <c r="G257" t="s">
        <v>84</v>
      </c>
      <c r="H257" t="s">
        <v>25</v>
      </c>
      <c r="I257" t="s">
        <v>25</v>
      </c>
      <c r="J257" t="s">
        <v>101</v>
      </c>
      <c r="K257" t="s">
        <v>86</v>
      </c>
      <c r="L257" t="s">
        <v>103</v>
      </c>
      <c r="M257">
        <v>2213.9654676300001</v>
      </c>
      <c r="N257">
        <v>0</v>
      </c>
      <c r="O257" t="s">
        <v>80</v>
      </c>
      <c r="P257" s="38">
        <v>44269.857910185186</v>
      </c>
      <c r="Q257">
        <v>1659462</v>
      </c>
      <c r="R257" t="s">
        <v>91</v>
      </c>
      <c r="S257" s="4">
        <v>5.9681388899999996</v>
      </c>
      <c r="W257"/>
      <c r="X257">
        <v>0</v>
      </c>
      <c r="AC257" t="s">
        <v>84</v>
      </c>
      <c r="AD257" s="38">
        <v>43466</v>
      </c>
    </row>
    <row r="258" spans="1:30" x14ac:dyDescent="0.25">
      <c r="A258">
        <v>174692</v>
      </c>
      <c r="B258" t="s">
        <v>145</v>
      </c>
      <c r="C258">
        <v>2019</v>
      </c>
      <c r="D258">
        <v>1</v>
      </c>
      <c r="E258" t="s">
        <v>90</v>
      </c>
      <c r="F258" t="s">
        <v>84</v>
      </c>
      <c r="G258" t="s">
        <v>84</v>
      </c>
      <c r="H258" t="s">
        <v>25</v>
      </c>
      <c r="I258" t="s">
        <v>25</v>
      </c>
      <c r="J258" t="s">
        <v>101</v>
      </c>
      <c r="K258" t="s">
        <v>90</v>
      </c>
      <c r="L258" t="s">
        <v>103</v>
      </c>
      <c r="M258">
        <v>1057.08780013</v>
      </c>
      <c r="N258">
        <v>0</v>
      </c>
      <c r="O258" t="s">
        <v>80</v>
      </c>
      <c r="P258" s="38">
        <v>44269.857912731481</v>
      </c>
      <c r="Q258">
        <v>1659732</v>
      </c>
      <c r="R258" t="s">
        <v>91</v>
      </c>
      <c r="S258" s="4">
        <v>2.7574996000000001</v>
      </c>
      <c r="W258"/>
      <c r="X258">
        <v>0</v>
      </c>
      <c r="AC258" t="s">
        <v>84</v>
      </c>
      <c r="AD258" s="38">
        <v>43466</v>
      </c>
    </row>
    <row r="259" spans="1:30" x14ac:dyDescent="0.25">
      <c r="A259">
        <v>174665</v>
      </c>
      <c r="B259" t="s">
        <v>145</v>
      </c>
      <c r="C259">
        <v>2019</v>
      </c>
      <c r="D259">
        <v>1</v>
      </c>
      <c r="E259" t="s">
        <v>88</v>
      </c>
      <c r="F259" t="s">
        <v>84</v>
      </c>
      <c r="G259" t="s">
        <v>84</v>
      </c>
      <c r="H259" t="s">
        <v>25</v>
      </c>
      <c r="I259" t="s">
        <v>25</v>
      </c>
      <c r="J259" t="s">
        <v>101</v>
      </c>
      <c r="K259" t="s">
        <v>88</v>
      </c>
      <c r="L259" t="s">
        <v>103</v>
      </c>
      <c r="M259">
        <v>502.14165592000001</v>
      </c>
      <c r="N259">
        <v>0</v>
      </c>
      <c r="O259" t="s">
        <v>80</v>
      </c>
      <c r="P259" s="38">
        <v>44269.857911458334</v>
      </c>
      <c r="Q259">
        <v>1659597</v>
      </c>
      <c r="R259" t="s">
        <v>91</v>
      </c>
      <c r="S259" s="4">
        <v>0</v>
      </c>
      <c r="W259"/>
      <c r="X259">
        <v>0</v>
      </c>
      <c r="AC259" t="s">
        <v>84</v>
      </c>
      <c r="AD259" s="38">
        <v>43466</v>
      </c>
    </row>
    <row r="260" spans="1:30" x14ac:dyDescent="0.25">
      <c r="A260">
        <v>174665</v>
      </c>
      <c r="B260" t="s">
        <v>145</v>
      </c>
      <c r="C260">
        <v>2019</v>
      </c>
      <c r="D260">
        <v>1</v>
      </c>
      <c r="E260" t="s">
        <v>88</v>
      </c>
      <c r="F260" t="s">
        <v>84</v>
      </c>
      <c r="G260" t="s">
        <v>84</v>
      </c>
      <c r="H260" t="s">
        <v>25</v>
      </c>
      <c r="I260" t="s">
        <v>25</v>
      </c>
      <c r="J260" t="s">
        <v>101</v>
      </c>
      <c r="K260" t="s">
        <v>88</v>
      </c>
      <c r="L260" t="s">
        <v>103</v>
      </c>
      <c r="M260">
        <v>502.14165592000001</v>
      </c>
      <c r="N260">
        <v>0</v>
      </c>
      <c r="O260" t="s">
        <v>80</v>
      </c>
      <c r="P260" s="38">
        <v>44269.857911458334</v>
      </c>
      <c r="Q260">
        <v>1659599</v>
      </c>
      <c r="R260" t="s">
        <v>28</v>
      </c>
      <c r="S260" s="4">
        <v>0</v>
      </c>
      <c r="W260"/>
      <c r="X260">
        <v>0</v>
      </c>
      <c r="AC260" t="s">
        <v>84</v>
      </c>
      <c r="AD260" s="38">
        <v>43466</v>
      </c>
    </row>
    <row r="261" spans="1:30" x14ac:dyDescent="0.25">
      <c r="A261">
        <v>174638</v>
      </c>
      <c r="B261" t="s">
        <v>145</v>
      </c>
      <c r="C261">
        <v>2019</v>
      </c>
      <c r="D261">
        <v>1</v>
      </c>
      <c r="E261" t="s">
        <v>86</v>
      </c>
      <c r="F261" t="s">
        <v>84</v>
      </c>
      <c r="G261" t="s">
        <v>84</v>
      </c>
      <c r="H261" t="s">
        <v>25</v>
      </c>
      <c r="I261" t="s">
        <v>25</v>
      </c>
      <c r="J261" t="s">
        <v>101</v>
      </c>
      <c r="K261" t="s">
        <v>86</v>
      </c>
      <c r="L261" t="s">
        <v>103</v>
      </c>
      <c r="M261">
        <v>2213.9654676300001</v>
      </c>
      <c r="N261">
        <v>0</v>
      </c>
      <c r="O261" t="s">
        <v>80</v>
      </c>
      <c r="P261" s="38">
        <v>44269.857910185186</v>
      </c>
      <c r="Q261">
        <v>1659464</v>
      </c>
      <c r="R261" t="s">
        <v>28</v>
      </c>
      <c r="S261" s="4">
        <v>5.5464253499999998</v>
      </c>
      <c r="W261"/>
      <c r="X261">
        <v>0</v>
      </c>
      <c r="AC261" t="s">
        <v>84</v>
      </c>
      <c r="AD261" s="38">
        <v>43466</v>
      </c>
    </row>
    <row r="262" spans="1:30" x14ac:dyDescent="0.25">
      <c r="A262">
        <v>174692</v>
      </c>
      <c r="B262" t="s">
        <v>145</v>
      </c>
      <c r="C262">
        <v>2019</v>
      </c>
      <c r="D262">
        <v>1</v>
      </c>
      <c r="E262" t="s">
        <v>90</v>
      </c>
      <c r="F262" t="s">
        <v>84</v>
      </c>
      <c r="G262" t="s">
        <v>84</v>
      </c>
      <c r="H262" t="s">
        <v>25</v>
      </c>
      <c r="I262" t="s">
        <v>25</v>
      </c>
      <c r="J262" t="s">
        <v>101</v>
      </c>
      <c r="K262" t="s">
        <v>90</v>
      </c>
      <c r="L262" t="s">
        <v>103</v>
      </c>
      <c r="M262">
        <v>1057.08780013</v>
      </c>
      <c r="N262">
        <v>0</v>
      </c>
      <c r="O262" t="s">
        <v>80</v>
      </c>
      <c r="P262" s="38">
        <v>44269.857912731481</v>
      </c>
      <c r="Q262">
        <v>1659734</v>
      </c>
      <c r="R262" t="s">
        <v>28</v>
      </c>
      <c r="S262" s="4">
        <v>2.4815427099999998</v>
      </c>
      <c r="W262"/>
      <c r="X262">
        <v>0</v>
      </c>
      <c r="AC262" t="s">
        <v>84</v>
      </c>
      <c r="AD262" s="38">
        <v>43466</v>
      </c>
    </row>
    <row r="263" spans="1:30" x14ac:dyDescent="0.25">
      <c r="A263">
        <v>187229</v>
      </c>
      <c r="B263" t="s">
        <v>147</v>
      </c>
      <c r="C263">
        <v>2019</v>
      </c>
      <c r="D263">
        <v>2</v>
      </c>
      <c r="E263" t="s">
        <v>86</v>
      </c>
      <c r="F263" t="s">
        <v>84</v>
      </c>
      <c r="G263" t="s">
        <v>84</v>
      </c>
      <c r="H263" t="s">
        <v>25</v>
      </c>
      <c r="I263" t="s">
        <v>25</v>
      </c>
      <c r="J263" t="s">
        <v>101</v>
      </c>
      <c r="K263" t="s">
        <v>86</v>
      </c>
      <c r="L263" t="s">
        <v>103</v>
      </c>
      <c r="M263">
        <v>2097.42093987</v>
      </c>
      <c r="N263">
        <v>0</v>
      </c>
      <c r="O263" t="s">
        <v>80</v>
      </c>
      <c r="P263" s="38">
        <v>44269.859435266189</v>
      </c>
      <c r="Q263">
        <v>1778877</v>
      </c>
      <c r="R263" t="s">
        <v>26</v>
      </c>
      <c r="S263" s="4">
        <v>716.91668818000005</v>
      </c>
      <c r="W263"/>
      <c r="X263">
        <v>0</v>
      </c>
      <c r="AC263" t="s">
        <v>84</v>
      </c>
      <c r="AD263" s="38">
        <v>43497</v>
      </c>
    </row>
    <row r="264" spans="1:30" x14ac:dyDescent="0.25">
      <c r="A264">
        <v>187256</v>
      </c>
      <c r="B264" t="s">
        <v>147</v>
      </c>
      <c r="C264">
        <v>2019</v>
      </c>
      <c r="D264">
        <v>2</v>
      </c>
      <c r="E264" t="s">
        <v>88</v>
      </c>
      <c r="F264" t="s">
        <v>84</v>
      </c>
      <c r="G264" t="s">
        <v>84</v>
      </c>
      <c r="H264" t="s">
        <v>25</v>
      </c>
      <c r="I264" t="s">
        <v>25</v>
      </c>
      <c r="J264" t="s">
        <v>101</v>
      </c>
      <c r="K264" t="s">
        <v>88</v>
      </c>
      <c r="L264" t="s">
        <v>103</v>
      </c>
      <c r="M264">
        <v>483.50924042000003</v>
      </c>
      <c r="N264">
        <v>0</v>
      </c>
      <c r="O264" t="s">
        <v>80</v>
      </c>
      <c r="P264" s="38">
        <v>44269.859436574072</v>
      </c>
      <c r="Q264">
        <v>1779012</v>
      </c>
      <c r="R264" t="s">
        <v>26</v>
      </c>
      <c r="S264" s="4">
        <v>210.99056942000001</v>
      </c>
      <c r="W264"/>
      <c r="X264">
        <v>0</v>
      </c>
      <c r="AC264" t="s">
        <v>84</v>
      </c>
      <c r="AD264" s="38">
        <v>43497</v>
      </c>
    </row>
    <row r="265" spans="1:30" x14ac:dyDescent="0.25">
      <c r="A265">
        <v>187283</v>
      </c>
      <c r="B265" t="s">
        <v>147</v>
      </c>
      <c r="C265">
        <v>2019</v>
      </c>
      <c r="D265">
        <v>2</v>
      </c>
      <c r="E265" t="s">
        <v>90</v>
      </c>
      <c r="F265" t="s">
        <v>84</v>
      </c>
      <c r="G265" t="s">
        <v>84</v>
      </c>
      <c r="H265" t="s">
        <v>25</v>
      </c>
      <c r="I265" t="s">
        <v>25</v>
      </c>
      <c r="J265" t="s">
        <v>101</v>
      </c>
      <c r="K265" t="s">
        <v>90</v>
      </c>
      <c r="L265" t="s">
        <v>103</v>
      </c>
      <c r="M265">
        <v>1177.9328353799999</v>
      </c>
      <c r="N265">
        <v>0</v>
      </c>
      <c r="O265" t="s">
        <v>80</v>
      </c>
      <c r="P265" s="38">
        <v>44269.859437847219</v>
      </c>
      <c r="Q265">
        <v>1779147</v>
      </c>
      <c r="R265" t="s">
        <v>26</v>
      </c>
      <c r="S265" s="4">
        <v>426.66419180999998</v>
      </c>
      <c r="W265"/>
      <c r="X265">
        <v>0</v>
      </c>
      <c r="AC265" t="s">
        <v>84</v>
      </c>
      <c r="AD265" s="38">
        <v>43497</v>
      </c>
    </row>
    <row r="266" spans="1:30" x14ac:dyDescent="0.25">
      <c r="A266">
        <v>187229</v>
      </c>
      <c r="B266" t="s">
        <v>147</v>
      </c>
      <c r="C266">
        <v>2019</v>
      </c>
      <c r="D266">
        <v>2</v>
      </c>
      <c r="E266" t="s">
        <v>86</v>
      </c>
      <c r="F266" t="s">
        <v>84</v>
      </c>
      <c r="G266" t="s">
        <v>84</v>
      </c>
      <c r="H266" t="s">
        <v>25</v>
      </c>
      <c r="I266" t="s">
        <v>25</v>
      </c>
      <c r="J266" t="s">
        <v>101</v>
      </c>
      <c r="K266" t="s">
        <v>86</v>
      </c>
      <c r="L266" t="s">
        <v>103</v>
      </c>
      <c r="M266">
        <v>2097.42093987</v>
      </c>
      <c r="N266">
        <v>0</v>
      </c>
      <c r="O266" t="s">
        <v>80</v>
      </c>
      <c r="P266" s="38">
        <v>44269.859435266189</v>
      </c>
      <c r="Q266">
        <v>1778880</v>
      </c>
      <c r="R266" t="s">
        <v>81</v>
      </c>
      <c r="S266" s="4">
        <v>249.72608044</v>
      </c>
      <c r="W266"/>
      <c r="X266">
        <v>0</v>
      </c>
      <c r="AC266" t="s">
        <v>84</v>
      </c>
      <c r="AD266" s="38">
        <v>43497</v>
      </c>
    </row>
    <row r="267" spans="1:30" x14ac:dyDescent="0.25">
      <c r="A267">
        <v>187256</v>
      </c>
      <c r="B267" t="s">
        <v>147</v>
      </c>
      <c r="C267">
        <v>2019</v>
      </c>
      <c r="D267">
        <v>2</v>
      </c>
      <c r="E267" t="s">
        <v>88</v>
      </c>
      <c r="F267" t="s">
        <v>84</v>
      </c>
      <c r="G267" t="s">
        <v>84</v>
      </c>
      <c r="H267" t="s">
        <v>25</v>
      </c>
      <c r="I267" t="s">
        <v>25</v>
      </c>
      <c r="J267" t="s">
        <v>101</v>
      </c>
      <c r="K267" t="s">
        <v>88</v>
      </c>
      <c r="L267" t="s">
        <v>103</v>
      </c>
      <c r="M267">
        <v>483.50924042000003</v>
      </c>
      <c r="N267">
        <v>0</v>
      </c>
      <c r="O267" t="s">
        <v>80</v>
      </c>
      <c r="P267" s="38">
        <v>44269.859436574072</v>
      </c>
      <c r="Q267">
        <v>1779015</v>
      </c>
      <c r="R267" t="s">
        <v>81</v>
      </c>
      <c r="S267" s="4">
        <v>48.962610380000001</v>
      </c>
      <c r="W267"/>
      <c r="X267">
        <v>0</v>
      </c>
      <c r="AC267" t="s">
        <v>84</v>
      </c>
      <c r="AD267" s="38">
        <v>43497</v>
      </c>
    </row>
    <row r="268" spans="1:30" x14ac:dyDescent="0.25">
      <c r="A268">
        <v>187283</v>
      </c>
      <c r="B268" t="s">
        <v>147</v>
      </c>
      <c r="C268">
        <v>2019</v>
      </c>
      <c r="D268">
        <v>2</v>
      </c>
      <c r="E268" t="s">
        <v>90</v>
      </c>
      <c r="F268" t="s">
        <v>84</v>
      </c>
      <c r="G268" t="s">
        <v>84</v>
      </c>
      <c r="H268" t="s">
        <v>25</v>
      </c>
      <c r="I268" t="s">
        <v>25</v>
      </c>
      <c r="J268" t="s">
        <v>101</v>
      </c>
      <c r="K268" t="s">
        <v>90</v>
      </c>
      <c r="L268" t="s">
        <v>103</v>
      </c>
      <c r="M268">
        <v>1177.9328353799999</v>
      </c>
      <c r="N268">
        <v>0</v>
      </c>
      <c r="O268" t="s">
        <v>80</v>
      </c>
      <c r="P268" s="38">
        <v>44269.859437847219</v>
      </c>
      <c r="Q268">
        <v>1779150</v>
      </c>
      <c r="R268" t="s">
        <v>81</v>
      </c>
      <c r="S268" s="4">
        <v>119.52849241</v>
      </c>
      <c r="W268"/>
      <c r="X268">
        <v>0</v>
      </c>
      <c r="AC268" t="s">
        <v>84</v>
      </c>
      <c r="AD268" s="38">
        <v>43497</v>
      </c>
    </row>
    <row r="269" spans="1:30" x14ac:dyDescent="0.25">
      <c r="A269">
        <v>187283</v>
      </c>
      <c r="B269" t="s">
        <v>147</v>
      </c>
      <c r="C269">
        <v>2019</v>
      </c>
      <c r="D269">
        <v>2</v>
      </c>
      <c r="E269" t="s">
        <v>90</v>
      </c>
      <c r="F269" t="s">
        <v>84</v>
      </c>
      <c r="G269" t="s">
        <v>84</v>
      </c>
      <c r="H269" t="s">
        <v>25</v>
      </c>
      <c r="I269" t="s">
        <v>25</v>
      </c>
      <c r="J269" t="s">
        <v>101</v>
      </c>
      <c r="K269" t="s">
        <v>90</v>
      </c>
      <c r="L269" t="s">
        <v>103</v>
      </c>
      <c r="M269">
        <v>1177.9328353799999</v>
      </c>
      <c r="N269">
        <v>0</v>
      </c>
      <c r="O269" t="s">
        <v>80</v>
      </c>
      <c r="P269" s="38">
        <v>44269.859437847219</v>
      </c>
      <c r="Q269">
        <v>1779149</v>
      </c>
      <c r="R269" t="s">
        <v>27</v>
      </c>
      <c r="S269" s="4">
        <v>651.01386399</v>
      </c>
      <c r="W269"/>
      <c r="X269">
        <v>0</v>
      </c>
      <c r="AC269" t="s">
        <v>84</v>
      </c>
      <c r="AD269" s="38">
        <v>43497</v>
      </c>
    </row>
    <row r="270" spans="1:30" x14ac:dyDescent="0.25">
      <c r="A270">
        <v>187229</v>
      </c>
      <c r="B270" t="s">
        <v>147</v>
      </c>
      <c r="C270">
        <v>2019</v>
      </c>
      <c r="D270">
        <v>2</v>
      </c>
      <c r="E270" t="s">
        <v>86</v>
      </c>
      <c r="F270" t="s">
        <v>84</v>
      </c>
      <c r="G270" t="s">
        <v>84</v>
      </c>
      <c r="H270" t="s">
        <v>25</v>
      </c>
      <c r="I270" t="s">
        <v>25</v>
      </c>
      <c r="J270" t="s">
        <v>101</v>
      </c>
      <c r="K270" t="s">
        <v>86</v>
      </c>
      <c r="L270" t="s">
        <v>103</v>
      </c>
      <c r="M270">
        <v>2097.42093987</v>
      </c>
      <c r="N270">
        <v>0</v>
      </c>
      <c r="O270" t="s">
        <v>80</v>
      </c>
      <c r="P270" s="38">
        <v>44269.859435266189</v>
      </c>
      <c r="Q270">
        <v>1778879</v>
      </c>
      <c r="R270" t="s">
        <v>27</v>
      </c>
      <c r="S270" s="4">
        <v>1164.58345811</v>
      </c>
      <c r="W270"/>
      <c r="X270">
        <v>0</v>
      </c>
      <c r="AC270" t="s">
        <v>84</v>
      </c>
      <c r="AD270" s="38">
        <v>43497</v>
      </c>
    </row>
    <row r="271" spans="1:30" x14ac:dyDescent="0.25">
      <c r="A271">
        <v>187256</v>
      </c>
      <c r="B271" t="s">
        <v>147</v>
      </c>
      <c r="C271">
        <v>2019</v>
      </c>
      <c r="D271">
        <v>2</v>
      </c>
      <c r="E271" t="s">
        <v>88</v>
      </c>
      <c r="F271" t="s">
        <v>84</v>
      </c>
      <c r="G271" t="s">
        <v>84</v>
      </c>
      <c r="H271" t="s">
        <v>25</v>
      </c>
      <c r="I271" t="s">
        <v>25</v>
      </c>
      <c r="J271" t="s">
        <v>101</v>
      </c>
      <c r="K271" t="s">
        <v>88</v>
      </c>
      <c r="L271" t="s">
        <v>103</v>
      </c>
      <c r="M271">
        <v>483.50924042000003</v>
      </c>
      <c r="N271">
        <v>0</v>
      </c>
      <c r="O271" t="s">
        <v>80</v>
      </c>
      <c r="P271" s="38">
        <v>44269.859436574072</v>
      </c>
      <c r="Q271">
        <v>1779014</v>
      </c>
      <c r="R271" t="s">
        <v>27</v>
      </c>
      <c r="S271" s="4">
        <v>233.86371754000001</v>
      </c>
      <c r="W271"/>
      <c r="X271">
        <v>0</v>
      </c>
      <c r="AC271" t="s">
        <v>84</v>
      </c>
      <c r="AD271" s="38">
        <v>43497</v>
      </c>
    </row>
    <row r="272" spans="1:30" x14ac:dyDescent="0.25">
      <c r="A272">
        <v>187283</v>
      </c>
      <c r="B272" t="s">
        <v>147</v>
      </c>
      <c r="C272">
        <v>2019</v>
      </c>
      <c r="D272">
        <v>2</v>
      </c>
      <c r="E272" t="s">
        <v>90</v>
      </c>
      <c r="F272" t="s">
        <v>84</v>
      </c>
      <c r="G272" t="s">
        <v>84</v>
      </c>
      <c r="H272" t="s">
        <v>25</v>
      </c>
      <c r="I272" t="s">
        <v>25</v>
      </c>
      <c r="J272" t="s">
        <v>101</v>
      </c>
      <c r="K272" t="s">
        <v>90</v>
      </c>
      <c r="L272" t="s">
        <v>103</v>
      </c>
      <c r="M272">
        <v>1177.9328353799999</v>
      </c>
      <c r="N272">
        <v>0</v>
      </c>
      <c r="O272" t="s">
        <v>80</v>
      </c>
      <c r="P272" s="38">
        <v>44269.859437847219</v>
      </c>
      <c r="Q272">
        <v>1779146</v>
      </c>
      <c r="R272" t="s">
        <v>91</v>
      </c>
      <c r="S272" s="4">
        <v>3.0727337100000001</v>
      </c>
      <c r="W272"/>
      <c r="X272">
        <v>0</v>
      </c>
      <c r="AC272" t="s">
        <v>84</v>
      </c>
      <c r="AD272" s="38">
        <v>43497</v>
      </c>
    </row>
    <row r="273" spans="1:30" x14ac:dyDescent="0.25">
      <c r="A273">
        <v>187256</v>
      </c>
      <c r="B273" t="s">
        <v>147</v>
      </c>
      <c r="C273">
        <v>2019</v>
      </c>
      <c r="D273">
        <v>2</v>
      </c>
      <c r="E273" t="s">
        <v>88</v>
      </c>
      <c r="F273" t="s">
        <v>84</v>
      </c>
      <c r="G273" t="s">
        <v>84</v>
      </c>
      <c r="H273" t="s">
        <v>25</v>
      </c>
      <c r="I273" t="s">
        <v>25</v>
      </c>
      <c r="J273" t="s">
        <v>101</v>
      </c>
      <c r="K273" t="s">
        <v>88</v>
      </c>
      <c r="L273" t="s">
        <v>103</v>
      </c>
      <c r="M273">
        <v>483.50924042000003</v>
      </c>
      <c r="N273">
        <v>0</v>
      </c>
      <c r="O273" t="s">
        <v>80</v>
      </c>
      <c r="P273" s="38">
        <v>44269.859436574072</v>
      </c>
      <c r="Q273">
        <v>1779011</v>
      </c>
      <c r="R273" t="s">
        <v>91</v>
      </c>
      <c r="S273" s="4">
        <v>0</v>
      </c>
      <c r="W273"/>
      <c r="X273">
        <v>0</v>
      </c>
      <c r="AC273" t="s">
        <v>84</v>
      </c>
      <c r="AD273" s="38">
        <v>43497</v>
      </c>
    </row>
    <row r="274" spans="1:30" x14ac:dyDescent="0.25">
      <c r="A274">
        <v>187229</v>
      </c>
      <c r="B274" t="s">
        <v>147</v>
      </c>
      <c r="C274">
        <v>2019</v>
      </c>
      <c r="D274">
        <v>2</v>
      </c>
      <c r="E274" t="s">
        <v>86</v>
      </c>
      <c r="F274" t="s">
        <v>84</v>
      </c>
      <c r="G274" t="s">
        <v>84</v>
      </c>
      <c r="H274" t="s">
        <v>25</v>
      </c>
      <c r="I274" t="s">
        <v>25</v>
      </c>
      <c r="J274" t="s">
        <v>101</v>
      </c>
      <c r="K274" t="s">
        <v>86</v>
      </c>
      <c r="L274" t="s">
        <v>103</v>
      </c>
      <c r="M274">
        <v>2097.42093987</v>
      </c>
      <c r="N274">
        <v>0</v>
      </c>
      <c r="O274" t="s">
        <v>80</v>
      </c>
      <c r="P274" s="38">
        <v>44269.859435266189</v>
      </c>
      <c r="Q274">
        <v>1778876</v>
      </c>
      <c r="R274" t="s">
        <v>91</v>
      </c>
      <c r="S274" s="4">
        <v>5.6539723300000002</v>
      </c>
      <c r="W274"/>
      <c r="X274">
        <v>0</v>
      </c>
      <c r="AC274" t="s">
        <v>84</v>
      </c>
      <c r="AD274" s="38">
        <v>43497</v>
      </c>
    </row>
    <row r="275" spans="1:30" x14ac:dyDescent="0.25">
      <c r="A275">
        <v>187229</v>
      </c>
      <c r="B275" t="s">
        <v>147</v>
      </c>
      <c r="C275">
        <v>2019</v>
      </c>
      <c r="D275">
        <v>2</v>
      </c>
      <c r="E275" t="s">
        <v>86</v>
      </c>
      <c r="F275" t="s">
        <v>84</v>
      </c>
      <c r="G275" t="s">
        <v>84</v>
      </c>
      <c r="H275" t="s">
        <v>25</v>
      </c>
      <c r="I275" t="s">
        <v>25</v>
      </c>
      <c r="J275" t="s">
        <v>101</v>
      </c>
      <c r="K275" t="s">
        <v>86</v>
      </c>
      <c r="L275" t="s">
        <v>103</v>
      </c>
      <c r="M275">
        <v>2097.42093987</v>
      </c>
      <c r="N275">
        <v>0</v>
      </c>
      <c r="O275" t="s">
        <v>80</v>
      </c>
      <c r="P275" s="38">
        <v>44269.859435266189</v>
      </c>
      <c r="Q275">
        <v>1778878</v>
      </c>
      <c r="R275" t="s">
        <v>28</v>
      </c>
      <c r="S275" s="4">
        <v>5.2544580400000003</v>
      </c>
      <c r="W275"/>
      <c r="X275">
        <v>0</v>
      </c>
      <c r="AC275" t="s">
        <v>84</v>
      </c>
      <c r="AD275" s="38">
        <v>43497</v>
      </c>
    </row>
    <row r="276" spans="1:30" x14ac:dyDescent="0.25">
      <c r="A276">
        <v>187283</v>
      </c>
      <c r="B276" t="s">
        <v>147</v>
      </c>
      <c r="C276">
        <v>2019</v>
      </c>
      <c r="D276">
        <v>2</v>
      </c>
      <c r="E276" t="s">
        <v>90</v>
      </c>
      <c r="F276" t="s">
        <v>84</v>
      </c>
      <c r="G276" t="s">
        <v>84</v>
      </c>
      <c r="H276" t="s">
        <v>25</v>
      </c>
      <c r="I276" t="s">
        <v>25</v>
      </c>
      <c r="J276" t="s">
        <v>101</v>
      </c>
      <c r="K276" t="s">
        <v>90</v>
      </c>
      <c r="L276" t="s">
        <v>103</v>
      </c>
      <c r="M276">
        <v>1177.9328353799999</v>
      </c>
      <c r="N276">
        <v>0</v>
      </c>
      <c r="O276" t="s">
        <v>80</v>
      </c>
      <c r="P276" s="38">
        <v>44269.859437847219</v>
      </c>
      <c r="Q276">
        <v>1779148</v>
      </c>
      <c r="R276" t="s">
        <v>28</v>
      </c>
      <c r="S276" s="4">
        <v>2.76522976</v>
      </c>
      <c r="W276"/>
      <c r="X276">
        <v>0</v>
      </c>
      <c r="AC276" t="s">
        <v>84</v>
      </c>
      <c r="AD276" s="38">
        <v>43497</v>
      </c>
    </row>
    <row r="277" spans="1:30" x14ac:dyDescent="0.25">
      <c r="A277">
        <v>187256</v>
      </c>
      <c r="B277" t="s">
        <v>147</v>
      </c>
      <c r="C277">
        <v>2019</v>
      </c>
      <c r="D277">
        <v>2</v>
      </c>
      <c r="E277" t="s">
        <v>88</v>
      </c>
      <c r="F277" t="s">
        <v>84</v>
      </c>
      <c r="G277" t="s">
        <v>84</v>
      </c>
      <c r="H277" t="s">
        <v>25</v>
      </c>
      <c r="I277" t="s">
        <v>25</v>
      </c>
      <c r="J277" t="s">
        <v>101</v>
      </c>
      <c r="K277" t="s">
        <v>88</v>
      </c>
      <c r="L277" t="s">
        <v>103</v>
      </c>
      <c r="M277">
        <v>483.50924042000003</v>
      </c>
      <c r="N277">
        <v>0</v>
      </c>
      <c r="O277" t="s">
        <v>80</v>
      </c>
      <c r="P277" s="38">
        <v>44269.859436574072</v>
      </c>
      <c r="Q277">
        <v>1779013</v>
      </c>
      <c r="R277" t="s">
        <v>28</v>
      </c>
      <c r="S277" s="4">
        <v>0</v>
      </c>
      <c r="W277"/>
      <c r="X277">
        <v>0</v>
      </c>
      <c r="AC277" t="s">
        <v>84</v>
      </c>
      <c r="AD277" s="38">
        <v>43497</v>
      </c>
    </row>
    <row r="278" spans="1:30" x14ac:dyDescent="0.25">
      <c r="A278">
        <v>190955</v>
      </c>
      <c r="B278" t="s">
        <v>149</v>
      </c>
      <c r="C278">
        <v>2019</v>
      </c>
      <c r="D278">
        <v>3</v>
      </c>
      <c r="E278" t="s">
        <v>88</v>
      </c>
      <c r="F278" t="s">
        <v>84</v>
      </c>
      <c r="G278" t="s">
        <v>84</v>
      </c>
      <c r="H278" t="s">
        <v>25</v>
      </c>
      <c r="I278" t="s">
        <v>25</v>
      </c>
      <c r="J278" t="s">
        <v>101</v>
      </c>
      <c r="K278" t="s">
        <v>88</v>
      </c>
      <c r="L278" t="s">
        <v>103</v>
      </c>
      <c r="M278">
        <v>548.80313799999999</v>
      </c>
      <c r="N278">
        <v>0</v>
      </c>
      <c r="O278" t="s">
        <v>80</v>
      </c>
      <c r="P278" s="38">
        <v>44269.86019540509</v>
      </c>
      <c r="Q278">
        <v>1806418</v>
      </c>
      <c r="R278" t="s">
        <v>26</v>
      </c>
      <c r="S278" s="4">
        <v>239.48308926999999</v>
      </c>
      <c r="W278"/>
      <c r="X278">
        <v>0</v>
      </c>
      <c r="AC278" t="s">
        <v>84</v>
      </c>
      <c r="AD278" s="38">
        <v>43525</v>
      </c>
    </row>
    <row r="279" spans="1:30" x14ac:dyDescent="0.25">
      <c r="A279">
        <v>190928</v>
      </c>
      <c r="B279" t="s">
        <v>149</v>
      </c>
      <c r="C279">
        <v>2019</v>
      </c>
      <c r="D279">
        <v>3</v>
      </c>
      <c r="E279" t="s">
        <v>86</v>
      </c>
      <c r="F279" t="s">
        <v>84</v>
      </c>
      <c r="G279" t="s">
        <v>84</v>
      </c>
      <c r="H279" t="s">
        <v>25</v>
      </c>
      <c r="I279" t="s">
        <v>25</v>
      </c>
      <c r="J279" t="s">
        <v>101</v>
      </c>
      <c r="K279" t="s">
        <v>86</v>
      </c>
      <c r="L279" t="s">
        <v>103</v>
      </c>
      <c r="M279">
        <v>1987.4110310900001</v>
      </c>
      <c r="N279">
        <v>0</v>
      </c>
      <c r="O279" t="s">
        <v>80</v>
      </c>
      <c r="P279" s="38">
        <v>44269.860194062501</v>
      </c>
      <c r="Q279">
        <v>1806283</v>
      </c>
      <c r="R279" t="s">
        <v>26</v>
      </c>
      <c r="S279" s="4">
        <v>679.31434620000005</v>
      </c>
      <c r="W279"/>
      <c r="X279">
        <v>0</v>
      </c>
      <c r="AC279" t="s">
        <v>84</v>
      </c>
      <c r="AD279" s="38">
        <v>43525</v>
      </c>
    </row>
    <row r="280" spans="1:30" x14ac:dyDescent="0.25">
      <c r="A280">
        <v>190982</v>
      </c>
      <c r="B280" t="s">
        <v>149</v>
      </c>
      <c r="C280">
        <v>2019</v>
      </c>
      <c r="D280">
        <v>3</v>
      </c>
      <c r="E280" t="s">
        <v>90</v>
      </c>
      <c r="F280" t="s">
        <v>84</v>
      </c>
      <c r="G280" t="s">
        <v>84</v>
      </c>
      <c r="H280" t="s">
        <v>25</v>
      </c>
      <c r="I280" t="s">
        <v>25</v>
      </c>
      <c r="J280" t="s">
        <v>101</v>
      </c>
      <c r="K280" t="s">
        <v>90</v>
      </c>
      <c r="L280" t="s">
        <v>103</v>
      </c>
      <c r="M280">
        <v>1048.18988866</v>
      </c>
      <c r="N280">
        <v>0</v>
      </c>
      <c r="O280" t="s">
        <v>80</v>
      </c>
      <c r="P280" s="38">
        <v>44269.860196643524</v>
      </c>
      <c r="Q280">
        <v>1806553</v>
      </c>
      <c r="R280" t="s">
        <v>26</v>
      </c>
      <c r="S280" s="4">
        <v>379.66943299000002</v>
      </c>
      <c r="W280"/>
      <c r="X280">
        <v>0</v>
      </c>
      <c r="AC280" t="s">
        <v>84</v>
      </c>
      <c r="AD280" s="38">
        <v>43525</v>
      </c>
    </row>
    <row r="281" spans="1:30" x14ac:dyDescent="0.25">
      <c r="A281">
        <v>190928</v>
      </c>
      <c r="B281" t="s">
        <v>149</v>
      </c>
      <c r="C281">
        <v>2019</v>
      </c>
      <c r="D281">
        <v>3</v>
      </c>
      <c r="E281" t="s">
        <v>86</v>
      </c>
      <c r="F281" t="s">
        <v>84</v>
      </c>
      <c r="G281" t="s">
        <v>84</v>
      </c>
      <c r="H281" t="s">
        <v>25</v>
      </c>
      <c r="I281" t="s">
        <v>25</v>
      </c>
      <c r="J281" t="s">
        <v>101</v>
      </c>
      <c r="K281" t="s">
        <v>86</v>
      </c>
      <c r="L281" t="s">
        <v>103</v>
      </c>
      <c r="M281">
        <v>1987.4110310900001</v>
      </c>
      <c r="N281">
        <v>0</v>
      </c>
      <c r="O281" t="s">
        <v>80</v>
      </c>
      <c r="P281" s="38">
        <v>44269.860194062501</v>
      </c>
      <c r="Q281">
        <v>1806286</v>
      </c>
      <c r="R281" t="s">
        <v>81</v>
      </c>
      <c r="S281" s="4">
        <v>236.62792603</v>
      </c>
      <c r="W281"/>
      <c r="X281">
        <v>0</v>
      </c>
      <c r="AC281" t="s">
        <v>84</v>
      </c>
      <c r="AD281" s="38">
        <v>43525</v>
      </c>
    </row>
    <row r="282" spans="1:30" x14ac:dyDescent="0.25">
      <c r="A282">
        <v>190955</v>
      </c>
      <c r="B282" t="s">
        <v>149</v>
      </c>
      <c r="C282">
        <v>2019</v>
      </c>
      <c r="D282">
        <v>3</v>
      </c>
      <c r="E282" t="s">
        <v>88</v>
      </c>
      <c r="F282" t="s">
        <v>84</v>
      </c>
      <c r="G282" t="s">
        <v>84</v>
      </c>
      <c r="H282" t="s">
        <v>25</v>
      </c>
      <c r="I282" t="s">
        <v>25</v>
      </c>
      <c r="J282" t="s">
        <v>101</v>
      </c>
      <c r="K282" t="s">
        <v>88</v>
      </c>
      <c r="L282" t="s">
        <v>103</v>
      </c>
      <c r="M282">
        <v>548.80313799999999</v>
      </c>
      <c r="N282">
        <v>0</v>
      </c>
      <c r="O282" t="s">
        <v>80</v>
      </c>
      <c r="P282" s="38">
        <v>44269.86019540509</v>
      </c>
      <c r="Q282">
        <v>1806421</v>
      </c>
      <c r="R282" t="s">
        <v>81</v>
      </c>
      <c r="S282" s="4">
        <v>55.574603279999998</v>
      </c>
      <c r="W282"/>
      <c r="X282">
        <v>0</v>
      </c>
      <c r="AC282" t="s">
        <v>84</v>
      </c>
      <c r="AD282" s="38">
        <v>43525</v>
      </c>
    </row>
    <row r="283" spans="1:30" x14ac:dyDescent="0.25">
      <c r="A283">
        <v>190982</v>
      </c>
      <c r="B283" t="s">
        <v>149</v>
      </c>
      <c r="C283">
        <v>2019</v>
      </c>
      <c r="D283">
        <v>3</v>
      </c>
      <c r="E283" t="s">
        <v>90</v>
      </c>
      <c r="F283" t="s">
        <v>84</v>
      </c>
      <c r="G283" t="s">
        <v>84</v>
      </c>
      <c r="H283" t="s">
        <v>25</v>
      </c>
      <c r="I283" t="s">
        <v>25</v>
      </c>
      <c r="J283" t="s">
        <v>101</v>
      </c>
      <c r="K283" t="s">
        <v>90</v>
      </c>
      <c r="L283" t="s">
        <v>103</v>
      </c>
      <c r="M283">
        <v>1048.18988866</v>
      </c>
      <c r="N283">
        <v>0</v>
      </c>
      <c r="O283" t="s">
        <v>80</v>
      </c>
      <c r="P283" s="38">
        <v>44269.860196643524</v>
      </c>
      <c r="Q283">
        <v>1806556</v>
      </c>
      <c r="R283" t="s">
        <v>81</v>
      </c>
      <c r="S283" s="4">
        <v>106.36307384</v>
      </c>
      <c r="W283"/>
      <c r="X283">
        <v>0</v>
      </c>
      <c r="AC283" t="s">
        <v>84</v>
      </c>
      <c r="AD283" s="38">
        <v>43525</v>
      </c>
    </row>
    <row r="284" spans="1:30" x14ac:dyDescent="0.25">
      <c r="A284">
        <v>190982</v>
      </c>
      <c r="B284" t="s">
        <v>149</v>
      </c>
      <c r="C284">
        <v>2019</v>
      </c>
      <c r="D284">
        <v>3</v>
      </c>
      <c r="E284" t="s">
        <v>90</v>
      </c>
      <c r="F284" t="s">
        <v>84</v>
      </c>
      <c r="G284" t="s">
        <v>84</v>
      </c>
      <c r="H284" t="s">
        <v>25</v>
      </c>
      <c r="I284" t="s">
        <v>25</v>
      </c>
      <c r="J284" t="s">
        <v>101</v>
      </c>
      <c r="K284" t="s">
        <v>90</v>
      </c>
      <c r="L284" t="s">
        <v>103</v>
      </c>
      <c r="M284">
        <v>1048.18988866</v>
      </c>
      <c r="N284">
        <v>0</v>
      </c>
      <c r="O284" t="s">
        <v>80</v>
      </c>
      <c r="P284" s="38">
        <v>44269.860196643524</v>
      </c>
      <c r="Q284">
        <v>1806555</v>
      </c>
      <c r="R284" t="s">
        <v>27</v>
      </c>
      <c r="S284" s="4">
        <v>579.30819916999997</v>
      </c>
      <c r="W284"/>
      <c r="X284">
        <v>0</v>
      </c>
      <c r="AC284" t="s">
        <v>84</v>
      </c>
      <c r="AD284" s="38">
        <v>43525</v>
      </c>
    </row>
    <row r="285" spans="1:30" x14ac:dyDescent="0.25">
      <c r="A285">
        <v>190928</v>
      </c>
      <c r="B285" t="s">
        <v>149</v>
      </c>
      <c r="C285">
        <v>2019</v>
      </c>
      <c r="D285">
        <v>3</v>
      </c>
      <c r="E285" t="s">
        <v>86</v>
      </c>
      <c r="F285" t="s">
        <v>84</v>
      </c>
      <c r="G285" t="s">
        <v>84</v>
      </c>
      <c r="H285" t="s">
        <v>25</v>
      </c>
      <c r="I285" t="s">
        <v>25</v>
      </c>
      <c r="J285" t="s">
        <v>101</v>
      </c>
      <c r="K285" t="s">
        <v>86</v>
      </c>
      <c r="L285" t="s">
        <v>103</v>
      </c>
      <c r="M285">
        <v>1987.4110310900001</v>
      </c>
      <c r="N285">
        <v>0</v>
      </c>
      <c r="O285" t="s">
        <v>80</v>
      </c>
      <c r="P285" s="38">
        <v>44269.860194062501</v>
      </c>
      <c r="Q285">
        <v>1806285</v>
      </c>
      <c r="R285" t="s">
        <v>27</v>
      </c>
      <c r="S285" s="4">
        <v>1103.5009555199999</v>
      </c>
      <c r="W285"/>
      <c r="X285">
        <v>0</v>
      </c>
      <c r="AC285" t="s">
        <v>84</v>
      </c>
      <c r="AD285" s="38">
        <v>43525</v>
      </c>
    </row>
    <row r="286" spans="1:30" x14ac:dyDescent="0.25">
      <c r="A286">
        <v>190955</v>
      </c>
      <c r="B286" t="s">
        <v>149</v>
      </c>
      <c r="C286">
        <v>2019</v>
      </c>
      <c r="D286">
        <v>3</v>
      </c>
      <c r="E286" t="s">
        <v>88</v>
      </c>
      <c r="F286" t="s">
        <v>84</v>
      </c>
      <c r="G286" t="s">
        <v>84</v>
      </c>
      <c r="H286" t="s">
        <v>25</v>
      </c>
      <c r="I286" t="s">
        <v>25</v>
      </c>
      <c r="J286" t="s">
        <v>101</v>
      </c>
      <c r="K286" t="s">
        <v>88</v>
      </c>
      <c r="L286" t="s">
        <v>103</v>
      </c>
      <c r="M286">
        <v>548.80313799999999</v>
      </c>
      <c r="N286">
        <v>0</v>
      </c>
      <c r="O286" t="s">
        <v>80</v>
      </c>
      <c r="P286" s="38">
        <v>44269.86019540509</v>
      </c>
      <c r="Q286">
        <v>1806420</v>
      </c>
      <c r="R286" t="s">
        <v>27</v>
      </c>
      <c r="S286" s="4">
        <v>265.44506561999998</v>
      </c>
      <c r="W286"/>
      <c r="X286">
        <v>0</v>
      </c>
      <c r="AC286" t="s">
        <v>84</v>
      </c>
      <c r="AD286" s="38">
        <v>43525</v>
      </c>
    </row>
    <row r="287" spans="1:30" x14ac:dyDescent="0.25">
      <c r="A287">
        <v>190955</v>
      </c>
      <c r="B287" t="s">
        <v>149</v>
      </c>
      <c r="C287">
        <v>2019</v>
      </c>
      <c r="D287">
        <v>3</v>
      </c>
      <c r="E287" t="s">
        <v>88</v>
      </c>
      <c r="F287" t="s">
        <v>84</v>
      </c>
      <c r="G287" t="s">
        <v>84</v>
      </c>
      <c r="H287" t="s">
        <v>25</v>
      </c>
      <c r="I287" t="s">
        <v>25</v>
      </c>
      <c r="J287" t="s">
        <v>101</v>
      </c>
      <c r="K287" t="s">
        <v>88</v>
      </c>
      <c r="L287" t="s">
        <v>103</v>
      </c>
      <c r="M287">
        <v>548.80313799999999</v>
      </c>
      <c r="N287">
        <v>0</v>
      </c>
      <c r="O287" t="s">
        <v>80</v>
      </c>
      <c r="P287" s="38">
        <v>44269.86019540509</v>
      </c>
      <c r="Q287">
        <v>1806417</v>
      </c>
      <c r="R287" t="s">
        <v>91</v>
      </c>
      <c r="S287" s="4">
        <v>0</v>
      </c>
      <c r="W287"/>
      <c r="X287">
        <v>0</v>
      </c>
      <c r="AC287" t="s">
        <v>84</v>
      </c>
      <c r="AD287" s="38">
        <v>43525</v>
      </c>
    </row>
    <row r="288" spans="1:30" x14ac:dyDescent="0.25">
      <c r="A288">
        <v>190928</v>
      </c>
      <c r="B288" t="s">
        <v>149</v>
      </c>
      <c r="C288">
        <v>2019</v>
      </c>
      <c r="D288">
        <v>3</v>
      </c>
      <c r="E288" t="s">
        <v>86</v>
      </c>
      <c r="F288" t="s">
        <v>84</v>
      </c>
      <c r="G288" t="s">
        <v>84</v>
      </c>
      <c r="H288" t="s">
        <v>25</v>
      </c>
      <c r="I288" t="s">
        <v>25</v>
      </c>
      <c r="J288" t="s">
        <v>101</v>
      </c>
      <c r="K288" t="s">
        <v>86</v>
      </c>
      <c r="L288" t="s">
        <v>103</v>
      </c>
      <c r="M288">
        <v>1987.4110310900001</v>
      </c>
      <c r="N288">
        <v>0</v>
      </c>
      <c r="O288" t="s">
        <v>80</v>
      </c>
      <c r="P288" s="38">
        <v>44269.860194062501</v>
      </c>
      <c r="Q288">
        <v>1806282</v>
      </c>
      <c r="R288" t="s">
        <v>91</v>
      </c>
      <c r="S288" s="4">
        <v>5.3574209899999996</v>
      </c>
      <c r="W288"/>
      <c r="X288">
        <v>0</v>
      </c>
      <c r="AC288" t="s">
        <v>84</v>
      </c>
      <c r="AD288" s="38">
        <v>43525</v>
      </c>
    </row>
    <row r="289" spans="1:30" x14ac:dyDescent="0.25">
      <c r="A289">
        <v>190982</v>
      </c>
      <c r="B289" t="s">
        <v>149</v>
      </c>
      <c r="C289">
        <v>2019</v>
      </c>
      <c r="D289">
        <v>3</v>
      </c>
      <c r="E289" t="s">
        <v>90</v>
      </c>
      <c r="F289" t="s">
        <v>84</v>
      </c>
      <c r="G289" t="s">
        <v>84</v>
      </c>
      <c r="H289" t="s">
        <v>25</v>
      </c>
      <c r="I289" t="s">
        <v>25</v>
      </c>
      <c r="J289" t="s">
        <v>101</v>
      </c>
      <c r="K289" t="s">
        <v>90</v>
      </c>
      <c r="L289" t="s">
        <v>103</v>
      </c>
      <c r="M289">
        <v>1048.18988866</v>
      </c>
      <c r="N289">
        <v>0</v>
      </c>
      <c r="O289" t="s">
        <v>80</v>
      </c>
      <c r="P289" s="38">
        <v>44269.860196643524</v>
      </c>
      <c r="Q289">
        <v>1806552</v>
      </c>
      <c r="R289" t="s">
        <v>91</v>
      </c>
      <c r="S289" s="4">
        <v>2.7342886700000002</v>
      </c>
      <c r="W289"/>
      <c r="X289">
        <v>0</v>
      </c>
      <c r="AC289" t="s">
        <v>84</v>
      </c>
      <c r="AD289" s="38">
        <v>43525</v>
      </c>
    </row>
    <row r="290" spans="1:30" x14ac:dyDescent="0.25">
      <c r="A290">
        <v>190955</v>
      </c>
      <c r="B290" t="s">
        <v>149</v>
      </c>
      <c r="C290">
        <v>2019</v>
      </c>
      <c r="D290">
        <v>3</v>
      </c>
      <c r="E290" t="s">
        <v>88</v>
      </c>
      <c r="F290" t="s">
        <v>84</v>
      </c>
      <c r="G290" t="s">
        <v>84</v>
      </c>
      <c r="H290" t="s">
        <v>25</v>
      </c>
      <c r="I290" t="s">
        <v>25</v>
      </c>
      <c r="J290" t="s">
        <v>101</v>
      </c>
      <c r="K290" t="s">
        <v>88</v>
      </c>
      <c r="L290" t="s">
        <v>103</v>
      </c>
      <c r="M290">
        <v>548.80313799999999</v>
      </c>
      <c r="N290">
        <v>0</v>
      </c>
      <c r="O290" t="s">
        <v>80</v>
      </c>
      <c r="P290" s="38">
        <v>44269.86019540509</v>
      </c>
      <c r="Q290">
        <v>1806419</v>
      </c>
      <c r="R290" t="s">
        <v>28</v>
      </c>
      <c r="S290" s="4">
        <v>0</v>
      </c>
      <c r="W290"/>
      <c r="X290">
        <v>0</v>
      </c>
      <c r="AC290" t="s">
        <v>84</v>
      </c>
      <c r="AD290" s="38">
        <v>43525</v>
      </c>
    </row>
    <row r="291" spans="1:30" x14ac:dyDescent="0.25">
      <c r="A291">
        <v>190928</v>
      </c>
      <c r="B291" t="s">
        <v>149</v>
      </c>
      <c r="C291">
        <v>2019</v>
      </c>
      <c r="D291">
        <v>3</v>
      </c>
      <c r="E291" t="s">
        <v>86</v>
      </c>
      <c r="F291" t="s">
        <v>84</v>
      </c>
      <c r="G291" t="s">
        <v>84</v>
      </c>
      <c r="H291" t="s">
        <v>25</v>
      </c>
      <c r="I291" t="s">
        <v>25</v>
      </c>
      <c r="J291" t="s">
        <v>101</v>
      </c>
      <c r="K291" t="s">
        <v>86</v>
      </c>
      <c r="L291" t="s">
        <v>103</v>
      </c>
      <c r="M291">
        <v>1987.4110310900001</v>
      </c>
      <c r="N291">
        <v>0</v>
      </c>
      <c r="O291" t="s">
        <v>80</v>
      </c>
      <c r="P291" s="38">
        <v>44269.860194062501</v>
      </c>
      <c r="Q291">
        <v>1806284</v>
      </c>
      <c r="R291" t="s">
        <v>28</v>
      </c>
      <c r="S291" s="4">
        <v>4.9788612700000003</v>
      </c>
      <c r="W291"/>
      <c r="X291">
        <v>0</v>
      </c>
      <c r="AC291" t="s">
        <v>84</v>
      </c>
      <c r="AD291" s="38">
        <v>43525</v>
      </c>
    </row>
    <row r="292" spans="1:30" x14ac:dyDescent="0.25">
      <c r="A292">
        <v>190982</v>
      </c>
      <c r="B292" t="s">
        <v>149</v>
      </c>
      <c r="C292">
        <v>2019</v>
      </c>
      <c r="D292">
        <v>3</v>
      </c>
      <c r="E292" t="s">
        <v>90</v>
      </c>
      <c r="F292" t="s">
        <v>84</v>
      </c>
      <c r="G292" t="s">
        <v>84</v>
      </c>
      <c r="H292" t="s">
        <v>25</v>
      </c>
      <c r="I292" t="s">
        <v>25</v>
      </c>
      <c r="J292" t="s">
        <v>101</v>
      </c>
      <c r="K292" t="s">
        <v>90</v>
      </c>
      <c r="L292" t="s">
        <v>103</v>
      </c>
      <c r="M292">
        <v>1048.18988866</v>
      </c>
      <c r="N292">
        <v>0</v>
      </c>
      <c r="O292" t="s">
        <v>80</v>
      </c>
      <c r="P292" s="38">
        <v>44269.860196643524</v>
      </c>
      <c r="Q292">
        <v>1806554</v>
      </c>
      <c r="R292" t="s">
        <v>28</v>
      </c>
      <c r="S292" s="4">
        <v>2.4606546200000001</v>
      </c>
      <c r="W292"/>
      <c r="X292">
        <v>0</v>
      </c>
      <c r="AC292" t="s">
        <v>84</v>
      </c>
      <c r="AD292" s="38">
        <v>43525</v>
      </c>
    </row>
    <row r="293" spans="1:30" x14ac:dyDescent="0.25">
      <c r="A293">
        <v>215938</v>
      </c>
      <c r="B293" t="s">
        <v>150</v>
      </c>
      <c r="C293">
        <v>2019</v>
      </c>
      <c r="D293">
        <v>4</v>
      </c>
      <c r="E293" t="s">
        <v>86</v>
      </c>
      <c r="F293" t="s">
        <v>84</v>
      </c>
      <c r="G293" t="s">
        <v>84</v>
      </c>
      <c r="H293" t="s">
        <v>25</v>
      </c>
      <c r="I293" t="s">
        <v>25</v>
      </c>
      <c r="J293" t="s">
        <v>101</v>
      </c>
      <c r="K293" t="s">
        <v>86</v>
      </c>
      <c r="L293" t="s">
        <v>103</v>
      </c>
      <c r="M293">
        <v>1388.5089304200001</v>
      </c>
      <c r="N293">
        <v>0</v>
      </c>
      <c r="O293" t="s">
        <v>80</v>
      </c>
      <c r="P293" s="38">
        <v>44269.862959456019</v>
      </c>
      <c r="Q293">
        <v>2049629</v>
      </c>
      <c r="R293" t="s">
        <v>26</v>
      </c>
      <c r="S293" s="4">
        <v>474.60440820000002</v>
      </c>
      <c r="W293"/>
      <c r="X293">
        <v>0</v>
      </c>
      <c r="AC293" t="s">
        <v>84</v>
      </c>
      <c r="AD293" s="38">
        <v>43556</v>
      </c>
    </row>
    <row r="294" spans="1:30" x14ac:dyDescent="0.25">
      <c r="A294">
        <v>215992</v>
      </c>
      <c r="B294" t="s">
        <v>150</v>
      </c>
      <c r="C294">
        <v>2019</v>
      </c>
      <c r="D294">
        <v>4</v>
      </c>
      <c r="E294" t="s">
        <v>90</v>
      </c>
      <c r="F294" t="s">
        <v>84</v>
      </c>
      <c r="G294" t="s">
        <v>84</v>
      </c>
      <c r="H294" t="s">
        <v>25</v>
      </c>
      <c r="I294" t="s">
        <v>25</v>
      </c>
      <c r="J294" t="s">
        <v>101</v>
      </c>
      <c r="K294" t="s">
        <v>90</v>
      </c>
      <c r="L294" t="s">
        <v>103</v>
      </c>
      <c r="M294">
        <v>807.94171081000002</v>
      </c>
      <c r="N294">
        <v>0</v>
      </c>
      <c r="O294" t="s">
        <v>80</v>
      </c>
      <c r="P294" s="38">
        <v>44269.862962037027</v>
      </c>
      <c r="Q294">
        <v>2049899</v>
      </c>
      <c r="R294" t="s">
        <v>26</v>
      </c>
      <c r="S294" s="4">
        <v>292.64809224999999</v>
      </c>
      <c r="W294"/>
      <c r="X294">
        <v>0</v>
      </c>
      <c r="AC294" t="s">
        <v>84</v>
      </c>
      <c r="AD294" s="38">
        <v>43556</v>
      </c>
    </row>
    <row r="295" spans="1:30" x14ac:dyDescent="0.25">
      <c r="A295">
        <v>215965</v>
      </c>
      <c r="B295" t="s">
        <v>150</v>
      </c>
      <c r="C295">
        <v>2019</v>
      </c>
      <c r="D295">
        <v>4</v>
      </c>
      <c r="E295" t="s">
        <v>88</v>
      </c>
      <c r="F295" t="s">
        <v>84</v>
      </c>
      <c r="G295" t="s">
        <v>84</v>
      </c>
      <c r="H295" t="s">
        <v>25</v>
      </c>
      <c r="I295" t="s">
        <v>25</v>
      </c>
      <c r="J295" t="s">
        <v>101</v>
      </c>
      <c r="K295" t="s">
        <v>88</v>
      </c>
      <c r="L295" t="s">
        <v>103</v>
      </c>
      <c r="M295">
        <v>278.00060418999999</v>
      </c>
      <c r="N295">
        <v>0</v>
      </c>
      <c r="O295" t="s">
        <v>80</v>
      </c>
      <c r="P295" s="38">
        <v>44269.862960763887</v>
      </c>
      <c r="Q295">
        <v>2049764</v>
      </c>
      <c r="R295" t="s">
        <v>26</v>
      </c>
      <c r="S295" s="4">
        <v>121.31206784</v>
      </c>
      <c r="W295"/>
      <c r="X295">
        <v>0</v>
      </c>
      <c r="AC295" t="s">
        <v>84</v>
      </c>
      <c r="AD295" s="38">
        <v>43556</v>
      </c>
    </row>
    <row r="296" spans="1:30" x14ac:dyDescent="0.25">
      <c r="A296">
        <v>215965</v>
      </c>
      <c r="B296" t="s">
        <v>150</v>
      </c>
      <c r="C296">
        <v>2019</v>
      </c>
      <c r="D296">
        <v>4</v>
      </c>
      <c r="E296" t="s">
        <v>88</v>
      </c>
      <c r="F296" t="s">
        <v>84</v>
      </c>
      <c r="G296" t="s">
        <v>84</v>
      </c>
      <c r="H296" t="s">
        <v>25</v>
      </c>
      <c r="I296" t="s">
        <v>25</v>
      </c>
      <c r="J296" t="s">
        <v>101</v>
      </c>
      <c r="K296" t="s">
        <v>88</v>
      </c>
      <c r="L296" t="s">
        <v>103</v>
      </c>
      <c r="M296">
        <v>278.00060418999999</v>
      </c>
      <c r="N296">
        <v>0</v>
      </c>
      <c r="O296" t="s">
        <v>80</v>
      </c>
      <c r="P296" s="38">
        <v>44269.862960763887</v>
      </c>
      <c r="Q296">
        <v>2049767</v>
      </c>
      <c r="R296" t="s">
        <v>81</v>
      </c>
      <c r="S296" s="4">
        <v>28.15175829</v>
      </c>
      <c r="W296"/>
      <c r="X296">
        <v>0</v>
      </c>
      <c r="AC296" t="s">
        <v>84</v>
      </c>
      <c r="AD296" s="38">
        <v>43556</v>
      </c>
    </row>
    <row r="297" spans="1:30" x14ac:dyDescent="0.25">
      <c r="A297">
        <v>215938</v>
      </c>
      <c r="B297" t="s">
        <v>150</v>
      </c>
      <c r="C297">
        <v>2019</v>
      </c>
      <c r="D297">
        <v>4</v>
      </c>
      <c r="E297" t="s">
        <v>86</v>
      </c>
      <c r="F297" t="s">
        <v>84</v>
      </c>
      <c r="G297" t="s">
        <v>84</v>
      </c>
      <c r="H297" t="s">
        <v>25</v>
      </c>
      <c r="I297" t="s">
        <v>25</v>
      </c>
      <c r="J297" t="s">
        <v>101</v>
      </c>
      <c r="K297" t="s">
        <v>86</v>
      </c>
      <c r="L297" t="s">
        <v>103</v>
      </c>
      <c r="M297">
        <v>1388.5089304200001</v>
      </c>
      <c r="N297">
        <v>0</v>
      </c>
      <c r="O297" t="s">
        <v>80</v>
      </c>
      <c r="P297" s="38">
        <v>44269.862959456019</v>
      </c>
      <c r="Q297">
        <v>2049632</v>
      </c>
      <c r="R297" t="s">
        <v>81</v>
      </c>
      <c r="S297" s="4">
        <v>165.3206022</v>
      </c>
      <c r="W297"/>
      <c r="X297">
        <v>0</v>
      </c>
      <c r="AC297" t="s">
        <v>84</v>
      </c>
      <c r="AD297" s="38">
        <v>43556</v>
      </c>
    </row>
    <row r="298" spans="1:30" x14ac:dyDescent="0.25">
      <c r="A298">
        <v>215992</v>
      </c>
      <c r="B298" t="s">
        <v>150</v>
      </c>
      <c r="C298">
        <v>2019</v>
      </c>
      <c r="D298">
        <v>4</v>
      </c>
      <c r="E298" t="s">
        <v>90</v>
      </c>
      <c r="F298" t="s">
        <v>84</v>
      </c>
      <c r="G298" t="s">
        <v>84</v>
      </c>
      <c r="H298" t="s">
        <v>25</v>
      </c>
      <c r="I298" t="s">
        <v>25</v>
      </c>
      <c r="J298" t="s">
        <v>101</v>
      </c>
      <c r="K298" t="s">
        <v>90</v>
      </c>
      <c r="L298" t="s">
        <v>103</v>
      </c>
      <c r="M298">
        <v>807.94171081000002</v>
      </c>
      <c r="N298">
        <v>0</v>
      </c>
      <c r="O298" t="s">
        <v>80</v>
      </c>
      <c r="P298" s="38">
        <v>44269.862962037027</v>
      </c>
      <c r="Q298">
        <v>2049902</v>
      </c>
      <c r="R298" t="s">
        <v>81</v>
      </c>
      <c r="S298" s="4">
        <v>81.984347279999994</v>
      </c>
      <c r="W298"/>
      <c r="X298">
        <v>0</v>
      </c>
      <c r="AC298" t="s">
        <v>84</v>
      </c>
      <c r="AD298" s="38">
        <v>43556</v>
      </c>
    </row>
    <row r="299" spans="1:30" x14ac:dyDescent="0.25">
      <c r="A299">
        <v>215938</v>
      </c>
      <c r="B299" t="s">
        <v>150</v>
      </c>
      <c r="C299">
        <v>2019</v>
      </c>
      <c r="D299">
        <v>4</v>
      </c>
      <c r="E299" t="s">
        <v>86</v>
      </c>
      <c r="F299" t="s">
        <v>84</v>
      </c>
      <c r="G299" t="s">
        <v>84</v>
      </c>
      <c r="H299" t="s">
        <v>25</v>
      </c>
      <c r="I299" t="s">
        <v>25</v>
      </c>
      <c r="J299" t="s">
        <v>101</v>
      </c>
      <c r="K299" t="s">
        <v>86</v>
      </c>
      <c r="L299" t="s">
        <v>103</v>
      </c>
      <c r="M299">
        <v>1388.5089304200001</v>
      </c>
      <c r="N299">
        <v>0</v>
      </c>
      <c r="O299" t="s">
        <v>80</v>
      </c>
      <c r="P299" s="38">
        <v>44269.862959456019</v>
      </c>
      <c r="Q299">
        <v>2049631</v>
      </c>
      <c r="R299" t="s">
        <v>27</v>
      </c>
      <c r="S299" s="4">
        <v>770.96328213000004</v>
      </c>
      <c r="W299"/>
      <c r="X299">
        <v>0</v>
      </c>
      <c r="AC299" t="s">
        <v>84</v>
      </c>
      <c r="AD299" s="38">
        <v>43556</v>
      </c>
    </row>
    <row r="300" spans="1:30" x14ac:dyDescent="0.25">
      <c r="A300">
        <v>215965</v>
      </c>
      <c r="B300" t="s">
        <v>150</v>
      </c>
      <c r="C300">
        <v>2019</v>
      </c>
      <c r="D300">
        <v>4</v>
      </c>
      <c r="E300" t="s">
        <v>88</v>
      </c>
      <c r="F300" t="s">
        <v>84</v>
      </c>
      <c r="G300" t="s">
        <v>84</v>
      </c>
      <c r="H300" t="s">
        <v>25</v>
      </c>
      <c r="I300" t="s">
        <v>25</v>
      </c>
      <c r="J300" t="s">
        <v>101</v>
      </c>
      <c r="K300" t="s">
        <v>88</v>
      </c>
      <c r="L300" t="s">
        <v>103</v>
      </c>
      <c r="M300">
        <v>278.00060418999999</v>
      </c>
      <c r="N300">
        <v>0</v>
      </c>
      <c r="O300" t="s">
        <v>80</v>
      </c>
      <c r="P300" s="38">
        <v>44269.862960763887</v>
      </c>
      <c r="Q300">
        <v>2049766</v>
      </c>
      <c r="R300" t="s">
        <v>27</v>
      </c>
      <c r="S300" s="4">
        <v>134.46331391000001</v>
      </c>
      <c r="W300"/>
      <c r="X300">
        <v>0</v>
      </c>
      <c r="AC300" t="s">
        <v>84</v>
      </c>
      <c r="AD300" s="38">
        <v>43556</v>
      </c>
    </row>
    <row r="301" spans="1:30" x14ac:dyDescent="0.25">
      <c r="A301">
        <v>215992</v>
      </c>
      <c r="B301" t="s">
        <v>150</v>
      </c>
      <c r="C301">
        <v>2019</v>
      </c>
      <c r="D301">
        <v>4</v>
      </c>
      <c r="E301" t="s">
        <v>90</v>
      </c>
      <c r="F301" t="s">
        <v>84</v>
      </c>
      <c r="G301" t="s">
        <v>84</v>
      </c>
      <c r="H301" t="s">
        <v>25</v>
      </c>
      <c r="I301" t="s">
        <v>25</v>
      </c>
      <c r="J301" t="s">
        <v>101</v>
      </c>
      <c r="K301" t="s">
        <v>90</v>
      </c>
      <c r="L301" t="s">
        <v>103</v>
      </c>
      <c r="M301">
        <v>807.94171081000002</v>
      </c>
      <c r="N301">
        <v>0</v>
      </c>
      <c r="O301" t="s">
        <v>80</v>
      </c>
      <c r="P301" s="38">
        <v>44269.862962037027</v>
      </c>
      <c r="Q301">
        <v>2049901</v>
      </c>
      <c r="R301" t="s">
        <v>27</v>
      </c>
      <c r="S301" s="4">
        <v>446.5290713</v>
      </c>
      <c r="W301"/>
      <c r="X301">
        <v>0</v>
      </c>
      <c r="AC301" t="s">
        <v>84</v>
      </c>
      <c r="AD301" s="38">
        <v>43556</v>
      </c>
    </row>
    <row r="302" spans="1:30" x14ac:dyDescent="0.25">
      <c r="A302">
        <v>215992</v>
      </c>
      <c r="B302" t="s">
        <v>150</v>
      </c>
      <c r="C302">
        <v>2019</v>
      </c>
      <c r="D302">
        <v>4</v>
      </c>
      <c r="E302" t="s">
        <v>90</v>
      </c>
      <c r="F302" t="s">
        <v>84</v>
      </c>
      <c r="G302" t="s">
        <v>84</v>
      </c>
      <c r="H302" t="s">
        <v>25</v>
      </c>
      <c r="I302" t="s">
        <v>25</v>
      </c>
      <c r="J302" t="s">
        <v>101</v>
      </c>
      <c r="K302" t="s">
        <v>90</v>
      </c>
      <c r="L302" t="s">
        <v>103</v>
      </c>
      <c r="M302">
        <v>807.94171081000002</v>
      </c>
      <c r="N302">
        <v>0</v>
      </c>
      <c r="O302" t="s">
        <v>80</v>
      </c>
      <c r="P302" s="38">
        <v>44269.862962037027</v>
      </c>
      <c r="Q302">
        <v>2049898</v>
      </c>
      <c r="R302" t="s">
        <v>91</v>
      </c>
      <c r="S302" s="4">
        <v>2.1075817400000001</v>
      </c>
      <c r="W302"/>
      <c r="X302">
        <v>0</v>
      </c>
      <c r="AC302" t="s">
        <v>84</v>
      </c>
      <c r="AD302" s="38">
        <v>43556</v>
      </c>
    </row>
    <row r="303" spans="1:30" x14ac:dyDescent="0.25">
      <c r="A303">
        <v>215965</v>
      </c>
      <c r="B303" t="s">
        <v>150</v>
      </c>
      <c r="C303">
        <v>2019</v>
      </c>
      <c r="D303">
        <v>4</v>
      </c>
      <c r="E303" t="s">
        <v>88</v>
      </c>
      <c r="F303" t="s">
        <v>84</v>
      </c>
      <c r="G303" t="s">
        <v>84</v>
      </c>
      <c r="H303" t="s">
        <v>25</v>
      </c>
      <c r="I303" t="s">
        <v>25</v>
      </c>
      <c r="J303" t="s">
        <v>101</v>
      </c>
      <c r="K303" t="s">
        <v>88</v>
      </c>
      <c r="L303" t="s">
        <v>103</v>
      </c>
      <c r="M303">
        <v>278.00060418999999</v>
      </c>
      <c r="N303">
        <v>0</v>
      </c>
      <c r="O303" t="s">
        <v>80</v>
      </c>
      <c r="P303" s="38">
        <v>44269.862960763887</v>
      </c>
      <c r="Q303">
        <v>2049763</v>
      </c>
      <c r="R303" t="s">
        <v>91</v>
      </c>
      <c r="S303" s="4">
        <v>0</v>
      </c>
      <c r="W303"/>
      <c r="X303">
        <v>0</v>
      </c>
      <c r="AC303" t="s">
        <v>84</v>
      </c>
      <c r="AD303" s="38">
        <v>43556</v>
      </c>
    </row>
    <row r="304" spans="1:30" x14ac:dyDescent="0.25">
      <c r="A304">
        <v>215938</v>
      </c>
      <c r="B304" t="s">
        <v>150</v>
      </c>
      <c r="C304">
        <v>2019</v>
      </c>
      <c r="D304">
        <v>4</v>
      </c>
      <c r="E304" t="s">
        <v>86</v>
      </c>
      <c r="F304" t="s">
        <v>84</v>
      </c>
      <c r="G304" t="s">
        <v>84</v>
      </c>
      <c r="H304" t="s">
        <v>25</v>
      </c>
      <c r="I304" t="s">
        <v>25</v>
      </c>
      <c r="J304" t="s">
        <v>101</v>
      </c>
      <c r="K304" t="s">
        <v>86</v>
      </c>
      <c r="L304" t="s">
        <v>103</v>
      </c>
      <c r="M304">
        <v>1388.5089304200001</v>
      </c>
      <c r="N304">
        <v>0</v>
      </c>
      <c r="O304" t="s">
        <v>80</v>
      </c>
      <c r="P304" s="38">
        <v>44269.862959456019</v>
      </c>
      <c r="Q304">
        <v>2049628</v>
      </c>
      <c r="R304" t="s">
        <v>91</v>
      </c>
      <c r="S304" s="4">
        <v>3.74297353</v>
      </c>
      <c r="W304"/>
      <c r="X304">
        <v>0</v>
      </c>
      <c r="AC304" t="s">
        <v>84</v>
      </c>
      <c r="AD304" s="38">
        <v>43556</v>
      </c>
    </row>
    <row r="305" spans="1:30" x14ac:dyDescent="0.25">
      <c r="A305">
        <v>215938</v>
      </c>
      <c r="B305" t="s">
        <v>150</v>
      </c>
      <c r="C305">
        <v>2019</v>
      </c>
      <c r="D305">
        <v>4</v>
      </c>
      <c r="E305" t="s">
        <v>86</v>
      </c>
      <c r="F305" t="s">
        <v>84</v>
      </c>
      <c r="G305" t="s">
        <v>84</v>
      </c>
      <c r="H305" t="s">
        <v>25</v>
      </c>
      <c r="I305" t="s">
        <v>25</v>
      </c>
      <c r="J305" t="s">
        <v>101</v>
      </c>
      <c r="K305" t="s">
        <v>86</v>
      </c>
      <c r="L305" t="s">
        <v>103</v>
      </c>
      <c r="M305">
        <v>1388.5089304200001</v>
      </c>
      <c r="N305">
        <v>0</v>
      </c>
      <c r="O305" t="s">
        <v>80</v>
      </c>
      <c r="P305" s="38">
        <v>44269.862959456019</v>
      </c>
      <c r="Q305">
        <v>2049630</v>
      </c>
      <c r="R305" t="s">
        <v>28</v>
      </c>
      <c r="S305" s="4">
        <v>3.4784919799999998</v>
      </c>
      <c r="W305"/>
      <c r="X305">
        <v>0</v>
      </c>
      <c r="AC305" t="s">
        <v>84</v>
      </c>
      <c r="AD305" s="38">
        <v>43556</v>
      </c>
    </row>
    <row r="306" spans="1:30" x14ac:dyDescent="0.25">
      <c r="A306">
        <v>215965</v>
      </c>
      <c r="B306" t="s">
        <v>150</v>
      </c>
      <c r="C306">
        <v>2019</v>
      </c>
      <c r="D306">
        <v>4</v>
      </c>
      <c r="E306" t="s">
        <v>88</v>
      </c>
      <c r="F306" t="s">
        <v>84</v>
      </c>
      <c r="G306" t="s">
        <v>84</v>
      </c>
      <c r="H306" t="s">
        <v>25</v>
      </c>
      <c r="I306" t="s">
        <v>25</v>
      </c>
      <c r="J306" t="s">
        <v>101</v>
      </c>
      <c r="K306" t="s">
        <v>88</v>
      </c>
      <c r="L306" t="s">
        <v>103</v>
      </c>
      <c r="M306">
        <v>278.00060418999999</v>
      </c>
      <c r="N306">
        <v>0</v>
      </c>
      <c r="O306" t="s">
        <v>80</v>
      </c>
      <c r="P306" s="38">
        <v>44269.862960763887</v>
      </c>
      <c r="Q306">
        <v>2049765</v>
      </c>
      <c r="R306" t="s">
        <v>28</v>
      </c>
      <c r="S306" s="4">
        <v>0</v>
      </c>
      <c r="W306"/>
      <c r="X306">
        <v>0</v>
      </c>
      <c r="AC306" t="s">
        <v>84</v>
      </c>
      <c r="AD306" s="38">
        <v>43556</v>
      </c>
    </row>
    <row r="307" spans="1:30" x14ac:dyDescent="0.25">
      <c r="A307">
        <v>215992</v>
      </c>
      <c r="B307" t="s">
        <v>150</v>
      </c>
      <c r="C307">
        <v>2019</v>
      </c>
      <c r="D307">
        <v>4</v>
      </c>
      <c r="E307" t="s">
        <v>90</v>
      </c>
      <c r="F307" t="s">
        <v>84</v>
      </c>
      <c r="G307" t="s">
        <v>84</v>
      </c>
      <c r="H307" t="s">
        <v>25</v>
      </c>
      <c r="I307" t="s">
        <v>25</v>
      </c>
      <c r="J307" t="s">
        <v>101</v>
      </c>
      <c r="K307" t="s">
        <v>90</v>
      </c>
      <c r="L307" t="s">
        <v>103</v>
      </c>
      <c r="M307">
        <v>807.94171081000002</v>
      </c>
      <c r="N307">
        <v>0</v>
      </c>
      <c r="O307" t="s">
        <v>80</v>
      </c>
      <c r="P307" s="38">
        <v>44269.862962037027</v>
      </c>
      <c r="Q307">
        <v>2049900</v>
      </c>
      <c r="R307" t="s">
        <v>28</v>
      </c>
      <c r="S307" s="4">
        <v>1.89666541</v>
      </c>
      <c r="W307"/>
      <c r="X307">
        <v>0</v>
      </c>
      <c r="AC307" t="s">
        <v>84</v>
      </c>
      <c r="AD307" s="38">
        <v>43556</v>
      </c>
    </row>
    <row r="308" spans="1:30" x14ac:dyDescent="0.25">
      <c r="A308">
        <v>229711</v>
      </c>
      <c r="B308" t="s">
        <v>152</v>
      </c>
      <c r="C308">
        <v>2019</v>
      </c>
      <c r="D308">
        <v>5</v>
      </c>
      <c r="E308" t="s">
        <v>90</v>
      </c>
      <c r="F308" t="s">
        <v>84</v>
      </c>
      <c r="G308" t="s">
        <v>84</v>
      </c>
      <c r="H308" t="s">
        <v>25</v>
      </c>
      <c r="I308" t="s">
        <v>25</v>
      </c>
      <c r="J308" t="s">
        <v>101</v>
      </c>
      <c r="K308" t="s">
        <v>90</v>
      </c>
      <c r="L308" t="s">
        <v>103</v>
      </c>
      <c r="M308">
        <v>761.62555524000004</v>
      </c>
      <c r="N308">
        <v>0</v>
      </c>
      <c r="O308" t="s">
        <v>80</v>
      </c>
      <c r="P308" s="38">
        <v>44269.864760335651</v>
      </c>
      <c r="Q308">
        <v>2179776</v>
      </c>
      <c r="R308" t="s">
        <v>26</v>
      </c>
      <c r="S308" s="4">
        <v>275.87171546000002</v>
      </c>
      <c r="W308"/>
      <c r="X308">
        <v>0</v>
      </c>
      <c r="AC308" t="s">
        <v>84</v>
      </c>
      <c r="AD308" s="38">
        <v>43586</v>
      </c>
    </row>
    <row r="309" spans="1:30" x14ac:dyDescent="0.25">
      <c r="A309">
        <v>229684</v>
      </c>
      <c r="B309" t="s">
        <v>152</v>
      </c>
      <c r="C309">
        <v>2019</v>
      </c>
      <c r="D309">
        <v>5</v>
      </c>
      <c r="E309" t="s">
        <v>88</v>
      </c>
      <c r="F309" t="s">
        <v>84</v>
      </c>
      <c r="G309" t="s">
        <v>84</v>
      </c>
      <c r="H309" t="s">
        <v>25</v>
      </c>
      <c r="I309" t="s">
        <v>25</v>
      </c>
      <c r="J309" t="s">
        <v>101</v>
      </c>
      <c r="K309" t="s">
        <v>88</v>
      </c>
      <c r="L309" t="s">
        <v>103</v>
      </c>
      <c r="M309">
        <v>306.35749342000003</v>
      </c>
      <c r="N309">
        <v>0</v>
      </c>
      <c r="O309" t="s">
        <v>80</v>
      </c>
      <c r="P309" s="38">
        <v>44269.864759108787</v>
      </c>
      <c r="Q309">
        <v>2179641</v>
      </c>
      <c r="R309" t="s">
        <v>26</v>
      </c>
      <c r="S309" s="4">
        <v>133.68625990999999</v>
      </c>
      <c r="W309"/>
      <c r="X309">
        <v>0</v>
      </c>
      <c r="AC309" t="s">
        <v>84</v>
      </c>
      <c r="AD309" s="38">
        <v>43586</v>
      </c>
    </row>
    <row r="310" spans="1:30" x14ac:dyDescent="0.25">
      <c r="A310">
        <v>229657</v>
      </c>
      <c r="B310" t="s">
        <v>152</v>
      </c>
      <c r="C310">
        <v>2019</v>
      </c>
      <c r="D310">
        <v>5</v>
      </c>
      <c r="E310" t="s">
        <v>86</v>
      </c>
      <c r="F310" t="s">
        <v>84</v>
      </c>
      <c r="G310" t="s">
        <v>84</v>
      </c>
      <c r="H310" t="s">
        <v>25</v>
      </c>
      <c r="I310" t="s">
        <v>25</v>
      </c>
      <c r="J310" t="s">
        <v>101</v>
      </c>
      <c r="K310" t="s">
        <v>86</v>
      </c>
      <c r="L310" t="s">
        <v>103</v>
      </c>
      <c r="M310">
        <v>1362.84439969</v>
      </c>
      <c r="N310">
        <v>0</v>
      </c>
      <c r="O310" t="s">
        <v>80</v>
      </c>
      <c r="P310" s="38">
        <v>44269.864757754629</v>
      </c>
      <c r="Q310">
        <v>2179506</v>
      </c>
      <c r="R310" t="s">
        <v>26</v>
      </c>
      <c r="S310" s="4">
        <v>465.83204876000002</v>
      </c>
      <c r="W310"/>
      <c r="X310">
        <v>0</v>
      </c>
      <c r="AC310" t="s">
        <v>84</v>
      </c>
      <c r="AD310" s="38">
        <v>43586</v>
      </c>
    </row>
    <row r="311" spans="1:30" x14ac:dyDescent="0.25">
      <c r="A311">
        <v>229684</v>
      </c>
      <c r="B311" t="s">
        <v>152</v>
      </c>
      <c r="C311">
        <v>2019</v>
      </c>
      <c r="D311">
        <v>5</v>
      </c>
      <c r="E311" t="s">
        <v>88</v>
      </c>
      <c r="F311" t="s">
        <v>84</v>
      </c>
      <c r="G311" t="s">
        <v>84</v>
      </c>
      <c r="H311" t="s">
        <v>25</v>
      </c>
      <c r="I311" t="s">
        <v>25</v>
      </c>
      <c r="J311" t="s">
        <v>101</v>
      </c>
      <c r="K311" t="s">
        <v>88</v>
      </c>
      <c r="L311" t="s">
        <v>103</v>
      </c>
      <c r="M311">
        <v>306.35749342000003</v>
      </c>
      <c r="N311">
        <v>0</v>
      </c>
      <c r="O311" t="s">
        <v>80</v>
      </c>
      <c r="P311" s="38">
        <v>44269.864759108787</v>
      </c>
      <c r="Q311">
        <v>2179644</v>
      </c>
      <c r="R311" t="s">
        <v>81</v>
      </c>
      <c r="S311" s="4">
        <v>31.02332144</v>
      </c>
      <c r="W311"/>
      <c r="X311">
        <v>0</v>
      </c>
      <c r="AC311" t="s">
        <v>84</v>
      </c>
      <c r="AD311" s="38">
        <v>43586</v>
      </c>
    </row>
    <row r="312" spans="1:30" x14ac:dyDescent="0.25">
      <c r="A312">
        <v>229711</v>
      </c>
      <c r="B312" t="s">
        <v>152</v>
      </c>
      <c r="C312">
        <v>2019</v>
      </c>
      <c r="D312">
        <v>5</v>
      </c>
      <c r="E312" t="s">
        <v>90</v>
      </c>
      <c r="F312" t="s">
        <v>84</v>
      </c>
      <c r="G312" t="s">
        <v>84</v>
      </c>
      <c r="H312" t="s">
        <v>25</v>
      </c>
      <c r="I312" t="s">
        <v>25</v>
      </c>
      <c r="J312" t="s">
        <v>101</v>
      </c>
      <c r="K312" t="s">
        <v>90</v>
      </c>
      <c r="L312" t="s">
        <v>103</v>
      </c>
      <c r="M312">
        <v>761.62555524000004</v>
      </c>
      <c r="N312">
        <v>0</v>
      </c>
      <c r="O312" t="s">
        <v>80</v>
      </c>
      <c r="P312" s="38">
        <v>44269.864760335651</v>
      </c>
      <c r="Q312">
        <v>2179779</v>
      </c>
      <c r="R312" t="s">
        <v>81</v>
      </c>
      <c r="S312" s="4">
        <v>77.284503549999997</v>
      </c>
      <c r="W312"/>
      <c r="X312">
        <v>0</v>
      </c>
      <c r="AC312" t="s">
        <v>84</v>
      </c>
      <c r="AD312" s="38">
        <v>43586</v>
      </c>
    </row>
    <row r="313" spans="1:30" x14ac:dyDescent="0.25">
      <c r="A313">
        <v>229657</v>
      </c>
      <c r="B313" t="s">
        <v>152</v>
      </c>
      <c r="C313">
        <v>2019</v>
      </c>
      <c r="D313">
        <v>5</v>
      </c>
      <c r="E313" t="s">
        <v>86</v>
      </c>
      <c r="F313" t="s">
        <v>84</v>
      </c>
      <c r="G313" t="s">
        <v>84</v>
      </c>
      <c r="H313" t="s">
        <v>25</v>
      </c>
      <c r="I313" t="s">
        <v>25</v>
      </c>
      <c r="J313" t="s">
        <v>101</v>
      </c>
      <c r="K313" t="s">
        <v>86</v>
      </c>
      <c r="L313" t="s">
        <v>103</v>
      </c>
      <c r="M313">
        <v>1362.84439969</v>
      </c>
      <c r="N313">
        <v>0</v>
      </c>
      <c r="O313" t="s">
        <v>80</v>
      </c>
      <c r="P313" s="38">
        <v>44269.864757754629</v>
      </c>
      <c r="Q313">
        <v>2179509</v>
      </c>
      <c r="R313" t="s">
        <v>81</v>
      </c>
      <c r="S313" s="4">
        <v>162.26489577000001</v>
      </c>
      <c r="W313"/>
      <c r="X313">
        <v>0</v>
      </c>
      <c r="AC313" t="s">
        <v>84</v>
      </c>
      <c r="AD313" s="38">
        <v>43586</v>
      </c>
    </row>
    <row r="314" spans="1:30" x14ac:dyDescent="0.25">
      <c r="A314">
        <v>229711</v>
      </c>
      <c r="B314" t="s">
        <v>152</v>
      </c>
      <c r="C314">
        <v>2019</v>
      </c>
      <c r="D314">
        <v>5</v>
      </c>
      <c r="E314" t="s">
        <v>90</v>
      </c>
      <c r="F314" t="s">
        <v>84</v>
      </c>
      <c r="G314" t="s">
        <v>84</v>
      </c>
      <c r="H314" t="s">
        <v>25</v>
      </c>
      <c r="I314" t="s">
        <v>25</v>
      </c>
      <c r="J314" t="s">
        <v>101</v>
      </c>
      <c r="K314" t="s">
        <v>90</v>
      </c>
      <c r="L314" t="s">
        <v>103</v>
      </c>
      <c r="M314">
        <v>761.62555524000004</v>
      </c>
      <c r="N314">
        <v>0</v>
      </c>
      <c r="O314" t="s">
        <v>80</v>
      </c>
      <c r="P314" s="38">
        <v>44269.864760335651</v>
      </c>
      <c r="Q314">
        <v>2179778</v>
      </c>
      <c r="R314" t="s">
        <v>27</v>
      </c>
      <c r="S314" s="4">
        <v>420.93129654000001</v>
      </c>
      <c r="W314"/>
      <c r="X314">
        <v>0</v>
      </c>
      <c r="AC314" t="s">
        <v>84</v>
      </c>
      <c r="AD314" s="38">
        <v>43586</v>
      </c>
    </row>
    <row r="315" spans="1:30" x14ac:dyDescent="0.25">
      <c r="A315">
        <v>229657</v>
      </c>
      <c r="B315" t="s">
        <v>152</v>
      </c>
      <c r="C315">
        <v>2019</v>
      </c>
      <c r="D315">
        <v>5</v>
      </c>
      <c r="E315" t="s">
        <v>86</v>
      </c>
      <c r="F315" t="s">
        <v>84</v>
      </c>
      <c r="G315" t="s">
        <v>84</v>
      </c>
      <c r="H315" t="s">
        <v>25</v>
      </c>
      <c r="I315" t="s">
        <v>25</v>
      </c>
      <c r="J315" t="s">
        <v>101</v>
      </c>
      <c r="K315" t="s">
        <v>86</v>
      </c>
      <c r="L315" t="s">
        <v>103</v>
      </c>
      <c r="M315">
        <v>1362.84439969</v>
      </c>
      <c r="N315">
        <v>0</v>
      </c>
      <c r="O315" t="s">
        <v>80</v>
      </c>
      <c r="P315" s="38">
        <v>44269.864757754629</v>
      </c>
      <c r="Q315">
        <v>2179508</v>
      </c>
      <c r="R315" t="s">
        <v>27</v>
      </c>
      <c r="S315" s="4">
        <v>756.71316791000004</v>
      </c>
      <c r="W315"/>
      <c r="X315">
        <v>0</v>
      </c>
      <c r="AC315" t="s">
        <v>84</v>
      </c>
      <c r="AD315" s="38">
        <v>43586</v>
      </c>
    </row>
    <row r="316" spans="1:30" x14ac:dyDescent="0.25">
      <c r="A316">
        <v>229684</v>
      </c>
      <c r="B316" t="s">
        <v>152</v>
      </c>
      <c r="C316">
        <v>2019</v>
      </c>
      <c r="D316">
        <v>5</v>
      </c>
      <c r="E316" t="s">
        <v>88</v>
      </c>
      <c r="F316" t="s">
        <v>84</v>
      </c>
      <c r="G316" t="s">
        <v>84</v>
      </c>
      <c r="H316" t="s">
        <v>25</v>
      </c>
      <c r="I316" t="s">
        <v>25</v>
      </c>
      <c r="J316" t="s">
        <v>101</v>
      </c>
      <c r="K316" t="s">
        <v>88</v>
      </c>
      <c r="L316" t="s">
        <v>103</v>
      </c>
      <c r="M316">
        <v>306.35749342000003</v>
      </c>
      <c r="N316">
        <v>0</v>
      </c>
      <c r="O316" t="s">
        <v>80</v>
      </c>
      <c r="P316" s="38">
        <v>44269.864759108787</v>
      </c>
      <c r="Q316">
        <v>2179643</v>
      </c>
      <c r="R316" t="s">
        <v>27</v>
      </c>
      <c r="S316" s="4">
        <v>148.17897223</v>
      </c>
      <c r="W316"/>
      <c r="X316">
        <v>0</v>
      </c>
      <c r="AC316" t="s">
        <v>84</v>
      </c>
      <c r="AD316" s="38">
        <v>43586</v>
      </c>
    </row>
    <row r="317" spans="1:30" x14ac:dyDescent="0.25">
      <c r="A317">
        <v>229684</v>
      </c>
      <c r="B317" t="s">
        <v>152</v>
      </c>
      <c r="C317">
        <v>2019</v>
      </c>
      <c r="D317">
        <v>5</v>
      </c>
      <c r="E317" t="s">
        <v>88</v>
      </c>
      <c r="F317" t="s">
        <v>84</v>
      </c>
      <c r="G317" t="s">
        <v>84</v>
      </c>
      <c r="H317" t="s">
        <v>25</v>
      </c>
      <c r="I317" t="s">
        <v>25</v>
      </c>
      <c r="J317" t="s">
        <v>101</v>
      </c>
      <c r="K317" t="s">
        <v>88</v>
      </c>
      <c r="L317" t="s">
        <v>103</v>
      </c>
      <c r="M317">
        <v>306.35749342000003</v>
      </c>
      <c r="N317">
        <v>0</v>
      </c>
      <c r="O317" t="s">
        <v>80</v>
      </c>
      <c r="P317" s="38">
        <v>44269.864759108787</v>
      </c>
      <c r="Q317">
        <v>2179640</v>
      </c>
      <c r="R317" t="s">
        <v>91</v>
      </c>
      <c r="S317" s="4">
        <v>0</v>
      </c>
      <c r="W317"/>
      <c r="X317">
        <v>0</v>
      </c>
      <c r="AC317" t="s">
        <v>84</v>
      </c>
      <c r="AD317" s="38">
        <v>43586</v>
      </c>
    </row>
    <row r="318" spans="1:30" x14ac:dyDescent="0.25">
      <c r="A318">
        <v>229657</v>
      </c>
      <c r="B318" t="s">
        <v>152</v>
      </c>
      <c r="C318">
        <v>2019</v>
      </c>
      <c r="D318">
        <v>5</v>
      </c>
      <c r="E318" t="s">
        <v>86</v>
      </c>
      <c r="F318" t="s">
        <v>84</v>
      </c>
      <c r="G318" t="s">
        <v>84</v>
      </c>
      <c r="H318" t="s">
        <v>25</v>
      </c>
      <c r="I318" t="s">
        <v>25</v>
      </c>
      <c r="J318" t="s">
        <v>101</v>
      </c>
      <c r="K318" t="s">
        <v>86</v>
      </c>
      <c r="L318" t="s">
        <v>103</v>
      </c>
      <c r="M318">
        <v>1362.84439969</v>
      </c>
      <c r="N318">
        <v>0</v>
      </c>
      <c r="O318" t="s">
        <v>80</v>
      </c>
      <c r="P318" s="38">
        <v>44269.864757754629</v>
      </c>
      <c r="Q318">
        <v>2179505</v>
      </c>
      <c r="R318" t="s">
        <v>91</v>
      </c>
      <c r="S318" s="4">
        <v>3.6737902099999999</v>
      </c>
      <c r="W318"/>
      <c r="X318">
        <v>0</v>
      </c>
      <c r="AC318" t="s">
        <v>84</v>
      </c>
      <c r="AD318" s="38">
        <v>43586</v>
      </c>
    </row>
    <row r="319" spans="1:30" x14ac:dyDescent="0.25">
      <c r="A319">
        <v>229711</v>
      </c>
      <c r="B319" t="s">
        <v>152</v>
      </c>
      <c r="C319">
        <v>2019</v>
      </c>
      <c r="D319">
        <v>5</v>
      </c>
      <c r="E319" t="s">
        <v>90</v>
      </c>
      <c r="F319" t="s">
        <v>84</v>
      </c>
      <c r="G319" t="s">
        <v>84</v>
      </c>
      <c r="H319" t="s">
        <v>25</v>
      </c>
      <c r="I319" t="s">
        <v>25</v>
      </c>
      <c r="J319" t="s">
        <v>101</v>
      </c>
      <c r="K319" t="s">
        <v>90</v>
      </c>
      <c r="L319" t="s">
        <v>103</v>
      </c>
      <c r="M319">
        <v>761.62555524000004</v>
      </c>
      <c r="N319">
        <v>0</v>
      </c>
      <c r="O319" t="s">
        <v>80</v>
      </c>
      <c r="P319" s="38">
        <v>44269.864760335651</v>
      </c>
      <c r="Q319">
        <v>2179775</v>
      </c>
      <c r="R319" t="s">
        <v>91</v>
      </c>
      <c r="S319" s="4">
        <v>1.9867622700000001</v>
      </c>
      <c r="W319"/>
      <c r="X319">
        <v>0</v>
      </c>
      <c r="AC319" t="s">
        <v>84</v>
      </c>
      <c r="AD319" s="38">
        <v>43586</v>
      </c>
    </row>
    <row r="320" spans="1:30" x14ac:dyDescent="0.25">
      <c r="A320">
        <v>229711</v>
      </c>
      <c r="B320" t="s">
        <v>152</v>
      </c>
      <c r="C320">
        <v>2019</v>
      </c>
      <c r="D320">
        <v>5</v>
      </c>
      <c r="E320" t="s">
        <v>90</v>
      </c>
      <c r="F320" t="s">
        <v>84</v>
      </c>
      <c r="G320" t="s">
        <v>84</v>
      </c>
      <c r="H320" t="s">
        <v>25</v>
      </c>
      <c r="I320" t="s">
        <v>25</v>
      </c>
      <c r="J320" t="s">
        <v>101</v>
      </c>
      <c r="K320" t="s">
        <v>90</v>
      </c>
      <c r="L320" t="s">
        <v>103</v>
      </c>
      <c r="M320">
        <v>761.62555524000004</v>
      </c>
      <c r="N320">
        <v>0</v>
      </c>
      <c r="O320" t="s">
        <v>80</v>
      </c>
      <c r="P320" s="38">
        <v>44269.864760335651</v>
      </c>
      <c r="Q320">
        <v>2179777</v>
      </c>
      <c r="R320" t="s">
        <v>28</v>
      </c>
      <c r="S320" s="4">
        <v>1.7879369599999999</v>
      </c>
      <c r="W320"/>
      <c r="X320">
        <v>0</v>
      </c>
      <c r="AC320" t="s">
        <v>84</v>
      </c>
      <c r="AD320" s="38">
        <v>43586</v>
      </c>
    </row>
    <row r="321" spans="1:30" x14ac:dyDescent="0.25">
      <c r="A321">
        <v>229684</v>
      </c>
      <c r="B321" t="s">
        <v>152</v>
      </c>
      <c r="C321">
        <v>2019</v>
      </c>
      <c r="D321">
        <v>5</v>
      </c>
      <c r="E321" t="s">
        <v>88</v>
      </c>
      <c r="F321" t="s">
        <v>84</v>
      </c>
      <c r="G321" t="s">
        <v>84</v>
      </c>
      <c r="H321" t="s">
        <v>25</v>
      </c>
      <c r="I321" t="s">
        <v>25</v>
      </c>
      <c r="J321" t="s">
        <v>101</v>
      </c>
      <c r="K321" t="s">
        <v>88</v>
      </c>
      <c r="L321" t="s">
        <v>103</v>
      </c>
      <c r="M321">
        <v>306.35749342000003</v>
      </c>
      <c r="N321">
        <v>0</v>
      </c>
      <c r="O321" t="s">
        <v>80</v>
      </c>
      <c r="P321" s="38">
        <v>44269.864759108787</v>
      </c>
      <c r="Q321">
        <v>2179642</v>
      </c>
      <c r="R321" t="s">
        <v>28</v>
      </c>
      <c r="S321" s="4">
        <v>0</v>
      </c>
      <c r="W321"/>
      <c r="X321">
        <v>0</v>
      </c>
      <c r="AC321" t="s">
        <v>84</v>
      </c>
      <c r="AD321" s="38">
        <v>43586</v>
      </c>
    </row>
    <row r="322" spans="1:30" x14ac:dyDescent="0.25">
      <c r="A322">
        <v>229657</v>
      </c>
      <c r="B322" t="s">
        <v>152</v>
      </c>
      <c r="C322">
        <v>2019</v>
      </c>
      <c r="D322">
        <v>5</v>
      </c>
      <c r="E322" t="s">
        <v>86</v>
      </c>
      <c r="F322" t="s">
        <v>84</v>
      </c>
      <c r="G322" t="s">
        <v>84</v>
      </c>
      <c r="H322" t="s">
        <v>25</v>
      </c>
      <c r="I322" t="s">
        <v>25</v>
      </c>
      <c r="J322" t="s">
        <v>101</v>
      </c>
      <c r="K322" t="s">
        <v>86</v>
      </c>
      <c r="L322" t="s">
        <v>103</v>
      </c>
      <c r="M322">
        <v>1362.84439969</v>
      </c>
      <c r="N322">
        <v>0</v>
      </c>
      <c r="O322" t="s">
        <v>80</v>
      </c>
      <c r="P322" s="38">
        <v>44269.864757754629</v>
      </c>
      <c r="Q322">
        <v>2179507</v>
      </c>
      <c r="R322" t="s">
        <v>28</v>
      </c>
      <c r="S322" s="4">
        <v>3.4141972100000002</v>
      </c>
      <c r="W322"/>
      <c r="X322">
        <v>0</v>
      </c>
      <c r="AC322" t="s">
        <v>84</v>
      </c>
      <c r="AD322" s="38">
        <v>43586</v>
      </c>
    </row>
    <row r="323" spans="1:30" x14ac:dyDescent="0.25">
      <c r="A323">
        <v>243438</v>
      </c>
      <c r="B323" t="s">
        <v>153</v>
      </c>
      <c r="C323">
        <v>2019</v>
      </c>
      <c r="D323">
        <v>6</v>
      </c>
      <c r="E323" t="s">
        <v>88</v>
      </c>
      <c r="F323" t="s">
        <v>84</v>
      </c>
      <c r="G323" t="s">
        <v>84</v>
      </c>
      <c r="H323" t="s">
        <v>25</v>
      </c>
      <c r="I323" t="s">
        <v>25</v>
      </c>
      <c r="J323" t="s">
        <v>101</v>
      </c>
      <c r="K323" t="s">
        <v>88</v>
      </c>
      <c r="L323" t="s">
        <v>103</v>
      </c>
      <c r="M323">
        <v>251.84571108</v>
      </c>
      <c r="N323">
        <v>0</v>
      </c>
      <c r="O323" t="s">
        <v>80</v>
      </c>
      <c r="P323" s="38">
        <v>44269.86638498844</v>
      </c>
      <c r="Q323">
        <v>2309635</v>
      </c>
      <c r="R323" t="s">
        <v>26</v>
      </c>
      <c r="S323" s="4">
        <v>109.8987683</v>
      </c>
      <c r="W323"/>
      <c r="X323">
        <v>0</v>
      </c>
      <c r="AC323" t="s">
        <v>84</v>
      </c>
      <c r="AD323" s="38">
        <v>43617</v>
      </c>
    </row>
    <row r="324" spans="1:30" x14ac:dyDescent="0.25">
      <c r="A324">
        <v>243411</v>
      </c>
      <c r="B324" t="s">
        <v>153</v>
      </c>
      <c r="C324">
        <v>2019</v>
      </c>
      <c r="D324">
        <v>6</v>
      </c>
      <c r="E324" t="s">
        <v>86</v>
      </c>
      <c r="F324" t="s">
        <v>84</v>
      </c>
      <c r="G324" t="s">
        <v>84</v>
      </c>
      <c r="H324" t="s">
        <v>25</v>
      </c>
      <c r="I324" t="s">
        <v>25</v>
      </c>
      <c r="J324" t="s">
        <v>101</v>
      </c>
      <c r="K324" t="s">
        <v>86</v>
      </c>
      <c r="L324" t="s">
        <v>103</v>
      </c>
      <c r="M324">
        <v>1258.64819612</v>
      </c>
      <c r="N324">
        <v>0</v>
      </c>
      <c r="O324" t="s">
        <v>80</v>
      </c>
      <c r="P324" s="38">
        <v>44269.866383564811</v>
      </c>
      <c r="Q324">
        <v>2309500</v>
      </c>
      <c r="R324" t="s">
        <v>26</v>
      </c>
      <c r="S324" s="4">
        <v>430.21688168999998</v>
      </c>
      <c r="W324"/>
      <c r="X324">
        <v>0</v>
      </c>
      <c r="AC324" t="s">
        <v>84</v>
      </c>
      <c r="AD324" s="38">
        <v>43617</v>
      </c>
    </row>
    <row r="325" spans="1:30" x14ac:dyDescent="0.25">
      <c r="A325">
        <v>243465</v>
      </c>
      <c r="B325" t="s">
        <v>153</v>
      </c>
      <c r="C325">
        <v>2019</v>
      </c>
      <c r="D325">
        <v>6</v>
      </c>
      <c r="E325" t="s">
        <v>90</v>
      </c>
      <c r="F325" t="s">
        <v>84</v>
      </c>
      <c r="G325" t="s">
        <v>84</v>
      </c>
      <c r="H325" t="s">
        <v>25</v>
      </c>
      <c r="I325" t="s">
        <v>25</v>
      </c>
      <c r="J325" t="s">
        <v>101</v>
      </c>
      <c r="K325" t="s">
        <v>90</v>
      </c>
      <c r="L325" t="s">
        <v>103</v>
      </c>
      <c r="M325">
        <v>676.21524277000003</v>
      </c>
      <c r="N325">
        <v>0</v>
      </c>
      <c r="O325" t="s">
        <v>80</v>
      </c>
      <c r="P325" s="38">
        <v>44269.866386307869</v>
      </c>
      <c r="Q325">
        <v>2309770</v>
      </c>
      <c r="R325" t="s">
        <v>26</v>
      </c>
      <c r="S325" s="4">
        <v>244.93487352</v>
      </c>
      <c r="W325"/>
      <c r="X325">
        <v>0</v>
      </c>
      <c r="AC325" t="s">
        <v>84</v>
      </c>
      <c r="AD325" s="38">
        <v>43617</v>
      </c>
    </row>
    <row r="326" spans="1:30" x14ac:dyDescent="0.25">
      <c r="A326">
        <v>243411</v>
      </c>
      <c r="B326" t="s">
        <v>153</v>
      </c>
      <c r="C326">
        <v>2019</v>
      </c>
      <c r="D326">
        <v>6</v>
      </c>
      <c r="E326" t="s">
        <v>86</v>
      </c>
      <c r="F326" t="s">
        <v>84</v>
      </c>
      <c r="G326" t="s">
        <v>84</v>
      </c>
      <c r="H326" t="s">
        <v>25</v>
      </c>
      <c r="I326" t="s">
        <v>25</v>
      </c>
      <c r="J326" t="s">
        <v>101</v>
      </c>
      <c r="K326" t="s">
        <v>86</v>
      </c>
      <c r="L326" t="s">
        <v>103</v>
      </c>
      <c r="M326">
        <v>1258.64819612</v>
      </c>
      <c r="N326">
        <v>0</v>
      </c>
      <c r="O326" t="s">
        <v>80</v>
      </c>
      <c r="P326" s="38">
        <v>44269.866383564811</v>
      </c>
      <c r="Q326">
        <v>2309503</v>
      </c>
      <c r="R326" t="s">
        <v>81</v>
      </c>
      <c r="S326" s="4">
        <v>149.85894089999999</v>
      </c>
      <c r="W326"/>
      <c r="X326">
        <v>0</v>
      </c>
      <c r="AC326" t="s">
        <v>84</v>
      </c>
      <c r="AD326" s="38">
        <v>43617</v>
      </c>
    </row>
    <row r="327" spans="1:30" x14ac:dyDescent="0.25">
      <c r="A327">
        <v>243438</v>
      </c>
      <c r="B327" t="s">
        <v>153</v>
      </c>
      <c r="C327">
        <v>2019</v>
      </c>
      <c r="D327">
        <v>6</v>
      </c>
      <c r="E327" t="s">
        <v>88</v>
      </c>
      <c r="F327" t="s">
        <v>84</v>
      </c>
      <c r="G327" t="s">
        <v>84</v>
      </c>
      <c r="H327" t="s">
        <v>25</v>
      </c>
      <c r="I327" t="s">
        <v>25</v>
      </c>
      <c r="J327" t="s">
        <v>101</v>
      </c>
      <c r="K327" t="s">
        <v>88</v>
      </c>
      <c r="L327" t="s">
        <v>103</v>
      </c>
      <c r="M327">
        <v>251.84571108</v>
      </c>
      <c r="N327">
        <v>0</v>
      </c>
      <c r="O327" t="s">
        <v>80</v>
      </c>
      <c r="P327" s="38">
        <v>44269.86638498844</v>
      </c>
      <c r="Q327">
        <v>2309638</v>
      </c>
      <c r="R327" t="s">
        <v>81</v>
      </c>
      <c r="S327" s="4">
        <v>25.503180489999998</v>
      </c>
      <c r="W327"/>
      <c r="X327">
        <v>0</v>
      </c>
      <c r="AC327" t="s">
        <v>84</v>
      </c>
      <c r="AD327" s="38">
        <v>43617</v>
      </c>
    </row>
    <row r="328" spans="1:30" x14ac:dyDescent="0.25">
      <c r="A328">
        <v>243465</v>
      </c>
      <c r="B328" t="s">
        <v>153</v>
      </c>
      <c r="C328">
        <v>2019</v>
      </c>
      <c r="D328">
        <v>6</v>
      </c>
      <c r="E328" t="s">
        <v>90</v>
      </c>
      <c r="F328" t="s">
        <v>84</v>
      </c>
      <c r="G328" t="s">
        <v>84</v>
      </c>
      <c r="H328" t="s">
        <v>25</v>
      </c>
      <c r="I328" t="s">
        <v>25</v>
      </c>
      <c r="J328" t="s">
        <v>101</v>
      </c>
      <c r="K328" t="s">
        <v>90</v>
      </c>
      <c r="L328" t="s">
        <v>103</v>
      </c>
      <c r="M328">
        <v>676.21524277000003</v>
      </c>
      <c r="N328">
        <v>0</v>
      </c>
      <c r="O328" t="s">
        <v>80</v>
      </c>
      <c r="P328" s="38">
        <v>44269.866386307869</v>
      </c>
      <c r="Q328">
        <v>2309773</v>
      </c>
      <c r="R328" t="s">
        <v>81</v>
      </c>
      <c r="S328" s="4">
        <v>68.617654659999999</v>
      </c>
      <c r="W328"/>
      <c r="X328">
        <v>0</v>
      </c>
      <c r="AC328" t="s">
        <v>84</v>
      </c>
      <c r="AD328" s="38">
        <v>43617</v>
      </c>
    </row>
    <row r="329" spans="1:30" x14ac:dyDescent="0.25">
      <c r="A329">
        <v>243411</v>
      </c>
      <c r="B329" t="s">
        <v>153</v>
      </c>
      <c r="C329">
        <v>2019</v>
      </c>
      <c r="D329">
        <v>6</v>
      </c>
      <c r="E329" t="s">
        <v>86</v>
      </c>
      <c r="F329" t="s">
        <v>84</v>
      </c>
      <c r="G329" t="s">
        <v>84</v>
      </c>
      <c r="H329" t="s">
        <v>25</v>
      </c>
      <c r="I329" t="s">
        <v>25</v>
      </c>
      <c r="J329" t="s">
        <v>101</v>
      </c>
      <c r="K329" t="s">
        <v>86</v>
      </c>
      <c r="L329" t="s">
        <v>103</v>
      </c>
      <c r="M329">
        <v>1258.64819612</v>
      </c>
      <c r="N329">
        <v>0</v>
      </c>
      <c r="O329" t="s">
        <v>80</v>
      </c>
      <c r="P329" s="38">
        <v>44269.866383564811</v>
      </c>
      <c r="Q329">
        <v>2309502</v>
      </c>
      <c r="R329" t="s">
        <v>27</v>
      </c>
      <c r="S329" s="4">
        <v>698.85869876000004</v>
      </c>
      <c r="W329"/>
      <c r="X329">
        <v>0</v>
      </c>
      <c r="AC329" t="s">
        <v>84</v>
      </c>
      <c r="AD329" s="38">
        <v>43617</v>
      </c>
    </row>
    <row r="330" spans="1:30" x14ac:dyDescent="0.25">
      <c r="A330">
        <v>243465</v>
      </c>
      <c r="B330" t="s">
        <v>153</v>
      </c>
      <c r="C330">
        <v>2019</v>
      </c>
      <c r="D330">
        <v>6</v>
      </c>
      <c r="E330" t="s">
        <v>90</v>
      </c>
      <c r="F330" t="s">
        <v>84</v>
      </c>
      <c r="G330" t="s">
        <v>84</v>
      </c>
      <c r="H330" t="s">
        <v>25</v>
      </c>
      <c r="I330" t="s">
        <v>25</v>
      </c>
      <c r="J330" t="s">
        <v>101</v>
      </c>
      <c r="K330" t="s">
        <v>90</v>
      </c>
      <c r="L330" t="s">
        <v>103</v>
      </c>
      <c r="M330">
        <v>676.21524277000003</v>
      </c>
      <c r="N330">
        <v>0</v>
      </c>
      <c r="O330" t="s">
        <v>80</v>
      </c>
      <c r="P330" s="38">
        <v>44269.866386307869</v>
      </c>
      <c r="Q330">
        <v>2309772</v>
      </c>
      <c r="R330" t="s">
        <v>27</v>
      </c>
      <c r="S330" s="4">
        <v>373.72716412</v>
      </c>
      <c r="W330"/>
      <c r="X330">
        <v>0</v>
      </c>
      <c r="AC330" t="s">
        <v>84</v>
      </c>
      <c r="AD330" s="38">
        <v>43617</v>
      </c>
    </row>
    <row r="331" spans="1:30" x14ac:dyDescent="0.25">
      <c r="A331">
        <v>243438</v>
      </c>
      <c r="B331" t="s">
        <v>153</v>
      </c>
      <c r="C331">
        <v>2019</v>
      </c>
      <c r="D331">
        <v>6</v>
      </c>
      <c r="E331" t="s">
        <v>88</v>
      </c>
      <c r="F331" t="s">
        <v>84</v>
      </c>
      <c r="G331" t="s">
        <v>84</v>
      </c>
      <c r="H331" t="s">
        <v>25</v>
      </c>
      <c r="I331" t="s">
        <v>25</v>
      </c>
      <c r="J331" t="s">
        <v>101</v>
      </c>
      <c r="K331" t="s">
        <v>88</v>
      </c>
      <c r="L331" t="s">
        <v>103</v>
      </c>
      <c r="M331">
        <v>251.84571108</v>
      </c>
      <c r="N331">
        <v>0</v>
      </c>
      <c r="O331" t="s">
        <v>80</v>
      </c>
      <c r="P331" s="38">
        <v>44269.86638498844</v>
      </c>
      <c r="Q331">
        <v>2309637</v>
      </c>
      <c r="R331" t="s">
        <v>27</v>
      </c>
      <c r="S331" s="4">
        <v>121.81271694</v>
      </c>
      <c r="W331"/>
      <c r="X331">
        <v>0</v>
      </c>
      <c r="AC331" t="s">
        <v>84</v>
      </c>
      <c r="AD331" s="38">
        <v>43617</v>
      </c>
    </row>
    <row r="332" spans="1:30" x14ac:dyDescent="0.25">
      <c r="A332">
        <v>243411</v>
      </c>
      <c r="B332" t="s">
        <v>153</v>
      </c>
      <c r="C332">
        <v>2019</v>
      </c>
      <c r="D332">
        <v>6</v>
      </c>
      <c r="E332" t="s">
        <v>86</v>
      </c>
      <c r="F332" t="s">
        <v>84</v>
      </c>
      <c r="G332" t="s">
        <v>84</v>
      </c>
      <c r="H332" t="s">
        <v>25</v>
      </c>
      <c r="I332" t="s">
        <v>25</v>
      </c>
      <c r="J332" t="s">
        <v>101</v>
      </c>
      <c r="K332" t="s">
        <v>86</v>
      </c>
      <c r="L332" t="s">
        <v>103</v>
      </c>
      <c r="M332">
        <v>1258.64819612</v>
      </c>
      <c r="N332">
        <v>0</v>
      </c>
      <c r="O332" t="s">
        <v>80</v>
      </c>
      <c r="P332" s="38">
        <v>44269.866383564811</v>
      </c>
      <c r="Q332">
        <v>2309499</v>
      </c>
      <c r="R332" t="s">
        <v>91</v>
      </c>
      <c r="S332" s="4">
        <v>3.3929107599999999</v>
      </c>
      <c r="W332"/>
      <c r="X332">
        <v>0</v>
      </c>
      <c r="AC332" t="s">
        <v>84</v>
      </c>
      <c r="AD332" s="38">
        <v>43617</v>
      </c>
    </row>
    <row r="333" spans="1:30" x14ac:dyDescent="0.25">
      <c r="A333">
        <v>243465</v>
      </c>
      <c r="B333" t="s">
        <v>153</v>
      </c>
      <c r="C333">
        <v>2019</v>
      </c>
      <c r="D333">
        <v>6</v>
      </c>
      <c r="E333" t="s">
        <v>90</v>
      </c>
      <c r="F333" t="s">
        <v>84</v>
      </c>
      <c r="G333" t="s">
        <v>84</v>
      </c>
      <c r="H333" t="s">
        <v>25</v>
      </c>
      <c r="I333" t="s">
        <v>25</v>
      </c>
      <c r="J333" t="s">
        <v>101</v>
      </c>
      <c r="K333" t="s">
        <v>90</v>
      </c>
      <c r="L333" t="s">
        <v>103</v>
      </c>
      <c r="M333">
        <v>676.21524277000003</v>
      </c>
      <c r="N333">
        <v>0</v>
      </c>
      <c r="O333" t="s">
        <v>80</v>
      </c>
      <c r="P333" s="38">
        <v>44269.866386307869</v>
      </c>
      <c r="Q333">
        <v>2309769</v>
      </c>
      <c r="R333" t="s">
        <v>91</v>
      </c>
      <c r="S333" s="4">
        <v>1.76396252</v>
      </c>
      <c r="W333"/>
      <c r="X333">
        <v>0</v>
      </c>
      <c r="AC333" t="s">
        <v>84</v>
      </c>
      <c r="AD333" s="38">
        <v>43617</v>
      </c>
    </row>
    <row r="334" spans="1:30" x14ac:dyDescent="0.25">
      <c r="A334">
        <v>243438</v>
      </c>
      <c r="B334" t="s">
        <v>153</v>
      </c>
      <c r="C334">
        <v>2019</v>
      </c>
      <c r="D334">
        <v>6</v>
      </c>
      <c r="E334" t="s">
        <v>88</v>
      </c>
      <c r="F334" t="s">
        <v>84</v>
      </c>
      <c r="G334" t="s">
        <v>84</v>
      </c>
      <c r="H334" t="s">
        <v>25</v>
      </c>
      <c r="I334" t="s">
        <v>25</v>
      </c>
      <c r="J334" t="s">
        <v>101</v>
      </c>
      <c r="K334" t="s">
        <v>88</v>
      </c>
      <c r="L334" t="s">
        <v>103</v>
      </c>
      <c r="M334">
        <v>251.84571108</v>
      </c>
      <c r="N334">
        <v>0</v>
      </c>
      <c r="O334" t="s">
        <v>80</v>
      </c>
      <c r="P334" s="38">
        <v>44269.86638498844</v>
      </c>
      <c r="Q334">
        <v>2309634</v>
      </c>
      <c r="R334" t="s">
        <v>91</v>
      </c>
      <c r="S334" s="4">
        <v>0</v>
      </c>
      <c r="W334"/>
      <c r="X334">
        <v>0</v>
      </c>
      <c r="AC334" t="s">
        <v>84</v>
      </c>
      <c r="AD334" s="38">
        <v>43617</v>
      </c>
    </row>
    <row r="335" spans="1:30" x14ac:dyDescent="0.25">
      <c r="A335">
        <v>243411</v>
      </c>
      <c r="B335" t="s">
        <v>153</v>
      </c>
      <c r="C335">
        <v>2019</v>
      </c>
      <c r="D335">
        <v>6</v>
      </c>
      <c r="E335" t="s">
        <v>86</v>
      </c>
      <c r="F335" t="s">
        <v>84</v>
      </c>
      <c r="G335" t="s">
        <v>84</v>
      </c>
      <c r="H335" t="s">
        <v>25</v>
      </c>
      <c r="I335" t="s">
        <v>25</v>
      </c>
      <c r="J335" t="s">
        <v>101</v>
      </c>
      <c r="K335" t="s">
        <v>86</v>
      </c>
      <c r="L335" t="s">
        <v>103</v>
      </c>
      <c r="M335">
        <v>1258.64819612</v>
      </c>
      <c r="N335">
        <v>0</v>
      </c>
      <c r="O335" t="s">
        <v>80</v>
      </c>
      <c r="P335" s="38">
        <v>44269.866383564811</v>
      </c>
      <c r="Q335">
        <v>2309501</v>
      </c>
      <c r="R335" t="s">
        <v>28</v>
      </c>
      <c r="S335" s="4">
        <v>3.15316492</v>
      </c>
      <c r="W335"/>
      <c r="X335">
        <v>0</v>
      </c>
      <c r="AC335" t="s">
        <v>84</v>
      </c>
      <c r="AD335" s="38">
        <v>43617</v>
      </c>
    </row>
    <row r="336" spans="1:30" x14ac:dyDescent="0.25">
      <c r="A336">
        <v>243438</v>
      </c>
      <c r="B336" t="s">
        <v>153</v>
      </c>
      <c r="C336">
        <v>2019</v>
      </c>
      <c r="D336">
        <v>6</v>
      </c>
      <c r="E336" t="s">
        <v>88</v>
      </c>
      <c r="F336" t="s">
        <v>84</v>
      </c>
      <c r="G336" t="s">
        <v>84</v>
      </c>
      <c r="H336" t="s">
        <v>25</v>
      </c>
      <c r="I336" t="s">
        <v>25</v>
      </c>
      <c r="J336" t="s">
        <v>101</v>
      </c>
      <c r="K336" t="s">
        <v>88</v>
      </c>
      <c r="L336" t="s">
        <v>103</v>
      </c>
      <c r="M336">
        <v>251.84571108</v>
      </c>
      <c r="N336">
        <v>0</v>
      </c>
      <c r="O336" t="s">
        <v>80</v>
      </c>
      <c r="P336" s="38">
        <v>44269.86638498844</v>
      </c>
      <c r="Q336">
        <v>2309636</v>
      </c>
      <c r="R336" t="s">
        <v>28</v>
      </c>
      <c r="S336" s="4">
        <v>0</v>
      </c>
      <c r="W336"/>
      <c r="X336">
        <v>0</v>
      </c>
      <c r="AC336" t="s">
        <v>84</v>
      </c>
      <c r="AD336" s="38">
        <v>43617</v>
      </c>
    </row>
    <row r="337" spans="1:30" x14ac:dyDescent="0.25">
      <c r="A337">
        <v>243465</v>
      </c>
      <c r="B337" t="s">
        <v>153</v>
      </c>
      <c r="C337">
        <v>2019</v>
      </c>
      <c r="D337">
        <v>6</v>
      </c>
      <c r="E337" t="s">
        <v>90</v>
      </c>
      <c r="F337" t="s">
        <v>84</v>
      </c>
      <c r="G337" t="s">
        <v>84</v>
      </c>
      <c r="H337" t="s">
        <v>25</v>
      </c>
      <c r="I337" t="s">
        <v>25</v>
      </c>
      <c r="J337" t="s">
        <v>101</v>
      </c>
      <c r="K337" t="s">
        <v>90</v>
      </c>
      <c r="L337" t="s">
        <v>103</v>
      </c>
      <c r="M337">
        <v>676.21524277000003</v>
      </c>
      <c r="N337">
        <v>0</v>
      </c>
      <c r="O337" t="s">
        <v>80</v>
      </c>
      <c r="P337" s="38">
        <v>44269.866386307869</v>
      </c>
      <c r="Q337">
        <v>2309771</v>
      </c>
      <c r="R337" t="s">
        <v>28</v>
      </c>
      <c r="S337" s="4">
        <v>1.5874339</v>
      </c>
      <c r="W337"/>
      <c r="X337">
        <v>0</v>
      </c>
      <c r="AC337" t="s">
        <v>84</v>
      </c>
      <c r="AD337" s="38">
        <v>43617</v>
      </c>
    </row>
    <row r="338" spans="1:30" x14ac:dyDescent="0.25">
      <c r="A338">
        <v>257220</v>
      </c>
      <c r="B338" t="s">
        <v>146</v>
      </c>
      <c r="C338">
        <v>2019</v>
      </c>
      <c r="D338">
        <v>7</v>
      </c>
      <c r="E338" t="s">
        <v>90</v>
      </c>
      <c r="F338" t="s">
        <v>84</v>
      </c>
      <c r="G338" t="s">
        <v>84</v>
      </c>
      <c r="H338" t="s">
        <v>25</v>
      </c>
      <c r="I338" t="s">
        <v>25</v>
      </c>
      <c r="J338" t="s">
        <v>101</v>
      </c>
      <c r="K338" t="s">
        <v>90</v>
      </c>
      <c r="L338" t="s">
        <v>103</v>
      </c>
      <c r="M338">
        <v>665.56227894000006</v>
      </c>
      <c r="N338">
        <v>0</v>
      </c>
      <c r="O338" t="s">
        <v>80</v>
      </c>
      <c r="P338" s="38">
        <v>44269.868006446763</v>
      </c>
      <c r="Q338">
        <v>2439798</v>
      </c>
      <c r="R338" t="s">
        <v>26</v>
      </c>
      <c r="S338" s="4">
        <v>241.07621700999999</v>
      </c>
      <c r="W338"/>
      <c r="X338">
        <v>0</v>
      </c>
      <c r="AC338" t="s">
        <v>84</v>
      </c>
      <c r="AD338" s="38">
        <v>43647</v>
      </c>
    </row>
    <row r="339" spans="1:30" x14ac:dyDescent="0.25">
      <c r="A339">
        <v>257193</v>
      </c>
      <c r="B339" t="s">
        <v>146</v>
      </c>
      <c r="C339">
        <v>2019</v>
      </c>
      <c r="D339">
        <v>7</v>
      </c>
      <c r="E339" t="s">
        <v>88</v>
      </c>
      <c r="F339" t="s">
        <v>84</v>
      </c>
      <c r="G339" t="s">
        <v>84</v>
      </c>
      <c r="H339" t="s">
        <v>25</v>
      </c>
      <c r="I339" t="s">
        <v>25</v>
      </c>
      <c r="J339" t="s">
        <v>101</v>
      </c>
      <c r="K339" t="s">
        <v>88</v>
      </c>
      <c r="L339" t="s">
        <v>103</v>
      </c>
      <c r="M339">
        <v>259.70617061000002</v>
      </c>
      <c r="N339">
        <v>0</v>
      </c>
      <c r="O339" t="s">
        <v>80</v>
      </c>
      <c r="P339" s="38">
        <v>44269.868005127311</v>
      </c>
      <c r="Q339">
        <v>2439663</v>
      </c>
      <c r="R339" t="s">
        <v>26</v>
      </c>
      <c r="S339" s="4">
        <v>113.32886372999999</v>
      </c>
      <c r="W339"/>
      <c r="X339">
        <v>0</v>
      </c>
      <c r="AC339" t="s">
        <v>84</v>
      </c>
      <c r="AD339" s="38">
        <v>43647</v>
      </c>
    </row>
    <row r="340" spans="1:30" x14ac:dyDescent="0.25">
      <c r="A340">
        <v>257166</v>
      </c>
      <c r="B340" t="s">
        <v>146</v>
      </c>
      <c r="C340">
        <v>2019</v>
      </c>
      <c r="D340">
        <v>7</v>
      </c>
      <c r="E340" t="s">
        <v>86</v>
      </c>
      <c r="F340" t="s">
        <v>84</v>
      </c>
      <c r="G340" t="s">
        <v>84</v>
      </c>
      <c r="H340" t="s">
        <v>25</v>
      </c>
      <c r="I340" t="s">
        <v>25</v>
      </c>
      <c r="J340" t="s">
        <v>101</v>
      </c>
      <c r="K340" t="s">
        <v>86</v>
      </c>
      <c r="L340" t="s">
        <v>103</v>
      </c>
      <c r="M340">
        <v>1240.59596756</v>
      </c>
      <c r="N340">
        <v>0</v>
      </c>
      <c r="O340" t="s">
        <v>80</v>
      </c>
      <c r="P340" s="38">
        <v>44269.868003854157</v>
      </c>
      <c r="Q340">
        <v>2439528</v>
      </c>
      <c r="R340" t="s">
        <v>26</v>
      </c>
      <c r="S340" s="4">
        <v>424.04647323</v>
      </c>
      <c r="W340"/>
      <c r="X340">
        <v>0</v>
      </c>
      <c r="AC340" t="s">
        <v>84</v>
      </c>
      <c r="AD340" s="38">
        <v>43647</v>
      </c>
    </row>
    <row r="341" spans="1:30" x14ac:dyDescent="0.25">
      <c r="A341">
        <v>257220</v>
      </c>
      <c r="B341" t="s">
        <v>146</v>
      </c>
      <c r="C341">
        <v>2019</v>
      </c>
      <c r="D341">
        <v>7</v>
      </c>
      <c r="E341" t="s">
        <v>90</v>
      </c>
      <c r="F341" t="s">
        <v>84</v>
      </c>
      <c r="G341" t="s">
        <v>84</v>
      </c>
      <c r="H341" t="s">
        <v>25</v>
      </c>
      <c r="I341" t="s">
        <v>25</v>
      </c>
      <c r="J341" t="s">
        <v>101</v>
      </c>
      <c r="K341" t="s">
        <v>90</v>
      </c>
      <c r="L341" t="s">
        <v>103</v>
      </c>
      <c r="M341">
        <v>665.56227894000006</v>
      </c>
      <c r="N341">
        <v>0</v>
      </c>
      <c r="O341" t="s">
        <v>80</v>
      </c>
      <c r="P341" s="38">
        <v>44269.868006446763</v>
      </c>
      <c r="Q341">
        <v>2439801</v>
      </c>
      <c r="R341" t="s">
        <v>81</v>
      </c>
      <c r="S341" s="4">
        <v>67.536665429999999</v>
      </c>
      <c r="W341"/>
      <c r="X341">
        <v>0</v>
      </c>
      <c r="AC341" t="s">
        <v>84</v>
      </c>
      <c r="AD341" s="38">
        <v>43647</v>
      </c>
    </row>
    <row r="342" spans="1:30" x14ac:dyDescent="0.25">
      <c r="A342">
        <v>257193</v>
      </c>
      <c r="B342" t="s">
        <v>146</v>
      </c>
      <c r="C342">
        <v>2019</v>
      </c>
      <c r="D342">
        <v>7</v>
      </c>
      <c r="E342" t="s">
        <v>88</v>
      </c>
      <c r="F342" t="s">
        <v>84</v>
      </c>
      <c r="G342" t="s">
        <v>84</v>
      </c>
      <c r="H342" t="s">
        <v>25</v>
      </c>
      <c r="I342" t="s">
        <v>25</v>
      </c>
      <c r="J342" t="s">
        <v>101</v>
      </c>
      <c r="K342" t="s">
        <v>88</v>
      </c>
      <c r="L342" t="s">
        <v>103</v>
      </c>
      <c r="M342">
        <v>259.70617061000002</v>
      </c>
      <c r="N342">
        <v>0</v>
      </c>
      <c r="O342" t="s">
        <v>80</v>
      </c>
      <c r="P342" s="38">
        <v>44269.868005127311</v>
      </c>
      <c r="Q342">
        <v>2439666</v>
      </c>
      <c r="R342" t="s">
        <v>81</v>
      </c>
      <c r="S342" s="4">
        <v>26.29917069</v>
      </c>
      <c r="W342"/>
      <c r="X342">
        <v>0</v>
      </c>
      <c r="AC342" t="s">
        <v>84</v>
      </c>
      <c r="AD342" s="38">
        <v>43647</v>
      </c>
    </row>
    <row r="343" spans="1:30" x14ac:dyDescent="0.25">
      <c r="A343">
        <v>257166</v>
      </c>
      <c r="B343" t="s">
        <v>146</v>
      </c>
      <c r="C343">
        <v>2019</v>
      </c>
      <c r="D343">
        <v>7</v>
      </c>
      <c r="E343" t="s">
        <v>86</v>
      </c>
      <c r="F343" t="s">
        <v>84</v>
      </c>
      <c r="G343" t="s">
        <v>84</v>
      </c>
      <c r="H343" t="s">
        <v>25</v>
      </c>
      <c r="I343" t="s">
        <v>25</v>
      </c>
      <c r="J343" t="s">
        <v>101</v>
      </c>
      <c r="K343" t="s">
        <v>86</v>
      </c>
      <c r="L343" t="s">
        <v>103</v>
      </c>
      <c r="M343">
        <v>1240.59596756</v>
      </c>
      <c r="N343">
        <v>0</v>
      </c>
      <c r="O343" t="s">
        <v>80</v>
      </c>
      <c r="P343" s="38">
        <v>44269.868003854157</v>
      </c>
      <c r="Q343">
        <v>2439531</v>
      </c>
      <c r="R343" t="s">
        <v>81</v>
      </c>
      <c r="S343" s="4">
        <v>147.70958109</v>
      </c>
      <c r="W343"/>
      <c r="X343">
        <v>0</v>
      </c>
      <c r="AC343" t="s">
        <v>84</v>
      </c>
      <c r="AD343" s="38">
        <v>43647</v>
      </c>
    </row>
    <row r="344" spans="1:30" x14ac:dyDescent="0.25">
      <c r="A344">
        <v>257166</v>
      </c>
      <c r="B344" t="s">
        <v>146</v>
      </c>
      <c r="C344">
        <v>2019</v>
      </c>
      <c r="D344">
        <v>7</v>
      </c>
      <c r="E344" t="s">
        <v>86</v>
      </c>
      <c r="F344" t="s">
        <v>84</v>
      </c>
      <c r="G344" t="s">
        <v>84</v>
      </c>
      <c r="H344" t="s">
        <v>25</v>
      </c>
      <c r="I344" t="s">
        <v>25</v>
      </c>
      <c r="J344" t="s">
        <v>101</v>
      </c>
      <c r="K344" t="s">
        <v>86</v>
      </c>
      <c r="L344" t="s">
        <v>103</v>
      </c>
      <c r="M344">
        <v>1240.59596756</v>
      </c>
      <c r="N344">
        <v>0</v>
      </c>
      <c r="O344" t="s">
        <v>80</v>
      </c>
      <c r="P344" s="38">
        <v>44269.868003854157</v>
      </c>
      <c r="Q344">
        <v>2439530</v>
      </c>
      <c r="R344" t="s">
        <v>27</v>
      </c>
      <c r="S344" s="4">
        <v>688.83528077000005</v>
      </c>
      <c r="W344"/>
      <c r="X344">
        <v>0</v>
      </c>
      <c r="AC344" t="s">
        <v>84</v>
      </c>
      <c r="AD344" s="38">
        <v>43647</v>
      </c>
    </row>
    <row r="345" spans="1:30" x14ac:dyDescent="0.25">
      <c r="A345">
        <v>257193</v>
      </c>
      <c r="B345" t="s">
        <v>146</v>
      </c>
      <c r="C345">
        <v>2019</v>
      </c>
      <c r="D345">
        <v>7</v>
      </c>
      <c r="E345" t="s">
        <v>88</v>
      </c>
      <c r="F345" t="s">
        <v>84</v>
      </c>
      <c r="G345" t="s">
        <v>84</v>
      </c>
      <c r="H345" t="s">
        <v>25</v>
      </c>
      <c r="I345" t="s">
        <v>25</v>
      </c>
      <c r="J345" t="s">
        <v>101</v>
      </c>
      <c r="K345" t="s">
        <v>88</v>
      </c>
      <c r="L345" t="s">
        <v>103</v>
      </c>
      <c r="M345">
        <v>259.70617061000002</v>
      </c>
      <c r="N345">
        <v>0</v>
      </c>
      <c r="O345" t="s">
        <v>80</v>
      </c>
      <c r="P345" s="38">
        <v>44269.868005127311</v>
      </c>
      <c r="Q345">
        <v>2439665</v>
      </c>
      <c r="R345" t="s">
        <v>27</v>
      </c>
      <c r="S345" s="4">
        <v>125.61466348</v>
      </c>
      <c r="W345"/>
      <c r="X345">
        <v>0</v>
      </c>
      <c r="AC345" t="s">
        <v>84</v>
      </c>
      <c r="AD345" s="38">
        <v>43647</v>
      </c>
    </row>
    <row r="346" spans="1:30" x14ac:dyDescent="0.25">
      <c r="A346">
        <v>257220</v>
      </c>
      <c r="B346" t="s">
        <v>146</v>
      </c>
      <c r="C346">
        <v>2019</v>
      </c>
      <c r="D346">
        <v>7</v>
      </c>
      <c r="E346" t="s">
        <v>90</v>
      </c>
      <c r="F346" t="s">
        <v>84</v>
      </c>
      <c r="G346" t="s">
        <v>84</v>
      </c>
      <c r="H346" t="s">
        <v>25</v>
      </c>
      <c r="I346" t="s">
        <v>25</v>
      </c>
      <c r="J346" t="s">
        <v>101</v>
      </c>
      <c r="K346" t="s">
        <v>90</v>
      </c>
      <c r="L346" t="s">
        <v>103</v>
      </c>
      <c r="M346">
        <v>665.56227894000006</v>
      </c>
      <c r="N346">
        <v>0</v>
      </c>
      <c r="O346" t="s">
        <v>80</v>
      </c>
      <c r="P346" s="38">
        <v>44269.868006446763</v>
      </c>
      <c r="Q346">
        <v>2439800</v>
      </c>
      <c r="R346" t="s">
        <v>27</v>
      </c>
      <c r="S346" s="4">
        <v>367.83953882999998</v>
      </c>
      <c r="W346"/>
      <c r="X346">
        <v>0</v>
      </c>
      <c r="AC346" t="s">
        <v>84</v>
      </c>
      <c r="AD346" s="38">
        <v>43647</v>
      </c>
    </row>
    <row r="347" spans="1:30" x14ac:dyDescent="0.25">
      <c r="A347">
        <v>257193</v>
      </c>
      <c r="B347" t="s">
        <v>146</v>
      </c>
      <c r="C347">
        <v>2019</v>
      </c>
      <c r="D347">
        <v>7</v>
      </c>
      <c r="E347" t="s">
        <v>88</v>
      </c>
      <c r="F347" t="s">
        <v>84</v>
      </c>
      <c r="G347" t="s">
        <v>84</v>
      </c>
      <c r="H347" t="s">
        <v>25</v>
      </c>
      <c r="I347" t="s">
        <v>25</v>
      </c>
      <c r="J347" t="s">
        <v>101</v>
      </c>
      <c r="K347" t="s">
        <v>88</v>
      </c>
      <c r="L347" t="s">
        <v>103</v>
      </c>
      <c r="M347">
        <v>259.70617061000002</v>
      </c>
      <c r="N347">
        <v>0</v>
      </c>
      <c r="O347" t="s">
        <v>80</v>
      </c>
      <c r="P347" s="38">
        <v>44269.868005127311</v>
      </c>
      <c r="Q347">
        <v>2439662</v>
      </c>
      <c r="R347" t="s">
        <v>91</v>
      </c>
      <c r="S347" s="4">
        <v>0</v>
      </c>
      <c r="W347"/>
      <c r="X347">
        <v>0</v>
      </c>
      <c r="AC347" t="s">
        <v>84</v>
      </c>
      <c r="AD347" s="38">
        <v>43647</v>
      </c>
    </row>
    <row r="348" spans="1:30" x14ac:dyDescent="0.25">
      <c r="A348">
        <v>257220</v>
      </c>
      <c r="B348" t="s">
        <v>146</v>
      </c>
      <c r="C348">
        <v>2019</v>
      </c>
      <c r="D348">
        <v>7</v>
      </c>
      <c r="E348" t="s">
        <v>90</v>
      </c>
      <c r="F348" t="s">
        <v>84</v>
      </c>
      <c r="G348" t="s">
        <v>84</v>
      </c>
      <c r="H348" t="s">
        <v>25</v>
      </c>
      <c r="I348" t="s">
        <v>25</v>
      </c>
      <c r="J348" t="s">
        <v>101</v>
      </c>
      <c r="K348" t="s">
        <v>90</v>
      </c>
      <c r="L348" t="s">
        <v>103</v>
      </c>
      <c r="M348">
        <v>665.56227894000006</v>
      </c>
      <c r="N348">
        <v>0</v>
      </c>
      <c r="O348" t="s">
        <v>80</v>
      </c>
      <c r="P348" s="38">
        <v>44269.868006446763</v>
      </c>
      <c r="Q348">
        <v>2439797</v>
      </c>
      <c r="R348" t="s">
        <v>91</v>
      </c>
      <c r="S348" s="4">
        <v>1.7361734</v>
      </c>
      <c r="W348"/>
      <c r="X348">
        <v>0</v>
      </c>
      <c r="AC348" t="s">
        <v>84</v>
      </c>
      <c r="AD348" s="38">
        <v>43647</v>
      </c>
    </row>
    <row r="349" spans="1:30" x14ac:dyDescent="0.25">
      <c r="A349">
        <v>257166</v>
      </c>
      <c r="B349" t="s">
        <v>146</v>
      </c>
      <c r="C349">
        <v>2019</v>
      </c>
      <c r="D349">
        <v>7</v>
      </c>
      <c r="E349" t="s">
        <v>86</v>
      </c>
      <c r="F349" t="s">
        <v>84</v>
      </c>
      <c r="G349" t="s">
        <v>84</v>
      </c>
      <c r="H349" t="s">
        <v>25</v>
      </c>
      <c r="I349" t="s">
        <v>25</v>
      </c>
      <c r="J349" t="s">
        <v>101</v>
      </c>
      <c r="K349" t="s">
        <v>86</v>
      </c>
      <c r="L349" t="s">
        <v>103</v>
      </c>
      <c r="M349">
        <v>1240.59596756</v>
      </c>
      <c r="N349">
        <v>0</v>
      </c>
      <c r="O349" t="s">
        <v>80</v>
      </c>
      <c r="P349" s="38">
        <v>44269.868003854157</v>
      </c>
      <c r="Q349">
        <v>2439527</v>
      </c>
      <c r="R349" t="s">
        <v>91</v>
      </c>
      <c r="S349" s="4">
        <v>3.3442477500000001</v>
      </c>
      <c r="W349"/>
      <c r="X349">
        <v>0</v>
      </c>
      <c r="AC349" t="s">
        <v>84</v>
      </c>
      <c r="AD349" s="38">
        <v>43647</v>
      </c>
    </row>
    <row r="350" spans="1:30" x14ac:dyDescent="0.25">
      <c r="A350">
        <v>257220</v>
      </c>
      <c r="B350" t="s">
        <v>146</v>
      </c>
      <c r="C350">
        <v>2019</v>
      </c>
      <c r="D350">
        <v>7</v>
      </c>
      <c r="E350" t="s">
        <v>90</v>
      </c>
      <c r="F350" t="s">
        <v>84</v>
      </c>
      <c r="G350" t="s">
        <v>84</v>
      </c>
      <c r="H350" t="s">
        <v>25</v>
      </c>
      <c r="I350" t="s">
        <v>25</v>
      </c>
      <c r="J350" t="s">
        <v>101</v>
      </c>
      <c r="K350" t="s">
        <v>90</v>
      </c>
      <c r="L350" t="s">
        <v>103</v>
      </c>
      <c r="M350">
        <v>665.56227894000006</v>
      </c>
      <c r="N350">
        <v>0</v>
      </c>
      <c r="O350" t="s">
        <v>80</v>
      </c>
      <c r="P350" s="38">
        <v>44269.868006446763</v>
      </c>
      <c r="Q350">
        <v>2439799</v>
      </c>
      <c r="R350" t="s">
        <v>28</v>
      </c>
      <c r="S350" s="4">
        <v>1.5624257699999999</v>
      </c>
      <c r="W350"/>
      <c r="X350">
        <v>0</v>
      </c>
      <c r="AC350" t="s">
        <v>84</v>
      </c>
      <c r="AD350" s="38">
        <v>43647</v>
      </c>
    </row>
    <row r="351" spans="1:30" x14ac:dyDescent="0.25">
      <c r="A351">
        <v>257166</v>
      </c>
      <c r="B351" t="s">
        <v>146</v>
      </c>
      <c r="C351">
        <v>2019</v>
      </c>
      <c r="D351">
        <v>7</v>
      </c>
      <c r="E351" t="s">
        <v>86</v>
      </c>
      <c r="F351" t="s">
        <v>84</v>
      </c>
      <c r="G351" t="s">
        <v>84</v>
      </c>
      <c r="H351" t="s">
        <v>25</v>
      </c>
      <c r="I351" t="s">
        <v>25</v>
      </c>
      <c r="J351" t="s">
        <v>101</v>
      </c>
      <c r="K351" t="s">
        <v>86</v>
      </c>
      <c r="L351" t="s">
        <v>103</v>
      </c>
      <c r="M351">
        <v>1240.59596756</v>
      </c>
      <c r="N351">
        <v>0</v>
      </c>
      <c r="O351" t="s">
        <v>80</v>
      </c>
      <c r="P351" s="38">
        <v>44269.868003854157</v>
      </c>
      <c r="Q351">
        <v>2439529</v>
      </c>
      <c r="R351" t="s">
        <v>28</v>
      </c>
      <c r="S351" s="4">
        <v>3.1079404899999998</v>
      </c>
      <c r="W351"/>
      <c r="X351">
        <v>0</v>
      </c>
      <c r="AC351" t="s">
        <v>84</v>
      </c>
      <c r="AD351" s="38">
        <v>43647</v>
      </c>
    </row>
    <row r="352" spans="1:30" x14ac:dyDescent="0.25">
      <c r="A352">
        <v>257193</v>
      </c>
      <c r="B352" t="s">
        <v>146</v>
      </c>
      <c r="C352">
        <v>2019</v>
      </c>
      <c r="D352">
        <v>7</v>
      </c>
      <c r="E352" t="s">
        <v>88</v>
      </c>
      <c r="F352" t="s">
        <v>84</v>
      </c>
      <c r="G352" t="s">
        <v>84</v>
      </c>
      <c r="H352" t="s">
        <v>25</v>
      </c>
      <c r="I352" t="s">
        <v>25</v>
      </c>
      <c r="J352" t="s">
        <v>101</v>
      </c>
      <c r="K352" t="s">
        <v>88</v>
      </c>
      <c r="L352" t="s">
        <v>103</v>
      </c>
      <c r="M352">
        <v>259.70617061000002</v>
      </c>
      <c r="N352">
        <v>0</v>
      </c>
      <c r="O352" t="s">
        <v>80</v>
      </c>
      <c r="P352" s="38">
        <v>44269.868005127311</v>
      </c>
      <c r="Q352">
        <v>2439664</v>
      </c>
      <c r="R352" t="s">
        <v>28</v>
      </c>
      <c r="S352" s="4">
        <v>0</v>
      </c>
      <c r="W352"/>
      <c r="X352">
        <v>0</v>
      </c>
      <c r="AC352" t="s">
        <v>84</v>
      </c>
      <c r="AD352" s="38">
        <v>43647</v>
      </c>
    </row>
    <row r="353" spans="1:30" x14ac:dyDescent="0.25">
      <c r="A353">
        <v>270966</v>
      </c>
      <c r="B353" t="s">
        <v>151</v>
      </c>
      <c r="C353">
        <v>2019</v>
      </c>
      <c r="D353">
        <v>8</v>
      </c>
      <c r="E353" t="s">
        <v>88</v>
      </c>
      <c r="F353" t="s">
        <v>84</v>
      </c>
      <c r="G353" t="s">
        <v>84</v>
      </c>
      <c r="H353" t="s">
        <v>25</v>
      </c>
      <c r="I353" t="s">
        <v>25</v>
      </c>
      <c r="J353" t="s">
        <v>101</v>
      </c>
      <c r="K353" t="s">
        <v>88</v>
      </c>
      <c r="L353" t="s">
        <v>103</v>
      </c>
      <c r="M353">
        <v>293.74292012000001</v>
      </c>
      <c r="N353">
        <v>0</v>
      </c>
      <c r="O353" t="s">
        <v>80</v>
      </c>
      <c r="P353" s="38">
        <v>44269.869631712972</v>
      </c>
      <c r="Q353">
        <v>2570055</v>
      </c>
      <c r="R353" t="s">
        <v>26</v>
      </c>
      <c r="S353" s="4">
        <v>128.18159571000001</v>
      </c>
      <c r="W353"/>
      <c r="X353">
        <v>0</v>
      </c>
      <c r="AC353" t="s">
        <v>84</v>
      </c>
      <c r="AD353" s="38">
        <v>43678</v>
      </c>
    </row>
    <row r="354" spans="1:30" x14ac:dyDescent="0.25">
      <c r="A354">
        <v>270993</v>
      </c>
      <c r="B354" t="s">
        <v>151</v>
      </c>
      <c r="C354">
        <v>2019</v>
      </c>
      <c r="D354">
        <v>8</v>
      </c>
      <c r="E354" t="s">
        <v>90</v>
      </c>
      <c r="F354" t="s">
        <v>84</v>
      </c>
      <c r="G354" t="s">
        <v>84</v>
      </c>
      <c r="H354" t="s">
        <v>25</v>
      </c>
      <c r="I354" t="s">
        <v>25</v>
      </c>
      <c r="J354" t="s">
        <v>101</v>
      </c>
      <c r="K354" t="s">
        <v>90</v>
      </c>
      <c r="L354" t="s">
        <v>103</v>
      </c>
      <c r="M354">
        <v>553.34695345</v>
      </c>
      <c r="N354">
        <v>0</v>
      </c>
      <c r="O354" t="s">
        <v>80</v>
      </c>
      <c r="P354" s="38">
        <v>44269.869632986112</v>
      </c>
      <c r="Q354">
        <v>2570190</v>
      </c>
      <c r="R354" t="s">
        <v>26</v>
      </c>
      <c r="S354" s="4">
        <v>200.43021435</v>
      </c>
      <c r="W354"/>
      <c r="X354">
        <v>0</v>
      </c>
      <c r="AC354" t="s">
        <v>84</v>
      </c>
      <c r="AD354" s="38">
        <v>43678</v>
      </c>
    </row>
    <row r="355" spans="1:30" x14ac:dyDescent="0.25">
      <c r="A355">
        <v>270939</v>
      </c>
      <c r="B355" t="s">
        <v>151</v>
      </c>
      <c r="C355">
        <v>2019</v>
      </c>
      <c r="D355">
        <v>8</v>
      </c>
      <c r="E355" t="s">
        <v>86</v>
      </c>
      <c r="F355" t="s">
        <v>84</v>
      </c>
      <c r="G355" t="s">
        <v>84</v>
      </c>
      <c r="H355" t="s">
        <v>25</v>
      </c>
      <c r="I355" t="s">
        <v>25</v>
      </c>
      <c r="J355" t="s">
        <v>101</v>
      </c>
      <c r="K355" t="s">
        <v>86</v>
      </c>
      <c r="L355" t="s">
        <v>103</v>
      </c>
      <c r="M355">
        <v>1193.87028252</v>
      </c>
      <c r="N355">
        <v>0</v>
      </c>
      <c r="O355" t="s">
        <v>80</v>
      </c>
      <c r="P355" s="38">
        <v>44269.869630439818</v>
      </c>
      <c r="Q355">
        <v>2569920</v>
      </c>
      <c r="R355" t="s">
        <v>26</v>
      </c>
      <c r="S355" s="4">
        <v>408.07522839000001</v>
      </c>
      <c r="W355"/>
      <c r="X355">
        <v>0</v>
      </c>
      <c r="AC355" t="s">
        <v>84</v>
      </c>
      <c r="AD355" s="38">
        <v>43678</v>
      </c>
    </row>
    <row r="356" spans="1:30" x14ac:dyDescent="0.25">
      <c r="A356">
        <v>270966</v>
      </c>
      <c r="B356" t="s">
        <v>151</v>
      </c>
      <c r="C356">
        <v>2019</v>
      </c>
      <c r="D356">
        <v>8</v>
      </c>
      <c r="E356" t="s">
        <v>88</v>
      </c>
      <c r="F356" t="s">
        <v>84</v>
      </c>
      <c r="G356" t="s">
        <v>84</v>
      </c>
      <c r="H356" t="s">
        <v>25</v>
      </c>
      <c r="I356" t="s">
        <v>25</v>
      </c>
      <c r="J356" t="s">
        <v>101</v>
      </c>
      <c r="K356" t="s">
        <v>88</v>
      </c>
      <c r="L356" t="s">
        <v>103</v>
      </c>
      <c r="M356">
        <v>293.74292012000001</v>
      </c>
      <c r="N356">
        <v>0</v>
      </c>
      <c r="O356" t="s">
        <v>80</v>
      </c>
      <c r="P356" s="38">
        <v>44269.869631712972</v>
      </c>
      <c r="Q356">
        <v>2570058</v>
      </c>
      <c r="R356" t="s">
        <v>81</v>
      </c>
      <c r="S356" s="4">
        <v>29.745905449999999</v>
      </c>
      <c r="W356"/>
      <c r="X356">
        <v>0</v>
      </c>
      <c r="AC356" t="s">
        <v>84</v>
      </c>
      <c r="AD356" s="38">
        <v>43678</v>
      </c>
    </row>
    <row r="357" spans="1:30" x14ac:dyDescent="0.25">
      <c r="A357">
        <v>270993</v>
      </c>
      <c r="B357" t="s">
        <v>151</v>
      </c>
      <c r="C357">
        <v>2019</v>
      </c>
      <c r="D357">
        <v>8</v>
      </c>
      <c r="E357" t="s">
        <v>90</v>
      </c>
      <c r="F357" t="s">
        <v>84</v>
      </c>
      <c r="G357" t="s">
        <v>84</v>
      </c>
      <c r="H357" t="s">
        <v>25</v>
      </c>
      <c r="I357" t="s">
        <v>25</v>
      </c>
      <c r="J357" t="s">
        <v>101</v>
      </c>
      <c r="K357" t="s">
        <v>90</v>
      </c>
      <c r="L357" t="s">
        <v>103</v>
      </c>
      <c r="M357">
        <v>553.34695345</v>
      </c>
      <c r="N357">
        <v>0</v>
      </c>
      <c r="O357" t="s">
        <v>80</v>
      </c>
      <c r="P357" s="38">
        <v>44269.869632986112</v>
      </c>
      <c r="Q357">
        <v>2570193</v>
      </c>
      <c r="R357" t="s">
        <v>81</v>
      </c>
      <c r="S357" s="4">
        <v>56.14982887</v>
      </c>
      <c r="W357"/>
      <c r="X357">
        <v>0</v>
      </c>
      <c r="AC357" t="s">
        <v>84</v>
      </c>
      <c r="AD357" s="38">
        <v>43678</v>
      </c>
    </row>
    <row r="358" spans="1:30" x14ac:dyDescent="0.25">
      <c r="A358">
        <v>270939</v>
      </c>
      <c r="B358" t="s">
        <v>151</v>
      </c>
      <c r="C358">
        <v>2019</v>
      </c>
      <c r="D358">
        <v>8</v>
      </c>
      <c r="E358" t="s">
        <v>86</v>
      </c>
      <c r="F358" t="s">
        <v>84</v>
      </c>
      <c r="G358" t="s">
        <v>84</v>
      </c>
      <c r="H358" t="s">
        <v>25</v>
      </c>
      <c r="I358" t="s">
        <v>25</v>
      </c>
      <c r="J358" t="s">
        <v>101</v>
      </c>
      <c r="K358" t="s">
        <v>86</v>
      </c>
      <c r="L358" t="s">
        <v>103</v>
      </c>
      <c r="M358">
        <v>1193.87028252</v>
      </c>
      <c r="N358">
        <v>0</v>
      </c>
      <c r="O358" t="s">
        <v>80</v>
      </c>
      <c r="P358" s="38">
        <v>44269.869630439818</v>
      </c>
      <c r="Q358">
        <v>2569923</v>
      </c>
      <c r="R358" t="s">
        <v>81</v>
      </c>
      <c r="S358" s="4">
        <v>142.14626189000001</v>
      </c>
      <c r="W358"/>
      <c r="X358">
        <v>0</v>
      </c>
      <c r="AC358" t="s">
        <v>84</v>
      </c>
      <c r="AD358" s="38">
        <v>43678</v>
      </c>
    </row>
    <row r="359" spans="1:30" x14ac:dyDescent="0.25">
      <c r="A359">
        <v>270993</v>
      </c>
      <c r="B359" t="s">
        <v>151</v>
      </c>
      <c r="C359">
        <v>2019</v>
      </c>
      <c r="D359">
        <v>8</v>
      </c>
      <c r="E359" t="s">
        <v>90</v>
      </c>
      <c r="F359" t="s">
        <v>84</v>
      </c>
      <c r="G359" t="s">
        <v>84</v>
      </c>
      <c r="H359" t="s">
        <v>25</v>
      </c>
      <c r="I359" t="s">
        <v>25</v>
      </c>
      <c r="J359" t="s">
        <v>101</v>
      </c>
      <c r="K359" t="s">
        <v>90</v>
      </c>
      <c r="L359" t="s">
        <v>103</v>
      </c>
      <c r="M359">
        <v>553.34695345</v>
      </c>
      <c r="N359">
        <v>0</v>
      </c>
      <c r="O359" t="s">
        <v>80</v>
      </c>
      <c r="P359" s="38">
        <v>44269.869632986112</v>
      </c>
      <c r="Q359">
        <v>2570192</v>
      </c>
      <c r="R359" t="s">
        <v>27</v>
      </c>
      <c r="S359" s="4">
        <v>305.82094961000001</v>
      </c>
      <c r="W359"/>
      <c r="X359">
        <v>0</v>
      </c>
      <c r="AC359" t="s">
        <v>84</v>
      </c>
      <c r="AD359" s="38">
        <v>43678</v>
      </c>
    </row>
    <row r="360" spans="1:30" x14ac:dyDescent="0.25">
      <c r="A360">
        <v>270939</v>
      </c>
      <c r="B360" t="s">
        <v>151</v>
      </c>
      <c r="C360">
        <v>2019</v>
      </c>
      <c r="D360">
        <v>8</v>
      </c>
      <c r="E360" t="s">
        <v>86</v>
      </c>
      <c r="F360" t="s">
        <v>84</v>
      </c>
      <c r="G360" t="s">
        <v>84</v>
      </c>
      <c r="H360" t="s">
        <v>25</v>
      </c>
      <c r="I360" t="s">
        <v>25</v>
      </c>
      <c r="J360" t="s">
        <v>101</v>
      </c>
      <c r="K360" t="s">
        <v>86</v>
      </c>
      <c r="L360" t="s">
        <v>103</v>
      </c>
      <c r="M360">
        <v>1193.87028252</v>
      </c>
      <c r="N360">
        <v>0</v>
      </c>
      <c r="O360" t="s">
        <v>80</v>
      </c>
      <c r="P360" s="38">
        <v>44269.869630439818</v>
      </c>
      <c r="Q360">
        <v>2569922</v>
      </c>
      <c r="R360" t="s">
        <v>27</v>
      </c>
      <c r="S360" s="4">
        <v>662.89105620999999</v>
      </c>
      <c r="W360"/>
      <c r="X360">
        <v>0</v>
      </c>
      <c r="AC360" t="s">
        <v>84</v>
      </c>
      <c r="AD360" s="38">
        <v>43678</v>
      </c>
    </row>
    <row r="361" spans="1:30" x14ac:dyDescent="0.25">
      <c r="A361">
        <v>270966</v>
      </c>
      <c r="B361" t="s">
        <v>151</v>
      </c>
      <c r="C361">
        <v>2019</v>
      </c>
      <c r="D361">
        <v>8</v>
      </c>
      <c r="E361" t="s">
        <v>88</v>
      </c>
      <c r="F361" t="s">
        <v>84</v>
      </c>
      <c r="G361" t="s">
        <v>84</v>
      </c>
      <c r="H361" t="s">
        <v>25</v>
      </c>
      <c r="I361" t="s">
        <v>25</v>
      </c>
      <c r="J361" t="s">
        <v>101</v>
      </c>
      <c r="K361" t="s">
        <v>88</v>
      </c>
      <c r="L361" t="s">
        <v>103</v>
      </c>
      <c r="M361">
        <v>293.74292012000001</v>
      </c>
      <c r="N361">
        <v>0</v>
      </c>
      <c r="O361" t="s">
        <v>80</v>
      </c>
      <c r="P361" s="38">
        <v>44269.869631712972</v>
      </c>
      <c r="Q361">
        <v>2570057</v>
      </c>
      <c r="R361" t="s">
        <v>27</v>
      </c>
      <c r="S361" s="4">
        <v>142.07755624999999</v>
      </c>
      <c r="W361"/>
      <c r="X361">
        <v>0</v>
      </c>
      <c r="AC361" t="s">
        <v>84</v>
      </c>
      <c r="AD361" s="38">
        <v>43678</v>
      </c>
    </row>
    <row r="362" spans="1:30" x14ac:dyDescent="0.25">
      <c r="A362">
        <v>270966</v>
      </c>
      <c r="B362" t="s">
        <v>151</v>
      </c>
      <c r="C362">
        <v>2019</v>
      </c>
      <c r="D362">
        <v>8</v>
      </c>
      <c r="E362" t="s">
        <v>88</v>
      </c>
      <c r="F362" t="s">
        <v>84</v>
      </c>
      <c r="G362" t="s">
        <v>84</v>
      </c>
      <c r="H362" t="s">
        <v>25</v>
      </c>
      <c r="I362" t="s">
        <v>25</v>
      </c>
      <c r="J362" t="s">
        <v>101</v>
      </c>
      <c r="K362" t="s">
        <v>88</v>
      </c>
      <c r="L362" t="s">
        <v>103</v>
      </c>
      <c r="M362">
        <v>293.74292012000001</v>
      </c>
      <c r="N362">
        <v>0</v>
      </c>
      <c r="O362" t="s">
        <v>80</v>
      </c>
      <c r="P362" s="38">
        <v>44269.869631712972</v>
      </c>
      <c r="Q362">
        <v>2570054</v>
      </c>
      <c r="R362" t="s">
        <v>91</v>
      </c>
      <c r="S362" s="4">
        <v>0</v>
      </c>
      <c r="W362"/>
      <c r="X362">
        <v>0</v>
      </c>
      <c r="AC362" t="s">
        <v>84</v>
      </c>
      <c r="AD362" s="38">
        <v>43678</v>
      </c>
    </row>
    <row r="363" spans="1:30" x14ac:dyDescent="0.25">
      <c r="A363">
        <v>270939</v>
      </c>
      <c r="B363" t="s">
        <v>151</v>
      </c>
      <c r="C363">
        <v>2019</v>
      </c>
      <c r="D363">
        <v>8</v>
      </c>
      <c r="E363" t="s">
        <v>86</v>
      </c>
      <c r="F363" t="s">
        <v>84</v>
      </c>
      <c r="G363" t="s">
        <v>84</v>
      </c>
      <c r="H363" t="s">
        <v>25</v>
      </c>
      <c r="I363" t="s">
        <v>25</v>
      </c>
      <c r="J363" t="s">
        <v>101</v>
      </c>
      <c r="K363" t="s">
        <v>86</v>
      </c>
      <c r="L363" t="s">
        <v>103</v>
      </c>
      <c r="M363">
        <v>1193.87028252</v>
      </c>
      <c r="N363">
        <v>0</v>
      </c>
      <c r="O363" t="s">
        <v>80</v>
      </c>
      <c r="P363" s="38">
        <v>44269.869630439818</v>
      </c>
      <c r="Q363">
        <v>2569919</v>
      </c>
      <c r="R363" t="s">
        <v>91</v>
      </c>
      <c r="S363" s="4">
        <v>3.2182903299999999</v>
      </c>
      <c r="W363"/>
      <c r="X363">
        <v>0</v>
      </c>
      <c r="AC363" t="s">
        <v>84</v>
      </c>
      <c r="AD363" s="38">
        <v>43678</v>
      </c>
    </row>
    <row r="364" spans="1:30" x14ac:dyDescent="0.25">
      <c r="A364">
        <v>270993</v>
      </c>
      <c r="B364" t="s">
        <v>151</v>
      </c>
      <c r="C364">
        <v>2019</v>
      </c>
      <c r="D364">
        <v>8</v>
      </c>
      <c r="E364" t="s">
        <v>90</v>
      </c>
      <c r="F364" t="s">
        <v>84</v>
      </c>
      <c r="G364" t="s">
        <v>84</v>
      </c>
      <c r="H364" t="s">
        <v>25</v>
      </c>
      <c r="I364" t="s">
        <v>25</v>
      </c>
      <c r="J364" t="s">
        <v>101</v>
      </c>
      <c r="K364" t="s">
        <v>90</v>
      </c>
      <c r="L364" t="s">
        <v>103</v>
      </c>
      <c r="M364">
        <v>553.34695345</v>
      </c>
      <c r="N364">
        <v>0</v>
      </c>
      <c r="O364" t="s">
        <v>80</v>
      </c>
      <c r="P364" s="38">
        <v>44269.869632986112</v>
      </c>
      <c r="Q364">
        <v>2570189</v>
      </c>
      <c r="R364" t="s">
        <v>91</v>
      </c>
      <c r="S364" s="4">
        <v>1.4434505799999999</v>
      </c>
      <c r="W364"/>
      <c r="X364">
        <v>0</v>
      </c>
      <c r="AC364" t="s">
        <v>84</v>
      </c>
      <c r="AD364" s="38">
        <v>43678</v>
      </c>
    </row>
    <row r="365" spans="1:30" x14ac:dyDescent="0.25">
      <c r="A365">
        <v>270966</v>
      </c>
      <c r="B365" t="s">
        <v>151</v>
      </c>
      <c r="C365">
        <v>2019</v>
      </c>
      <c r="D365">
        <v>8</v>
      </c>
      <c r="E365" t="s">
        <v>88</v>
      </c>
      <c r="F365" t="s">
        <v>84</v>
      </c>
      <c r="G365" t="s">
        <v>84</v>
      </c>
      <c r="H365" t="s">
        <v>25</v>
      </c>
      <c r="I365" t="s">
        <v>25</v>
      </c>
      <c r="J365" t="s">
        <v>101</v>
      </c>
      <c r="K365" t="s">
        <v>88</v>
      </c>
      <c r="L365" t="s">
        <v>103</v>
      </c>
      <c r="M365">
        <v>293.74292012000001</v>
      </c>
      <c r="N365">
        <v>0</v>
      </c>
      <c r="O365" t="s">
        <v>80</v>
      </c>
      <c r="P365" s="38">
        <v>44269.869631712972</v>
      </c>
      <c r="Q365">
        <v>2570056</v>
      </c>
      <c r="R365" t="s">
        <v>28</v>
      </c>
      <c r="S365" s="4">
        <v>0</v>
      </c>
      <c r="W365"/>
      <c r="X365">
        <v>0</v>
      </c>
      <c r="AC365" t="s">
        <v>84</v>
      </c>
      <c r="AD365" s="38">
        <v>43678</v>
      </c>
    </row>
    <row r="366" spans="1:30" x14ac:dyDescent="0.25">
      <c r="A366">
        <v>270939</v>
      </c>
      <c r="B366" t="s">
        <v>151</v>
      </c>
      <c r="C366">
        <v>2019</v>
      </c>
      <c r="D366">
        <v>8</v>
      </c>
      <c r="E366" t="s">
        <v>86</v>
      </c>
      <c r="F366" t="s">
        <v>84</v>
      </c>
      <c r="G366" t="s">
        <v>84</v>
      </c>
      <c r="H366" t="s">
        <v>25</v>
      </c>
      <c r="I366" t="s">
        <v>25</v>
      </c>
      <c r="J366" t="s">
        <v>101</v>
      </c>
      <c r="K366" t="s">
        <v>86</v>
      </c>
      <c r="L366" t="s">
        <v>103</v>
      </c>
      <c r="M366">
        <v>1193.87028252</v>
      </c>
      <c r="N366">
        <v>0</v>
      </c>
      <c r="O366" t="s">
        <v>80</v>
      </c>
      <c r="P366" s="38">
        <v>44269.869630439818</v>
      </c>
      <c r="Q366">
        <v>2569921</v>
      </c>
      <c r="R366" t="s">
        <v>28</v>
      </c>
      <c r="S366" s="4">
        <v>2.99088332</v>
      </c>
      <c r="W366"/>
      <c r="X366">
        <v>0</v>
      </c>
      <c r="AC366" t="s">
        <v>84</v>
      </c>
      <c r="AD366" s="38">
        <v>43678</v>
      </c>
    </row>
    <row r="367" spans="1:30" x14ac:dyDescent="0.25">
      <c r="A367">
        <v>270993</v>
      </c>
      <c r="B367" t="s">
        <v>151</v>
      </c>
      <c r="C367">
        <v>2019</v>
      </c>
      <c r="D367">
        <v>8</v>
      </c>
      <c r="E367" t="s">
        <v>90</v>
      </c>
      <c r="F367" t="s">
        <v>84</v>
      </c>
      <c r="G367" t="s">
        <v>84</v>
      </c>
      <c r="H367" t="s">
        <v>25</v>
      </c>
      <c r="I367" t="s">
        <v>25</v>
      </c>
      <c r="J367" t="s">
        <v>101</v>
      </c>
      <c r="K367" t="s">
        <v>90</v>
      </c>
      <c r="L367" t="s">
        <v>103</v>
      </c>
      <c r="M367">
        <v>553.34695345</v>
      </c>
      <c r="N367">
        <v>0</v>
      </c>
      <c r="O367" t="s">
        <v>80</v>
      </c>
      <c r="P367" s="38">
        <v>44269.869632986112</v>
      </c>
      <c r="Q367">
        <v>2570191</v>
      </c>
      <c r="R367" t="s">
        <v>28</v>
      </c>
      <c r="S367" s="4">
        <v>1.29899721</v>
      </c>
      <c r="W367"/>
      <c r="X367">
        <v>0</v>
      </c>
      <c r="AC367" t="s">
        <v>84</v>
      </c>
      <c r="AD367" s="38">
        <v>43678</v>
      </c>
    </row>
    <row r="368" spans="1:30" x14ac:dyDescent="0.25">
      <c r="A368">
        <v>273480</v>
      </c>
      <c r="B368" t="s">
        <v>154</v>
      </c>
      <c r="C368">
        <v>2019</v>
      </c>
      <c r="D368">
        <v>9</v>
      </c>
      <c r="E368" t="s">
        <v>88</v>
      </c>
      <c r="F368" t="s">
        <v>84</v>
      </c>
      <c r="G368" t="s">
        <v>84</v>
      </c>
      <c r="H368" t="s">
        <v>25</v>
      </c>
      <c r="I368" t="s">
        <v>25</v>
      </c>
      <c r="J368" t="s">
        <v>101</v>
      </c>
      <c r="K368" t="s">
        <v>88</v>
      </c>
      <c r="L368" t="s">
        <v>103</v>
      </c>
      <c r="M368">
        <v>254.44613530000001</v>
      </c>
      <c r="N368">
        <v>0</v>
      </c>
      <c r="O368" t="s">
        <v>80</v>
      </c>
      <c r="P368" s="38">
        <v>44269.870332719911</v>
      </c>
      <c r="Q368">
        <v>2586874</v>
      </c>
      <c r="R368" t="s">
        <v>26</v>
      </c>
      <c r="S368" s="4">
        <v>111.03352425</v>
      </c>
      <c r="W368"/>
      <c r="X368">
        <v>0</v>
      </c>
      <c r="AC368" t="s">
        <v>84</v>
      </c>
      <c r="AD368" s="38">
        <v>43709</v>
      </c>
    </row>
    <row r="369" spans="1:30" x14ac:dyDescent="0.25">
      <c r="A369">
        <v>273453</v>
      </c>
      <c r="B369" t="s">
        <v>154</v>
      </c>
      <c r="C369">
        <v>2019</v>
      </c>
      <c r="D369">
        <v>9</v>
      </c>
      <c r="E369" t="s">
        <v>86</v>
      </c>
      <c r="F369" t="s">
        <v>84</v>
      </c>
      <c r="G369" t="s">
        <v>84</v>
      </c>
      <c r="H369" t="s">
        <v>25</v>
      </c>
      <c r="I369" t="s">
        <v>25</v>
      </c>
      <c r="J369" t="s">
        <v>101</v>
      </c>
      <c r="K369" t="s">
        <v>86</v>
      </c>
      <c r="L369" t="s">
        <v>103</v>
      </c>
      <c r="M369">
        <v>1168.3183385699999</v>
      </c>
      <c r="N369">
        <v>0</v>
      </c>
      <c r="O369" t="s">
        <v>80</v>
      </c>
      <c r="P369" s="38">
        <v>44269.870331331018</v>
      </c>
      <c r="Q369">
        <v>2586739</v>
      </c>
      <c r="R369" t="s">
        <v>26</v>
      </c>
      <c r="S369" s="4">
        <v>399.34135208999999</v>
      </c>
      <c r="W369"/>
      <c r="X369">
        <v>0</v>
      </c>
      <c r="AC369" t="s">
        <v>84</v>
      </c>
      <c r="AD369" s="38">
        <v>43709</v>
      </c>
    </row>
    <row r="370" spans="1:30" x14ac:dyDescent="0.25">
      <c r="A370">
        <v>273507</v>
      </c>
      <c r="B370" t="s">
        <v>154</v>
      </c>
      <c r="C370">
        <v>2019</v>
      </c>
      <c r="D370">
        <v>9</v>
      </c>
      <c r="E370" t="s">
        <v>90</v>
      </c>
      <c r="F370" t="s">
        <v>84</v>
      </c>
      <c r="G370" t="s">
        <v>84</v>
      </c>
      <c r="H370" t="s">
        <v>25</v>
      </c>
      <c r="I370" t="s">
        <v>25</v>
      </c>
      <c r="J370" t="s">
        <v>101</v>
      </c>
      <c r="K370" t="s">
        <v>90</v>
      </c>
      <c r="L370" t="s">
        <v>103</v>
      </c>
      <c r="M370">
        <v>533.50070271000004</v>
      </c>
      <c r="N370">
        <v>0</v>
      </c>
      <c r="O370" t="s">
        <v>80</v>
      </c>
      <c r="P370" s="38">
        <v>44269.870334027779</v>
      </c>
      <c r="Q370">
        <v>2587009</v>
      </c>
      <c r="R370" t="s">
        <v>26</v>
      </c>
      <c r="S370" s="4">
        <v>193.24161728000001</v>
      </c>
      <c r="W370"/>
      <c r="X370">
        <v>0</v>
      </c>
      <c r="AC370" t="s">
        <v>84</v>
      </c>
      <c r="AD370" s="38">
        <v>43709</v>
      </c>
    </row>
    <row r="371" spans="1:30" x14ac:dyDescent="0.25">
      <c r="A371">
        <v>273507</v>
      </c>
      <c r="B371" t="s">
        <v>154</v>
      </c>
      <c r="C371">
        <v>2019</v>
      </c>
      <c r="D371">
        <v>9</v>
      </c>
      <c r="E371" t="s">
        <v>90</v>
      </c>
      <c r="F371" t="s">
        <v>84</v>
      </c>
      <c r="G371" t="s">
        <v>84</v>
      </c>
      <c r="H371" t="s">
        <v>25</v>
      </c>
      <c r="I371" t="s">
        <v>25</v>
      </c>
      <c r="J371" t="s">
        <v>101</v>
      </c>
      <c r="K371" t="s">
        <v>90</v>
      </c>
      <c r="L371" t="s">
        <v>103</v>
      </c>
      <c r="M371">
        <v>533.50070271000004</v>
      </c>
      <c r="N371">
        <v>0</v>
      </c>
      <c r="O371" t="s">
        <v>80</v>
      </c>
      <c r="P371" s="38">
        <v>44269.870334027779</v>
      </c>
      <c r="Q371">
        <v>2587012</v>
      </c>
      <c r="R371" t="s">
        <v>81</v>
      </c>
      <c r="S371" s="4">
        <v>54.135968349999999</v>
      </c>
      <c r="W371"/>
      <c r="X371">
        <v>0</v>
      </c>
      <c r="AC371" t="s">
        <v>84</v>
      </c>
      <c r="AD371" s="38">
        <v>43709</v>
      </c>
    </row>
    <row r="372" spans="1:30" x14ac:dyDescent="0.25">
      <c r="A372">
        <v>273480</v>
      </c>
      <c r="B372" t="s">
        <v>154</v>
      </c>
      <c r="C372">
        <v>2019</v>
      </c>
      <c r="D372">
        <v>9</v>
      </c>
      <c r="E372" t="s">
        <v>88</v>
      </c>
      <c r="F372" t="s">
        <v>84</v>
      </c>
      <c r="G372" t="s">
        <v>84</v>
      </c>
      <c r="H372" t="s">
        <v>25</v>
      </c>
      <c r="I372" t="s">
        <v>25</v>
      </c>
      <c r="J372" t="s">
        <v>101</v>
      </c>
      <c r="K372" t="s">
        <v>88</v>
      </c>
      <c r="L372" t="s">
        <v>103</v>
      </c>
      <c r="M372">
        <v>254.44613530000001</v>
      </c>
      <c r="N372">
        <v>0</v>
      </c>
      <c r="O372" t="s">
        <v>80</v>
      </c>
      <c r="P372" s="38">
        <v>44269.870332719911</v>
      </c>
      <c r="Q372">
        <v>2586877</v>
      </c>
      <c r="R372" t="s">
        <v>81</v>
      </c>
      <c r="S372" s="4">
        <v>25.7665127</v>
      </c>
      <c r="W372"/>
      <c r="X372">
        <v>0</v>
      </c>
      <c r="AC372" t="s">
        <v>84</v>
      </c>
      <c r="AD372" s="38">
        <v>43709</v>
      </c>
    </row>
    <row r="373" spans="1:30" x14ac:dyDescent="0.25">
      <c r="A373">
        <v>273453</v>
      </c>
      <c r="B373" t="s">
        <v>154</v>
      </c>
      <c r="C373">
        <v>2019</v>
      </c>
      <c r="D373">
        <v>9</v>
      </c>
      <c r="E373" t="s">
        <v>86</v>
      </c>
      <c r="F373" t="s">
        <v>84</v>
      </c>
      <c r="G373" t="s">
        <v>84</v>
      </c>
      <c r="H373" t="s">
        <v>25</v>
      </c>
      <c r="I373" t="s">
        <v>25</v>
      </c>
      <c r="J373" t="s">
        <v>101</v>
      </c>
      <c r="K373" t="s">
        <v>86</v>
      </c>
      <c r="L373" t="s">
        <v>103</v>
      </c>
      <c r="M373">
        <v>1168.3183385699999</v>
      </c>
      <c r="N373">
        <v>0</v>
      </c>
      <c r="O373" t="s">
        <v>80</v>
      </c>
      <c r="P373" s="38">
        <v>44269.870331331018</v>
      </c>
      <c r="Q373">
        <v>2586742</v>
      </c>
      <c r="R373" t="s">
        <v>81</v>
      </c>
      <c r="S373" s="4">
        <v>139.10396041999999</v>
      </c>
      <c r="W373"/>
      <c r="X373">
        <v>0</v>
      </c>
      <c r="AC373" t="s">
        <v>84</v>
      </c>
      <c r="AD373" s="38">
        <v>43709</v>
      </c>
    </row>
    <row r="374" spans="1:30" x14ac:dyDescent="0.25">
      <c r="A374">
        <v>273480</v>
      </c>
      <c r="B374" t="s">
        <v>154</v>
      </c>
      <c r="C374">
        <v>2019</v>
      </c>
      <c r="D374">
        <v>9</v>
      </c>
      <c r="E374" t="s">
        <v>88</v>
      </c>
      <c r="F374" t="s">
        <v>84</v>
      </c>
      <c r="G374" t="s">
        <v>84</v>
      </c>
      <c r="H374" t="s">
        <v>25</v>
      </c>
      <c r="I374" t="s">
        <v>25</v>
      </c>
      <c r="J374" t="s">
        <v>101</v>
      </c>
      <c r="K374" t="s">
        <v>88</v>
      </c>
      <c r="L374" t="s">
        <v>103</v>
      </c>
      <c r="M374">
        <v>254.44613530000001</v>
      </c>
      <c r="N374">
        <v>0</v>
      </c>
      <c r="O374" t="s">
        <v>80</v>
      </c>
      <c r="P374" s="38">
        <v>44269.870332719911</v>
      </c>
      <c r="Q374">
        <v>2586876</v>
      </c>
      <c r="R374" t="s">
        <v>27</v>
      </c>
      <c r="S374" s="4">
        <v>123.07048995</v>
      </c>
      <c r="W374"/>
      <c r="X374">
        <v>0</v>
      </c>
      <c r="AC374" t="s">
        <v>84</v>
      </c>
      <c r="AD374" s="38">
        <v>43709</v>
      </c>
    </row>
    <row r="375" spans="1:30" x14ac:dyDescent="0.25">
      <c r="A375">
        <v>273507</v>
      </c>
      <c r="B375" t="s">
        <v>154</v>
      </c>
      <c r="C375">
        <v>2019</v>
      </c>
      <c r="D375">
        <v>9</v>
      </c>
      <c r="E375" t="s">
        <v>90</v>
      </c>
      <c r="F375" t="s">
        <v>84</v>
      </c>
      <c r="G375" t="s">
        <v>84</v>
      </c>
      <c r="H375" t="s">
        <v>25</v>
      </c>
      <c r="I375" t="s">
        <v>25</v>
      </c>
      <c r="J375" t="s">
        <v>101</v>
      </c>
      <c r="K375" t="s">
        <v>90</v>
      </c>
      <c r="L375" t="s">
        <v>103</v>
      </c>
      <c r="M375">
        <v>533.50070271000004</v>
      </c>
      <c r="N375">
        <v>0</v>
      </c>
      <c r="O375" t="s">
        <v>80</v>
      </c>
      <c r="P375" s="38">
        <v>44269.870334027779</v>
      </c>
      <c r="Q375">
        <v>2587011</v>
      </c>
      <c r="R375" t="s">
        <v>27</v>
      </c>
      <c r="S375" s="4">
        <v>294.85242577000002</v>
      </c>
      <c r="W375"/>
      <c r="X375">
        <v>0</v>
      </c>
      <c r="AC375" t="s">
        <v>84</v>
      </c>
      <c r="AD375" s="38">
        <v>43709</v>
      </c>
    </row>
    <row r="376" spans="1:30" x14ac:dyDescent="0.25">
      <c r="A376">
        <v>273453</v>
      </c>
      <c r="B376" t="s">
        <v>154</v>
      </c>
      <c r="C376">
        <v>2019</v>
      </c>
      <c r="D376">
        <v>9</v>
      </c>
      <c r="E376" t="s">
        <v>86</v>
      </c>
      <c r="F376" t="s">
        <v>84</v>
      </c>
      <c r="G376" t="s">
        <v>84</v>
      </c>
      <c r="H376" t="s">
        <v>25</v>
      </c>
      <c r="I376" t="s">
        <v>25</v>
      </c>
      <c r="J376" t="s">
        <v>101</v>
      </c>
      <c r="K376" t="s">
        <v>86</v>
      </c>
      <c r="L376" t="s">
        <v>103</v>
      </c>
      <c r="M376">
        <v>1168.3183385699999</v>
      </c>
      <c r="N376">
        <v>0</v>
      </c>
      <c r="O376" t="s">
        <v>80</v>
      </c>
      <c r="P376" s="38">
        <v>44269.870331331018</v>
      </c>
      <c r="Q376">
        <v>2586741</v>
      </c>
      <c r="R376" t="s">
        <v>27</v>
      </c>
      <c r="S376" s="4">
        <v>648.70345529999997</v>
      </c>
      <c r="W376"/>
      <c r="X376">
        <v>0</v>
      </c>
      <c r="AC376" t="s">
        <v>84</v>
      </c>
      <c r="AD376" s="38">
        <v>43709</v>
      </c>
    </row>
    <row r="377" spans="1:30" x14ac:dyDescent="0.25">
      <c r="A377">
        <v>273480</v>
      </c>
      <c r="B377" t="s">
        <v>154</v>
      </c>
      <c r="C377">
        <v>2019</v>
      </c>
      <c r="D377">
        <v>9</v>
      </c>
      <c r="E377" t="s">
        <v>88</v>
      </c>
      <c r="F377" t="s">
        <v>84</v>
      </c>
      <c r="G377" t="s">
        <v>84</v>
      </c>
      <c r="H377" t="s">
        <v>25</v>
      </c>
      <c r="I377" t="s">
        <v>25</v>
      </c>
      <c r="J377" t="s">
        <v>101</v>
      </c>
      <c r="K377" t="s">
        <v>88</v>
      </c>
      <c r="L377" t="s">
        <v>103</v>
      </c>
      <c r="M377">
        <v>254.44613530000001</v>
      </c>
      <c r="N377">
        <v>0</v>
      </c>
      <c r="O377" t="s">
        <v>80</v>
      </c>
      <c r="P377" s="38">
        <v>44269.870332719911</v>
      </c>
      <c r="Q377">
        <v>2586873</v>
      </c>
      <c r="R377" t="s">
        <v>91</v>
      </c>
      <c r="S377" s="4">
        <v>0</v>
      </c>
      <c r="W377"/>
      <c r="X377">
        <v>0</v>
      </c>
      <c r="AC377" t="s">
        <v>84</v>
      </c>
      <c r="AD377" s="38">
        <v>43709</v>
      </c>
    </row>
    <row r="378" spans="1:30" x14ac:dyDescent="0.25">
      <c r="A378">
        <v>273507</v>
      </c>
      <c r="B378" t="s">
        <v>154</v>
      </c>
      <c r="C378">
        <v>2019</v>
      </c>
      <c r="D378">
        <v>9</v>
      </c>
      <c r="E378" t="s">
        <v>90</v>
      </c>
      <c r="F378" t="s">
        <v>84</v>
      </c>
      <c r="G378" t="s">
        <v>84</v>
      </c>
      <c r="H378" t="s">
        <v>25</v>
      </c>
      <c r="I378" t="s">
        <v>25</v>
      </c>
      <c r="J378" t="s">
        <v>101</v>
      </c>
      <c r="K378" t="s">
        <v>90</v>
      </c>
      <c r="L378" t="s">
        <v>103</v>
      </c>
      <c r="M378">
        <v>533.50070271000004</v>
      </c>
      <c r="N378">
        <v>0</v>
      </c>
      <c r="O378" t="s">
        <v>80</v>
      </c>
      <c r="P378" s="38">
        <v>44269.870334027779</v>
      </c>
      <c r="Q378">
        <v>2587008</v>
      </c>
      <c r="R378" t="s">
        <v>91</v>
      </c>
      <c r="S378" s="4">
        <v>1.3916800199999999</v>
      </c>
      <c r="W378"/>
      <c r="X378">
        <v>0</v>
      </c>
      <c r="AC378" t="s">
        <v>84</v>
      </c>
      <c r="AD378" s="38">
        <v>43709</v>
      </c>
    </row>
    <row r="379" spans="1:30" x14ac:dyDescent="0.25">
      <c r="A379">
        <v>273453</v>
      </c>
      <c r="B379" t="s">
        <v>154</v>
      </c>
      <c r="C379">
        <v>2019</v>
      </c>
      <c r="D379">
        <v>9</v>
      </c>
      <c r="E379" t="s">
        <v>86</v>
      </c>
      <c r="F379" t="s">
        <v>84</v>
      </c>
      <c r="G379" t="s">
        <v>84</v>
      </c>
      <c r="H379" t="s">
        <v>25</v>
      </c>
      <c r="I379" t="s">
        <v>25</v>
      </c>
      <c r="J379" t="s">
        <v>101</v>
      </c>
      <c r="K379" t="s">
        <v>86</v>
      </c>
      <c r="L379" t="s">
        <v>103</v>
      </c>
      <c r="M379">
        <v>1168.3183385699999</v>
      </c>
      <c r="N379">
        <v>0</v>
      </c>
      <c r="O379" t="s">
        <v>80</v>
      </c>
      <c r="P379" s="38">
        <v>44269.870331331018</v>
      </c>
      <c r="Q379">
        <v>2586738</v>
      </c>
      <c r="R379" t="s">
        <v>91</v>
      </c>
      <c r="S379" s="4">
        <v>3.1494105100000001</v>
      </c>
      <c r="W379"/>
      <c r="X379">
        <v>0</v>
      </c>
      <c r="AC379" t="s">
        <v>84</v>
      </c>
      <c r="AD379" s="38">
        <v>43709</v>
      </c>
    </row>
    <row r="380" spans="1:30" x14ac:dyDescent="0.25">
      <c r="A380">
        <v>273507</v>
      </c>
      <c r="B380" t="s">
        <v>154</v>
      </c>
      <c r="C380">
        <v>2019</v>
      </c>
      <c r="D380">
        <v>9</v>
      </c>
      <c r="E380" t="s">
        <v>90</v>
      </c>
      <c r="F380" t="s">
        <v>84</v>
      </c>
      <c r="G380" t="s">
        <v>84</v>
      </c>
      <c r="H380" t="s">
        <v>25</v>
      </c>
      <c r="I380" t="s">
        <v>25</v>
      </c>
      <c r="J380" t="s">
        <v>101</v>
      </c>
      <c r="K380" t="s">
        <v>90</v>
      </c>
      <c r="L380" t="s">
        <v>103</v>
      </c>
      <c r="M380">
        <v>533.50070271000004</v>
      </c>
      <c r="N380">
        <v>0</v>
      </c>
      <c r="O380" t="s">
        <v>80</v>
      </c>
      <c r="P380" s="38">
        <v>44269.870334027779</v>
      </c>
      <c r="Q380">
        <v>2587010</v>
      </c>
      <c r="R380" t="s">
        <v>28</v>
      </c>
      <c r="S380" s="4">
        <v>1.25240759</v>
      </c>
      <c r="W380"/>
      <c r="X380">
        <v>0</v>
      </c>
      <c r="AC380" t="s">
        <v>84</v>
      </c>
      <c r="AD380" s="38">
        <v>43709</v>
      </c>
    </row>
    <row r="381" spans="1:30" x14ac:dyDescent="0.25">
      <c r="A381">
        <v>273453</v>
      </c>
      <c r="B381" t="s">
        <v>154</v>
      </c>
      <c r="C381">
        <v>2019</v>
      </c>
      <c r="D381">
        <v>9</v>
      </c>
      <c r="E381" t="s">
        <v>86</v>
      </c>
      <c r="F381" t="s">
        <v>84</v>
      </c>
      <c r="G381" t="s">
        <v>84</v>
      </c>
      <c r="H381" t="s">
        <v>25</v>
      </c>
      <c r="I381" t="s">
        <v>25</v>
      </c>
      <c r="J381" t="s">
        <v>101</v>
      </c>
      <c r="K381" t="s">
        <v>86</v>
      </c>
      <c r="L381" t="s">
        <v>103</v>
      </c>
      <c r="M381">
        <v>1168.3183385699999</v>
      </c>
      <c r="N381">
        <v>0</v>
      </c>
      <c r="O381" t="s">
        <v>80</v>
      </c>
      <c r="P381" s="38">
        <v>44269.870331331018</v>
      </c>
      <c r="Q381">
        <v>2586740</v>
      </c>
      <c r="R381" t="s">
        <v>28</v>
      </c>
      <c r="S381" s="4">
        <v>2.9268706</v>
      </c>
      <c r="W381"/>
      <c r="X381">
        <v>0</v>
      </c>
      <c r="AC381" t="s">
        <v>84</v>
      </c>
      <c r="AD381" s="38">
        <v>43709</v>
      </c>
    </row>
    <row r="382" spans="1:30" x14ac:dyDescent="0.25">
      <c r="A382">
        <v>273480</v>
      </c>
      <c r="B382" t="s">
        <v>154</v>
      </c>
      <c r="C382">
        <v>2019</v>
      </c>
      <c r="D382">
        <v>9</v>
      </c>
      <c r="E382" t="s">
        <v>88</v>
      </c>
      <c r="F382" t="s">
        <v>84</v>
      </c>
      <c r="G382" t="s">
        <v>84</v>
      </c>
      <c r="H382" t="s">
        <v>25</v>
      </c>
      <c r="I382" t="s">
        <v>25</v>
      </c>
      <c r="J382" t="s">
        <v>101</v>
      </c>
      <c r="K382" t="s">
        <v>88</v>
      </c>
      <c r="L382" t="s">
        <v>103</v>
      </c>
      <c r="M382">
        <v>254.44613530000001</v>
      </c>
      <c r="N382">
        <v>0</v>
      </c>
      <c r="O382" t="s">
        <v>80</v>
      </c>
      <c r="P382" s="38">
        <v>44269.870332719911</v>
      </c>
      <c r="Q382">
        <v>2586875</v>
      </c>
      <c r="R382" t="s">
        <v>28</v>
      </c>
      <c r="S382" s="4">
        <v>0</v>
      </c>
      <c r="W382"/>
      <c r="X382">
        <v>0</v>
      </c>
      <c r="AC382" t="s">
        <v>84</v>
      </c>
      <c r="AD382" s="38">
        <v>43709</v>
      </c>
    </row>
    <row r="383" spans="1:30" x14ac:dyDescent="0.25">
      <c r="A383">
        <v>287325</v>
      </c>
      <c r="B383" t="s">
        <v>156</v>
      </c>
      <c r="C383">
        <v>2019</v>
      </c>
      <c r="D383">
        <v>10</v>
      </c>
      <c r="E383" t="s">
        <v>90</v>
      </c>
      <c r="F383" t="s">
        <v>84</v>
      </c>
      <c r="G383" t="s">
        <v>84</v>
      </c>
      <c r="H383" t="s">
        <v>25</v>
      </c>
      <c r="I383" t="s">
        <v>25</v>
      </c>
      <c r="J383" t="s">
        <v>101</v>
      </c>
      <c r="K383" t="s">
        <v>90</v>
      </c>
      <c r="L383" t="s">
        <v>103</v>
      </c>
      <c r="M383">
        <v>576.31545115999995</v>
      </c>
      <c r="N383">
        <v>0</v>
      </c>
      <c r="O383" t="s">
        <v>80</v>
      </c>
      <c r="P383" s="38">
        <v>44269.87196944443</v>
      </c>
      <c r="Q383">
        <v>2717716</v>
      </c>
      <c r="R383" t="s">
        <v>26</v>
      </c>
      <c r="S383" s="4">
        <v>208.74973412</v>
      </c>
      <c r="W383"/>
      <c r="X383">
        <v>0</v>
      </c>
      <c r="AC383" t="s">
        <v>84</v>
      </c>
      <c r="AD383" s="38">
        <v>43739</v>
      </c>
    </row>
    <row r="384" spans="1:30" x14ac:dyDescent="0.25">
      <c r="A384">
        <v>287271</v>
      </c>
      <c r="B384" t="s">
        <v>156</v>
      </c>
      <c r="C384">
        <v>2019</v>
      </c>
      <c r="D384">
        <v>10</v>
      </c>
      <c r="E384" t="s">
        <v>86</v>
      </c>
      <c r="F384" t="s">
        <v>84</v>
      </c>
      <c r="G384" t="s">
        <v>84</v>
      </c>
      <c r="H384" t="s">
        <v>25</v>
      </c>
      <c r="I384" t="s">
        <v>25</v>
      </c>
      <c r="J384" t="s">
        <v>101</v>
      </c>
      <c r="K384" t="s">
        <v>86</v>
      </c>
      <c r="L384" t="s">
        <v>103</v>
      </c>
      <c r="M384">
        <v>1469.1859072899999</v>
      </c>
      <c r="N384">
        <v>0</v>
      </c>
      <c r="O384" t="s">
        <v>80</v>
      </c>
      <c r="P384" s="38">
        <v>44269.871966747683</v>
      </c>
      <c r="Q384">
        <v>2717446</v>
      </c>
      <c r="R384" t="s">
        <v>26</v>
      </c>
      <c r="S384" s="4">
        <v>502.18049937000001</v>
      </c>
      <c r="W384"/>
      <c r="X384">
        <v>0</v>
      </c>
      <c r="AC384" t="s">
        <v>84</v>
      </c>
      <c r="AD384" s="38">
        <v>43739</v>
      </c>
    </row>
    <row r="385" spans="1:30" x14ac:dyDescent="0.25">
      <c r="A385">
        <v>287298</v>
      </c>
      <c r="B385" t="s">
        <v>156</v>
      </c>
      <c r="C385">
        <v>2019</v>
      </c>
      <c r="D385">
        <v>10</v>
      </c>
      <c r="E385" t="s">
        <v>88</v>
      </c>
      <c r="F385" t="s">
        <v>84</v>
      </c>
      <c r="G385" t="s">
        <v>84</v>
      </c>
      <c r="H385" t="s">
        <v>25</v>
      </c>
      <c r="I385" t="s">
        <v>25</v>
      </c>
      <c r="J385" t="s">
        <v>101</v>
      </c>
      <c r="K385" t="s">
        <v>88</v>
      </c>
      <c r="L385" t="s">
        <v>103</v>
      </c>
      <c r="M385">
        <v>290.75618709000003</v>
      </c>
      <c r="N385">
        <v>0</v>
      </c>
      <c r="O385" t="s">
        <v>80</v>
      </c>
      <c r="P385" s="38">
        <v>44269.871968136576</v>
      </c>
      <c r="Q385">
        <v>2717581</v>
      </c>
      <c r="R385" t="s">
        <v>26</v>
      </c>
      <c r="S385" s="4">
        <v>126.87826488</v>
      </c>
      <c r="W385"/>
      <c r="X385">
        <v>0</v>
      </c>
      <c r="AC385" t="s">
        <v>84</v>
      </c>
      <c r="AD385" s="38">
        <v>43739</v>
      </c>
    </row>
    <row r="386" spans="1:30" x14ac:dyDescent="0.25">
      <c r="A386">
        <v>287325</v>
      </c>
      <c r="B386" t="s">
        <v>156</v>
      </c>
      <c r="C386">
        <v>2019</v>
      </c>
      <c r="D386">
        <v>10</v>
      </c>
      <c r="E386" t="s">
        <v>90</v>
      </c>
      <c r="F386" t="s">
        <v>84</v>
      </c>
      <c r="G386" t="s">
        <v>84</v>
      </c>
      <c r="H386" t="s">
        <v>25</v>
      </c>
      <c r="I386" t="s">
        <v>25</v>
      </c>
      <c r="J386" t="s">
        <v>101</v>
      </c>
      <c r="K386" t="s">
        <v>90</v>
      </c>
      <c r="L386" t="s">
        <v>103</v>
      </c>
      <c r="M386">
        <v>576.31545115999995</v>
      </c>
      <c r="N386">
        <v>0</v>
      </c>
      <c r="O386" t="s">
        <v>80</v>
      </c>
      <c r="P386" s="38">
        <v>44269.87196944443</v>
      </c>
      <c r="Q386">
        <v>2717719</v>
      </c>
      <c r="R386" t="s">
        <v>81</v>
      </c>
      <c r="S386" s="4">
        <v>58.480513459999997</v>
      </c>
      <c r="W386"/>
      <c r="X386">
        <v>0</v>
      </c>
      <c r="AC386" t="s">
        <v>84</v>
      </c>
      <c r="AD386" s="38">
        <v>43739</v>
      </c>
    </row>
    <row r="387" spans="1:30" x14ac:dyDescent="0.25">
      <c r="A387">
        <v>287298</v>
      </c>
      <c r="B387" t="s">
        <v>156</v>
      </c>
      <c r="C387">
        <v>2019</v>
      </c>
      <c r="D387">
        <v>10</v>
      </c>
      <c r="E387" t="s">
        <v>88</v>
      </c>
      <c r="F387" t="s">
        <v>84</v>
      </c>
      <c r="G387" t="s">
        <v>84</v>
      </c>
      <c r="H387" t="s">
        <v>25</v>
      </c>
      <c r="I387" t="s">
        <v>25</v>
      </c>
      <c r="J387" t="s">
        <v>101</v>
      </c>
      <c r="K387" t="s">
        <v>88</v>
      </c>
      <c r="L387" t="s">
        <v>103</v>
      </c>
      <c r="M387">
        <v>290.75618709000003</v>
      </c>
      <c r="N387">
        <v>0</v>
      </c>
      <c r="O387" t="s">
        <v>80</v>
      </c>
      <c r="P387" s="38">
        <v>44269.871968136576</v>
      </c>
      <c r="Q387">
        <v>2717584</v>
      </c>
      <c r="R387" t="s">
        <v>81</v>
      </c>
      <c r="S387" s="4">
        <v>29.443453640000001</v>
      </c>
      <c r="W387"/>
      <c r="X387">
        <v>0</v>
      </c>
      <c r="AC387" t="s">
        <v>84</v>
      </c>
      <c r="AD387" s="38">
        <v>43739</v>
      </c>
    </row>
    <row r="388" spans="1:30" x14ac:dyDescent="0.25">
      <c r="A388">
        <v>287271</v>
      </c>
      <c r="B388" t="s">
        <v>156</v>
      </c>
      <c r="C388">
        <v>2019</v>
      </c>
      <c r="D388">
        <v>10</v>
      </c>
      <c r="E388" t="s">
        <v>86</v>
      </c>
      <c r="F388" t="s">
        <v>84</v>
      </c>
      <c r="G388" t="s">
        <v>84</v>
      </c>
      <c r="H388" t="s">
        <v>25</v>
      </c>
      <c r="I388" t="s">
        <v>25</v>
      </c>
      <c r="J388" t="s">
        <v>101</v>
      </c>
      <c r="K388" t="s">
        <v>86</v>
      </c>
      <c r="L388" t="s">
        <v>103</v>
      </c>
      <c r="M388">
        <v>1469.1859072899999</v>
      </c>
      <c r="N388">
        <v>0</v>
      </c>
      <c r="O388" t="s">
        <v>80</v>
      </c>
      <c r="P388" s="38">
        <v>44269.871966747683</v>
      </c>
      <c r="Q388">
        <v>2717449</v>
      </c>
      <c r="R388" t="s">
        <v>81</v>
      </c>
      <c r="S388" s="4">
        <v>174.92627784000001</v>
      </c>
      <c r="W388"/>
      <c r="X388">
        <v>0</v>
      </c>
      <c r="AC388" t="s">
        <v>84</v>
      </c>
      <c r="AD388" s="38">
        <v>43739</v>
      </c>
    </row>
    <row r="389" spans="1:30" x14ac:dyDescent="0.25">
      <c r="A389">
        <v>287298</v>
      </c>
      <c r="B389" t="s">
        <v>156</v>
      </c>
      <c r="C389">
        <v>2019</v>
      </c>
      <c r="D389">
        <v>10</v>
      </c>
      <c r="E389" t="s">
        <v>88</v>
      </c>
      <c r="F389" t="s">
        <v>84</v>
      </c>
      <c r="G389" t="s">
        <v>84</v>
      </c>
      <c r="H389" t="s">
        <v>25</v>
      </c>
      <c r="I389" t="s">
        <v>25</v>
      </c>
      <c r="J389" t="s">
        <v>101</v>
      </c>
      <c r="K389" t="s">
        <v>88</v>
      </c>
      <c r="L389" t="s">
        <v>103</v>
      </c>
      <c r="M389">
        <v>290.75618709000003</v>
      </c>
      <c r="N389">
        <v>0</v>
      </c>
      <c r="O389" t="s">
        <v>80</v>
      </c>
      <c r="P389" s="38">
        <v>44269.871968136576</v>
      </c>
      <c r="Q389">
        <v>2717583</v>
      </c>
      <c r="R389" t="s">
        <v>27</v>
      </c>
      <c r="S389" s="4">
        <v>140.63293340999999</v>
      </c>
      <c r="W389"/>
      <c r="X389">
        <v>0</v>
      </c>
      <c r="AC389" t="s">
        <v>84</v>
      </c>
      <c r="AD389" s="38">
        <v>43739</v>
      </c>
    </row>
    <row r="390" spans="1:30" x14ac:dyDescent="0.25">
      <c r="A390">
        <v>287271</v>
      </c>
      <c r="B390" t="s">
        <v>156</v>
      </c>
      <c r="C390">
        <v>2019</v>
      </c>
      <c r="D390">
        <v>10</v>
      </c>
      <c r="E390" t="s">
        <v>86</v>
      </c>
      <c r="F390" t="s">
        <v>84</v>
      </c>
      <c r="G390" t="s">
        <v>84</v>
      </c>
      <c r="H390" t="s">
        <v>25</v>
      </c>
      <c r="I390" t="s">
        <v>25</v>
      </c>
      <c r="J390" t="s">
        <v>101</v>
      </c>
      <c r="K390" t="s">
        <v>86</v>
      </c>
      <c r="L390" t="s">
        <v>103</v>
      </c>
      <c r="M390">
        <v>1469.1859072899999</v>
      </c>
      <c r="N390">
        <v>0</v>
      </c>
      <c r="O390" t="s">
        <v>80</v>
      </c>
      <c r="P390" s="38">
        <v>44269.871966747683</v>
      </c>
      <c r="Q390">
        <v>2717448</v>
      </c>
      <c r="R390" t="s">
        <v>27</v>
      </c>
      <c r="S390" s="4">
        <v>815.75880739000002</v>
      </c>
      <c r="W390"/>
      <c r="X390">
        <v>0</v>
      </c>
      <c r="AC390" t="s">
        <v>84</v>
      </c>
      <c r="AD390" s="38">
        <v>43739</v>
      </c>
    </row>
    <row r="391" spans="1:30" x14ac:dyDescent="0.25">
      <c r="A391">
        <v>287325</v>
      </c>
      <c r="B391" t="s">
        <v>156</v>
      </c>
      <c r="C391">
        <v>2019</v>
      </c>
      <c r="D391">
        <v>10</v>
      </c>
      <c r="E391" t="s">
        <v>90</v>
      </c>
      <c r="F391" t="s">
        <v>84</v>
      </c>
      <c r="G391" t="s">
        <v>84</v>
      </c>
      <c r="H391" t="s">
        <v>25</v>
      </c>
      <c r="I391" t="s">
        <v>25</v>
      </c>
      <c r="J391" t="s">
        <v>101</v>
      </c>
      <c r="K391" t="s">
        <v>90</v>
      </c>
      <c r="L391" t="s">
        <v>103</v>
      </c>
      <c r="M391">
        <v>576.31545115999995</v>
      </c>
      <c r="N391">
        <v>0</v>
      </c>
      <c r="O391" t="s">
        <v>80</v>
      </c>
      <c r="P391" s="38">
        <v>44269.87196944443</v>
      </c>
      <c r="Q391">
        <v>2717718</v>
      </c>
      <c r="R391" t="s">
        <v>27</v>
      </c>
      <c r="S391" s="4">
        <v>318.51506085</v>
      </c>
      <c r="W391"/>
      <c r="X391">
        <v>0</v>
      </c>
      <c r="AC391" t="s">
        <v>84</v>
      </c>
      <c r="AD391" s="38">
        <v>43739</v>
      </c>
    </row>
    <row r="392" spans="1:30" x14ac:dyDescent="0.25">
      <c r="A392">
        <v>287298</v>
      </c>
      <c r="B392" t="s">
        <v>156</v>
      </c>
      <c r="C392">
        <v>2019</v>
      </c>
      <c r="D392">
        <v>10</v>
      </c>
      <c r="E392" t="s">
        <v>88</v>
      </c>
      <c r="F392" t="s">
        <v>84</v>
      </c>
      <c r="G392" t="s">
        <v>84</v>
      </c>
      <c r="H392" t="s">
        <v>25</v>
      </c>
      <c r="I392" t="s">
        <v>25</v>
      </c>
      <c r="J392" t="s">
        <v>101</v>
      </c>
      <c r="K392" t="s">
        <v>88</v>
      </c>
      <c r="L392" t="s">
        <v>103</v>
      </c>
      <c r="M392">
        <v>290.75618709000003</v>
      </c>
      <c r="N392">
        <v>0</v>
      </c>
      <c r="O392" t="s">
        <v>80</v>
      </c>
      <c r="P392" s="38">
        <v>44269.871968136576</v>
      </c>
      <c r="Q392">
        <v>2717580</v>
      </c>
      <c r="R392" t="s">
        <v>91</v>
      </c>
      <c r="S392" s="4">
        <v>0</v>
      </c>
      <c r="W392"/>
      <c r="X392">
        <v>0</v>
      </c>
      <c r="AC392" t="s">
        <v>84</v>
      </c>
      <c r="AD392" s="38">
        <v>43739</v>
      </c>
    </row>
    <row r="393" spans="1:30" x14ac:dyDescent="0.25">
      <c r="A393">
        <v>287325</v>
      </c>
      <c r="B393" t="s">
        <v>156</v>
      </c>
      <c r="C393">
        <v>2019</v>
      </c>
      <c r="D393">
        <v>10</v>
      </c>
      <c r="E393" t="s">
        <v>90</v>
      </c>
      <c r="F393" t="s">
        <v>84</v>
      </c>
      <c r="G393" t="s">
        <v>84</v>
      </c>
      <c r="H393" t="s">
        <v>25</v>
      </c>
      <c r="I393" t="s">
        <v>25</v>
      </c>
      <c r="J393" t="s">
        <v>101</v>
      </c>
      <c r="K393" t="s">
        <v>90</v>
      </c>
      <c r="L393" t="s">
        <v>103</v>
      </c>
      <c r="M393">
        <v>576.31545115999995</v>
      </c>
      <c r="N393">
        <v>0</v>
      </c>
      <c r="O393" t="s">
        <v>80</v>
      </c>
      <c r="P393" s="38">
        <v>44269.87196944443</v>
      </c>
      <c r="Q393">
        <v>2717715</v>
      </c>
      <c r="R393" t="s">
        <v>91</v>
      </c>
      <c r="S393" s="4">
        <v>1.50336578</v>
      </c>
      <c r="W393"/>
      <c r="X393">
        <v>0</v>
      </c>
      <c r="AC393" t="s">
        <v>84</v>
      </c>
      <c r="AD393" s="38">
        <v>43739</v>
      </c>
    </row>
    <row r="394" spans="1:30" x14ac:dyDescent="0.25">
      <c r="A394">
        <v>287271</v>
      </c>
      <c r="B394" t="s">
        <v>156</v>
      </c>
      <c r="C394">
        <v>2019</v>
      </c>
      <c r="D394">
        <v>10</v>
      </c>
      <c r="E394" t="s">
        <v>86</v>
      </c>
      <c r="F394" t="s">
        <v>84</v>
      </c>
      <c r="G394" t="s">
        <v>84</v>
      </c>
      <c r="H394" t="s">
        <v>25</v>
      </c>
      <c r="I394" t="s">
        <v>25</v>
      </c>
      <c r="J394" t="s">
        <v>101</v>
      </c>
      <c r="K394" t="s">
        <v>86</v>
      </c>
      <c r="L394" t="s">
        <v>103</v>
      </c>
      <c r="M394">
        <v>1469.1859072899999</v>
      </c>
      <c r="N394">
        <v>0</v>
      </c>
      <c r="O394" t="s">
        <v>80</v>
      </c>
      <c r="P394" s="38">
        <v>44269.871966747683</v>
      </c>
      <c r="Q394">
        <v>2717445</v>
      </c>
      <c r="R394" t="s">
        <v>91</v>
      </c>
      <c r="S394" s="4">
        <v>3.9604527200000001</v>
      </c>
      <c r="W394"/>
      <c r="X394">
        <v>0</v>
      </c>
      <c r="AC394" t="s">
        <v>84</v>
      </c>
      <c r="AD394" s="38">
        <v>43739</v>
      </c>
    </row>
    <row r="395" spans="1:30" x14ac:dyDescent="0.25">
      <c r="A395">
        <v>287298</v>
      </c>
      <c r="B395" t="s">
        <v>156</v>
      </c>
      <c r="C395">
        <v>2019</v>
      </c>
      <c r="D395">
        <v>10</v>
      </c>
      <c r="E395" t="s">
        <v>88</v>
      </c>
      <c r="F395" t="s">
        <v>84</v>
      </c>
      <c r="G395" t="s">
        <v>84</v>
      </c>
      <c r="H395" t="s">
        <v>25</v>
      </c>
      <c r="I395" t="s">
        <v>25</v>
      </c>
      <c r="J395" t="s">
        <v>101</v>
      </c>
      <c r="K395" t="s">
        <v>88</v>
      </c>
      <c r="L395" t="s">
        <v>103</v>
      </c>
      <c r="M395">
        <v>290.75618709000003</v>
      </c>
      <c r="N395">
        <v>0</v>
      </c>
      <c r="O395" t="s">
        <v>80</v>
      </c>
      <c r="P395" s="38">
        <v>44269.871968136576</v>
      </c>
      <c r="Q395">
        <v>2717582</v>
      </c>
      <c r="R395" t="s">
        <v>28</v>
      </c>
      <c r="S395" s="4">
        <v>0</v>
      </c>
      <c r="W395"/>
      <c r="X395">
        <v>0</v>
      </c>
      <c r="AC395" t="s">
        <v>84</v>
      </c>
      <c r="AD395" s="38">
        <v>43739</v>
      </c>
    </row>
    <row r="396" spans="1:30" x14ac:dyDescent="0.25">
      <c r="A396">
        <v>287271</v>
      </c>
      <c r="B396" t="s">
        <v>156</v>
      </c>
      <c r="C396">
        <v>2019</v>
      </c>
      <c r="D396">
        <v>10</v>
      </c>
      <c r="E396" t="s">
        <v>86</v>
      </c>
      <c r="F396" t="s">
        <v>84</v>
      </c>
      <c r="G396" t="s">
        <v>84</v>
      </c>
      <c r="H396" t="s">
        <v>25</v>
      </c>
      <c r="I396" t="s">
        <v>25</v>
      </c>
      <c r="J396" t="s">
        <v>101</v>
      </c>
      <c r="K396" t="s">
        <v>86</v>
      </c>
      <c r="L396" t="s">
        <v>103</v>
      </c>
      <c r="M396">
        <v>1469.1859072899999</v>
      </c>
      <c r="N396">
        <v>0</v>
      </c>
      <c r="O396" t="s">
        <v>80</v>
      </c>
      <c r="P396" s="38">
        <v>44269.871966747683</v>
      </c>
      <c r="Q396">
        <v>2717447</v>
      </c>
      <c r="R396" t="s">
        <v>28</v>
      </c>
      <c r="S396" s="4">
        <v>3.6806039099999999</v>
      </c>
      <c r="W396"/>
      <c r="X396">
        <v>0</v>
      </c>
      <c r="AC396" t="s">
        <v>84</v>
      </c>
      <c r="AD396" s="38">
        <v>43739</v>
      </c>
    </row>
    <row r="397" spans="1:30" x14ac:dyDescent="0.25">
      <c r="A397">
        <v>287325</v>
      </c>
      <c r="B397" t="s">
        <v>156</v>
      </c>
      <c r="C397">
        <v>2019</v>
      </c>
      <c r="D397">
        <v>10</v>
      </c>
      <c r="E397" t="s">
        <v>90</v>
      </c>
      <c r="F397" t="s">
        <v>84</v>
      </c>
      <c r="G397" t="s">
        <v>84</v>
      </c>
      <c r="H397" t="s">
        <v>25</v>
      </c>
      <c r="I397" t="s">
        <v>25</v>
      </c>
      <c r="J397" t="s">
        <v>101</v>
      </c>
      <c r="K397" t="s">
        <v>90</v>
      </c>
      <c r="L397" t="s">
        <v>103</v>
      </c>
      <c r="M397">
        <v>576.31545115999995</v>
      </c>
      <c r="N397">
        <v>0</v>
      </c>
      <c r="O397" t="s">
        <v>80</v>
      </c>
      <c r="P397" s="38">
        <v>44269.87196944443</v>
      </c>
      <c r="Q397">
        <v>2717717</v>
      </c>
      <c r="R397" t="s">
        <v>28</v>
      </c>
      <c r="S397" s="4">
        <v>1.3529163900000001</v>
      </c>
      <c r="W397"/>
      <c r="X397">
        <v>0</v>
      </c>
      <c r="AC397" t="s">
        <v>84</v>
      </c>
      <c r="AD397" s="38">
        <v>43739</v>
      </c>
    </row>
    <row r="398" spans="1:30" x14ac:dyDescent="0.25">
      <c r="A398">
        <v>301116</v>
      </c>
      <c r="B398" t="s">
        <v>155</v>
      </c>
      <c r="C398">
        <v>2019</v>
      </c>
      <c r="D398">
        <v>11</v>
      </c>
      <c r="E398" t="s">
        <v>88</v>
      </c>
      <c r="F398" t="s">
        <v>84</v>
      </c>
      <c r="G398" t="s">
        <v>84</v>
      </c>
      <c r="H398" t="s">
        <v>25</v>
      </c>
      <c r="I398" t="s">
        <v>25</v>
      </c>
      <c r="J398" t="s">
        <v>101</v>
      </c>
      <c r="K398" t="s">
        <v>88</v>
      </c>
      <c r="L398" t="s">
        <v>103</v>
      </c>
      <c r="M398">
        <v>633.19527639</v>
      </c>
      <c r="N398">
        <v>0</v>
      </c>
      <c r="O398" t="s">
        <v>80</v>
      </c>
      <c r="P398" s="38">
        <v>44269.873618055557</v>
      </c>
      <c r="Q398">
        <v>2848288</v>
      </c>
      <c r="R398" t="s">
        <v>26</v>
      </c>
      <c r="S398" s="4">
        <v>276.30957332000003</v>
      </c>
      <c r="W398"/>
      <c r="X398">
        <v>0</v>
      </c>
      <c r="AC398" t="s">
        <v>84</v>
      </c>
      <c r="AD398" s="38">
        <v>43770</v>
      </c>
    </row>
    <row r="399" spans="1:30" x14ac:dyDescent="0.25">
      <c r="A399">
        <v>301089</v>
      </c>
      <c r="B399" t="s">
        <v>155</v>
      </c>
      <c r="C399">
        <v>2019</v>
      </c>
      <c r="D399">
        <v>11</v>
      </c>
      <c r="E399" t="s">
        <v>86</v>
      </c>
      <c r="F399" t="s">
        <v>84</v>
      </c>
      <c r="G399" t="s">
        <v>84</v>
      </c>
      <c r="H399" t="s">
        <v>25</v>
      </c>
      <c r="I399" t="s">
        <v>25</v>
      </c>
      <c r="J399" t="s">
        <v>101</v>
      </c>
      <c r="K399" t="s">
        <v>86</v>
      </c>
      <c r="L399" t="s">
        <v>103</v>
      </c>
      <c r="M399">
        <v>1777.6837430800001</v>
      </c>
      <c r="N399">
        <v>0</v>
      </c>
      <c r="O399" t="s">
        <v>80</v>
      </c>
      <c r="P399" s="38">
        <v>44269.873616666657</v>
      </c>
      <c r="Q399">
        <v>2848153</v>
      </c>
      <c r="R399" t="s">
        <v>26</v>
      </c>
      <c r="S399" s="4">
        <v>607.62773818999995</v>
      </c>
      <c r="W399"/>
      <c r="X399">
        <v>0</v>
      </c>
      <c r="AC399" t="s">
        <v>84</v>
      </c>
      <c r="AD399" s="38">
        <v>43770</v>
      </c>
    </row>
    <row r="400" spans="1:30" x14ac:dyDescent="0.25">
      <c r="A400">
        <v>301143</v>
      </c>
      <c r="B400" t="s">
        <v>155</v>
      </c>
      <c r="C400">
        <v>2019</v>
      </c>
      <c r="D400">
        <v>11</v>
      </c>
      <c r="E400" t="s">
        <v>90</v>
      </c>
      <c r="F400" t="s">
        <v>84</v>
      </c>
      <c r="G400" t="s">
        <v>84</v>
      </c>
      <c r="H400" t="s">
        <v>25</v>
      </c>
      <c r="I400" t="s">
        <v>25</v>
      </c>
      <c r="J400" t="s">
        <v>101</v>
      </c>
      <c r="K400" t="s">
        <v>90</v>
      </c>
      <c r="L400" t="s">
        <v>103</v>
      </c>
      <c r="M400">
        <v>555.24552490999997</v>
      </c>
      <c r="N400">
        <v>0</v>
      </c>
      <c r="O400" t="s">
        <v>80</v>
      </c>
      <c r="P400" s="38">
        <v>44269.873619479164</v>
      </c>
      <c r="Q400">
        <v>2848423</v>
      </c>
      <c r="R400" t="s">
        <v>26</v>
      </c>
      <c r="S400" s="4">
        <v>201.1179042</v>
      </c>
      <c r="W400"/>
      <c r="X400">
        <v>0</v>
      </c>
      <c r="AC400" t="s">
        <v>84</v>
      </c>
      <c r="AD400" s="38">
        <v>43770</v>
      </c>
    </row>
    <row r="401" spans="1:30" x14ac:dyDescent="0.25">
      <c r="A401">
        <v>301143</v>
      </c>
      <c r="B401" t="s">
        <v>155</v>
      </c>
      <c r="C401">
        <v>2019</v>
      </c>
      <c r="D401">
        <v>11</v>
      </c>
      <c r="E401" t="s">
        <v>90</v>
      </c>
      <c r="F401" t="s">
        <v>84</v>
      </c>
      <c r="G401" t="s">
        <v>84</v>
      </c>
      <c r="H401" t="s">
        <v>25</v>
      </c>
      <c r="I401" t="s">
        <v>25</v>
      </c>
      <c r="J401" t="s">
        <v>101</v>
      </c>
      <c r="K401" t="s">
        <v>90</v>
      </c>
      <c r="L401" t="s">
        <v>103</v>
      </c>
      <c r="M401">
        <v>555.24552490999997</v>
      </c>
      <c r="N401">
        <v>0</v>
      </c>
      <c r="O401" t="s">
        <v>80</v>
      </c>
      <c r="P401" s="38">
        <v>44269.873619479164</v>
      </c>
      <c r="Q401">
        <v>2848426</v>
      </c>
      <c r="R401" t="s">
        <v>81</v>
      </c>
      <c r="S401" s="4">
        <v>56.342482789999998</v>
      </c>
      <c r="W401"/>
      <c r="X401">
        <v>0</v>
      </c>
      <c r="AC401" t="s">
        <v>84</v>
      </c>
      <c r="AD401" s="38">
        <v>43770</v>
      </c>
    </row>
    <row r="402" spans="1:30" x14ac:dyDescent="0.25">
      <c r="A402">
        <v>301116</v>
      </c>
      <c r="B402" t="s">
        <v>155</v>
      </c>
      <c r="C402">
        <v>2019</v>
      </c>
      <c r="D402">
        <v>11</v>
      </c>
      <c r="E402" t="s">
        <v>88</v>
      </c>
      <c r="F402" t="s">
        <v>84</v>
      </c>
      <c r="G402" t="s">
        <v>84</v>
      </c>
      <c r="H402" t="s">
        <v>25</v>
      </c>
      <c r="I402" t="s">
        <v>25</v>
      </c>
      <c r="J402" t="s">
        <v>101</v>
      </c>
      <c r="K402" t="s">
        <v>88</v>
      </c>
      <c r="L402" t="s">
        <v>103</v>
      </c>
      <c r="M402">
        <v>633.19527639</v>
      </c>
      <c r="N402">
        <v>0</v>
      </c>
      <c r="O402" t="s">
        <v>80</v>
      </c>
      <c r="P402" s="38">
        <v>44269.873618055557</v>
      </c>
      <c r="Q402">
        <v>2848291</v>
      </c>
      <c r="R402" t="s">
        <v>81</v>
      </c>
      <c r="S402" s="4">
        <v>64.120581400000006</v>
      </c>
      <c r="W402"/>
      <c r="X402">
        <v>0</v>
      </c>
      <c r="AC402" t="s">
        <v>84</v>
      </c>
      <c r="AD402" s="38">
        <v>43770</v>
      </c>
    </row>
    <row r="403" spans="1:30" x14ac:dyDescent="0.25">
      <c r="A403">
        <v>301089</v>
      </c>
      <c r="B403" t="s">
        <v>155</v>
      </c>
      <c r="C403">
        <v>2019</v>
      </c>
      <c r="D403">
        <v>11</v>
      </c>
      <c r="E403" t="s">
        <v>86</v>
      </c>
      <c r="F403" t="s">
        <v>84</v>
      </c>
      <c r="G403" t="s">
        <v>84</v>
      </c>
      <c r="H403" t="s">
        <v>25</v>
      </c>
      <c r="I403" t="s">
        <v>25</v>
      </c>
      <c r="J403" t="s">
        <v>101</v>
      </c>
      <c r="K403" t="s">
        <v>86</v>
      </c>
      <c r="L403" t="s">
        <v>103</v>
      </c>
      <c r="M403">
        <v>1777.6837430800001</v>
      </c>
      <c r="N403">
        <v>0</v>
      </c>
      <c r="O403" t="s">
        <v>80</v>
      </c>
      <c r="P403" s="38">
        <v>44269.873616666657</v>
      </c>
      <c r="Q403">
        <v>2848156</v>
      </c>
      <c r="R403" t="s">
        <v>81</v>
      </c>
      <c r="S403" s="4">
        <v>211.65708083999999</v>
      </c>
      <c r="W403"/>
      <c r="X403">
        <v>0</v>
      </c>
      <c r="AC403" t="s">
        <v>84</v>
      </c>
      <c r="AD403" s="38">
        <v>43770</v>
      </c>
    </row>
    <row r="404" spans="1:30" x14ac:dyDescent="0.25">
      <c r="A404">
        <v>301116</v>
      </c>
      <c r="B404" t="s">
        <v>155</v>
      </c>
      <c r="C404">
        <v>2019</v>
      </c>
      <c r="D404">
        <v>11</v>
      </c>
      <c r="E404" t="s">
        <v>88</v>
      </c>
      <c r="F404" t="s">
        <v>84</v>
      </c>
      <c r="G404" t="s">
        <v>84</v>
      </c>
      <c r="H404" t="s">
        <v>25</v>
      </c>
      <c r="I404" t="s">
        <v>25</v>
      </c>
      <c r="J404" t="s">
        <v>101</v>
      </c>
      <c r="K404" t="s">
        <v>88</v>
      </c>
      <c r="L404" t="s">
        <v>103</v>
      </c>
      <c r="M404">
        <v>633.19527639</v>
      </c>
      <c r="N404">
        <v>0</v>
      </c>
      <c r="O404" t="s">
        <v>80</v>
      </c>
      <c r="P404" s="38">
        <v>44269.873618055557</v>
      </c>
      <c r="Q404">
        <v>2848290</v>
      </c>
      <c r="R404" t="s">
        <v>27</v>
      </c>
      <c r="S404" s="4">
        <v>306.26384954999997</v>
      </c>
      <c r="W404"/>
      <c r="X404">
        <v>0</v>
      </c>
      <c r="AC404" t="s">
        <v>84</v>
      </c>
      <c r="AD404" s="38">
        <v>43770</v>
      </c>
    </row>
    <row r="405" spans="1:30" x14ac:dyDescent="0.25">
      <c r="A405">
        <v>301143</v>
      </c>
      <c r="B405" t="s">
        <v>155</v>
      </c>
      <c r="C405">
        <v>2019</v>
      </c>
      <c r="D405">
        <v>11</v>
      </c>
      <c r="E405" t="s">
        <v>90</v>
      </c>
      <c r="F405" t="s">
        <v>84</v>
      </c>
      <c r="G405" t="s">
        <v>84</v>
      </c>
      <c r="H405" t="s">
        <v>25</v>
      </c>
      <c r="I405" t="s">
        <v>25</v>
      </c>
      <c r="J405" t="s">
        <v>101</v>
      </c>
      <c r="K405" t="s">
        <v>90</v>
      </c>
      <c r="L405" t="s">
        <v>103</v>
      </c>
      <c r="M405">
        <v>555.24552490999997</v>
      </c>
      <c r="N405">
        <v>0</v>
      </c>
      <c r="O405" t="s">
        <v>80</v>
      </c>
      <c r="P405" s="38">
        <v>44269.873619479164</v>
      </c>
      <c r="Q405">
        <v>2848425</v>
      </c>
      <c r="R405" t="s">
        <v>27</v>
      </c>
      <c r="S405" s="4">
        <v>306.87024231999999</v>
      </c>
      <c r="W405"/>
      <c r="X405">
        <v>0</v>
      </c>
      <c r="AC405" t="s">
        <v>84</v>
      </c>
      <c r="AD405" s="38">
        <v>43770</v>
      </c>
    </row>
    <row r="406" spans="1:30" x14ac:dyDescent="0.25">
      <c r="A406">
        <v>301089</v>
      </c>
      <c r="B406" t="s">
        <v>155</v>
      </c>
      <c r="C406">
        <v>2019</v>
      </c>
      <c r="D406">
        <v>11</v>
      </c>
      <c r="E406" t="s">
        <v>86</v>
      </c>
      <c r="F406" t="s">
        <v>84</v>
      </c>
      <c r="G406" t="s">
        <v>84</v>
      </c>
      <c r="H406" t="s">
        <v>25</v>
      </c>
      <c r="I406" t="s">
        <v>25</v>
      </c>
      <c r="J406" t="s">
        <v>101</v>
      </c>
      <c r="K406" t="s">
        <v>86</v>
      </c>
      <c r="L406" t="s">
        <v>103</v>
      </c>
      <c r="M406">
        <v>1777.6837430800001</v>
      </c>
      <c r="N406">
        <v>0</v>
      </c>
      <c r="O406" t="s">
        <v>80</v>
      </c>
      <c r="P406" s="38">
        <v>44269.873616666657</v>
      </c>
      <c r="Q406">
        <v>2848155</v>
      </c>
      <c r="R406" t="s">
        <v>27</v>
      </c>
      <c r="S406" s="4">
        <v>987.05083065999997</v>
      </c>
      <c r="W406"/>
      <c r="X406">
        <v>0</v>
      </c>
      <c r="AC406" t="s">
        <v>84</v>
      </c>
      <c r="AD406" s="38">
        <v>43770</v>
      </c>
    </row>
    <row r="407" spans="1:30" x14ac:dyDescent="0.25">
      <c r="A407">
        <v>301089</v>
      </c>
      <c r="B407" t="s">
        <v>155</v>
      </c>
      <c r="C407">
        <v>2019</v>
      </c>
      <c r="D407">
        <v>11</v>
      </c>
      <c r="E407" t="s">
        <v>86</v>
      </c>
      <c r="F407" t="s">
        <v>84</v>
      </c>
      <c r="G407" t="s">
        <v>84</v>
      </c>
      <c r="H407" t="s">
        <v>25</v>
      </c>
      <c r="I407" t="s">
        <v>25</v>
      </c>
      <c r="J407" t="s">
        <v>101</v>
      </c>
      <c r="K407" t="s">
        <v>86</v>
      </c>
      <c r="L407" t="s">
        <v>103</v>
      </c>
      <c r="M407">
        <v>1777.6837430800001</v>
      </c>
      <c r="N407">
        <v>0</v>
      </c>
      <c r="O407" t="s">
        <v>80</v>
      </c>
      <c r="P407" s="38">
        <v>44269.873616666657</v>
      </c>
      <c r="Q407">
        <v>2848152</v>
      </c>
      <c r="R407" t="s">
        <v>91</v>
      </c>
      <c r="S407" s="4">
        <v>4.7920636700000001</v>
      </c>
      <c r="W407"/>
      <c r="X407">
        <v>0</v>
      </c>
      <c r="AC407" t="s">
        <v>84</v>
      </c>
      <c r="AD407" s="38">
        <v>43770</v>
      </c>
    </row>
    <row r="408" spans="1:30" x14ac:dyDescent="0.25">
      <c r="A408">
        <v>301143</v>
      </c>
      <c r="B408" t="s">
        <v>155</v>
      </c>
      <c r="C408">
        <v>2019</v>
      </c>
      <c r="D408">
        <v>11</v>
      </c>
      <c r="E408" t="s">
        <v>90</v>
      </c>
      <c r="F408" t="s">
        <v>84</v>
      </c>
      <c r="G408" t="s">
        <v>84</v>
      </c>
      <c r="H408" t="s">
        <v>25</v>
      </c>
      <c r="I408" t="s">
        <v>25</v>
      </c>
      <c r="J408" t="s">
        <v>101</v>
      </c>
      <c r="K408" t="s">
        <v>90</v>
      </c>
      <c r="L408" t="s">
        <v>103</v>
      </c>
      <c r="M408">
        <v>555.24552490999997</v>
      </c>
      <c r="N408">
        <v>0</v>
      </c>
      <c r="O408" t="s">
        <v>80</v>
      </c>
      <c r="P408" s="38">
        <v>44269.873619479164</v>
      </c>
      <c r="Q408">
        <v>2848422</v>
      </c>
      <c r="R408" t="s">
        <v>91</v>
      </c>
      <c r="S408" s="4">
        <v>1.44840316</v>
      </c>
      <c r="W408"/>
      <c r="X408">
        <v>0</v>
      </c>
      <c r="AC408" t="s">
        <v>84</v>
      </c>
      <c r="AD408" s="38">
        <v>43770</v>
      </c>
    </row>
    <row r="409" spans="1:30" x14ac:dyDescent="0.25">
      <c r="A409">
        <v>301116</v>
      </c>
      <c r="B409" t="s">
        <v>155</v>
      </c>
      <c r="C409">
        <v>2019</v>
      </c>
      <c r="D409">
        <v>11</v>
      </c>
      <c r="E409" t="s">
        <v>88</v>
      </c>
      <c r="F409" t="s">
        <v>84</v>
      </c>
      <c r="G409" t="s">
        <v>84</v>
      </c>
      <c r="H409" t="s">
        <v>25</v>
      </c>
      <c r="I409" t="s">
        <v>25</v>
      </c>
      <c r="J409" t="s">
        <v>101</v>
      </c>
      <c r="K409" t="s">
        <v>88</v>
      </c>
      <c r="L409" t="s">
        <v>103</v>
      </c>
      <c r="M409">
        <v>633.19527639</v>
      </c>
      <c r="N409">
        <v>0</v>
      </c>
      <c r="O409" t="s">
        <v>80</v>
      </c>
      <c r="P409" s="38">
        <v>44269.873618055557</v>
      </c>
      <c r="Q409">
        <v>2848287</v>
      </c>
      <c r="R409" t="s">
        <v>91</v>
      </c>
      <c r="S409" s="4">
        <v>0</v>
      </c>
      <c r="W409"/>
      <c r="X409">
        <v>0</v>
      </c>
      <c r="AC409" t="s">
        <v>84</v>
      </c>
      <c r="AD409" s="38">
        <v>43770</v>
      </c>
    </row>
    <row r="410" spans="1:30" x14ac:dyDescent="0.25">
      <c r="A410">
        <v>301089</v>
      </c>
      <c r="B410" t="s">
        <v>155</v>
      </c>
      <c r="C410">
        <v>2019</v>
      </c>
      <c r="D410">
        <v>11</v>
      </c>
      <c r="E410" t="s">
        <v>86</v>
      </c>
      <c r="F410" t="s">
        <v>84</v>
      </c>
      <c r="G410" t="s">
        <v>84</v>
      </c>
      <c r="H410" t="s">
        <v>25</v>
      </c>
      <c r="I410" t="s">
        <v>25</v>
      </c>
      <c r="J410" t="s">
        <v>101</v>
      </c>
      <c r="K410" t="s">
        <v>86</v>
      </c>
      <c r="L410" t="s">
        <v>103</v>
      </c>
      <c r="M410">
        <v>1777.6837430800001</v>
      </c>
      <c r="N410">
        <v>0</v>
      </c>
      <c r="O410" t="s">
        <v>80</v>
      </c>
      <c r="P410" s="38">
        <v>44269.873616666657</v>
      </c>
      <c r="Q410">
        <v>2848154</v>
      </c>
      <c r="R410" t="s">
        <v>28</v>
      </c>
      <c r="S410" s="4">
        <v>4.4534525599999997</v>
      </c>
      <c r="W410"/>
      <c r="X410">
        <v>0</v>
      </c>
      <c r="AC410" t="s">
        <v>84</v>
      </c>
      <c r="AD410" s="38">
        <v>43770</v>
      </c>
    </row>
    <row r="411" spans="1:30" x14ac:dyDescent="0.25">
      <c r="A411">
        <v>301143</v>
      </c>
      <c r="B411" t="s">
        <v>155</v>
      </c>
      <c r="C411">
        <v>2019</v>
      </c>
      <c r="D411">
        <v>11</v>
      </c>
      <c r="E411" t="s">
        <v>90</v>
      </c>
      <c r="F411" t="s">
        <v>84</v>
      </c>
      <c r="G411" t="s">
        <v>84</v>
      </c>
      <c r="H411" t="s">
        <v>25</v>
      </c>
      <c r="I411" t="s">
        <v>25</v>
      </c>
      <c r="J411" t="s">
        <v>101</v>
      </c>
      <c r="K411" t="s">
        <v>90</v>
      </c>
      <c r="L411" t="s">
        <v>103</v>
      </c>
      <c r="M411">
        <v>555.24552490999997</v>
      </c>
      <c r="N411">
        <v>0</v>
      </c>
      <c r="O411" t="s">
        <v>80</v>
      </c>
      <c r="P411" s="38">
        <v>44269.873619479164</v>
      </c>
      <c r="Q411">
        <v>2848424</v>
      </c>
      <c r="R411" t="s">
        <v>28</v>
      </c>
      <c r="S411" s="4">
        <v>1.30345416</v>
      </c>
      <c r="W411"/>
      <c r="X411">
        <v>0</v>
      </c>
      <c r="AC411" t="s">
        <v>84</v>
      </c>
      <c r="AD411" s="38">
        <v>43770</v>
      </c>
    </row>
    <row r="412" spans="1:30" x14ac:dyDescent="0.25">
      <c r="A412">
        <v>301116</v>
      </c>
      <c r="B412" t="s">
        <v>155</v>
      </c>
      <c r="C412">
        <v>2019</v>
      </c>
      <c r="D412">
        <v>11</v>
      </c>
      <c r="E412" t="s">
        <v>88</v>
      </c>
      <c r="F412" t="s">
        <v>84</v>
      </c>
      <c r="G412" t="s">
        <v>84</v>
      </c>
      <c r="H412" t="s">
        <v>25</v>
      </c>
      <c r="I412" t="s">
        <v>25</v>
      </c>
      <c r="J412" t="s">
        <v>101</v>
      </c>
      <c r="K412" t="s">
        <v>88</v>
      </c>
      <c r="L412" t="s">
        <v>103</v>
      </c>
      <c r="M412">
        <v>633.19527639</v>
      </c>
      <c r="N412">
        <v>0</v>
      </c>
      <c r="O412" t="s">
        <v>80</v>
      </c>
      <c r="P412" s="38">
        <v>44269.873618055557</v>
      </c>
      <c r="Q412">
        <v>2848289</v>
      </c>
      <c r="R412" t="s">
        <v>28</v>
      </c>
      <c r="S412" s="4">
        <v>0</v>
      </c>
      <c r="W412"/>
      <c r="X412">
        <v>0</v>
      </c>
      <c r="AC412" t="s">
        <v>84</v>
      </c>
      <c r="AD412" s="38">
        <v>43770</v>
      </c>
    </row>
    <row r="413" spans="1:30" x14ac:dyDescent="0.25">
      <c r="A413">
        <v>314988</v>
      </c>
      <c r="B413" t="s">
        <v>148</v>
      </c>
      <c r="C413">
        <v>2019</v>
      </c>
      <c r="D413">
        <v>12</v>
      </c>
      <c r="E413" t="s">
        <v>86</v>
      </c>
      <c r="F413" t="s">
        <v>84</v>
      </c>
      <c r="G413" t="s">
        <v>84</v>
      </c>
      <c r="H413" t="s">
        <v>25</v>
      </c>
      <c r="I413" t="s">
        <v>25</v>
      </c>
      <c r="J413" t="s">
        <v>101</v>
      </c>
      <c r="K413" t="s">
        <v>86</v>
      </c>
      <c r="L413" t="s">
        <v>103</v>
      </c>
      <c r="M413">
        <v>2155.3283754300001</v>
      </c>
      <c r="N413">
        <v>0</v>
      </c>
      <c r="O413" t="s">
        <v>80</v>
      </c>
      <c r="P413" s="38">
        <v>44269.875250428238</v>
      </c>
      <c r="Q413">
        <v>2979364</v>
      </c>
      <c r="R413" t="s">
        <v>26</v>
      </c>
      <c r="S413" s="4">
        <v>736.70995244000005</v>
      </c>
      <c r="W413"/>
      <c r="X413">
        <v>0</v>
      </c>
      <c r="AC413" t="s">
        <v>84</v>
      </c>
      <c r="AD413" s="38">
        <v>43800</v>
      </c>
    </row>
    <row r="414" spans="1:30" x14ac:dyDescent="0.25">
      <c r="A414">
        <v>315042</v>
      </c>
      <c r="B414" t="s">
        <v>148</v>
      </c>
      <c r="C414">
        <v>2019</v>
      </c>
      <c r="D414">
        <v>12</v>
      </c>
      <c r="E414" t="s">
        <v>90</v>
      </c>
      <c r="F414" t="s">
        <v>84</v>
      </c>
      <c r="G414" t="s">
        <v>84</v>
      </c>
      <c r="H414" t="s">
        <v>25</v>
      </c>
      <c r="I414" t="s">
        <v>25</v>
      </c>
      <c r="J414" t="s">
        <v>101</v>
      </c>
      <c r="K414" t="s">
        <v>90</v>
      </c>
      <c r="L414" t="s">
        <v>103</v>
      </c>
      <c r="M414">
        <v>491.15728963999999</v>
      </c>
      <c r="N414">
        <v>0</v>
      </c>
      <c r="O414" t="s">
        <v>80</v>
      </c>
      <c r="P414" s="38">
        <v>44269.875253009261</v>
      </c>
      <c r="Q414">
        <v>2979634</v>
      </c>
      <c r="R414" t="s">
        <v>26</v>
      </c>
      <c r="S414" s="4">
        <v>177.90422487999999</v>
      </c>
      <c r="W414"/>
      <c r="X414">
        <v>0</v>
      </c>
      <c r="AC414" t="s">
        <v>84</v>
      </c>
      <c r="AD414" s="38">
        <v>43800</v>
      </c>
    </row>
    <row r="415" spans="1:30" x14ac:dyDescent="0.25">
      <c r="A415">
        <v>315015</v>
      </c>
      <c r="B415" t="s">
        <v>148</v>
      </c>
      <c r="C415">
        <v>2019</v>
      </c>
      <c r="D415">
        <v>12</v>
      </c>
      <c r="E415" t="s">
        <v>88</v>
      </c>
      <c r="F415" t="s">
        <v>84</v>
      </c>
      <c r="G415" t="s">
        <v>84</v>
      </c>
      <c r="H415" t="s">
        <v>25</v>
      </c>
      <c r="I415" t="s">
        <v>25</v>
      </c>
      <c r="J415" t="s">
        <v>101</v>
      </c>
      <c r="K415" t="s">
        <v>88</v>
      </c>
      <c r="L415" t="s">
        <v>103</v>
      </c>
      <c r="M415">
        <v>1168.3792061199999</v>
      </c>
      <c r="N415">
        <v>0</v>
      </c>
      <c r="O415" t="s">
        <v>80</v>
      </c>
      <c r="P415" s="38">
        <v>44269.875251701393</v>
      </c>
      <c r="Q415">
        <v>2979499</v>
      </c>
      <c r="R415" t="s">
        <v>26</v>
      </c>
      <c r="S415" s="4">
        <v>509.84960242</v>
      </c>
      <c r="W415"/>
      <c r="X415">
        <v>0</v>
      </c>
      <c r="AC415" t="s">
        <v>84</v>
      </c>
      <c r="AD415" s="38">
        <v>43800</v>
      </c>
    </row>
    <row r="416" spans="1:30" x14ac:dyDescent="0.25">
      <c r="A416">
        <v>314988</v>
      </c>
      <c r="B416" t="s">
        <v>148</v>
      </c>
      <c r="C416">
        <v>2019</v>
      </c>
      <c r="D416">
        <v>12</v>
      </c>
      <c r="E416" t="s">
        <v>86</v>
      </c>
      <c r="F416" t="s">
        <v>84</v>
      </c>
      <c r="G416" t="s">
        <v>84</v>
      </c>
      <c r="H416" t="s">
        <v>25</v>
      </c>
      <c r="I416" t="s">
        <v>25</v>
      </c>
      <c r="J416" t="s">
        <v>101</v>
      </c>
      <c r="K416" t="s">
        <v>86</v>
      </c>
      <c r="L416" t="s">
        <v>103</v>
      </c>
      <c r="M416">
        <v>2155.3283754300001</v>
      </c>
      <c r="N416">
        <v>0</v>
      </c>
      <c r="O416" t="s">
        <v>80</v>
      </c>
      <c r="P416" s="38">
        <v>44269.875250428238</v>
      </c>
      <c r="Q416">
        <v>2979367</v>
      </c>
      <c r="R416" t="s">
        <v>81</v>
      </c>
      <c r="S416" s="4">
        <v>256.62073693999997</v>
      </c>
      <c r="W416"/>
      <c r="X416">
        <v>0</v>
      </c>
      <c r="AC416" t="s">
        <v>84</v>
      </c>
      <c r="AD416" s="38">
        <v>43800</v>
      </c>
    </row>
    <row r="417" spans="1:30" x14ac:dyDescent="0.25">
      <c r="A417">
        <v>315042</v>
      </c>
      <c r="B417" t="s">
        <v>148</v>
      </c>
      <c r="C417">
        <v>2019</v>
      </c>
      <c r="D417">
        <v>12</v>
      </c>
      <c r="E417" t="s">
        <v>90</v>
      </c>
      <c r="F417" t="s">
        <v>84</v>
      </c>
      <c r="G417" t="s">
        <v>84</v>
      </c>
      <c r="H417" t="s">
        <v>25</v>
      </c>
      <c r="I417" t="s">
        <v>25</v>
      </c>
      <c r="J417" t="s">
        <v>101</v>
      </c>
      <c r="K417" t="s">
        <v>90</v>
      </c>
      <c r="L417" t="s">
        <v>103</v>
      </c>
      <c r="M417">
        <v>491.15728963999999</v>
      </c>
      <c r="N417">
        <v>0</v>
      </c>
      <c r="O417" t="s">
        <v>80</v>
      </c>
      <c r="P417" s="38">
        <v>44269.875253009261</v>
      </c>
      <c r="Q417">
        <v>2979637</v>
      </c>
      <c r="R417" t="s">
        <v>81</v>
      </c>
      <c r="S417" s="4">
        <v>49.839251099999998</v>
      </c>
      <c r="W417"/>
      <c r="X417">
        <v>0</v>
      </c>
      <c r="AC417" t="s">
        <v>84</v>
      </c>
      <c r="AD417" s="38">
        <v>43800</v>
      </c>
    </row>
    <row r="418" spans="1:30" x14ac:dyDescent="0.25">
      <c r="A418">
        <v>315015</v>
      </c>
      <c r="B418" t="s">
        <v>148</v>
      </c>
      <c r="C418">
        <v>2019</v>
      </c>
      <c r="D418">
        <v>12</v>
      </c>
      <c r="E418" t="s">
        <v>88</v>
      </c>
      <c r="F418" t="s">
        <v>84</v>
      </c>
      <c r="G418" t="s">
        <v>84</v>
      </c>
      <c r="H418" t="s">
        <v>25</v>
      </c>
      <c r="I418" t="s">
        <v>25</v>
      </c>
      <c r="J418" t="s">
        <v>101</v>
      </c>
      <c r="K418" t="s">
        <v>88</v>
      </c>
      <c r="L418" t="s">
        <v>103</v>
      </c>
      <c r="M418">
        <v>1168.3792061199999</v>
      </c>
      <c r="N418">
        <v>0</v>
      </c>
      <c r="O418" t="s">
        <v>80</v>
      </c>
      <c r="P418" s="38">
        <v>44269.875251701393</v>
      </c>
      <c r="Q418">
        <v>2979502</v>
      </c>
      <c r="R418" t="s">
        <v>81</v>
      </c>
      <c r="S418" s="4">
        <v>118.31603423</v>
      </c>
      <c r="W418"/>
      <c r="X418">
        <v>0</v>
      </c>
      <c r="AC418" t="s">
        <v>84</v>
      </c>
      <c r="AD418" s="38">
        <v>43800</v>
      </c>
    </row>
    <row r="419" spans="1:30" x14ac:dyDescent="0.25">
      <c r="A419">
        <v>315015</v>
      </c>
      <c r="B419" t="s">
        <v>148</v>
      </c>
      <c r="C419">
        <v>2019</v>
      </c>
      <c r="D419">
        <v>12</v>
      </c>
      <c r="E419" t="s">
        <v>88</v>
      </c>
      <c r="F419" t="s">
        <v>84</v>
      </c>
      <c r="G419" t="s">
        <v>84</v>
      </c>
      <c r="H419" t="s">
        <v>25</v>
      </c>
      <c r="I419" t="s">
        <v>25</v>
      </c>
      <c r="J419" t="s">
        <v>101</v>
      </c>
      <c r="K419" t="s">
        <v>88</v>
      </c>
      <c r="L419" t="s">
        <v>103</v>
      </c>
      <c r="M419">
        <v>1168.3792061199999</v>
      </c>
      <c r="N419">
        <v>0</v>
      </c>
      <c r="O419" t="s">
        <v>80</v>
      </c>
      <c r="P419" s="38">
        <v>44269.875251701393</v>
      </c>
      <c r="Q419">
        <v>2979501</v>
      </c>
      <c r="R419" t="s">
        <v>27</v>
      </c>
      <c r="S419" s="4">
        <v>565.12157741999999</v>
      </c>
      <c r="W419"/>
      <c r="X419">
        <v>0</v>
      </c>
      <c r="AC419" t="s">
        <v>84</v>
      </c>
      <c r="AD419" s="38">
        <v>43800</v>
      </c>
    </row>
    <row r="420" spans="1:30" x14ac:dyDescent="0.25">
      <c r="A420">
        <v>314988</v>
      </c>
      <c r="B420" t="s">
        <v>148</v>
      </c>
      <c r="C420">
        <v>2019</v>
      </c>
      <c r="D420">
        <v>12</v>
      </c>
      <c r="E420" t="s">
        <v>86</v>
      </c>
      <c r="F420" t="s">
        <v>84</v>
      </c>
      <c r="G420" t="s">
        <v>84</v>
      </c>
      <c r="H420" t="s">
        <v>25</v>
      </c>
      <c r="I420" t="s">
        <v>25</v>
      </c>
      <c r="J420" t="s">
        <v>101</v>
      </c>
      <c r="K420" t="s">
        <v>86</v>
      </c>
      <c r="L420" t="s">
        <v>103</v>
      </c>
      <c r="M420">
        <v>2155.3283754300001</v>
      </c>
      <c r="N420">
        <v>0</v>
      </c>
      <c r="O420" t="s">
        <v>80</v>
      </c>
      <c r="P420" s="38">
        <v>44269.875250428238</v>
      </c>
      <c r="Q420">
        <v>2979366</v>
      </c>
      <c r="R420" t="s">
        <v>27</v>
      </c>
      <c r="S420" s="4">
        <v>1196.7362989000001</v>
      </c>
      <c r="W420"/>
      <c r="X420">
        <v>0</v>
      </c>
      <c r="AC420" t="s">
        <v>84</v>
      </c>
      <c r="AD420" s="38">
        <v>43800</v>
      </c>
    </row>
    <row r="421" spans="1:30" x14ac:dyDescent="0.25">
      <c r="A421">
        <v>315042</v>
      </c>
      <c r="B421" t="s">
        <v>148</v>
      </c>
      <c r="C421">
        <v>2019</v>
      </c>
      <c r="D421">
        <v>12</v>
      </c>
      <c r="E421" t="s">
        <v>90</v>
      </c>
      <c r="F421" t="s">
        <v>84</v>
      </c>
      <c r="G421" t="s">
        <v>84</v>
      </c>
      <c r="H421" t="s">
        <v>25</v>
      </c>
      <c r="I421" t="s">
        <v>25</v>
      </c>
      <c r="J421" t="s">
        <v>101</v>
      </c>
      <c r="K421" t="s">
        <v>90</v>
      </c>
      <c r="L421" t="s">
        <v>103</v>
      </c>
      <c r="M421">
        <v>491.15728963999999</v>
      </c>
      <c r="N421">
        <v>0</v>
      </c>
      <c r="O421" t="s">
        <v>80</v>
      </c>
      <c r="P421" s="38">
        <v>44269.875253009261</v>
      </c>
      <c r="Q421">
        <v>2979636</v>
      </c>
      <c r="R421" t="s">
        <v>27</v>
      </c>
      <c r="S421" s="4">
        <v>271.45028592</v>
      </c>
      <c r="W421"/>
      <c r="X421">
        <v>0</v>
      </c>
      <c r="AC421" t="s">
        <v>84</v>
      </c>
      <c r="AD421" s="38">
        <v>43800</v>
      </c>
    </row>
    <row r="422" spans="1:30" x14ac:dyDescent="0.25">
      <c r="A422">
        <v>315042</v>
      </c>
      <c r="B422" t="s">
        <v>148</v>
      </c>
      <c r="C422">
        <v>2019</v>
      </c>
      <c r="D422">
        <v>12</v>
      </c>
      <c r="E422" t="s">
        <v>90</v>
      </c>
      <c r="F422" t="s">
        <v>84</v>
      </c>
      <c r="G422" t="s">
        <v>84</v>
      </c>
      <c r="H422" t="s">
        <v>25</v>
      </c>
      <c r="I422" t="s">
        <v>25</v>
      </c>
      <c r="J422" t="s">
        <v>101</v>
      </c>
      <c r="K422" t="s">
        <v>90</v>
      </c>
      <c r="L422" t="s">
        <v>103</v>
      </c>
      <c r="M422">
        <v>491.15728963999999</v>
      </c>
      <c r="N422">
        <v>0</v>
      </c>
      <c r="O422" t="s">
        <v>80</v>
      </c>
      <c r="P422" s="38">
        <v>44269.875253009261</v>
      </c>
      <c r="Q422">
        <v>2979633</v>
      </c>
      <c r="R422" t="s">
        <v>91</v>
      </c>
      <c r="S422" s="4">
        <v>1.2812237799999999</v>
      </c>
      <c r="W422"/>
      <c r="X422">
        <v>0</v>
      </c>
      <c r="AC422" t="s">
        <v>84</v>
      </c>
      <c r="AD422" s="38">
        <v>43800</v>
      </c>
    </row>
    <row r="423" spans="1:30" x14ac:dyDescent="0.25">
      <c r="A423">
        <v>314988</v>
      </c>
      <c r="B423" t="s">
        <v>148</v>
      </c>
      <c r="C423">
        <v>2019</v>
      </c>
      <c r="D423">
        <v>12</v>
      </c>
      <c r="E423" t="s">
        <v>86</v>
      </c>
      <c r="F423" t="s">
        <v>84</v>
      </c>
      <c r="G423" t="s">
        <v>84</v>
      </c>
      <c r="H423" t="s">
        <v>25</v>
      </c>
      <c r="I423" t="s">
        <v>25</v>
      </c>
      <c r="J423" t="s">
        <v>101</v>
      </c>
      <c r="K423" t="s">
        <v>86</v>
      </c>
      <c r="L423" t="s">
        <v>103</v>
      </c>
      <c r="M423">
        <v>2155.3283754300001</v>
      </c>
      <c r="N423">
        <v>0</v>
      </c>
      <c r="O423" t="s">
        <v>80</v>
      </c>
      <c r="P423" s="38">
        <v>44269.875250428238</v>
      </c>
      <c r="Q423">
        <v>2979363</v>
      </c>
      <c r="R423" t="s">
        <v>91</v>
      </c>
      <c r="S423" s="4">
        <v>5.8100721499999999</v>
      </c>
      <c r="W423"/>
      <c r="X423">
        <v>0</v>
      </c>
      <c r="AC423" t="s">
        <v>84</v>
      </c>
      <c r="AD423" s="38">
        <v>43800</v>
      </c>
    </row>
    <row r="424" spans="1:30" x14ac:dyDescent="0.25">
      <c r="A424">
        <v>315015</v>
      </c>
      <c r="B424" t="s">
        <v>148</v>
      </c>
      <c r="C424">
        <v>2019</v>
      </c>
      <c r="D424">
        <v>12</v>
      </c>
      <c r="E424" t="s">
        <v>88</v>
      </c>
      <c r="F424" t="s">
        <v>84</v>
      </c>
      <c r="G424" t="s">
        <v>84</v>
      </c>
      <c r="H424" t="s">
        <v>25</v>
      </c>
      <c r="I424" t="s">
        <v>25</v>
      </c>
      <c r="J424" t="s">
        <v>101</v>
      </c>
      <c r="K424" t="s">
        <v>88</v>
      </c>
      <c r="L424" t="s">
        <v>103</v>
      </c>
      <c r="M424">
        <v>1168.3792061199999</v>
      </c>
      <c r="N424">
        <v>0</v>
      </c>
      <c r="O424" t="s">
        <v>80</v>
      </c>
      <c r="P424" s="38">
        <v>44269.875251701393</v>
      </c>
      <c r="Q424">
        <v>2979498</v>
      </c>
      <c r="R424" t="s">
        <v>91</v>
      </c>
      <c r="S424" s="4">
        <v>0</v>
      </c>
      <c r="W424"/>
      <c r="X424">
        <v>0</v>
      </c>
      <c r="AC424" t="s">
        <v>84</v>
      </c>
      <c r="AD424" s="38">
        <v>43800</v>
      </c>
    </row>
    <row r="425" spans="1:30" x14ac:dyDescent="0.25">
      <c r="A425">
        <v>315015</v>
      </c>
      <c r="B425" t="s">
        <v>148</v>
      </c>
      <c r="C425">
        <v>2019</v>
      </c>
      <c r="D425">
        <v>12</v>
      </c>
      <c r="E425" t="s">
        <v>88</v>
      </c>
      <c r="F425" t="s">
        <v>84</v>
      </c>
      <c r="G425" t="s">
        <v>84</v>
      </c>
      <c r="H425" t="s">
        <v>25</v>
      </c>
      <c r="I425" t="s">
        <v>25</v>
      </c>
      <c r="J425" t="s">
        <v>101</v>
      </c>
      <c r="K425" t="s">
        <v>88</v>
      </c>
      <c r="L425" t="s">
        <v>103</v>
      </c>
      <c r="M425">
        <v>1168.3792061199999</v>
      </c>
      <c r="N425">
        <v>0</v>
      </c>
      <c r="O425" t="s">
        <v>80</v>
      </c>
      <c r="P425" s="38">
        <v>44269.875251701393</v>
      </c>
      <c r="Q425">
        <v>2979500</v>
      </c>
      <c r="R425" t="s">
        <v>28</v>
      </c>
      <c r="S425" s="4">
        <v>0</v>
      </c>
      <c r="W425"/>
      <c r="X425">
        <v>0</v>
      </c>
      <c r="AC425" t="s">
        <v>84</v>
      </c>
      <c r="AD425" s="38">
        <v>43800</v>
      </c>
    </row>
    <row r="426" spans="1:30" x14ac:dyDescent="0.25">
      <c r="A426">
        <v>314988</v>
      </c>
      <c r="B426" t="s">
        <v>148</v>
      </c>
      <c r="C426">
        <v>2019</v>
      </c>
      <c r="D426">
        <v>12</v>
      </c>
      <c r="E426" t="s">
        <v>86</v>
      </c>
      <c r="F426" t="s">
        <v>84</v>
      </c>
      <c r="G426" t="s">
        <v>84</v>
      </c>
      <c r="H426" t="s">
        <v>25</v>
      </c>
      <c r="I426" t="s">
        <v>25</v>
      </c>
      <c r="J426" t="s">
        <v>101</v>
      </c>
      <c r="K426" t="s">
        <v>86</v>
      </c>
      <c r="L426" t="s">
        <v>103</v>
      </c>
      <c r="M426">
        <v>2155.3283754300001</v>
      </c>
      <c r="N426">
        <v>0</v>
      </c>
      <c r="O426" t="s">
        <v>80</v>
      </c>
      <c r="P426" s="38">
        <v>44269.875250428238</v>
      </c>
      <c r="Q426">
        <v>2979365</v>
      </c>
      <c r="R426" t="s">
        <v>28</v>
      </c>
      <c r="S426" s="4">
        <v>5.39952773</v>
      </c>
      <c r="W426"/>
      <c r="X426">
        <v>0</v>
      </c>
      <c r="AC426" t="s">
        <v>84</v>
      </c>
      <c r="AD426" s="38">
        <v>43800</v>
      </c>
    </row>
    <row r="427" spans="1:30" x14ac:dyDescent="0.25">
      <c r="A427">
        <v>315042</v>
      </c>
      <c r="B427" t="s">
        <v>148</v>
      </c>
      <c r="C427">
        <v>2019</v>
      </c>
      <c r="D427">
        <v>12</v>
      </c>
      <c r="E427" t="s">
        <v>90</v>
      </c>
      <c r="F427" t="s">
        <v>84</v>
      </c>
      <c r="G427" t="s">
        <v>84</v>
      </c>
      <c r="H427" t="s">
        <v>25</v>
      </c>
      <c r="I427" t="s">
        <v>25</v>
      </c>
      <c r="J427" t="s">
        <v>101</v>
      </c>
      <c r="K427" t="s">
        <v>90</v>
      </c>
      <c r="L427" t="s">
        <v>103</v>
      </c>
      <c r="M427">
        <v>491.15728963999999</v>
      </c>
      <c r="N427">
        <v>0</v>
      </c>
      <c r="O427" t="s">
        <v>80</v>
      </c>
      <c r="P427" s="38">
        <v>44269.875253009261</v>
      </c>
      <c r="Q427">
        <v>2979635</v>
      </c>
      <c r="R427" t="s">
        <v>28</v>
      </c>
      <c r="S427" s="4">
        <v>1.15300526</v>
      </c>
      <c r="W427"/>
      <c r="X427">
        <v>0</v>
      </c>
      <c r="AC427" t="s">
        <v>84</v>
      </c>
      <c r="AD427" s="38">
        <v>43800</v>
      </c>
    </row>
    <row r="428" spans="1:30" x14ac:dyDescent="0.25">
      <c r="A428">
        <v>354556</v>
      </c>
      <c r="B428" t="s">
        <v>197</v>
      </c>
      <c r="C428">
        <v>2020</v>
      </c>
      <c r="D428">
        <v>1</v>
      </c>
      <c r="E428" t="s">
        <v>88</v>
      </c>
      <c r="F428" t="s">
        <v>84</v>
      </c>
      <c r="G428" t="s">
        <v>84</v>
      </c>
      <c r="H428" t="s">
        <v>25</v>
      </c>
      <c r="I428" t="s">
        <v>25</v>
      </c>
      <c r="J428" t="s">
        <v>101</v>
      </c>
      <c r="K428" t="s">
        <v>88</v>
      </c>
      <c r="L428" t="s">
        <v>103</v>
      </c>
      <c r="M428">
        <v>2001.48077276</v>
      </c>
      <c r="N428">
        <v>0</v>
      </c>
      <c r="O428" t="s">
        <v>80</v>
      </c>
      <c r="P428" s="38">
        <v>44277.57723599537</v>
      </c>
      <c r="Q428">
        <v>3346610</v>
      </c>
      <c r="R428" t="s">
        <v>26</v>
      </c>
      <c r="S428" s="4">
        <v>1211.0908766</v>
      </c>
      <c r="W428"/>
      <c r="X428">
        <v>0</v>
      </c>
      <c r="AC428" t="s">
        <v>84</v>
      </c>
      <c r="AD428" s="38">
        <v>43831</v>
      </c>
    </row>
    <row r="429" spans="1:30" x14ac:dyDescent="0.25">
      <c r="A429">
        <v>354580</v>
      </c>
      <c r="B429" t="s">
        <v>197</v>
      </c>
      <c r="C429">
        <v>2020</v>
      </c>
      <c r="D429">
        <v>1</v>
      </c>
      <c r="E429" t="s">
        <v>90</v>
      </c>
      <c r="F429" t="s">
        <v>84</v>
      </c>
      <c r="G429" t="s">
        <v>84</v>
      </c>
      <c r="H429" t="s">
        <v>25</v>
      </c>
      <c r="I429" t="s">
        <v>25</v>
      </c>
      <c r="J429" t="s">
        <v>101</v>
      </c>
      <c r="K429" t="s">
        <v>90</v>
      </c>
      <c r="L429" t="s">
        <v>103</v>
      </c>
      <c r="M429">
        <v>1639.6683604499999</v>
      </c>
      <c r="N429">
        <v>0</v>
      </c>
      <c r="O429" t="s">
        <v>80</v>
      </c>
      <c r="P429" s="38">
        <v>44277.577237650461</v>
      </c>
      <c r="Q429">
        <v>3346730</v>
      </c>
      <c r="R429" t="s">
        <v>26</v>
      </c>
      <c r="S429" s="4">
        <v>819.60831085999996</v>
      </c>
      <c r="W429"/>
      <c r="X429">
        <v>0</v>
      </c>
      <c r="AC429" t="s">
        <v>84</v>
      </c>
      <c r="AD429" s="38">
        <v>43831</v>
      </c>
    </row>
    <row r="430" spans="1:30" x14ac:dyDescent="0.25">
      <c r="A430">
        <v>354532</v>
      </c>
      <c r="B430" t="s">
        <v>197</v>
      </c>
      <c r="C430">
        <v>2020</v>
      </c>
      <c r="D430">
        <v>1</v>
      </c>
      <c r="E430" t="s">
        <v>86</v>
      </c>
      <c r="F430" t="s">
        <v>84</v>
      </c>
      <c r="G430" t="s">
        <v>84</v>
      </c>
      <c r="H430" t="s">
        <v>25</v>
      </c>
      <c r="I430" t="s">
        <v>25</v>
      </c>
      <c r="J430" t="s">
        <v>101</v>
      </c>
      <c r="K430" t="s">
        <v>86</v>
      </c>
      <c r="L430" t="s">
        <v>103</v>
      </c>
      <c r="M430">
        <v>4821.9581158499996</v>
      </c>
      <c r="N430">
        <v>0</v>
      </c>
      <c r="O430" t="s">
        <v>80</v>
      </c>
      <c r="P430" s="38">
        <v>44277.577233530094</v>
      </c>
      <c r="Q430">
        <v>3346490</v>
      </c>
      <c r="R430" t="s">
        <v>26</v>
      </c>
      <c r="S430" s="4">
        <v>2258.1656889199999</v>
      </c>
      <c r="W430"/>
      <c r="X430">
        <v>0</v>
      </c>
      <c r="AC430" t="s">
        <v>84</v>
      </c>
      <c r="AD430" s="38">
        <v>43831</v>
      </c>
    </row>
    <row r="431" spans="1:30" x14ac:dyDescent="0.25">
      <c r="A431">
        <v>354580</v>
      </c>
      <c r="B431" t="s">
        <v>197</v>
      </c>
      <c r="C431">
        <v>2020</v>
      </c>
      <c r="D431">
        <v>1</v>
      </c>
      <c r="E431" t="s">
        <v>90</v>
      </c>
      <c r="F431" t="s">
        <v>84</v>
      </c>
      <c r="G431" t="s">
        <v>84</v>
      </c>
      <c r="H431" t="s">
        <v>25</v>
      </c>
      <c r="I431" t="s">
        <v>25</v>
      </c>
      <c r="J431" t="s">
        <v>101</v>
      </c>
      <c r="K431" t="s">
        <v>90</v>
      </c>
      <c r="L431" t="s">
        <v>103</v>
      </c>
      <c r="M431">
        <v>1639.6683604499999</v>
      </c>
      <c r="N431">
        <v>0</v>
      </c>
      <c r="O431" t="s">
        <v>80</v>
      </c>
      <c r="P431" s="38">
        <v>44277.577237650461</v>
      </c>
      <c r="Q431">
        <v>3346733</v>
      </c>
      <c r="R431" t="s">
        <v>81</v>
      </c>
      <c r="S431" s="4">
        <v>99.612631500000006</v>
      </c>
      <c r="W431"/>
      <c r="X431">
        <v>0</v>
      </c>
      <c r="AC431" t="s">
        <v>84</v>
      </c>
      <c r="AD431" s="38">
        <v>43831</v>
      </c>
    </row>
    <row r="432" spans="1:30" x14ac:dyDescent="0.25">
      <c r="A432">
        <v>354556</v>
      </c>
      <c r="B432" t="s">
        <v>197</v>
      </c>
      <c r="C432">
        <v>2020</v>
      </c>
      <c r="D432">
        <v>1</v>
      </c>
      <c r="E432" t="s">
        <v>88</v>
      </c>
      <c r="F432" t="s">
        <v>84</v>
      </c>
      <c r="G432" t="s">
        <v>84</v>
      </c>
      <c r="H432" t="s">
        <v>25</v>
      </c>
      <c r="I432" t="s">
        <v>25</v>
      </c>
      <c r="J432" t="s">
        <v>101</v>
      </c>
      <c r="K432" t="s">
        <v>88</v>
      </c>
      <c r="L432" t="s">
        <v>103</v>
      </c>
      <c r="M432">
        <v>2001.48077276</v>
      </c>
      <c r="N432">
        <v>0</v>
      </c>
      <c r="O432" t="s">
        <v>80</v>
      </c>
      <c r="P432" s="38">
        <v>44277.57723599537</v>
      </c>
      <c r="Q432">
        <v>3346613</v>
      </c>
      <c r="R432" t="s">
        <v>81</v>
      </c>
      <c r="S432" s="4">
        <v>110.03143731</v>
      </c>
      <c r="W432"/>
      <c r="X432">
        <v>0</v>
      </c>
      <c r="AC432" t="s">
        <v>84</v>
      </c>
      <c r="AD432" s="38">
        <v>43831</v>
      </c>
    </row>
    <row r="433" spans="1:30" x14ac:dyDescent="0.25">
      <c r="A433">
        <v>354532</v>
      </c>
      <c r="B433" t="s">
        <v>197</v>
      </c>
      <c r="C433">
        <v>2020</v>
      </c>
      <c r="D433">
        <v>1</v>
      </c>
      <c r="E433" t="s">
        <v>86</v>
      </c>
      <c r="F433" t="s">
        <v>84</v>
      </c>
      <c r="G433" t="s">
        <v>84</v>
      </c>
      <c r="H433" t="s">
        <v>25</v>
      </c>
      <c r="I433" t="s">
        <v>25</v>
      </c>
      <c r="J433" t="s">
        <v>101</v>
      </c>
      <c r="K433" t="s">
        <v>86</v>
      </c>
      <c r="L433" t="s">
        <v>103</v>
      </c>
      <c r="M433">
        <v>4821.9581158499996</v>
      </c>
      <c r="N433">
        <v>0</v>
      </c>
      <c r="O433" t="s">
        <v>80</v>
      </c>
      <c r="P433" s="38">
        <v>44277.577233530094</v>
      </c>
      <c r="Q433">
        <v>3346493</v>
      </c>
      <c r="R433" t="s">
        <v>81</v>
      </c>
      <c r="S433" s="4">
        <v>396.49751971000001</v>
      </c>
      <c r="W433"/>
      <c r="X433">
        <v>0</v>
      </c>
      <c r="AC433" t="s">
        <v>84</v>
      </c>
      <c r="AD433" s="38">
        <v>43831</v>
      </c>
    </row>
    <row r="434" spans="1:30" x14ac:dyDescent="0.25">
      <c r="A434">
        <v>354580</v>
      </c>
      <c r="B434" t="s">
        <v>197</v>
      </c>
      <c r="C434">
        <v>2020</v>
      </c>
      <c r="D434">
        <v>1</v>
      </c>
      <c r="E434" t="s">
        <v>90</v>
      </c>
      <c r="F434" t="s">
        <v>84</v>
      </c>
      <c r="G434" t="s">
        <v>84</v>
      </c>
      <c r="H434" t="s">
        <v>25</v>
      </c>
      <c r="I434" t="s">
        <v>25</v>
      </c>
      <c r="J434" t="s">
        <v>101</v>
      </c>
      <c r="K434" t="s">
        <v>90</v>
      </c>
      <c r="L434" t="s">
        <v>103</v>
      </c>
      <c r="M434">
        <v>1639.6683604499999</v>
      </c>
      <c r="N434">
        <v>0</v>
      </c>
      <c r="O434" t="s">
        <v>80</v>
      </c>
      <c r="P434" s="38">
        <v>44277.577237650461</v>
      </c>
      <c r="Q434">
        <v>3346732</v>
      </c>
      <c r="R434" t="s">
        <v>27</v>
      </c>
      <c r="S434" s="4">
        <v>749.26697894999995</v>
      </c>
      <c r="W434"/>
      <c r="X434">
        <v>0</v>
      </c>
      <c r="AC434" t="s">
        <v>84</v>
      </c>
      <c r="AD434" s="38">
        <v>43831</v>
      </c>
    </row>
    <row r="435" spans="1:30" x14ac:dyDescent="0.25">
      <c r="A435">
        <v>354532</v>
      </c>
      <c r="B435" t="s">
        <v>197</v>
      </c>
      <c r="C435">
        <v>2020</v>
      </c>
      <c r="D435">
        <v>1</v>
      </c>
      <c r="E435" t="s">
        <v>86</v>
      </c>
      <c r="F435" t="s">
        <v>84</v>
      </c>
      <c r="G435" t="s">
        <v>84</v>
      </c>
      <c r="H435" t="s">
        <v>25</v>
      </c>
      <c r="I435" t="s">
        <v>25</v>
      </c>
      <c r="J435" t="s">
        <v>101</v>
      </c>
      <c r="K435" t="s">
        <v>86</v>
      </c>
      <c r="L435" t="s">
        <v>103</v>
      </c>
      <c r="M435">
        <v>4821.9581158499996</v>
      </c>
      <c r="N435">
        <v>0</v>
      </c>
      <c r="O435" t="s">
        <v>80</v>
      </c>
      <c r="P435" s="38">
        <v>44277.577233530094</v>
      </c>
      <c r="Q435">
        <v>3346492</v>
      </c>
      <c r="R435" t="s">
        <v>27</v>
      </c>
      <c r="S435" s="4">
        <v>2246.2373125399999</v>
      </c>
      <c r="W435"/>
      <c r="X435">
        <v>0</v>
      </c>
      <c r="AC435" t="s">
        <v>84</v>
      </c>
      <c r="AD435" s="38">
        <v>43831</v>
      </c>
    </row>
    <row r="436" spans="1:30" x14ac:dyDescent="0.25">
      <c r="A436">
        <v>354556</v>
      </c>
      <c r="B436" t="s">
        <v>197</v>
      </c>
      <c r="C436">
        <v>2020</v>
      </c>
      <c r="D436">
        <v>1</v>
      </c>
      <c r="E436" t="s">
        <v>88</v>
      </c>
      <c r="F436" t="s">
        <v>84</v>
      </c>
      <c r="G436" t="s">
        <v>84</v>
      </c>
      <c r="H436" t="s">
        <v>25</v>
      </c>
      <c r="I436" t="s">
        <v>25</v>
      </c>
      <c r="J436" t="s">
        <v>101</v>
      </c>
      <c r="K436" t="s">
        <v>88</v>
      </c>
      <c r="L436" t="s">
        <v>103</v>
      </c>
      <c r="M436">
        <v>2001.48077276</v>
      </c>
      <c r="N436">
        <v>0</v>
      </c>
      <c r="O436" t="s">
        <v>80</v>
      </c>
      <c r="P436" s="38">
        <v>44277.57723599537</v>
      </c>
      <c r="Q436">
        <v>3346612</v>
      </c>
      <c r="R436" t="s">
        <v>27</v>
      </c>
      <c r="S436" s="4">
        <v>722.36906870999996</v>
      </c>
      <c r="W436"/>
      <c r="X436">
        <v>0</v>
      </c>
      <c r="AC436" t="s">
        <v>84</v>
      </c>
      <c r="AD436" s="38">
        <v>43831</v>
      </c>
    </row>
    <row r="437" spans="1:30" x14ac:dyDescent="0.25">
      <c r="A437">
        <v>354580</v>
      </c>
      <c r="B437" t="s">
        <v>197</v>
      </c>
      <c r="C437">
        <v>2020</v>
      </c>
      <c r="D437">
        <v>1</v>
      </c>
      <c r="E437" t="s">
        <v>90</v>
      </c>
      <c r="F437" t="s">
        <v>84</v>
      </c>
      <c r="G437" t="s">
        <v>84</v>
      </c>
      <c r="H437" t="s">
        <v>25</v>
      </c>
      <c r="I437" t="s">
        <v>25</v>
      </c>
      <c r="J437" t="s">
        <v>101</v>
      </c>
      <c r="K437" t="s">
        <v>90</v>
      </c>
      <c r="L437" t="s">
        <v>103</v>
      </c>
      <c r="M437">
        <v>1639.6683604499999</v>
      </c>
      <c r="N437">
        <v>0</v>
      </c>
      <c r="O437" t="s">
        <v>80</v>
      </c>
      <c r="P437" s="38">
        <v>44277.577237650461</v>
      </c>
      <c r="Q437">
        <v>3346729</v>
      </c>
      <c r="R437" t="s">
        <v>91</v>
      </c>
      <c r="S437" s="4">
        <v>0.85902349</v>
      </c>
      <c r="W437"/>
      <c r="X437">
        <v>0</v>
      </c>
      <c r="AC437" t="s">
        <v>84</v>
      </c>
      <c r="AD437" s="38">
        <v>43831</v>
      </c>
    </row>
    <row r="438" spans="1:30" x14ac:dyDescent="0.25">
      <c r="A438">
        <v>354532</v>
      </c>
      <c r="B438" t="s">
        <v>197</v>
      </c>
      <c r="C438">
        <v>2020</v>
      </c>
      <c r="D438">
        <v>1</v>
      </c>
      <c r="E438" t="s">
        <v>86</v>
      </c>
      <c r="F438" t="s">
        <v>84</v>
      </c>
      <c r="G438" t="s">
        <v>84</v>
      </c>
      <c r="H438" t="s">
        <v>25</v>
      </c>
      <c r="I438" t="s">
        <v>25</v>
      </c>
      <c r="J438" t="s">
        <v>101</v>
      </c>
      <c r="K438" t="s">
        <v>86</v>
      </c>
      <c r="L438" t="s">
        <v>103</v>
      </c>
      <c r="M438">
        <v>4821.9581158499996</v>
      </c>
      <c r="N438">
        <v>0</v>
      </c>
      <c r="O438" t="s">
        <v>80</v>
      </c>
      <c r="P438" s="38">
        <v>44277.577233530094</v>
      </c>
      <c r="Q438">
        <v>3346489</v>
      </c>
      <c r="R438" t="s">
        <v>91</v>
      </c>
      <c r="S438" s="4">
        <v>7.3349707899999999</v>
      </c>
      <c r="W438"/>
      <c r="X438">
        <v>0</v>
      </c>
      <c r="AC438" t="s">
        <v>84</v>
      </c>
      <c r="AD438" s="38">
        <v>43831</v>
      </c>
    </row>
    <row r="439" spans="1:30" x14ac:dyDescent="0.25">
      <c r="A439">
        <v>354556</v>
      </c>
      <c r="B439" t="s">
        <v>197</v>
      </c>
      <c r="C439">
        <v>2020</v>
      </c>
      <c r="D439">
        <v>1</v>
      </c>
      <c r="E439" t="s">
        <v>88</v>
      </c>
      <c r="F439" t="s">
        <v>84</v>
      </c>
      <c r="G439" t="s">
        <v>84</v>
      </c>
      <c r="H439" t="s">
        <v>25</v>
      </c>
      <c r="I439" t="s">
        <v>25</v>
      </c>
      <c r="J439" t="s">
        <v>101</v>
      </c>
      <c r="K439" t="s">
        <v>88</v>
      </c>
      <c r="L439" t="s">
        <v>103</v>
      </c>
      <c r="M439">
        <v>2001.48077276</v>
      </c>
      <c r="N439">
        <v>0</v>
      </c>
      <c r="O439" t="s">
        <v>80</v>
      </c>
      <c r="P439" s="38">
        <v>44277.57723599537</v>
      </c>
      <c r="Q439">
        <v>3346609</v>
      </c>
      <c r="R439" t="s">
        <v>91</v>
      </c>
      <c r="S439" s="4">
        <v>0</v>
      </c>
      <c r="W439"/>
      <c r="X439">
        <v>0</v>
      </c>
      <c r="AC439" t="s">
        <v>84</v>
      </c>
      <c r="AD439" s="38">
        <v>43831</v>
      </c>
    </row>
    <row r="440" spans="1:30" x14ac:dyDescent="0.25">
      <c r="A440">
        <v>354556</v>
      </c>
      <c r="B440" t="s">
        <v>197</v>
      </c>
      <c r="C440">
        <v>2020</v>
      </c>
      <c r="D440">
        <v>1</v>
      </c>
      <c r="E440" t="s">
        <v>88</v>
      </c>
      <c r="F440" t="s">
        <v>84</v>
      </c>
      <c r="G440" t="s">
        <v>84</v>
      </c>
      <c r="H440" t="s">
        <v>25</v>
      </c>
      <c r="I440" t="s">
        <v>25</v>
      </c>
      <c r="J440" t="s">
        <v>101</v>
      </c>
      <c r="K440" t="s">
        <v>88</v>
      </c>
      <c r="L440" t="s">
        <v>103</v>
      </c>
      <c r="M440">
        <v>2001.48077276</v>
      </c>
      <c r="N440">
        <v>0</v>
      </c>
      <c r="O440" t="s">
        <v>80</v>
      </c>
      <c r="P440" s="38">
        <v>44277.57723599537</v>
      </c>
      <c r="Q440">
        <v>3346611</v>
      </c>
      <c r="R440" t="s">
        <v>28</v>
      </c>
      <c r="S440" s="4">
        <v>0</v>
      </c>
      <c r="W440"/>
      <c r="X440">
        <v>0</v>
      </c>
      <c r="AC440" t="s">
        <v>84</v>
      </c>
      <c r="AD440" s="38">
        <v>43831</v>
      </c>
    </row>
    <row r="441" spans="1:30" x14ac:dyDescent="0.25">
      <c r="A441">
        <v>354580</v>
      </c>
      <c r="B441" t="s">
        <v>197</v>
      </c>
      <c r="C441">
        <v>2020</v>
      </c>
      <c r="D441">
        <v>1</v>
      </c>
      <c r="E441" t="s">
        <v>90</v>
      </c>
      <c r="F441" t="s">
        <v>84</v>
      </c>
      <c r="G441" t="s">
        <v>84</v>
      </c>
      <c r="H441" t="s">
        <v>25</v>
      </c>
      <c r="I441" t="s">
        <v>25</v>
      </c>
      <c r="J441" t="s">
        <v>101</v>
      </c>
      <c r="K441" t="s">
        <v>90</v>
      </c>
      <c r="L441" t="s">
        <v>103</v>
      </c>
      <c r="M441">
        <v>1639.6683604499999</v>
      </c>
      <c r="N441">
        <v>0</v>
      </c>
      <c r="O441" t="s">
        <v>80</v>
      </c>
      <c r="P441" s="38">
        <v>44277.577237650461</v>
      </c>
      <c r="Q441">
        <v>3346731</v>
      </c>
      <c r="R441" t="s">
        <v>28</v>
      </c>
      <c r="S441" s="4">
        <v>4.7376682099999998</v>
      </c>
      <c r="W441"/>
      <c r="X441">
        <v>0</v>
      </c>
      <c r="AC441" t="s">
        <v>84</v>
      </c>
      <c r="AD441" s="38">
        <v>43831</v>
      </c>
    </row>
    <row r="442" spans="1:30" x14ac:dyDescent="0.25">
      <c r="A442">
        <v>354532</v>
      </c>
      <c r="B442" t="s">
        <v>197</v>
      </c>
      <c r="C442">
        <v>2020</v>
      </c>
      <c r="D442">
        <v>1</v>
      </c>
      <c r="E442" t="s">
        <v>86</v>
      </c>
      <c r="F442" t="s">
        <v>84</v>
      </c>
      <c r="G442" t="s">
        <v>84</v>
      </c>
      <c r="H442" t="s">
        <v>25</v>
      </c>
      <c r="I442" t="s">
        <v>25</v>
      </c>
      <c r="J442" t="s">
        <v>101</v>
      </c>
      <c r="K442" t="s">
        <v>86</v>
      </c>
      <c r="L442" t="s">
        <v>103</v>
      </c>
      <c r="M442">
        <v>4821.9581158499996</v>
      </c>
      <c r="N442">
        <v>0</v>
      </c>
      <c r="O442" t="s">
        <v>80</v>
      </c>
      <c r="P442" s="38">
        <v>44277.577233530094</v>
      </c>
      <c r="Q442">
        <v>3346491</v>
      </c>
      <c r="R442" t="s">
        <v>28</v>
      </c>
      <c r="S442" s="4">
        <v>14.934388630000001</v>
      </c>
      <c r="W442"/>
      <c r="X442">
        <v>0</v>
      </c>
      <c r="AC442" t="s">
        <v>84</v>
      </c>
      <c r="AD442" s="38">
        <v>43831</v>
      </c>
    </row>
    <row r="443" spans="1:30" x14ac:dyDescent="0.25">
      <c r="A443">
        <v>367680</v>
      </c>
      <c r="B443" t="s">
        <v>201</v>
      </c>
      <c r="C443">
        <v>2020</v>
      </c>
      <c r="D443">
        <v>2</v>
      </c>
      <c r="E443" t="s">
        <v>86</v>
      </c>
      <c r="F443" t="s">
        <v>84</v>
      </c>
      <c r="G443" t="s">
        <v>84</v>
      </c>
      <c r="H443" t="s">
        <v>25</v>
      </c>
      <c r="I443" t="s">
        <v>25</v>
      </c>
      <c r="J443" t="s">
        <v>101</v>
      </c>
      <c r="K443" t="s">
        <v>86</v>
      </c>
      <c r="L443" t="s">
        <v>103</v>
      </c>
      <c r="M443">
        <v>4817.7602658300002</v>
      </c>
      <c r="N443">
        <v>0</v>
      </c>
      <c r="O443" t="s">
        <v>80</v>
      </c>
      <c r="P443" s="38">
        <v>44277.578842361108</v>
      </c>
      <c r="Q443">
        <v>3472941</v>
      </c>
      <c r="R443" t="s">
        <v>26</v>
      </c>
      <c r="S443" s="4">
        <v>2256.1997985799999</v>
      </c>
      <c r="W443"/>
      <c r="X443">
        <v>0</v>
      </c>
      <c r="AC443" t="s">
        <v>84</v>
      </c>
      <c r="AD443" s="38">
        <v>43862</v>
      </c>
    </row>
    <row r="444" spans="1:30" x14ac:dyDescent="0.25">
      <c r="A444">
        <v>367704</v>
      </c>
      <c r="B444" t="s">
        <v>201</v>
      </c>
      <c r="C444">
        <v>2020</v>
      </c>
      <c r="D444">
        <v>2</v>
      </c>
      <c r="E444" t="s">
        <v>88</v>
      </c>
      <c r="F444" t="s">
        <v>84</v>
      </c>
      <c r="G444" t="s">
        <v>84</v>
      </c>
      <c r="H444" t="s">
        <v>25</v>
      </c>
      <c r="I444" t="s">
        <v>25</v>
      </c>
      <c r="J444" t="s">
        <v>101</v>
      </c>
      <c r="K444" t="s">
        <v>88</v>
      </c>
      <c r="L444" t="s">
        <v>103</v>
      </c>
      <c r="M444">
        <v>1964.2184333</v>
      </c>
      <c r="N444">
        <v>0</v>
      </c>
      <c r="O444" t="s">
        <v>80</v>
      </c>
      <c r="P444" s="38">
        <v>44277.578843750001</v>
      </c>
      <c r="Q444">
        <v>3473061</v>
      </c>
      <c r="R444" t="s">
        <v>26</v>
      </c>
      <c r="S444" s="4">
        <v>1188.54353066</v>
      </c>
      <c r="W444"/>
      <c r="X444">
        <v>0</v>
      </c>
      <c r="AC444" t="s">
        <v>84</v>
      </c>
      <c r="AD444" s="38">
        <v>43862</v>
      </c>
    </row>
    <row r="445" spans="1:30" x14ac:dyDescent="0.25">
      <c r="A445">
        <v>367728</v>
      </c>
      <c r="B445" t="s">
        <v>201</v>
      </c>
      <c r="C445">
        <v>2020</v>
      </c>
      <c r="D445">
        <v>2</v>
      </c>
      <c r="E445" t="s">
        <v>90</v>
      </c>
      <c r="F445" t="s">
        <v>84</v>
      </c>
      <c r="G445" t="s">
        <v>84</v>
      </c>
      <c r="H445" t="s">
        <v>25</v>
      </c>
      <c r="I445" t="s">
        <v>25</v>
      </c>
      <c r="J445" t="s">
        <v>101</v>
      </c>
      <c r="K445" t="s">
        <v>90</v>
      </c>
      <c r="L445" t="s">
        <v>103</v>
      </c>
      <c r="M445">
        <v>1505.0158114400001</v>
      </c>
      <c r="N445">
        <v>0</v>
      </c>
      <c r="O445" t="s">
        <v>80</v>
      </c>
      <c r="P445" s="38">
        <v>44277.578845023148</v>
      </c>
      <c r="Q445">
        <v>3473181</v>
      </c>
      <c r="R445" t="s">
        <v>26</v>
      </c>
      <c r="S445" s="4">
        <v>752.30058515999997</v>
      </c>
      <c r="W445"/>
      <c r="X445">
        <v>0</v>
      </c>
      <c r="AC445" t="s">
        <v>84</v>
      </c>
      <c r="AD445" s="38">
        <v>43862</v>
      </c>
    </row>
    <row r="446" spans="1:30" x14ac:dyDescent="0.25">
      <c r="A446">
        <v>367704</v>
      </c>
      <c r="B446" t="s">
        <v>201</v>
      </c>
      <c r="C446">
        <v>2020</v>
      </c>
      <c r="D446">
        <v>2</v>
      </c>
      <c r="E446" t="s">
        <v>88</v>
      </c>
      <c r="F446" t="s">
        <v>84</v>
      </c>
      <c r="G446" t="s">
        <v>84</v>
      </c>
      <c r="H446" t="s">
        <v>25</v>
      </c>
      <c r="I446" t="s">
        <v>25</v>
      </c>
      <c r="J446" t="s">
        <v>101</v>
      </c>
      <c r="K446" t="s">
        <v>88</v>
      </c>
      <c r="L446" t="s">
        <v>103</v>
      </c>
      <c r="M446">
        <v>1964.2184333</v>
      </c>
      <c r="N446">
        <v>0</v>
      </c>
      <c r="O446" t="s">
        <v>80</v>
      </c>
      <c r="P446" s="38">
        <v>44277.578843750001</v>
      </c>
      <c r="Q446">
        <v>3473064</v>
      </c>
      <c r="R446" t="s">
        <v>81</v>
      </c>
      <c r="S446" s="4">
        <v>107.98293959999999</v>
      </c>
      <c r="W446"/>
      <c r="X446">
        <v>0</v>
      </c>
      <c r="AC446" t="s">
        <v>84</v>
      </c>
      <c r="AD446" s="38">
        <v>43862</v>
      </c>
    </row>
    <row r="447" spans="1:30" x14ac:dyDescent="0.25">
      <c r="A447">
        <v>367728</v>
      </c>
      <c r="B447" t="s">
        <v>201</v>
      </c>
      <c r="C447">
        <v>2020</v>
      </c>
      <c r="D447">
        <v>2</v>
      </c>
      <c r="E447" t="s">
        <v>90</v>
      </c>
      <c r="F447" t="s">
        <v>84</v>
      </c>
      <c r="G447" t="s">
        <v>84</v>
      </c>
      <c r="H447" t="s">
        <v>25</v>
      </c>
      <c r="I447" t="s">
        <v>25</v>
      </c>
      <c r="J447" t="s">
        <v>101</v>
      </c>
      <c r="K447" t="s">
        <v>90</v>
      </c>
      <c r="L447" t="s">
        <v>103</v>
      </c>
      <c r="M447">
        <v>1505.0158114400001</v>
      </c>
      <c r="N447">
        <v>0</v>
      </c>
      <c r="O447" t="s">
        <v>80</v>
      </c>
      <c r="P447" s="38">
        <v>44277.578845023148</v>
      </c>
      <c r="Q447">
        <v>3473184</v>
      </c>
      <c r="R447" t="s">
        <v>81</v>
      </c>
      <c r="S447" s="4">
        <v>91.432260959999994</v>
      </c>
      <c r="W447"/>
      <c r="X447">
        <v>0</v>
      </c>
      <c r="AC447" t="s">
        <v>84</v>
      </c>
      <c r="AD447" s="38">
        <v>43862</v>
      </c>
    </row>
    <row r="448" spans="1:30" x14ac:dyDescent="0.25">
      <c r="A448">
        <v>367680</v>
      </c>
      <c r="B448" t="s">
        <v>201</v>
      </c>
      <c r="C448">
        <v>2020</v>
      </c>
      <c r="D448">
        <v>2</v>
      </c>
      <c r="E448" t="s">
        <v>86</v>
      </c>
      <c r="F448" t="s">
        <v>84</v>
      </c>
      <c r="G448" t="s">
        <v>84</v>
      </c>
      <c r="H448" t="s">
        <v>25</v>
      </c>
      <c r="I448" t="s">
        <v>25</v>
      </c>
      <c r="J448" t="s">
        <v>101</v>
      </c>
      <c r="K448" t="s">
        <v>86</v>
      </c>
      <c r="L448" t="s">
        <v>103</v>
      </c>
      <c r="M448">
        <v>4817.7602658300002</v>
      </c>
      <c r="N448">
        <v>0</v>
      </c>
      <c r="O448" t="s">
        <v>80</v>
      </c>
      <c r="P448" s="38">
        <v>44277.578842361108</v>
      </c>
      <c r="Q448">
        <v>3472944</v>
      </c>
      <c r="R448" t="s">
        <v>81</v>
      </c>
      <c r="S448" s="4">
        <v>396.15234104000001</v>
      </c>
      <c r="W448"/>
      <c r="X448">
        <v>0</v>
      </c>
      <c r="AC448" t="s">
        <v>84</v>
      </c>
      <c r="AD448" s="38">
        <v>43862</v>
      </c>
    </row>
    <row r="449" spans="1:30" x14ac:dyDescent="0.25">
      <c r="A449">
        <v>367704</v>
      </c>
      <c r="B449" t="s">
        <v>201</v>
      </c>
      <c r="C449">
        <v>2020</v>
      </c>
      <c r="D449">
        <v>2</v>
      </c>
      <c r="E449" t="s">
        <v>88</v>
      </c>
      <c r="F449" t="s">
        <v>84</v>
      </c>
      <c r="G449" t="s">
        <v>84</v>
      </c>
      <c r="H449" t="s">
        <v>25</v>
      </c>
      <c r="I449" t="s">
        <v>25</v>
      </c>
      <c r="J449" t="s">
        <v>101</v>
      </c>
      <c r="K449" t="s">
        <v>88</v>
      </c>
      <c r="L449" t="s">
        <v>103</v>
      </c>
      <c r="M449">
        <v>1964.2184333</v>
      </c>
      <c r="N449">
        <v>0</v>
      </c>
      <c r="O449" t="s">
        <v>80</v>
      </c>
      <c r="P449" s="38">
        <v>44277.578843750001</v>
      </c>
      <c r="Q449">
        <v>3473063</v>
      </c>
      <c r="R449" t="s">
        <v>27</v>
      </c>
      <c r="S449" s="4">
        <v>708.92044515999999</v>
      </c>
      <c r="W449"/>
      <c r="X449">
        <v>0</v>
      </c>
      <c r="AC449" t="s">
        <v>84</v>
      </c>
      <c r="AD449" s="38">
        <v>43862</v>
      </c>
    </row>
    <row r="450" spans="1:30" x14ac:dyDescent="0.25">
      <c r="A450">
        <v>367728</v>
      </c>
      <c r="B450" t="s">
        <v>201</v>
      </c>
      <c r="C450">
        <v>2020</v>
      </c>
      <c r="D450">
        <v>2</v>
      </c>
      <c r="E450" t="s">
        <v>90</v>
      </c>
      <c r="F450" t="s">
        <v>84</v>
      </c>
      <c r="G450" t="s">
        <v>84</v>
      </c>
      <c r="H450" t="s">
        <v>25</v>
      </c>
      <c r="I450" t="s">
        <v>25</v>
      </c>
      <c r="J450" t="s">
        <v>101</v>
      </c>
      <c r="K450" t="s">
        <v>90</v>
      </c>
      <c r="L450" t="s">
        <v>103</v>
      </c>
      <c r="M450">
        <v>1505.0158114400001</v>
      </c>
      <c r="N450">
        <v>0</v>
      </c>
      <c r="O450" t="s">
        <v>80</v>
      </c>
      <c r="P450" s="38">
        <v>44277.578845023148</v>
      </c>
      <c r="Q450">
        <v>3473183</v>
      </c>
      <c r="R450" t="s">
        <v>27</v>
      </c>
      <c r="S450" s="4">
        <v>687.73581141</v>
      </c>
      <c r="W450"/>
      <c r="X450">
        <v>0</v>
      </c>
      <c r="AC450" t="s">
        <v>84</v>
      </c>
      <c r="AD450" s="38">
        <v>43862</v>
      </c>
    </row>
    <row r="451" spans="1:30" x14ac:dyDescent="0.25">
      <c r="A451">
        <v>367680</v>
      </c>
      <c r="B451" t="s">
        <v>201</v>
      </c>
      <c r="C451">
        <v>2020</v>
      </c>
      <c r="D451">
        <v>2</v>
      </c>
      <c r="E451" t="s">
        <v>86</v>
      </c>
      <c r="F451" t="s">
        <v>84</v>
      </c>
      <c r="G451" t="s">
        <v>84</v>
      </c>
      <c r="H451" t="s">
        <v>25</v>
      </c>
      <c r="I451" t="s">
        <v>25</v>
      </c>
      <c r="J451" t="s">
        <v>101</v>
      </c>
      <c r="K451" t="s">
        <v>86</v>
      </c>
      <c r="L451" t="s">
        <v>103</v>
      </c>
      <c r="M451">
        <v>4817.7602658300002</v>
      </c>
      <c r="N451">
        <v>0</v>
      </c>
      <c r="O451" t="s">
        <v>80</v>
      </c>
      <c r="P451" s="38">
        <v>44277.578842361108</v>
      </c>
      <c r="Q451">
        <v>3472943</v>
      </c>
      <c r="R451" t="s">
        <v>27</v>
      </c>
      <c r="S451" s="4">
        <v>2244.28180668</v>
      </c>
      <c r="W451"/>
      <c r="X451">
        <v>0</v>
      </c>
      <c r="AC451" t="s">
        <v>84</v>
      </c>
      <c r="AD451" s="38">
        <v>43862</v>
      </c>
    </row>
    <row r="452" spans="1:30" x14ac:dyDescent="0.25">
      <c r="A452">
        <v>367728</v>
      </c>
      <c r="B452" t="s">
        <v>201</v>
      </c>
      <c r="C452">
        <v>2020</v>
      </c>
      <c r="D452">
        <v>2</v>
      </c>
      <c r="E452" t="s">
        <v>90</v>
      </c>
      <c r="F452" t="s">
        <v>84</v>
      </c>
      <c r="G452" t="s">
        <v>84</v>
      </c>
      <c r="H452" t="s">
        <v>25</v>
      </c>
      <c r="I452" t="s">
        <v>25</v>
      </c>
      <c r="J452" t="s">
        <v>101</v>
      </c>
      <c r="K452" t="s">
        <v>90</v>
      </c>
      <c r="L452" t="s">
        <v>103</v>
      </c>
      <c r="M452">
        <v>1505.0158114400001</v>
      </c>
      <c r="N452">
        <v>0</v>
      </c>
      <c r="O452" t="s">
        <v>80</v>
      </c>
      <c r="P452" s="38">
        <v>44277.578845023148</v>
      </c>
      <c r="Q452">
        <v>3473180</v>
      </c>
      <c r="R452" t="s">
        <v>91</v>
      </c>
      <c r="S452" s="4">
        <v>0.78847891000000003</v>
      </c>
      <c r="W452"/>
      <c r="X452">
        <v>0</v>
      </c>
      <c r="AC452" t="s">
        <v>84</v>
      </c>
      <c r="AD452" s="38">
        <v>43862</v>
      </c>
    </row>
    <row r="453" spans="1:30" x14ac:dyDescent="0.25">
      <c r="A453">
        <v>367704</v>
      </c>
      <c r="B453" t="s">
        <v>201</v>
      </c>
      <c r="C453">
        <v>2020</v>
      </c>
      <c r="D453">
        <v>2</v>
      </c>
      <c r="E453" t="s">
        <v>88</v>
      </c>
      <c r="F453" t="s">
        <v>84</v>
      </c>
      <c r="G453" t="s">
        <v>84</v>
      </c>
      <c r="H453" t="s">
        <v>25</v>
      </c>
      <c r="I453" t="s">
        <v>25</v>
      </c>
      <c r="J453" t="s">
        <v>101</v>
      </c>
      <c r="K453" t="s">
        <v>88</v>
      </c>
      <c r="L453" t="s">
        <v>103</v>
      </c>
      <c r="M453">
        <v>1964.2184333</v>
      </c>
      <c r="N453">
        <v>0</v>
      </c>
      <c r="O453" t="s">
        <v>80</v>
      </c>
      <c r="P453" s="38">
        <v>44277.578843750001</v>
      </c>
      <c r="Q453">
        <v>3473060</v>
      </c>
      <c r="R453" t="s">
        <v>91</v>
      </c>
      <c r="S453" s="4">
        <v>0</v>
      </c>
      <c r="W453"/>
      <c r="X453">
        <v>0</v>
      </c>
      <c r="AC453" t="s">
        <v>84</v>
      </c>
      <c r="AD453" s="38">
        <v>43862</v>
      </c>
    </row>
    <row r="454" spans="1:30" x14ac:dyDescent="0.25">
      <c r="A454">
        <v>367680</v>
      </c>
      <c r="B454" t="s">
        <v>201</v>
      </c>
      <c r="C454">
        <v>2020</v>
      </c>
      <c r="D454">
        <v>2</v>
      </c>
      <c r="E454" t="s">
        <v>86</v>
      </c>
      <c r="F454" t="s">
        <v>84</v>
      </c>
      <c r="G454" t="s">
        <v>84</v>
      </c>
      <c r="H454" t="s">
        <v>25</v>
      </c>
      <c r="I454" t="s">
        <v>25</v>
      </c>
      <c r="J454" t="s">
        <v>101</v>
      </c>
      <c r="K454" t="s">
        <v>86</v>
      </c>
      <c r="L454" t="s">
        <v>103</v>
      </c>
      <c r="M454">
        <v>4817.7602658300002</v>
      </c>
      <c r="N454">
        <v>0</v>
      </c>
      <c r="O454" t="s">
        <v>80</v>
      </c>
      <c r="P454" s="38">
        <v>44277.578842361108</v>
      </c>
      <c r="Q454">
        <v>3472940</v>
      </c>
      <c r="R454" t="s">
        <v>91</v>
      </c>
      <c r="S454" s="4">
        <v>7.3285851800000001</v>
      </c>
      <c r="W454"/>
      <c r="X454">
        <v>0</v>
      </c>
      <c r="AC454" t="s">
        <v>84</v>
      </c>
      <c r="AD454" s="38">
        <v>43862</v>
      </c>
    </row>
    <row r="455" spans="1:30" x14ac:dyDescent="0.25">
      <c r="A455">
        <v>367704</v>
      </c>
      <c r="B455" t="s">
        <v>201</v>
      </c>
      <c r="C455">
        <v>2020</v>
      </c>
      <c r="D455">
        <v>2</v>
      </c>
      <c r="E455" t="s">
        <v>88</v>
      </c>
      <c r="F455" t="s">
        <v>84</v>
      </c>
      <c r="G455" t="s">
        <v>84</v>
      </c>
      <c r="H455" t="s">
        <v>25</v>
      </c>
      <c r="I455" t="s">
        <v>25</v>
      </c>
      <c r="J455" t="s">
        <v>101</v>
      </c>
      <c r="K455" t="s">
        <v>88</v>
      </c>
      <c r="L455" t="s">
        <v>103</v>
      </c>
      <c r="M455">
        <v>1964.2184333</v>
      </c>
      <c r="N455">
        <v>0</v>
      </c>
      <c r="O455" t="s">
        <v>80</v>
      </c>
      <c r="P455" s="38">
        <v>44277.578843750001</v>
      </c>
      <c r="Q455">
        <v>3473062</v>
      </c>
      <c r="R455" t="s">
        <v>28</v>
      </c>
      <c r="S455" s="4">
        <v>0</v>
      </c>
      <c r="W455"/>
      <c r="X455">
        <v>0</v>
      </c>
      <c r="AC455" t="s">
        <v>84</v>
      </c>
      <c r="AD455" s="38">
        <v>43862</v>
      </c>
    </row>
    <row r="456" spans="1:30" x14ac:dyDescent="0.25">
      <c r="A456">
        <v>367728</v>
      </c>
      <c r="B456" t="s">
        <v>201</v>
      </c>
      <c r="C456">
        <v>2020</v>
      </c>
      <c r="D456">
        <v>2</v>
      </c>
      <c r="E456" t="s">
        <v>90</v>
      </c>
      <c r="F456" t="s">
        <v>84</v>
      </c>
      <c r="G456" t="s">
        <v>84</v>
      </c>
      <c r="H456" t="s">
        <v>25</v>
      </c>
      <c r="I456" t="s">
        <v>25</v>
      </c>
      <c r="J456" t="s">
        <v>101</v>
      </c>
      <c r="K456" t="s">
        <v>90</v>
      </c>
      <c r="L456" t="s">
        <v>103</v>
      </c>
      <c r="M456">
        <v>1505.0158114400001</v>
      </c>
      <c r="N456">
        <v>0</v>
      </c>
      <c r="O456" t="s">
        <v>80</v>
      </c>
      <c r="P456" s="38">
        <v>44277.578845023148</v>
      </c>
      <c r="Q456">
        <v>3473182</v>
      </c>
      <c r="R456" t="s">
        <v>28</v>
      </c>
      <c r="S456" s="4">
        <v>4.3486022799999997</v>
      </c>
      <c r="W456"/>
      <c r="X456">
        <v>0</v>
      </c>
      <c r="AC456" t="s">
        <v>84</v>
      </c>
      <c r="AD456" s="38">
        <v>43862</v>
      </c>
    </row>
    <row r="457" spans="1:30" x14ac:dyDescent="0.25">
      <c r="A457">
        <v>367680</v>
      </c>
      <c r="B457" t="s">
        <v>201</v>
      </c>
      <c r="C457">
        <v>2020</v>
      </c>
      <c r="D457">
        <v>2</v>
      </c>
      <c r="E457" t="s">
        <v>86</v>
      </c>
      <c r="F457" t="s">
        <v>84</v>
      </c>
      <c r="G457" t="s">
        <v>84</v>
      </c>
      <c r="H457" t="s">
        <v>25</v>
      </c>
      <c r="I457" t="s">
        <v>25</v>
      </c>
      <c r="J457" t="s">
        <v>101</v>
      </c>
      <c r="K457" t="s">
        <v>86</v>
      </c>
      <c r="L457" t="s">
        <v>103</v>
      </c>
      <c r="M457">
        <v>4817.7602658300002</v>
      </c>
      <c r="N457">
        <v>0</v>
      </c>
      <c r="O457" t="s">
        <v>80</v>
      </c>
      <c r="P457" s="38">
        <v>44277.578842361108</v>
      </c>
      <c r="Q457">
        <v>3472942</v>
      </c>
      <c r="R457" t="s">
        <v>28</v>
      </c>
      <c r="S457" s="4">
        <v>14.921387210000001</v>
      </c>
      <c r="W457"/>
      <c r="X457">
        <v>0</v>
      </c>
      <c r="AC457" t="s">
        <v>84</v>
      </c>
      <c r="AD457" s="38">
        <v>43862</v>
      </c>
    </row>
    <row r="458" spans="1:30" x14ac:dyDescent="0.25">
      <c r="A458">
        <v>380901</v>
      </c>
      <c r="B458" t="s">
        <v>205</v>
      </c>
      <c r="C458">
        <v>2020</v>
      </c>
      <c r="D458">
        <v>3</v>
      </c>
      <c r="E458" t="s">
        <v>90</v>
      </c>
      <c r="F458" t="s">
        <v>84</v>
      </c>
      <c r="G458" t="s">
        <v>84</v>
      </c>
      <c r="H458" t="s">
        <v>25</v>
      </c>
      <c r="I458" t="s">
        <v>25</v>
      </c>
      <c r="J458" t="s">
        <v>101</v>
      </c>
      <c r="K458" t="s">
        <v>90</v>
      </c>
      <c r="L458" t="s">
        <v>103</v>
      </c>
      <c r="M458">
        <v>1368.2888326899999</v>
      </c>
      <c r="N458">
        <v>0</v>
      </c>
      <c r="O458" t="s">
        <v>80</v>
      </c>
      <c r="P458" s="38">
        <v>44277.58045115741</v>
      </c>
      <c r="Q458">
        <v>3600032</v>
      </c>
      <c r="R458" t="s">
        <v>26</v>
      </c>
      <c r="S458" s="4">
        <v>683.95593035000002</v>
      </c>
      <c r="W458"/>
      <c r="X458">
        <v>0</v>
      </c>
      <c r="AC458" t="s">
        <v>84</v>
      </c>
      <c r="AD458" s="38">
        <v>43891</v>
      </c>
    </row>
    <row r="459" spans="1:30" x14ac:dyDescent="0.25">
      <c r="A459">
        <v>380853</v>
      </c>
      <c r="B459" t="s">
        <v>205</v>
      </c>
      <c r="C459">
        <v>2020</v>
      </c>
      <c r="D459">
        <v>3</v>
      </c>
      <c r="E459" t="s">
        <v>86</v>
      </c>
      <c r="F459" t="s">
        <v>84</v>
      </c>
      <c r="G459" t="s">
        <v>84</v>
      </c>
      <c r="H459" t="s">
        <v>25</v>
      </c>
      <c r="I459" t="s">
        <v>25</v>
      </c>
      <c r="J459" t="s">
        <v>101</v>
      </c>
      <c r="K459" t="s">
        <v>86</v>
      </c>
      <c r="L459" t="s">
        <v>103</v>
      </c>
      <c r="M459">
        <v>4596.1657269400002</v>
      </c>
      <c r="N459">
        <v>0</v>
      </c>
      <c r="O459" t="s">
        <v>80</v>
      </c>
      <c r="P459" s="38">
        <v>44277.580443599538</v>
      </c>
      <c r="Q459">
        <v>3599792</v>
      </c>
      <c r="R459" t="s">
        <v>26</v>
      </c>
      <c r="S459" s="4">
        <v>2152.4251135700001</v>
      </c>
      <c r="W459"/>
      <c r="X459">
        <v>0</v>
      </c>
      <c r="AC459" t="s">
        <v>84</v>
      </c>
      <c r="AD459" s="38">
        <v>43891</v>
      </c>
    </row>
    <row r="460" spans="1:30" x14ac:dyDescent="0.25">
      <c r="A460">
        <v>380877</v>
      </c>
      <c r="B460" t="s">
        <v>205</v>
      </c>
      <c r="C460">
        <v>2020</v>
      </c>
      <c r="D460">
        <v>3</v>
      </c>
      <c r="E460" t="s">
        <v>88</v>
      </c>
      <c r="F460" t="s">
        <v>84</v>
      </c>
      <c r="G460" t="s">
        <v>84</v>
      </c>
      <c r="H460" t="s">
        <v>25</v>
      </c>
      <c r="I460" t="s">
        <v>25</v>
      </c>
      <c r="J460" t="s">
        <v>101</v>
      </c>
      <c r="K460" t="s">
        <v>88</v>
      </c>
      <c r="L460" t="s">
        <v>103</v>
      </c>
      <c r="M460">
        <v>1932.0776825</v>
      </c>
      <c r="N460">
        <v>0</v>
      </c>
      <c r="O460" t="s">
        <v>80</v>
      </c>
      <c r="P460" s="38">
        <v>44277.580448298613</v>
      </c>
      <c r="Q460">
        <v>3599912</v>
      </c>
      <c r="R460" t="s">
        <v>26</v>
      </c>
      <c r="S460" s="4">
        <v>1169.0952448800001</v>
      </c>
      <c r="W460"/>
      <c r="X460">
        <v>0</v>
      </c>
      <c r="AC460" t="s">
        <v>84</v>
      </c>
      <c r="AD460" s="38">
        <v>43891</v>
      </c>
    </row>
    <row r="461" spans="1:30" x14ac:dyDescent="0.25">
      <c r="A461">
        <v>380901</v>
      </c>
      <c r="B461" t="s">
        <v>205</v>
      </c>
      <c r="C461">
        <v>2020</v>
      </c>
      <c r="D461">
        <v>3</v>
      </c>
      <c r="E461" t="s">
        <v>90</v>
      </c>
      <c r="F461" t="s">
        <v>84</v>
      </c>
      <c r="G461" t="s">
        <v>84</v>
      </c>
      <c r="H461" t="s">
        <v>25</v>
      </c>
      <c r="I461" t="s">
        <v>25</v>
      </c>
      <c r="J461" t="s">
        <v>101</v>
      </c>
      <c r="K461" t="s">
        <v>90</v>
      </c>
      <c r="L461" t="s">
        <v>103</v>
      </c>
      <c r="M461">
        <v>1368.2888326899999</v>
      </c>
      <c r="N461">
        <v>0</v>
      </c>
      <c r="O461" t="s">
        <v>80</v>
      </c>
      <c r="P461" s="38">
        <v>44277.58045115741</v>
      </c>
      <c r="Q461">
        <v>3600035</v>
      </c>
      <c r="R461" t="s">
        <v>81</v>
      </c>
      <c r="S461" s="4">
        <v>83.125865300000001</v>
      </c>
      <c r="W461"/>
      <c r="X461">
        <v>0</v>
      </c>
      <c r="AC461" t="s">
        <v>84</v>
      </c>
      <c r="AD461" s="38">
        <v>43891</v>
      </c>
    </row>
    <row r="462" spans="1:30" x14ac:dyDescent="0.25">
      <c r="A462">
        <v>380853</v>
      </c>
      <c r="B462" t="s">
        <v>205</v>
      </c>
      <c r="C462">
        <v>2020</v>
      </c>
      <c r="D462">
        <v>3</v>
      </c>
      <c r="E462" t="s">
        <v>86</v>
      </c>
      <c r="F462" t="s">
        <v>84</v>
      </c>
      <c r="G462" t="s">
        <v>84</v>
      </c>
      <c r="H462" t="s">
        <v>25</v>
      </c>
      <c r="I462" t="s">
        <v>25</v>
      </c>
      <c r="J462" t="s">
        <v>101</v>
      </c>
      <c r="K462" t="s">
        <v>86</v>
      </c>
      <c r="L462" t="s">
        <v>103</v>
      </c>
      <c r="M462">
        <v>4596.1657269400002</v>
      </c>
      <c r="N462">
        <v>0</v>
      </c>
      <c r="O462" t="s">
        <v>80</v>
      </c>
      <c r="P462" s="38">
        <v>44277.580443599538</v>
      </c>
      <c r="Q462">
        <v>3599795</v>
      </c>
      <c r="R462" t="s">
        <v>81</v>
      </c>
      <c r="S462" s="4">
        <v>377.93117798999998</v>
      </c>
      <c r="W462"/>
      <c r="X462">
        <v>0</v>
      </c>
      <c r="AC462" t="s">
        <v>84</v>
      </c>
      <c r="AD462" s="38">
        <v>43891</v>
      </c>
    </row>
    <row r="463" spans="1:30" x14ac:dyDescent="0.25">
      <c r="A463">
        <v>380877</v>
      </c>
      <c r="B463" t="s">
        <v>205</v>
      </c>
      <c r="C463">
        <v>2020</v>
      </c>
      <c r="D463">
        <v>3</v>
      </c>
      <c r="E463" t="s">
        <v>88</v>
      </c>
      <c r="F463" t="s">
        <v>84</v>
      </c>
      <c r="G463" t="s">
        <v>84</v>
      </c>
      <c r="H463" t="s">
        <v>25</v>
      </c>
      <c r="I463" t="s">
        <v>25</v>
      </c>
      <c r="J463" t="s">
        <v>101</v>
      </c>
      <c r="K463" t="s">
        <v>88</v>
      </c>
      <c r="L463" t="s">
        <v>103</v>
      </c>
      <c r="M463">
        <v>1932.0776825</v>
      </c>
      <c r="N463">
        <v>0</v>
      </c>
      <c r="O463" t="s">
        <v>80</v>
      </c>
      <c r="P463" s="38">
        <v>44277.580448298613</v>
      </c>
      <c r="Q463">
        <v>3599915</v>
      </c>
      <c r="R463" t="s">
        <v>81</v>
      </c>
      <c r="S463" s="4">
        <v>106.21600132</v>
      </c>
      <c r="W463"/>
      <c r="X463">
        <v>0</v>
      </c>
      <c r="AC463" t="s">
        <v>84</v>
      </c>
      <c r="AD463" s="38">
        <v>43891</v>
      </c>
    </row>
    <row r="464" spans="1:30" x14ac:dyDescent="0.25">
      <c r="A464">
        <v>380901</v>
      </c>
      <c r="B464" t="s">
        <v>205</v>
      </c>
      <c r="C464">
        <v>2020</v>
      </c>
      <c r="D464">
        <v>3</v>
      </c>
      <c r="E464" t="s">
        <v>90</v>
      </c>
      <c r="F464" t="s">
        <v>84</v>
      </c>
      <c r="G464" t="s">
        <v>84</v>
      </c>
      <c r="H464" t="s">
        <v>25</v>
      </c>
      <c r="I464" t="s">
        <v>25</v>
      </c>
      <c r="J464" t="s">
        <v>101</v>
      </c>
      <c r="K464" t="s">
        <v>90</v>
      </c>
      <c r="L464" t="s">
        <v>103</v>
      </c>
      <c r="M464">
        <v>1368.2888326899999</v>
      </c>
      <c r="N464">
        <v>0</v>
      </c>
      <c r="O464" t="s">
        <v>80</v>
      </c>
      <c r="P464" s="38">
        <v>44277.58045115741</v>
      </c>
      <c r="Q464">
        <v>3600034</v>
      </c>
      <c r="R464" t="s">
        <v>27</v>
      </c>
      <c r="S464" s="4">
        <v>625.25670722999996</v>
      </c>
      <c r="W464"/>
      <c r="X464">
        <v>0</v>
      </c>
      <c r="AC464" t="s">
        <v>84</v>
      </c>
      <c r="AD464" s="38">
        <v>43891</v>
      </c>
    </row>
    <row r="465" spans="1:30" x14ac:dyDescent="0.25">
      <c r="A465">
        <v>380877</v>
      </c>
      <c r="B465" t="s">
        <v>205</v>
      </c>
      <c r="C465">
        <v>2020</v>
      </c>
      <c r="D465">
        <v>3</v>
      </c>
      <c r="E465" t="s">
        <v>88</v>
      </c>
      <c r="F465" t="s">
        <v>84</v>
      </c>
      <c r="G465" t="s">
        <v>84</v>
      </c>
      <c r="H465" t="s">
        <v>25</v>
      </c>
      <c r="I465" t="s">
        <v>25</v>
      </c>
      <c r="J465" t="s">
        <v>101</v>
      </c>
      <c r="K465" t="s">
        <v>88</v>
      </c>
      <c r="L465" t="s">
        <v>103</v>
      </c>
      <c r="M465">
        <v>1932.0776825</v>
      </c>
      <c r="N465">
        <v>0</v>
      </c>
      <c r="O465" t="s">
        <v>80</v>
      </c>
      <c r="P465" s="38">
        <v>44277.580448298613</v>
      </c>
      <c r="Q465">
        <v>3599914</v>
      </c>
      <c r="R465" t="s">
        <v>27</v>
      </c>
      <c r="S465" s="4">
        <v>697.32029164000005</v>
      </c>
      <c r="W465"/>
      <c r="X465">
        <v>0</v>
      </c>
      <c r="AC465" t="s">
        <v>84</v>
      </c>
      <c r="AD465" s="38">
        <v>43891</v>
      </c>
    </row>
    <row r="466" spans="1:30" x14ac:dyDescent="0.25">
      <c r="A466">
        <v>380853</v>
      </c>
      <c r="B466" t="s">
        <v>205</v>
      </c>
      <c r="C466">
        <v>2020</v>
      </c>
      <c r="D466">
        <v>3</v>
      </c>
      <c r="E466" t="s">
        <v>86</v>
      </c>
      <c r="F466" t="s">
        <v>84</v>
      </c>
      <c r="G466" t="s">
        <v>84</v>
      </c>
      <c r="H466" t="s">
        <v>25</v>
      </c>
      <c r="I466" t="s">
        <v>25</v>
      </c>
      <c r="J466" t="s">
        <v>101</v>
      </c>
      <c r="K466" t="s">
        <v>86</v>
      </c>
      <c r="L466" t="s">
        <v>103</v>
      </c>
      <c r="M466">
        <v>4596.1657269400002</v>
      </c>
      <c r="N466">
        <v>0</v>
      </c>
      <c r="O466" t="s">
        <v>80</v>
      </c>
      <c r="P466" s="38">
        <v>44277.580443599538</v>
      </c>
      <c r="Q466">
        <v>3599794</v>
      </c>
      <c r="R466" t="s">
        <v>27</v>
      </c>
      <c r="S466" s="4">
        <v>2141.05529381</v>
      </c>
      <c r="W466"/>
      <c r="X466">
        <v>0</v>
      </c>
      <c r="AC466" t="s">
        <v>84</v>
      </c>
      <c r="AD466" s="38">
        <v>43891</v>
      </c>
    </row>
    <row r="467" spans="1:30" x14ac:dyDescent="0.25">
      <c r="A467">
        <v>380901</v>
      </c>
      <c r="B467" t="s">
        <v>205</v>
      </c>
      <c r="C467">
        <v>2020</v>
      </c>
      <c r="D467">
        <v>3</v>
      </c>
      <c r="E467" t="s">
        <v>90</v>
      </c>
      <c r="F467" t="s">
        <v>84</v>
      </c>
      <c r="G467" t="s">
        <v>84</v>
      </c>
      <c r="H467" t="s">
        <v>25</v>
      </c>
      <c r="I467" t="s">
        <v>25</v>
      </c>
      <c r="J467" t="s">
        <v>101</v>
      </c>
      <c r="K467" t="s">
        <v>90</v>
      </c>
      <c r="L467" t="s">
        <v>103</v>
      </c>
      <c r="M467">
        <v>1368.2888326899999</v>
      </c>
      <c r="N467">
        <v>0</v>
      </c>
      <c r="O467" t="s">
        <v>80</v>
      </c>
      <c r="P467" s="38">
        <v>44277.58045115741</v>
      </c>
      <c r="Q467">
        <v>3600031</v>
      </c>
      <c r="R467" t="s">
        <v>91</v>
      </c>
      <c r="S467" s="4">
        <v>0.71684755</v>
      </c>
      <c r="W467"/>
      <c r="X467">
        <v>0</v>
      </c>
      <c r="AC467" t="s">
        <v>84</v>
      </c>
      <c r="AD467" s="38">
        <v>43891</v>
      </c>
    </row>
    <row r="468" spans="1:30" x14ac:dyDescent="0.25">
      <c r="A468">
        <v>380877</v>
      </c>
      <c r="B468" t="s">
        <v>205</v>
      </c>
      <c r="C468">
        <v>2020</v>
      </c>
      <c r="D468">
        <v>3</v>
      </c>
      <c r="E468" t="s">
        <v>88</v>
      </c>
      <c r="F468" t="s">
        <v>84</v>
      </c>
      <c r="G468" t="s">
        <v>84</v>
      </c>
      <c r="H468" t="s">
        <v>25</v>
      </c>
      <c r="I468" t="s">
        <v>25</v>
      </c>
      <c r="J468" t="s">
        <v>101</v>
      </c>
      <c r="K468" t="s">
        <v>88</v>
      </c>
      <c r="L468" t="s">
        <v>103</v>
      </c>
      <c r="M468">
        <v>1932.0776825</v>
      </c>
      <c r="N468">
        <v>0</v>
      </c>
      <c r="O468" t="s">
        <v>80</v>
      </c>
      <c r="P468" s="38">
        <v>44277.580448298613</v>
      </c>
      <c r="Q468">
        <v>3599911</v>
      </c>
      <c r="R468" t="s">
        <v>91</v>
      </c>
      <c r="S468" s="4">
        <v>0</v>
      </c>
      <c r="W468"/>
      <c r="X468">
        <v>0</v>
      </c>
      <c r="AC468" t="s">
        <v>84</v>
      </c>
      <c r="AD468" s="38">
        <v>43891</v>
      </c>
    </row>
    <row r="469" spans="1:30" x14ac:dyDescent="0.25">
      <c r="A469">
        <v>380853</v>
      </c>
      <c r="B469" t="s">
        <v>205</v>
      </c>
      <c r="C469">
        <v>2020</v>
      </c>
      <c r="D469">
        <v>3</v>
      </c>
      <c r="E469" t="s">
        <v>86</v>
      </c>
      <c r="F469" t="s">
        <v>84</v>
      </c>
      <c r="G469" t="s">
        <v>84</v>
      </c>
      <c r="H469" t="s">
        <v>25</v>
      </c>
      <c r="I469" t="s">
        <v>25</v>
      </c>
      <c r="J469" t="s">
        <v>101</v>
      </c>
      <c r="K469" t="s">
        <v>86</v>
      </c>
      <c r="L469" t="s">
        <v>103</v>
      </c>
      <c r="M469">
        <v>4596.1657269400002</v>
      </c>
      <c r="N469">
        <v>0</v>
      </c>
      <c r="O469" t="s">
        <v>80</v>
      </c>
      <c r="P469" s="38">
        <v>44277.580443599538</v>
      </c>
      <c r="Q469">
        <v>3599791</v>
      </c>
      <c r="R469" t="s">
        <v>91</v>
      </c>
      <c r="S469" s="4">
        <v>6.9915043900000002</v>
      </c>
      <c r="W469"/>
      <c r="X469">
        <v>0</v>
      </c>
      <c r="AC469" t="s">
        <v>84</v>
      </c>
      <c r="AD469" s="38">
        <v>43891</v>
      </c>
    </row>
    <row r="470" spans="1:30" x14ac:dyDescent="0.25">
      <c r="A470">
        <v>380877</v>
      </c>
      <c r="B470" t="s">
        <v>205</v>
      </c>
      <c r="C470">
        <v>2020</v>
      </c>
      <c r="D470">
        <v>3</v>
      </c>
      <c r="E470" t="s">
        <v>88</v>
      </c>
      <c r="F470" t="s">
        <v>84</v>
      </c>
      <c r="G470" t="s">
        <v>84</v>
      </c>
      <c r="H470" t="s">
        <v>25</v>
      </c>
      <c r="I470" t="s">
        <v>25</v>
      </c>
      <c r="J470" t="s">
        <v>101</v>
      </c>
      <c r="K470" t="s">
        <v>88</v>
      </c>
      <c r="L470" t="s">
        <v>103</v>
      </c>
      <c r="M470">
        <v>1932.0776825</v>
      </c>
      <c r="N470">
        <v>0</v>
      </c>
      <c r="O470" t="s">
        <v>80</v>
      </c>
      <c r="P470" s="38">
        <v>44277.580448298613</v>
      </c>
      <c r="Q470">
        <v>3599913</v>
      </c>
      <c r="R470" t="s">
        <v>28</v>
      </c>
      <c r="S470" s="4">
        <v>0</v>
      </c>
      <c r="W470"/>
      <c r="X470">
        <v>0</v>
      </c>
      <c r="AC470" t="s">
        <v>84</v>
      </c>
      <c r="AD470" s="38">
        <v>43891</v>
      </c>
    </row>
    <row r="471" spans="1:30" x14ac:dyDescent="0.25">
      <c r="A471">
        <v>380853</v>
      </c>
      <c r="B471" t="s">
        <v>205</v>
      </c>
      <c r="C471">
        <v>2020</v>
      </c>
      <c r="D471">
        <v>3</v>
      </c>
      <c r="E471" t="s">
        <v>86</v>
      </c>
      <c r="F471" t="s">
        <v>84</v>
      </c>
      <c r="G471" t="s">
        <v>84</v>
      </c>
      <c r="H471" t="s">
        <v>25</v>
      </c>
      <c r="I471" t="s">
        <v>25</v>
      </c>
      <c r="J471" t="s">
        <v>101</v>
      </c>
      <c r="K471" t="s">
        <v>86</v>
      </c>
      <c r="L471" t="s">
        <v>103</v>
      </c>
      <c r="M471">
        <v>4596.1657269400002</v>
      </c>
      <c r="N471">
        <v>0</v>
      </c>
      <c r="O471" t="s">
        <v>80</v>
      </c>
      <c r="P471" s="38">
        <v>44277.580443599538</v>
      </c>
      <c r="Q471">
        <v>3599793</v>
      </c>
      <c r="R471" t="s">
        <v>28</v>
      </c>
      <c r="S471" s="4">
        <v>14.235072880000001</v>
      </c>
      <c r="W471"/>
      <c r="X471">
        <v>0</v>
      </c>
      <c r="AC471" t="s">
        <v>84</v>
      </c>
      <c r="AD471" s="38">
        <v>43891</v>
      </c>
    </row>
    <row r="472" spans="1:30" x14ac:dyDescent="0.25">
      <c r="A472">
        <v>380901</v>
      </c>
      <c r="B472" t="s">
        <v>205</v>
      </c>
      <c r="C472">
        <v>2020</v>
      </c>
      <c r="D472">
        <v>3</v>
      </c>
      <c r="E472" t="s">
        <v>90</v>
      </c>
      <c r="F472" t="s">
        <v>84</v>
      </c>
      <c r="G472" t="s">
        <v>84</v>
      </c>
      <c r="H472" t="s">
        <v>25</v>
      </c>
      <c r="I472" t="s">
        <v>25</v>
      </c>
      <c r="J472" t="s">
        <v>101</v>
      </c>
      <c r="K472" t="s">
        <v>90</v>
      </c>
      <c r="L472" t="s">
        <v>103</v>
      </c>
      <c r="M472">
        <v>1368.2888326899999</v>
      </c>
      <c r="N472">
        <v>0</v>
      </c>
      <c r="O472" t="s">
        <v>80</v>
      </c>
      <c r="P472" s="38">
        <v>44277.58045115741</v>
      </c>
      <c r="Q472">
        <v>3600033</v>
      </c>
      <c r="R472" t="s">
        <v>28</v>
      </c>
      <c r="S472" s="4">
        <v>3.9535424699999999</v>
      </c>
      <c r="W472"/>
      <c r="X472">
        <v>0</v>
      </c>
      <c r="AC472" t="s">
        <v>84</v>
      </c>
      <c r="AD472" s="38">
        <v>43891</v>
      </c>
    </row>
    <row r="473" spans="1:30" x14ac:dyDescent="0.25">
      <c r="A473">
        <v>394026</v>
      </c>
      <c r="B473" t="s">
        <v>209</v>
      </c>
      <c r="C473">
        <v>2020</v>
      </c>
      <c r="D473">
        <v>4</v>
      </c>
      <c r="E473" t="s">
        <v>86</v>
      </c>
      <c r="F473" t="s">
        <v>84</v>
      </c>
      <c r="G473" t="s">
        <v>84</v>
      </c>
      <c r="H473" t="s">
        <v>25</v>
      </c>
      <c r="I473" t="s">
        <v>25</v>
      </c>
      <c r="J473" t="s">
        <v>101</v>
      </c>
      <c r="K473" t="s">
        <v>86</v>
      </c>
      <c r="L473" t="s">
        <v>103</v>
      </c>
      <c r="M473">
        <v>3484.5644192300001</v>
      </c>
      <c r="N473">
        <v>0</v>
      </c>
      <c r="O473" t="s">
        <v>80</v>
      </c>
      <c r="P473" s="38">
        <v>44277.582315590284</v>
      </c>
      <c r="Q473">
        <v>3726643</v>
      </c>
      <c r="R473" t="s">
        <v>26</v>
      </c>
      <c r="S473" s="4">
        <v>1631.8523768299999</v>
      </c>
      <c r="W473"/>
      <c r="X473">
        <v>0</v>
      </c>
      <c r="AC473" t="s">
        <v>84</v>
      </c>
      <c r="AD473" s="38">
        <v>43922</v>
      </c>
    </row>
    <row r="474" spans="1:30" x14ac:dyDescent="0.25">
      <c r="A474">
        <v>394050</v>
      </c>
      <c r="B474" t="s">
        <v>209</v>
      </c>
      <c r="C474">
        <v>2020</v>
      </c>
      <c r="D474">
        <v>4</v>
      </c>
      <c r="E474" t="s">
        <v>88</v>
      </c>
      <c r="F474" t="s">
        <v>84</v>
      </c>
      <c r="G474" t="s">
        <v>84</v>
      </c>
      <c r="H474" t="s">
        <v>25</v>
      </c>
      <c r="I474" t="s">
        <v>25</v>
      </c>
      <c r="J474" t="s">
        <v>101</v>
      </c>
      <c r="K474" t="s">
        <v>88</v>
      </c>
      <c r="L474" t="s">
        <v>103</v>
      </c>
      <c r="M474">
        <v>823.93457666999996</v>
      </c>
      <c r="N474">
        <v>0</v>
      </c>
      <c r="O474" t="s">
        <v>80</v>
      </c>
      <c r="P474" s="38">
        <v>44277.582317094908</v>
      </c>
      <c r="Q474">
        <v>3726763</v>
      </c>
      <c r="R474" t="s">
        <v>26</v>
      </c>
      <c r="S474" s="4">
        <v>498.56069681000002</v>
      </c>
      <c r="W474"/>
      <c r="X474">
        <v>0</v>
      </c>
      <c r="AC474" t="s">
        <v>84</v>
      </c>
      <c r="AD474" s="38">
        <v>43922</v>
      </c>
    </row>
    <row r="475" spans="1:30" x14ac:dyDescent="0.25">
      <c r="A475">
        <v>394074</v>
      </c>
      <c r="B475" t="s">
        <v>209</v>
      </c>
      <c r="C475">
        <v>2020</v>
      </c>
      <c r="D475">
        <v>4</v>
      </c>
      <c r="E475" t="s">
        <v>90</v>
      </c>
      <c r="F475" t="s">
        <v>84</v>
      </c>
      <c r="G475" t="s">
        <v>84</v>
      </c>
      <c r="H475" t="s">
        <v>25</v>
      </c>
      <c r="I475" t="s">
        <v>25</v>
      </c>
      <c r="J475" t="s">
        <v>101</v>
      </c>
      <c r="K475" t="s">
        <v>90</v>
      </c>
      <c r="L475" t="s">
        <v>103</v>
      </c>
      <c r="M475">
        <v>1607.7261362300001</v>
      </c>
      <c r="N475">
        <v>0</v>
      </c>
      <c r="O475" t="s">
        <v>80</v>
      </c>
      <c r="P475" s="38">
        <v>44277.582318402783</v>
      </c>
      <c r="Q475">
        <v>3726883</v>
      </c>
      <c r="R475" t="s">
        <v>26</v>
      </c>
      <c r="S475" s="4">
        <v>803.64159888999995</v>
      </c>
      <c r="W475"/>
      <c r="X475">
        <v>0</v>
      </c>
      <c r="AC475" t="s">
        <v>84</v>
      </c>
      <c r="AD475" s="38">
        <v>43922</v>
      </c>
    </row>
    <row r="476" spans="1:30" x14ac:dyDescent="0.25">
      <c r="A476">
        <v>394050</v>
      </c>
      <c r="B476" t="s">
        <v>209</v>
      </c>
      <c r="C476">
        <v>2020</v>
      </c>
      <c r="D476">
        <v>4</v>
      </c>
      <c r="E476" t="s">
        <v>88</v>
      </c>
      <c r="F476" t="s">
        <v>84</v>
      </c>
      <c r="G476" t="s">
        <v>84</v>
      </c>
      <c r="H476" t="s">
        <v>25</v>
      </c>
      <c r="I476" t="s">
        <v>25</v>
      </c>
      <c r="J476" t="s">
        <v>101</v>
      </c>
      <c r="K476" t="s">
        <v>88</v>
      </c>
      <c r="L476" t="s">
        <v>103</v>
      </c>
      <c r="M476">
        <v>823.93457666999996</v>
      </c>
      <c r="N476">
        <v>0</v>
      </c>
      <c r="O476" t="s">
        <v>80</v>
      </c>
      <c r="P476" s="38">
        <v>44277.582317094908</v>
      </c>
      <c r="Q476">
        <v>3726766</v>
      </c>
      <c r="R476" t="s">
        <v>81</v>
      </c>
      <c r="S476" s="4">
        <v>45.295816449999997</v>
      </c>
      <c r="W476"/>
      <c r="X476">
        <v>0</v>
      </c>
      <c r="AC476" t="s">
        <v>84</v>
      </c>
      <c r="AD476" s="38">
        <v>43922</v>
      </c>
    </row>
    <row r="477" spans="1:30" x14ac:dyDescent="0.25">
      <c r="A477">
        <v>394074</v>
      </c>
      <c r="B477" t="s">
        <v>209</v>
      </c>
      <c r="C477">
        <v>2020</v>
      </c>
      <c r="D477">
        <v>4</v>
      </c>
      <c r="E477" t="s">
        <v>90</v>
      </c>
      <c r="F477" t="s">
        <v>84</v>
      </c>
      <c r="G477" t="s">
        <v>84</v>
      </c>
      <c r="H477" t="s">
        <v>25</v>
      </c>
      <c r="I477" t="s">
        <v>25</v>
      </c>
      <c r="J477" t="s">
        <v>101</v>
      </c>
      <c r="K477" t="s">
        <v>90</v>
      </c>
      <c r="L477" t="s">
        <v>103</v>
      </c>
      <c r="M477">
        <v>1607.7261362300001</v>
      </c>
      <c r="N477">
        <v>0</v>
      </c>
      <c r="O477" t="s">
        <v>80</v>
      </c>
      <c r="P477" s="38">
        <v>44277.582318402783</v>
      </c>
      <c r="Q477">
        <v>3726886</v>
      </c>
      <c r="R477" t="s">
        <v>81</v>
      </c>
      <c r="S477" s="4">
        <v>97.672087250000004</v>
      </c>
      <c r="W477"/>
      <c r="X477">
        <v>0</v>
      </c>
      <c r="AC477" t="s">
        <v>84</v>
      </c>
      <c r="AD477" s="38">
        <v>43922</v>
      </c>
    </row>
    <row r="478" spans="1:30" x14ac:dyDescent="0.25">
      <c r="A478">
        <v>394026</v>
      </c>
      <c r="B478" t="s">
        <v>209</v>
      </c>
      <c r="C478">
        <v>2020</v>
      </c>
      <c r="D478">
        <v>4</v>
      </c>
      <c r="E478" t="s">
        <v>86</v>
      </c>
      <c r="F478" t="s">
        <v>84</v>
      </c>
      <c r="G478" t="s">
        <v>84</v>
      </c>
      <c r="H478" t="s">
        <v>25</v>
      </c>
      <c r="I478" t="s">
        <v>25</v>
      </c>
      <c r="J478" t="s">
        <v>101</v>
      </c>
      <c r="K478" t="s">
        <v>86</v>
      </c>
      <c r="L478" t="s">
        <v>103</v>
      </c>
      <c r="M478">
        <v>3484.5644192300001</v>
      </c>
      <c r="N478">
        <v>0</v>
      </c>
      <c r="O478" t="s">
        <v>80</v>
      </c>
      <c r="P478" s="38">
        <v>44277.582315590284</v>
      </c>
      <c r="Q478">
        <v>3726646</v>
      </c>
      <c r="R478" t="s">
        <v>81</v>
      </c>
      <c r="S478" s="4">
        <v>286.52699096999999</v>
      </c>
      <c r="W478"/>
      <c r="X478">
        <v>0</v>
      </c>
      <c r="AC478" t="s">
        <v>84</v>
      </c>
      <c r="AD478" s="38">
        <v>43922</v>
      </c>
    </row>
    <row r="479" spans="1:30" x14ac:dyDescent="0.25">
      <c r="A479">
        <v>394026</v>
      </c>
      <c r="B479" t="s">
        <v>209</v>
      </c>
      <c r="C479">
        <v>2020</v>
      </c>
      <c r="D479">
        <v>4</v>
      </c>
      <c r="E479" t="s">
        <v>86</v>
      </c>
      <c r="F479" t="s">
        <v>84</v>
      </c>
      <c r="G479" t="s">
        <v>84</v>
      </c>
      <c r="H479" t="s">
        <v>25</v>
      </c>
      <c r="I479" t="s">
        <v>25</v>
      </c>
      <c r="J479" t="s">
        <v>101</v>
      </c>
      <c r="K479" t="s">
        <v>86</v>
      </c>
      <c r="L479" t="s">
        <v>103</v>
      </c>
      <c r="M479">
        <v>3484.5644192300001</v>
      </c>
      <c r="N479">
        <v>0</v>
      </c>
      <c r="O479" t="s">
        <v>80</v>
      </c>
      <c r="P479" s="38">
        <v>44277.582315590284</v>
      </c>
      <c r="Q479">
        <v>3726645</v>
      </c>
      <c r="R479" t="s">
        <v>27</v>
      </c>
      <c r="S479" s="4">
        <v>1623.2323940599999</v>
      </c>
      <c r="W479"/>
      <c r="X479">
        <v>0</v>
      </c>
      <c r="AC479" t="s">
        <v>84</v>
      </c>
      <c r="AD479" s="38">
        <v>43922</v>
      </c>
    </row>
    <row r="480" spans="1:30" x14ac:dyDescent="0.25">
      <c r="A480">
        <v>394074</v>
      </c>
      <c r="B480" t="s">
        <v>209</v>
      </c>
      <c r="C480">
        <v>2020</v>
      </c>
      <c r="D480">
        <v>4</v>
      </c>
      <c r="E480" t="s">
        <v>90</v>
      </c>
      <c r="F480" t="s">
        <v>84</v>
      </c>
      <c r="G480" t="s">
        <v>84</v>
      </c>
      <c r="H480" t="s">
        <v>25</v>
      </c>
      <c r="I480" t="s">
        <v>25</v>
      </c>
      <c r="J480" t="s">
        <v>101</v>
      </c>
      <c r="K480" t="s">
        <v>90</v>
      </c>
      <c r="L480" t="s">
        <v>103</v>
      </c>
      <c r="M480">
        <v>1607.7261362300001</v>
      </c>
      <c r="N480">
        <v>0</v>
      </c>
      <c r="O480" t="s">
        <v>80</v>
      </c>
      <c r="P480" s="38">
        <v>44277.582318402783</v>
      </c>
      <c r="Q480">
        <v>3726885</v>
      </c>
      <c r="R480" t="s">
        <v>27</v>
      </c>
      <c r="S480" s="4">
        <v>734.67057981999994</v>
      </c>
      <c r="W480"/>
      <c r="X480">
        <v>0</v>
      </c>
      <c r="AC480" t="s">
        <v>84</v>
      </c>
      <c r="AD480" s="38">
        <v>43922</v>
      </c>
    </row>
    <row r="481" spans="1:30" x14ac:dyDescent="0.25">
      <c r="A481">
        <v>394050</v>
      </c>
      <c r="B481" t="s">
        <v>209</v>
      </c>
      <c r="C481">
        <v>2020</v>
      </c>
      <c r="D481">
        <v>4</v>
      </c>
      <c r="E481" t="s">
        <v>88</v>
      </c>
      <c r="F481" t="s">
        <v>84</v>
      </c>
      <c r="G481" t="s">
        <v>84</v>
      </c>
      <c r="H481" t="s">
        <v>25</v>
      </c>
      <c r="I481" t="s">
        <v>25</v>
      </c>
      <c r="J481" t="s">
        <v>101</v>
      </c>
      <c r="K481" t="s">
        <v>88</v>
      </c>
      <c r="L481" t="s">
        <v>103</v>
      </c>
      <c r="M481">
        <v>823.93457666999996</v>
      </c>
      <c r="N481">
        <v>0</v>
      </c>
      <c r="O481" t="s">
        <v>80</v>
      </c>
      <c r="P481" s="38">
        <v>44277.582317094908</v>
      </c>
      <c r="Q481">
        <v>3726765</v>
      </c>
      <c r="R481" t="s">
        <v>27</v>
      </c>
      <c r="S481" s="4">
        <v>297.37225604999998</v>
      </c>
      <c r="W481"/>
      <c r="X481">
        <v>0</v>
      </c>
      <c r="AC481" t="s">
        <v>84</v>
      </c>
      <c r="AD481" s="38">
        <v>43922</v>
      </c>
    </row>
    <row r="482" spans="1:30" x14ac:dyDescent="0.25">
      <c r="A482">
        <v>394026</v>
      </c>
      <c r="B482" t="s">
        <v>209</v>
      </c>
      <c r="C482">
        <v>2020</v>
      </c>
      <c r="D482">
        <v>4</v>
      </c>
      <c r="E482" t="s">
        <v>86</v>
      </c>
      <c r="F482" t="s">
        <v>84</v>
      </c>
      <c r="G482" t="s">
        <v>84</v>
      </c>
      <c r="H482" t="s">
        <v>25</v>
      </c>
      <c r="I482" t="s">
        <v>25</v>
      </c>
      <c r="J482" t="s">
        <v>101</v>
      </c>
      <c r="K482" t="s">
        <v>86</v>
      </c>
      <c r="L482" t="s">
        <v>103</v>
      </c>
      <c r="M482">
        <v>3484.5644192300001</v>
      </c>
      <c r="N482">
        <v>0</v>
      </c>
      <c r="O482" t="s">
        <v>80</v>
      </c>
      <c r="P482" s="38">
        <v>44277.582315590284</v>
      </c>
      <c r="Q482">
        <v>3726642</v>
      </c>
      <c r="R482" t="s">
        <v>91</v>
      </c>
      <c r="S482" s="4">
        <v>5.3005807200000001</v>
      </c>
      <c r="W482"/>
      <c r="X482">
        <v>0</v>
      </c>
      <c r="AC482" t="s">
        <v>84</v>
      </c>
      <c r="AD482" s="38">
        <v>43922</v>
      </c>
    </row>
    <row r="483" spans="1:30" x14ac:dyDescent="0.25">
      <c r="A483">
        <v>394050</v>
      </c>
      <c r="B483" t="s">
        <v>209</v>
      </c>
      <c r="C483">
        <v>2020</v>
      </c>
      <c r="D483">
        <v>4</v>
      </c>
      <c r="E483" t="s">
        <v>88</v>
      </c>
      <c r="F483" t="s">
        <v>84</v>
      </c>
      <c r="G483" t="s">
        <v>84</v>
      </c>
      <c r="H483" t="s">
        <v>25</v>
      </c>
      <c r="I483" t="s">
        <v>25</v>
      </c>
      <c r="J483" t="s">
        <v>101</v>
      </c>
      <c r="K483" t="s">
        <v>88</v>
      </c>
      <c r="L483" t="s">
        <v>103</v>
      </c>
      <c r="M483">
        <v>823.93457666999996</v>
      </c>
      <c r="N483">
        <v>0</v>
      </c>
      <c r="O483" t="s">
        <v>80</v>
      </c>
      <c r="P483" s="38">
        <v>44277.582317094908</v>
      </c>
      <c r="Q483">
        <v>3726762</v>
      </c>
      <c r="R483" t="s">
        <v>91</v>
      </c>
      <c r="S483" s="4">
        <v>0</v>
      </c>
      <c r="W483"/>
      <c r="X483">
        <v>0</v>
      </c>
      <c r="AC483" t="s">
        <v>84</v>
      </c>
      <c r="AD483" s="38">
        <v>43922</v>
      </c>
    </row>
    <row r="484" spans="1:30" x14ac:dyDescent="0.25">
      <c r="A484">
        <v>394074</v>
      </c>
      <c r="B484" t="s">
        <v>209</v>
      </c>
      <c r="C484">
        <v>2020</v>
      </c>
      <c r="D484">
        <v>4</v>
      </c>
      <c r="E484" t="s">
        <v>90</v>
      </c>
      <c r="F484" t="s">
        <v>84</v>
      </c>
      <c r="G484" t="s">
        <v>84</v>
      </c>
      <c r="H484" t="s">
        <v>25</v>
      </c>
      <c r="I484" t="s">
        <v>25</v>
      </c>
      <c r="J484" t="s">
        <v>101</v>
      </c>
      <c r="K484" t="s">
        <v>90</v>
      </c>
      <c r="L484" t="s">
        <v>103</v>
      </c>
      <c r="M484">
        <v>1607.7261362300001</v>
      </c>
      <c r="N484">
        <v>0</v>
      </c>
      <c r="O484" t="s">
        <v>80</v>
      </c>
      <c r="P484" s="38">
        <v>44277.582318402783</v>
      </c>
      <c r="Q484">
        <v>3726882</v>
      </c>
      <c r="R484" t="s">
        <v>91</v>
      </c>
      <c r="S484" s="4">
        <v>0.84228893000000005</v>
      </c>
      <c r="W484"/>
      <c r="X484">
        <v>0</v>
      </c>
      <c r="AC484" t="s">
        <v>84</v>
      </c>
      <c r="AD484" s="38">
        <v>43922</v>
      </c>
    </row>
    <row r="485" spans="1:30" x14ac:dyDescent="0.25">
      <c r="A485">
        <v>394074</v>
      </c>
      <c r="B485" t="s">
        <v>209</v>
      </c>
      <c r="C485">
        <v>2020</v>
      </c>
      <c r="D485">
        <v>4</v>
      </c>
      <c r="E485" t="s">
        <v>90</v>
      </c>
      <c r="F485" t="s">
        <v>84</v>
      </c>
      <c r="G485" t="s">
        <v>84</v>
      </c>
      <c r="H485" t="s">
        <v>25</v>
      </c>
      <c r="I485" t="s">
        <v>25</v>
      </c>
      <c r="J485" t="s">
        <v>101</v>
      </c>
      <c r="K485" t="s">
        <v>90</v>
      </c>
      <c r="L485" t="s">
        <v>103</v>
      </c>
      <c r="M485">
        <v>1607.7261362300001</v>
      </c>
      <c r="N485">
        <v>0</v>
      </c>
      <c r="O485" t="s">
        <v>80</v>
      </c>
      <c r="P485" s="38">
        <v>44277.582318402783</v>
      </c>
      <c r="Q485">
        <v>3726884</v>
      </c>
      <c r="R485" t="s">
        <v>28</v>
      </c>
      <c r="S485" s="4">
        <v>4.6453741400000004</v>
      </c>
      <c r="W485"/>
      <c r="X485">
        <v>0</v>
      </c>
      <c r="AC485" t="s">
        <v>84</v>
      </c>
      <c r="AD485" s="38">
        <v>43922</v>
      </c>
    </row>
    <row r="486" spans="1:30" x14ac:dyDescent="0.25">
      <c r="A486">
        <v>394026</v>
      </c>
      <c r="B486" t="s">
        <v>209</v>
      </c>
      <c r="C486">
        <v>2020</v>
      </c>
      <c r="D486">
        <v>4</v>
      </c>
      <c r="E486" t="s">
        <v>86</v>
      </c>
      <c r="F486" t="s">
        <v>84</v>
      </c>
      <c r="G486" t="s">
        <v>84</v>
      </c>
      <c r="H486" t="s">
        <v>25</v>
      </c>
      <c r="I486" t="s">
        <v>25</v>
      </c>
      <c r="J486" t="s">
        <v>101</v>
      </c>
      <c r="K486" t="s">
        <v>86</v>
      </c>
      <c r="L486" t="s">
        <v>103</v>
      </c>
      <c r="M486">
        <v>3484.5644192300001</v>
      </c>
      <c r="N486">
        <v>0</v>
      </c>
      <c r="O486" t="s">
        <v>80</v>
      </c>
      <c r="P486" s="38">
        <v>44277.582315590284</v>
      </c>
      <c r="Q486">
        <v>3726644</v>
      </c>
      <c r="R486" t="s">
        <v>28</v>
      </c>
      <c r="S486" s="4">
        <v>10.79226281</v>
      </c>
      <c r="W486"/>
      <c r="X486">
        <v>0</v>
      </c>
      <c r="AC486" t="s">
        <v>84</v>
      </c>
      <c r="AD486" s="38">
        <v>43922</v>
      </c>
    </row>
    <row r="487" spans="1:30" x14ac:dyDescent="0.25">
      <c r="A487">
        <v>394050</v>
      </c>
      <c r="B487" t="s">
        <v>209</v>
      </c>
      <c r="C487">
        <v>2020</v>
      </c>
      <c r="D487">
        <v>4</v>
      </c>
      <c r="E487" t="s">
        <v>88</v>
      </c>
      <c r="F487" t="s">
        <v>84</v>
      </c>
      <c r="G487" t="s">
        <v>84</v>
      </c>
      <c r="H487" t="s">
        <v>25</v>
      </c>
      <c r="I487" t="s">
        <v>25</v>
      </c>
      <c r="J487" t="s">
        <v>101</v>
      </c>
      <c r="K487" t="s">
        <v>88</v>
      </c>
      <c r="L487" t="s">
        <v>103</v>
      </c>
      <c r="M487">
        <v>823.93457666999996</v>
      </c>
      <c r="N487">
        <v>0</v>
      </c>
      <c r="O487" t="s">
        <v>80</v>
      </c>
      <c r="P487" s="38">
        <v>44277.582317094908</v>
      </c>
      <c r="Q487">
        <v>3726764</v>
      </c>
      <c r="R487" t="s">
        <v>28</v>
      </c>
      <c r="S487" s="4">
        <v>0</v>
      </c>
      <c r="W487"/>
      <c r="X487">
        <v>0</v>
      </c>
      <c r="AC487" t="s">
        <v>84</v>
      </c>
      <c r="AD487" s="38">
        <v>43922</v>
      </c>
    </row>
    <row r="488" spans="1:30" x14ac:dyDescent="0.25">
      <c r="A488">
        <v>407266</v>
      </c>
      <c r="B488" t="s">
        <v>216</v>
      </c>
      <c r="C488">
        <v>2020</v>
      </c>
      <c r="D488">
        <v>5</v>
      </c>
      <c r="E488" t="s">
        <v>86</v>
      </c>
      <c r="F488" t="s">
        <v>84</v>
      </c>
      <c r="G488" t="s">
        <v>84</v>
      </c>
      <c r="H488" t="s">
        <v>25</v>
      </c>
      <c r="I488" t="s">
        <v>25</v>
      </c>
      <c r="J488" t="s">
        <v>101</v>
      </c>
      <c r="K488" t="s">
        <v>86</v>
      </c>
      <c r="L488" t="s">
        <v>103</v>
      </c>
      <c r="M488">
        <v>3354.2577029700001</v>
      </c>
      <c r="N488">
        <v>0</v>
      </c>
      <c r="O488" t="s">
        <v>80</v>
      </c>
      <c r="P488" s="38">
        <v>44277.584026157398</v>
      </c>
      <c r="Q488">
        <v>3853715</v>
      </c>
      <c r="R488" t="s">
        <v>26</v>
      </c>
      <c r="S488" s="4">
        <v>1570.8285876100001</v>
      </c>
      <c r="W488"/>
      <c r="X488">
        <v>0</v>
      </c>
      <c r="AC488" t="s">
        <v>84</v>
      </c>
      <c r="AD488" s="38">
        <v>43952</v>
      </c>
    </row>
    <row r="489" spans="1:30" x14ac:dyDescent="0.25">
      <c r="A489">
        <v>407314</v>
      </c>
      <c r="B489" t="s">
        <v>216</v>
      </c>
      <c r="C489">
        <v>2020</v>
      </c>
      <c r="D489">
        <v>5</v>
      </c>
      <c r="E489" t="s">
        <v>90</v>
      </c>
      <c r="F489" t="s">
        <v>84</v>
      </c>
      <c r="G489" t="s">
        <v>84</v>
      </c>
      <c r="H489" t="s">
        <v>25</v>
      </c>
      <c r="I489" t="s">
        <v>25</v>
      </c>
      <c r="J489" t="s">
        <v>101</v>
      </c>
      <c r="K489" t="s">
        <v>90</v>
      </c>
      <c r="L489" t="s">
        <v>103</v>
      </c>
      <c r="M489">
        <v>1619.1342777699999</v>
      </c>
      <c r="N489">
        <v>0</v>
      </c>
      <c r="O489" t="s">
        <v>80</v>
      </c>
      <c r="P489" s="38">
        <v>44277.58402881943</v>
      </c>
      <c r="Q489">
        <v>3853955</v>
      </c>
      <c r="R489" t="s">
        <v>26</v>
      </c>
      <c r="S489" s="4">
        <v>809.34409816000004</v>
      </c>
      <c r="W489"/>
      <c r="X489">
        <v>0</v>
      </c>
      <c r="AC489" t="s">
        <v>84</v>
      </c>
      <c r="AD489" s="38">
        <v>43952</v>
      </c>
    </row>
    <row r="490" spans="1:30" x14ac:dyDescent="0.25">
      <c r="A490">
        <v>407290</v>
      </c>
      <c r="B490" t="s">
        <v>216</v>
      </c>
      <c r="C490">
        <v>2020</v>
      </c>
      <c r="D490">
        <v>5</v>
      </c>
      <c r="E490" t="s">
        <v>88</v>
      </c>
      <c r="F490" t="s">
        <v>84</v>
      </c>
      <c r="G490" t="s">
        <v>84</v>
      </c>
      <c r="H490" t="s">
        <v>25</v>
      </c>
      <c r="I490" t="s">
        <v>25</v>
      </c>
      <c r="J490" t="s">
        <v>101</v>
      </c>
      <c r="K490" t="s">
        <v>88</v>
      </c>
      <c r="L490" t="s">
        <v>103</v>
      </c>
      <c r="M490">
        <v>687.81619663000004</v>
      </c>
      <c r="N490">
        <v>0</v>
      </c>
      <c r="O490" t="s">
        <v>80</v>
      </c>
      <c r="P490" s="38">
        <v>44277.584027546298</v>
      </c>
      <c r="Q490">
        <v>3853835</v>
      </c>
      <c r="R490" t="s">
        <v>26</v>
      </c>
      <c r="S490" s="4">
        <v>416.19581455000002</v>
      </c>
      <c r="W490"/>
      <c r="X490">
        <v>0</v>
      </c>
      <c r="AC490" t="s">
        <v>84</v>
      </c>
      <c r="AD490" s="38">
        <v>43952</v>
      </c>
    </row>
    <row r="491" spans="1:30" x14ac:dyDescent="0.25">
      <c r="A491">
        <v>407314</v>
      </c>
      <c r="B491" t="s">
        <v>216</v>
      </c>
      <c r="C491">
        <v>2020</v>
      </c>
      <c r="D491">
        <v>5</v>
      </c>
      <c r="E491" t="s">
        <v>90</v>
      </c>
      <c r="F491" t="s">
        <v>84</v>
      </c>
      <c r="G491" t="s">
        <v>84</v>
      </c>
      <c r="H491" t="s">
        <v>25</v>
      </c>
      <c r="I491" t="s">
        <v>25</v>
      </c>
      <c r="J491" t="s">
        <v>101</v>
      </c>
      <c r="K491" t="s">
        <v>90</v>
      </c>
      <c r="L491" t="s">
        <v>103</v>
      </c>
      <c r="M491">
        <v>1619.1342777699999</v>
      </c>
      <c r="N491">
        <v>0</v>
      </c>
      <c r="O491" t="s">
        <v>80</v>
      </c>
      <c r="P491" s="38">
        <v>44277.58402881943</v>
      </c>
      <c r="Q491">
        <v>3853958</v>
      </c>
      <c r="R491" t="s">
        <v>81</v>
      </c>
      <c r="S491" s="4">
        <v>98.365151179999998</v>
      </c>
      <c r="W491"/>
      <c r="X491">
        <v>0</v>
      </c>
      <c r="AC491" t="s">
        <v>84</v>
      </c>
      <c r="AD491" s="38">
        <v>43952</v>
      </c>
    </row>
    <row r="492" spans="1:30" x14ac:dyDescent="0.25">
      <c r="A492">
        <v>407290</v>
      </c>
      <c r="B492" t="s">
        <v>216</v>
      </c>
      <c r="C492">
        <v>2020</v>
      </c>
      <c r="D492">
        <v>5</v>
      </c>
      <c r="E492" t="s">
        <v>88</v>
      </c>
      <c r="F492" t="s">
        <v>84</v>
      </c>
      <c r="G492" t="s">
        <v>84</v>
      </c>
      <c r="H492" t="s">
        <v>25</v>
      </c>
      <c r="I492" t="s">
        <v>25</v>
      </c>
      <c r="J492" t="s">
        <v>101</v>
      </c>
      <c r="K492" t="s">
        <v>88</v>
      </c>
      <c r="L492" t="s">
        <v>103</v>
      </c>
      <c r="M492">
        <v>687.81619663000004</v>
      </c>
      <c r="N492">
        <v>0</v>
      </c>
      <c r="O492" t="s">
        <v>80</v>
      </c>
      <c r="P492" s="38">
        <v>44277.584027546298</v>
      </c>
      <c r="Q492">
        <v>3853838</v>
      </c>
      <c r="R492" t="s">
        <v>81</v>
      </c>
      <c r="S492" s="4">
        <v>37.812706349999999</v>
      </c>
      <c r="W492"/>
      <c r="X492">
        <v>0</v>
      </c>
      <c r="AC492" t="s">
        <v>84</v>
      </c>
      <c r="AD492" s="38">
        <v>43952</v>
      </c>
    </row>
    <row r="493" spans="1:30" x14ac:dyDescent="0.25">
      <c r="A493">
        <v>407266</v>
      </c>
      <c r="B493" t="s">
        <v>216</v>
      </c>
      <c r="C493">
        <v>2020</v>
      </c>
      <c r="D493">
        <v>5</v>
      </c>
      <c r="E493" t="s">
        <v>86</v>
      </c>
      <c r="F493" t="s">
        <v>84</v>
      </c>
      <c r="G493" t="s">
        <v>84</v>
      </c>
      <c r="H493" t="s">
        <v>25</v>
      </c>
      <c r="I493" t="s">
        <v>25</v>
      </c>
      <c r="J493" t="s">
        <v>101</v>
      </c>
      <c r="K493" t="s">
        <v>86</v>
      </c>
      <c r="L493" t="s">
        <v>103</v>
      </c>
      <c r="M493">
        <v>3354.2577029700001</v>
      </c>
      <c r="N493">
        <v>0</v>
      </c>
      <c r="O493" t="s">
        <v>80</v>
      </c>
      <c r="P493" s="38">
        <v>44277.584026157398</v>
      </c>
      <c r="Q493">
        <v>3853718</v>
      </c>
      <c r="R493" t="s">
        <v>81</v>
      </c>
      <c r="S493" s="4">
        <v>275.81219657000003</v>
      </c>
      <c r="W493"/>
      <c r="X493">
        <v>0</v>
      </c>
      <c r="AC493" t="s">
        <v>84</v>
      </c>
      <c r="AD493" s="38">
        <v>43952</v>
      </c>
    </row>
    <row r="494" spans="1:30" x14ac:dyDescent="0.25">
      <c r="A494">
        <v>407266</v>
      </c>
      <c r="B494" t="s">
        <v>216</v>
      </c>
      <c r="C494">
        <v>2020</v>
      </c>
      <c r="D494">
        <v>5</v>
      </c>
      <c r="E494" t="s">
        <v>86</v>
      </c>
      <c r="F494" t="s">
        <v>84</v>
      </c>
      <c r="G494" t="s">
        <v>84</v>
      </c>
      <c r="H494" t="s">
        <v>25</v>
      </c>
      <c r="I494" t="s">
        <v>25</v>
      </c>
      <c r="J494" t="s">
        <v>101</v>
      </c>
      <c r="K494" t="s">
        <v>86</v>
      </c>
      <c r="L494" t="s">
        <v>103</v>
      </c>
      <c r="M494">
        <v>3354.2577029700001</v>
      </c>
      <c r="N494">
        <v>0</v>
      </c>
      <c r="O494" t="s">
        <v>80</v>
      </c>
      <c r="P494" s="38">
        <v>44277.584026157398</v>
      </c>
      <c r="Q494">
        <v>3853717</v>
      </c>
      <c r="R494" t="s">
        <v>27</v>
      </c>
      <c r="S494" s="4">
        <v>1562.53095263</v>
      </c>
      <c r="W494"/>
      <c r="X494">
        <v>0</v>
      </c>
      <c r="AC494" t="s">
        <v>84</v>
      </c>
      <c r="AD494" s="38">
        <v>43952</v>
      </c>
    </row>
    <row r="495" spans="1:30" x14ac:dyDescent="0.25">
      <c r="A495">
        <v>407290</v>
      </c>
      <c r="B495" t="s">
        <v>216</v>
      </c>
      <c r="C495">
        <v>2020</v>
      </c>
      <c r="D495">
        <v>5</v>
      </c>
      <c r="E495" t="s">
        <v>88</v>
      </c>
      <c r="F495" t="s">
        <v>84</v>
      </c>
      <c r="G495" t="s">
        <v>84</v>
      </c>
      <c r="H495" t="s">
        <v>25</v>
      </c>
      <c r="I495" t="s">
        <v>25</v>
      </c>
      <c r="J495" t="s">
        <v>101</v>
      </c>
      <c r="K495" t="s">
        <v>88</v>
      </c>
      <c r="L495" t="s">
        <v>103</v>
      </c>
      <c r="M495">
        <v>687.81619663000004</v>
      </c>
      <c r="N495">
        <v>0</v>
      </c>
      <c r="O495" t="s">
        <v>80</v>
      </c>
      <c r="P495" s="38">
        <v>44277.584027546298</v>
      </c>
      <c r="Q495">
        <v>3853837</v>
      </c>
      <c r="R495" t="s">
        <v>27</v>
      </c>
      <c r="S495" s="4">
        <v>248.24477565000001</v>
      </c>
      <c r="W495"/>
      <c r="X495">
        <v>0</v>
      </c>
      <c r="AC495" t="s">
        <v>84</v>
      </c>
      <c r="AD495" s="38">
        <v>43952</v>
      </c>
    </row>
    <row r="496" spans="1:30" x14ac:dyDescent="0.25">
      <c r="A496">
        <v>407314</v>
      </c>
      <c r="B496" t="s">
        <v>216</v>
      </c>
      <c r="C496">
        <v>2020</v>
      </c>
      <c r="D496">
        <v>5</v>
      </c>
      <c r="E496" t="s">
        <v>90</v>
      </c>
      <c r="F496" t="s">
        <v>84</v>
      </c>
      <c r="G496" t="s">
        <v>84</v>
      </c>
      <c r="H496" t="s">
        <v>25</v>
      </c>
      <c r="I496" t="s">
        <v>25</v>
      </c>
      <c r="J496" t="s">
        <v>101</v>
      </c>
      <c r="K496" t="s">
        <v>90</v>
      </c>
      <c r="L496" t="s">
        <v>103</v>
      </c>
      <c r="M496">
        <v>1619.1342777699999</v>
      </c>
      <c r="N496">
        <v>0</v>
      </c>
      <c r="O496" t="s">
        <v>80</v>
      </c>
      <c r="P496" s="38">
        <v>44277.58402881943</v>
      </c>
      <c r="Q496">
        <v>3853957</v>
      </c>
      <c r="R496" t="s">
        <v>27</v>
      </c>
      <c r="S496" s="4">
        <v>739.88367287000005</v>
      </c>
      <c r="W496"/>
      <c r="X496">
        <v>0</v>
      </c>
      <c r="AC496" t="s">
        <v>84</v>
      </c>
      <c r="AD496" s="38">
        <v>43952</v>
      </c>
    </row>
    <row r="497" spans="1:30" x14ac:dyDescent="0.25">
      <c r="A497">
        <v>407290</v>
      </c>
      <c r="B497" t="s">
        <v>216</v>
      </c>
      <c r="C497">
        <v>2020</v>
      </c>
      <c r="D497">
        <v>5</v>
      </c>
      <c r="E497" t="s">
        <v>88</v>
      </c>
      <c r="F497" t="s">
        <v>84</v>
      </c>
      <c r="G497" t="s">
        <v>84</v>
      </c>
      <c r="H497" t="s">
        <v>25</v>
      </c>
      <c r="I497" t="s">
        <v>25</v>
      </c>
      <c r="J497" t="s">
        <v>101</v>
      </c>
      <c r="K497" t="s">
        <v>88</v>
      </c>
      <c r="L497" t="s">
        <v>103</v>
      </c>
      <c r="M497">
        <v>687.81619663000004</v>
      </c>
      <c r="N497">
        <v>0</v>
      </c>
      <c r="O497" t="s">
        <v>80</v>
      </c>
      <c r="P497" s="38">
        <v>44277.584027546298</v>
      </c>
      <c r="Q497">
        <v>3853834</v>
      </c>
      <c r="R497" t="s">
        <v>91</v>
      </c>
      <c r="S497" s="4">
        <v>0</v>
      </c>
      <c r="W497"/>
      <c r="X497">
        <v>0</v>
      </c>
      <c r="AC497" t="s">
        <v>84</v>
      </c>
      <c r="AD497" s="38">
        <v>43952</v>
      </c>
    </row>
    <row r="498" spans="1:30" x14ac:dyDescent="0.25">
      <c r="A498">
        <v>407314</v>
      </c>
      <c r="B498" t="s">
        <v>216</v>
      </c>
      <c r="C498">
        <v>2020</v>
      </c>
      <c r="D498">
        <v>5</v>
      </c>
      <c r="E498" t="s">
        <v>90</v>
      </c>
      <c r="F498" t="s">
        <v>84</v>
      </c>
      <c r="G498" t="s">
        <v>84</v>
      </c>
      <c r="H498" t="s">
        <v>25</v>
      </c>
      <c r="I498" t="s">
        <v>25</v>
      </c>
      <c r="J498" t="s">
        <v>101</v>
      </c>
      <c r="K498" t="s">
        <v>90</v>
      </c>
      <c r="L498" t="s">
        <v>103</v>
      </c>
      <c r="M498">
        <v>1619.1342777699999</v>
      </c>
      <c r="N498">
        <v>0</v>
      </c>
      <c r="O498" t="s">
        <v>80</v>
      </c>
      <c r="P498" s="38">
        <v>44277.58402881943</v>
      </c>
      <c r="Q498">
        <v>3853954</v>
      </c>
      <c r="R498" t="s">
        <v>91</v>
      </c>
      <c r="S498" s="4">
        <v>0.84826566000000003</v>
      </c>
      <c r="W498"/>
      <c r="X498">
        <v>0</v>
      </c>
      <c r="AC498" t="s">
        <v>84</v>
      </c>
      <c r="AD498" s="38">
        <v>43952</v>
      </c>
    </row>
    <row r="499" spans="1:30" x14ac:dyDescent="0.25">
      <c r="A499">
        <v>407266</v>
      </c>
      <c r="B499" t="s">
        <v>216</v>
      </c>
      <c r="C499">
        <v>2020</v>
      </c>
      <c r="D499">
        <v>5</v>
      </c>
      <c r="E499" t="s">
        <v>86</v>
      </c>
      <c r="F499" t="s">
        <v>84</v>
      </c>
      <c r="G499" t="s">
        <v>84</v>
      </c>
      <c r="H499" t="s">
        <v>25</v>
      </c>
      <c r="I499" t="s">
        <v>25</v>
      </c>
      <c r="J499" t="s">
        <v>101</v>
      </c>
      <c r="K499" t="s">
        <v>86</v>
      </c>
      <c r="L499" t="s">
        <v>103</v>
      </c>
      <c r="M499">
        <v>3354.2577029700001</v>
      </c>
      <c r="N499">
        <v>0</v>
      </c>
      <c r="O499" t="s">
        <v>80</v>
      </c>
      <c r="P499" s="38">
        <v>44277.584026157398</v>
      </c>
      <c r="Q499">
        <v>3853714</v>
      </c>
      <c r="R499" t="s">
        <v>91</v>
      </c>
      <c r="S499" s="4">
        <v>5.1023633300000002</v>
      </c>
      <c r="W499"/>
      <c r="X499">
        <v>0</v>
      </c>
      <c r="AC499" t="s">
        <v>84</v>
      </c>
      <c r="AD499" s="38">
        <v>43952</v>
      </c>
    </row>
    <row r="500" spans="1:30" x14ac:dyDescent="0.25">
      <c r="A500">
        <v>407314</v>
      </c>
      <c r="B500" t="s">
        <v>216</v>
      </c>
      <c r="C500">
        <v>2020</v>
      </c>
      <c r="D500">
        <v>5</v>
      </c>
      <c r="E500" t="s">
        <v>90</v>
      </c>
      <c r="F500" t="s">
        <v>84</v>
      </c>
      <c r="G500" t="s">
        <v>84</v>
      </c>
      <c r="H500" t="s">
        <v>25</v>
      </c>
      <c r="I500" t="s">
        <v>25</v>
      </c>
      <c r="J500" t="s">
        <v>101</v>
      </c>
      <c r="K500" t="s">
        <v>90</v>
      </c>
      <c r="L500" t="s">
        <v>103</v>
      </c>
      <c r="M500">
        <v>1619.1342777699999</v>
      </c>
      <c r="N500">
        <v>0</v>
      </c>
      <c r="O500" t="s">
        <v>80</v>
      </c>
      <c r="P500" s="38">
        <v>44277.58402881943</v>
      </c>
      <c r="Q500">
        <v>3853956</v>
      </c>
      <c r="R500" t="s">
        <v>28</v>
      </c>
      <c r="S500" s="4">
        <v>4.6783368999999997</v>
      </c>
      <c r="W500"/>
      <c r="X500">
        <v>0</v>
      </c>
      <c r="AC500" t="s">
        <v>84</v>
      </c>
      <c r="AD500" s="38">
        <v>43952</v>
      </c>
    </row>
    <row r="501" spans="1:30" x14ac:dyDescent="0.25">
      <c r="A501">
        <v>407290</v>
      </c>
      <c r="B501" t="s">
        <v>216</v>
      </c>
      <c r="C501">
        <v>2020</v>
      </c>
      <c r="D501">
        <v>5</v>
      </c>
      <c r="E501" t="s">
        <v>88</v>
      </c>
      <c r="F501" t="s">
        <v>84</v>
      </c>
      <c r="G501" t="s">
        <v>84</v>
      </c>
      <c r="H501" t="s">
        <v>25</v>
      </c>
      <c r="I501" t="s">
        <v>25</v>
      </c>
      <c r="J501" t="s">
        <v>101</v>
      </c>
      <c r="K501" t="s">
        <v>88</v>
      </c>
      <c r="L501" t="s">
        <v>103</v>
      </c>
      <c r="M501">
        <v>687.81619663000004</v>
      </c>
      <c r="N501">
        <v>0</v>
      </c>
      <c r="O501" t="s">
        <v>80</v>
      </c>
      <c r="P501" s="38">
        <v>44277.584027546298</v>
      </c>
      <c r="Q501">
        <v>3853836</v>
      </c>
      <c r="R501" t="s">
        <v>28</v>
      </c>
      <c r="S501" s="4">
        <v>0</v>
      </c>
      <c r="W501"/>
      <c r="X501">
        <v>0</v>
      </c>
      <c r="AC501" t="s">
        <v>84</v>
      </c>
      <c r="AD501" s="38">
        <v>43952</v>
      </c>
    </row>
    <row r="502" spans="1:30" x14ac:dyDescent="0.25">
      <c r="A502">
        <v>407266</v>
      </c>
      <c r="B502" t="s">
        <v>216</v>
      </c>
      <c r="C502">
        <v>2020</v>
      </c>
      <c r="D502">
        <v>5</v>
      </c>
      <c r="E502" t="s">
        <v>86</v>
      </c>
      <c r="F502" t="s">
        <v>84</v>
      </c>
      <c r="G502" t="s">
        <v>84</v>
      </c>
      <c r="H502" t="s">
        <v>25</v>
      </c>
      <c r="I502" t="s">
        <v>25</v>
      </c>
      <c r="J502" t="s">
        <v>101</v>
      </c>
      <c r="K502" t="s">
        <v>86</v>
      </c>
      <c r="L502" t="s">
        <v>103</v>
      </c>
      <c r="M502">
        <v>3354.2577029700001</v>
      </c>
      <c r="N502">
        <v>0</v>
      </c>
      <c r="O502" t="s">
        <v>80</v>
      </c>
      <c r="P502" s="38">
        <v>44277.584026157398</v>
      </c>
      <c r="Q502">
        <v>3853716</v>
      </c>
      <c r="R502" t="s">
        <v>28</v>
      </c>
      <c r="S502" s="4">
        <v>10.388681719999999</v>
      </c>
      <c r="W502"/>
      <c r="X502">
        <v>0</v>
      </c>
      <c r="AC502" t="s">
        <v>84</v>
      </c>
      <c r="AD502" s="38">
        <v>43952</v>
      </c>
    </row>
    <row r="503" spans="1:30" x14ac:dyDescent="0.25">
      <c r="A503">
        <v>420554</v>
      </c>
      <c r="B503" t="s">
        <v>223</v>
      </c>
      <c r="C503">
        <v>2020</v>
      </c>
      <c r="D503">
        <v>6</v>
      </c>
      <c r="E503" t="s">
        <v>90</v>
      </c>
      <c r="F503" t="s">
        <v>84</v>
      </c>
      <c r="G503" t="s">
        <v>84</v>
      </c>
      <c r="H503" t="s">
        <v>25</v>
      </c>
      <c r="I503" t="s">
        <v>25</v>
      </c>
      <c r="J503" t="s">
        <v>101</v>
      </c>
      <c r="K503" t="s">
        <v>90</v>
      </c>
      <c r="L503" t="s">
        <v>103</v>
      </c>
      <c r="M503">
        <v>1684.49839561</v>
      </c>
      <c r="N503">
        <v>0</v>
      </c>
      <c r="O503" t="s">
        <v>80</v>
      </c>
      <c r="P503" s="38">
        <v>44277.585713425928</v>
      </c>
      <c r="Q503">
        <v>3981027</v>
      </c>
      <c r="R503" t="s">
        <v>26</v>
      </c>
      <c r="S503" s="4">
        <v>842.01715296999998</v>
      </c>
      <c r="W503"/>
      <c r="X503">
        <v>0</v>
      </c>
      <c r="AC503" t="s">
        <v>84</v>
      </c>
      <c r="AD503" s="38">
        <v>43983</v>
      </c>
    </row>
    <row r="504" spans="1:30" x14ac:dyDescent="0.25">
      <c r="A504">
        <v>420530</v>
      </c>
      <c r="B504" t="s">
        <v>223</v>
      </c>
      <c r="C504">
        <v>2020</v>
      </c>
      <c r="D504">
        <v>6</v>
      </c>
      <c r="E504" t="s">
        <v>88</v>
      </c>
      <c r="F504" t="s">
        <v>84</v>
      </c>
      <c r="G504" t="s">
        <v>84</v>
      </c>
      <c r="H504" t="s">
        <v>25</v>
      </c>
      <c r="I504" t="s">
        <v>25</v>
      </c>
      <c r="J504" t="s">
        <v>101</v>
      </c>
      <c r="K504" t="s">
        <v>88</v>
      </c>
      <c r="L504" t="s">
        <v>103</v>
      </c>
      <c r="M504">
        <v>573.77343242999996</v>
      </c>
      <c r="N504">
        <v>0</v>
      </c>
      <c r="O504" t="s">
        <v>80</v>
      </c>
      <c r="P504" s="38">
        <v>44277.585712268519</v>
      </c>
      <c r="Q504">
        <v>3980907</v>
      </c>
      <c r="R504" t="s">
        <v>26</v>
      </c>
      <c r="S504" s="4">
        <v>347.18883074000001</v>
      </c>
      <c r="W504"/>
      <c r="X504">
        <v>0</v>
      </c>
      <c r="AC504" t="s">
        <v>84</v>
      </c>
      <c r="AD504" s="38">
        <v>43983</v>
      </c>
    </row>
    <row r="505" spans="1:30" x14ac:dyDescent="0.25">
      <c r="A505">
        <v>420506</v>
      </c>
      <c r="B505" t="s">
        <v>223</v>
      </c>
      <c r="C505">
        <v>2020</v>
      </c>
      <c r="D505">
        <v>6</v>
      </c>
      <c r="E505" t="s">
        <v>86</v>
      </c>
      <c r="F505" t="s">
        <v>84</v>
      </c>
      <c r="G505" t="s">
        <v>84</v>
      </c>
      <c r="H505" t="s">
        <v>25</v>
      </c>
      <c r="I505" t="s">
        <v>25</v>
      </c>
      <c r="J505" t="s">
        <v>101</v>
      </c>
      <c r="K505" t="s">
        <v>86</v>
      </c>
      <c r="L505" t="s">
        <v>103</v>
      </c>
      <c r="M505">
        <v>2681.58003254</v>
      </c>
      <c r="N505">
        <v>0</v>
      </c>
      <c r="O505" t="s">
        <v>80</v>
      </c>
      <c r="P505" s="38">
        <v>44277.585711030093</v>
      </c>
      <c r="Q505">
        <v>3980787</v>
      </c>
      <c r="R505" t="s">
        <v>26</v>
      </c>
      <c r="S505" s="4">
        <v>1255.80767732</v>
      </c>
      <c r="W505"/>
      <c r="X505">
        <v>0</v>
      </c>
      <c r="AC505" t="s">
        <v>84</v>
      </c>
      <c r="AD505" s="38">
        <v>43983</v>
      </c>
    </row>
    <row r="506" spans="1:30" x14ac:dyDescent="0.25">
      <c r="A506">
        <v>420530</v>
      </c>
      <c r="B506" t="s">
        <v>223</v>
      </c>
      <c r="C506">
        <v>2020</v>
      </c>
      <c r="D506">
        <v>6</v>
      </c>
      <c r="E506" t="s">
        <v>88</v>
      </c>
      <c r="F506" t="s">
        <v>84</v>
      </c>
      <c r="G506" t="s">
        <v>84</v>
      </c>
      <c r="H506" t="s">
        <v>25</v>
      </c>
      <c r="I506" t="s">
        <v>25</v>
      </c>
      <c r="J506" t="s">
        <v>101</v>
      </c>
      <c r="K506" t="s">
        <v>88</v>
      </c>
      <c r="L506" t="s">
        <v>103</v>
      </c>
      <c r="M506">
        <v>573.77343242999996</v>
      </c>
      <c r="N506">
        <v>0</v>
      </c>
      <c r="O506" t="s">
        <v>80</v>
      </c>
      <c r="P506" s="38">
        <v>44277.585712268519</v>
      </c>
      <c r="Q506">
        <v>3980910</v>
      </c>
      <c r="R506" t="s">
        <v>81</v>
      </c>
      <c r="S506" s="4">
        <v>31.543203569999999</v>
      </c>
      <c r="W506"/>
      <c r="X506">
        <v>0</v>
      </c>
      <c r="AC506" t="s">
        <v>84</v>
      </c>
      <c r="AD506" s="38">
        <v>43983</v>
      </c>
    </row>
    <row r="507" spans="1:30" x14ac:dyDescent="0.25">
      <c r="A507">
        <v>420554</v>
      </c>
      <c r="B507" t="s">
        <v>223</v>
      </c>
      <c r="C507">
        <v>2020</v>
      </c>
      <c r="D507">
        <v>6</v>
      </c>
      <c r="E507" t="s">
        <v>90</v>
      </c>
      <c r="F507" t="s">
        <v>84</v>
      </c>
      <c r="G507" t="s">
        <v>84</v>
      </c>
      <c r="H507" t="s">
        <v>25</v>
      </c>
      <c r="I507" t="s">
        <v>25</v>
      </c>
      <c r="J507" t="s">
        <v>101</v>
      </c>
      <c r="K507" t="s">
        <v>90</v>
      </c>
      <c r="L507" t="s">
        <v>103</v>
      </c>
      <c r="M507">
        <v>1684.49839561</v>
      </c>
      <c r="N507">
        <v>0</v>
      </c>
      <c r="O507" t="s">
        <v>80</v>
      </c>
      <c r="P507" s="38">
        <v>44277.585713425928</v>
      </c>
      <c r="Q507">
        <v>3981030</v>
      </c>
      <c r="R507" t="s">
        <v>81</v>
      </c>
      <c r="S507" s="4">
        <v>102.3361321</v>
      </c>
      <c r="W507"/>
      <c r="X507">
        <v>0</v>
      </c>
      <c r="AC507" t="s">
        <v>84</v>
      </c>
      <c r="AD507" s="38">
        <v>43983</v>
      </c>
    </row>
    <row r="508" spans="1:30" x14ac:dyDescent="0.25">
      <c r="A508">
        <v>420506</v>
      </c>
      <c r="B508" t="s">
        <v>223</v>
      </c>
      <c r="C508">
        <v>2020</v>
      </c>
      <c r="D508">
        <v>6</v>
      </c>
      <c r="E508" t="s">
        <v>86</v>
      </c>
      <c r="F508" t="s">
        <v>84</v>
      </c>
      <c r="G508" t="s">
        <v>84</v>
      </c>
      <c r="H508" t="s">
        <v>25</v>
      </c>
      <c r="I508" t="s">
        <v>25</v>
      </c>
      <c r="J508" t="s">
        <v>101</v>
      </c>
      <c r="K508" t="s">
        <v>86</v>
      </c>
      <c r="L508" t="s">
        <v>103</v>
      </c>
      <c r="M508">
        <v>2681.58003254</v>
      </c>
      <c r="N508">
        <v>0</v>
      </c>
      <c r="O508" t="s">
        <v>80</v>
      </c>
      <c r="P508" s="38">
        <v>44277.585711030093</v>
      </c>
      <c r="Q508">
        <v>3980790</v>
      </c>
      <c r="R508" t="s">
        <v>81</v>
      </c>
      <c r="S508" s="4">
        <v>220.49959917999999</v>
      </c>
      <c r="W508"/>
      <c r="X508">
        <v>0</v>
      </c>
      <c r="AC508" t="s">
        <v>84</v>
      </c>
      <c r="AD508" s="38">
        <v>43983</v>
      </c>
    </row>
    <row r="509" spans="1:30" x14ac:dyDescent="0.25">
      <c r="A509">
        <v>420554</v>
      </c>
      <c r="B509" t="s">
        <v>223</v>
      </c>
      <c r="C509">
        <v>2020</v>
      </c>
      <c r="D509">
        <v>6</v>
      </c>
      <c r="E509" t="s">
        <v>90</v>
      </c>
      <c r="F509" t="s">
        <v>84</v>
      </c>
      <c r="G509" t="s">
        <v>84</v>
      </c>
      <c r="H509" t="s">
        <v>25</v>
      </c>
      <c r="I509" t="s">
        <v>25</v>
      </c>
      <c r="J509" t="s">
        <v>101</v>
      </c>
      <c r="K509" t="s">
        <v>90</v>
      </c>
      <c r="L509" t="s">
        <v>103</v>
      </c>
      <c r="M509">
        <v>1684.49839561</v>
      </c>
      <c r="N509">
        <v>0</v>
      </c>
      <c r="O509" t="s">
        <v>80</v>
      </c>
      <c r="P509" s="38">
        <v>44277.585713425928</v>
      </c>
      <c r="Q509">
        <v>3981029</v>
      </c>
      <c r="R509" t="s">
        <v>27</v>
      </c>
      <c r="S509" s="4">
        <v>769.75262459999999</v>
      </c>
      <c r="W509"/>
      <c r="X509">
        <v>0</v>
      </c>
      <c r="AC509" t="s">
        <v>84</v>
      </c>
      <c r="AD509" s="38">
        <v>43983</v>
      </c>
    </row>
    <row r="510" spans="1:30" x14ac:dyDescent="0.25">
      <c r="A510">
        <v>420506</v>
      </c>
      <c r="B510" t="s">
        <v>223</v>
      </c>
      <c r="C510">
        <v>2020</v>
      </c>
      <c r="D510">
        <v>6</v>
      </c>
      <c r="E510" t="s">
        <v>86</v>
      </c>
      <c r="F510" t="s">
        <v>84</v>
      </c>
      <c r="G510" t="s">
        <v>84</v>
      </c>
      <c r="H510" t="s">
        <v>25</v>
      </c>
      <c r="I510" t="s">
        <v>25</v>
      </c>
      <c r="J510" t="s">
        <v>101</v>
      </c>
      <c r="K510" t="s">
        <v>86</v>
      </c>
      <c r="L510" t="s">
        <v>103</v>
      </c>
      <c r="M510">
        <v>2681.58003254</v>
      </c>
      <c r="N510">
        <v>0</v>
      </c>
      <c r="O510" t="s">
        <v>80</v>
      </c>
      <c r="P510" s="38">
        <v>44277.585711030093</v>
      </c>
      <c r="Q510">
        <v>3980789</v>
      </c>
      <c r="R510" t="s">
        <v>27</v>
      </c>
      <c r="S510" s="4">
        <v>1249.1740867399999</v>
      </c>
      <c r="W510"/>
      <c r="X510">
        <v>0</v>
      </c>
      <c r="AC510" t="s">
        <v>84</v>
      </c>
      <c r="AD510" s="38">
        <v>43983</v>
      </c>
    </row>
    <row r="511" spans="1:30" x14ac:dyDescent="0.25">
      <c r="A511">
        <v>420530</v>
      </c>
      <c r="B511" t="s">
        <v>223</v>
      </c>
      <c r="C511">
        <v>2020</v>
      </c>
      <c r="D511">
        <v>6</v>
      </c>
      <c r="E511" t="s">
        <v>88</v>
      </c>
      <c r="F511" t="s">
        <v>84</v>
      </c>
      <c r="G511" t="s">
        <v>84</v>
      </c>
      <c r="H511" t="s">
        <v>25</v>
      </c>
      <c r="I511" t="s">
        <v>25</v>
      </c>
      <c r="J511" t="s">
        <v>101</v>
      </c>
      <c r="K511" t="s">
        <v>88</v>
      </c>
      <c r="L511" t="s">
        <v>103</v>
      </c>
      <c r="M511">
        <v>573.77343242999996</v>
      </c>
      <c r="N511">
        <v>0</v>
      </c>
      <c r="O511" t="s">
        <v>80</v>
      </c>
      <c r="P511" s="38">
        <v>44277.585712268519</v>
      </c>
      <c r="Q511">
        <v>3980909</v>
      </c>
      <c r="R511" t="s">
        <v>27</v>
      </c>
      <c r="S511" s="4">
        <v>207.08476727999999</v>
      </c>
      <c r="W511"/>
      <c r="X511">
        <v>0</v>
      </c>
      <c r="AC511" t="s">
        <v>84</v>
      </c>
      <c r="AD511" s="38">
        <v>43983</v>
      </c>
    </row>
    <row r="512" spans="1:30" x14ac:dyDescent="0.25">
      <c r="A512">
        <v>420554</v>
      </c>
      <c r="B512" t="s">
        <v>223</v>
      </c>
      <c r="C512">
        <v>2020</v>
      </c>
      <c r="D512">
        <v>6</v>
      </c>
      <c r="E512" t="s">
        <v>90</v>
      </c>
      <c r="F512" t="s">
        <v>84</v>
      </c>
      <c r="G512" t="s">
        <v>84</v>
      </c>
      <c r="H512" t="s">
        <v>25</v>
      </c>
      <c r="I512" t="s">
        <v>25</v>
      </c>
      <c r="J512" t="s">
        <v>101</v>
      </c>
      <c r="K512" t="s">
        <v>90</v>
      </c>
      <c r="L512" t="s">
        <v>103</v>
      </c>
      <c r="M512">
        <v>1684.49839561</v>
      </c>
      <c r="N512">
        <v>0</v>
      </c>
      <c r="O512" t="s">
        <v>80</v>
      </c>
      <c r="P512" s="38">
        <v>44277.585713425928</v>
      </c>
      <c r="Q512">
        <v>3981026</v>
      </c>
      <c r="R512" t="s">
        <v>91</v>
      </c>
      <c r="S512" s="4">
        <v>0.88250996999999998</v>
      </c>
      <c r="W512"/>
      <c r="X512">
        <v>0</v>
      </c>
      <c r="AC512" t="s">
        <v>84</v>
      </c>
      <c r="AD512" s="38">
        <v>43983</v>
      </c>
    </row>
    <row r="513" spans="1:30" x14ac:dyDescent="0.25">
      <c r="A513">
        <v>420530</v>
      </c>
      <c r="B513" t="s">
        <v>223</v>
      </c>
      <c r="C513">
        <v>2020</v>
      </c>
      <c r="D513">
        <v>6</v>
      </c>
      <c r="E513" t="s">
        <v>88</v>
      </c>
      <c r="F513" t="s">
        <v>84</v>
      </c>
      <c r="G513" t="s">
        <v>84</v>
      </c>
      <c r="H513" t="s">
        <v>25</v>
      </c>
      <c r="I513" t="s">
        <v>25</v>
      </c>
      <c r="J513" t="s">
        <v>101</v>
      </c>
      <c r="K513" t="s">
        <v>88</v>
      </c>
      <c r="L513" t="s">
        <v>103</v>
      </c>
      <c r="M513">
        <v>573.77343242999996</v>
      </c>
      <c r="N513">
        <v>0</v>
      </c>
      <c r="O513" t="s">
        <v>80</v>
      </c>
      <c r="P513" s="38">
        <v>44277.585712268519</v>
      </c>
      <c r="Q513">
        <v>3980906</v>
      </c>
      <c r="R513" t="s">
        <v>91</v>
      </c>
      <c r="S513" s="4">
        <v>0</v>
      </c>
      <c r="W513"/>
      <c r="X513">
        <v>0</v>
      </c>
      <c r="AC513" t="s">
        <v>84</v>
      </c>
      <c r="AD513" s="38">
        <v>43983</v>
      </c>
    </row>
    <row r="514" spans="1:30" x14ac:dyDescent="0.25">
      <c r="A514">
        <v>420506</v>
      </c>
      <c r="B514" t="s">
        <v>223</v>
      </c>
      <c r="C514">
        <v>2020</v>
      </c>
      <c r="D514">
        <v>6</v>
      </c>
      <c r="E514" t="s">
        <v>86</v>
      </c>
      <c r="F514" t="s">
        <v>84</v>
      </c>
      <c r="G514" t="s">
        <v>84</v>
      </c>
      <c r="H514" t="s">
        <v>25</v>
      </c>
      <c r="I514" t="s">
        <v>25</v>
      </c>
      <c r="J514" t="s">
        <v>101</v>
      </c>
      <c r="K514" t="s">
        <v>86</v>
      </c>
      <c r="L514" t="s">
        <v>103</v>
      </c>
      <c r="M514">
        <v>2681.58003254</v>
      </c>
      <c r="N514">
        <v>0</v>
      </c>
      <c r="O514" t="s">
        <v>80</v>
      </c>
      <c r="P514" s="38">
        <v>44277.585711030093</v>
      </c>
      <c r="Q514">
        <v>3980786</v>
      </c>
      <c r="R514" t="s">
        <v>91</v>
      </c>
      <c r="S514" s="4">
        <v>4.0791128299999997</v>
      </c>
      <c r="W514"/>
      <c r="X514">
        <v>0</v>
      </c>
      <c r="AC514" t="s">
        <v>84</v>
      </c>
      <c r="AD514" s="38">
        <v>43983</v>
      </c>
    </row>
    <row r="515" spans="1:30" x14ac:dyDescent="0.25">
      <c r="A515">
        <v>420530</v>
      </c>
      <c r="B515" t="s">
        <v>223</v>
      </c>
      <c r="C515">
        <v>2020</v>
      </c>
      <c r="D515">
        <v>6</v>
      </c>
      <c r="E515" t="s">
        <v>88</v>
      </c>
      <c r="F515" t="s">
        <v>84</v>
      </c>
      <c r="G515" t="s">
        <v>84</v>
      </c>
      <c r="H515" t="s">
        <v>25</v>
      </c>
      <c r="I515" t="s">
        <v>25</v>
      </c>
      <c r="J515" t="s">
        <v>101</v>
      </c>
      <c r="K515" t="s">
        <v>88</v>
      </c>
      <c r="L515" t="s">
        <v>103</v>
      </c>
      <c r="M515">
        <v>573.77343242999996</v>
      </c>
      <c r="N515">
        <v>0</v>
      </c>
      <c r="O515" t="s">
        <v>80</v>
      </c>
      <c r="P515" s="38">
        <v>44277.585712268519</v>
      </c>
      <c r="Q515">
        <v>3980908</v>
      </c>
      <c r="R515" t="s">
        <v>28</v>
      </c>
      <c r="S515" s="4">
        <v>0</v>
      </c>
      <c r="W515"/>
      <c r="X515">
        <v>0</v>
      </c>
      <c r="AC515" t="s">
        <v>84</v>
      </c>
      <c r="AD515" s="38">
        <v>43983</v>
      </c>
    </row>
    <row r="516" spans="1:30" x14ac:dyDescent="0.25">
      <c r="A516">
        <v>420554</v>
      </c>
      <c r="B516" t="s">
        <v>223</v>
      </c>
      <c r="C516">
        <v>2020</v>
      </c>
      <c r="D516">
        <v>6</v>
      </c>
      <c r="E516" t="s">
        <v>90</v>
      </c>
      <c r="F516" t="s">
        <v>84</v>
      </c>
      <c r="G516" t="s">
        <v>84</v>
      </c>
      <c r="H516" t="s">
        <v>25</v>
      </c>
      <c r="I516" t="s">
        <v>25</v>
      </c>
      <c r="J516" t="s">
        <v>101</v>
      </c>
      <c r="K516" t="s">
        <v>90</v>
      </c>
      <c r="L516" t="s">
        <v>103</v>
      </c>
      <c r="M516">
        <v>1684.49839561</v>
      </c>
      <c r="N516">
        <v>0</v>
      </c>
      <c r="O516" t="s">
        <v>80</v>
      </c>
      <c r="P516" s="38">
        <v>44277.585713425928</v>
      </c>
      <c r="Q516">
        <v>3981028</v>
      </c>
      <c r="R516" t="s">
        <v>28</v>
      </c>
      <c r="S516" s="4">
        <v>4.8672003999999998</v>
      </c>
      <c r="W516"/>
      <c r="X516">
        <v>0</v>
      </c>
      <c r="AC516" t="s">
        <v>84</v>
      </c>
      <c r="AD516" s="38">
        <v>43983</v>
      </c>
    </row>
    <row r="517" spans="1:30" x14ac:dyDescent="0.25">
      <c r="A517">
        <v>420506</v>
      </c>
      <c r="B517" t="s">
        <v>223</v>
      </c>
      <c r="C517">
        <v>2020</v>
      </c>
      <c r="D517">
        <v>6</v>
      </c>
      <c r="E517" t="s">
        <v>86</v>
      </c>
      <c r="F517" t="s">
        <v>84</v>
      </c>
      <c r="G517" t="s">
        <v>84</v>
      </c>
      <c r="H517" t="s">
        <v>25</v>
      </c>
      <c r="I517" t="s">
        <v>25</v>
      </c>
      <c r="J517" t="s">
        <v>101</v>
      </c>
      <c r="K517" t="s">
        <v>86</v>
      </c>
      <c r="L517" t="s">
        <v>103</v>
      </c>
      <c r="M517">
        <v>2681.58003254</v>
      </c>
      <c r="N517">
        <v>0</v>
      </c>
      <c r="O517" t="s">
        <v>80</v>
      </c>
      <c r="P517" s="38">
        <v>44277.585711030093</v>
      </c>
      <c r="Q517">
        <v>3980788</v>
      </c>
      <c r="R517" t="s">
        <v>28</v>
      </c>
      <c r="S517" s="4">
        <v>8.3052895499999995</v>
      </c>
      <c r="W517"/>
      <c r="X517">
        <v>0</v>
      </c>
      <c r="AC517" t="s">
        <v>84</v>
      </c>
      <c r="AD517" s="38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0EE46-B644-4E1D-A3FD-AF80D2789548}">
  <sheetPr>
    <tabColor theme="9" tint="0.59999389629810485"/>
  </sheetPr>
  <dimension ref="A1:M40"/>
  <sheetViews>
    <sheetView workbookViewId="0">
      <selection activeCell="L1" sqref="L1:L1048576"/>
    </sheetView>
  </sheetViews>
  <sheetFormatPr baseColWidth="10" defaultColWidth="9.140625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8" max="8" width="11.42578125" bestFit="1" customWidth="1"/>
    <col min="9" max="9" width="15.42578125" bestFit="1" customWidth="1"/>
    <col min="10" max="10" width="19.28515625" bestFit="1" customWidth="1"/>
    <col min="11" max="11" width="12.140625" bestFit="1" customWidth="1"/>
    <col min="12" max="12" width="10.140625" style="60" bestFit="1" customWidth="1"/>
  </cols>
  <sheetData>
    <row r="1" spans="1:13" x14ac:dyDescent="0.25">
      <c r="A1" s="37" t="s">
        <v>43</v>
      </c>
      <c r="B1" s="37" t="s">
        <v>1</v>
      </c>
      <c r="C1" s="37" t="s">
        <v>465</v>
      </c>
      <c r="D1" s="37" t="s">
        <v>46</v>
      </c>
      <c r="E1" s="37" t="s">
        <v>42</v>
      </c>
      <c r="F1" s="37" t="s">
        <v>466</v>
      </c>
      <c r="G1" s="37" t="s">
        <v>467</v>
      </c>
      <c r="H1" s="37" t="s">
        <v>468</v>
      </c>
      <c r="I1" s="37" t="s">
        <v>469</v>
      </c>
      <c r="J1" s="37" t="s">
        <v>470</v>
      </c>
      <c r="K1" s="37" t="s">
        <v>471</v>
      </c>
      <c r="L1" s="59" t="s">
        <v>472</v>
      </c>
      <c r="M1" s="37" t="s">
        <v>475</v>
      </c>
    </row>
    <row r="2" spans="1:13" x14ac:dyDescent="0.25">
      <c r="A2" t="s">
        <v>476</v>
      </c>
      <c r="B2" t="s">
        <v>119</v>
      </c>
      <c r="C2">
        <v>1</v>
      </c>
      <c r="D2" t="s">
        <v>84</v>
      </c>
      <c r="E2" t="s">
        <v>477</v>
      </c>
      <c r="F2" t="s">
        <v>478</v>
      </c>
      <c r="G2" s="38">
        <v>43152</v>
      </c>
      <c r="H2">
        <v>33</v>
      </c>
      <c r="I2">
        <v>4110600</v>
      </c>
      <c r="J2" t="s">
        <v>473</v>
      </c>
      <c r="K2">
        <v>2660</v>
      </c>
      <c r="L2" s="60">
        <v>2976186</v>
      </c>
      <c r="M2">
        <v>4996.7</v>
      </c>
    </row>
    <row r="3" spans="1:13" x14ac:dyDescent="0.25">
      <c r="A3" t="s">
        <v>476</v>
      </c>
      <c r="B3" t="s">
        <v>145</v>
      </c>
      <c r="C3">
        <v>1</v>
      </c>
      <c r="D3" t="s">
        <v>84</v>
      </c>
      <c r="E3" t="s">
        <v>477</v>
      </c>
      <c r="F3" t="s">
        <v>478</v>
      </c>
      <c r="G3" s="38">
        <v>43518</v>
      </c>
      <c r="H3">
        <v>33</v>
      </c>
      <c r="I3">
        <v>4110600</v>
      </c>
      <c r="J3" t="s">
        <v>473</v>
      </c>
      <c r="K3">
        <v>5253</v>
      </c>
      <c r="L3" s="60">
        <v>5548783</v>
      </c>
      <c r="M3">
        <v>8480.1</v>
      </c>
    </row>
    <row r="4" spans="1:13" x14ac:dyDescent="0.25">
      <c r="A4" t="s">
        <v>476</v>
      </c>
      <c r="B4" t="s">
        <v>145</v>
      </c>
      <c r="C4">
        <v>1</v>
      </c>
      <c r="D4" t="s">
        <v>84</v>
      </c>
      <c r="E4" t="s">
        <v>477</v>
      </c>
      <c r="F4" t="s">
        <v>478</v>
      </c>
      <c r="G4" s="38">
        <v>43789</v>
      </c>
      <c r="H4">
        <v>33</v>
      </c>
      <c r="I4">
        <v>4110600</v>
      </c>
      <c r="J4" t="s">
        <v>473</v>
      </c>
      <c r="K4">
        <v>8690</v>
      </c>
      <c r="L4" s="60">
        <v>5916</v>
      </c>
      <c r="M4">
        <v>7.56</v>
      </c>
    </row>
    <row r="5" spans="1:13" x14ac:dyDescent="0.25">
      <c r="A5" t="s">
        <v>476</v>
      </c>
      <c r="B5" t="s">
        <v>145</v>
      </c>
      <c r="C5">
        <v>1</v>
      </c>
      <c r="D5" t="s">
        <v>84</v>
      </c>
      <c r="E5" t="s">
        <v>477</v>
      </c>
      <c r="F5" t="s">
        <v>478</v>
      </c>
      <c r="G5" s="38">
        <v>43789</v>
      </c>
      <c r="H5">
        <v>33</v>
      </c>
      <c r="I5">
        <v>4110600</v>
      </c>
      <c r="J5" t="s">
        <v>473</v>
      </c>
      <c r="K5">
        <v>8796</v>
      </c>
      <c r="L5" s="60">
        <v>5916</v>
      </c>
      <c r="M5">
        <v>7.56</v>
      </c>
    </row>
    <row r="6" spans="1:13" x14ac:dyDescent="0.25">
      <c r="A6" t="s">
        <v>476</v>
      </c>
      <c r="B6" t="s">
        <v>117</v>
      </c>
      <c r="C6">
        <v>1</v>
      </c>
      <c r="D6" t="s">
        <v>84</v>
      </c>
      <c r="E6" t="s">
        <v>477</v>
      </c>
      <c r="F6" t="s">
        <v>478</v>
      </c>
      <c r="G6" s="38">
        <v>43188</v>
      </c>
      <c r="H6">
        <v>33</v>
      </c>
      <c r="I6">
        <v>4110600</v>
      </c>
      <c r="J6" t="s">
        <v>473</v>
      </c>
      <c r="K6">
        <v>2965</v>
      </c>
      <c r="L6" s="60">
        <v>2970366</v>
      </c>
      <c r="M6">
        <v>4907.59</v>
      </c>
    </row>
    <row r="7" spans="1:13" x14ac:dyDescent="0.25">
      <c r="A7" t="s">
        <v>476</v>
      </c>
      <c r="B7" t="s">
        <v>147</v>
      </c>
      <c r="C7">
        <v>1</v>
      </c>
      <c r="D7" t="s">
        <v>84</v>
      </c>
      <c r="E7" t="s">
        <v>477</v>
      </c>
      <c r="F7" t="s">
        <v>478</v>
      </c>
      <c r="G7" s="38">
        <v>43543</v>
      </c>
      <c r="H7">
        <v>33</v>
      </c>
      <c r="I7">
        <v>4110600</v>
      </c>
      <c r="J7" t="s">
        <v>473</v>
      </c>
      <c r="K7">
        <v>5420</v>
      </c>
      <c r="L7" s="60">
        <v>5511858</v>
      </c>
      <c r="M7">
        <v>8261.0499999999993</v>
      </c>
    </row>
    <row r="8" spans="1:13" x14ac:dyDescent="0.25">
      <c r="A8" t="s">
        <v>476</v>
      </c>
      <c r="B8" t="s">
        <v>147</v>
      </c>
      <c r="C8">
        <v>1</v>
      </c>
      <c r="D8" t="s">
        <v>84</v>
      </c>
      <c r="E8" t="s">
        <v>477</v>
      </c>
      <c r="F8" t="s">
        <v>478</v>
      </c>
      <c r="G8" s="38">
        <v>43581</v>
      </c>
      <c r="H8">
        <v>33</v>
      </c>
      <c r="I8">
        <v>4110600</v>
      </c>
      <c r="J8" t="s">
        <v>473</v>
      </c>
      <c r="K8">
        <v>6437</v>
      </c>
      <c r="L8" s="60">
        <v>940</v>
      </c>
      <c r="M8">
        <v>1.39</v>
      </c>
    </row>
    <row r="9" spans="1:13" x14ac:dyDescent="0.25">
      <c r="A9" t="s">
        <v>476</v>
      </c>
      <c r="B9" t="s">
        <v>118</v>
      </c>
      <c r="C9">
        <v>1</v>
      </c>
      <c r="D9" t="s">
        <v>84</v>
      </c>
      <c r="E9" t="s">
        <v>477</v>
      </c>
      <c r="F9" t="s">
        <v>478</v>
      </c>
      <c r="G9" s="38">
        <v>43208</v>
      </c>
      <c r="H9">
        <v>33</v>
      </c>
      <c r="I9">
        <v>4110600</v>
      </c>
      <c r="J9" t="s">
        <v>473</v>
      </c>
      <c r="K9">
        <v>3190</v>
      </c>
      <c r="L9" s="60">
        <v>2906148</v>
      </c>
      <c r="M9">
        <v>4877.5600000000004</v>
      </c>
    </row>
    <row r="10" spans="1:13" x14ac:dyDescent="0.25">
      <c r="A10" t="s">
        <v>476</v>
      </c>
      <c r="B10" t="s">
        <v>149</v>
      </c>
      <c r="C10">
        <v>1</v>
      </c>
      <c r="D10" t="s">
        <v>84</v>
      </c>
      <c r="E10" t="s">
        <v>477</v>
      </c>
      <c r="F10" t="s">
        <v>478</v>
      </c>
      <c r="G10" s="38">
        <v>43585</v>
      </c>
      <c r="H10">
        <v>33</v>
      </c>
      <c r="I10">
        <v>4110600</v>
      </c>
      <c r="J10" t="s">
        <v>473</v>
      </c>
      <c r="K10">
        <v>6455</v>
      </c>
      <c r="L10" s="60">
        <v>5412779</v>
      </c>
      <c r="M10">
        <v>7987.34</v>
      </c>
    </row>
    <row r="11" spans="1:13" x14ac:dyDescent="0.25">
      <c r="A11" t="s">
        <v>476</v>
      </c>
      <c r="B11" t="s">
        <v>149</v>
      </c>
      <c r="C11">
        <v>1</v>
      </c>
      <c r="D11" t="s">
        <v>84</v>
      </c>
      <c r="E11" t="s">
        <v>477</v>
      </c>
      <c r="F11" t="s">
        <v>478</v>
      </c>
      <c r="G11" s="38">
        <v>43789</v>
      </c>
      <c r="I11">
        <v>4110600</v>
      </c>
      <c r="J11" t="s">
        <v>473</v>
      </c>
      <c r="L11" s="60">
        <v>2396</v>
      </c>
      <c r="M11">
        <v>3.06</v>
      </c>
    </row>
    <row r="12" spans="1:13" x14ac:dyDescent="0.25">
      <c r="A12" t="s">
        <v>476</v>
      </c>
      <c r="B12" t="s">
        <v>149</v>
      </c>
      <c r="C12">
        <v>1</v>
      </c>
      <c r="D12" t="s">
        <v>84</v>
      </c>
      <c r="E12" t="s">
        <v>477</v>
      </c>
      <c r="F12" t="s">
        <v>478</v>
      </c>
      <c r="G12" s="38">
        <v>43789</v>
      </c>
      <c r="H12">
        <v>33</v>
      </c>
      <c r="I12">
        <v>4110600</v>
      </c>
      <c r="J12" t="s">
        <v>473</v>
      </c>
      <c r="K12">
        <v>8710</v>
      </c>
      <c r="L12" s="60">
        <v>2396</v>
      </c>
      <c r="M12">
        <v>3.06</v>
      </c>
    </row>
    <row r="13" spans="1:13" x14ac:dyDescent="0.25">
      <c r="A13" t="s">
        <v>476</v>
      </c>
      <c r="B13" t="s">
        <v>112</v>
      </c>
      <c r="C13">
        <v>1</v>
      </c>
      <c r="D13" t="s">
        <v>84</v>
      </c>
      <c r="E13" t="s">
        <v>477</v>
      </c>
      <c r="F13" t="s">
        <v>478</v>
      </c>
      <c r="G13" s="38">
        <v>43245</v>
      </c>
      <c r="H13">
        <v>33</v>
      </c>
      <c r="I13">
        <v>4110600</v>
      </c>
      <c r="J13" t="s">
        <v>473</v>
      </c>
      <c r="K13">
        <v>3375</v>
      </c>
      <c r="L13" s="60">
        <v>2017272</v>
      </c>
      <c r="M13">
        <v>3231.2</v>
      </c>
    </row>
    <row r="14" spans="1:13" x14ac:dyDescent="0.25">
      <c r="A14" t="s">
        <v>476</v>
      </c>
      <c r="B14" t="s">
        <v>150</v>
      </c>
      <c r="C14">
        <v>1</v>
      </c>
      <c r="D14" t="s">
        <v>84</v>
      </c>
      <c r="E14" t="s">
        <v>477</v>
      </c>
      <c r="F14" t="s">
        <v>478</v>
      </c>
      <c r="G14" s="38">
        <v>43601</v>
      </c>
      <c r="H14">
        <v>33</v>
      </c>
      <c r="I14">
        <v>4110600</v>
      </c>
      <c r="J14" t="s">
        <v>473</v>
      </c>
      <c r="K14">
        <v>6506</v>
      </c>
      <c r="L14" s="60">
        <v>3662698</v>
      </c>
      <c r="M14">
        <v>5288.18</v>
      </c>
    </row>
    <row r="15" spans="1:13" x14ac:dyDescent="0.25">
      <c r="A15" t="s">
        <v>476</v>
      </c>
      <c r="B15" t="s">
        <v>150</v>
      </c>
      <c r="C15">
        <v>1</v>
      </c>
      <c r="D15" t="s">
        <v>84</v>
      </c>
      <c r="E15" t="s">
        <v>477</v>
      </c>
      <c r="F15" t="s">
        <v>478</v>
      </c>
      <c r="G15" s="38">
        <v>43789</v>
      </c>
      <c r="I15">
        <v>4110600</v>
      </c>
      <c r="J15" t="s">
        <v>473</v>
      </c>
      <c r="L15" s="60">
        <v>4987</v>
      </c>
      <c r="M15">
        <v>6.37</v>
      </c>
    </row>
    <row r="16" spans="1:13" x14ac:dyDescent="0.25">
      <c r="A16" t="s">
        <v>476</v>
      </c>
      <c r="B16" t="s">
        <v>150</v>
      </c>
      <c r="C16">
        <v>1</v>
      </c>
      <c r="D16" t="s">
        <v>84</v>
      </c>
      <c r="E16" t="s">
        <v>477</v>
      </c>
      <c r="F16" t="s">
        <v>478</v>
      </c>
      <c r="G16" s="38">
        <v>43789</v>
      </c>
      <c r="H16">
        <v>33</v>
      </c>
      <c r="I16">
        <v>4110600</v>
      </c>
      <c r="J16" t="s">
        <v>473</v>
      </c>
      <c r="K16">
        <v>8735</v>
      </c>
      <c r="L16" s="60">
        <v>4987</v>
      </c>
      <c r="M16">
        <v>6.37</v>
      </c>
    </row>
    <row r="17" spans="1:13" x14ac:dyDescent="0.25">
      <c r="A17" t="s">
        <v>476</v>
      </c>
      <c r="B17" t="s">
        <v>120</v>
      </c>
      <c r="C17">
        <v>1</v>
      </c>
      <c r="D17" t="s">
        <v>84</v>
      </c>
      <c r="E17" t="s">
        <v>477</v>
      </c>
      <c r="F17" t="s">
        <v>478</v>
      </c>
      <c r="G17" s="38">
        <v>43266</v>
      </c>
      <c r="H17">
        <v>33</v>
      </c>
      <c r="I17">
        <v>4110600</v>
      </c>
      <c r="J17" t="s">
        <v>473</v>
      </c>
      <c r="K17">
        <v>3630</v>
      </c>
      <c r="L17" s="60">
        <v>1971676</v>
      </c>
      <c r="M17">
        <v>3109.95</v>
      </c>
    </row>
    <row r="18" spans="1:13" x14ac:dyDescent="0.25">
      <c r="A18" t="s">
        <v>476</v>
      </c>
      <c r="B18" t="s">
        <v>152</v>
      </c>
      <c r="C18">
        <v>1</v>
      </c>
      <c r="D18" t="s">
        <v>84</v>
      </c>
      <c r="E18" t="s">
        <v>477</v>
      </c>
      <c r="F18" t="s">
        <v>478</v>
      </c>
      <c r="G18" s="38">
        <v>43634</v>
      </c>
      <c r="H18">
        <v>33</v>
      </c>
      <c r="I18">
        <v>4110600</v>
      </c>
      <c r="J18" t="s">
        <v>473</v>
      </c>
      <c r="K18">
        <v>6776</v>
      </c>
      <c r="L18" s="60">
        <v>3863654</v>
      </c>
      <c r="M18">
        <v>5523.29</v>
      </c>
    </row>
    <row r="19" spans="1:13" x14ac:dyDescent="0.25">
      <c r="A19" t="s">
        <v>476</v>
      </c>
      <c r="B19" t="s">
        <v>126</v>
      </c>
      <c r="C19">
        <v>1</v>
      </c>
      <c r="D19" t="s">
        <v>84</v>
      </c>
      <c r="E19" t="s">
        <v>477</v>
      </c>
      <c r="F19" t="s">
        <v>478</v>
      </c>
      <c r="G19" s="38">
        <v>43294</v>
      </c>
      <c r="H19">
        <v>33</v>
      </c>
      <c r="I19">
        <v>4110600</v>
      </c>
      <c r="J19" t="s">
        <v>473</v>
      </c>
      <c r="K19">
        <v>3770</v>
      </c>
      <c r="L19" s="60">
        <v>1881616</v>
      </c>
      <c r="M19">
        <v>2903.5</v>
      </c>
    </row>
    <row r="20" spans="1:13" x14ac:dyDescent="0.25">
      <c r="A20" t="s">
        <v>476</v>
      </c>
      <c r="B20" t="s">
        <v>153</v>
      </c>
      <c r="C20">
        <v>1</v>
      </c>
      <c r="D20" t="s">
        <v>84</v>
      </c>
      <c r="E20" t="s">
        <v>477</v>
      </c>
      <c r="F20" t="s">
        <v>478</v>
      </c>
      <c r="G20" s="38">
        <v>43658</v>
      </c>
      <c r="H20">
        <v>33</v>
      </c>
      <c r="I20">
        <v>4110600</v>
      </c>
      <c r="J20" t="s">
        <v>473</v>
      </c>
      <c r="K20">
        <v>6977</v>
      </c>
      <c r="L20" s="60">
        <v>3578184</v>
      </c>
      <c r="M20">
        <v>5236.01</v>
      </c>
    </row>
    <row r="21" spans="1:13" x14ac:dyDescent="0.25">
      <c r="A21" t="s">
        <v>476</v>
      </c>
      <c r="B21" t="s">
        <v>153</v>
      </c>
      <c r="C21">
        <v>1</v>
      </c>
      <c r="D21" t="s">
        <v>84</v>
      </c>
      <c r="E21" t="s">
        <v>477</v>
      </c>
      <c r="F21" t="s">
        <v>478</v>
      </c>
      <c r="G21" s="38">
        <v>43789</v>
      </c>
      <c r="I21">
        <v>4110600</v>
      </c>
      <c r="J21" t="s">
        <v>473</v>
      </c>
      <c r="L21" s="60">
        <v>8039</v>
      </c>
      <c r="M21">
        <v>10.28</v>
      </c>
    </row>
    <row r="22" spans="1:13" x14ac:dyDescent="0.25">
      <c r="A22" t="s">
        <v>476</v>
      </c>
      <c r="B22" t="s">
        <v>153</v>
      </c>
      <c r="C22">
        <v>1</v>
      </c>
      <c r="D22" t="s">
        <v>84</v>
      </c>
      <c r="E22" t="s">
        <v>477</v>
      </c>
      <c r="F22" t="s">
        <v>478</v>
      </c>
      <c r="G22" s="38">
        <v>43789</v>
      </c>
      <c r="H22">
        <v>33</v>
      </c>
      <c r="I22">
        <v>4110600</v>
      </c>
      <c r="J22" t="s">
        <v>473</v>
      </c>
      <c r="K22">
        <v>8764</v>
      </c>
      <c r="L22" s="60">
        <v>8039</v>
      </c>
      <c r="M22">
        <v>10.28</v>
      </c>
    </row>
    <row r="23" spans="1:13" x14ac:dyDescent="0.25">
      <c r="A23" t="s">
        <v>476</v>
      </c>
      <c r="B23" t="s">
        <v>139</v>
      </c>
      <c r="C23">
        <v>1</v>
      </c>
      <c r="D23" t="s">
        <v>84</v>
      </c>
      <c r="E23" t="s">
        <v>477</v>
      </c>
      <c r="F23" t="s">
        <v>478</v>
      </c>
      <c r="G23" s="38">
        <v>43329</v>
      </c>
      <c r="H23">
        <v>33</v>
      </c>
      <c r="I23">
        <v>4110600</v>
      </c>
      <c r="J23" t="s">
        <v>473</v>
      </c>
      <c r="K23">
        <v>4135</v>
      </c>
      <c r="L23" s="60">
        <v>1844533</v>
      </c>
      <c r="M23">
        <v>2769.03</v>
      </c>
    </row>
    <row r="24" spans="1:13" x14ac:dyDescent="0.25">
      <c r="A24" t="s">
        <v>476</v>
      </c>
      <c r="B24" t="s">
        <v>146</v>
      </c>
      <c r="C24">
        <v>1</v>
      </c>
      <c r="D24" t="s">
        <v>84</v>
      </c>
      <c r="E24" t="s">
        <v>477</v>
      </c>
      <c r="F24" t="s">
        <v>478</v>
      </c>
      <c r="G24" s="38">
        <v>43691</v>
      </c>
      <c r="H24">
        <v>33</v>
      </c>
      <c r="I24">
        <v>4110600</v>
      </c>
      <c r="J24" t="s">
        <v>473</v>
      </c>
      <c r="K24">
        <v>7372</v>
      </c>
      <c r="L24" s="60">
        <v>3599792</v>
      </c>
      <c r="M24">
        <v>5081.79</v>
      </c>
    </row>
    <row r="25" spans="1:13" x14ac:dyDescent="0.25">
      <c r="A25" t="s">
        <v>476</v>
      </c>
      <c r="B25" t="s">
        <v>140</v>
      </c>
      <c r="C25">
        <v>1</v>
      </c>
      <c r="D25" t="s">
        <v>84</v>
      </c>
      <c r="E25" t="s">
        <v>477</v>
      </c>
      <c r="F25" t="s">
        <v>478</v>
      </c>
      <c r="G25" s="38">
        <v>43356</v>
      </c>
      <c r="H25">
        <v>33</v>
      </c>
      <c r="I25">
        <v>4110600</v>
      </c>
      <c r="J25" t="s">
        <v>473</v>
      </c>
      <c r="K25">
        <v>4315</v>
      </c>
      <c r="L25" s="60">
        <v>1697400</v>
      </c>
      <c r="M25">
        <v>2456.23</v>
      </c>
    </row>
    <row r="26" spans="1:13" x14ac:dyDescent="0.25">
      <c r="A26" t="s">
        <v>476</v>
      </c>
      <c r="B26" t="s">
        <v>151</v>
      </c>
      <c r="C26">
        <v>1</v>
      </c>
      <c r="D26" t="s">
        <v>84</v>
      </c>
      <c r="E26" t="s">
        <v>477</v>
      </c>
      <c r="F26" t="s">
        <v>478</v>
      </c>
      <c r="G26" s="38">
        <v>43720</v>
      </c>
      <c r="H26">
        <v>33</v>
      </c>
      <c r="I26">
        <v>4110600</v>
      </c>
      <c r="J26" t="s">
        <v>473</v>
      </c>
      <c r="K26">
        <v>7848</v>
      </c>
      <c r="L26" s="60">
        <v>3367044</v>
      </c>
      <c r="M26">
        <v>4713.17</v>
      </c>
    </row>
    <row r="27" spans="1:13" x14ac:dyDescent="0.25">
      <c r="A27" t="s">
        <v>476</v>
      </c>
      <c r="B27" t="s">
        <v>113</v>
      </c>
      <c r="C27">
        <v>1</v>
      </c>
      <c r="D27" t="s">
        <v>84</v>
      </c>
      <c r="E27" t="s">
        <v>477</v>
      </c>
      <c r="F27" t="s">
        <v>478</v>
      </c>
      <c r="G27" s="38">
        <v>43392</v>
      </c>
      <c r="H27">
        <v>33</v>
      </c>
      <c r="I27">
        <v>4110600</v>
      </c>
      <c r="J27" t="s">
        <v>473</v>
      </c>
      <c r="K27">
        <v>4513</v>
      </c>
      <c r="L27" s="60">
        <v>1472717</v>
      </c>
      <c r="M27">
        <v>2182.84</v>
      </c>
    </row>
    <row r="28" spans="1:13" x14ac:dyDescent="0.25">
      <c r="A28" t="s">
        <v>476</v>
      </c>
      <c r="B28" t="s">
        <v>154</v>
      </c>
      <c r="C28">
        <v>1</v>
      </c>
      <c r="D28" t="s">
        <v>84</v>
      </c>
      <c r="E28" t="s">
        <v>477</v>
      </c>
      <c r="F28" t="s">
        <v>478</v>
      </c>
      <c r="G28" s="38">
        <v>43754</v>
      </c>
      <c r="H28">
        <v>33</v>
      </c>
      <c r="I28">
        <v>4110600</v>
      </c>
      <c r="J28" t="s">
        <v>473</v>
      </c>
      <c r="K28">
        <v>8168</v>
      </c>
      <c r="L28" s="60">
        <v>3332938</v>
      </c>
      <c r="M28">
        <v>4658.32</v>
      </c>
    </row>
    <row r="29" spans="1:13" x14ac:dyDescent="0.25">
      <c r="A29" t="s">
        <v>476</v>
      </c>
      <c r="B29" t="s">
        <v>114</v>
      </c>
      <c r="C29">
        <v>1</v>
      </c>
      <c r="D29" t="s">
        <v>84</v>
      </c>
      <c r="E29" t="s">
        <v>477</v>
      </c>
      <c r="F29" t="s">
        <v>478</v>
      </c>
      <c r="G29" s="38">
        <v>43431</v>
      </c>
      <c r="H29">
        <v>33</v>
      </c>
      <c r="I29">
        <v>4110600</v>
      </c>
      <c r="J29" t="s">
        <v>473</v>
      </c>
      <c r="K29">
        <v>4847</v>
      </c>
      <c r="L29" s="60">
        <v>1648963</v>
      </c>
      <c r="M29">
        <v>2439.69</v>
      </c>
    </row>
    <row r="30" spans="1:13" x14ac:dyDescent="0.25">
      <c r="A30" t="s">
        <v>476</v>
      </c>
      <c r="B30" t="s">
        <v>156</v>
      </c>
      <c r="C30">
        <v>1</v>
      </c>
      <c r="D30" t="s">
        <v>84</v>
      </c>
      <c r="E30" t="s">
        <v>477</v>
      </c>
      <c r="F30" t="s">
        <v>478</v>
      </c>
      <c r="G30" s="38">
        <v>43783</v>
      </c>
      <c r="H30">
        <v>33</v>
      </c>
      <c r="I30">
        <v>4110600</v>
      </c>
      <c r="J30" t="s">
        <v>473</v>
      </c>
      <c r="K30">
        <v>8549</v>
      </c>
      <c r="L30" s="60">
        <v>4210239</v>
      </c>
      <c r="M30">
        <v>5299.16</v>
      </c>
    </row>
    <row r="31" spans="1:13" x14ac:dyDescent="0.25">
      <c r="A31" t="s">
        <v>476</v>
      </c>
      <c r="B31" t="s">
        <v>115</v>
      </c>
      <c r="C31">
        <v>1</v>
      </c>
      <c r="D31" t="s">
        <v>84</v>
      </c>
      <c r="E31" t="s">
        <v>477</v>
      </c>
      <c r="F31" t="s">
        <v>478</v>
      </c>
      <c r="G31" s="38">
        <v>43448</v>
      </c>
      <c r="H31">
        <v>33</v>
      </c>
      <c r="I31">
        <v>4110600</v>
      </c>
      <c r="J31" t="s">
        <v>473</v>
      </c>
      <c r="K31">
        <v>4953</v>
      </c>
      <c r="L31" s="60">
        <v>2192015</v>
      </c>
      <c r="M31">
        <v>3218.01</v>
      </c>
    </row>
    <row r="32" spans="1:13" x14ac:dyDescent="0.25">
      <c r="A32" t="s">
        <v>476</v>
      </c>
      <c r="B32" t="s">
        <v>155</v>
      </c>
      <c r="C32">
        <v>1</v>
      </c>
      <c r="D32" t="s">
        <v>84</v>
      </c>
      <c r="E32" t="s">
        <v>477</v>
      </c>
      <c r="F32" t="s">
        <v>478</v>
      </c>
      <c r="G32" s="38">
        <v>43816</v>
      </c>
      <c r="H32">
        <v>33</v>
      </c>
      <c r="I32">
        <v>4110600</v>
      </c>
      <c r="J32" t="s">
        <v>473</v>
      </c>
      <c r="K32">
        <v>9039</v>
      </c>
      <c r="L32" s="60">
        <v>5194344</v>
      </c>
      <c r="M32">
        <v>6809.31</v>
      </c>
    </row>
    <row r="33" spans="1:13" x14ac:dyDescent="0.25">
      <c r="A33" t="s">
        <v>476</v>
      </c>
      <c r="B33" t="s">
        <v>116</v>
      </c>
      <c r="C33">
        <v>1</v>
      </c>
      <c r="D33" t="s">
        <v>84</v>
      </c>
      <c r="E33" t="s">
        <v>477</v>
      </c>
      <c r="F33" t="s">
        <v>478</v>
      </c>
      <c r="G33" s="38">
        <v>43486</v>
      </c>
      <c r="H33">
        <v>33</v>
      </c>
      <c r="I33">
        <v>4110600</v>
      </c>
      <c r="J33" t="s">
        <v>473</v>
      </c>
      <c r="K33">
        <v>5148</v>
      </c>
      <c r="L33" s="60">
        <v>2970075</v>
      </c>
      <c r="M33">
        <v>4432.29</v>
      </c>
    </row>
    <row r="34" spans="1:13" x14ac:dyDescent="0.25">
      <c r="G34" s="38"/>
    </row>
    <row r="35" spans="1:13" x14ac:dyDescent="0.25">
      <c r="G35" s="38"/>
    </row>
    <row r="36" spans="1:13" x14ac:dyDescent="0.25">
      <c r="G36" s="38"/>
    </row>
    <row r="37" spans="1:13" x14ac:dyDescent="0.25">
      <c r="G37" s="38"/>
    </row>
    <row r="38" spans="1:13" x14ac:dyDescent="0.25">
      <c r="G38" s="38"/>
    </row>
    <row r="39" spans="1:13" x14ac:dyDescent="0.25">
      <c r="G39" s="38"/>
    </row>
    <row r="40" spans="1:13" x14ac:dyDescent="0.25">
      <c r="G40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25B3-75D0-463D-AA45-860E81A1E611}">
  <sheetPr>
    <tabColor theme="9" tint="0.59999389629810485"/>
  </sheetPr>
  <dimension ref="A1:M24"/>
  <sheetViews>
    <sheetView workbookViewId="0">
      <selection activeCell="L1" sqref="L1:L1048576"/>
    </sheetView>
  </sheetViews>
  <sheetFormatPr baseColWidth="10" defaultRowHeight="15" x14ac:dyDescent="0.25"/>
  <cols>
    <col min="1" max="1" width="8.5703125" bestFit="1" customWidth="1"/>
    <col min="2" max="2" width="14.85546875" bestFit="1" customWidth="1"/>
    <col min="3" max="3" width="12.7109375" bestFit="1" customWidth="1"/>
    <col min="4" max="4" width="15.28515625" bestFit="1" customWidth="1"/>
    <col min="5" max="5" width="7.28515625" bestFit="1" customWidth="1"/>
    <col min="6" max="6" width="59.140625" bestFit="1" customWidth="1"/>
    <col min="7" max="7" width="22.42578125" bestFit="1" customWidth="1"/>
    <col min="9" max="9" width="15.42578125" bestFit="1" customWidth="1"/>
    <col min="10" max="10" width="20.5703125" bestFit="1" customWidth="1"/>
    <col min="11" max="11" width="12.140625" bestFit="1" customWidth="1"/>
    <col min="12" max="12" width="10.140625" style="60" bestFit="1" customWidth="1"/>
  </cols>
  <sheetData>
    <row r="1" spans="1:13" x14ac:dyDescent="0.25">
      <c r="A1" s="37" t="s">
        <v>43</v>
      </c>
      <c r="B1" s="37" t="s">
        <v>1</v>
      </c>
      <c r="C1" s="37" t="s">
        <v>465</v>
      </c>
      <c r="D1" s="37" t="s">
        <v>46</v>
      </c>
      <c r="E1" s="37" t="s">
        <v>42</v>
      </c>
      <c r="F1" s="37" t="s">
        <v>466</v>
      </c>
      <c r="G1" s="37" t="s">
        <v>467</v>
      </c>
      <c r="H1" s="37" t="s">
        <v>468</v>
      </c>
      <c r="I1" s="37" t="s">
        <v>469</v>
      </c>
      <c r="J1" s="37" t="s">
        <v>470</v>
      </c>
      <c r="K1" s="37" t="s">
        <v>471</v>
      </c>
      <c r="L1" s="59" t="s">
        <v>472</v>
      </c>
      <c r="M1" s="37" t="s">
        <v>475</v>
      </c>
    </row>
    <row r="2" spans="1:13" x14ac:dyDescent="0.25">
      <c r="A2" t="s">
        <v>476</v>
      </c>
      <c r="B2" t="s">
        <v>119</v>
      </c>
      <c r="C2">
        <v>1</v>
      </c>
      <c r="D2" t="s">
        <v>84</v>
      </c>
      <c r="E2" t="s">
        <v>477</v>
      </c>
      <c r="F2" t="s">
        <v>478</v>
      </c>
      <c r="G2" s="38">
        <v>43152</v>
      </c>
      <c r="H2">
        <v>33</v>
      </c>
      <c r="I2">
        <v>4110700</v>
      </c>
      <c r="J2" t="s">
        <v>474</v>
      </c>
      <c r="K2">
        <v>2660</v>
      </c>
      <c r="L2" s="60">
        <v>241227</v>
      </c>
      <c r="M2">
        <v>404.99</v>
      </c>
    </row>
    <row r="3" spans="1:13" x14ac:dyDescent="0.25">
      <c r="A3" t="s">
        <v>476</v>
      </c>
      <c r="B3" t="s">
        <v>145</v>
      </c>
      <c r="C3">
        <v>1</v>
      </c>
      <c r="D3" t="s">
        <v>84</v>
      </c>
      <c r="E3" t="s">
        <v>477</v>
      </c>
      <c r="F3" t="s">
        <v>478</v>
      </c>
      <c r="G3" s="38">
        <v>43518</v>
      </c>
      <c r="H3">
        <v>33</v>
      </c>
      <c r="I3">
        <v>4110700</v>
      </c>
      <c r="J3" t="s">
        <v>474</v>
      </c>
      <c r="K3">
        <v>5253</v>
      </c>
      <c r="L3" s="60">
        <v>501158</v>
      </c>
      <c r="M3">
        <v>765.91</v>
      </c>
    </row>
    <row r="4" spans="1:13" x14ac:dyDescent="0.25">
      <c r="A4" t="s">
        <v>476</v>
      </c>
      <c r="B4" t="s">
        <v>117</v>
      </c>
      <c r="C4">
        <v>1</v>
      </c>
      <c r="D4" t="s">
        <v>84</v>
      </c>
      <c r="E4" t="s">
        <v>477</v>
      </c>
      <c r="F4" t="s">
        <v>478</v>
      </c>
      <c r="G4" s="38">
        <v>43188</v>
      </c>
      <c r="H4">
        <v>33</v>
      </c>
      <c r="I4">
        <v>4110700</v>
      </c>
      <c r="J4" t="s">
        <v>474</v>
      </c>
      <c r="K4">
        <v>2965</v>
      </c>
      <c r="L4" s="60">
        <v>241845</v>
      </c>
      <c r="M4">
        <v>399.57</v>
      </c>
    </row>
    <row r="5" spans="1:13" x14ac:dyDescent="0.25">
      <c r="A5" t="s">
        <v>476</v>
      </c>
      <c r="B5" t="s">
        <v>147</v>
      </c>
      <c r="C5">
        <v>1</v>
      </c>
      <c r="D5" t="s">
        <v>84</v>
      </c>
      <c r="E5" t="s">
        <v>477</v>
      </c>
      <c r="F5" t="s">
        <v>478</v>
      </c>
      <c r="G5" s="38">
        <v>43543</v>
      </c>
      <c r="H5">
        <v>33</v>
      </c>
      <c r="I5">
        <v>4110700</v>
      </c>
      <c r="J5" t="s">
        <v>474</v>
      </c>
      <c r="K5">
        <v>5420</v>
      </c>
      <c r="L5" s="60">
        <v>501163</v>
      </c>
      <c r="M5">
        <v>751.13</v>
      </c>
    </row>
    <row r="6" spans="1:13" x14ac:dyDescent="0.25">
      <c r="A6" t="s">
        <v>476</v>
      </c>
      <c r="B6" t="s">
        <v>118</v>
      </c>
      <c r="C6">
        <v>1</v>
      </c>
      <c r="D6" t="s">
        <v>84</v>
      </c>
      <c r="E6" t="s">
        <v>477</v>
      </c>
      <c r="F6" t="s">
        <v>478</v>
      </c>
      <c r="G6" s="38">
        <v>43208</v>
      </c>
      <c r="H6">
        <v>33</v>
      </c>
      <c r="I6">
        <v>4110700</v>
      </c>
      <c r="J6" t="s">
        <v>474</v>
      </c>
      <c r="K6">
        <v>3190</v>
      </c>
      <c r="L6" s="60">
        <v>241901</v>
      </c>
      <c r="M6">
        <v>406</v>
      </c>
    </row>
    <row r="7" spans="1:13" x14ac:dyDescent="0.25">
      <c r="A7" t="s">
        <v>476</v>
      </c>
      <c r="B7" t="s">
        <v>149</v>
      </c>
      <c r="C7">
        <v>1</v>
      </c>
      <c r="D7" t="s">
        <v>84</v>
      </c>
      <c r="E7" t="s">
        <v>477</v>
      </c>
      <c r="F7" t="s">
        <v>478</v>
      </c>
      <c r="G7" s="38">
        <v>43585</v>
      </c>
      <c r="H7">
        <v>33</v>
      </c>
      <c r="I7">
        <v>4110700</v>
      </c>
      <c r="J7" t="s">
        <v>474</v>
      </c>
      <c r="K7">
        <v>6455</v>
      </c>
      <c r="L7" s="60">
        <v>501181</v>
      </c>
      <c r="M7">
        <v>739.56</v>
      </c>
    </row>
    <row r="8" spans="1:13" x14ac:dyDescent="0.25">
      <c r="A8" t="s">
        <v>476</v>
      </c>
      <c r="B8" t="s">
        <v>112</v>
      </c>
      <c r="C8">
        <v>1</v>
      </c>
      <c r="D8" t="s">
        <v>84</v>
      </c>
      <c r="E8" t="s">
        <v>477</v>
      </c>
      <c r="F8" t="s">
        <v>478</v>
      </c>
      <c r="G8" s="38">
        <v>43245</v>
      </c>
      <c r="H8">
        <v>33</v>
      </c>
      <c r="I8">
        <v>4110700</v>
      </c>
      <c r="J8" t="s">
        <v>474</v>
      </c>
      <c r="K8">
        <v>3375</v>
      </c>
      <c r="L8" s="60">
        <v>247218</v>
      </c>
      <c r="M8">
        <v>395.99</v>
      </c>
    </row>
    <row r="9" spans="1:13" x14ac:dyDescent="0.25">
      <c r="A9" t="s">
        <v>476</v>
      </c>
      <c r="B9" t="s">
        <v>150</v>
      </c>
      <c r="C9">
        <v>1</v>
      </c>
      <c r="D9" t="s">
        <v>84</v>
      </c>
      <c r="E9" t="s">
        <v>477</v>
      </c>
      <c r="F9" t="s">
        <v>478</v>
      </c>
      <c r="G9" s="38">
        <v>43601</v>
      </c>
      <c r="H9">
        <v>33</v>
      </c>
      <c r="I9">
        <v>4110700</v>
      </c>
      <c r="J9" t="s">
        <v>474</v>
      </c>
      <c r="K9">
        <v>6506</v>
      </c>
      <c r="L9" s="60">
        <v>460407</v>
      </c>
      <c r="M9">
        <v>664.73</v>
      </c>
    </row>
    <row r="10" spans="1:13" x14ac:dyDescent="0.25">
      <c r="A10" t="s">
        <v>476</v>
      </c>
      <c r="B10" t="s">
        <v>120</v>
      </c>
      <c r="C10">
        <v>1</v>
      </c>
      <c r="D10" t="s">
        <v>84</v>
      </c>
      <c r="E10" t="s">
        <v>477</v>
      </c>
      <c r="F10" t="s">
        <v>478</v>
      </c>
      <c r="G10" s="38">
        <v>43266</v>
      </c>
      <c r="H10">
        <v>33</v>
      </c>
      <c r="I10">
        <v>4110700</v>
      </c>
      <c r="J10" t="s">
        <v>474</v>
      </c>
      <c r="K10">
        <v>3630</v>
      </c>
      <c r="L10" s="60">
        <v>241841</v>
      </c>
      <c r="M10">
        <v>381.46</v>
      </c>
    </row>
    <row r="11" spans="1:13" x14ac:dyDescent="0.25">
      <c r="A11" t="s">
        <v>476</v>
      </c>
      <c r="B11" t="s">
        <v>152</v>
      </c>
      <c r="C11">
        <v>1</v>
      </c>
      <c r="D11" t="s">
        <v>84</v>
      </c>
      <c r="E11" t="s">
        <v>477</v>
      </c>
      <c r="F11" t="s">
        <v>478</v>
      </c>
      <c r="G11" s="38">
        <v>43634</v>
      </c>
      <c r="H11">
        <v>33</v>
      </c>
      <c r="I11">
        <v>4110700</v>
      </c>
      <c r="J11" t="s">
        <v>474</v>
      </c>
      <c r="K11">
        <v>6776</v>
      </c>
      <c r="L11" s="60">
        <v>513609</v>
      </c>
      <c r="M11">
        <v>734.23</v>
      </c>
    </row>
    <row r="12" spans="1:13" x14ac:dyDescent="0.25">
      <c r="A12" t="s">
        <v>476</v>
      </c>
      <c r="B12" t="s">
        <v>126</v>
      </c>
      <c r="C12">
        <v>1</v>
      </c>
      <c r="D12" t="s">
        <v>84</v>
      </c>
      <c r="E12" t="s">
        <v>477</v>
      </c>
      <c r="F12" t="s">
        <v>478</v>
      </c>
      <c r="G12" s="38">
        <v>43294</v>
      </c>
      <c r="H12">
        <v>33</v>
      </c>
      <c r="I12">
        <v>4110700</v>
      </c>
      <c r="J12" t="s">
        <v>474</v>
      </c>
      <c r="K12">
        <v>3770</v>
      </c>
      <c r="L12" s="60">
        <v>248282</v>
      </c>
      <c r="M12">
        <v>383.12</v>
      </c>
    </row>
    <row r="13" spans="1:13" x14ac:dyDescent="0.25">
      <c r="A13" t="s">
        <v>476</v>
      </c>
      <c r="B13" t="s">
        <v>153</v>
      </c>
      <c r="C13">
        <v>1</v>
      </c>
      <c r="D13" t="s">
        <v>84</v>
      </c>
      <c r="E13" t="s">
        <v>477</v>
      </c>
      <c r="F13" t="s">
        <v>478</v>
      </c>
      <c r="G13" s="38">
        <v>43658</v>
      </c>
      <c r="H13">
        <v>33</v>
      </c>
      <c r="I13">
        <v>4110700</v>
      </c>
      <c r="J13" t="s">
        <v>474</v>
      </c>
      <c r="K13">
        <v>6977</v>
      </c>
      <c r="L13" s="60">
        <v>519014</v>
      </c>
      <c r="M13">
        <v>759.48</v>
      </c>
    </row>
    <row r="14" spans="1:13" x14ac:dyDescent="0.25">
      <c r="A14" t="s">
        <v>476</v>
      </c>
      <c r="B14" t="s">
        <v>139</v>
      </c>
      <c r="C14">
        <v>1</v>
      </c>
      <c r="D14" t="s">
        <v>84</v>
      </c>
      <c r="E14" t="s">
        <v>477</v>
      </c>
      <c r="F14" t="s">
        <v>478</v>
      </c>
      <c r="G14" s="38">
        <v>43329</v>
      </c>
      <c r="H14">
        <v>33</v>
      </c>
      <c r="I14">
        <v>4110700</v>
      </c>
      <c r="J14" t="s">
        <v>474</v>
      </c>
      <c r="K14">
        <v>4135</v>
      </c>
      <c r="L14" s="60">
        <v>254442</v>
      </c>
      <c r="M14">
        <v>381.97</v>
      </c>
    </row>
    <row r="15" spans="1:13" x14ac:dyDescent="0.25">
      <c r="A15" t="s">
        <v>476</v>
      </c>
      <c r="B15" t="s">
        <v>146</v>
      </c>
      <c r="C15">
        <v>1</v>
      </c>
      <c r="D15" t="s">
        <v>84</v>
      </c>
      <c r="E15" t="s">
        <v>477</v>
      </c>
      <c r="F15" t="s">
        <v>478</v>
      </c>
      <c r="G15" s="38">
        <v>43691</v>
      </c>
      <c r="H15">
        <v>33</v>
      </c>
      <c r="I15">
        <v>4110700</v>
      </c>
      <c r="J15" t="s">
        <v>474</v>
      </c>
      <c r="K15">
        <v>7372</v>
      </c>
      <c r="L15" s="60">
        <v>533638</v>
      </c>
      <c r="M15">
        <v>753.33</v>
      </c>
    </row>
    <row r="16" spans="1:13" x14ac:dyDescent="0.25">
      <c r="A16" t="s">
        <v>476</v>
      </c>
      <c r="B16" t="s">
        <v>140</v>
      </c>
      <c r="C16">
        <v>1</v>
      </c>
      <c r="D16" t="s">
        <v>84</v>
      </c>
      <c r="E16" t="s">
        <v>477</v>
      </c>
      <c r="F16" t="s">
        <v>478</v>
      </c>
      <c r="G16" s="38">
        <v>43356</v>
      </c>
      <c r="H16">
        <v>33</v>
      </c>
      <c r="I16">
        <v>4110700</v>
      </c>
      <c r="J16" t="s">
        <v>474</v>
      </c>
      <c r="K16">
        <v>4315</v>
      </c>
      <c r="L16" s="60">
        <v>255843</v>
      </c>
      <c r="M16">
        <v>370.22</v>
      </c>
    </row>
    <row r="17" spans="1:13" x14ac:dyDescent="0.25">
      <c r="A17" t="s">
        <v>476</v>
      </c>
      <c r="B17" t="s">
        <v>151</v>
      </c>
      <c r="C17">
        <v>1</v>
      </c>
      <c r="D17" t="s">
        <v>84</v>
      </c>
      <c r="E17" t="s">
        <v>477</v>
      </c>
      <c r="F17" t="s">
        <v>478</v>
      </c>
      <c r="G17" s="38">
        <v>43720</v>
      </c>
      <c r="H17">
        <v>33</v>
      </c>
      <c r="I17">
        <v>4110700</v>
      </c>
      <c r="J17" t="s">
        <v>474</v>
      </c>
      <c r="K17">
        <v>7848</v>
      </c>
      <c r="L17" s="60">
        <v>533935</v>
      </c>
      <c r="M17">
        <v>747.4</v>
      </c>
    </row>
    <row r="18" spans="1:13" x14ac:dyDescent="0.25">
      <c r="A18" t="s">
        <v>476</v>
      </c>
      <c r="B18" t="s">
        <v>113</v>
      </c>
      <c r="C18">
        <v>1</v>
      </c>
      <c r="D18" t="s">
        <v>84</v>
      </c>
      <c r="E18" t="s">
        <v>477</v>
      </c>
      <c r="F18" t="s">
        <v>478</v>
      </c>
      <c r="G18" s="38">
        <v>43392</v>
      </c>
      <c r="H18">
        <v>33</v>
      </c>
      <c r="I18">
        <v>4110700</v>
      </c>
      <c r="J18" t="s">
        <v>474</v>
      </c>
      <c r="K18">
        <v>4513</v>
      </c>
      <c r="L18" s="60">
        <v>237076</v>
      </c>
      <c r="M18">
        <v>351.39</v>
      </c>
    </row>
    <row r="19" spans="1:13" x14ac:dyDescent="0.25">
      <c r="A19" t="s">
        <v>476</v>
      </c>
      <c r="B19" t="s">
        <v>154</v>
      </c>
      <c r="C19">
        <v>1</v>
      </c>
      <c r="D19" t="s">
        <v>84</v>
      </c>
      <c r="E19" t="s">
        <v>477</v>
      </c>
      <c r="F19" t="s">
        <v>478</v>
      </c>
      <c r="G19" s="38">
        <v>43754</v>
      </c>
      <c r="H19">
        <v>33</v>
      </c>
      <c r="I19">
        <v>4110700</v>
      </c>
      <c r="J19" t="s">
        <v>474</v>
      </c>
      <c r="K19">
        <v>8168</v>
      </c>
      <c r="L19" s="60">
        <v>566640</v>
      </c>
      <c r="M19">
        <v>791.97</v>
      </c>
    </row>
    <row r="20" spans="1:13" x14ac:dyDescent="0.25">
      <c r="A20" t="s">
        <v>476</v>
      </c>
      <c r="B20" t="s">
        <v>114</v>
      </c>
      <c r="C20">
        <v>1</v>
      </c>
      <c r="D20" t="s">
        <v>84</v>
      </c>
      <c r="E20" t="s">
        <v>477</v>
      </c>
      <c r="F20" t="s">
        <v>478</v>
      </c>
      <c r="G20" s="38">
        <v>43431</v>
      </c>
      <c r="H20">
        <v>33</v>
      </c>
      <c r="I20">
        <v>4110700</v>
      </c>
      <c r="J20" t="s">
        <v>474</v>
      </c>
      <c r="K20">
        <v>4847</v>
      </c>
      <c r="L20" s="60">
        <v>239743</v>
      </c>
      <c r="M20">
        <v>354.71</v>
      </c>
    </row>
    <row r="21" spans="1:13" x14ac:dyDescent="0.25">
      <c r="A21" t="s">
        <v>476</v>
      </c>
      <c r="B21" t="s">
        <v>156</v>
      </c>
      <c r="C21">
        <v>1</v>
      </c>
      <c r="D21" t="s">
        <v>84</v>
      </c>
      <c r="E21" t="s">
        <v>477</v>
      </c>
      <c r="F21" t="s">
        <v>478</v>
      </c>
      <c r="G21" s="38">
        <v>43783</v>
      </c>
      <c r="H21">
        <v>33</v>
      </c>
      <c r="I21">
        <v>4110700</v>
      </c>
      <c r="J21" t="s">
        <v>474</v>
      </c>
      <c r="K21">
        <v>8549</v>
      </c>
      <c r="L21" s="60">
        <v>534330</v>
      </c>
      <c r="M21">
        <v>672.53</v>
      </c>
    </row>
    <row r="22" spans="1:13" x14ac:dyDescent="0.25">
      <c r="A22" t="s">
        <v>476</v>
      </c>
      <c r="B22" t="s">
        <v>115</v>
      </c>
      <c r="C22">
        <v>1</v>
      </c>
      <c r="D22" t="s">
        <v>84</v>
      </c>
      <c r="E22" t="s">
        <v>477</v>
      </c>
      <c r="F22" t="s">
        <v>478</v>
      </c>
      <c r="G22" s="38">
        <v>43448</v>
      </c>
      <c r="H22">
        <v>33</v>
      </c>
      <c r="I22">
        <v>4110700</v>
      </c>
      <c r="J22" t="s">
        <v>474</v>
      </c>
      <c r="K22">
        <v>4953</v>
      </c>
      <c r="L22" s="60">
        <v>239740</v>
      </c>
      <c r="M22">
        <v>351.95</v>
      </c>
    </row>
    <row r="23" spans="1:13" x14ac:dyDescent="0.25">
      <c r="A23" t="s">
        <v>476</v>
      </c>
      <c r="B23" t="s">
        <v>155</v>
      </c>
      <c r="C23">
        <v>1</v>
      </c>
      <c r="D23" t="s">
        <v>84</v>
      </c>
      <c r="E23" t="s">
        <v>477</v>
      </c>
      <c r="F23" t="s">
        <v>478</v>
      </c>
      <c r="G23" s="38">
        <v>43816</v>
      </c>
      <c r="H23">
        <v>33</v>
      </c>
      <c r="I23">
        <v>4110700</v>
      </c>
      <c r="J23" t="s">
        <v>474</v>
      </c>
      <c r="K23">
        <v>9039</v>
      </c>
      <c r="L23" s="60">
        <v>534421</v>
      </c>
      <c r="M23">
        <v>700.58</v>
      </c>
    </row>
    <row r="24" spans="1:13" x14ac:dyDescent="0.25">
      <c r="A24" t="s">
        <v>476</v>
      </c>
      <c r="B24" t="s">
        <v>116</v>
      </c>
      <c r="C24">
        <v>1</v>
      </c>
      <c r="D24" t="s">
        <v>84</v>
      </c>
      <c r="E24" t="s">
        <v>477</v>
      </c>
      <c r="F24" t="s">
        <v>478</v>
      </c>
      <c r="G24" s="38">
        <v>43486</v>
      </c>
      <c r="H24">
        <v>33</v>
      </c>
      <c r="I24">
        <v>4110700</v>
      </c>
      <c r="J24" t="s">
        <v>474</v>
      </c>
      <c r="K24">
        <v>5148</v>
      </c>
      <c r="L24" s="60">
        <v>239731</v>
      </c>
      <c r="M24">
        <v>357.75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BK343"/>
  <sheetViews>
    <sheetView topLeftCell="N1" workbookViewId="0">
      <selection activeCell="Z2" sqref="Z2"/>
    </sheetView>
  </sheetViews>
  <sheetFormatPr baseColWidth="10" defaultColWidth="9.140625" defaultRowHeight="15" x14ac:dyDescent="0.25"/>
  <cols>
    <col min="1" max="1" width="5.285156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6.140625" bestFit="1" customWidth="1"/>
    <col min="8" max="8" width="12.5703125" bestFit="1" customWidth="1"/>
    <col min="9" max="9" width="16.7109375" bestFit="1" customWidth="1"/>
    <col min="10" max="10" width="11.7109375" bestFit="1" customWidth="1"/>
    <col min="11" max="11" width="13" bestFit="1" customWidth="1"/>
    <col min="12" max="12" width="13.85546875" bestFit="1" customWidth="1"/>
    <col min="13" max="13" width="10" bestFit="1" customWidth="1"/>
    <col min="14" max="14" width="15.85546875" bestFit="1" customWidth="1"/>
    <col min="15" max="15" width="12" bestFit="1" customWidth="1"/>
    <col min="16" max="16" width="7.28515625" bestFit="1" customWidth="1"/>
    <col min="17" max="17" width="11.28515625" bestFit="1" customWidth="1"/>
    <col min="18" max="18" width="9.85546875" bestFit="1" customWidth="1"/>
    <col min="19" max="19" width="18.5703125" bestFit="1" customWidth="1"/>
    <col min="20" max="20" width="14.7109375" bestFit="1" customWidth="1"/>
    <col min="21" max="21" width="16.5703125" bestFit="1" customWidth="1"/>
    <col min="22" max="22" width="32.7109375" bestFit="1" customWidth="1"/>
    <col min="23" max="23" width="16.42578125" bestFit="1" customWidth="1"/>
    <col min="24" max="24" width="13.140625" bestFit="1" customWidth="1"/>
    <col min="25" max="25" width="9" bestFit="1" customWidth="1"/>
    <col min="26" max="26" width="38" style="60" bestFit="1" customWidth="1"/>
    <col min="27" max="27" width="21.28515625" bestFit="1" customWidth="1"/>
    <col min="28" max="28" width="23.42578125" bestFit="1" customWidth="1"/>
    <col min="29" max="29" width="23.7109375" bestFit="1" customWidth="1"/>
    <col min="30" max="30" width="13" bestFit="1" customWidth="1"/>
    <col min="31" max="31" width="33.28515625" bestFit="1" customWidth="1"/>
    <col min="32" max="32" width="13" bestFit="1" customWidth="1"/>
    <col min="33" max="33" width="34" bestFit="1" customWidth="1"/>
    <col min="34" max="34" width="18.85546875" bestFit="1" customWidth="1"/>
    <col min="35" max="35" width="21.28515625" bestFit="1" customWidth="1"/>
    <col min="36" max="36" width="45" bestFit="1" customWidth="1"/>
    <col min="37" max="37" width="12" bestFit="1" customWidth="1"/>
    <col min="38" max="38" width="33.140625" style="62" bestFit="1" customWidth="1"/>
    <col min="39" max="39" width="29.5703125" bestFit="1" customWidth="1"/>
    <col min="40" max="40" width="38.140625" bestFit="1" customWidth="1"/>
    <col min="41" max="41" width="22.42578125" bestFit="1" customWidth="1"/>
    <col min="42" max="42" width="50" bestFit="1" customWidth="1"/>
    <col min="43" max="43" width="13.140625" bestFit="1" customWidth="1"/>
    <col min="44" max="44" width="38.140625" bestFit="1" customWidth="1"/>
    <col min="45" max="45" width="48.85546875" style="60" bestFit="1" customWidth="1"/>
    <col min="46" max="46" width="26.42578125" bestFit="1" customWidth="1"/>
    <col min="47" max="47" width="23.28515625" bestFit="1" customWidth="1"/>
    <col min="48" max="48" width="23.5703125" bestFit="1" customWidth="1"/>
    <col min="49" max="49" width="13" bestFit="1" customWidth="1"/>
    <col min="50" max="50" width="32.140625" bestFit="1" customWidth="1"/>
    <col min="51" max="51" width="12.85546875" bestFit="1" customWidth="1"/>
    <col min="52" max="52" width="33.85546875" bestFit="1" customWidth="1"/>
    <col min="53" max="53" width="24" bestFit="1" customWidth="1"/>
    <col min="54" max="54" width="21" bestFit="1" customWidth="1"/>
    <col min="55" max="55" width="44.85546875" bestFit="1" customWidth="1"/>
    <col min="56" max="56" width="12" bestFit="1" customWidth="1"/>
    <col min="57" max="57" width="33" style="62" bestFit="1" customWidth="1"/>
    <col min="58" max="58" width="29.42578125" bestFit="1" customWidth="1"/>
    <col min="59" max="59" width="22.28515625" bestFit="1" customWidth="1"/>
    <col min="60" max="60" width="49.85546875" bestFit="1" customWidth="1"/>
    <col min="61" max="61" width="13" bestFit="1" customWidth="1"/>
    <col min="62" max="62" width="38" style="62" bestFit="1" customWidth="1"/>
    <col min="63" max="63" width="48.7109375" style="60" bestFit="1" customWidth="1"/>
  </cols>
  <sheetData>
    <row r="1" spans="1:63" x14ac:dyDescent="0.25">
      <c r="A1" s="37" t="s">
        <v>31</v>
      </c>
      <c r="B1" s="37" t="s">
        <v>1</v>
      </c>
      <c r="C1" s="37" t="s">
        <v>2</v>
      </c>
      <c r="D1" s="37" t="s">
        <v>3</v>
      </c>
      <c r="E1" s="37" t="s">
        <v>43</v>
      </c>
      <c r="F1" s="37" t="s">
        <v>362</v>
      </c>
      <c r="G1" s="37" t="s">
        <v>363</v>
      </c>
      <c r="H1" s="37" t="s">
        <v>364</v>
      </c>
      <c r="I1" s="37" t="s">
        <v>365</v>
      </c>
      <c r="J1" s="37" t="s">
        <v>10</v>
      </c>
      <c r="K1" s="37" t="s">
        <v>366</v>
      </c>
      <c r="L1" s="37" t="s">
        <v>367</v>
      </c>
      <c r="M1" s="37" t="s">
        <v>368</v>
      </c>
      <c r="N1" s="37" t="s">
        <v>369</v>
      </c>
      <c r="O1" s="37" t="s">
        <v>370</v>
      </c>
      <c r="P1" s="37" t="s">
        <v>42</v>
      </c>
      <c r="Q1" s="37" t="s">
        <v>371</v>
      </c>
      <c r="R1" s="37" t="s">
        <v>372</v>
      </c>
      <c r="S1" s="37" t="s">
        <v>373</v>
      </c>
      <c r="T1" s="37" t="s">
        <v>374</v>
      </c>
      <c r="U1" s="37" t="s">
        <v>375</v>
      </c>
      <c r="V1" s="37" t="s">
        <v>376</v>
      </c>
      <c r="W1" s="37" t="s">
        <v>377</v>
      </c>
      <c r="X1" s="37" t="s">
        <v>378</v>
      </c>
      <c r="Y1" s="37" t="s">
        <v>379</v>
      </c>
      <c r="Z1" s="59" t="s">
        <v>380</v>
      </c>
      <c r="AA1" s="37" t="s">
        <v>386</v>
      </c>
      <c r="AB1" s="37" t="s">
        <v>387</v>
      </c>
      <c r="AC1" s="37" t="s">
        <v>388</v>
      </c>
      <c r="AD1" s="37" t="s">
        <v>389</v>
      </c>
      <c r="AE1" s="37" t="s">
        <v>390</v>
      </c>
      <c r="AF1" s="37" t="s">
        <v>391</v>
      </c>
      <c r="AG1" s="37" t="s">
        <v>392</v>
      </c>
      <c r="AH1" s="37" t="s">
        <v>393</v>
      </c>
      <c r="AI1" s="37" t="s">
        <v>394</v>
      </c>
      <c r="AJ1" s="37" t="s">
        <v>395</v>
      </c>
      <c r="AK1" s="37" t="s">
        <v>396</v>
      </c>
      <c r="AL1" s="61" t="s">
        <v>397</v>
      </c>
      <c r="AM1" s="37" t="s">
        <v>398</v>
      </c>
      <c r="AN1" s="37" t="s">
        <v>399</v>
      </c>
      <c r="AO1" s="37" t="s">
        <v>400</v>
      </c>
      <c r="AP1" s="37" t="s">
        <v>401</v>
      </c>
      <c r="AQ1" s="37" t="s">
        <v>402</v>
      </c>
      <c r="AR1" s="37" t="s">
        <v>403</v>
      </c>
      <c r="AS1" s="59" t="s">
        <v>456</v>
      </c>
      <c r="AT1" s="37" t="s">
        <v>405</v>
      </c>
      <c r="AU1" s="37" t="s">
        <v>406</v>
      </c>
      <c r="AV1" s="37" t="s">
        <v>407</v>
      </c>
      <c r="AW1" s="37" t="s">
        <v>408</v>
      </c>
      <c r="AX1" s="37" t="s">
        <v>409</v>
      </c>
      <c r="AY1" s="37" t="s">
        <v>410</v>
      </c>
      <c r="AZ1" s="37" t="s">
        <v>411</v>
      </c>
      <c r="BA1" s="37" t="s">
        <v>412</v>
      </c>
      <c r="BB1" s="37" t="s">
        <v>413</v>
      </c>
      <c r="BC1" s="37" t="s">
        <v>414</v>
      </c>
      <c r="BD1" s="37" t="s">
        <v>415</v>
      </c>
      <c r="BE1" s="61" t="s">
        <v>416</v>
      </c>
      <c r="BF1" s="37" t="s">
        <v>417</v>
      </c>
      <c r="BG1" s="37" t="s">
        <v>418</v>
      </c>
      <c r="BH1" s="37" t="s">
        <v>419</v>
      </c>
      <c r="BI1" s="37" t="s">
        <v>420</v>
      </c>
      <c r="BJ1" s="61" t="s">
        <v>421</v>
      </c>
      <c r="BK1" s="59" t="s">
        <v>457</v>
      </c>
    </row>
    <row r="2" spans="1:63" x14ac:dyDescent="0.25">
      <c r="A2">
        <v>9</v>
      </c>
      <c r="B2" t="s">
        <v>107</v>
      </c>
      <c r="C2">
        <v>2016</v>
      </c>
      <c r="D2">
        <v>1</v>
      </c>
      <c r="E2" t="s">
        <v>100</v>
      </c>
      <c r="F2" t="s">
        <v>426</v>
      </c>
      <c r="G2" t="s">
        <v>427</v>
      </c>
      <c r="H2" t="s">
        <v>84</v>
      </c>
      <c r="I2" t="s">
        <v>428</v>
      </c>
      <c r="J2" t="s">
        <v>381</v>
      </c>
      <c r="K2">
        <v>-1412.8210930099999</v>
      </c>
      <c r="L2" t="s">
        <v>381</v>
      </c>
      <c r="M2" t="s">
        <v>382</v>
      </c>
      <c r="N2">
        <v>1.486442100011E-2</v>
      </c>
      <c r="O2">
        <v>21.000767524336212</v>
      </c>
      <c r="P2" t="s">
        <v>440</v>
      </c>
      <c r="Q2">
        <v>2</v>
      </c>
      <c r="R2">
        <v>31.615939999999998</v>
      </c>
      <c r="S2">
        <v>0.104</v>
      </c>
      <c r="T2">
        <v>3.2880577999999998</v>
      </c>
      <c r="U2">
        <v>1.9E-2</v>
      </c>
      <c r="V2">
        <v>62.472999999999999</v>
      </c>
      <c r="W2">
        <v>2</v>
      </c>
      <c r="X2">
        <v>8.0034574939999992E-3</v>
      </c>
      <c r="Y2">
        <v>1</v>
      </c>
      <c r="Z2" s="60">
        <v>21.000768000000001</v>
      </c>
      <c r="AA2" t="s">
        <v>423</v>
      </c>
      <c r="AB2" t="s">
        <v>424</v>
      </c>
      <c r="AC2" t="s">
        <v>425</v>
      </c>
      <c r="AD2" t="s">
        <v>81</v>
      </c>
      <c r="AE2">
        <v>111.133</v>
      </c>
      <c r="AF2">
        <v>0.99656169611782708</v>
      </c>
      <c r="AG2">
        <v>110.7508909746625</v>
      </c>
      <c r="AH2">
        <v>628.50318181818193</v>
      </c>
      <c r="AI2">
        <v>1</v>
      </c>
      <c r="AJ2">
        <v>69.607287366773932</v>
      </c>
      <c r="AK2">
        <v>0.89239999999999997</v>
      </c>
      <c r="AL2" s="62">
        <v>62.118000000000002</v>
      </c>
      <c r="AM2">
        <v>8.9176000000000002</v>
      </c>
      <c r="AN2">
        <v>8.8869385813003348</v>
      </c>
      <c r="AO2">
        <v>1</v>
      </c>
      <c r="AP2">
        <v>5585.4691749700214</v>
      </c>
      <c r="AQ2">
        <v>0.98143450184501846</v>
      </c>
      <c r="AR2">
        <v>5481.7722000000003</v>
      </c>
      <c r="AS2" s="60">
        <v>115121.4262010496</v>
      </c>
      <c r="AT2" t="s">
        <v>423</v>
      </c>
      <c r="AU2" t="s">
        <v>424</v>
      </c>
      <c r="AV2" t="s">
        <v>425</v>
      </c>
      <c r="AW2" t="s">
        <v>81</v>
      </c>
      <c r="AX2">
        <v>111.133</v>
      </c>
      <c r="AY2">
        <v>0.99656169611782708</v>
      </c>
      <c r="AZ2">
        <v>110.7508909746625</v>
      </c>
      <c r="BA2">
        <v>691.73</v>
      </c>
      <c r="BB2">
        <v>1</v>
      </c>
      <c r="BC2">
        <v>76.609713813903269</v>
      </c>
      <c r="BD2">
        <v>0.89239999999999997</v>
      </c>
      <c r="BE2" s="62">
        <v>68.367000000000004</v>
      </c>
      <c r="BF2">
        <v>8.9176000000000002</v>
      </c>
      <c r="BG2">
        <v>1</v>
      </c>
      <c r="BH2">
        <v>6147.3620248428806</v>
      </c>
      <c r="BI2">
        <v>0.98143450184501846</v>
      </c>
      <c r="BJ2" s="62">
        <v>6033.2331999999997</v>
      </c>
      <c r="BK2" s="60">
        <v>126702.5307230976</v>
      </c>
    </row>
    <row r="3" spans="1:63" x14ac:dyDescent="0.25">
      <c r="A3">
        <v>9</v>
      </c>
      <c r="B3" t="s">
        <v>107</v>
      </c>
      <c r="C3">
        <v>2016</v>
      </c>
      <c r="D3">
        <v>1</v>
      </c>
      <c r="E3" t="s">
        <v>100</v>
      </c>
      <c r="F3" t="s">
        <v>426</v>
      </c>
      <c r="G3" t="s">
        <v>427</v>
      </c>
      <c r="H3" t="s">
        <v>84</v>
      </c>
      <c r="I3" t="s">
        <v>429</v>
      </c>
      <c r="J3" t="s">
        <v>87</v>
      </c>
      <c r="K3">
        <v>-317.12642641000002</v>
      </c>
      <c r="L3" t="s">
        <v>87</v>
      </c>
      <c r="M3" t="s">
        <v>382</v>
      </c>
      <c r="N3">
        <v>2.6818326001589999E-2</v>
      </c>
      <c r="O3">
        <v>8.5047998871826209</v>
      </c>
      <c r="P3" t="s">
        <v>440</v>
      </c>
      <c r="Q3">
        <v>2</v>
      </c>
      <c r="R3">
        <v>31.615939999999998</v>
      </c>
      <c r="S3">
        <v>0.104</v>
      </c>
      <c r="T3">
        <v>3.2880577999999998</v>
      </c>
      <c r="U3">
        <v>1.9E-2</v>
      </c>
      <c r="V3">
        <v>62.472999999999999</v>
      </c>
      <c r="W3">
        <v>2</v>
      </c>
      <c r="X3">
        <v>8.0034574939999992E-3</v>
      </c>
      <c r="Y3">
        <v>1</v>
      </c>
      <c r="Z3" s="60">
        <v>8.5047999999999995</v>
      </c>
      <c r="AA3" t="s">
        <v>423</v>
      </c>
      <c r="AB3" t="s">
        <v>424</v>
      </c>
      <c r="AC3" t="s">
        <v>425</v>
      </c>
      <c r="AD3" t="s">
        <v>81</v>
      </c>
      <c r="AE3">
        <v>111.133</v>
      </c>
      <c r="AF3">
        <v>0.99656169611782708</v>
      </c>
      <c r="AG3">
        <v>110.7508909746625</v>
      </c>
      <c r="AH3">
        <v>628.50318181818193</v>
      </c>
      <c r="AI3">
        <v>1</v>
      </c>
      <c r="AJ3">
        <v>69.607287366773932</v>
      </c>
      <c r="AK3">
        <v>0.89239999999999997</v>
      </c>
      <c r="AL3" s="62">
        <v>62.118000000000002</v>
      </c>
      <c r="AM3">
        <v>8.9176000000000002</v>
      </c>
      <c r="AN3">
        <v>8.8869385813003348</v>
      </c>
      <c r="AO3">
        <v>1</v>
      </c>
      <c r="AP3">
        <v>5585.4691749700214</v>
      </c>
      <c r="AQ3">
        <v>0.98143450184501846</v>
      </c>
      <c r="AR3">
        <v>5481.7722000000003</v>
      </c>
      <c r="AS3" s="60">
        <v>46621.376206560002</v>
      </c>
      <c r="AT3" t="s">
        <v>423</v>
      </c>
      <c r="AU3" t="s">
        <v>424</v>
      </c>
      <c r="AV3" t="s">
        <v>425</v>
      </c>
      <c r="AW3" t="s">
        <v>81</v>
      </c>
      <c r="AX3">
        <v>111.133</v>
      </c>
      <c r="AY3">
        <v>0.99656169611782708</v>
      </c>
      <c r="AZ3">
        <v>110.7508909746625</v>
      </c>
      <c r="BA3">
        <v>691.73</v>
      </c>
      <c r="BB3">
        <v>1</v>
      </c>
      <c r="BC3">
        <v>76.609713813903269</v>
      </c>
      <c r="BD3">
        <v>0.89239999999999997</v>
      </c>
      <c r="BE3" s="62">
        <v>68.367000000000004</v>
      </c>
      <c r="BF3">
        <v>8.9176000000000002</v>
      </c>
      <c r="BG3">
        <v>1</v>
      </c>
      <c r="BH3">
        <v>6147.3620248428806</v>
      </c>
      <c r="BI3">
        <v>0.98143450184501846</v>
      </c>
      <c r="BJ3" s="62">
        <v>6033.2331999999997</v>
      </c>
      <c r="BK3" s="60">
        <v>51311.441719359987</v>
      </c>
    </row>
    <row r="4" spans="1:63" x14ac:dyDescent="0.25">
      <c r="A4">
        <v>9</v>
      </c>
      <c r="B4" t="s">
        <v>107</v>
      </c>
      <c r="C4">
        <v>2016</v>
      </c>
      <c r="D4">
        <v>1</v>
      </c>
      <c r="E4" t="s">
        <v>100</v>
      </c>
      <c r="F4" t="s">
        <v>426</v>
      </c>
      <c r="G4" t="s">
        <v>427</v>
      </c>
      <c r="H4" t="s">
        <v>84</v>
      </c>
      <c r="I4" t="s">
        <v>430</v>
      </c>
      <c r="J4" t="s">
        <v>59</v>
      </c>
      <c r="K4">
        <v>-586.29806036000002</v>
      </c>
      <c r="L4" t="s">
        <v>59</v>
      </c>
      <c r="M4" t="s">
        <v>382</v>
      </c>
      <c r="N4">
        <v>2.6402538000450001E-2</v>
      </c>
      <c r="O4">
        <v>15.479756818245029</v>
      </c>
      <c r="P4" t="s">
        <v>440</v>
      </c>
      <c r="Q4">
        <v>2</v>
      </c>
      <c r="R4">
        <v>31.615939999999998</v>
      </c>
      <c r="S4">
        <v>0.104</v>
      </c>
      <c r="T4">
        <v>3.2880577999999998</v>
      </c>
      <c r="U4">
        <v>1.9E-2</v>
      </c>
      <c r="V4">
        <v>62.472999999999999</v>
      </c>
      <c r="W4">
        <v>2</v>
      </c>
      <c r="X4">
        <v>8.0034574939999992E-3</v>
      </c>
      <c r="Y4">
        <v>1</v>
      </c>
      <c r="Z4" s="60">
        <v>15.479756999999999</v>
      </c>
      <c r="AA4" t="s">
        <v>423</v>
      </c>
      <c r="AB4" t="s">
        <v>424</v>
      </c>
      <c r="AC4" t="s">
        <v>425</v>
      </c>
      <c r="AD4" t="s">
        <v>81</v>
      </c>
      <c r="AE4">
        <v>111.133</v>
      </c>
      <c r="AF4">
        <v>0.99656169611782708</v>
      </c>
      <c r="AG4">
        <v>110.7508909746625</v>
      </c>
      <c r="AH4">
        <v>628.50318181818193</v>
      </c>
      <c r="AI4">
        <v>1</v>
      </c>
      <c r="AJ4">
        <v>69.607287366773932</v>
      </c>
      <c r="AK4">
        <v>0.89239999999999997</v>
      </c>
      <c r="AL4" s="62">
        <v>62.118000000000002</v>
      </c>
      <c r="AM4">
        <v>8.9176000000000002</v>
      </c>
      <c r="AN4">
        <v>8.8869385813003348</v>
      </c>
      <c r="AO4">
        <v>1</v>
      </c>
      <c r="AP4">
        <v>5585.4691749700214</v>
      </c>
      <c r="AQ4">
        <v>0.98143450184501846</v>
      </c>
      <c r="AR4">
        <v>5481.7722000000003</v>
      </c>
      <c r="AS4" s="60">
        <v>84856.501585355407</v>
      </c>
      <c r="AT4" t="s">
        <v>423</v>
      </c>
      <c r="AU4" t="s">
        <v>424</v>
      </c>
      <c r="AV4" t="s">
        <v>425</v>
      </c>
      <c r="AW4" t="s">
        <v>81</v>
      </c>
      <c r="AX4">
        <v>111.133</v>
      </c>
      <c r="AY4">
        <v>0.99656169611782708</v>
      </c>
      <c r="AZ4">
        <v>110.7508909746625</v>
      </c>
      <c r="BA4">
        <v>691.73</v>
      </c>
      <c r="BB4">
        <v>1</v>
      </c>
      <c r="BC4">
        <v>76.609713813903269</v>
      </c>
      <c r="BD4">
        <v>0.89239999999999997</v>
      </c>
      <c r="BE4" s="62">
        <v>68.367000000000004</v>
      </c>
      <c r="BF4">
        <v>8.9176000000000002</v>
      </c>
      <c r="BG4">
        <v>1</v>
      </c>
      <c r="BH4">
        <v>6147.3620248428806</v>
      </c>
      <c r="BI4">
        <v>0.98143450184501846</v>
      </c>
      <c r="BJ4" s="62">
        <v>6033.2331999999997</v>
      </c>
      <c r="BK4" s="60">
        <v>93392.983860332388</v>
      </c>
    </row>
    <row r="5" spans="1:63" x14ac:dyDescent="0.25">
      <c r="A5">
        <v>11</v>
      </c>
      <c r="B5" t="s">
        <v>107</v>
      </c>
      <c r="C5">
        <v>2016</v>
      </c>
      <c r="D5">
        <v>1</v>
      </c>
      <c r="E5" t="s">
        <v>100</v>
      </c>
      <c r="F5" t="s">
        <v>426</v>
      </c>
      <c r="G5" t="s">
        <v>427</v>
      </c>
      <c r="H5" t="s">
        <v>84</v>
      </c>
      <c r="I5" t="s">
        <v>428</v>
      </c>
      <c r="J5" t="s">
        <v>381</v>
      </c>
      <c r="K5">
        <v>-1412.8210930099999</v>
      </c>
      <c r="L5" t="s">
        <v>381</v>
      </c>
      <c r="M5" t="s">
        <v>383</v>
      </c>
      <c r="N5">
        <v>1.0246055789998201</v>
      </c>
      <c r="O5">
        <v>1447.58437402667</v>
      </c>
      <c r="P5" t="s">
        <v>440</v>
      </c>
      <c r="Q5">
        <v>2</v>
      </c>
      <c r="R5">
        <v>31.615939999999998</v>
      </c>
      <c r="S5">
        <v>0.104</v>
      </c>
      <c r="T5">
        <v>3.2880577999999998</v>
      </c>
      <c r="U5">
        <v>0.98099999999999998</v>
      </c>
      <c r="V5">
        <v>3225.585</v>
      </c>
      <c r="W5">
        <v>2</v>
      </c>
      <c r="X5">
        <v>1.5501064100000001E-4</v>
      </c>
      <c r="Y5">
        <v>1</v>
      </c>
      <c r="Z5" s="60">
        <v>1447.584374</v>
      </c>
      <c r="AA5" t="s">
        <v>423</v>
      </c>
      <c r="AB5" t="s">
        <v>424</v>
      </c>
      <c r="AC5" t="s">
        <v>425</v>
      </c>
      <c r="AD5" t="s">
        <v>27</v>
      </c>
      <c r="AE5">
        <v>111.133</v>
      </c>
      <c r="AF5">
        <v>0.99656169611782708</v>
      </c>
      <c r="AG5">
        <v>110.7508909746625</v>
      </c>
      <c r="AH5">
        <v>628.50318181818193</v>
      </c>
      <c r="AI5">
        <v>1</v>
      </c>
      <c r="AJ5">
        <v>69.607287366773932</v>
      </c>
      <c r="AK5">
        <v>1.008</v>
      </c>
      <c r="AL5" s="62">
        <v>70.164000000000001</v>
      </c>
      <c r="AM5">
        <v>8.9176000000000002</v>
      </c>
      <c r="AN5">
        <v>8.8869385813003348</v>
      </c>
      <c r="AO5">
        <v>1</v>
      </c>
      <c r="AP5">
        <v>5585.4691749700214</v>
      </c>
      <c r="AQ5">
        <v>1.01312551271534</v>
      </c>
      <c r="AR5">
        <v>5658.7812999999996</v>
      </c>
      <c r="AS5" s="60">
        <v>8191563.3857634058</v>
      </c>
      <c r="AT5" t="s">
        <v>423</v>
      </c>
      <c r="AU5" t="s">
        <v>424</v>
      </c>
      <c r="AV5" t="s">
        <v>425</v>
      </c>
      <c r="AW5" t="s">
        <v>27</v>
      </c>
      <c r="AX5">
        <v>111.133</v>
      </c>
      <c r="AY5">
        <v>0.99656169611782708</v>
      </c>
      <c r="AZ5">
        <v>110.7508909746625</v>
      </c>
      <c r="BA5">
        <v>691.73</v>
      </c>
      <c r="BB5">
        <v>1</v>
      </c>
      <c r="BC5">
        <v>76.609713813903269</v>
      </c>
      <c r="BD5">
        <v>1.008</v>
      </c>
      <c r="BE5" s="62">
        <v>77.222999999999999</v>
      </c>
      <c r="BF5">
        <v>8.9176000000000002</v>
      </c>
      <c r="BG5">
        <v>1</v>
      </c>
      <c r="BH5">
        <v>6147.3620248428806</v>
      </c>
      <c r="BI5">
        <v>1.01312551271534</v>
      </c>
      <c r="BJ5" s="62">
        <v>6228.0492999999997</v>
      </c>
      <c r="BK5" s="60">
        <v>9015626.8471816387</v>
      </c>
    </row>
    <row r="6" spans="1:63" x14ac:dyDescent="0.25">
      <c r="A6">
        <v>11</v>
      </c>
      <c r="B6" t="s">
        <v>107</v>
      </c>
      <c r="C6">
        <v>2016</v>
      </c>
      <c r="D6">
        <v>1</v>
      </c>
      <c r="E6" t="s">
        <v>100</v>
      </c>
      <c r="F6" t="s">
        <v>426</v>
      </c>
      <c r="G6" t="s">
        <v>427</v>
      </c>
      <c r="H6" t="s">
        <v>84</v>
      </c>
      <c r="I6" t="s">
        <v>429</v>
      </c>
      <c r="J6" t="s">
        <v>87</v>
      </c>
      <c r="K6">
        <v>-317.12642641000002</v>
      </c>
      <c r="L6" t="s">
        <v>87</v>
      </c>
      <c r="M6" t="s">
        <v>383</v>
      </c>
      <c r="N6">
        <v>1.0126516739981899</v>
      </c>
      <c r="O6">
        <v>321.1386065731503</v>
      </c>
      <c r="P6" t="s">
        <v>440</v>
      </c>
      <c r="Q6">
        <v>2</v>
      </c>
      <c r="R6">
        <v>31.615939999999998</v>
      </c>
      <c r="S6">
        <v>0.104</v>
      </c>
      <c r="T6">
        <v>3.2880577999999998</v>
      </c>
      <c r="U6">
        <v>0.98099999999999998</v>
      </c>
      <c r="V6">
        <v>3225.585</v>
      </c>
      <c r="W6">
        <v>2</v>
      </c>
      <c r="X6">
        <v>1.5501064100000001E-4</v>
      </c>
      <c r="Y6">
        <v>1</v>
      </c>
      <c r="Z6" s="60">
        <v>321.13860699999998</v>
      </c>
      <c r="AA6" t="s">
        <v>423</v>
      </c>
      <c r="AB6" t="s">
        <v>424</v>
      </c>
      <c r="AC6" t="s">
        <v>425</v>
      </c>
      <c r="AD6" t="s">
        <v>27</v>
      </c>
      <c r="AE6">
        <v>111.133</v>
      </c>
      <c r="AF6">
        <v>0.99656169611782708</v>
      </c>
      <c r="AG6">
        <v>110.7508909746625</v>
      </c>
      <c r="AH6">
        <v>628.50318181818193</v>
      </c>
      <c r="AI6">
        <v>1</v>
      </c>
      <c r="AJ6">
        <v>69.607287366773932</v>
      </c>
      <c r="AK6">
        <v>1.008</v>
      </c>
      <c r="AL6" s="62">
        <v>70.164000000000001</v>
      </c>
      <c r="AM6">
        <v>8.9176000000000002</v>
      </c>
      <c r="AN6">
        <v>8.8869385813003348</v>
      </c>
      <c r="AO6">
        <v>1</v>
      </c>
      <c r="AP6">
        <v>5585.4691749700214</v>
      </c>
      <c r="AQ6">
        <v>1.01312551271534</v>
      </c>
      <c r="AR6">
        <v>5658.7812999999996</v>
      </c>
      <c r="AS6" s="60">
        <v>1817253.143999649</v>
      </c>
      <c r="AT6" t="s">
        <v>423</v>
      </c>
      <c r="AU6" t="s">
        <v>424</v>
      </c>
      <c r="AV6" t="s">
        <v>425</v>
      </c>
      <c r="AW6" t="s">
        <v>27</v>
      </c>
      <c r="AX6">
        <v>111.133</v>
      </c>
      <c r="AY6">
        <v>0.99656169611782708</v>
      </c>
      <c r="AZ6">
        <v>110.7508909746625</v>
      </c>
      <c r="BA6">
        <v>691.73</v>
      </c>
      <c r="BB6">
        <v>1</v>
      </c>
      <c r="BC6">
        <v>76.609713813903269</v>
      </c>
      <c r="BD6">
        <v>1.008</v>
      </c>
      <c r="BE6" s="62">
        <v>77.222999999999999</v>
      </c>
      <c r="BF6">
        <v>8.9176000000000002</v>
      </c>
      <c r="BG6">
        <v>1</v>
      </c>
      <c r="BH6">
        <v>6147.3620248428806</v>
      </c>
      <c r="BI6">
        <v>1.01312551271534</v>
      </c>
      <c r="BJ6" s="62">
        <v>6228.0492999999997</v>
      </c>
      <c r="BK6" s="60">
        <v>2000067.076529325</v>
      </c>
    </row>
    <row r="7" spans="1:63" x14ac:dyDescent="0.25">
      <c r="A7">
        <v>11</v>
      </c>
      <c r="B7" t="s">
        <v>107</v>
      </c>
      <c r="C7">
        <v>2016</v>
      </c>
      <c r="D7">
        <v>1</v>
      </c>
      <c r="E7" t="s">
        <v>100</v>
      </c>
      <c r="F7" t="s">
        <v>426</v>
      </c>
      <c r="G7" t="s">
        <v>427</v>
      </c>
      <c r="H7" t="s">
        <v>84</v>
      </c>
      <c r="I7" t="s">
        <v>430</v>
      </c>
      <c r="J7" t="s">
        <v>59</v>
      </c>
      <c r="K7">
        <v>-586.29806036000002</v>
      </c>
      <c r="L7" t="s">
        <v>59</v>
      </c>
      <c r="M7" t="s">
        <v>383</v>
      </c>
      <c r="N7">
        <v>1.0130674620009701</v>
      </c>
      <c r="O7">
        <v>593.95948798499671</v>
      </c>
      <c r="P7" t="s">
        <v>440</v>
      </c>
      <c r="Q7">
        <v>2</v>
      </c>
      <c r="R7">
        <v>31.615939999999998</v>
      </c>
      <c r="S7">
        <v>0.104</v>
      </c>
      <c r="T7">
        <v>3.2880577999999998</v>
      </c>
      <c r="U7">
        <v>0.98099999999999998</v>
      </c>
      <c r="V7">
        <v>3225.585</v>
      </c>
      <c r="W7">
        <v>2</v>
      </c>
      <c r="X7">
        <v>1.5501064100000001E-4</v>
      </c>
      <c r="Y7">
        <v>1</v>
      </c>
      <c r="Z7" s="60">
        <v>593.95948799999996</v>
      </c>
      <c r="AA7" t="s">
        <v>423</v>
      </c>
      <c r="AB7" t="s">
        <v>424</v>
      </c>
      <c r="AC7" t="s">
        <v>425</v>
      </c>
      <c r="AD7" t="s">
        <v>27</v>
      </c>
      <c r="AE7">
        <v>111.133</v>
      </c>
      <c r="AF7">
        <v>0.99656169611782708</v>
      </c>
      <c r="AG7">
        <v>110.7508909746625</v>
      </c>
      <c r="AH7">
        <v>628.50318181818193</v>
      </c>
      <c r="AI7">
        <v>1</v>
      </c>
      <c r="AJ7">
        <v>69.607287366773932</v>
      </c>
      <c r="AK7">
        <v>1.008</v>
      </c>
      <c r="AL7" s="62">
        <v>70.164000000000001</v>
      </c>
      <c r="AM7">
        <v>8.9176000000000002</v>
      </c>
      <c r="AN7">
        <v>8.8869385813003348</v>
      </c>
      <c r="AO7">
        <v>1</v>
      </c>
      <c r="AP7">
        <v>5585.4691749700214</v>
      </c>
      <c r="AQ7">
        <v>1.01312551271534</v>
      </c>
      <c r="AR7">
        <v>5658.7812999999996</v>
      </c>
      <c r="AS7" s="60">
        <v>3361086.8436519741</v>
      </c>
      <c r="AT7" t="s">
        <v>423</v>
      </c>
      <c r="AU7" t="s">
        <v>424</v>
      </c>
      <c r="AV7" t="s">
        <v>425</v>
      </c>
      <c r="AW7" t="s">
        <v>27</v>
      </c>
      <c r="AX7">
        <v>111.133</v>
      </c>
      <c r="AY7">
        <v>0.99656169611782708</v>
      </c>
      <c r="AZ7">
        <v>110.7508909746625</v>
      </c>
      <c r="BA7">
        <v>691.73</v>
      </c>
      <c r="BB7">
        <v>1</v>
      </c>
      <c r="BC7">
        <v>76.609713813903269</v>
      </c>
      <c r="BD7">
        <v>1.008</v>
      </c>
      <c r="BE7" s="62">
        <v>77.222999999999999</v>
      </c>
      <c r="BF7">
        <v>8.9176000000000002</v>
      </c>
      <c r="BG7">
        <v>1</v>
      </c>
      <c r="BH7">
        <v>6147.3620248428806</v>
      </c>
      <c r="BI7">
        <v>1.01312551271534</v>
      </c>
      <c r="BJ7" s="62">
        <v>6228.0492999999997</v>
      </c>
      <c r="BK7" s="60">
        <v>3699208.9734667582</v>
      </c>
    </row>
    <row r="8" spans="1:63" x14ac:dyDescent="0.25">
      <c r="A8">
        <v>21</v>
      </c>
      <c r="B8" t="s">
        <v>110</v>
      </c>
      <c r="C8">
        <v>2016</v>
      </c>
      <c r="D8">
        <v>2</v>
      </c>
      <c r="E8" t="s">
        <v>100</v>
      </c>
      <c r="F8" t="s">
        <v>426</v>
      </c>
      <c r="G8" t="s">
        <v>427</v>
      </c>
      <c r="H8" t="s">
        <v>84</v>
      </c>
      <c r="I8" t="s">
        <v>428</v>
      </c>
      <c r="J8" t="s">
        <v>381</v>
      </c>
      <c r="K8">
        <v>-1839.3538632699999</v>
      </c>
      <c r="L8" t="s">
        <v>381</v>
      </c>
      <c r="M8" t="s">
        <v>382</v>
      </c>
      <c r="N8">
        <v>1.4864421000050001E-2</v>
      </c>
      <c r="O8">
        <v>27.340930191713682</v>
      </c>
      <c r="P8" t="s">
        <v>440</v>
      </c>
      <c r="Q8">
        <v>2</v>
      </c>
      <c r="R8">
        <v>31.615939999999998</v>
      </c>
      <c r="S8">
        <v>0.106</v>
      </c>
      <c r="T8">
        <v>3.3512895999999999</v>
      </c>
      <c r="U8">
        <v>1.9E-2</v>
      </c>
      <c r="V8">
        <v>63.674999999999997</v>
      </c>
      <c r="W8">
        <v>2</v>
      </c>
      <c r="X8">
        <v>7.8523753440000003E-3</v>
      </c>
      <c r="Y8">
        <v>1</v>
      </c>
      <c r="Z8" s="60">
        <v>27.34093</v>
      </c>
      <c r="AA8" t="s">
        <v>423</v>
      </c>
      <c r="AB8" t="s">
        <v>424</v>
      </c>
      <c r="AC8" t="s">
        <v>425</v>
      </c>
      <c r="AD8" t="s">
        <v>81</v>
      </c>
      <c r="AE8">
        <v>111.133</v>
      </c>
      <c r="AF8">
        <v>0.99656169611782708</v>
      </c>
      <c r="AG8">
        <v>110.7508909746625</v>
      </c>
      <c r="AH8">
        <v>691.73</v>
      </c>
      <c r="AI8">
        <v>1</v>
      </c>
      <c r="AJ8">
        <v>76.609713813903269</v>
      </c>
      <c r="AK8">
        <v>0.89239999999999997</v>
      </c>
      <c r="AL8" s="62">
        <v>68.367000000000004</v>
      </c>
      <c r="AM8">
        <v>8.9176000000000002</v>
      </c>
      <c r="AN8">
        <v>8.8869385813003348</v>
      </c>
      <c r="AO8">
        <v>1</v>
      </c>
      <c r="AP8">
        <v>6147.3620248428806</v>
      </c>
      <c r="AQ8">
        <v>0.98143450184501846</v>
      </c>
      <c r="AR8">
        <v>6033.2331999999997</v>
      </c>
      <c r="AS8" s="60">
        <v>164954.20659487601</v>
      </c>
      <c r="AT8" t="s">
        <v>423</v>
      </c>
      <c r="AU8" t="s">
        <v>424</v>
      </c>
      <c r="AV8" t="s">
        <v>425</v>
      </c>
      <c r="AW8" t="s">
        <v>81</v>
      </c>
      <c r="AX8">
        <v>111.133</v>
      </c>
      <c r="AY8">
        <v>0.99656169611782708</v>
      </c>
      <c r="AZ8">
        <v>110.7508909746625</v>
      </c>
      <c r="BA8">
        <v>691.73</v>
      </c>
      <c r="BB8">
        <v>1</v>
      </c>
      <c r="BC8">
        <v>76.609713813903269</v>
      </c>
      <c r="BD8">
        <v>0.89239999999999997</v>
      </c>
      <c r="BE8" s="62">
        <v>68.367000000000004</v>
      </c>
      <c r="BF8">
        <v>8.9176000000000002</v>
      </c>
      <c r="BG8">
        <v>1</v>
      </c>
      <c r="BH8">
        <v>6147.3620248428806</v>
      </c>
      <c r="BI8">
        <v>0.98143450184501846</v>
      </c>
      <c r="BJ8" s="62">
        <v>6033.2331999999997</v>
      </c>
      <c r="BK8" s="60">
        <v>164954.20659487601</v>
      </c>
    </row>
    <row r="9" spans="1:63" x14ac:dyDescent="0.25">
      <c r="A9">
        <v>21</v>
      </c>
      <c r="B9" t="s">
        <v>110</v>
      </c>
      <c r="C9">
        <v>2016</v>
      </c>
      <c r="D9">
        <v>2</v>
      </c>
      <c r="E9" t="s">
        <v>100</v>
      </c>
      <c r="F9" t="s">
        <v>426</v>
      </c>
      <c r="G9" t="s">
        <v>427</v>
      </c>
      <c r="H9" t="s">
        <v>84</v>
      </c>
      <c r="I9" t="s">
        <v>429</v>
      </c>
      <c r="J9" t="s">
        <v>87</v>
      </c>
      <c r="K9">
        <v>-439.07082333</v>
      </c>
      <c r="L9" t="s">
        <v>87</v>
      </c>
      <c r="M9" t="s">
        <v>382</v>
      </c>
      <c r="N9">
        <v>2.6818325999820002E-2</v>
      </c>
      <c r="O9">
        <v>11.77514447707331</v>
      </c>
      <c r="P9" t="s">
        <v>440</v>
      </c>
      <c r="Q9">
        <v>2</v>
      </c>
      <c r="R9">
        <v>31.615939999999998</v>
      </c>
      <c r="S9">
        <v>0.106</v>
      </c>
      <c r="T9">
        <v>3.3512895999999999</v>
      </c>
      <c r="U9">
        <v>1.9E-2</v>
      </c>
      <c r="V9">
        <v>63.674999999999997</v>
      </c>
      <c r="W9">
        <v>2</v>
      </c>
      <c r="X9">
        <v>7.8523753440000003E-3</v>
      </c>
      <c r="Y9">
        <v>1</v>
      </c>
      <c r="Z9" s="60">
        <v>11.775143999999999</v>
      </c>
      <c r="AA9" t="s">
        <v>423</v>
      </c>
      <c r="AB9" t="s">
        <v>424</v>
      </c>
      <c r="AC9" t="s">
        <v>425</v>
      </c>
      <c r="AD9" t="s">
        <v>81</v>
      </c>
      <c r="AE9">
        <v>111.133</v>
      </c>
      <c r="AF9">
        <v>0.99656169611782708</v>
      </c>
      <c r="AG9">
        <v>110.7508909746625</v>
      </c>
      <c r="AH9">
        <v>691.73</v>
      </c>
      <c r="AI9">
        <v>1</v>
      </c>
      <c r="AJ9">
        <v>76.609713813903269</v>
      </c>
      <c r="AK9">
        <v>0.89239999999999997</v>
      </c>
      <c r="AL9" s="62">
        <v>68.367000000000004</v>
      </c>
      <c r="AM9">
        <v>8.9176000000000002</v>
      </c>
      <c r="AN9">
        <v>8.8869385813003348</v>
      </c>
      <c r="AO9">
        <v>1</v>
      </c>
      <c r="AP9">
        <v>6147.3620248428806</v>
      </c>
      <c r="AQ9">
        <v>0.98143450184501846</v>
      </c>
      <c r="AR9">
        <v>6033.2331999999997</v>
      </c>
      <c r="AS9" s="60">
        <v>71042.189715580796</v>
      </c>
      <c r="AT9" t="s">
        <v>423</v>
      </c>
      <c r="AU9" t="s">
        <v>424</v>
      </c>
      <c r="AV9" t="s">
        <v>425</v>
      </c>
      <c r="AW9" t="s">
        <v>81</v>
      </c>
      <c r="AX9">
        <v>111.133</v>
      </c>
      <c r="AY9">
        <v>0.99656169611782708</v>
      </c>
      <c r="AZ9">
        <v>110.7508909746625</v>
      </c>
      <c r="BA9">
        <v>691.73</v>
      </c>
      <c r="BB9">
        <v>1</v>
      </c>
      <c r="BC9">
        <v>76.609713813903269</v>
      </c>
      <c r="BD9">
        <v>0.89239999999999997</v>
      </c>
      <c r="BE9" s="62">
        <v>68.367000000000004</v>
      </c>
      <c r="BF9">
        <v>8.9176000000000002</v>
      </c>
      <c r="BG9">
        <v>1</v>
      </c>
      <c r="BH9">
        <v>6147.3620248428806</v>
      </c>
      <c r="BI9">
        <v>0.98143450184501846</v>
      </c>
      <c r="BJ9" s="62">
        <v>6033.2331999999997</v>
      </c>
      <c r="BK9" s="60">
        <v>71042.189715580796</v>
      </c>
    </row>
    <row r="10" spans="1:63" x14ac:dyDescent="0.25">
      <c r="A10">
        <v>21</v>
      </c>
      <c r="B10" t="s">
        <v>110</v>
      </c>
      <c r="C10">
        <v>2016</v>
      </c>
      <c r="D10">
        <v>2</v>
      </c>
      <c r="E10" t="s">
        <v>100</v>
      </c>
      <c r="F10" t="s">
        <v>426</v>
      </c>
      <c r="G10" t="s">
        <v>427</v>
      </c>
      <c r="H10" t="s">
        <v>84</v>
      </c>
      <c r="I10" t="s">
        <v>430</v>
      </c>
      <c r="J10" t="s">
        <v>59</v>
      </c>
      <c r="K10">
        <v>-685.92496111000003</v>
      </c>
      <c r="L10" t="s">
        <v>59</v>
      </c>
      <c r="M10" t="s">
        <v>382</v>
      </c>
      <c r="N10">
        <v>2.6402538000080002E-2</v>
      </c>
      <c r="O10">
        <v>18.110159850910168</v>
      </c>
      <c r="P10" t="s">
        <v>440</v>
      </c>
      <c r="Q10">
        <v>2</v>
      </c>
      <c r="R10">
        <v>31.615939999999998</v>
      </c>
      <c r="S10">
        <v>0.106</v>
      </c>
      <c r="T10">
        <v>3.3512895999999999</v>
      </c>
      <c r="U10">
        <v>1.9E-2</v>
      </c>
      <c r="V10">
        <v>63.674999999999997</v>
      </c>
      <c r="W10">
        <v>2</v>
      </c>
      <c r="X10">
        <v>7.8523753440000003E-3</v>
      </c>
      <c r="Y10">
        <v>1</v>
      </c>
      <c r="Z10" s="60">
        <v>18.11016</v>
      </c>
      <c r="AA10" t="s">
        <v>423</v>
      </c>
      <c r="AB10" t="s">
        <v>424</v>
      </c>
      <c r="AC10" t="s">
        <v>425</v>
      </c>
      <c r="AD10" t="s">
        <v>81</v>
      </c>
      <c r="AE10">
        <v>111.133</v>
      </c>
      <c r="AF10">
        <v>0.99656169611782708</v>
      </c>
      <c r="AG10">
        <v>110.7508909746625</v>
      </c>
      <c r="AH10">
        <v>691.73</v>
      </c>
      <c r="AI10">
        <v>1</v>
      </c>
      <c r="AJ10">
        <v>76.609713813903269</v>
      </c>
      <c r="AK10">
        <v>0.89239999999999997</v>
      </c>
      <c r="AL10" s="62">
        <v>68.367000000000004</v>
      </c>
      <c r="AM10">
        <v>8.9176000000000002</v>
      </c>
      <c r="AN10">
        <v>8.8869385813003348</v>
      </c>
      <c r="AO10">
        <v>1</v>
      </c>
      <c r="AP10">
        <v>6147.3620248428806</v>
      </c>
      <c r="AQ10">
        <v>0.98143450184501846</v>
      </c>
      <c r="AR10">
        <v>6033.2331999999997</v>
      </c>
      <c r="AS10" s="60">
        <v>109262.818569312</v>
      </c>
      <c r="AT10" t="s">
        <v>423</v>
      </c>
      <c r="AU10" t="s">
        <v>424</v>
      </c>
      <c r="AV10" t="s">
        <v>425</v>
      </c>
      <c r="AW10" t="s">
        <v>81</v>
      </c>
      <c r="AX10">
        <v>111.133</v>
      </c>
      <c r="AY10">
        <v>0.99656169611782708</v>
      </c>
      <c r="AZ10">
        <v>110.7508909746625</v>
      </c>
      <c r="BA10">
        <v>691.73</v>
      </c>
      <c r="BB10">
        <v>1</v>
      </c>
      <c r="BC10">
        <v>76.609713813903269</v>
      </c>
      <c r="BD10">
        <v>0.89239999999999997</v>
      </c>
      <c r="BE10" s="62">
        <v>68.367000000000004</v>
      </c>
      <c r="BF10">
        <v>8.9176000000000002</v>
      </c>
      <c r="BG10">
        <v>1</v>
      </c>
      <c r="BH10">
        <v>6147.3620248428806</v>
      </c>
      <c r="BI10">
        <v>0.98143450184501846</v>
      </c>
      <c r="BJ10" s="62">
        <v>6033.2331999999997</v>
      </c>
      <c r="BK10" s="60">
        <v>109262.818569312</v>
      </c>
    </row>
    <row r="11" spans="1:63" x14ac:dyDescent="0.25">
      <c r="A11">
        <v>23</v>
      </c>
      <c r="B11" t="s">
        <v>110</v>
      </c>
      <c r="C11">
        <v>2016</v>
      </c>
      <c r="D11">
        <v>2</v>
      </c>
      <c r="E11" t="s">
        <v>100</v>
      </c>
      <c r="F11" t="s">
        <v>426</v>
      </c>
      <c r="G11" t="s">
        <v>427</v>
      </c>
      <c r="H11" t="s">
        <v>84</v>
      </c>
      <c r="I11" t="s">
        <v>428</v>
      </c>
      <c r="J11" t="s">
        <v>381</v>
      </c>
      <c r="K11">
        <v>-1839.3538632699999</v>
      </c>
      <c r="L11" t="s">
        <v>381</v>
      </c>
      <c r="M11" t="s">
        <v>383</v>
      </c>
      <c r="N11">
        <v>1.0246055790000601</v>
      </c>
      <c r="O11">
        <v>1884.612230061756</v>
      </c>
      <c r="P11" t="s">
        <v>440</v>
      </c>
      <c r="Q11">
        <v>2</v>
      </c>
      <c r="R11">
        <v>31.615939999999998</v>
      </c>
      <c r="S11">
        <v>0.106</v>
      </c>
      <c r="T11">
        <v>3.3512895999999999</v>
      </c>
      <c r="U11">
        <v>0.98099999999999998</v>
      </c>
      <c r="V11">
        <v>3287.6149999999998</v>
      </c>
      <c r="W11">
        <v>2</v>
      </c>
      <c r="X11">
        <v>1.52085935E-4</v>
      </c>
      <c r="Y11">
        <v>1</v>
      </c>
      <c r="Z11" s="60">
        <v>1884.61223</v>
      </c>
      <c r="AA11" t="s">
        <v>423</v>
      </c>
      <c r="AB11" t="s">
        <v>424</v>
      </c>
      <c r="AC11" t="s">
        <v>425</v>
      </c>
      <c r="AD11" t="s">
        <v>27</v>
      </c>
      <c r="AE11">
        <v>111.133</v>
      </c>
      <c r="AF11">
        <v>0.99656169611782708</v>
      </c>
      <c r="AG11">
        <v>110.7508909746625</v>
      </c>
      <c r="AH11">
        <v>691.73</v>
      </c>
      <c r="AI11">
        <v>1</v>
      </c>
      <c r="AJ11">
        <v>76.609713813903269</v>
      </c>
      <c r="AK11">
        <v>1.008</v>
      </c>
      <c r="AL11" s="62">
        <v>77.222999999999999</v>
      </c>
      <c r="AM11">
        <v>8.9176000000000002</v>
      </c>
      <c r="AN11">
        <v>8.8869385813003348</v>
      </c>
      <c r="AO11">
        <v>1</v>
      </c>
      <c r="AP11">
        <v>6147.3620248428806</v>
      </c>
      <c r="AQ11">
        <v>1.01312551271534</v>
      </c>
      <c r="AR11">
        <v>6228.0492999999997</v>
      </c>
      <c r="AS11" s="60">
        <v>11737457.87982294</v>
      </c>
      <c r="AT11" t="s">
        <v>423</v>
      </c>
      <c r="AU11" t="s">
        <v>424</v>
      </c>
      <c r="AV11" t="s">
        <v>425</v>
      </c>
      <c r="AW11" t="s">
        <v>27</v>
      </c>
      <c r="AX11">
        <v>111.133</v>
      </c>
      <c r="AY11">
        <v>0.99656169611782708</v>
      </c>
      <c r="AZ11">
        <v>110.7508909746625</v>
      </c>
      <c r="BA11">
        <v>691.73</v>
      </c>
      <c r="BB11">
        <v>1</v>
      </c>
      <c r="BC11">
        <v>76.609713813903269</v>
      </c>
      <c r="BD11">
        <v>1.008</v>
      </c>
      <c r="BE11" s="62">
        <v>77.222999999999999</v>
      </c>
      <c r="BF11">
        <v>8.9176000000000002</v>
      </c>
      <c r="BG11">
        <v>1</v>
      </c>
      <c r="BH11">
        <v>6147.3620248428806</v>
      </c>
      <c r="BI11">
        <v>1.01312551271534</v>
      </c>
      <c r="BJ11" s="62">
        <v>6228.0492999999997</v>
      </c>
      <c r="BK11" s="60">
        <v>11737457.87982294</v>
      </c>
    </row>
    <row r="12" spans="1:63" x14ac:dyDescent="0.25">
      <c r="A12">
        <v>23</v>
      </c>
      <c r="B12" t="s">
        <v>110</v>
      </c>
      <c r="C12">
        <v>2016</v>
      </c>
      <c r="D12">
        <v>2</v>
      </c>
      <c r="E12" t="s">
        <v>100</v>
      </c>
      <c r="F12" t="s">
        <v>426</v>
      </c>
      <c r="G12" t="s">
        <v>427</v>
      </c>
      <c r="H12" t="s">
        <v>84</v>
      </c>
      <c r="I12" t="s">
        <v>429</v>
      </c>
      <c r="J12" t="s">
        <v>87</v>
      </c>
      <c r="K12">
        <v>-439.07082333</v>
      </c>
      <c r="L12" t="s">
        <v>87</v>
      </c>
      <c r="M12" t="s">
        <v>383</v>
      </c>
      <c r="N12">
        <v>1.01265167399967</v>
      </c>
      <c r="O12">
        <v>444.62580424953791</v>
      </c>
      <c r="P12" t="s">
        <v>440</v>
      </c>
      <c r="Q12">
        <v>2</v>
      </c>
      <c r="R12">
        <v>31.615939999999998</v>
      </c>
      <c r="S12">
        <v>0.106</v>
      </c>
      <c r="T12">
        <v>3.3512895999999999</v>
      </c>
      <c r="U12">
        <v>0.98099999999999998</v>
      </c>
      <c r="V12">
        <v>3287.6149999999998</v>
      </c>
      <c r="W12">
        <v>2</v>
      </c>
      <c r="X12">
        <v>1.52085935E-4</v>
      </c>
      <c r="Y12">
        <v>1</v>
      </c>
      <c r="Z12" s="60">
        <v>444.62580400000002</v>
      </c>
      <c r="AA12" t="s">
        <v>423</v>
      </c>
      <c r="AB12" t="s">
        <v>424</v>
      </c>
      <c r="AC12" t="s">
        <v>425</v>
      </c>
      <c r="AD12" t="s">
        <v>27</v>
      </c>
      <c r="AE12">
        <v>111.133</v>
      </c>
      <c r="AF12">
        <v>0.99656169611782708</v>
      </c>
      <c r="AG12">
        <v>110.7508909746625</v>
      </c>
      <c r="AH12">
        <v>691.73</v>
      </c>
      <c r="AI12">
        <v>1</v>
      </c>
      <c r="AJ12">
        <v>76.609713813903269</v>
      </c>
      <c r="AK12">
        <v>1.008</v>
      </c>
      <c r="AL12" s="62">
        <v>77.222999999999999</v>
      </c>
      <c r="AM12">
        <v>8.9176000000000002</v>
      </c>
      <c r="AN12">
        <v>8.8869385813003348</v>
      </c>
      <c r="AO12">
        <v>1</v>
      </c>
      <c r="AP12">
        <v>6147.3620248428806</v>
      </c>
      <c r="AQ12">
        <v>1.01312551271534</v>
      </c>
      <c r="AR12">
        <v>6228.0492999999997</v>
      </c>
      <c r="AS12" s="60">
        <v>2769151.427364137</v>
      </c>
      <c r="AT12" t="s">
        <v>423</v>
      </c>
      <c r="AU12" t="s">
        <v>424</v>
      </c>
      <c r="AV12" t="s">
        <v>425</v>
      </c>
      <c r="AW12" t="s">
        <v>27</v>
      </c>
      <c r="AX12">
        <v>111.133</v>
      </c>
      <c r="AY12">
        <v>0.99656169611782708</v>
      </c>
      <c r="AZ12">
        <v>110.7508909746625</v>
      </c>
      <c r="BA12">
        <v>691.73</v>
      </c>
      <c r="BB12">
        <v>1</v>
      </c>
      <c r="BC12">
        <v>76.609713813903269</v>
      </c>
      <c r="BD12">
        <v>1.008</v>
      </c>
      <c r="BE12" s="62">
        <v>77.222999999999999</v>
      </c>
      <c r="BF12">
        <v>8.9176000000000002</v>
      </c>
      <c r="BG12">
        <v>1</v>
      </c>
      <c r="BH12">
        <v>6147.3620248428806</v>
      </c>
      <c r="BI12">
        <v>1.01312551271534</v>
      </c>
      <c r="BJ12" s="62">
        <v>6228.0492999999997</v>
      </c>
      <c r="BK12" s="60">
        <v>2769151.427364137</v>
      </c>
    </row>
    <row r="13" spans="1:63" x14ac:dyDescent="0.25">
      <c r="A13">
        <v>23</v>
      </c>
      <c r="B13" t="s">
        <v>110</v>
      </c>
      <c r="C13">
        <v>2016</v>
      </c>
      <c r="D13">
        <v>2</v>
      </c>
      <c r="E13" t="s">
        <v>100</v>
      </c>
      <c r="F13" t="s">
        <v>426</v>
      </c>
      <c r="G13" t="s">
        <v>427</v>
      </c>
      <c r="H13" t="s">
        <v>84</v>
      </c>
      <c r="I13" t="s">
        <v>430</v>
      </c>
      <c r="J13" t="s">
        <v>59</v>
      </c>
      <c r="K13">
        <v>-685.92496111000003</v>
      </c>
      <c r="L13" t="s">
        <v>59</v>
      </c>
      <c r="M13" t="s">
        <v>383</v>
      </c>
      <c r="N13">
        <v>1.01306746200022</v>
      </c>
      <c r="O13">
        <v>694.88825947430723</v>
      </c>
      <c r="P13" t="s">
        <v>440</v>
      </c>
      <c r="Q13">
        <v>2</v>
      </c>
      <c r="R13">
        <v>31.615939999999998</v>
      </c>
      <c r="S13">
        <v>0.106</v>
      </c>
      <c r="T13">
        <v>3.3512895999999999</v>
      </c>
      <c r="U13">
        <v>0.98099999999999998</v>
      </c>
      <c r="V13">
        <v>3287.6149999999998</v>
      </c>
      <c r="W13">
        <v>2</v>
      </c>
      <c r="X13">
        <v>1.52085935E-4</v>
      </c>
      <c r="Y13">
        <v>1</v>
      </c>
      <c r="Z13" s="60">
        <v>694.88825899999995</v>
      </c>
      <c r="AA13" t="s">
        <v>423</v>
      </c>
      <c r="AB13" t="s">
        <v>424</v>
      </c>
      <c r="AC13" t="s">
        <v>425</v>
      </c>
      <c r="AD13" t="s">
        <v>27</v>
      </c>
      <c r="AE13">
        <v>111.133</v>
      </c>
      <c r="AF13">
        <v>0.99656169611782708</v>
      </c>
      <c r="AG13">
        <v>110.7508909746625</v>
      </c>
      <c r="AH13">
        <v>691.73</v>
      </c>
      <c r="AI13">
        <v>1</v>
      </c>
      <c r="AJ13">
        <v>76.609713813903269</v>
      </c>
      <c r="AK13">
        <v>1.008</v>
      </c>
      <c r="AL13" s="62">
        <v>77.222999999999999</v>
      </c>
      <c r="AM13">
        <v>8.9176000000000002</v>
      </c>
      <c r="AN13">
        <v>8.8869385813003348</v>
      </c>
      <c r="AO13">
        <v>1</v>
      </c>
      <c r="AP13">
        <v>6147.3620248428806</v>
      </c>
      <c r="AQ13">
        <v>1.01312551271534</v>
      </c>
      <c r="AR13">
        <v>6228.0492999999997</v>
      </c>
      <c r="AS13" s="60">
        <v>4327798.3350431677</v>
      </c>
      <c r="AT13" t="s">
        <v>423</v>
      </c>
      <c r="AU13" t="s">
        <v>424</v>
      </c>
      <c r="AV13" t="s">
        <v>425</v>
      </c>
      <c r="AW13" t="s">
        <v>27</v>
      </c>
      <c r="AX13">
        <v>111.133</v>
      </c>
      <c r="AY13">
        <v>0.99656169611782708</v>
      </c>
      <c r="AZ13">
        <v>110.7508909746625</v>
      </c>
      <c r="BA13">
        <v>691.73</v>
      </c>
      <c r="BB13">
        <v>1</v>
      </c>
      <c r="BC13">
        <v>76.609713813903269</v>
      </c>
      <c r="BD13">
        <v>1.008</v>
      </c>
      <c r="BE13" s="62">
        <v>77.222999999999999</v>
      </c>
      <c r="BF13">
        <v>8.9176000000000002</v>
      </c>
      <c r="BG13">
        <v>1</v>
      </c>
      <c r="BH13">
        <v>6147.3620248428806</v>
      </c>
      <c r="BI13">
        <v>1.01312551271534</v>
      </c>
      <c r="BJ13" s="62">
        <v>6228.0492999999997</v>
      </c>
      <c r="BK13" s="60">
        <v>4327798.3350431677</v>
      </c>
    </row>
    <row r="14" spans="1:63" x14ac:dyDescent="0.25">
      <c r="A14">
        <v>33</v>
      </c>
      <c r="B14" t="s">
        <v>105</v>
      </c>
      <c r="C14">
        <v>2016</v>
      </c>
      <c r="D14">
        <v>3</v>
      </c>
      <c r="E14" t="s">
        <v>100</v>
      </c>
      <c r="F14" t="s">
        <v>426</v>
      </c>
      <c r="G14" t="s">
        <v>427</v>
      </c>
      <c r="H14" t="s">
        <v>84</v>
      </c>
      <c r="I14" t="s">
        <v>428</v>
      </c>
      <c r="J14" t="s">
        <v>381</v>
      </c>
      <c r="K14">
        <v>-2174.8287796599998</v>
      </c>
      <c r="L14" t="s">
        <v>381</v>
      </c>
      <c r="M14" t="s">
        <v>382</v>
      </c>
      <c r="N14">
        <v>1.4864420999870001E-2</v>
      </c>
      <c r="O14">
        <v>32.32757058349975</v>
      </c>
      <c r="P14" t="s">
        <v>440</v>
      </c>
      <c r="Q14">
        <v>2</v>
      </c>
      <c r="R14">
        <v>31.615939999999998</v>
      </c>
      <c r="S14">
        <v>0.108</v>
      </c>
      <c r="T14">
        <v>3.4145215000000002</v>
      </c>
      <c r="U14">
        <v>1.9E-2</v>
      </c>
      <c r="V14">
        <v>64.876000000000005</v>
      </c>
      <c r="W14">
        <v>2</v>
      </c>
      <c r="X14">
        <v>7.7070102970000004E-3</v>
      </c>
      <c r="Y14">
        <v>1</v>
      </c>
      <c r="Z14" s="60">
        <v>32.327570999999999</v>
      </c>
      <c r="AA14" t="s">
        <v>423</v>
      </c>
      <c r="AB14" t="s">
        <v>424</v>
      </c>
      <c r="AC14" t="s">
        <v>425</v>
      </c>
      <c r="AD14" t="s">
        <v>81</v>
      </c>
      <c r="AE14">
        <v>111.133</v>
      </c>
      <c r="AF14">
        <v>0.99656169611782708</v>
      </c>
      <c r="AG14">
        <v>110.7508909746625</v>
      </c>
      <c r="AH14">
        <v>691.73</v>
      </c>
      <c r="AI14">
        <v>1</v>
      </c>
      <c r="AJ14">
        <v>76.609713813903269</v>
      </c>
      <c r="AK14">
        <v>0.89239999999999997</v>
      </c>
      <c r="AL14" s="62">
        <v>68.367000000000004</v>
      </c>
      <c r="AM14">
        <v>8.9176000000000002</v>
      </c>
      <c r="AN14">
        <v>8.8869385813003348</v>
      </c>
      <c r="AO14">
        <v>1</v>
      </c>
      <c r="AP14">
        <v>6147.3620248428806</v>
      </c>
      <c r="AQ14">
        <v>0.98143450184501846</v>
      </c>
      <c r="AR14">
        <v>6033.2331999999997</v>
      </c>
      <c r="AS14" s="60">
        <v>195039.77463255721</v>
      </c>
      <c r="AT14" t="s">
        <v>423</v>
      </c>
      <c r="AU14" t="s">
        <v>424</v>
      </c>
      <c r="AV14" t="s">
        <v>425</v>
      </c>
      <c r="AW14" t="s">
        <v>81</v>
      </c>
      <c r="AX14">
        <v>111.133</v>
      </c>
      <c r="AY14">
        <v>0.99656169611782708</v>
      </c>
      <c r="AZ14">
        <v>110.7508909746625</v>
      </c>
      <c r="BA14">
        <v>691.73</v>
      </c>
      <c r="BB14">
        <v>1</v>
      </c>
      <c r="BC14">
        <v>76.609713813903269</v>
      </c>
      <c r="BD14">
        <v>0.89239999999999997</v>
      </c>
      <c r="BE14" s="62">
        <v>68.367000000000004</v>
      </c>
      <c r="BF14">
        <v>8.9176000000000002</v>
      </c>
      <c r="BG14">
        <v>1</v>
      </c>
      <c r="BH14">
        <v>6147.3620248428806</v>
      </c>
      <c r="BI14">
        <v>0.98143450184501846</v>
      </c>
      <c r="BJ14" s="62">
        <v>6033.2331999999997</v>
      </c>
      <c r="BK14" s="60">
        <v>195039.77463255721</v>
      </c>
    </row>
    <row r="15" spans="1:63" x14ac:dyDescent="0.25">
      <c r="A15">
        <v>33</v>
      </c>
      <c r="B15" t="s">
        <v>105</v>
      </c>
      <c r="C15">
        <v>2016</v>
      </c>
      <c r="D15">
        <v>3</v>
      </c>
      <c r="E15" t="s">
        <v>100</v>
      </c>
      <c r="F15" t="s">
        <v>426</v>
      </c>
      <c r="G15" t="s">
        <v>427</v>
      </c>
      <c r="H15" t="s">
        <v>84</v>
      </c>
      <c r="I15" t="s">
        <v>429</v>
      </c>
      <c r="J15" t="s">
        <v>87</v>
      </c>
      <c r="K15">
        <v>-556.25511085000005</v>
      </c>
      <c r="L15" t="s">
        <v>87</v>
      </c>
      <c r="M15" t="s">
        <v>382</v>
      </c>
      <c r="N15">
        <v>2.6818326000239999E-2</v>
      </c>
      <c r="O15">
        <v>14.91783090207494</v>
      </c>
      <c r="P15" t="s">
        <v>440</v>
      </c>
      <c r="Q15">
        <v>2</v>
      </c>
      <c r="R15">
        <v>31.615939999999998</v>
      </c>
      <c r="S15">
        <v>0.108</v>
      </c>
      <c r="T15">
        <v>3.4145215000000002</v>
      </c>
      <c r="U15">
        <v>1.9E-2</v>
      </c>
      <c r="V15">
        <v>64.876000000000005</v>
      </c>
      <c r="W15">
        <v>2</v>
      </c>
      <c r="X15">
        <v>7.7070102970000004E-3</v>
      </c>
      <c r="Y15">
        <v>1</v>
      </c>
      <c r="Z15" s="60">
        <v>14.917831</v>
      </c>
      <c r="AA15" t="s">
        <v>423</v>
      </c>
      <c r="AB15" t="s">
        <v>424</v>
      </c>
      <c r="AC15" t="s">
        <v>425</v>
      </c>
      <c r="AD15" t="s">
        <v>81</v>
      </c>
      <c r="AE15">
        <v>111.133</v>
      </c>
      <c r="AF15">
        <v>0.99656169611782708</v>
      </c>
      <c r="AG15">
        <v>110.7508909746625</v>
      </c>
      <c r="AH15">
        <v>691.73</v>
      </c>
      <c r="AI15">
        <v>1</v>
      </c>
      <c r="AJ15">
        <v>76.609713813903269</v>
      </c>
      <c r="AK15">
        <v>0.89239999999999997</v>
      </c>
      <c r="AL15" s="62">
        <v>68.367000000000004</v>
      </c>
      <c r="AM15">
        <v>8.9176000000000002</v>
      </c>
      <c r="AN15">
        <v>8.8869385813003348</v>
      </c>
      <c r="AO15">
        <v>1</v>
      </c>
      <c r="AP15">
        <v>6147.3620248428806</v>
      </c>
      <c r="AQ15">
        <v>0.98143450184501846</v>
      </c>
      <c r="AR15">
        <v>6033.2331999999997</v>
      </c>
      <c r="AS15" s="60">
        <v>90002.753261189195</v>
      </c>
      <c r="AT15" t="s">
        <v>423</v>
      </c>
      <c r="AU15" t="s">
        <v>424</v>
      </c>
      <c r="AV15" t="s">
        <v>425</v>
      </c>
      <c r="AW15" t="s">
        <v>81</v>
      </c>
      <c r="AX15">
        <v>111.133</v>
      </c>
      <c r="AY15">
        <v>0.99656169611782708</v>
      </c>
      <c r="AZ15">
        <v>110.7508909746625</v>
      </c>
      <c r="BA15">
        <v>691.73</v>
      </c>
      <c r="BB15">
        <v>1</v>
      </c>
      <c r="BC15">
        <v>76.609713813903269</v>
      </c>
      <c r="BD15">
        <v>0.89239999999999997</v>
      </c>
      <c r="BE15" s="62">
        <v>68.367000000000004</v>
      </c>
      <c r="BF15">
        <v>8.9176000000000002</v>
      </c>
      <c r="BG15">
        <v>1</v>
      </c>
      <c r="BH15">
        <v>6147.3620248428806</v>
      </c>
      <c r="BI15">
        <v>0.98143450184501846</v>
      </c>
      <c r="BJ15" s="62">
        <v>6033.2331999999997</v>
      </c>
      <c r="BK15" s="60">
        <v>90002.753261189195</v>
      </c>
    </row>
    <row r="16" spans="1:63" x14ac:dyDescent="0.25">
      <c r="A16">
        <v>33</v>
      </c>
      <c r="B16" t="s">
        <v>105</v>
      </c>
      <c r="C16">
        <v>2016</v>
      </c>
      <c r="D16">
        <v>3</v>
      </c>
      <c r="E16" t="s">
        <v>100</v>
      </c>
      <c r="F16" t="s">
        <v>426</v>
      </c>
      <c r="G16" t="s">
        <v>427</v>
      </c>
      <c r="H16" t="s">
        <v>84</v>
      </c>
      <c r="I16" t="s">
        <v>430</v>
      </c>
      <c r="J16" t="s">
        <v>59</v>
      </c>
      <c r="K16">
        <v>-774.59440939000001</v>
      </c>
      <c r="L16" t="s">
        <v>59</v>
      </c>
      <c r="M16" t="s">
        <v>382</v>
      </c>
      <c r="N16">
        <v>2.6402538000020001E-2</v>
      </c>
      <c r="O16">
        <v>20.45125832852252</v>
      </c>
      <c r="P16" t="s">
        <v>440</v>
      </c>
      <c r="Q16">
        <v>2</v>
      </c>
      <c r="R16">
        <v>31.615939999999998</v>
      </c>
      <c r="S16">
        <v>0.108</v>
      </c>
      <c r="T16">
        <v>3.4145215000000002</v>
      </c>
      <c r="U16">
        <v>1.9E-2</v>
      </c>
      <c r="V16">
        <v>64.876000000000005</v>
      </c>
      <c r="W16">
        <v>2</v>
      </c>
      <c r="X16">
        <v>7.7070102970000004E-3</v>
      </c>
      <c r="Y16">
        <v>1</v>
      </c>
      <c r="Z16" s="60">
        <v>20.451257999999999</v>
      </c>
      <c r="AA16" t="s">
        <v>423</v>
      </c>
      <c r="AB16" t="s">
        <v>424</v>
      </c>
      <c r="AC16" t="s">
        <v>425</v>
      </c>
      <c r="AD16" t="s">
        <v>81</v>
      </c>
      <c r="AE16">
        <v>111.133</v>
      </c>
      <c r="AF16">
        <v>0.99656169611782708</v>
      </c>
      <c r="AG16">
        <v>110.7508909746625</v>
      </c>
      <c r="AH16">
        <v>691.73</v>
      </c>
      <c r="AI16">
        <v>1</v>
      </c>
      <c r="AJ16">
        <v>76.609713813903269</v>
      </c>
      <c r="AK16">
        <v>0.89239999999999997</v>
      </c>
      <c r="AL16" s="62">
        <v>68.367000000000004</v>
      </c>
      <c r="AM16">
        <v>8.9176000000000002</v>
      </c>
      <c r="AN16">
        <v>8.8869385813003348</v>
      </c>
      <c r="AO16">
        <v>1</v>
      </c>
      <c r="AP16">
        <v>6147.3620248428806</v>
      </c>
      <c r="AQ16">
        <v>0.98143450184501846</v>
      </c>
      <c r="AR16">
        <v>6033.2331999999997</v>
      </c>
      <c r="AS16" s="60">
        <v>123387.2087473656</v>
      </c>
      <c r="AT16" t="s">
        <v>423</v>
      </c>
      <c r="AU16" t="s">
        <v>424</v>
      </c>
      <c r="AV16" t="s">
        <v>425</v>
      </c>
      <c r="AW16" t="s">
        <v>81</v>
      </c>
      <c r="AX16">
        <v>111.133</v>
      </c>
      <c r="AY16">
        <v>0.99656169611782708</v>
      </c>
      <c r="AZ16">
        <v>110.7508909746625</v>
      </c>
      <c r="BA16">
        <v>691.73</v>
      </c>
      <c r="BB16">
        <v>1</v>
      </c>
      <c r="BC16">
        <v>76.609713813903269</v>
      </c>
      <c r="BD16">
        <v>0.89239999999999997</v>
      </c>
      <c r="BE16" s="62">
        <v>68.367000000000004</v>
      </c>
      <c r="BF16">
        <v>8.9176000000000002</v>
      </c>
      <c r="BG16">
        <v>1</v>
      </c>
      <c r="BH16">
        <v>6147.3620248428806</v>
      </c>
      <c r="BI16">
        <v>0.98143450184501846</v>
      </c>
      <c r="BJ16" s="62">
        <v>6033.2331999999997</v>
      </c>
      <c r="BK16" s="60">
        <v>123387.2087473656</v>
      </c>
    </row>
    <row r="17" spans="1:63" x14ac:dyDescent="0.25">
      <c r="A17">
        <v>35</v>
      </c>
      <c r="B17" t="s">
        <v>105</v>
      </c>
      <c r="C17">
        <v>2016</v>
      </c>
      <c r="D17">
        <v>3</v>
      </c>
      <c r="E17" t="s">
        <v>100</v>
      </c>
      <c r="F17" t="s">
        <v>426</v>
      </c>
      <c r="G17" t="s">
        <v>427</v>
      </c>
      <c r="H17" t="s">
        <v>84</v>
      </c>
      <c r="I17" t="s">
        <v>428</v>
      </c>
      <c r="J17" t="s">
        <v>381</v>
      </c>
      <c r="K17">
        <v>-2174.8287796599998</v>
      </c>
      <c r="L17" t="s">
        <v>381</v>
      </c>
      <c r="M17" t="s">
        <v>383</v>
      </c>
      <c r="N17">
        <v>1.02460557899995</v>
      </c>
      <c r="O17">
        <v>2228.341701009289</v>
      </c>
      <c r="P17" t="s">
        <v>440</v>
      </c>
      <c r="Q17">
        <v>2</v>
      </c>
      <c r="R17">
        <v>31.615939999999998</v>
      </c>
      <c r="S17">
        <v>0.108</v>
      </c>
      <c r="T17">
        <v>3.4145215000000002</v>
      </c>
      <c r="U17">
        <v>0.98099999999999998</v>
      </c>
      <c r="V17">
        <v>3349.6460000000002</v>
      </c>
      <c r="W17">
        <v>2</v>
      </c>
      <c r="X17">
        <v>1.4926950500000001E-4</v>
      </c>
      <c r="Y17">
        <v>1</v>
      </c>
      <c r="Z17" s="60">
        <v>2228.3417009999998</v>
      </c>
      <c r="AA17" t="s">
        <v>423</v>
      </c>
      <c r="AB17" t="s">
        <v>424</v>
      </c>
      <c r="AC17" t="s">
        <v>425</v>
      </c>
      <c r="AD17" t="s">
        <v>27</v>
      </c>
      <c r="AE17">
        <v>111.133</v>
      </c>
      <c r="AF17">
        <v>0.99656169611782708</v>
      </c>
      <c r="AG17">
        <v>110.7508909746625</v>
      </c>
      <c r="AH17">
        <v>691.73</v>
      </c>
      <c r="AI17">
        <v>1</v>
      </c>
      <c r="AJ17">
        <v>76.609713813903269</v>
      </c>
      <c r="AK17">
        <v>1.008</v>
      </c>
      <c r="AL17" s="62">
        <v>77.222999999999999</v>
      </c>
      <c r="AM17">
        <v>8.9176000000000002</v>
      </c>
      <c r="AN17">
        <v>8.8869385813003348</v>
      </c>
      <c r="AO17">
        <v>1</v>
      </c>
      <c r="AP17">
        <v>6147.3620248428806</v>
      </c>
      <c r="AQ17">
        <v>1.01312551271534</v>
      </c>
      <c r="AR17">
        <v>6228.0492999999997</v>
      </c>
      <c r="AS17" s="60">
        <v>13878221.97107386</v>
      </c>
      <c r="AT17" t="s">
        <v>423</v>
      </c>
      <c r="AU17" t="s">
        <v>424</v>
      </c>
      <c r="AV17" t="s">
        <v>425</v>
      </c>
      <c r="AW17" t="s">
        <v>27</v>
      </c>
      <c r="AX17">
        <v>111.133</v>
      </c>
      <c r="AY17">
        <v>0.99656169611782708</v>
      </c>
      <c r="AZ17">
        <v>110.7508909746625</v>
      </c>
      <c r="BA17">
        <v>691.73</v>
      </c>
      <c r="BB17">
        <v>1</v>
      </c>
      <c r="BC17">
        <v>76.609713813903269</v>
      </c>
      <c r="BD17">
        <v>1.008</v>
      </c>
      <c r="BE17" s="62">
        <v>77.222999999999999</v>
      </c>
      <c r="BF17">
        <v>8.9176000000000002</v>
      </c>
      <c r="BG17">
        <v>1</v>
      </c>
      <c r="BH17">
        <v>6147.3620248428806</v>
      </c>
      <c r="BI17">
        <v>1.01312551271534</v>
      </c>
      <c r="BJ17" s="62">
        <v>6228.0492999999997</v>
      </c>
      <c r="BK17" s="60">
        <v>13878221.97107386</v>
      </c>
    </row>
    <row r="18" spans="1:63" x14ac:dyDescent="0.25">
      <c r="A18">
        <v>35</v>
      </c>
      <c r="B18" t="s">
        <v>105</v>
      </c>
      <c r="C18">
        <v>2016</v>
      </c>
      <c r="D18">
        <v>3</v>
      </c>
      <c r="E18" t="s">
        <v>100</v>
      </c>
      <c r="F18" t="s">
        <v>426</v>
      </c>
      <c r="G18" t="s">
        <v>427</v>
      </c>
      <c r="H18" t="s">
        <v>84</v>
      </c>
      <c r="I18" t="s">
        <v>429</v>
      </c>
      <c r="J18" t="s">
        <v>87</v>
      </c>
      <c r="K18">
        <v>-556.25511085000005</v>
      </c>
      <c r="L18" t="s">
        <v>87</v>
      </c>
      <c r="M18" t="s">
        <v>383</v>
      </c>
      <c r="N18">
        <v>1.01265167400139</v>
      </c>
      <c r="O18">
        <v>563.29266917408131</v>
      </c>
      <c r="P18" t="s">
        <v>440</v>
      </c>
      <c r="Q18">
        <v>2</v>
      </c>
      <c r="R18">
        <v>31.615939999999998</v>
      </c>
      <c r="S18">
        <v>0.108</v>
      </c>
      <c r="T18">
        <v>3.4145215000000002</v>
      </c>
      <c r="U18">
        <v>0.98099999999999998</v>
      </c>
      <c r="V18">
        <v>3349.6460000000002</v>
      </c>
      <c r="W18">
        <v>2</v>
      </c>
      <c r="X18">
        <v>1.4926950500000001E-4</v>
      </c>
      <c r="Y18">
        <v>1</v>
      </c>
      <c r="Z18" s="60">
        <v>563.29266900000005</v>
      </c>
      <c r="AA18" t="s">
        <v>423</v>
      </c>
      <c r="AB18" t="s">
        <v>424</v>
      </c>
      <c r="AC18" t="s">
        <v>425</v>
      </c>
      <c r="AD18" t="s">
        <v>27</v>
      </c>
      <c r="AE18">
        <v>111.133</v>
      </c>
      <c r="AF18">
        <v>0.99656169611782708</v>
      </c>
      <c r="AG18">
        <v>110.7508909746625</v>
      </c>
      <c r="AH18">
        <v>691.73</v>
      </c>
      <c r="AI18">
        <v>1</v>
      </c>
      <c r="AJ18">
        <v>76.609713813903269</v>
      </c>
      <c r="AK18">
        <v>1.008</v>
      </c>
      <c r="AL18" s="62">
        <v>77.222999999999999</v>
      </c>
      <c r="AM18">
        <v>8.9176000000000002</v>
      </c>
      <c r="AN18">
        <v>8.8869385813003348</v>
      </c>
      <c r="AO18">
        <v>1</v>
      </c>
      <c r="AP18">
        <v>6147.3620248428806</v>
      </c>
      <c r="AQ18">
        <v>1.01312551271534</v>
      </c>
      <c r="AR18">
        <v>6228.0492999999997</v>
      </c>
      <c r="AS18" s="60">
        <v>3508214.5128605822</v>
      </c>
      <c r="AT18" t="s">
        <v>423</v>
      </c>
      <c r="AU18" t="s">
        <v>424</v>
      </c>
      <c r="AV18" t="s">
        <v>425</v>
      </c>
      <c r="AW18" t="s">
        <v>27</v>
      </c>
      <c r="AX18">
        <v>111.133</v>
      </c>
      <c r="AY18">
        <v>0.99656169611782708</v>
      </c>
      <c r="AZ18">
        <v>110.7508909746625</v>
      </c>
      <c r="BA18">
        <v>691.73</v>
      </c>
      <c r="BB18">
        <v>1</v>
      </c>
      <c r="BC18">
        <v>76.609713813903269</v>
      </c>
      <c r="BD18">
        <v>1.008</v>
      </c>
      <c r="BE18" s="62">
        <v>77.222999999999999</v>
      </c>
      <c r="BF18">
        <v>8.9176000000000002</v>
      </c>
      <c r="BG18">
        <v>1</v>
      </c>
      <c r="BH18">
        <v>6147.3620248428806</v>
      </c>
      <c r="BI18">
        <v>1.01312551271534</v>
      </c>
      <c r="BJ18" s="62">
        <v>6228.0492999999997</v>
      </c>
      <c r="BK18" s="60">
        <v>3508214.5128605822</v>
      </c>
    </row>
    <row r="19" spans="1:63" x14ac:dyDescent="0.25">
      <c r="A19">
        <v>35</v>
      </c>
      <c r="B19" t="s">
        <v>105</v>
      </c>
      <c r="C19">
        <v>2016</v>
      </c>
      <c r="D19">
        <v>3</v>
      </c>
      <c r="E19" t="s">
        <v>100</v>
      </c>
      <c r="F19" t="s">
        <v>426</v>
      </c>
      <c r="G19" t="s">
        <v>427</v>
      </c>
      <c r="H19" t="s">
        <v>84</v>
      </c>
      <c r="I19" t="s">
        <v>430</v>
      </c>
      <c r="J19" t="s">
        <v>59</v>
      </c>
      <c r="K19">
        <v>-774.59440939000001</v>
      </c>
      <c r="L19" t="s">
        <v>59</v>
      </c>
      <c r="M19" t="s">
        <v>383</v>
      </c>
      <c r="N19">
        <v>1.0130674620003</v>
      </c>
      <c r="O19">
        <v>784.7163924003487</v>
      </c>
      <c r="P19" t="s">
        <v>440</v>
      </c>
      <c r="Q19">
        <v>2</v>
      </c>
      <c r="R19">
        <v>31.615939999999998</v>
      </c>
      <c r="S19">
        <v>0.108</v>
      </c>
      <c r="T19">
        <v>3.4145215000000002</v>
      </c>
      <c r="U19">
        <v>0.98099999999999998</v>
      </c>
      <c r="V19">
        <v>3349.6460000000002</v>
      </c>
      <c r="W19">
        <v>2</v>
      </c>
      <c r="X19">
        <v>1.4926950500000001E-4</v>
      </c>
      <c r="Y19">
        <v>1</v>
      </c>
      <c r="Z19" s="60">
        <v>784.71639200000004</v>
      </c>
      <c r="AA19" t="s">
        <v>423</v>
      </c>
      <c r="AB19" t="s">
        <v>424</v>
      </c>
      <c r="AC19" t="s">
        <v>425</v>
      </c>
      <c r="AD19" t="s">
        <v>27</v>
      </c>
      <c r="AE19">
        <v>111.133</v>
      </c>
      <c r="AF19">
        <v>0.99656169611782708</v>
      </c>
      <c r="AG19">
        <v>110.7508909746625</v>
      </c>
      <c r="AH19">
        <v>691.73</v>
      </c>
      <c r="AI19">
        <v>1</v>
      </c>
      <c r="AJ19">
        <v>76.609713813903269</v>
      </c>
      <c r="AK19">
        <v>1.008</v>
      </c>
      <c r="AL19" s="62">
        <v>77.222999999999999</v>
      </c>
      <c r="AM19">
        <v>8.9176000000000002</v>
      </c>
      <c r="AN19">
        <v>8.8869385813003348</v>
      </c>
      <c r="AO19">
        <v>1</v>
      </c>
      <c r="AP19">
        <v>6147.3620248428806</v>
      </c>
      <c r="AQ19">
        <v>1.01312551271534</v>
      </c>
      <c r="AR19">
        <v>6228.0492999999997</v>
      </c>
      <c r="AS19" s="60">
        <v>4887252.3758941256</v>
      </c>
      <c r="AT19" t="s">
        <v>423</v>
      </c>
      <c r="AU19" t="s">
        <v>424</v>
      </c>
      <c r="AV19" t="s">
        <v>425</v>
      </c>
      <c r="AW19" t="s">
        <v>27</v>
      </c>
      <c r="AX19">
        <v>111.133</v>
      </c>
      <c r="AY19">
        <v>0.99656169611782708</v>
      </c>
      <c r="AZ19">
        <v>110.7508909746625</v>
      </c>
      <c r="BA19">
        <v>691.73</v>
      </c>
      <c r="BB19">
        <v>1</v>
      </c>
      <c r="BC19">
        <v>76.609713813903269</v>
      </c>
      <c r="BD19">
        <v>1.008</v>
      </c>
      <c r="BE19" s="62">
        <v>77.222999999999999</v>
      </c>
      <c r="BF19">
        <v>8.9176000000000002</v>
      </c>
      <c r="BG19">
        <v>1</v>
      </c>
      <c r="BH19">
        <v>6147.3620248428806</v>
      </c>
      <c r="BI19">
        <v>1.01312551271534</v>
      </c>
      <c r="BJ19" s="62">
        <v>6228.0492999999997</v>
      </c>
      <c r="BK19" s="60">
        <v>4887252.3758941256</v>
      </c>
    </row>
    <row r="20" spans="1:63" x14ac:dyDescent="0.25">
      <c r="A20">
        <v>45</v>
      </c>
      <c r="B20" t="s">
        <v>99</v>
      </c>
      <c r="C20">
        <v>2016</v>
      </c>
      <c r="D20">
        <v>4</v>
      </c>
      <c r="E20" t="s">
        <v>100</v>
      </c>
      <c r="F20" t="s">
        <v>426</v>
      </c>
      <c r="G20" t="s">
        <v>427</v>
      </c>
      <c r="H20" t="s">
        <v>84</v>
      </c>
      <c r="I20" t="s">
        <v>428</v>
      </c>
      <c r="J20" t="s">
        <v>381</v>
      </c>
      <c r="K20">
        <v>-555.82596736000005</v>
      </c>
      <c r="L20" t="s">
        <v>381</v>
      </c>
      <c r="M20" t="s">
        <v>382</v>
      </c>
      <c r="N20">
        <v>1.486442099999E-2</v>
      </c>
      <c r="O20">
        <v>8.2620311815657406</v>
      </c>
      <c r="P20" t="s">
        <v>440</v>
      </c>
      <c r="Q20">
        <v>2</v>
      </c>
      <c r="R20">
        <v>31.615939999999998</v>
      </c>
      <c r="S20">
        <v>3.2000000000000001E-2</v>
      </c>
      <c r="T20">
        <v>1.0117100999999999</v>
      </c>
      <c r="U20">
        <v>1.9E-2</v>
      </c>
      <c r="V20">
        <v>19.222000000000001</v>
      </c>
      <c r="W20">
        <v>2</v>
      </c>
      <c r="X20">
        <v>2.6011861409000001E-2</v>
      </c>
      <c r="Y20">
        <v>1</v>
      </c>
      <c r="Z20" s="60">
        <v>8.2620310000000003</v>
      </c>
      <c r="AA20" t="s">
        <v>423</v>
      </c>
      <c r="AB20" t="s">
        <v>424</v>
      </c>
      <c r="AC20" t="s">
        <v>425</v>
      </c>
      <c r="AD20" t="s">
        <v>81</v>
      </c>
      <c r="AE20">
        <v>111.133</v>
      </c>
      <c r="AF20">
        <v>0.99656169611782708</v>
      </c>
      <c r="AG20">
        <v>110.7508909746625</v>
      </c>
      <c r="AH20">
        <v>691.73</v>
      </c>
      <c r="AI20">
        <v>1</v>
      </c>
      <c r="AJ20">
        <v>76.609713813903269</v>
      </c>
      <c r="AK20">
        <v>0.89239999999999997</v>
      </c>
      <c r="AL20" s="62">
        <v>68.367000000000004</v>
      </c>
      <c r="AM20">
        <v>8.9176000000000002</v>
      </c>
      <c r="AN20">
        <v>8.8869385813003348</v>
      </c>
      <c r="AO20">
        <v>1</v>
      </c>
      <c r="AP20">
        <v>6147.3620248428806</v>
      </c>
      <c r="AQ20">
        <v>0.98143450184501846</v>
      </c>
      <c r="AR20">
        <v>6033.2331999999997</v>
      </c>
      <c r="AS20" s="60">
        <v>49846.7597286292</v>
      </c>
      <c r="AT20" t="s">
        <v>423</v>
      </c>
      <c r="AU20" t="s">
        <v>424</v>
      </c>
      <c r="AV20" t="s">
        <v>425</v>
      </c>
      <c r="AW20" t="s">
        <v>81</v>
      </c>
      <c r="AX20">
        <v>111.133</v>
      </c>
      <c r="AY20">
        <v>0.99656169611782708</v>
      </c>
      <c r="AZ20">
        <v>110.7508909746625</v>
      </c>
      <c r="BA20">
        <v>691.73</v>
      </c>
      <c r="BB20">
        <v>1</v>
      </c>
      <c r="BC20">
        <v>76.609713813903269</v>
      </c>
      <c r="BD20">
        <v>0.89239999999999997</v>
      </c>
      <c r="BE20" s="62">
        <v>68.367000000000004</v>
      </c>
      <c r="BF20">
        <v>8.9176000000000002</v>
      </c>
      <c r="BG20">
        <v>1</v>
      </c>
      <c r="BH20">
        <v>6147.3620248428806</v>
      </c>
      <c r="BI20">
        <v>0.98143450184501846</v>
      </c>
      <c r="BJ20" s="62">
        <v>6033.2331999999997</v>
      </c>
      <c r="BK20" s="60">
        <v>49846.7597286292</v>
      </c>
    </row>
    <row r="21" spans="1:63" x14ac:dyDescent="0.25">
      <c r="A21">
        <v>45</v>
      </c>
      <c r="B21" t="s">
        <v>99</v>
      </c>
      <c r="C21">
        <v>2016</v>
      </c>
      <c r="D21">
        <v>4</v>
      </c>
      <c r="E21" t="s">
        <v>100</v>
      </c>
      <c r="F21" t="s">
        <v>426</v>
      </c>
      <c r="G21" t="s">
        <v>427</v>
      </c>
      <c r="H21" t="s">
        <v>84</v>
      </c>
      <c r="I21" t="s">
        <v>429</v>
      </c>
      <c r="J21" t="s">
        <v>87</v>
      </c>
      <c r="K21">
        <v>-125.10825531</v>
      </c>
      <c r="L21" t="s">
        <v>87</v>
      </c>
      <c r="M21" t="s">
        <v>382</v>
      </c>
      <c r="N21">
        <v>2.6818325998610001E-2</v>
      </c>
      <c r="O21">
        <v>3.3551939760209111</v>
      </c>
      <c r="P21" t="s">
        <v>440</v>
      </c>
      <c r="Q21">
        <v>2</v>
      </c>
      <c r="R21">
        <v>31.615939999999998</v>
      </c>
      <c r="S21">
        <v>3.2000000000000001E-2</v>
      </c>
      <c r="T21">
        <v>1.0117100999999999</v>
      </c>
      <c r="U21">
        <v>1.9E-2</v>
      </c>
      <c r="V21">
        <v>19.222000000000001</v>
      </c>
      <c r="W21">
        <v>2</v>
      </c>
      <c r="X21">
        <v>2.6011861409000001E-2</v>
      </c>
      <c r="Y21">
        <v>1</v>
      </c>
      <c r="Z21" s="60">
        <v>3.355194</v>
      </c>
      <c r="AA21" t="s">
        <v>423</v>
      </c>
      <c r="AB21" t="s">
        <v>424</v>
      </c>
      <c r="AC21" t="s">
        <v>425</v>
      </c>
      <c r="AD21" t="s">
        <v>81</v>
      </c>
      <c r="AE21">
        <v>111.133</v>
      </c>
      <c r="AF21">
        <v>0.99656169611782708</v>
      </c>
      <c r="AG21">
        <v>110.7508909746625</v>
      </c>
      <c r="AH21">
        <v>691.73</v>
      </c>
      <c r="AI21">
        <v>1</v>
      </c>
      <c r="AJ21">
        <v>76.609713813903269</v>
      </c>
      <c r="AK21">
        <v>0.89239999999999997</v>
      </c>
      <c r="AL21" s="62">
        <v>68.367000000000004</v>
      </c>
      <c r="AM21">
        <v>8.9176000000000002</v>
      </c>
      <c r="AN21">
        <v>8.8869385813003348</v>
      </c>
      <c r="AO21">
        <v>1</v>
      </c>
      <c r="AP21">
        <v>6147.3620248428806</v>
      </c>
      <c r="AQ21">
        <v>0.98143450184501846</v>
      </c>
      <c r="AR21">
        <v>6033.2331999999997</v>
      </c>
      <c r="AS21" s="60">
        <v>20242.667833240801</v>
      </c>
      <c r="AT21" t="s">
        <v>423</v>
      </c>
      <c r="AU21" t="s">
        <v>424</v>
      </c>
      <c r="AV21" t="s">
        <v>425</v>
      </c>
      <c r="AW21" t="s">
        <v>81</v>
      </c>
      <c r="AX21">
        <v>111.133</v>
      </c>
      <c r="AY21">
        <v>0.99656169611782708</v>
      </c>
      <c r="AZ21">
        <v>110.7508909746625</v>
      </c>
      <c r="BA21">
        <v>691.73</v>
      </c>
      <c r="BB21">
        <v>1</v>
      </c>
      <c r="BC21">
        <v>76.609713813903269</v>
      </c>
      <c r="BD21">
        <v>0.89239999999999997</v>
      </c>
      <c r="BE21" s="62">
        <v>68.367000000000004</v>
      </c>
      <c r="BF21">
        <v>8.9176000000000002</v>
      </c>
      <c r="BG21">
        <v>1</v>
      </c>
      <c r="BH21">
        <v>6147.3620248428806</v>
      </c>
      <c r="BI21">
        <v>0.98143450184501846</v>
      </c>
      <c r="BJ21" s="62">
        <v>6033.2331999999997</v>
      </c>
      <c r="BK21" s="60">
        <v>20242.667833240801</v>
      </c>
    </row>
    <row r="22" spans="1:63" x14ac:dyDescent="0.25">
      <c r="A22">
        <v>45</v>
      </c>
      <c r="B22" t="s">
        <v>99</v>
      </c>
      <c r="C22">
        <v>2016</v>
      </c>
      <c r="D22">
        <v>4</v>
      </c>
      <c r="E22" t="s">
        <v>100</v>
      </c>
      <c r="F22" t="s">
        <v>426</v>
      </c>
      <c r="G22" t="s">
        <v>427</v>
      </c>
      <c r="H22" t="s">
        <v>84</v>
      </c>
      <c r="I22" t="s">
        <v>430</v>
      </c>
      <c r="J22" t="s">
        <v>59</v>
      </c>
      <c r="K22">
        <v>-331.59770463000001</v>
      </c>
      <c r="L22" t="s">
        <v>59</v>
      </c>
      <c r="M22" t="s">
        <v>382</v>
      </c>
      <c r="N22">
        <v>2.640253799954E-2</v>
      </c>
      <c r="O22">
        <v>8.7550209970538155</v>
      </c>
      <c r="P22" t="s">
        <v>440</v>
      </c>
      <c r="Q22">
        <v>2</v>
      </c>
      <c r="R22">
        <v>31.615939999999998</v>
      </c>
      <c r="S22">
        <v>3.2000000000000001E-2</v>
      </c>
      <c r="T22">
        <v>1.0117100999999999</v>
      </c>
      <c r="U22">
        <v>1.9E-2</v>
      </c>
      <c r="V22">
        <v>19.222000000000001</v>
      </c>
      <c r="W22">
        <v>2</v>
      </c>
      <c r="X22">
        <v>2.6011861409000001E-2</v>
      </c>
      <c r="Y22">
        <v>1</v>
      </c>
      <c r="Z22" s="60">
        <v>8.7550209999999993</v>
      </c>
      <c r="AA22" t="s">
        <v>423</v>
      </c>
      <c r="AB22" t="s">
        <v>424</v>
      </c>
      <c r="AC22" t="s">
        <v>425</v>
      </c>
      <c r="AD22" t="s">
        <v>81</v>
      </c>
      <c r="AE22">
        <v>111.133</v>
      </c>
      <c r="AF22">
        <v>0.99656169611782708</v>
      </c>
      <c r="AG22">
        <v>110.7508909746625</v>
      </c>
      <c r="AH22">
        <v>691.73</v>
      </c>
      <c r="AI22">
        <v>1</v>
      </c>
      <c r="AJ22">
        <v>76.609713813903269</v>
      </c>
      <c r="AK22">
        <v>0.89239999999999997</v>
      </c>
      <c r="AL22" s="62">
        <v>68.367000000000004</v>
      </c>
      <c r="AM22">
        <v>8.9176000000000002</v>
      </c>
      <c r="AN22">
        <v>8.8869385813003348</v>
      </c>
      <c r="AO22">
        <v>1</v>
      </c>
      <c r="AP22">
        <v>6147.3620248428806</v>
      </c>
      <c r="AQ22">
        <v>0.98143450184501846</v>
      </c>
      <c r="AR22">
        <v>6033.2331999999997</v>
      </c>
      <c r="AS22" s="60">
        <v>52821.083363897204</v>
      </c>
      <c r="AT22" t="s">
        <v>423</v>
      </c>
      <c r="AU22" t="s">
        <v>424</v>
      </c>
      <c r="AV22" t="s">
        <v>425</v>
      </c>
      <c r="AW22" t="s">
        <v>81</v>
      </c>
      <c r="AX22">
        <v>111.133</v>
      </c>
      <c r="AY22">
        <v>0.99656169611782708</v>
      </c>
      <c r="AZ22">
        <v>110.7508909746625</v>
      </c>
      <c r="BA22">
        <v>691.73</v>
      </c>
      <c r="BB22">
        <v>1</v>
      </c>
      <c r="BC22">
        <v>76.609713813903269</v>
      </c>
      <c r="BD22">
        <v>0.89239999999999997</v>
      </c>
      <c r="BE22" s="62">
        <v>68.367000000000004</v>
      </c>
      <c r="BF22">
        <v>8.9176000000000002</v>
      </c>
      <c r="BG22">
        <v>1</v>
      </c>
      <c r="BH22">
        <v>6147.3620248428806</v>
      </c>
      <c r="BI22">
        <v>0.98143450184501846</v>
      </c>
      <c r="BJ22" s="62">
        <v>6033.2331999999997</v>
      </c>
      <c r="BK22" s="60">
        <v>52821.083363897204</v>
      </c>
    </row>
    <row r="23" spans="1:63" x14ac:dyDescent="0.25">
      <c r="A23">
        <v>47</v>
      </c>
      <c r="B23" t="s">
        <v>99</v>
      </c>
      <c r="C23">
        <v>2016</v>
      </c>
      <c r="D23">
        <v>4</v>
      </c>
      <c r="E23" t="s">
        <v>100</v>
      </c>
      <c r="F23" t="s">
        <v>426</v>
      </c>
      <c r="G23" t="s">
        <v>427</v>
      </c>
      <c r="H23" t="s">
        <v>84</v>
      </c>
      <c r="I23" t="s">
        <v>428</v>
      </c>
      <c r="J23" t="s">
        <v>381</v>
      </c>
      <c r="K23">
        <v>-555.82596736000005</v>
      </c>
      <c r="L23" t="s">
        <v>381</v>
      </c>
      <c r="M23" t="s">
        <v>383</v>
      </c>
      <c r="N23">
        <v>1.0246055790000099</v>
      </c>
      <c r="O23">
        <v>569.50238711013344</v>
      </c>
      <c r="P23" t="s">
        <v>440</v>
      </c>
      <c r="Q23">
        <v>2</v>
      </c>
      <c r="R23">
        <v>31.615939999999998</v>
      </c>
      <c r="S23">
        <v>3.2000000000000001E-2</v>
      </c>
      <c r="T23">
        <v>1.0117100999999999</v>
      </c>
      <c r="U23">
        <v>0.98099999999999998</v>
      </c>
      <c r="V23">
        <v>992.48800000000006</v>
      </c>
      <c r="W23">
        <v>2</v>
      </c>
      <c r="X23">
        <v>5.0378442899999998E-4</v>
      </c>
      <c r="Y23">
        <v>1</v>
      </c>
      <c r="Z23" s="60">
        <v>569.502387</v>
      </c>
      <c r="AA23" t="s">
        <v>423</v>
      </c>
      <c r="AB23" t="s">
        <v>424</v>
      </c>
      <c r="AC23" t="s">
        <v>425</v>
      </c>
      <c r="AD23" t="s">
        <v>27</v>
      </c>
      <c r="AE23">
        <v>111.133</v>
      </c>
      <c r="AF23">
        <v>0.99656169611782708</v>
      </c>
      <c r="AG23">
        <v>110.7508909746625</v>
      </c>
      <c r="AH23">
        <v>691.73</v>
      </c>
      <c r="AI23">
        <v>1</v>
      </c>
      <c r="AJ23">
        <v>76.609713813903269</v>
      </c>
      <c r="AK23">
        <v>1.008</v>
      </c>
      <c r="AL23" s="62">
        <v>77.222999999999999</v>
      </c>
      <c r="AM23">
        <v>8.9176000000000002</v>
      </c>
      <c r="AN23">
        <v>8.8869385813003348</v>
      </c>
      <c r="AO23">
        <v>1</v>
      </c>
      <c r="AP23">
        <v>6147.3620248428806</v>
      </c>
      <c r="AQ23">
        <v>1.01312551271534</v>
      </c>
      <c r="AR23">
        <v>6228.0492999999997</v>
      </c>
      <c r="AS23" s="60">
        <v>3546888.9427036792</v>
      </c>
      <c r="AT23" t="s">
        <v>423</v>
      </c>
      <c r="AU23" t="s">
        <v>424</v>
      </c>
      <c r="AV23" t="s">
        <v>425</v>
      </c>
      <c r="AW23" t="s">
        <v>27</v>
      </c>
      <c r="AX23">
        <v>111.133</v>
      </c>
      <c r="AY23">
        <v>0.99656169611782708</v>
      </c>
      <c r="AZ23">
        <v>110.7508909746625</v>
      </c>
      <c r="BA23">
        <v>691.73</v>
      </c>
      <c r="BB23">
        <v>1</v>
      </c>
      <c r="BC23">
        <v>76.609713813903269</v>
      </c>
      <c r="BD23">
        <v>1.008</v>
      </c>
      <c r="BE23" s="62">
        <v>77.222999999999999</v>
      </c>
      <c r="BF23">
        <v>8.9176000000000002</v>
      </c>
      <c r="BG23">
        <v>1</v>
      </c>
      <c r="BH23">
        <v>6147.3620248428806</v>
      </c>
      <c r="BI23">
        <v>1.01312551271534</v>
      </c>
      <c r="BJ23" s="62">
        <v>6228.0492999999997</v>
      </c>
      <c r="BK23" s="60">
        <v>3546888.9427036792</v>
      </c>
    </row>
    <row r="24" spans="1:63" x14ac:dyDescent="0.25">
      <c r="A24">
        <v>47</v>
      </c>
      <c r="B24" t="s">
        <v>99</v>
      </c>
      <c r="C24">
        <v>2016</v>
      </c>
      <c r="D24">
        <v>4</v>
      </c>
      <c r="E24" t="s">
        <v>100</v>
      </c>
      <c r="F24" t="s">
        <v>426</v>
      </c>
      <c r="G24" t="s">
        <v>427</v>
      </c>
      <c r="H24" t="s">
        <v>84</v>
      </c>
      <c r="I24" t="s">
        <v>429</v>
      </c>
      <c r="J24" t="s">
        <v>87</v>
      </c>
      <c r="K24">
        <v>-125.10825531</v>
      </c>
      <c r="L24" t="s">
        <v>87</v>
      </c>
      <c r="M24" t="s">
        <v>383</v>
      </c>
      <c r="N24">
        <v>1.01265167400079</v>
      </c>
      <c r="O24">
        <v>126.6910841709897</v>
      </c>
      <c r="P24" t="s">
        <v>440</v>
      </c>
      <c r="Q24">
        <v>2</v>
      </c>
      <c r="R24">
        <v>31.615939999999998</v>
      </c>
      <c r="S24">
        <v>3.2000000000000001E-2</v>
      </c>
      <c r="T24">
        <v>1.0117100999999999</v>
      </c>
      <c r="U24">
        <v>0.98099999999999998</v>
      </c>
      <c r="V24">
        <v>992.48800000000006</v>
      </c>
      <c r="W24">
        <v>2</v>
      </c>
      <c r="X24">
        <v>5.0378442899999998E-4</v>
      </c>
      <c r="Y24">
        <v>1</v>
      </c>
      <c r="Z24" s="60">
        <v>126.691084</v>
      </c>
      <c r="AA24" t="s">
        <v>423</v>
      </c>
      <c r="AB24" t="s">
        <v>424</v>
      </c>
      <c r="AC24" t="s">
        <v>425</v>
      </c>
      <c r="AD24" t="s">
        <v>27</v>
      </c>
      <c r="AE24">
        <v>111.133</v>
      </c>
      <c r="AF24">
        <v>0.99656169611782708</v>
      </c>
      <c r="AG24">
        <v>110.7508909746625</v>
      </c>
      <c r="AH24">
        <v>691.73</v>
      </c>
      <c r="AI24">
        <v>1</v>
      </c>
      <c r="AJ24">
        <v>76.609713813903269</v>
      </c>
      <c r="AK24">
        <v>1.008</v>
      </c>
      <c r="AL24" s="62">
        <v>77.222999999999999</v>
      </c>
      <c r="AM24">
        <v>8.9176000000000002</v>
      </c>
      <c r="AN24">
        <v>8.8869385813003348</v>
      </c>
      <c r="AO24">
        <v>1</v>
      </c>
      <c r="AP24">
        <v>6147.3620248428806</v>
      </c>
      <c r="AQ24">
        <v>1.01312551271534</v>
      </c>
      <c r="AR24">
        <v>6228.0492999999997</v>
      </c>
      <c r="AS24" s="60">
        <v>789038.31702244119</v>
      </c>
      <c r="AT24" t="s">
        <v>423</v>
      </c>
      <c r="AU24" t="s">
        <v>424</v>
      </c>
      <c r="AV24" t="s">
        <v>425</v>
      </c>
      <c r="AW24" t="s">
        <v>27</v>
      </c>
      <c r="AX24">
        <v>111.133</v>
      </c>
      <c r="AY24">
        <v>0.99656169611782708</v>
      </c>
      <c r="AZ24">
        <v>110.7508909746625</v>
      </c>
      <c r="BA24">
        <v>691.73</v>
      </c>
      <c r="BB24">
        <v>1</v>
      </c>
      <c r="BC24">
        <v>76.609713813903269</v>
      </c>
      <c r="BD24">
        <v>1.008</v>
      </c>
      <c r="BE24" s="62">
        <v>77.222999999999999</v>
      </c>
      <c r="BF24">
        <v>8.9176000000000002</v>
      </c>
      <c r="BG24">
        <v>1</v>
      </c>
      <c r="BH24">
        <v>6147.3620248428806</v>
      </c>
      <c r="BI24">
        <v>1.01312551271534</v>
      </c>
      <c r="BJ24" s="62">
        <v>6228.0492999999997</v>
      </c>
      <c r="BK24" s="60">
        <v>789038.31702244119</v>
      </c>
    </row>
    <row r="25" spans="1:63" x14ac:dyDescent="0.25">
      <c r="A25">
        <v>47</v>
      </c>
      <c r="B25" t="s">
        <v>99</v>
      </c>
      <c r="C25">
        <v>2016</v>
      </c>
      <c r="D25">
        <v>4</v>
      </c>
      <c r="E25" t="s">
        <v>100</v>
      </c>
      <c r="F25" t="s">
        <v>426</v>
      </c>
      <c r="G25" t="s">
        <v>427</v>
      </c>
      <c r="H25" t="s">
        <v>84</v>
      </c>
      <c r="I25" t="s">
        <v>430</v>
      </c>
      <c r="J25" t="s">
        <v>59</v>
      </c>
      <c r="K25">
        <v>-331.59770463000001</v>
      </c>
      <c r="L25" t="s">
        <v>59</v>
      </c>
      <c r="M25" t="s">
        <v>383</v>
      </c>
      <c r="N25">
        <v>1.01306746199941</v>
      </c>
      <c r="O25">
        <v>335.93084503434409</v>
      </c>
      <c r="P25" t="s">
        <v>440</v>
      </c>
      <c r="Q25">
        <v>2</v>
      </c>
      <c r="R25">
        <v>31.615939999999998</v>
      </c>
      <c r="S25">
        <v>3.2000000000000001E-2</v>
      </c>
      <c r="T25">
        <v>1.0117100999999999</v>
      </c>
      <c r="U25">
        <v>0.98099999999999998</v>
      </c>
      <c r="V25">
        <v>992.48800000000006</v>
      </c>
      <c r="W25">
        <v>2</v>
      </c>
      <c r="X25">
        <v>5.0378442899999998E-4</v>
      </c>
      <c r="Y25">
        <v>1</v>
      </c>
      <c r="Z25" s="60">
        <v>335.93084499999998</v>
      </c>
      <c r="AA25" t="s">
        <v>423</v>
      </c>
      <c r="AB25" t="s">
        <v>424</v>
      </c>
      <c r="AC25" t="s">
        <v>425</v>
      </c>
      <c r="AD25" t="s">
        <v>27</v>
      </c>
      <c r="AE25">
        <v>111.133</v>
      </c>
      <c r="AF25">
        <v>0.99656169611782708</v>
      </c>
      <c r="AG25">
        <v>110.7508909746625</v>
      </c>
      <c r="AH25">
        <v>691.73</v>
      </c>
      <c r="AI25">
        <v>1</v>
      </c>
      <c r="AJ25">
        <v>76.609713813903269</v>
      </c>
      <c r="AK25">
        <v>1.008</v>
      </c>
      <c r="AL25" s="62">
        <v>77.222999999999999</v>
      </c>
      <c r="AM25">
        <v>8.9176000000000002</v>
      </c>
      <c r="AN25">
        <v>8.8869385813003348</v>
      </c>
      <c r="AO25">
        <v>1</v>
      </c>
      <c r="AP25">
        <v>6147.3620248428806</v>
      </c>
      <c r="AQ25">
        <v>1.01312551271534</v>
      </c>
      <c r="AR25">
        <v>6228.0492999999997</v>
      </c>
      <c r="AS25" s="60">
        <v>2092193.864050658</v>
      </c>
      <c r="AT25" t="s">
        <v>423</v>
      </c>
      <c r="AU25" t="s">
        <v>424</v>
      </c>
      <c r="AV25" t="s">
        <v>425</v>
      </c>
      <c r="AW25" t="s">
        <v>27</v>
      </c>
      <c r="AX25">
        <v>111.133</v>
      </c>
      <c r="AY25">
        <v>0.99656169611782708</v>
      </c>
      <c r="AZ25">
        <v>110.7508909746625</v>
      </c>
      <c r="BA25">
        <v>691.73</v>
      </c>
      <c r="BB25">
        <v>1</v>
      </c>
      <c r="BC25">
        <v>76.609713813903269</v>
      </c>
      <c r="BD25">
        <v>1.008</v>
      </c>
      <c r="BE25" s="62">
        <v>77.222999999999999</v>
      </c>
      <c r="BF25">
        <v>8.9176000000000002</v>
      </c>
      <c r="BG25">
        <v>1</v>
      </c>
      <c r="BH25">
        <v>6147.3620248428806</v>
      </c>
      <c r="BI25">
        <v>1.01312551271534</v>
      </c>
      <c r="BJ25" s="62">
        <v>6228.0492999999997</v>
      </c>
      <c r="BK25" s="60">
        <v>2092193.864050658</v>
      </c>
    </row>
    <row r="26" spans="1:63" x14ac:dyDescent="0.25">
      <c r="A26">
        <v>57</v>
      </c>
      <c r="B26" t="s">
        <v>134</v>
      </c>
      <c r="C26">
        <v>2016</v>
      </c>
      <c r="D26">
        <v>5</v>
      </c>
      <c r="E26" t="s">
        <v>100</v>
      </c>
      <c r="F26" t="s">
        <v>426</v>
      </c>
      <c r="G26" t="s">
        <v>427</v>
      </c>
      <c r="H26" t="s">
        <v>84</v>
      </c>
      <c r="I26" t="s">
        <v>428</v>
      </c>
      <c r="J26" t="s">
        <v>381</v>
      </c>
      <c r="K26">
        <v>-632.79027571999995</v>
      </c>
      <c r="L26" t="s">
        <v>381</v>
      </c>
      <c r="M26" t="s">
        <v>382</v>
      </c>
      <c r="N26">
        <v>1.4864420999970001E-2</v>
      </c>
      <c r="O26">
        <v>9.4060610629891741</v>
      </c>
      <c r="P26" t="s">
        <v>440</v>
      </c>
      <c r="Q26">
        <v>2</v>
      </c>
      <c r="R26">
        <v>31.615939999999998</v>
      </c>
      <c r="S26">
        <v>6.0999999999999999E-2</v>
      </c>
      <c r="T26">
        <v>1.9285722999999999</v>
      </c>
      <c r="U26">
        <v>1.9E-2</v>
      </c>
      <c r="V26">
        <v>36.643000000000001</v>
      </c>
      <c r="W26">
        <v>2</v>
      </c>
      <c r="X26">
        <v>1.3645170974E-2</v>
      </c>
      <c r="Y26">
        <v>1</v>
      </c>
      <c r="Z26" s="60">
        <v>9.4060609999999993</v>
      </c>
      <c r="AA26" t="s">
        <v>431</v>
      </c>
      <c r="AB26" t="s">
        <v>424</v>
      </c>
      <c r="AC26" t="s">
        <v>425</v>
      </c>
      <c r="AD26" t="s">
        <v>81</v>
      </c>
      <c r="AE26">
        <v>111.133</v>
      </c>
      <c r="AF26">
        <v>0.99656169611782708</v>
      </c>
      <c r="AG26">
        <v>110.7508909746625</v>
      </c>
      <c r="AH26">
        <v>691.73</v>
      </c>
      <c r="AI26">
        <v>1</v>
      </c>
      <c r="AJ26">
        <v>76.609713813903269</v>
      </c>
      <c r="AK26">
        <v>0.89239999999999997</v>
      </c>
      <c r="AL26" s="62">
        <v>68.367000000000004</v>
      </c>
      <c r="AM26">
        <v>8.9176000000000002</v>
      </c>
      <c r="AN26">
        <v>8.8869385813003348</v>
      </c>
      <c r="AO26">
        <v>1</v>
      </c>
      <c r="AP26">
        <v>6147.3620248428806</v>
      </c>
      <c r="AQ26">
        <v>0.98143450184501846</v>
      </c>
      <c r="AR26">
        <v>6033.2331999999997</v>
      </c>
      <c r="AS26" s="60">
        <v>56748.959506425192</v>
      </c>
      <c r="AT26" t="s">
        <v>423</v>
      </c>
      <c r="AU26" t="s">
        <v>424</v>
      </c>
      <c r="AV26" t="s">
        <v>425</v>
      </c>
      <c r="AW26" t="s">
        <v>81</v>
      </c>
      <c r="AX26">
        <v>111.133</v>
      </c>
      <c r="AY26">
        <v>0.99656169611782708</v>
      </c>
      <c r="AZ26">
        <v>110.7508909746625</v>
      </c>
      <c r="BA26">
        <v>691.73</v>
      </c>
      <c r="BB26">
        <v>1</v>
      </c>
      <c r="BC26">
        <v>76.609713813903269</v>
      </c>
      <c r="BD26">
        <v>0.89239999999999997</v>
      </c>
      <c r="BE26" s="62">
        <v>68.367000000000004</v>
      </c>
      <c r="BF26">
        <v>8.9176000000000002</v>
      </c>
      <c r="BG26">
        <v>1</v>
      </c>
      <c r="BH26">
        <v>6147.3620248428806</v>
      </c>
      <c r="BI26">
        <v>0.98143450184501846</v>
      </c>
      <c r="BJ26" s="62">
        <v>6033.2331999999997</v>
      </c>
      <c r="BK26" s="60">
        <v>56748.959506425192</v>
      </c>
    </row>
    <row r="27" spans="1:63" x14ac:dyDescent="0.25">
      <c r="A27">
        <v>57</v>
      </c>
      <c r="B27" t="s">
        <v>134</v>
      </c>
      <c r="C27">
        <v>2016</v>
      </c>
      <c r="D27">
        <v>5</v>
      </c>
      <c r="E27" t="s">
        <v>100</v>
      </c>
      <c r="F27" t="s">
        <v>426</v>
      </c>
      <c r="G27" t="s">
        <v>427</v>
      </c>
      <c r="H27" t="s">
        <v>84</v>
      </c>
      <c r="I27" t="s">
        <v>429</v>
      </c>
      <c r="J27" t="s">
        <v>87</v>
      </c>
      <c r="K27">
        <v>-130.27588750999999</v>
      </c>
      <c r="L27" t="s">
        <v>87</v>
      </c>
      <c r="M27" t="s">
        <v>382</v>
      </c>
      <c r="N27">
        <v>2.5328419000879999E-2</v>
      </c>
      <c r="O27">
        <v>3.299682264564789</v>
      </c>
      <c r="P27" t="s">
        <v>440</v>
      </c>
      <c r="Q27">
        <v>2</v>
      </c>
      <c r="R27">
        <v>31.615939999999998</v>
      </c>
      <c r="S27">
        <v>6.0999999999999999E-2</v>
      </c>
      <c r="T27">
        <v>1.9285722999999999</v>
      </c>
      <c r="U27">
        <v>1.9E-2</v>
      </c>
      <c r="V27">
        <v>36.643000000000001</v>
      </c>
      <c r="W27">
        <v>2</v>
      </c>
      <c r="X27">
        <v>1.3645170974E-2</v>
      </c>
      <c r="Y27">
        <v>1</v>
      </c>
      <c r="Z27" s="60">
        <v>3.2996819999999998</v>
      </c>
      <c r="AA27" t="s">
        <v>431</v>
      </c>
      <c r="AB27" t="s">
        <v>424</v>
      </c>
      <c r="AC27" t="s">
        <v>425</v>
      </c>
      <c r="AD27" t="s">
        <v>81</v>
      </c>
      <c r="AE27">
        <v>111.133</v>
      </c>
      <c r="AF27">
        <v>0.99656169611782708</v>
      </c>
      <c r="AG27">
        <v>110.7508909746625</v>
      </c>
      <c r="AH27">
        <v>691.73</v>
      </c>
      <c r="AI27">
        <v>1</v>
      </c>
      <c r="AJ27">
        <v>76.609713813903269</v>
      </c>
      <c r="AK27">
        <v>0.89239999999999997</v>
      </c>
      <c r="AL27" s="62">
        <v>68.367000000000004</v>
      </c>
      <c r="AM27">
        <v>8.9176000000000002</v>
      </c>
      <c r="AN27">
        <v>8.8869385813003348</v>
      </c>
      <c r="AO27">
        <v>1</v>
      </c>
      <c r="AP27">
        <v>6147.3620248428806</v>
      </c>
      <c r="AQ27">
        <v>0.98143450184501846</v>
      </c>
      <c r="AR27">
        <v>6033.2331999999997</v>
      </c>
      <c r="AS27" s="60">
        <v>19907.7509918424</v>
      </c>
      <c r="AT27" t="s">
        <v>423</v>
      </c>
      <c r="AU27" t="s">
        <v>424</v>
      </c>
      <c r="AV27" t="s">
        <v>425</v>
      </c>
      <c r="AW27" t="s">
        <v>81</v>
      </c>
      <c r="AX27">
        <v>111.133</v>
      </c>
      <c r="AY27">
        <v>0.99656169611782708</v>
      </c>
      <c r="AZ27">
        <v>110.7508909746625</v>
      </c>
      <c r="BA27">
        <v>691.73</v>
      </c>
      <c r="BB27">
        <v>1</v>
      </c>
      <c r="BC27">
        <v>76.609713813903269</v>
      </c>
      <c r="BD27">
        <v>0.89239999999999997</v>
      </c>
      <c r="BE27" s="62">
        <v>68.367000000000004</v>
      </c>
      <c r="BF27">
        <v>8.9176000000000002</v>
      </c>
      <c r="BG27">
        <v>1</v>
      </c>
      <c r="BH27">
        <v>6147.3620248428806</v>
      </c>
      <c r="BI27">
        <v>0.98143450184501846</v>
      </c>
      <c r="BJ27" s="62">
        <v>6033.2331999999997</v>
      </c>
      <c r="BK27" s="60">
        <v>19907.7509918424</v>
      </c>
    </row>
    <row r="28" spans="1:63" x14ac:dyDescent="0.25">
      <c r="A28">
        <v>57</v>
      </c>
      <c r="B28" t="s">
        <v>134</v>
      </c>
      <c r="C28">
        <v>2016</v>
      </c>
      <c r="D28">
        <v>5</v>
      </c>
      <c r="E28" t="s">
        <v>100</v>
      </c>
      <c r="F28" t="s">
        <v>426</v>
      </c>
      <c r="G28" t="s">
        <v>427</v>
      </c>
      <c r="H28" t="s">
        <v>84</v>
      </c>
      <c r="I28" t="s">
        <v>430</v>
      </c>
      <c r="J28" t="s">
        <v>59</v>
      </c>
      <c r="K28">
        <v>-359.10661037</v>
      </c>
      <c r="L28" t="s">
        <v>59</v>
      </c>
      <c r="M28" t="s">
        <v>382</v>
      </c>
      <c r="N28">
        <v>2.570773436818E-2</v>
      </c>
      <c r="O28">
        <v>9.2318173492494733</v>
      </c>
      <c r="P28" t="s">
        <v>440</v>
      </c>
      <c r="Q28">
        <v>2</v>
      </c>
      <c r="R28">
        <v>31.615939999999998</v>
      </c>
      <c r="S28">
        <v>6.0999999999999999E-2</v>
      </c>
      <c r="T28">
        <v>1.9285722999999999</v>
      </c>
      <c r="U28">
        <v>1.9E-2</v>
      </c>
      <c r="V28">
        <v>36.643000000000001</v>
      </c>
      <c r="W28">
        <v>2</v>
      </c>
      <c r="X28">
        <v>1.3645170974E-2</v>
      </c>
      <c r="Y28">
        <v>1</v>
      </c>
      <c r="Z28" s="60">
        <v>9.2318169999999995</v>
      </c>
      <c r="AA28" t="s">
        <v>431</v>
      </c>
      <c r="AB28" t="s">
        <v>424</v>
      </c>
      <c r="AC28" t="s">
        <v>425</v>
      </c>
      <c r="AD28" t="s">
        <v>81</v>
      </c>
      <c r="AE28">
        <v>111.133</v>
      </c>
      <c r="AF28">
        <v>0.99656169611782708</v>
      </c>
      <c r="AG28">
        <v>110.7508909746625</v>
      </c>
      <c r="AH28">
        <v>691.73</v>
      </c>
      <c r="AI28">
        <v>1</v>
      </c>
      <c r="AJ28">
        <v>76.609713813903269</v>
      </c>
      <c r="AK28">
        <v>0.89239999999999997</v>
      </c>
      <c r="AL28" s="62">
        <v>68.367000000000004</v>
      </c>
      <c r="AM28">
        <v>8.9176000000000002</v>
      </c>
      <c r="AN28">
        <v>8.8869385813003348</v>
      </c>
      <c r="AO28">
        <v>1</v>
      </c>
      <c r="AP28">
        <v>6147.3620248428806</v>
      </c>
      <c r="AQ28">
        <v>0.98143450184501846</v>
      </c>
      <c r="AR28">
        <v>6033.2331999999997</v>
      </c>
      <c r="AS28" s="60">
        <v>55697.704820724393</v>
      </c>
      <c r="AT28" t="s">
        <v>423</v>
      </c>
      <c r="AU28" t="s">
        <v>424</v>
      </c>
      <c r="AV28" t="s">
        <v>425</v>
      </c>
      <c r="AW28" t="s">
        <v>81</v>
      </c>
      <c r="AX28">
        <v>111.133</v>
      </c>
      <c r="AY28">
        <v>0.99656169611782708</v>
      </c>
      <c r="AZ28">
        <v>110.7508909746625</v>
      </c>
      <c r="BA28">
        <v>691.73</v>
      </c>
      <c r="BB28">
        <v>1</v>
      </c>
      <c r="BC28">
        <v>76.609713813903269</v>
      </c>
      <c r="BD28">
        <v>0.89239999999999997</v>
      </c>
      <c r="BE28" s="62">
        <v>68.367000000000004</v>
      </c>
      <c r="BF28">
        <v>8.9176000000000002</v>
      </c>
      <c r="BG28">
        <v>1</v>
      </c>
      <c r="BH28">
        <v>6147.3620248428806</v>
      </c>
      <c r="BI28">
        <v>0.98143450184501846</v>
      </c>
      <c r="BJ28" s="62">
        <v>6033.2331999999997</v>
      </c>
      <c r="BK28" s="60">
        <v>55697.704820724393</v>
      </c>
    </row>
    <row r="29" spans="1:63" x14ac:dyDescent="0.25">
      <c r="A29">
        <v>59</v>
      </c>
      <c r="B29" t="s">
        <v>134</v>
      </c>
      <c r="C29">
        <v>2016</v>
      </c>
      <c r="D29">
        <v>5</v>
      </c>
      <c r="E29" t="s">
        <v>100</v>
      </c>
      <c r="F29" t="s">
        <v>426</v>
      </c>
      <c r="G29" t="s">
        <v>427</v>
      </c>
      <c r="H29" t="s">
        <v>84</v>
      </c>
      <c r="I29" t="s">
        <v>428</v>
      </c>
      <c r="J29" t="s">
        <v>381</v>
      </c>
      <c r="K29">
        <v>-632.79027571999995</v>
      </c>
      <c r="L29" t="s">
        <v>381</v>
      </c>
      <c r="M29" t="s">
        <v>383</v>
      </c>
      <c r="N29">
        <v>1.0246055789999</v>
      </c>
      <c r="O29">
        <v>648.36044683959688</v>
      </c>
      <c r="P29" t="s">
        <v>440</v>
      </c>
      <c r="Q29">
        <v>2</v>
      </c>
      <c r="R29">
        <v>31.615939999999998</v>
      </c>
      <c r="S29">
        <v>6.0999999999999999E-2</v>
      </c>
      <c r="T29">
        <v>1.9285722999999999</v>
      </c>
      <c r="U29">
        <v>0.98099999999999998</v>
      </c>
      <c r="V29">
        <v>1891.9290000000001</v>
      </c>
      <c r="W29">
        <v>2</v>
      </c>
      <c r="X29">
        <v>2.6428053099999998E-4</v>
      </c>
      <c r="Y29">
        <v>1</v>
      </c>
      <c r="Z29" s="60">
        <v>648.36044700000002</v>
      </c>
      <c r="AA29" t="s">
        <v>431</v>
      </c>
      <c r="AB29" t="s">
        <v>424</v>
      </c>
      <c r="AC29" t="s">
        <v>425</v>
      </c>
      <c r="AD29" t="s">
        <v>27</v>
      </c>
      <c r="AE29">
        <v>111.133</v>
      </c>
      <c r="AF29">
        <v>0.99656169611782708</v>
      </c>
      <c r="AG29">
        <v>110.7508909746625</v>
      </c>
      <c r="AH29">
        <v>691.73</v>
      </c>
      <c r="AI29">
        <v>1</v>
      </c>
      <c r="AJ29">
        <v>76.609713813903269</v>
      </c>
      <c r="AK29">
        <v>1.008</v>
      </c>
      <c r="AL29" s="62">
        <v>77.222999999999999</v>
      </c>
      <c r="AM29">
        <v>8.9176000000000002</v>
      </c>
      <c r="AN29">
        <v>8.8869385813003348</v>
      </c>
      <c r="AO29">
        <v>1</v>
      </c>
      <c r="AP29">
        <v>6147.3620248428806</v>
      </c>
      <c r="AQ29">
        <v>1.01312551271534</v>
      </c>
      <c r="AR29">
        <v>6228.0492999999997</v>
      </c>
      <c r="AS29" s="60">
        <v>4038020.8280860372</v>
      </c>
      <c r="AT29" t="s">
        <v>423</v>
      </c>
      <c r="AU29" t="s">
        <v>424</v>
      </c>
      <c r="AV29" t="s">
        <v>425</v>
      </c>
      <c r="AW29" t="s">
        <v>27</v>
      </c>
      <c r="AX29">
        <v>111.133</v>
      </c>
      <c r="AY29">
        <v>0.99656169611782708</v>
      </c>
      <c r="AZ29">
        <v>110.7508909746625</v>
      </c>
      <c r="BA29">
        <v>691.73</v>
      </c>
      <c r="BB29">
        <v>1</v>
      </c>
      <c r="BC29">
        <v>76.609713813903269</v>
      </c>
      <c r="BD29">
        <v>1.008</v>
      </c>
      <c r="BE29" s="62">
        <v>77.222999999999999</v>
      </c>
      <c r="BF29">
        <v>8.9176000000000002</v>
      </c>
      <c r="BG29">
        <v>1</v>
      </c>
      <c r="BH29">
        <v>6147.3620248428806</v>
      </c>
      <c r="BI29">
        <v>1.01312551271534</v>
      </c>
      <c r="BJ29" s="62">
        <v>6228.0492999999997</v>
      </c>
      <c r="BK29" s="60">
        <v>4038020.8280860372</v>
      </c>
    </row>
    <row r="30" spans="1:63" x14ac:dyDescent="0.25">
      <c r="A30">
        <v>59</v>
      </c>
      <c r="B30" t="s">
        <v>134</v>
      </c>
      <c r="C30">
        <v>2016</v>
      </c>
      <c r="D30">
        <v>5</v>
      </c>
      <c r="E30" t="s">
        <v>100</v>
      </c>
      <c r="F30" t="s">
        <v>426</v>
      </c>
      <c r="G30" t="s">
        <v>427</v>
      </c>
      <c r="H30" t="s">
        <v>84</v>
      </c>
      <c r="I30" t="s">
        <v>429</v>
      </c>
      <c r="J30" t="s">
        <v>87</v>
      </c>
      <c r="K30">
        <v>-130.27588750999999</v>
      </c>
      <c r="L30" t="s">
        <v>87</v>
      </c>
      <c r="M30" t="s">
        <v>383</v>
      </c>
      <c r="N30">
        <v>0.95639324766877998</v>
      </c>
      <c r="O30">
        <v>124.5949791486216</v>
      </c>
      <c r="P30" t="s">
        <v>440</v>
      </c>
      <c r="Q30">
        <v>2</v>
      </c>
      <c r="R30">
        <v>31.615939999999998</v>
      </c>
      <c r="S30">
        <v>6.0999999999999999E-2</v>
      </c>
      <c r="T30">
        <v>1.9285722999999999</v>
      </c>
      <c r="U30">
        <v>0.98099999999999998</v>
      </c>
      <c r="V30">
        <v>1891.9290000000001</v>
      </c>
      <c r="W30">
        <v>2</v>
      </c>
      <c r="X30">
        <v>2.6428053099999998E-4</v>
      </c>
      <c r="Y30">
        <v>1</v>
      </c>
      <c r="Z30" s="60">
        <v>124.594979</v>
      </c>
      <c r="AA30" t="s">
        <v>431</v>
      </c>
      <c r="AB30" t="s">
        <v>424</v>
      </c>
      <c r="AC30" t="s">
        <v>425</v>
      </c>
      <c r="AD30" t="s">
        <v>27</v>
      </c>
      <c r="AE30">
        <v>111.133</v>
      </c>
      <c r="AF30">
        <v>0.99656169611782708</v>
      </c>
      <c r="AG30">
        <v>110.7508909746625</v>
      </c>
      <c r="AH30">
        <v>691.73</v>
      </c>
      <c r="AI30">
        <v>1</v>
      </c>
      <c r="AJ30">
        <v>76.609713813903269</v>
      </c>
      <c r="AK30">
        <v>1.008</v>
      </c>
      <c r="AL30" s="62">
        <v>77.222999999999999</v>
      </c>
      <c r="AM30">
        <v>8.9176000000000002</v>
      </c>
      <c r="AN30">
        <v>8.8869385813003348</v>
      </c>
      <c r="AO30">
        <v>1</v>
      </c>
      <c r="AP30">
        <v>6147.3620248428806</v>
      </c>
      <c r="AQ30">
        <v>1.01312551271534</v>
      </c>
      <c r="AR30">
        <v>6228.0492999999997</v>
      </c>
      <c r="AS30" s="60">
        <v>775983.67174446466</v>
      </c>
      <c r="AT30" t="s">
        <v>423</v>
      </c>
      <c r="AU30" t="s">
        <v>424</v>
      </c>
      <c r="AV30" t="s">
        <v>425</v>
      </c>
      <c r="AW30" t="s">
        <v>27</v>
      </c>
      <c r="AX30">
        <v>111.133</v>
      </c>
      <c r="AY30">
        <v>0.99656169611782708</v>
      </c>
      <c r="AZ30">
        <v>110.7508909746625</v>
      </c>
      <c r="BA30">
        <v>691.73</v>
      </c>
      <c r="BB30">
        <v>1</v>
      </c>
      <c r="BC30">
        <v>76.609713813903269</v>
      </c>
      <c r="BD30">
        <v>1.008</v>
      </c>
      <c r="BE30" s="62">
        <v>77.222999999999999</v>
      </c>
      <c r="BF30">
        <v>8.9176000000000002</v>
      </c>
      <c r="BG30">
        <v>1</v>
      </c>
      <c r="BH30">
        <v>6147.3620248428806</v>
      </c>
      <c r="BI30">
        <v>1.01312551271534</v>
      </c>
      <c r="BJ30" s="62">
        <v>6228.0492999999997</v>
      </c>
      <c r="BK30" s="60">
        <v>775983.67174446466</v>
      </c>
    </row>
    <row r="31" spans="1:63" x14ac:dyDescent="0.25">
      <c r="A31">
        <v>59</v>
      </c>
      <c r="B31" t="s">
        <v>134</v>
      </c>
      <c r="C31">
        <v>2016</v>
      </c>
      <c r="D31">
        <v>5</v>
      </c>
      <c r="E31" t="s">
        <v>100</v>
      </c>
      <c r="F31" t="s">
        <v>426</v>
      </c>
      <c r="G31" t="s">
        <v>427</v>
      </c>
      <c r="H31" t="s">
        <v>84</v>
      </c>
      <c r="I31" t="s">
        <v>430</v>
      </c>
      <c r="J31" t="s">
        <v>59</v>
      </c>
      <c r="K31">
        <v>-359.10661037</v>
      </c>
      <c r="L31" t="s">
        <v>59</v>
      </c>
      <c r="M31" t="s">
        <v>383</v>
      </c>
      <c r="N31">
        <v>0.98640779194743999</v>
      </c>
      <c r="O31">
        <v>354.22555860880141</v>
      </c>
      <c r="P31" t="s">
        <v>440</v>
      </c>
      <c r="Q31">
        <v>2</v>
      </c>
      <c r="R31">
        <v>31.615939999999998</v>
      </c>
      <c r="S31">
        <v>6.0999999999999999E-2</v>
      </c>
      <c r="T31">
        <v>1.9285722999999999</v>
      </c>
      <c r="U31">
        <v>0.98099999999999998</v>
      </c>
      <c r="V31">
        <v>1891.9290000000001</v>
      </c>
      <c r="W31">
        <v>2</v>
      </c>
      <c r="X31">
        <v>2.6428053099999998E-4</v>
      </c>
      <c r="Y31">
        <v>1</v>
      </c>
      <c r="Z31" s="60">
        <v>354.22555899999998</v>
      </c>
      <c r="AA31" t="s">
        <v>431</v>
      </c>
      <c r="AB31" t="s">
        <v>424</v>
      </c>
      <c r="AC31" t="s">
        <v>425</v>
      </c>
      <c r="AD31" t="s">
        <v>27</v>
      </c>
      <c r="AE31">
        <v>111.133</v>
      </c>
      <c r="AF31">
        <v>0.99656169611782708</v>
      </c>
      <c r="AG31">
        <v>110.7508909746625</v>
      </c>
      <c r="AH31">
        <v>691.73</v>
      </c>
      <c r="AI31">
        <v>1</v>
      </c>
      <c r="AJ31">
        <v>76.609713813903269</v>
      </c>
      <c r="AK31">
        <v>1.008</v>
      </c>
      <c r="AL31" s="62">
        <v>77.222999999999999</v>
      </c>
      <c r="AM31">
        <v>8.9176000000000002</v>
      </c>
      <c r="AN31">
        <v>8.8869385813003348</v>
      </c>
      <c r="AO31">
        <v>1</v>
      </c>
      <c r="AP31">
        <v>6147.3620248428806</v>
      </c>
      <c r="AQ31">
        <v>1.01312551271534</v>
      </c>
      <c r="AR31">
        <v>6228.0492999999997</v>
      </c>
      <c r="AS31" s="60">
        <v>2206134.244772058</v>
      </c>
      <c r="AT31" t="s">
        <v>423</v>
      </c>
      <c r="AU31" t="s">
        <v>424</v>
      </c>
      <c r="AV31" t="s">
        <v>425</v>
      </c>
      <c r="AW31" t="s">
        <v>27</v>
      </c>
      <c r="AX31">
        <v>111.133</v>
      </c>
      <c r="AY31">
        <v>0.99656169611782708</v>
      </c>
      <c r="AZ31">
        <v>110.7508909746625</v>
      </c>
      <c r="BA31">
        <v>691.73</v>
      </c>
      <c r="BB31">
        <v>1</v>
      </c>
      <c r="BC31">
        <v>76.609713813903269</v>
      </c>
      <c r="BD31">
        <v>1.008</v>
      </c>
      <c r="BE31" s="62">
        <v>77.222999999999999</v>
      </c>
      <c r="BF31">
        <v>8.9176000000000002</v>
      </c>
      <c r="BG31">
        <v>1</v>
      </c>
      <c r="BH31">
        <v>6147.3620248428806</v>
      </c>
      <c r="BI31">
        <v>1.01312551271534</v>
      </c>
      <c r="BJ31" s="62">
        <v>6228.0492999999997</v>
      </c>
      <c r="BK31" s="60">
        <v>2206134.244772058</v>
      </c>
    </row>
    <row r="32" spans="1:63" x14ac:dyDescent="0.25">
      <c r="A32">
        <v>69</v>
      </c>
      <c r="B32" t="s">
        <v>136</v>
      </c>
      <c r="C32">
        <v>2016</v>
      </c>
      <c r="D32">
        <v>6</v>
      </c>
      <c r="E32" t="s">
        <v>100</v>
      </c>
      <c r="F32" t="s">
        <v>426</v>
      </c>
      <c r="G32" t="s">
        <v>427</v>
      </c>
      <c r="H32" t="s">
        <v>84</v>
      </c>
      <c r="I32" t="s">
        <v>428</v>
      </c>
      <c r="J32" t="s">
        <v>381</v>
      </c>
      <c r="K32">
        <v>-662.87443488999997</v>
      </c>
      <c r="L32" t="s">
        <v>381</v>
      </c>
      <c r="M32" t="s">
        <v>382</v>
      </c>
      <c r="N32">
        <v>1.4864421000020001E-2</v>
      </c>
      <c r="O32">
        <v>9.8532446703553056</v>
      </c>
      <c r="P32" t="s">
        <v>440</v>
      </c>
      <c r="Q32">
        <v>2</v>
      </c>
      <c r="R32">
        <v>31.615939999999998</v>
      </c>
      <c r="S32">
        <v>6.8000000000000005E-2</v>
      </c>
      <c r="T32">
        <v>2.1498838999999998</v>
      </c>
      <c r="U32">
        <v>1.9E-2</v>
      </c>
      <c r="V32">
        <v>40.847999999999999</v>
      </c>
      <c r="W32">
        <v>2</v>
      </c>
      <c r="X32">
        <v>1.2240501371000001E-2</v>
      </c>
      <c r="Y32">
        <v>1</v>
      </c>
      <c r="Z32" s="60">
        <v>9.8532449999999994</v>
      </c>
      <c r="AA32" t="s">
        <v>432</v>
      </c>
      <c r="AB32" t="s">
        <v>424</v>
      </c>
      <c r="AC32" t="s">
        <v>425</v>
      </c>
      <c r="AD32" t="s">
        <v>81</v>
      </c>
      <c r="AE32">
        <v>111.133</v>
      </c>
      <c r="AF32">
        <v>0.99656169611782708</v>
      </c>
      <c r="AG32">
        <v>110.7508909746625</v>
      </c>
      <c r="AH32">
        <v>691.73</v>
      </c>
      <c r="AI32">
        <v>1</v>
      </c>
      <c r="AJ32">
        <v>76.609713813903269</v>
      </c>
      <c r="AK32">
        <v>0.89239999999999997</v>
      </c>
      <c r="AL32" s="62">
        <v>68.367000000000004</v>
      </c>
      <c r="AM32">
        <v>8.9176000000000002</v>
      </c>
      <c r="AN32">
        <v>8.8869385813003348</v>
      </c>
      <c r="AO32">
        <v>1</v>
      </c>
      <c r="AP32">
        <v>6147.3620248428806</v>
      </c>
      <c r="AQ32">
        <v>0.98143450184501846</v>
      </c>
      <c r="AR32">
        <v>6033.2331999999997</v>
      </c>
      <c r="AS32" s="60">
        <v>59446.924861733991</v>
      </c>
      <c r="AT32" t="s">
        <v>423</v>
      </c>
      <c r="AU32" t="s">
        <v>424</v>
      </c>
      <c r="AV32" t="s">
        <v>425</v>
      </c>
      <c r="AW32" t="s">
        <v>81</v>
      </c>
      <c r="AX32">
        <v>111.133</v>
      </c>
      <c r="AY32">
        <v>0.99656169611782708</v>
      </c>
      <c r="AZ32">
        <v>110.7508909746625</v>
      </c>
      <c r="BA32">
        <v>691.73</v>
      </c>
      <c r="BB32">
        <v>1</v>
      </c>
      <c r="BC32">
        <v>76.609713813903269</v>
      </c>
      <c r="BD32">
        <v>0.89239999999999997</v>
      </c>
      <c r="BE32" s="62">
        <v>68.367000000000004</v>
      </c>
      <c r="BF32">
        <v>8.9176000000000002</v>
      </c>
      <c r="BG32">
        <v>1</v>
      </c>
      <c r="BH32">
        <v>6147.3620248428806</v>
      </c>
      <c r="BI32">
        <v>0.98143450184501846</v>
      </c>
      <c r="BJ32" s="62">
        <v>6033.2331999999997</v>
      </c>
      <c r="BK32" s="60">
        <v>59446.924861733991</v>
      </c>
    </row>
    <row r="33" spans="1:63" x14ac:dyDescent="0.25">
      <c r="A33">
        <v>69</v>
      </c>
      <c r="B33" t="s">
        <v>136</v>
      </c>
      <c r="C33">
        <v>2016</v>
      </c>
      <c r="D33">
        <v>6</v>
      </c>
      <c r="E33" t="s">
        <v>100</v>
      </c>
      <c r="F33" t="s">
        <v>426</v>
      </c>
      <c r="G33" t="s">
        <v>427</v>
      </c>
      <c r="H33" t="s">
        <v>84</v>
      </c>
      <c r="I33" t="s">
        <v>429</v>
      </c>
      <c r="J33" t="s">
        <v>87</v>
      </c>
      <c r="K33">
        <v>-130.70846743000001</v>
      </c>
      <c r="L33" t="s">
        <v>87</v>
      </c>
      <c r="M33" t="s">
        <v>382</v>
      </c>
      <c r="N33">
        <v>2.6818326000940002E-2</v>
      </c>
      <c r="O33">
        <v>3.5053822906209882</v>
      </c>
      <c r="P33" t="s">
        <v>440</v>
      </c>
      <c r="Q33">
        <v>2</v>
      </c>
      <c r="R33">
        <v>31.615939999999998</v>
      </c>
      <c r="S33">
        <v>6.8000000000000005E-2</v>
      </c>
      <c r="T33">
        <v>2.1498838999999998</v>
      </c>
      <c r="U33">
        <v>1.9E-2</v>
      </c>
      <c r="V33">
        <v>40.847999999999999</v>
      </c>
      <c r="W33">
        <v>2</v>
      </c>
      <c r="X33">
        <v>1.2240501371000001E-2</v>
      </c>
      <c r="Y33">
        <v>1</v>
      </c>
      <c r="Z33" s="60">
        <v>3.505382</v>
      </c>
      <c r="AA33" t="s">
        <v>432</v>
      </c>
      <c r="AB33" t="s">
        <v>424</v>
      </c>
      <c r="AC33" t="s">
        <v>425</v>
      </c>
      <c r="AD33" t="s">
        <v>81</v>
      </c>
      <c r="AE33">
        <v>111.133</v>
      </c>
      <c r="AF33">
        <v>0.99656169611782708</v>
      </c>
      <c r="AG33">
        <v>110.7508909746625</v>
      </c>
      <c r="AH33">
        <v>691.73</v>
      </c>
      <c r="AI33">
        <v>1</v>
      </c>
      <c r="AJ33">
        <v>76.609713813903269</v>
      </c>
      <c r="AK33">
        <v>0.89239999999999997</v>
      </c>
      <c r="AL33" s="62">
        <v>68.367000000000004</v>
      </c>
      <c r="AM33">
        <v>8.9176000000000002</v>
      </c>
      <c r="AN33">
        <v>8.8869385813003348</v>
      </c>
      <c r="AO33">
        <v>1</v>
      </c>
      <c r="AP33">
        <v>6147.3620248428806</v>
      </c>
      <c r="AQ33">
        <v>0.98143450184501846</v>
      </c>
      <c r="AR33">
        <v>6033.2331999999997</v>
      </c>
      <c r="AS33" s="60">
        <v>21148.787061082399</v>
      </c>
      <c r="AT33" t="s">
        <v>423</v>
      </c>
      <c r="AU33" t="s">
        <v>424</v>
      </c>
      <c r="AV33" t="s">
        <v>425</v>
      </c>
      <c r="AW33" t="s">
        <v>81</v>
      </c>
      <c r="AX33">
        <v>111.133</v>
      </c>
      <c r="AY33">
        <v>0.99656169611782708</v>
      </c>
      <c r="AZ33">
        <v>110.7508909746625</v>
      </c>
      <c r="BA33">
        <v>691.73</v>
      </c>
      <c r="BB33">
        <v>1</v>
      </c>
      <c r="BC33">
        <v>76.609713813903269</v>
      </c>
      <c r="BD33">
        <v>0.89239999999999997</v>
      </c>
      <c r="BE33" s="62">
        <v>68.367000000000004</v>
      </c>
      <c r="BF33">
        <v>8.9176000000000002</v>
      </c>
      <c r="BG33">
        <v>1</v>
      </c>
      <c r="BH33">
        <v>6147.3620248428806</v>
      </c>
      <c r="BI33">
        <v>0.98143450184501846</v>
      </c>
      <c r="BJ33" s="62">
        <v>6033.2331999999997</v>
      </c>
      <c r="BK33" s="60">
        <v>21148.787061082399</v>
      </c>
    </row>
    <row r="34" spans="1:63" x14ac:dyDescent="0.25">
      <c r="A34">
        <v>69</v>
      </c>
      <c r="B34" t="s">
        <v>136</v>
      </c>
      <c r="C34">
        <v>2016</v>
      </c>
      <c r="D34">
        <v>6</v>
      </c>
      <c r="E34" t="s">
        <v>100</v>
      </c>
      <c r="F34" t="s">
        <v>426</v>
      </c>
      <c r="G34" t="s">
        <v>427</v>
      </c>
      <c r="H34" t="s">
        <v>84</v>
      </c>
      <c r="I34" t="s">
        <v>430</v>
      </c>
      <c r="J34" t="s">
        <v>59</v>
      </c>
      <c r="K34">
        <v>-366.19091207999998</v>
      </c>
      <c r="L34" t="s">
        <v>59</v>
      </c>
      <c r="M34" t="s">
        <v>382</v>
      </c>
      <c r="N34">
        <v>2.64025379997E-2</v>
      </c>
      <c r="O34">
        <v>9.6683694713370016</v>
      </c>
      <c r="P34" t="s">
        <v>440</v>
      </c>
      <c r="Q34">
        <v>2</v>
      </c>
      <c r="R34">
        <v>31.615939999999998</v>
      </c>
      <c r="S34">
        <v>6.8000000000000005E-2</v>
      </c>
      <c r="T34">
        <v>2.1498838999999998</v>
      </c>
      <c r="U34">
        <v>1.9E-2</v>
      </c>
      <c r="V34">
        <v>40.847999999999999</v>
      </c>
      <c r="W34">
        <v>2</v>
      </c>
      <c r="X34">
        <v>1.2240501371000001E-2</v>
      </c>
      <c r="Y34">
        <v>1</v>
      </c>
      <c r="Z34" s="60">
        <v>9.6683690000000002</v>
      </c>
      <c r="AA34" t="s">
        <v>432</v>
      </c>
      <c r="AB34" t="s">
        <v>424</v>
      </c>
      <c r="AC34" t="s">
        <v>425</v>
      </c>
      <c r="AD34" t="s">
        <v>81</v>
      </c>
      <c r="AE34">
        <v>111.133</v>
      </c>
      <c r="AF34">
        <v>0.99656169611782708</v>
      </c>
      <c r="AG34">
        <v>110.7508909746625</v>
      </c>
      <c r="AH34">
        <v>691.73</v>
      </c>
      <c r="AI34">
        <v>1</v>
      </c>
      <c r="AJ34">
        <v>76.609713813903269</v>
      </c>
      <c r="AK34">
        <v>0.89239999999999997</v>
      </c>
      <c r="AL34" s="62">
        <v>68.367000000000004</v>
      </c>
      <c r="AM34">
        <v>8.9176000000000002</v>
      </c>
      <c r="AN34">
        <v>8.8869385813003348</v>
      </c>
      <c r="AO34">
        <v>1</v>
      </c>
      <c r="AP34">
        <v>6147.3620248428806</v>
      </c>
      <c r="AQ34">
        <v>0.98143450184501846</v>
      </c>
      <c r="AR34">
        <v>6033.2331999999997</v>
      </c>
      <c r="AS34" s="60">
        <v>58331.524840650804</v>
      </c>
      <c r="AT34" t="s">
        <v>423</v>
      </c>
      <c r="AU34" t="s">
        <v>424</v>
      </c>
      <c r="AV34" t="s">
        <v>425</v>
      </c>
      <c r="AW34" t="s">
        <v>81</v>
      </c>
      <c r="AX34">
        <v>111.133</v>
      </c>
      <c r="AY34">
        <v>0.99656169611782708</v>
      </c>
      <c r="AZ34">
        <v>110.7508909746625</v>
      </c>
      <c r="BA34">
        <v>691.73</v>
      </c>
      <c r="BB34">
        <v>1</v>
      </c>
      <c r="BC34">
        <v>76.609713813903269</v>
      </c>
      <c r="BD34">
        <v>0.89239999999999997</v>
      </c>
      <c r="BE34" s="62">
        <v>68.367000000000004</v>
      </c>
      <c r="BF34">
        <v>8.9176000000000002</v>
      </c>
      <c r="BG34">
        <v>1</v>
      </c>
      <c r="BH34">
        <v>6147.3620248428806</v>
      </c>
      <c r="BI34">
        <v>0.98143450184501846</v>
      </c>
      <c r="BJ34" s="62">
        <v>6033.2331999999997</v>
      </c>
      <c r="BK34" s="60">
        <v>58331.524840650804</v>
      </c>
    </row>
    <row r="35" spans="1:63" x14ac:dyDescent="0.25">
      <c r="A35">
        <v>71</v>
      </c>
      <c r="B35" t="s">
        <v>136</v>
      </c>
      <c r="C35">
        <v>2016</v>
      </c>
      <c r="D35">
        <v>6</v>
      </c>
      <c r="E35" t="s">
        <v>100</v>
      </c>
      <c r="F35" t="s">
        <v>426</v>
      </c>
      <c r="G35" t="s">
        <v>427</v>
      </c>
      <c r="H35" t="s">
        <v>84</v>
      </c>
      <c r="I35" t="s">
        <v>428</v>
      </c>
      <c r="J35" t="s">
        <v>381</v>
      </c>
      <c r="K35">
        <v>-662.87443488999997</v>
      </c>
      <c r="L35" t="s">
        <v>381</v>
      </c>
      <c r="M35" t="s">
        <v>383</v>
      </c>
      <c r="N35">
        <v>1.0246055790001201</v>
      </c>
      <c r="O35">
        <v>679.1848441648458</v>
      </c>
      <c r="P35" t="s">
        <v>440</v>
      </c>
      <c r="Q35">
        <v>2</v>
      </c>
      <c r="R35">
        <v>31.615939999999998</v>
      </c>
      <c r="S35">
        <v>6.8000000000000005E-2</v>
      </c>
      <c r="T35">
        <v>2.1498838999999998</v>
      </c>
      <c r="U35">
        <v>0.98099999999999998</v>
      </c>
      <c r="V35">
        <v>2109.0360000000001</v>
      </c>
      <c r="W35">
        <v>2</v>
      </c>
      <c r="X35">
        <v>2.3707513799999999E-4</v>
      </c>
      <c r="Y35">
        <v>1</v>
      </c>
      <c r="Z35" s="60">
        <v>679.184844</v>
      </c>
      <c r="AA35" t="s">
        <v>432</v>
      </c>
      <c r="AB35" t="s">
        <v>424</v>
      </c>
      <c r="AC35" t="s">
        <v>425</v>
      </c>
      <c r="AD35" t="s">
        <v>27</v>
      </c>
      <c r="AE35">
        <v>111.133</v>
      </c>
      <c r="AF35">
        <v>0.99656169611782708</v>
      </c>
      <c r="AG35">
        <v>110.7508909746625</v>
      </c>
      <c r="AH35">
        <v>691.73</v>
      </c>
      <c r="AI35">
        <v>1</v>
      </c>
      <c r="AJ35">
        <v>76.609713813903269</v>
      </c>
      <c r="AK35">
        <v>1.008</v>
      </c>
      <c r="AL35" s="62">
        <v>77.222999999999999</v>
      </c>
      <c r="AM35">
        <v>8.9176000000000002</v>
      </c>
      <c r="AN35">
        <v>8.8869385813003348</v>
      </c>
      <c r="AO35">
        <v>1</v>
      </c>
      <c r="AP35">
        <v>6147.3620248428806</v>
      </c>
      <c r="AQ35">
        <v>1.01312551271534</v>
      </c>
      <c r="AR35">
        <v>6228.0492999999997</v>
      </c>
      <c r="AS35" s="60">
        <v>4229996.6922448091</v>
      </c>
      <c r="AT35" t="s">
        <v>423</v>
      </c>
      <c r="AU35" t="s">
        <v>424</v>
      </c>
      <c r="AV35" t="s">
        <v>425</v>
      </c>
      <c r="AW35" t="s">
        <v>27</v>
      </c>
      <c r="AX35">
        <v>111.133</v>
      </c>
      <c r="AY35">
        <v>0.99656169611782708</v>
      </c>
      <c r="AZ35">
        <v>110.7508909746625</v>
      </c>
      <c r="BA35">
        <v>691.73</v>
      </c>
      <c r="BB35">
        <v>1</v>
      </c>
      <c r="BC35">
        <v>76.609713813903269</v>
      </c>
      <c r="BD35">
        <v>1.008</v>
      </c>
      <c r="BE35" s="62">
        <v>77.222999999999999</v>
      </c>
      <c r="BF35">
        <v>8.9176000000000002</v>
      </c>
      <c r="BG35">
        <v>1</v>
      </c>
      <c r="BH35">
        <v>6147.3620248428806</v>
      </c>
      <c r="BI35">
        <v>1.01312551271534</v>
      </c>
      <c r="BJ35" s="62">
        <v>6228.0492999999997</v>
      </c>
      <c r="BK35" s="60">
        <v>4229996.6922448091</v>
      </c>
    </row>
    <row r="36" spans="1:63" x14ac:dyDescent="0.25">
      <c r="A36">
        <v>71</v>
      </c>
      <c r="B36" t="s">
        <v>136</v>
      </c>
      <c r="C36">
        <v>2016</v>
      </c>
      <c r="D36">
        <v>6</v>
      </c>
      <c r="E36" t="s">
        <v>100</v>
      </c>
      <c r="F36" t="s">
        <v>426</v>
      </c>
      <c r="G36" t="s">
        <v>427</v>
      </c>
      <c r="H36" t="s">
        <v>84</v>
      </c>
      <c r="I36" t="s">
        <v>429</v>
      </c>
      <c r="J36" t="s">
        <v>87</v>
      </c>
      <c r="K36">
        <v>-130.70846743000001</v>
      </c>
      <c r="L36" t="s">
        <v>87</v>
      </c>
      <c r="M36" t="s">
        <v>383</v>
      </c>
      <c r="N36">
        <v>1.01265167399811</v>
      </c>
      <c r="O36">
        <v>132.36214834871689</v>
      </c>
      <c r="P36" t="s">
        <v>440</v>
      </c>
      <c r="Q36">
        <v>2</v>
      </c>
      <c r="R36">
        <v>31.615939999999998</v>
      </c>
      <c r="S36">
        <v>6.8000000000000005E-2</v>
      </c>
      <c r="T36">
        <v>2.1498838999999998</v>
      </c>
      <c r="U36">
        <v>0.98099999999999998</v>
      </c>
      <c r="V36">
        <v>2109.0360000000001</v>
      </c>
      <c r="W36">
        <v>2</v>
      </c>
      <c r="X36">
        <v>2.3707513799999999E-4</v>
      </c>
      <c r="Y36">
        <v>1</v>
      </c>
      <c r="Z36" s="60">
        <v>132.36214799999999</v>
      </c>
      <c r="AA36" t="s">
        <v>432</v>
      </c>
      <c r="AB36" t="s">
        <v>424</v>
      </c>
      <c r="AC36" t="s">
        <v>425</v>
      </c>
      <c r="AD36" t="s">
        <v>27</v>
      </c>
      <c r="AE36">
        <v>111.133</v>
      </c>
      <c r="AF36">
        <v>0.99656169611782708</v>
      </c>
      <c r="AG36">
        <v>110.7508909746625</v>
      </c>
      <c r="AH36">
        <v>691.73</v>
      </c>
      <c r="AI36">
        <v>1</v>
      </c>
      <c r="AJ36">
        <v>76.609713813903269</v>
      </c>
      <c r="AK36">
        <v>1.008</v>
      </c>
      <c r="AL36" s="62">
        <v>77.222999999999999</v>
      </c>
      <c r="AM36">
        <v>8.9176000000000002</v>
      </c>
      <c r="AN36">
        <v>8.8869385813003348</v>
      </c>
      <c r="AO36">
        <v>1</v>
      </c>
      <c r="AP36">
        <v>6147.3620248428806</v>
      </c>
      <c r="AQ36">
        <v>1.01312551271534</v>
      </c>
      <c r="AR36">
        <v>6228.0492999999997</v>
      </c>
      <c r="AS36" s="60">
        <v>824357.98319789628</v>
      </c>
      <c r="AT36" t="s">
        <v>423</v>
      </c>
      <c r="AU36" t="s">
        <v>424</v>
      </c>
      <c r="AV36" t="s">
        <v>425</v>
      </c>
      <c r="AW36" t="s">
        <v>27</v>
      </c>
      <c r="AX36">
        <v>111.133</v>
      </c>
      <c r="AY36">
        <v>0.99656169611782708</v>
      </c>
      <c r="AZ36">
        <v>110.7508909746625</v>
      </c>
      <c r="BA36">
        <v>691.73</v>
      </c>
      <c r="BB36">
        <v>1</v>
      </c>
      <c r="BC36">
        <v>76.609713813903269</v>
      </c>
      <c r="BD36">
        <v>1.008</v>
      </c>
      <c r="BE36" s="62">
        <v>77.222999999999999</v>
      </c>
      <c r="BF36">
        <v>8.9176000000000002</v>
      </c>
      <c r="BG36">
        <v>1</v>
      </c>
      <c r="BH36">
        <v>6147.3620248428806</v>
      </c>
      <c r="BI36">
        <v>1.01312551271534</v>
      </c>
      <c r="BJ36" s="62">
        <v>6228.0492999999997</v>
      </c>
      <c r="BK36" s="60">
        <v>824357.98319789628</v>
      </c>
    </row>
    <row r="37" spans="1:63" x14ac:dyDescent="0.25">
      <c r="A37">
        <v>71</v>
      </c>
      <c r="B37" t="s">
        <v>136</v>
      </c>
      <c r="C37">
        <v>2016</v>
      </c>
      <c r="D37">
        <v>6</v>
      </c>
      <c r="E37" t="s">
        <v>100</v>
      </c>
      <c r="F37" t="s">
        <v>426</v>
      </c>
      <c r="G37" t="s">
        <v>427</v>
      </c>
      <c r="H37" t="s">
        <v>84</v>
      </c>
      <c r="I37" t="s">
        <v>430</v>
      </c>
      <c r="J37" t="s">
        <v>59</v>
      </c>
      <c r="K37">
        <v>-366.19091207999998</v>
      </c>
      <c r="L37" t="s">
        <v>59</v>
      </c>
      <c r="M37" t="s">
        <v>383</v>
      </c>
      <c r="N37">
        <v>1.0130674620006901</v>
      </c>
      <c r="O37">
        <v>370.97609790860338</v>
      </c>
      <c r="P37" t="s">
        <v>440</v>
      </c>
      <c r="Q37">
        <v>2</v>
      </c>
      <c r="R37">
        <v>31.615939999999998</v>
      </c>
      <c r="S37">
        <v>6.8000000000000005E-2</v>
      </c>
      <c r="T37">
        <v>2.1498838999999998</v>
      </c>
      <c r="U37">
        <v>0.98099999999999998</v>
      </c>
      <c r="V37">
        <v>2109.0360000000001</v>
      </c>
      <c r="W37">
        <v>2</v>
      </c>
      <c r="X37">
        <v>2.3707513799999999E-4</v>
      </c>
      <c r="Y37">
        <v>1</v>
      </c>
      <c r="Z37" s="60">
        <v>370.97609799999998</v>
      </c>
      <c r="AA37" t="s">
        <v>432</v>
      </c>
      <c r="AB37" t="s">
        <v>424</v>
      </c>
      <c r="AC37" t="s">
        <v>425</v>
      </c>
      <c r="AD37" t="s">
        <v>27</v>
      </c>
      <c r="AE37">
        <v>111.133</v>
      </c>
      <c r="AF37">
        <v>0.99656169611782708</v>
      </c>
      <c r="AG37">
        <v>110.7508909746625</v>
      </c>
      <c r="AH37">
        <v>691.73</v>
      </c>
      <c r="AI37">
        <v>1</v>
      </c>
      <c r="AJ37">
        <v>76.609713813903269</v>
      </c>
      <c r="AK37">
        <v>1.008</v>
      </c>
      <c r="AL37" s="62">
        <v>77.222999999999999</v>
      </c>
      <c r="AM37">
        <v>8.9176000000000002</v>
      </c>
      <c r="AN37">
        <v>8.8869385813003348</v>
      </c>
      <c r="AO37">
        <v>1</v>
      </c>
      <c r="AP37">
        <v>6147.3620248428806</v>
      </c>
      <c r="AQ37">
        <v>1.01312551271534</v>
      </c>
      <c r="AR37">
        <v>6228.0492999999997</v>
      </c>
      <c r="AS37" s="60">
        <v>2310457.4274656312</v>
      </c>
      <c r="AT37" t="s">
        <v>423</v>
      </c>
      <c r="AU37" t="s">
        <v>424</v>
      </c>
      <c r="AV37" t="s">
        <v>425</v>
      </c>
      <c r="AW37" t="s">
        <v>27</v>
      </c>
      <c r="AX37">
        <v>111.133</v>
      </c>
      <c r="AY37">
        <v>0.99656169611782708</v>
      </c>
      <c r="AZ37">
        <v>110.7508909746625</v>
      </c>
      <c r="BA37">
        <v>691.73</v>
      </c>
      <c r="BB37">
        <v>1</v>
      </c>
      <c r="BC37">
        <v>76.609713813903269</v>
      </c>
      <c r="BD37">
        <v>1.008</v>
      </c>
      <c r="BE37" s="62">
        <v>77.222999999999999</v>
      </c>
      <c r="BF37">
        <v>8.9176000000000002</v>
      </c>
      <c r="BG37">
        <v>1</v>
      </c>
      <c r="BH37">
        <v>6147.3620248428806</v>
      </c>
      <c r="BI37">
        <v>1.01312551271534</v>
      </c>
      <c r="BJ37" s="62">
        <v>6228.0492999999997</v>
      </c>
      <c r="BK37" s="60">
        <v>2310457.4274656312</v>
      </c>
    </row>
    <row r="38" spans="1:63" x14ac:dyDescent="0.25">
      <c r="A38">
        <v>81</v>
      </c>
      <c r="B38" t="s">
        <v>135</v>
      </c>
      <c r="C38">
        <v>2016</v>
      </c>
      <c r="D38">
        <v>7</v>
      </c>
      <c r="E38" t="s">
        <v>100</v>
      </c>
      <c r="F38" t="s">
        <v>426</v>
      </c>
      <c r="G38" t="s">
        <v>427</v>
      </c>
      <c r="H38" t="s">
        <v>84</v>
      </c>
      <c r="I38" t="s">
        <v>428</v>
      </c>
      <c r="J38" t="s">
        <v>381</v>
      </c>
      <c r="K38">
        <v>-823.01966202999995</v>
      </c>
      <c r="L38" t="s">
        <v>381</v>
      </c>
      <c r="M38" t="s">
        <v>382</v>
      </c>
      <c r="N38">
        <v>1.486442100001E-2</v>
      </c>
      <c r="O38">
        <v>12.23371074769986</v>
      </c>
      <c r="P38" t="s">
        <v>440</v>
      </c>
      <c r="Q38">
        <v>2</v>
      </c>
      <c r="R38">
        <v>31.615939999999998</v>
      </c>
      <c r="S38">
        <v>8.3000000000000004E-2</v>
      </c>
      <c r="T38">
        <v>2.624123</v>
      </c>
      <c r="U38">
        <v>1.9E-2</v>
      </c>
      <c r="V38">
        <v>49.857999999999997</v>
      </c>
      <c r="W38">
        <v>2</v>
      </c>
      <c r="X38">
        <v>1.0028480886E-2</v>
      </c>
      <c r="Y38">
        <v>1</v>
      </c>
      <c r="Z38" s="60">
        <v>12.233711</v>
      </c>
      <c r="AA38" t="s">
        <v>333</v>
      </c>
      <c r="AB38" t="s">
        <v>433</v>
      </c>
      <c r="AC38" t="s">
        <v>425</v>
      </c>
      <c r="AD38" t="s">
        <v>81</v>
      </c>
      <c r="AE38">
        <v>111.133</v>
      </c>
      <c r="AF38">
        <v>0.99656169611782708</v>
      </c>
      <c r="AG38">
        <v>110.7508909746625</v>
      </c>
      <c r="AH38">
        <v>682.07</v>
      </c>
      <c r="AI38">
        <v>1</v>
      </c>
      <c r="AJ38">
        <v>75.539860207088026</v>
      </c>
      <c r="AK38">
        <v>0.92979999999999996</v>
      </c>
      <c r="AL38" s="62">
        <v>70.236999999999995</v>
      </c>
      <c r="AM38">
        <v>8.9176000000000002</v>
      </c>
      <c r="AN38">
        <v>8.8869385813003348</v>
      </c>
      <c r="AO38">
        <v>1</v>
      </c>
      <c r="AP38">
        <v>6061.5141981475199</v>
      </c>
      <c r="AQ38">
        <v>1.0375922509225091</v>
      </c>
      <c r="AR38">
        <v>6289.3801999999996</v>
      </c>
      <c r="AS38" s="60">
        <v>76942.459735922195</v>
      </c>
      <c r="AT38" t="s">
        <v>336</v>
      </c>
      <c r="AU38" t="s">
        <v>433</v>
      </c>
      <c r="AV38" t="s">
        <v>425</v>
      </c>
      <c r="AW38" t="s">
        <v>81</v>
      </c>
      <c r="AX38">
        <v>111.133</v>
      </c>
      <c r="AY38">
        <v>0.99819678194932504</v>
      </c>
      <c r="AZ38">
        <v>110.9326029683743</v>
      </c>
      <c r="BA38">
        <v>682.07</v>
      </c>
      <c r="BB38">
        <v>1</v>
      </c>
      <c r="BC38">
        <v>75.663800506639092</v>
      </c>
      <c r="BD38">
        <v>0.92979999999999996</v>
      </c>
      <c r="BE38" s="62">
        <v>70.352000000000004</v>
      </c>
      <c r="BF38">
        <v>8.9176000000000002</v>
      </c>
      <c r="BG38">
        <v>1</v>
      </c>
      <c r="BH38">
        <v>6071.4594890626977</v>
      </c>
      <c r="BI38">
        <v>1.0375922509225091</v>
      </c>
      <c r="BJ38" s="62">
        <v>6299.6993000000002</v>
      </c>
      <c r="BK38" s="60">
        <v>77068.700623102297</v>
      </c>
    </row>
    <row r="39" spans="1:63" x14ac:dyDescent="0.25">
      <c r="A39">
        <v>81</v>
      </c>
      <c r="B39" t="s">
        <v>135</v>
      </c>
      <c r="C39">
        <v>2016</v>
      </c>
      <c r="D39">
        <v>7</v>
      </c>
      <c r="E39" t="s">
        <v>100</v>
      </c>
      <c r="F39" t="s">
        <v>426</v>
      </c>
      <c r="G39" t="s">
        <v>427</v>
      </c>
      <c r="H39" t="s">
        <v>84</v>
      </c>
      <c r="I39" t="s">
        <v>429</v>
      </c>
      <c r="J39" t="s">
        <v>87</v>
      </c>
      <c r="K39">
        <v>-163.18676518999999</v>
      </c>
      <c r="L39" t="s">
        <v>87</v>
      </c>
      <c r="M39" t="s">
        <v>382</v>
      </c>
      <c r="N39">
        <v>2.6818325999649999E-2</v>
      </c>
      <c r="O39">
        <v>4.3763958676937564</v>
      </c>
      <c r="P39" t="s">
        <v>440</v>
      </c>
      <c r="Q39">
        <v>2</v>
      </c>
      <c r="R39">
        <v>31.615939999999998</v>
      </c>
      <c r="S39">
        <v>8.3000000000000004E-2</v>
      </c>
      <c r="T39">
        <v>2.624123</v>
      </c>
      <c r="U39">
        <v>1.9E-2</v>
      </c>
      <c r="V39">
        <v>49.857999999999997</v>
      </c>
      <c r="W39">
        <v>2</v>
      </c>
      <c r="X39">
        <v>1.0028480886E-2</v>
      </c>
      <c r="Y39">
        <v>1</v>
      </c>
      <c r="Z39" s="60">
        <v>4.3763959999999997</v>
      </c>
      <c r="AA39" t="s">
        <v>333</v>
      </c>
      <c r="AB39" t="s">
        <v>433</v>
      </c>
      <c r="AC39" t="s">
        <v>425</v>
      </c>
      <c r="AD39" t="s">
        <v>81</v>
      </c>
      <c r="AE39">
        <v>111.133</v>
      </c>
      <c r="AF39">
        <v>0.99656169611782708</v>
      </c>
      <c r="AG39">
        <v>110.7508909746625</v>
      </c>
      <c r="AH39">
        <v>682.07</v>
      </c>
      <c r="AI39">
        <v>1</v>
      </c>
      <c r="AJ39">
        <v>75.539860207088026</v>
      </c>
      <c r="AK39">
        <v>0.92979999999999996</v>
      </c>
      <c r="AL39" s="62">
        <v>70.236999999999995</v>
      </c>
      <c r="AM39">
        <v>8.9176000000000002</v>
      </c>
      <c r="AN39">
        <v>8.8869385813003348</v>
      </c>
      <c r="AO39">
        <v>1</v>
      </c>
      <c r="AP39">
        <v>6061.5141981475199</v>
      </c>
      <c r="AQ39">
        <v>1.0375922509225091</v>
      </c>
      <c r="AR39">
        <v>6289.3801999999996</v>
      </c>
      <c r="AS39" s="60">
        <v>27524.8183497592</v>
      </c>
      <c r="AT39" t="s">
        <v>336</v>
      </c>
      <c r="AU39" t="s">
        <v>433</v>
      </c>
      <c r="AV39" t="s">
        <v>425</v>
      </c>
      <c r="AW39" t="s">
        <v>81</v>
      </c>
      <c r="AX39">
        <v>111.133</v>
      </c>
      <c r="AY39">
        <v>0.99819678194932504</v>
      </c>
      <c r="AZ39">
        <v>110.9326029683743</v>
      </c>
      <c r="BA39">
        <v>682.07</v>
      </c>
      <c r="BB39">
        <v>1</v>
      </c>
      <c r="BC39">
        <v>75.663800506639092</v>
      </c>
      <c r="BD39">
        <v>0.92979999999999996</v>
      </c>
      <c r="BE39" s="62">
        <v>70.352000000000004</v>
      </c>
      <c r="BF39">
        <v>8.9176000000000002</v>
      </c>
      <c r="BG39">
        <v>1</v>
      </c>
      <c r="BH39">
        <v>6071.4594890626977</v>
      </c>
      <c r="BI39">
        <v>1.0375922509225091</v>
      </c>
      <c r="BJ39" s="62">
        <v>6299.6993000000002</v>
      </c>
      <c r="BK39" s="60">
        <v>27569.9788177228</v>
      </c>
    </row>
    <row r="40" spans="1:63" x14ac:dyDescent="0.25">
      <c r="A40">
        <v>81</v>
      </c>
      <c r="B40" t="s">
        <v>135</v>
      </c>
      <c r="C40">
        <v>2016</v>
      </c>
      <c r="D40">
        <v>7</v>
      </c>
      <c r="E40" t="s">
        <v>100</v>
      </c>
      <c r="F40" t="s">
        <v>426</v>
      </c>
      <c r="G40" t="s">
        <v>427</v>
      </c>
      <c r="H40" t="s">
        <v>84</v>
      </c>
      <c r="I40" t="s">
        <v>430</v>
      </c>
      <c r="J40" t="s">
        <v>59</v>
      </c>
      <c r="K40">
        <v>-469.26005545999999</v>
      </c>
      <c r="L40" t="s">
        <v>59</v>
      </c>
      <c r="M40" t="s">
        <v>382</v>
      </c>
      <c r="N40">
        <v>2.6402537999860001E-2</v>
      </c>
      <c r="O40">
        <v>12.38965644609906</v>
      </c>
      <c r="P40" t="s">
        <v>440</v>
      </c>
      <c r="Q40">
        <v>2</v>
      </c>
      <c r="R40">
        <v>31.615939999999998</v>
      </c>
      <c r="S40">
        <v>8.3000000000000004E-2</v>
      </c>
      <c r="T40">
        <v>2.624123</v>
      </c>
      <c r="U40">
        <v>1.9E-2</v>
      </c>
      <c r="V40">
        <v>49.857999999999997</v>
      </c>
      <c r="W40">
        <v>2</v>
      </c>
      <c r="X40">
        <v>1.0028480886E-2</v>
      </c>
      <c r="Y40">
        <v>1</v>
      </c>
      <c r="Z40" s="60">
        <v>12.389656</v>
      </c>
      <c r="AA40" t="s">
        <v>333</v>
      </c>
      <c r="AB40" t="s">
        <v>433</v>
      </c>
      <c r="AC40" t="s">
        <v>425</v>
      </c>
      <c r="AD40" t="s">
        <v>81</v>
      </c>
      <c r="AE40">
        <v>111.133</v>
      </c>
      <c r="AF40">
        <v>0.99656169611782708</v>
      </c>
      <c r="AG40">
        <v>110.7508909746625</v>
      </c>
      <c r="AH40">
        <v>682.07</v>
      </c>
      <c r="AI40">
        <v>1</v>
      </c>
      <c r="AJ40">
        <v>75.539860207088026</v>
      </c>
      <c r="AK40">
        <v>0.92979999999999996</v>
      </c>
      <c r="AL40" s="62">
        <v>70.236999999999995</v>
      </c>
      <c r="AM40">
        <v>8.9176000000000002</v>
      </c>
      <c r="AN40">
        <v>8.8869385813003348</v>
      </c>
      <c r="AO40">
        <v>1</v>
      </c>
      <c r="AP40">
        <v>6061.5141981475199</v>
      </c>
      <c r="AQ40">
        <v>1.0375922509225091</v>
      </c>
      <c r="AR40">
        <v>6289.3801999999996</v>
      </c>
      <c r="AS40" s="60">
        <v>77923.257131211198</v>
      </c>
      <c r="AT40" t="s">
        <v>336</v>
      </c>
      <c r="AU40" t="s">
        <v>433</v>
      </c>
      <c r="AV40" t="s">
        <v>425</v>
      </c>
      <c r="AW40" t="s">
        <v>81</v>
      </c>
      <c r="AX40">
        <v>111.133</v>
      </c>
      <c r="AY40">
        <v>0.99819678194932504</v>
      </c>
      <c r="AZ40">
        <v>110.9326029683743</v>
      </c>
      <c r="BA40">
        <v>682.07</v>
      </c>
      <c r="BB40">
        <v>1</v>
      </c>
      <c r="BC40">
        <v>75.663800506639092</v>
      </c>
      <c r="BD40">
        <v>0.92979999999999996</v>
      </c>
      <c r="BE40" s="62">
        <v>70.352000000000004</v>
      </c>
      <c r="BF40">
        <v>8.9176000000000002</v>
      </c>
      <c r="BG40">
        <v>1</v>
      </c>
      <c r="BH40">
        <v>6071.4594890626977</v>
      </c>
      <c r="BI40">
        <v>1.0375922509225091</v>
      </c>
      <c r="BJ40" s="62">
        <v>6299.6993000000002</v>
      </c>
      <c r="BK40" s="60">
        <v>78051.107230440801</v>
      </c>
    </row>
    <row r="41" spans="1:63" x14ac:dyDescent="0.25">
      <c r="A41">
        <v>83</v>
      </c>
      <c r="B41" t="s">
        <v>135</v>
      </c>
      <c r="C41">
        <v>2016</v>
      </c>
      <c r="D41">
        <v>7</v>
      </c>
      <c r="E41" t="s">
        <v>100</v>
      </c>
      <c r="F41" t="s">
        <v>426</v>
      </c>
      <c r="G41" t="s">
        <v>427</v>
      </c>
      <c r="H41" t="s">
        <v>84</v>
      </c>
      <c r="I41" t="s">
        <v>428</v>
      </c>
      <c r="J41" t="s">
        <v>381</v>
      </c>
      <c r="K41">
        <v>-823.01966202999995</v>
      </c>
      <c r="L41" t="s">
        <v>381</v>
      </c>
      <c r="M41" t="s">
        <v>383</v>
      </c>
      <c r="N41">
        <v>1.02460557900018</v>
      </c>
      <c r="O41">
        <v>843.2705373427807</v>
      </c>
      <c r="P41" t="s">
        <v>440</v>
      </c>
      <c r="Q41">
        <v>2</v>
      </c>
      <c r="R41">
        <v>31.615939999999998</v>
      </c>
      <c r="S41">
        <v>8.3000000000000004E-2</v>
      </c>
      <c r="T41">
        <v>2.624123</v>
      </c>
      <c r="U41">
        <v>0.98099999999999998</v>
      </c>
      <c r="V41">
        <v>2574.2649999999999</v>
      </c>
      <c r="W41">
        <v>2</v>
      </c>
      <c r="X41">
        <v>1.9423019800000001E-4</v>
      </c>
      <c r="Y41">
        <v>1</v>
      </c>
      <c r="Z41" s="60">
        <v>843.27053699999999</v>
      </c>
      <c r="AA41" t="s">
        <v>333</v>
      </c>
      <c r="AB41" t="s">
        <v>433</v>
      </c>
      <c r="AC41" t="s">
        <v>425</v>
      </c>
      <c r="AD41" t="s">
        <v>27</v>
      </c>
      <c r="AE41">
        <v>111.133</v>
      </c>
      <c r="AF41">
        <v>0.99656169611782708</v>
      </c>
      <c r="AG41">
        <v>110.7508909746625</v>
      </c>
      <c r="AH41">
        <v>682.07</v>
      </c>
      <c r="AI41">
        <v>1</v>
      </c>
      <c r="AJ41">
        <v>75.539860207088026</v>
      </c>
      <c r="AK41">
        <v>0.99739999999999995</v>
      </c>
      <c r="AL41" s="62">
        <v>75.343000000000004</v>
      </c>
      <c r="AM41">
        <v>8.9176000000000002</v>
      </c>
      <c r="AN41">
        <v>8.8869385813003348</v>
      </c>
      <c r="AO41">
        <v>1</v>
      </c>
      <c r="AP41">
        <v>6061.5141981475199</v>
      </c>
      <c r="AQ41">
        <v>1.0108695652173909</v>
      </c>
      <c r="AR41">
        <v>6127.4002</v>
      </c>
      <c r="AS41" s="60">
        <v>5167056.0570679074</v>
      </c>
      <c r="AT41" t="s">
        <v>336</v>
      </c>
      <c r="AU41" t="s">
        <v>433</v>
      </c>
      <c r="AV41" t="s">
        <v>425</v>
      </c>
      <c r="AW41" t="s">
        <v>27</v>
      </c>
      <c r="AX41">
        <v>111.133</v>
      </c>
      <c r="AY41">
        <v>0.99819678194932504</v>
      </c>
      <c r="AZ41">
        <v>110.9326029683743</v>
      </c>
      <c r="BA41">
        <v>682.07</v>
      </c>
      <c r="BB41">
        <v>1</v>
      </c>
      <c r="BC41">
        <v>75.663800506639092</v>
      </c>
      <c r="BD41">
        <v>0.99739999999999995</v>
      </c>
      <c r="BE41" s="62">
        <v>75.466999999999999</v>
      </c>
      <c r="BF41">
        <v>8.9176000000000002</v>
      </c>
      <c r="BG41">
        <v>1</v>
      </c>
      <c r="BH41">
        <v>6071.4594890626977</v>
      </c>
      <c r="BI41">
        <v>1.0108695652173909</v>
      </c>
      <c r="BJ41" s="62">
        <v>6137.4535999999998</v>
      </c>
      <c r="BK41" s="60">
        <v>5175533.7930845832</v>
      </c>
    </row>
    <row r="42" spans="1:63" x14ac:dyDescent="0.25">
      <c r="A42">
        <v>83</v>
      </c>
      <c r="B42" t="s">
        <v>135</v>
      </c>
      <c r="C42">
        <v>2016</v>
      </c>
      <c r="D42">
        <v>7</v>
      </c>
      <c r="E42" t="s">
        <v>100</v>
      </c>
      <c r="F42" t="s">
        <v>426</v>
      </c>
      <c r="G42" t="s">
        <v>427</v>
      </c>
      <c r="H42" t="s">
        <v>84</v>
      </c>
      <c r="I42" t="s">
        <v>429</v>
      </c>
      <c r="J42" t="s">
        <v>87</v>
      </c>
      <c r="K42">
        <v>-163.18676518999999</v>
      </c>
      <c r="L42" t="s">
        <v>87</v>
      </c>
      <c r="M42" t="s">
        <v>383</v>
      </c>
      <c r="N42">
        <v>1.0126516739982601</v>
      </c>
      <c r="O42">
        <v>165.25135094401449</v>
      </c>
      <c r="P42" t="s">
        <v>440</v>
      </c>
      <c r="Q42">
        <v>2</v>
      </c>
      <c r="R42">
        <v>31.615939999999998</v>
      </c>
      <c r="S42">
        <v>8.3000000000000004E-2</v>
      </c>
      <c r="T42">
        <v>2.624123</v>
      </c>
      <c r="U42">
        <v>0.98099999999999998</v>
      </c>
      <c r="V42">
        <v>2574.2649999999999</v>
      </c>
      <c r="W42">
        <v>2</v>
      </c>
      <c r="X42">
        <v>1.9423019800000001E-4</v>
      </c>
      <c r="Y42">
        <v>1</v>
      </c>
      <c r="Z42" s="60">
        <v>165.251351</v>
      </c>
      <c r="AA42" t="s">
        <v>333</v>
      </c>
      <c r="AB42" t="s">
        <v>433</v>
      </c>
      <c r="AC42" t="s">
        <v>425</v>
      </c>
      <c r="AD42" t="s">
        <v>27</v>
      </c>
      <c r="AE42">
        <v>111.133</v>
      </c>
      <c r="AF42">
        <v>0.99656169611782708</v>
      </c>
      <c r="AG42">
        <v>110.7508909746625</v>
      </c>
      <c r="AH42">
        <v>682.07</v>
      </c>
      <c r="AI42">
        <v>1</v>
      </c>
      <c r="AJ42">
        <v>75.539860207088026</v>
      </c>
      <c r="AK42">
        <v>0.99739999999999995</v>
      </c>
      <c r="AL42" s="62">
        <v>75.343000000000004</v>
      </c>
      <c r="AM42">
        <v>8.9176000000000002</v>
      </c>
      <c r="AN42">
        <v>8.8869385813003348</v>
      </c>
      <c r="AO42">
        <v>1</v>
      </c>
      <c r="AP42">
        <v>6061.5141981475199</v>
      </c>
      <c r="AQ42">
        <v>1.0108695652173909</v>
      </c>
      <c r="AR42">
        <v>6127.4002</v>
      </c>
      <c r="AS42" s="60">
        <v>1012561.16116767</v>
      </c>
      <c r="AT42" t="s">
        <v>336</v>
      </c>
      <c r="AU42" t="s">
        <v>433</v>
      </c>
      <c r="AV42" t="s">
        <v>425</v>
      </c>
      <c r="AW42" t="s">
        <v>27</v>
      </c>
      <c r="AX42">
        <v>111.133</v>
      </c>
      <c r="AY42">
        <v>0.99819678194932504</v>
      </c>
      <c r="AZ42">
        <v>110.9326029683743</v>
      </c>
      <c r="BA42">
        <v>682.07</v>
      </c>
      <c r="BB42">
        <v>1</v>
      </c>
      <c r="BC42">
        <v>75.663800506639092</v>
      </c>
      <c r="BD42">
        <v>0.99739999999999995</v>
      </c>
      <c r="BE42" s="62">
        <v>75.466999999999999</v>
      </c>
      <c r="BF42">
        <v>8.9176000000000002</v>
      </c>
      <c r="BG42">
        <v>1</v>
      </c>
      <c r="BH42">
        <v>6071.4594890626977</v>
      </c>
      <c r="BI42">
        <v>1.0108695652173909</v>
      </c>
      <c r="BJ42" s="62">
        <v>6137.4535999999998</v>
      </c>
      <c r="BK42" s="60">
        <v>1014222.499099814</v>
      </c>
    </row>
    <row r="43" spans="1:63" x14ac:dyDescent="0.25">
      <c r="A43">
        <v>83</v>
      </c>
      <c r="B43" t="s">
        <v>135</v>
      </c>
      <c r="C43">
        <v>2016</v>
      </c>
      <c r="D43">
        <v>7</v>
      </c>
      <c r="E43" t="s">
        <v>100</v>
      </c>
      <c r="F43" t="s">
        <v>426</v>
      </c>
      <c r="G43" t="s">
        <v>427</v>
      </c>
      <c r="H43" t="s">
        <v>84</v>
      </c>
      <c r="I43" t="s">
        <v>430</v>
      </c>
      <c r="J43" t="s">
        <v>59</v>
      </c>
      <c r="K43">
        <v>-469.26005545999999</v>
      </c>
      <c r="L43" t="s">
        <v>59</v>
      </c>
      <c r="M43" t="s">
        <v>383</v>
      </c>
      <c r="N43">
        <v>1.0130674619995801</v>
      </c>
      <c r="O43">
        <v>475.39209340264432</v>
      </c>
      <c r="P43" t="s">
        <v>440</v>
      </c>
      <c r="Q43">
        <v>2</v>
      </c>
      <c r="R43">
        <v>31.615939999999998</v>
      </c>
      <c r="S43">
        <v>8.3000000000000004E-2</v>
      </c>
      <c r="T43">
        <v>2.624123</v>
      </c>
      <c r="U43">
        <v>0.98099999999999998</v>
      </c>
      <c r="V43">
        <v>2574.2649999999999</v>
      </c>
      <c r="W43">
        <v>2</v>
      </c>
      <c r="X43">
        <v>1.9423019800000001E-4</v>
      </c>
      <c r="Y43">
        <v>1</v>
      </c>
      <c r="Z43" s="60">
        <v>475.39209299999999</v>
      </c>
      <c r="AA43" t="s">
        <v>333</v>
      </c>
      <c r="AB43" t="s">
        <v>433</v>
      </c>
      <c r="AC43" t="s">
        <v>425</v>
      </c>
      <c r="AD43" t="s">
        <v>27</v>
      </c>
      <c r="AE43">
        <v>111.133</v>
      </c>
      <c r="AF43">
        <v>0.99656169611782708</v>
      </c>
      <c r="AG43">
        <v>110.7508909746625</v>
      </c>
      <c r="AH43">
        <v>682.07</v>
      </c>
      <c r="AI43">
        <v>1</v>
      </c>
      <c r="AJ43">
        <v>75.539860207088026</v>
      </c>
      <c r="AK43">
        <v>0.99739999999999995</v>
      </c>
      <c r="AL43" s="62">
        <v>75.343000000000004</v>
      </c>
      <c r="AM43">
        <v>8.9176000000000002</v>
      </c>
      <c r="AN43">
        <v>8.8869385813003348</v>
      </c>
      <c r="AO43">
        <v>1</v>
      </c>
      <c r="AP43">
        <v>6061.5141981475199</v>
      </c>
      <c r="AQ43">
        <v>1.0108695652173909</v>
      </c>
      <c r="AR43">
        <v>6127.4002</v>
      </c>
      <c r="AS43" s="60">
        <v>2912917.6057266179</v>
      </c>
      <c r="AT43" t="s">
        <v>336</v>
      </c>
      <c r="AU43" t="s">
        <v>433</v>
      </c>
      <c r="AV43" t="s">
        <v>425</v>
      </c>
      <c r="AW43" t="s">
        <v>27</v>
      </c>
      <c r="AX43">
        <v>111.133</v>
      </c>
      <c r="AY43">
        <v>0.99819678194932504</v>
      </c>
      <c r="AZ43">
        <v>110.9326029683743</v>
      </c>
      <c r="BA43">
        <v>682.07</v>
      </c>
      <c r="BB43">
        <v>1</v>
      </c>
      <c r="BC43">
        <v>75.663800506639092</v>
      </c>
      <c r="BD43">
        <v>0.99739999999999995</v>
      </c>
      <c r="BE43" s="62">
        <v>75.466999999999999</v>
      </c>
      <c r="BF43">
        <v>8.9176000000000002</v>
      </c>
      <c r="BG43">
        <v>1</v>
      </c>
      <c r="BH43">
        <v>6071.4594890626977</v>
      </c>
      <c r="BI43">
        <v>1.0108695652173909</v>
      </c>
      <c r="BJ43" s="62">
        <v>6137.4535999999998</v>
      </c>
      <c r="BK43" s="60">
        <v>2917696.912594385</v>
      </c>
    </row>
    <row r="44" spans="1:63" x14ac:dyDescent="0.25">
      <c r="A44">
        <v>93</v>
      </c>
      <c r="B44" t="s">
        <v>129</v>
      </c>
      <c r="C44">
        <v>2016</v>
      </c>
      <c r="D44">
        <v>8</v>
      </c>
      <c r="E44" t="s">
        <v>100</v>
      </c>
      <c r="F44" t="s">
        <v>426</v>
      </c>
      <c r="G44" t="s">
        <v>427</v>
      </c>
      <c r="H44" t="s">
        <v>84</v>
      </c>
      <c r="I44" t="s">
        <v>428</v>
      </c>
      <c r="J44" t="s">
        <v>381</v>
      </c>
      <c r="K44">
        <v>-579.29173188000004</v>
      </c>
      <c r="L44" t="s">
        <v>381</v>
      </c>
      <c r="M44" t="s">
        <v>382</v>
      </c>
      <c r="N44">
        <v>1.4864420999949999E-2</v>
      </c>
      <c r="O44">
        <v>8.6108361844544774</v>
      </c>
      <c r="P44" t="s">
        <v>440</v>
      </c>
      <c r="Q44">
        <v>2</v>
      </c>
      <c r="R44">
        <v>31.615939999999998</v>
      </c>
      <c r="S44">
        <v>5.2999999999999999E-2</v>
      </c>
      <c r="T44">
        <v>1.6756447999999999</v>
      </c>
      <c r="U44">
        <v>1.9E-2</v>
      </c>
      <c r="V44">
        <v>31.837</v>
      </c>
      <c r="W44">
        <v>2</v>
      </c>
      <c r="X44">
        <v>1.5704997330000001E-2</v>
      </c>
      <c r="Y44">
        <v>1</v>
      </c>
      <c r="Z44" s="60">
        <v>8.6108360000000008</v>
      </c>
      <c r="AA44" t="s">
        <v>336</v>
      </c>
      <c r="AB44" t="s">
        <v>433</v>
      </c>
      <c r="AC44" t="s">
        <v>425</v>
      </c>
      <c r="AD44" t="s">
        <v>81</v>
      </c>
      <c r="AE44">
        <v>111.133</v>
      </c>
      <c r="AF44">
        <v>0.99819678194932504</v>
      </c>
      <c r="AG44">
        <v>110.9326029683743</v>
      </c>
      <c r="AH44">
        <v>682.07</v>
      </c>
      <c r="AI44">
        <v>1</v>
      </c>
      <c r="AJ44">
        <v>75.663800506639092</v>
      </c>
      <c r="AK44">
        <v>0.92979999999999996</v>
      </c>
      <c r="AL44" s="62">
        <v>70.352000000000004</v>
      </c>
      <c r="AM44">
        <v>8.9176000000000002</v>
      </c>
      <c r="AN44">
        <v>8.9015196227113016</v>
      </c>
      <c r="AO44">
        <v>1</v>
      </c>
      <c r="AP44">
        <v>6071.4594890626977</v>
      </c>
      <c r="AQ44">
        <v>1.0375922509225091</v>
      </c>
      <c r="AR44">
        <v>6299.6993000000002</v>
      </c>
      <c r="AS44" s="60">
        <v>54245.677521614809</v>
      </c>
      <c r="AT44" t="s">
        <v>336</v>
      </c>
      <c r="AU44" t="s">
        <v>433</v>
      </c>
      <c r="AV44" t="s">
        <v>425</v>
      </c>
      <c r="AW44" t="s">
        <v>81</v>
      </c>
      <c r="AX44">
        <v>111.133</v>
      </c>
      <c r="AY44">
        <v>0.99819678194932504</v>
      </c>
      <c r="AZ44">
        <v>110.9326029683743</v>
      </c>
      <c r="BA44">
        <v>682.07</v>
      </c>
      <c r="BB44">
        <v>1</v>
      </c>
      <c r="BC44">
        <v>75.663800506639092</v>
      </c>
      <c r="BD44">
        <v>0.92979999999999996</v>
      </c>
      <c r="BE44" s="62">
        <v>70.352000000000004</v>
      </c>
      <c r="BF44">
        <v>8.9176000000000002</v>
      </c>
      <c r="BG44">
        <v>1</v>
      </c>
      <c r="BH44">
        <v>6071.4594890626977</v>
      </c>
      <c r="BI44">
        <v>1.0375922509225091</v>
      </c>
      <c r="BJ44" s="62">
        <v>6299.6993000000002</v>
      </c>
      <c r="BK44" s="60">
        <v>54245.677521614809</v>
      </c>
    </row>
    <row r="45" spans="1:63" x14ac:dyDescent="0.25">
      <c r="A45">
        <v>93</v>
      </c>
      <c r="B45" t="s">
        <v>129</v>
      </c>
      <c r="C45">
        <v>2016</v>
      </c>
      <c r="D45">
        <v>8</v>
      </c>
      <c r="E45" t="s">
        <v>100</v>
      </c>
      <c r="F45" t="s">
        <v>426</v>
      </c>
      <c r="G45" t="s">
        <v>427</v>
      </c>
      <c r="H45" t="s">
        <v>84</v>
      </c>
      <c r="I45" t="s">
        <v>429</v>
      </c>
      <c r="J45" t="s">
        <v>87</v>
      </c>
      <c r="K45">
        <v>-120.03407854</v>
      </c>
      <c r="L45" t="s">
        <v>87</v>
      </c>
      <c r="M45" t="s">
        <v>382</v>
      </c>
      <c r="N45">
        <v>2.681832599898E-2</v>
      </c>
      <c r="O45">
        <v>3.219113049272889</v>
      </c>
      <c r="P45" t="s">
        <v>440</v>
      </c>
      <c r="Q45">
        <v>2</v>
      </c>
      <c r="R45">
        <v>31.615939999999998</v>
      </c>
      <c r="S45">
        <v>5.2999999999999999E-2</v>
      </c>
      <c r="T45">
        <v>1.6756447999999999</v>
      </c>
      <c r="U45">
        <v>1.9E-2</v>
      </c>
      <c r="V45">
        <v>31.837</v>
      </c>
      <c r="W45">
        <v>2</v>
      </c>
      <c r="X45">
        <v>1.5704997330000001E-2</v>
      </c>
      <c r="Y45">
        <v>1</v>
      </c>
      <c r="Z45" s="60">
        <v>3.2191130000000001</v>
      </c>
      <c r="AA45" t="s">
        <v>336</v>
      </c>
      <c r="AB45" t="s">
        <v>433</v>
      </c>
      <c r="AC45" t="s">
        <v>425</v>
      </c>
      <c r="AD45" t="s">
        <v>81</v>
      </c>
      <c r="AE45">
        <v>111.133</v>
      </c>
      <c r="AF45">
        <v>0.99819678194932504</v>
      </c>
      <c r="AG45">
        <v>110.9326029683743</v>
      </c>
      <c r="AH45">
        <v>682.07</v>
      </c>
      <c r="AI45">
        <v>1</v>
      </c>
      <c r="AJ45">
        <v>75.663800506639092</v>
      </c>
      <c r="AK45">
        <v>0.92979999999999996</v>
      </c>
      <c r="AL45" s="62">
        <v>70.352000000000004</v>
      </c>
      <c r="AM45">
        <v>8.9176000000000002</v>
      </c>
      <c r="AN45">
        <v>8.9015196227113016</v>
      </c>
      <c r="AO45">
        <v>1</v>
      </c>
      <c r="AP45">
        <v>6071.4594890626977</v>
      </c>
      <c r="AQ45">
        <v>1.0375922509225091</v>
      </c>
      <c r="AR45">
        <v>6299.6993000000002</v>
      </c>
      <c r="AS45" s="60">
        <v>20279.443912720901</v>
      </c>
      <c r="AT45" t="s">
        <v>336</v>
      </c>
      <c r="AU45" t="s">
        <v>433</v>
      </c>
      <c r="AV45" t="s">
        <v>425</v>
      </c>
      <c r="AW45" t="s">
        <v>81</v>
      </c>
      <c r="AX45">
        <v>111.133</v>
      </c>
      <c r="AY45">
        <v>0.99819678194932504</v>
      </c>
      <c r="AZ45">
        <v>110.9326029683743</v>
      </c>
      <c r="BA45">
        <v>682.07</v>
      </c>
      <c r="BB45">
        <v>1</v>
      </c>
      <c r="BC45">
        <v>75.663800506639092</v>
      </c>
      <c r="BD45">
        <v>0.92979999999999996</v>
      </c>
      <c r="BE45" s="62">
        <v>70.352000000000004</v>
      </c>
      <c r="BF45">
        <v>8.9176000000000002</v>
      </c>
      <c r="BG45">
        <v>1</v>
      </c>
      <c r="BH45">
        <v>6071.4594890626977</v>
      </c>
      <c r="BI45">
        <v>1.0375922509225091</v>
      </c>
      <c r="BJ45" s="62">
        <v>6299.6993000000002</v>
      </c>
      <c r="BK45" s="60">
        <v>20279.443912720901</v>
      </c>
    </row>
    <row r="46" spans="1:63" x14ac:dyDescent="0.25">
      <c r="A46">
        <v>93</v>
      </c>
      <c r="B46" t="s">
        <v>129</v>
      </c>
      <c r="C46">
        <v>2016</v>
      </c>
      <c r="D46">
        <v>8</v>
      </c>
      <c r="E46" t="s">
        <v>100</v>
      </c>
      <c r="F46" t="s">
        <v>426</v>
      </c>
      <c r="G46" t="s">
        <v>427</v>
      </c>
      <c r="H46" t="s">
        <v>84</v>
      </c>
      <c r="I46" t="s">
        <v>430</v>
      </c>
      <c r="J46" t="s">
        <v>59</v>
      </c>
      <c r="K46">
        <v>-360.68594243000001</v>
      </c>
      <c r="L46" t="s">
        <v>59</v>
      </c>
      <c r="M46" t="s">
        <v>382</v>
      </c>
      <c r="N46">
        <v>2.6402537998989999E-2</v>
      </c>
      <c r="O46">
        <v>9.5230243007095954</v>
      </c>
      <c r="P46" t="s">
        <v>440</v>
      </c>
      <c r="Q46">
        <v>2</v>
      </c>
      <c r="R46">
        <v>31.615939999999998</v>
      </c>
      <c r="S46">
        <v>5.2999999999999999E-2</v>
      </c>
      <c r="T46">
        <v>1.6756447999999999</v>
      </c>
      <c r="U46">
        <v>1.9E-2</v>
      </c>
      <c r="V46">
        <v>31.837</v>
      </c>
      <c r="W46">
        <v>2</v>
      </c>
      <c r="X46">
        <v>1.5704997330000001E-2</v>
      </c>
      <c r="Y46">
        <v>1</v>
      </c>
      <c r="Z46" s="60">
        <v>9.5230239999999995</v>
      </c>
      <c r="AA46" t="s">
        <v>336</v>
      </c>
      <c r="AB46" t="s">
        <v>433</v>
      </c>
      <c r="AC46" t="s">
        <v>425</v>
      </c>
      <c r="AD46" t="s">
        <v>81</v>
      </c>
      <c r="AE46">
        <v>111.133</v>
      </c>
      <c r="AF46">
        <v>0.99819678194932504</v>
      </c>
      <c r="AG46">
        <v>110.9326029683743</v>
      </c>
      <c r="AH46">
        <v>682.07</v>
      </c>
      <c r="AI46">
        <v>1</v>
      </c>
      <c r="AJ46">
        <v>75.663800506639092</v>
      </c>
      <c r="AK46">
        <v>0.92979999999999996</v>
      </c>
      <c r="AL46" s="62">
        <v>70.352000000000004</v>
      </c>
      <c r="AM46">
        <v>8.9176000000000002</v>
      </c>
      <c r="AN46">
        <v>8.9015196227113016</v>
      </c>
      <c r="AO46">
        <v>1</v>
      </c>
      <c r="AP46">
        <v>6071.4594890626977</v>
      </c>
      <c r="AQ46">
        <v>1.0375922509225091</v>
      </c>
      <c r="AR46">
        <v>6299.6993000000002</v>
      </c>
      <c r="AS46" s="60">
        <v>59992.187626683197</v>
      </c>
      <c r="AT46" t="s">
        <v>336</v>
      </c>
      <c r="AU46" t="s">
        <v>433</v>
      </c>
      <c r="AV46" t="s">
        <v>425</v>
      </c>
      <c r="AW46" t="s">
        <v>81</v>
      </c>
      <c r="AX46">
        <v>111.133</v>
      </c>
      <c r="AY46">
        <v>0.99819678194932504</v>
      </c>
      <c r="AZ46">
        <v>110.9326029683743</v>
      </c>
      <c r="BA46">
        <v>682.07</v>
      </c>
      <c r="BB46">
        <v>1</v>
      </c>
      <c r="BC46">
        <v>75.663800506639092</v>
      </c>
      <c r="BD46">
        <v>0.92979999999999996</v>
      </c>
      <c r="BE46" s="62">
        <v>70.352000000000004</v>
      </c>
      <c r="BF46">
        <v>8.9176000000000002</v>
      </c>
      <c r="BG46">
        <v>1</v>
      </c>
      <c r="BH46">
        <v>6071.4594890626977</v>
      </c>
      <c r="BI46">
        <v>1.0375922509225091</v>
      </c>
      <c r="BJ46" s="62">
        <v>6299.6993000000002</v>
      </c>
      <c r="BK46" s="60">
        <v>59992.187626683197</v>
      </c>
    </row>
    <row r="47" spans="1:63" x14ac:dyDescent="0.25">
      <c r="A47">
        <v>95</v>
      </c>
      <c r="B47" t="s">
        <v>129</v>
      </c>
      <c r="C47">
        <v>2016</v>
      </c>
      <c r="D47">
        <v>8</v>
      </c>
      <c r="E47" t="s">
        <v>100</v>
      </c>
      <c r="F47" t="s">
        <v>426</v>
      </c>
      <c r="G47" t="s">
        <v>427</v>
      </c>
      <c r="H47" t="s">
        <v>84</v>
      </c>
      <c r="I47" t="s">
        <v>428</v>
      </c>
      <c r="J47" t="s">
        <v>381</v>
      </c>
      <c r="K47">
        <v>-579.29173188000004</v>
      </c>
      <c r="L47" t="s">
        <v>381</v>
      </c>
      <c r="M47" t="s">
        <v>383</v>
      </c>
      <c r="N47">
        <v>1.0246055790001001</v>
      </c>
      <c r="O47">
        <v>593.54554035287811</v>
      </c>
      <c r="P47" t="s">
        <v>440</v>
      </c>
      <c r="Q47">
        <v>2</v>
      </c>
      <c r="R47">
        <v>31.615939999999998</v>
      </c>
      <c r="S47">
        <v>5.2999999999999999E-2</v>
      </c>
      <c r="T47">
        <v>1.6756447999999999</v>
      </c>
      <c r="U47">
        <v>0.98099999999999998</v>
      </c>
      <c r="V47">
        <v>1643.808</v>
      </c>
      <c r="W47">
        <v>2</v>
      </c>
      <c r="X47">
        <v>3.0417177699999998E-4</v>
      </c>
      <c r="Y47">
        <v>1</v>
      </c>
      <c r="Z47" s="60">
        <v>593.54553999999996</v>
      </c>
      <c r="AA47" t="s">
        <v>336</v>
      </c>
      <c r="AB47" t="s">
        <v>433</v>
      </c>
      <c r="AC47" t="s">
        <v>425</v>
      </c>
      <c r="AD47" t="s">
        <v>27</v>
      </c>
      <c r="AE47">
        <v>111.133</v>
      </c>
      <c r="AF47">
        <v>0.99819678194932504</v>
      </c>
      <c r="AG47">
        <v>110.9326029683743</v>
      </c>
      <c r="AH47">
        <v>682.07</v>
      </c>
      <c r="AI47">
        <v>1</v>
      </c>
      <c r="AJ47">
        <v>75.663800506639092</v>
      </c>
      <c r="AK47">
        <v>0.99739999999999995</v>
      </c>
      <c r="AL47" s="62">
        <v>75.466999999999999</v>
      </c>
      <c r="AM47">
        <v>8.9176000000000002</v>
      </c>
      <c r="AN47">
        <v>8.9015196227113016</v>
      </c>
      <c r="AO47">
        <v>1</v>
      </c>
      <c r="AP47">
        <v>6071.4594890626977</v>
      </c>
      <c r="AQ47">
        <v>1.0108695652173909</v>
      </c>
      <c r="AR47">
        <v>6137.4535999999998</v>
      </c>
      <c r="AS47" s="60">
        <v>3642858.211236943</v>
      </c>
      <c r="AT47" t="s">
        <v>336</v>
      </c>
      <c r="AU47" t="s">
        <v>433</v>
      </c>
      <c r="AV47" t="s">
        <v>425</v>
      </c>
      <c r="AW47" t="s">
        <v>27</v>
      </c>
      <c r="AX47">
        <v>111.133</v>
      </c>
      <c r="AY47">
        <v>0.99819678194932504</v>
      </c>
      <c r="AZ47">
        <v>110.9326029683743</v>
      </c>
      <c r="BA47">
        <v>682.07</v>
      </c>
      <c r="BB47">
        <v>1</v>
      </c>
      <c r="BC47">
        <v>75.663800506639092</v>
      </c>
      <c r="BD47">
        <v>0.99739999999999995</v>
      </c>
      <c r="BE47" s="62">
        <v>75.466999999999999</v>
      </c>
      <c r="BF47">
        <v>8.9176000000000002</v>
      </c>
      <c r="BG47">
        <v>1</v>
      </c>
      <c r="BH47">
        <v>6071.4594890626977</v>
      </c>
      <c r="BI47">
        <v>1.0108695652173909</v>
      </c>
      <c r="BJ47" s="62">
        <v>6137.4535999999998</v>
      </c>
      <c r="BK47" s="60">
        <v>3642858.211236943</v>
      </c>
    </row>
    <row r="48" spans="1:63" x14ac:dyDescent="0.25">
      <c r="A48">
        <v>95</v>
      </c>
      <c r="B48" t="s">
        <v>129</v>
      </c>
      <c r="C48">
        <v>2016</v>
      </c>
      <c r="D48">
        <v>8</v>
      </c>
      <c r="E48" t="s">
        <v>100</v>
      </c>
      <c r="F48" t="s">
        <v>426</v>
      </c>
      <c r="G48" t="s">
        <v>427</v>
      </c>
      <c r="H48" t="s">
        <v>84</v>
      </c>
      <c r="I48" t="s">
        <v>429</v>
      </c>
      <c r="J48" t="s">
        <v>87</v>
      </c>
      <c r="K48">
        <v>-120.03407854</v>
      </c>
      <c r="L48" t="s">
        <v>87</v>
      </c>
      <c r="M48" t="s">
        <v>383</v>
      </c>
      <c r="N48">
        <v>1.0126516740004301</v>
      </c>
      <c r="O48">
        <v>121.5527105706301</v>
      </c>
      <c r="P48" t="s">
        <v>440</v>
      </c>
      <c r="Q48">
        <v>2</v>
      </c>
      <c r="R48">
        <v>31.615939999999998</v>
      </c>
      <c r="S48">
        <v>5.2999999999999999E-2</v>
      </c>
      <c r="T48">
        <v>1.6756447999999999</v>
      </c>
      <c r="U48">
        <v>0.98099999999999998</v>
      </c>
      <c r="V48">
        <v>1643.808</v>
      </c>
      <c r="W48">
        <v>2</v>
      </c>
      <c r="X48">
        <v>3.0417177699999998E-4</v>
      </c>
      <c r="Y48">
        <v>1</v>
      </c>
      <c r="Z48" s="60">
        <v>121.552711</v>
      </c>
      <c r="AA48" t="s">
        <v>336</v>
      </c>
      <c r="AB48" t="s">
        <v>433</v>
      </c>
      <c r="AC48" t="s">
        <v>425</v>
      </c>
      <c r="AD48" t="s">
        <v>27</v>
      </c>
      <c r="AE48">
        <v>111.133</v>
      </c>
      <c r="AF48">
        <v>0.99819678194932504</v>
      </c>
      <c r="AG48">
        <v>110.9326029683743</v>
      </c>
      <c r="AH48">
        <v>682.07</v>
      </c>
      <c r="AI48">
        <v>1</v>
      </c>
      <c r="AJ48">
        <v>75.663800506639092</v>
      </c>
      <c r="AK48">
        <v>0.99739999999999995</v>
      </c>
      <c r="AL48" s="62">
        <v>75.466999999999999</v>
      </c>
      <c r="AM48">
        <v>8.9176000000000002</v>
      </c>
      <c r="AN48">
        <v>8.9015196227113016</v>
      </c>
      <c r="AO48">
        <v>1</v>
      </c>
      <c r="AP48">
        <v>6071.4594890626977</v>
      </c>
      <c r="AQ48">
        <v>1.0108695652173909</v>
      </c>
      <c r="AR48">
        <v>6137.4535999999998</v>
      </c>
      <c r="AS48" s="60">
        <v>746024.12371670955</v>
      </c>
      <c r="AT48" t="s">
        <v>336</v>
      </c>
      <c r="AU48" t="s">
        <v>433</v>
      </c>
      <c r="AV48" t="s">
        <v>425</v>
      </c>
      <c r="AW48" t="s">
        <v>27</v>
      </c>
      <c r="AX48">
        <v>111.133</v>
      </c>
      <c r="AY48">
        <v>0.99819678194932504</v>
      </c>
      <c r="AZ48">
        <v>110.9326029683743</v>
      </c>
      <c r="BA48">
        <v>682.07</v>
      </c>
      <c r="BB48">
        <v>1</v>
      </c>
      <c r="BC48">
        <v>75.663800506639092</v>
      </c>
      <c r="BD48">
        <v>0.99739999999999995</v>
      </c>
      <c r="BE48" s="62">
        <v>75.466999999999999</v>
      </c>
      <c r="BF48">
        <v>8.9176000000000002</v>
      </c>
      <c r="BG48">
        <v>1</v>
      </c>
      <c r="BH48">
        <v>6071.4594890626977</v>
      </c>
      <c r="BI48">
        <v>1.0108695652173909</v>
      </c>
      <c r="BJ48" s="62">
        <v>6137.4535999999998</v>
      </c>
      <c r="BK48" s="60">
        <v>746024.12371670955</v>
      </c>
    </row>
    <row r="49" spans="1:63" x14ac:dyDescent="0.25">
      <c r="A49">
        <v>95</v>
      </c>
      <c r="B49" t="s">
        <v>129</v>
      </c>
      <c r="C49">
        <v>2016</v>
      </c>
      <c r="D49">
        <v>8</v>
      </c>
      <c r="E49" t="s">
        <v>100</v>
      </c>
      <c r="F49" t="s">
        <v>426</v>
      </c>
      <c r="G49" t="s">
        <v>427</v>
      </c>
      <c r="H49" t="s">
        <v>84</v>
      </c>
      <c r="I49" t="s">
        <v>430</v>
      </c>
      <c r="J49" t="s">
        <v>59</v>
      </c>
      <c r="K49">
        <v>-360.68594243000001</v>
      </c>
      <c r="L49" t="s">
        <v>59</v>
      </c>
      <c r="M49" t="s">
        <v>383</v>
      </c>
      <c r="N49">
        <v>1.0130674620004101</v>
      </c>
      <c r="O49">
        <v>365.3991922767861</v>
      </c>
      <c r="P49" t="s">
        <v>440</v>
      </c>
      <c r="Q49">
        <v>2</v>
      </c>
      <c r="R49">
        <v>31.615939999999998</v>
      </c>
      <c r="S49">
        <v>5.2999999999999999E-2</v>
      </c>
      <c r="T49">
        <v>1.6756447999999999</v>
      </c>
      <c r="U49">
        <v>0.98099999999999998</v>
      </c>
      <c r="V49">
        <v>1643.808</v>
      </c>
      <c r="W49">
        <v>2</v>
      </c>
      <c r="X49">
        <v>3.0417177699999998E-4</v>
      </c>
      <c r="Y49">
        <v>1</v>
      </c>
      <c r="Z49" s="60">
        <v>365.39919200000003</v>
      </c>
      <c r="AA49" t="s">
        <v>336</v>
      </c>
      <c r="AB49" t="s">
        <v>433</v>
      </c>
      <c r="AC49" t="s">
        <v>425</v>
      </c>
      <c r="AD49" t="s">
        <v>27</v>
      </c>
      <c r="AE49">
        <v>111.133</v>
      </c>
      <c r="AF49">
        <v>0.99819678194932504</v>
      </c>
      <c r="AG49">
        <v>110.9326029683743</v>
      </c>
      <c r="AH49">
        <v>682.07</v>
      </c>
      <c r="AI49">
        <v>1</v>
      </c>
      <c r="AJ49">
        <v>75.663800506639092</v>
      </c>
      <c r="AK49">
        <v>0.99739999999999995</v>
      </c>
      <c r="AL49" s="62">
        <v>75.466999999999999</v>
      </c>
      <c r="AM49">
        <v>8.9176000000000002</v>
      </c>
      <c r="AN49">
        <v>8.9015196227113016</v>
      </c>
      <c r="AO49">
        <v>1</v>
      </c>
      <c r="AP49">
        <v>6071.4594890626977</v>
      </c>
      <c r="AQ49">
        <v>1.0108695652173909</v>
      </c>
      <c r="AR49">
        <v>6137.4535999999998</v>
      </c>
      <c r="AS49" s="60">
        <v>2242620.5863774908</v>
      </c>
      <c r="AT49" t="s">
        <v>336</v>
      </c>
      <c r="AU49" t="s">
        <v>433</v>
      </c>
      <c r="AV49" t="s">
        <v>425</v>
      </c>
      <c r="AW49" t="s">
        <v>27</v>
      </c>
      <c r="AX49">
        <v>111.133</v>
      </c>
      <c r="AY49">
        <v>0.99819678194932504</v>
      </c>
      <c r="AZ49">
        <v>110.9326029683743</v>
      </c>
      <c r="BA49">
        <v>682.07</v>
      </c>
      <c r="BB49">
        <v>1</v>
      </c>
      <c r="BC49">
        <v>75.663800506639092</v>
      </c>
      <c r="BD49">
        <v>0.99739999999999995</v>
      </c>
      <c r="BE49" s="62">
        <v>75.466999999999999</v>
      </c>
      <c r="BF49">
        <v>8.9176000000000002</v>
      </c>
      <c r="BG49">
        <v>1</v>
      </c>
      <c r="BH49">
        <v>6071.4594890626977</v>
      </c>
      <c r="BI49">
        <v>1.0108695652173909</v>
      </c>
      <c r="BJ49" s="62">
        <v>6137.4535999999998</v>
      </c>
      <c r="BK49" s="60">
        <v>2242620.5863774908</v>
      </c>
    </row>
    <row r="50" spans="1:63" x14ac:dyDescent="0.25">
      <c r="A50">
        <v>105</v>
      </c>
      <c r="B50" t="s">
        <v>131</v>
      </c>
      <c r="C50">
        <v>2016</v>
      </c>
      <c r="D50">
        <v>9</v>
      </c>
      <c r="E50" t="s">
        <v>100</v>
      </c>
      <c r="F50" t="s">
        <v>426</v>
      </c>
      <c r="G50" t="s">
        <v>427</v>
      </c>
      <c r="H50" t="s">
        <v>84</v>
      </c>
      <c r="I50" t="s">
        <v>428</v>
      </c>
      <c r="J50" t="s">
        <v>381</v>
      </c>
      <c r="K50">
        <v>-502.50672071000002</v>
      </c>
      <c r="L50" t="s">
        <v>381</v>
      </c>
      <c r="M50" t="s">
        <v>382</v>
      </c>
      <c r="N50">
        <v>1.486442100037E-2</v>
      </c>
      <c r="O50">
        <v>7.4694714521487864</v>
      </c>
      <c r="P50" t="s">
        <v>440</v>
      </c>
      <c r="Q50">
        <v>2</v>
      </c>
      <c r="R50">
        <v>31.615939999999998</v>
      </c>
      <c r="S50">
        <v>4.1000000000000002E-2</v>
      </c>
      <c r="T50">
        <v>1.2962534999999999</v>
      </c>
      <c r="U50">
        <v>1.9E-2</v>
      </c>
      <c r="V50">
        <v>24.629000000000001</v>
      </c>
      <c r="W50">
        <v>2</v>
      </c>
      <c r="X50">
        <v>2.0301270860000002E-2</v>
      </c>
      <c r="Y50">
        <v>1</v>
      </c>
      <c r="Z50" s="60">
        <v>7.4694710000000004</v>
      </c>
      <c r="AA50" t="s">
        <v>336</v>
      </c>
      <c r="AB50" t="s">
        <v>433</v>
      </c>
      <c r="AC50" t="s">
        <v>425</v>
      </c>
      <c r="AD50" t="s">
        <v>81</v>
      </c>
      <c r="AE50">
        <v>111.133</v>
      </c>
      <c r="AF50">
        <v>0.99819678194932504</v>
      </c>
      <c r="AG50">
        <v>110.9326029683743</v>
      </c>
      <c r="AH50">
        <v>682.07</v>
      </c>
      <c r="AI50">
        <v>1</v>
      </c>
      <c r="AJ50">
        <v>75.663800506639092</v>
      </c>
      <c r="AK50">
        <v>0.92979999999999996</v>
      </c>
      <c r="AL50" s="62">
        <v>70.352000000000004</v>
      </c>
      <c r="AM50">
        <v>8.9176000000000002</v>
      </c>
      <c r="AN50">
        <v>8.9015196227113016</v>
      </c>
      <c r="AO50">
        <v>1</v>
      </c>
      <c r="AP50">
        <v>6071.4594890626977</v>
      </c>
      <c r="AQ50">
        <v>1.0375922509225091</v>
      </c>
      <c r="AR50">
        <v>6299.6993000000002</v>
      </c>
      <c r="AS50" s="60">
        <v>47055.421230070308</v>
      </c>
      <c r="AT50" t="s">
        <v>336</v>
      </c>
      <c r="AU50" t="s">
        <v>433</v>
      </c>
      <c r="AV50" t="s">
        <v>425</v>
      </c>
      <c r="AW50" t="s">
        <v>81</v>
      </c>
      <c r="AX50">
        <v>111.133</v>
      </c>
      <c r="AY50">
        <v>0.99819678194932504</v>
      </c>
      <c r="AZ50">
        <v>110.9326029683743</v>
      </c>
      <c r="BA50">
        <v>682.07</v>
      </c>
      <c r="BB50">
        <v>1</v>
      </c>
      <c r="BC50">
        <v>75.663800506639092</v>
      </c>
      <c r="BD50">
        <v>0.92979999999999996</v>
      </c>
      <c r="BE50" s="62">
        <v>70.352000000000004</v>
      </c>
      <c r="BF50">
        <v>8.9176000000000002</v>
      </c>
      <c r="BG50">
        <v>1</v>
      </c>
      <c r="BH50">
        <v>6071.4594890626977</v>
      </c>
      <c r="BI50">
        <v>1.0375922509225091</v>
      </c>
      <c r="BJ50" s="62">
        <v>6299.6993000000002</v>
      </c>
      <c r="BK50" s="60">
        <v>47055.421230070308</v>
      </c>
    </row>
    <row r="51" spans="1:63" x14ac:dyDescent="0.25">
      <c r="A51">
        <v>105</v>
      </c>
      <c r="B51" t="s">
        <v>131</v>
      </c>
      <c r="C51">
        <v>2016</v>
      </c>
      <c r="D51">
        <v>9</v>
      </c>
      <c r="E51" t="s">
        <v>100</v>
      </c>
      <c r="F51" t="s">
        <v>426</v>
      </c>
      <c r="G51" t="s">
        <v>427</v>
      </c>
      <c r="H51" t="s">
        <v>84</v>
      </c>
      <c r="I51" t="s">
        <v>429</v>
      </c>
      <c r="J51" t="s">
        <v>87</v>
      </c>
      <c r="K51">
        <v>-111.3556145</v>
      </c>
      <c r="L51" t="s">
        <v>87</v>
      </c>
      <c r="M51" t="s">
        <v>382</v>
      </c>
      <c r="N51">
        <v>2.6818325999649999E-2</v>
      </c>
      <c r="O51">
        <v>2.9863711715523529</v>
      </c>
      <c r="P51" t="s">
        <v>440</v>
      </c>
      <c r="Q51">
        <v>2</v>
      </c>
      <c r="R51">
        <v>31.615939999999998</v>
      </c>
      <c r="S51">
        <v>4.1000000000000002E-2</v>
      </c>
      <c r="T51">
        <v>1.2962534999999999</v>
      </c>
      <c r="U51">
        <v>1.9E-2</v>
      </c>
      <c r="V51">
        <v>24.629000000000001</v>
      </c>
      <c r="W51">
        <v>2</v>
      </c>
      <c r="X51">
        <v>2.0301270860000002E-2</v>
      </c>
      <c r="Y51">
        <v>1</v>
      </c>
      <c r="Z51" s="60">
        <v>2.9863710000000001</v>
      </c>
      <c r="AA51" t="s">
        <v>336</v>
      </c>
      <c r="AB51" t="s">
        <v>433</v>
      </c>
      <c r="AC51" t="s">
        <v>425</v>
      </c>
      <c r="AD51" t="s">
        <v>81</v>
      </c>
      <c r="AE51">
        <v>111.133</v>
      </c>
      <c r="AF51">
        <v>0.99819678194932504</v>
      </c>
      <c r="AG51">
        <v>110.9326029683743</v>
      </c>
      <c r="AH51">
        <v>682.07</v>
      </c>
      <c r="AI51">
        <v>1</v>
      </c>
      <c r="AJ51">
        <v>75.663800506639092</v>
      </c>
      <c r="AK51">
        <v>0.92979999999999996</v>
      </c>
      <c r="AL51" s="62">
        <v>70.352000000000004</v>
      </c>
      <c r="AM51">
        <v>8.9176000000000002</v>
      </c>
      <c r="AN51">
        <v>8.9015196227113016</v>
      </c>
      <c r="AO51">
        <v>1</v>
      </c>
      <c r="AP51">
        <v>6071.4594890626977</v>
      </c>
      <c r="AQ51">
        <v>1.0375922509225091</v>
      </c>
      <c r="AR51">
        <v>6299.6993000000002</v>
      </c>
      <c r="AS51" s="60">
        <v>18813.2392982403</v>
      </c>
      <c r="AT51" t="s">
        <v>336</v>
      </c>
      <c r="AU51" t="s">
        <v>433</v>
      </c>
      <c r="AV51" t="s">
        <v>425</v>
      </c>
      <c r="AW51" t="s">
        <v>81</v>
      </c>
      <c r="AX51">
        <v>111.133</v>
      </c>
      <c r="AY51">
        <v>0.99819678194932504</v>
      </c>
      <c r="AZ51">
        <v>110.9326029683743</v>
      </c>
      <c r="BA51">
        <v>682.07</v>
      </c>
      <c r="BB51">
        <v>1</v>
      </c>
      <c r="BC51">
        <v>75.663800506639092</v>
      </c>
      <c r="BD51">
        <v>0.92979999999999996</v>
      </c>
      <c r="BE51" s="62">
        <v>70.352000000000004</v>
      </c>
      <c r="BF51">
        <v>8.9176000000000002</v>
      </c>
      <c r="BG51">
        <v>1</v>
      </c>
      <c r="BH51">
        <v>6071.4594890626977</v>
      </c>
      <c r="BI51">
        <v>1.0375922509225091</v>
      </c>
      <c r="BJ51" s="62">
        <v>6299.6993000000002</v>
      </c>
      <c r="BK51" s="60">
        <v>18813.2392982403</v>
      </c>
    </row>
    <row r="52" spans="1:63" x14ac:dyDescent="0.25">
      <c r="A52">
        <v>105</v>
      </c>
      <c r="B52" t="s">
        <v>131</v>
      </c>
      <c r="C52">
        <v>2016</v>
      </c>
      <c r="D52">
        <v>9</v>
      </c>
      <c r="E52" t="s">
        <v>100</v>
      </c>
      <c r="F52" t="s">
        <v>426</v>
      </c>
      <c r="G52" t="s">
        <v>427</v>
      </c>
      <c r="H52" t="s">
        <v>84</v>
      </c>
      <c r="I52" t="s">
        <v>430</v>
      </c>
      <c r="J52" t="s">
        <v>59</v>
      </c>
      <c r="K52">
        <v>-325.78327897000003</v>
      </c>
      <c r="L52" t="s">
        <v>59</v>
      </c>
      <c r="M52" t="s">
        <v>382</v>
      </c>
      <c r="N52">
        <v>2.6402538000039999E-2</v>
      </c>
      <c r="O52">
        <v>8.6015054027830562</v>
      </c>
      <c r="P52" t="s">
        <v>440</v>
      </c>
      <c r="Q52">
        <v>2</v>
      </c>
      <c r="R52">
        <v>31.615939999999998</v>
      </c>
      <c r="S52">
        <v>4.1000000000000002E-2</v>
      </c>
      <c r="T52">
        <v>1.2962534999999999</v>
      </c>
      <c r="U52">
        <v>1.9E-2</v>
      </c>
      <c r="V52">
        <v>24.629000000000001</v>
      </c>
      <c r="W52">
        <v>2</v>
      </c>
      <c r="X52">
        <v>2.0301270860000002E-2</v>
      </c>
      <c r="Y52">
        <v>1</v>
      </c>
      <c r="Z52" s="60">
        <v>8.6015049999999995</v>
      </c>
      <c r="AA52" t="s">
        <v>336</v>
      </c>
      <c r="AB52" t="s">
        <v>433</v>
      </c>
      <c r="AC52" t="s">
        <v>425</v>
      </c>
      <c r="AD52" t="s">
        <v>81</v>
      </c>
      <c r="AE52">
        <v>111.133</v>
      </c>
      <c r="AF52">
        <v>0.99819678194932504</v>
      </c>
      <c r="AG52">
        <v>110.9326029683743</v>
      </c>
      <c r="AH52">
        <v>682.07</v>
      </c>
      <c r="AI52">
        <v>1</v>
      </c>
      <c r="AJ52">
        <v>75.663800506639092</v>
      </c>
      <c r="AK52">
        <v>0.92979999999999996</v>
      </c>
      <c r="AL52" s="62">
        <v>70.352000000000004</v>
      </c>
      <c r="AM52">
        <v>8.9176000000000002</v>
      </c>
      <c r="AN52">
        <v>8.9015196227113016</v>
      </c>
      <c r="AO52">
        <v>1</v>
      </c>
      <c r="AP52">
        <v>6071.4594890626977</v>
      </c>
      <c r="AQ52">
        <v>1.0375922509225091</v>
      </c>
      <c r="AR52">
        <v>6299.6993000000002</v>
      </c>
      <c r="AS52" s="60">
        <v>54186.895027446502</v>
      </c>
      <c r="AT52" t="s">
        <v>336</v>
      </c>
      <c r="AU52" t="s">
        <v>433</v>
      </c>
      <c r="AV52" t="s">
        <v>425</v>
      </c>
      <c r="AW52" t="s">
        <v>81</v>
      </c>
      <c r="AX52">
        <v>111.133</v>
      </c>
      <c r="AY52">
        <v>0.99819678194932504</v>
      </c>
      <c r="AZ52">
        <v>110.9326029683743</v>
      </c>
      <c r="BA52">
        <v>682.07</v>
      </c>
      <c r="BB52">
        <v>1</v>
      </c>
      <c r="BC52">
        <v>75.663800506639092</v>
      </c>
      <c r="BD52">
        <v>0.92979999999999996</v>
      </c>
      <c r="BE52" s="62">
        <v>70.352000000000004</v>
      </c>
      <c r="BF52">
        <v>8.9176000000000002</v>
      </c>
      <c r="BG52">
        <v>1</v>
      </c>
      <c r="BH52">
        <v>6071.4594890626977</v>
      </c>
      <c r="BI52">
        <v>1.0375922509225091</v>
      </c>
      <c r="BJ52" s="62">
        <v>6299.6993000000002</v>
      </c>
      <c r="BK52" s="60">
        <v>54186.895027446502</v>
      </c>
    </row>
    <row r="53" spans="1:63" x14ac:dyDescent="0.25">
      <c r="A53">
        <v>107</v>
      </c>
      <c r="B53" t="s">
        <v>131</v>
      </c>
      <c r="C53">
        <v>2016</v>
      </c>
      <c r="D53">
        <v>9</v>
      </c>
      <c r="E53" t="s">
        <v>100</v>
      </c>
      <c r="F53" t="s">
        <v>426</v>
      </c>
      <c r="G53" t="s">
        <v>427</v>
      </c>
      <c r="H53" t="s">
        <v>84</v>
      </c>
      <c r="I53" t="s">
        <v>428</v>
      </c>
      <c r="J53" t="s">
        <v>381</v>
      </c>
      <c r="K53">
        <v>-502.50672071000002</v>
      </c>
      <c r="L53" t="s">
        <v>381</v>
      </c>
      <c r="M53" t="s">
        <v>383</v>
      </c>
      <c r="N53">
        <v>1.0246055790003701</v>
      </c>
      <c r="O53">
        <v>514.87118952464675</v>
      </c>
      <c r="P53" t="s">
        <v>440</v>
      </c>
      <c r="Q53">
        <v>2</v>
      </c>
      <c r="R53">
        <v>31.615939999999998</v>
      </c>
      <c r="S53">
        <v>4.1000000000000002E-2</v>
      </c>
      <c r="T53">
        <v>1.2962534999999999</v>
      </c>
      <c r="U53">
        <v>0.98099999999999998</v>
      </c>
      <c r="V53">
        <v>1271.625</v>
      </c>
      <c r="W53">
        <v>2</v>
      </c>
      <c r="X53">
        <v>3.9319768000000002E-4</v>
      </c>
      <c r="Y53">
        <v>1</v>
      </c>
      <c r="Z53" s="60">
        <v>514.87118999999996</v>
      </c>
      <c r="AA53" t="s">
        <v>336</v>
      </c>
      <c r="AB53" t="s">
        <v>433</v>
      </c>
      <c r="AC53" t="s">
        <v>425</v>
      </c>
      <c r="AD53" t="s">
        <v>27</v>
      </c>
      <c r="AE53">
        <v>111.133</v>
      </c>
      <c r="AF53">
        <v>0.99819678194932504</v>
      </c>
      <c r="AG53">
        <v>110.9326029683743</v>
      </c>
      <c r="AH53">
        <v>682.07</v>
      </c>
      <c r="AI53">
        <v>1</v>
      </c>
      <c r="AJ53">
        <v>75.663800506639092</v>
      </c>
      <c r="AK53">
        <v>0.99739999999999995</v>
      </c>
      <c r="AL53" s="62">
        <v>75.466999999999999</v>
      </c>
      <c r="AM53">
        <v>8.9176000000000002</v>
      </c>
      <c r="AN53">
        <v>8.9015196227113016</v>
      </c>
      <c r="AO53">
        <v>1</v>
      </c>
      <c r="AP53">
        <v>6071.4594890626977</v>
      </c>
      <c r="AQ53">
        <v>1.0108695652173909</v>
      </c>
      <c r="AR53">
        <v>6137.4535999999998</v>
      </c>
      <c r="AS53" s="60">
        <v>3159998.038601784</v>
      </c>
      <c r="AT53" t="s">
        <v>336</v>
      </c>
      <c r="AU53" t="s">
        <v>433</v>
      </c>
      <c r="AV53" t="s">
        <v>425</v>
      </c>
      <c r="AW53" t="s">
        <v>27</v>
      </c>
      <c r="AX53">
        <v>111.133</v>
      </c>
      <c r="AY53">
        <v>0.99819678194932504</v>
      </c>
      <c r="AZ53">
        <v>110.9326029683743</v>
      </c>
      <c r="BA53">
        <v>682.07</v>
      </c>
      <c r="BB53">
        <v>1</v>
      </c>
      <c r="BC53">
        <v>75.663800506639092</v>
      </c>
      <c r="BD53">
        <v>0.99739999999999995</v>
      </c>
      <c r="BE53" s="62">
        <v>75.466999999999999</v>
      </c>
      <c r="BF53">
        <v>8.9176000000000002</v>
      </c>
      <c r="BG53">
        <v>1</v>
      </c>
      <c r="BH53">
        <v>6071.4594890626977</v>
      </c>
      <c r="BI53">
        <v>1.0108695652173909</v>
      </c>
      <c r="BJ53" s="62">
        <v>6137.4535999999998</v>
      </c>
      <c r="BK53" s="60">
        <v>3159998.038601784</v>
      </c>
    </row>
    <row r="54" spans="1:63" x14ac:dyDescent="0.25">
      <c r="A54">
        <v>107</v>
      </c>
      <c r="B54" t="s">
        <v>131</v>
      </c>
      <c r="C54">
        <v>2016</v>
      </c>
      <c r="D54">
        <v>9</v>
      </c>
      <c r="E54" t="s">
        <v>100</v>
      </c>
      <c r="F54" t="s">
        <v>426</v>
      </c>
      <c r="G54" t="s">
        <v>427</v>
      </c>
      <c r="H54" t="s">
        <v>84</v>
      </c>
      <c r="I54" t="s">
        <v>429</v>
      </c>
      <c r="J54" t="s">
        <v>87</v>
      </c>
      <c r="K54">
        <v>-111.3556145</v>
      </c>
      <c r="L54" t="s">
        <v>87</v>
      </c>
      <c r="M54" t="s">
        <v>383</v>
      </c>
      <c r="N54">
        <v>1.01265167400084</v>
      </c>
      <c r="O54">
        <v>112.7644494328172</v>
      </c>
      <c r="P54" t="s">
        <v>440</v>
      </c>
      <c r="Q54">
        <v>2</v>
      </c>
      <c r="R54">
        <v>31.615939999999998</v>
      </c>
      <c r="S54">
        <v>4.1000000000000002E-2</v>
      </c>
      <c r="T54">
        <v>1.2962534999999999</v>
      </c>
      <c r="U54">
        <v>0.98099999999999998</v>
      </c>
      <c r="V54">
        <v>1271.625</v>
      </c>
      <c r="W54">
        <v>2</v>
      </c>
      <c r="X54">
        <v>3.9319768000000002E-4</v>
      </c>
      <c r="Y54">
        <v>1</v>
      </c>
      <c r="Z54" s="60">
        <v>112.764449</v>
      </c>
      <c r="AA54" t="s">
        <v>336</v>
      </c>
      <c r="AB54" t="s">
        <v>433</v>
      </c>
      <c r="AC54" t="s">
        <v>425</v>
      </c>
      <c r="AD54" t="s">
        <v>27</v>
      </c>
      <c r="AE54">
        <v>111.133</v>
      </c>
      <c r="AF54">
        <v>0.99819678194932504</v>
      </c>
      <c r="AG54">
        <v>110.9326029683743</v>
      </c>
      <c r="AH54">
        <v>682.07</v>
      </c>
      <c r="AI54">
        <v>1</v>
      </c>
      <c r="AJ54">
        <v>75.663800506639092</v>
      </c>
      <c r="AK54">
        <v>0.99739999999999995</v>
      </c>
      <c r="AL54" s="62">
        <v>75.466999999999999</v>
      </c>
      <c r="AM54">
        <v>8.9176000000000002</v>
      </c>
      <c r="AN54">
        <v>8.9015196227113016</v>
      </c>
      <c r="AO54">
        <v>1</v>
      </c>
      <c r="AP54">
        <v>6071.4594890626977</v>
      </c>
      <c r="AQ54">
        <v>1.0108695652173909</v>
      </c>
      <c r="AR54">
        <v>6137.4535999999998</v>
      </c>
      <c r="AS54" s="60">
        <v>692086.5734670664</v>
      </c>
      <c r="AT54" t="s">
        <v>336</v>
      </c>
      <c r="AU54" t="s">
        <v>433</v>
      </c>
      <c r="AV54" t="s">
        <v>425</v>
      </c>
      <c r="AW54" t="s">
        <v>27</v>
      </c>
      <c r="AX54">
        <v>111.133</v>
      </c>
      <c r="AY54">
        <v>0.99819678194932504</v>
      </c>
      <c r="AZ54">
        <v>110.9326029683743</v>
      </c>
      <c r="BA54">
        <v>682.07</v>
      </c>
      <c r="BB54">
        <v>1</v>
      </c>
      <c r="BC54">
        <v>75.663800506639092</v>
      </c>
      <c r="BD54">
        <v>0.99739999999999995</v>
      </c>
      <c r="BE54" s="62">
        <v>75.466999999999999</v>
      </c>
      <c r="BF54">
        <v>8.9176000000000002</v>
      </c>
      <c r="BG54">
        <v>1</v>
      </c>
      <c r="BH54">
        <v>6071.4594890626977</v>
      </c>
      <c r="BI54">
        <v>1.0108695652173909</v>
      </c>
      <c r="BJ54" s="62">
        <v>6137.4535999999998</v>
      </c>
      <c r="BK54" s="60">
        <v>692086.5734670664</v>
      </c>
    </row>
    <row r="55" spans="1:63" x14ac:dyDescent="0.25">
      <c r="A55">
        <v>107</v>
      </c>
      <c r="B55" t="s">
        <v>131</v>
      </c>
      <c r="C55">
        <v>2016</v>
      </c>
      <c r="D55">
        <v>9</v>
      </c>
      <c r="E55" t="s">
        <v>100</v>
      </c>
      <c r="F55" t="s">
        <v>426</v>
      </c>
      <c r="G55" t="s">
        <v>427</v>
      </c>
      <c r="H55" t="s">
        <v>84</v>
      </c>
      <c r="I55" t="s">
        <v>430</v>
      </c>
      <c r="J55" t="s">
        <v>59</v>
      </c>
      <c r="K55">
        <v>-325.78327897000003</v>
      </c>
      <c r="L55" t="s">
        <v>59</v>
      </c>
      <c r="M55" t="s">
        <v>383</v>
      </c>
      <c r="N55">
        <v>1.0130674620001701</v>
      </c>
      <c r="O55">
        <v>330.04043958823121</v>
      </c>
      <c r="P55" t="s">
        <v>440</v>
      </c>
      <c r="Q55">
        <v>2</v>
      </c>
      <c r="R55">
        <v>31.615939999999998</v>
      </c>
      <c r="S55">
        <v>4.1000000000000002E-2</v>
      </c>
      <c r="T55">
        <v>1.2962534999999999</v>
      </c>
      <c r="U55">
        <v>0.98099999999999998</v>
      </c>
      <c r="V55">
        <v>1271.625</v>
      </c>
      <c r="W55">
        <v>2</v>
      </c>
      <c r="X55">
        <v>3.9319768000000002E-4</v>
      </c>
      <c r="Y55">
        <v>1</v>
      </c>
      <c r="Z55" s="60">
        <v>330.04043999999999</v>
      </c>
      <c r="AA55" t="s">
        <v>336</v>
      </c>
      <c r="AB55" t="s">
        <v>433</v>
      </c>
      <c r="AC55" t="s">
        <v>425</v>
      </c>
      <c r="AD55" t="s">
        <v>27</v>
      </c>
      <c r="AE55">
        <v>111.133</v>
      </c>
      <c r="AF55">
        <v>0.99819678194932504</v>
      </c>
      <c r="AG55">
        <v>110.9326029683743</v>
      </c>
      <c r="AH55">
        <v>682.07</v>
      </c>
      <c r="AI55">
        <v>1</v>
      </c>
      <c r="AJ55">
        <v>75.663800506639092</v>
      </c>
      <c r="AK55">
        <v>0.99739999999999995</v>
      </c>
      <c r="AL55" s="62">
        <v>75.466999999999999</v>
      </c>
      <c r="AM55">
        <v>8.9176000000000002</v>
      </c>
      <c r="AN55">
        <v>8.9015196227113016</v>
      </c>
      <c r="AO55">
        <v>1</v>
      </c>
      <c r="AP55">
        <v>6071.4594890626977</v>
      </c>
      <c r="AQ55">
        <v>1.0108695652173909</v>
      </c>
      <c r="AR55">
        <v>6137.4535999999998</v>
      </c>
      <c r="AS55" s="60">
        <v>2025607.886623584</v>
      </c>
      <c r="AT55" t="s">
        <v>336</v>
      </c>
      <c r="AU55" t="s">
        <v>433</v>
      </c>
      <c r="AV55" t="s">
        <v>425</v>
      </c>
      <c r="AW55" t="s">
        <v>27</v>
      </c>
      <c r="AX55">
        <v>111.133</v>
      </c>
      <c r="AY55">
        <v>0.99819678194932504</v>
      </c>
      <c r="AZ55">
        <v>110.9326029683743</v>
      </c>
      <c r="BA55">
        <v>682.07</v>
      </c>
      <c r="BB55">
        <v>1</v>
      </c>
      <c r="BC55">
        <v>75.663800506639092</v>
      </c>
      <c r="BD55">
        <v>0.99739999999999995</v>
      </c>
      <c r="BE55" s="62">
        <v>75.466999999999999</v>
      </c>
      <c r="BF55">
        <v>8.9176000000000002</v>
      </c>
      <c r="BG55">
        <v>1</v>
      </c>
      <c r="BH55">
        <v>6071.4594890626977</v>
      </c>
      <c r="BI55">
        <v>1.0108695652173909</v>
      </c>
      <c r="BJ55" s="62">
        <v>6137.4535999999998</v>
      </c>
      <c r="BK55" s="60">
        <v>2025607.886623584</v>
      </c>
    </row>
    <row r="56" spans="1:63" x14ac:dyDescent="0.25">
      <c r="A56">
        <v>117</v>
      </c>
      <c r="B56" t="s">
        <v>133</v>
      </c>
      <c r="C56">
        <v>2016</v>
      </c>
      <c r="D56">
        <v>10</v>
      </c>
      <c r="E56" t="s">
        <v>100</v>
      </c>
      <c r="F56" t="s">
        <v>426</v>
      </c>
      <c r="G56" t="s">
        <v>427</v>
      </c>
      <c r="H56" t="s">
        <v>84</v>
      </c>
      <c r="I56" t="s">
        <v>428</v>
      </c>
      <c r="J56" t="s">
        <v>381</v>
      </c>
      <c r="K56">
        <v>-815.73483167999996</v>
      </c>
      <c r="L56" t="s">
        <v>381</v>
      </c>
      <c r="M56" t="s">
        <v>382</v>
      </c>
      <c r="N56">
        <v>1.486442099986E-2</v>
      </c>
      <c r="O56">
        <v>12.125425962341451</v>
      </c>
      <c r="P56" t="s">
        <v>440</v>
      </c>
      <c r="Q56">
        <v>2</v>
      </c>
      <c r="R56">
        <v>31.615939999999998</v>
      </c>
      <c r="S56">
        <v>6.3E-2</v>
      </c>
      <c r="T56">
        <v>1.9918042</v>
      </c>
      <c r="U56">
        <v>1.9E-2</v>
      </c>
      <c r="V56">
        <v>37.844000000000001</v>
      </c>
      <c r="W56">
        <v>2</v>
      </c>
      <c r="X56">
        <v>1.3212134024E-2</v>
      </c>
      <c r="Y56">
        <v>1</v>
      </c>
      <c r="Z56" s="60">
        <v>12.125425999999999</v>
      </c>
      <c r="AA56" t="s">
        <v>336</v>
      </c>
      <c r="AB56" t="s">
        <v>433</v>
      </c>
      <c r="AC56" t="s">
        <v>425</v>
      </c>
      <c r="AD56" t="s">
        <v>81</v>
      </c>
      <c r="AE56">
        <v>111.133</v>
      </c>
      <c r="AF56">
        <v>0.99819678194932504</v>
      </c>
      <c r="AG56">
        <v>110.9326029683743</v>
      </c>
      <c r="AH56">
        <v>682.07</v>
      </c>
      <c r="AI56">
        <v>1</v>
      </c>
      <c r="AJ56">
        <v>75.663800506639092</v>
      </c>
      <c r="AK56">
        <v>0.92979999999999996</v>
      </c>
      <c r="AL56" s="62">
        <v>70.352000000000004</v>
      </c>
      <c r="AM56">
        <v>8.9176000000000002</v>
      </c>
      <c r="AN56">
        <v>8.9015196227113016</v>
      </c>
      <c r="AO56">
        <v>1</v>
      </c>
      <c r="AP56">
        <v>6071.4594890626977</v>
      </c>
      <c r="AQ56">
        <v>1.0375922509225091</v>
      </c>
      <c r="AR56">
        <v>6299.6993000000002</v>
      </c>
      <c r="AS56" s="60">
        <v>76386.537684401803</v>
      </c>
      <c r="AT56" t="s">
        <v>336</v>
      </c>
      <c r="AU56" t="s">
        <v>433</v>
      </c>
      <c r="AV56" t="s">
        <v>425</v>
      </c>
      <c r="AW56" t="s">
        <v>81</v>
      </c>
      <c r="AX56">
        <v>111.133</v>
      </c>
      <c r="AY56">
        <v>0.99819678194932504</v>
      </c>
      <c r="AZ56">
        <v>110.9326029683743</v>
      </c>
      <c r="BA56">
        <v>682.07</v>
      </c>
      <c r="BB56">
        <v>1</v>
      </c>
      <c r="BC56">
        <v>75.663800506639092</v>
      </c>
      <c r="BD56">
        <v>0.92979999999999996</v>
      </c>
      <c r="BE56" s="62">
        <v>70.352000000000004</v>
      </c>
      <c r="BF56">
        <v>8.9176000000000002</v>
      </c>
      <c r="BG56">
        <v>1</v>
      </c>
      <c r="BH56">
        <v>6071.4594890626977</v>
      </c>
      <c r="BI56">
        <v>1.0375922509225091</v>
      </c>
      <c r="BJ56" s="62">
        <v>6299.6993000000002</v>
      </c>
      <c r="BK56" s="60">
        <v>76386.537684401803</v>
      </c>
    </row>
    <row r="57" spans="1:63" x14ac:dyDescent="0.25">
      <c r="A57">
        <v>117</v>
      </c>
      <c r="B57" t="s">
        <v>133</v>
      </c>
      <c r="C57">
        <v>2016</v>
      </c>
      <c r="D57">
        <v>10</v>
      </c>
      <c r="E57" t="s">
        <v>100</v>
      </c>
      <c r="F57" t="s">
        <v>426</v>
      </c>
      <c r="G57" t="s">
        <v>427</v>
      </c>
      <c r="H57" t="s">
        <v>84</v>
      </c>
      <c r="I57" t="s">
        <v>429</v>
      </c>
      <c r="J57" t="s">
        <v>87</v>
      </c>
      <c r="K57">
        <v>-244.32922497000001</v>
      </c>
      <c r="L57" t="s">
        <v>87</v>
      </c>
      <c r="M57" t="s">
        <v>382</v>
      </c>
      <c r="N57">
        <v>2.6818325999790001E-2</v>
      </c>
      <c r="O57">
        <v>6.5525008065214916</v>
      </c>
      <c r="P57" t="s">
        <v>440</v>
      </c>
      <c r="Q57">
        <v>2</v>
      </c>
      <c r="R57">
        <v>31.615939999999998</v>
      </c>
      <c r="S57">
        <v>6.3E-2</v>
      </c>
      <c r="T57">
        <v>1.9918042</v>
      </c>
      <c r="U57">
        <v>1.9E-2</v>
      </c>
      <c r="V57">
        <v>37.844000000000001</v>
      </c>
      <c r="W57">
        <v>2</v>
      </c>
      <c r="X57">
        <v>1.3212134024E-2</v>
      </c>
      <c r="Y57">
        <v>1</v>
      </c>
      <c r="Z57" s="60">
        <v>6.5525010000000004</v>
      </c>
      <c r="AA57" t="s">
        <v>336</v>
      </c>
      <c r="AB57" t="s">
        <v>433</v>
      </c>
      <c r="AC57" t="s">
        <v>425</v>
      </c>
      <c r="AD57" t="s">
        <v>81</v>
      </c>
      <c r="AE57">
        <v>111.133</v>
      </c>
      <c r="AF57">
        <v>0.99819678194932504</v>
      </c>
      <c r="AG57">
        <v>110.9326029683743</v>
      </c>
      <c r="AH57">
        <v>682.07</v>
      </c>
      <c r="AI57">
        <v>1</v>
      </c>
      <c r="AJ57">
        <v>75.663800506639092</v>
      </c>
      <c r="AK57">
        <v>0.92979999999999996</v>
      </c>
      <c r="AL57" s="62">
        <v>70.352000000000004</v>
      </c>
      <c r="AM57">
        <v>8.9176000000000002</v>
      </c>
      <c r="AN57">
        <v>8.9015196227113016</v>
      </c>
      <c r="AO57">
        <v>1</v>
      </c>
      <c r="AP57">
        <v>6071.4594890626977</v>
      </c>
      <c r="AQ57">
        <v>1.0375922509225091</v>
      </c>
      <c r="AR57">
        <v>6299.6993000000002</v>
      </c>
      <c r="AS57" s="60">
        <v>41278.785962949303</v>
      </c>
      <c r="AT57" t="s">
        <v>336</v>
      </c>
      <c r="AU57" t="s">
        <v>433</v>
      </c>
      <c r="AV57" t="s">
        <v>425</v>
      </c>
      <c r="AW57" t="s">
        <v>81</v>
      </c>
      <c r="AX57">
        <v>111.133</v>
      </c>
      <c r="AY57">
        <v>0.99819678194932504</v>
      </c>
      <c r="AZ57">
        <v>110.9326029683743</v>
      </c>
      <c r="BA57">
        <v>682.07</v>
      </c>
      <c r="BB57">
        <v>1</v>
      </c>
      <c r="BC57">
        <v>75.663800506639092</v>
      </c>
      <c r="BD57">
        <v>0.92979999999999996</v>
      </c>
      <c r="BE57" s="62">
        <v>70.352000000000004</v>
      </c>
      <c r="BF57">
        <v>8.9176000000000002</v>
      </c>
      <c r="BG57">
        <v>1</v>
      </c>
      <c r="BH57">
        <v>6071.4594890626977</v>
      </c>
      <c r="BI57">
        <v>1.0375922509225091</v>
      </c>
      <c r="BJ57" s="62">
        <v>6299.6993000000002</v>
      </c>
      <c r="BK57" s="60">
        <v>41278.785962949303</v>
      </c>
    </row>
    <row r="58" spans="1:63" x14ac:dyDescent="0.25">
      <c r="A58">
        <v>117</v>
      </c>
      <c r="B58" t="s">
        <v>133</v>
      </c>
      <c r="C58">
        <v>2016</v>
      </c>
      <c r="D58">
        <v>10</v>
      </c>
      <c r="E58" t="s">
        <v>100</v>
      </c>
      <c r="F58" t="s">
        <v>426</v>
      </c>
      <c r="G58" t="s">
        <v>427</v>
      </c>
      <c r="H58" t="s">
        <v>84</v>
      </c>
      <c r="I58" t="s">
        <v>430</v>
      </c>
      <c r="J58" t="s">
        <v>59</v>
      </c>
      <c r="K58">
        <v>-393.42108459999997</v>
      </c>
      <c r="L58" t="s">
        <v>59</v>
      </c>
      <c r="M58" t="s">
        <v>382</v>
      </c>
      <c r="N58">
        <v>2.6402538E-2</v>
      </c>
      <c r="O58">
        <v>10.38731513615271</v>
      </c>
      <c r="P58" t="s">
        <v>440</v>
      </c>
      <c r="Q58">
        <v>2</v>
      </c>
      <c r="R58">
        <v>31.615939999999998</v>
      </c>
      <c r="S58">
        <v>6.3E-2</v>
      </c>
      <c r="T58">
        <v>1.9918042</v>
      </c>
      <c r="U58">
        <v>1.9E-2</v>
      </c>
      <c r="V58">
        <v>37.844000000000001</v>
      </c>
      <c r="W58">
        <v>2</v>
      </c>
      <c r="X58">
        <v>1.3212134024E-2</v>
      </c>
      <c r="Y58">
        <v>1</v>
      </c>
      <c r="Z58" s="60">
        <v>10.387314999999999</v>
      </c>
      <c r="AA58" t="s">
        <v>336</v>
      </c>
      <c r="AB58" t="s">
        <v>433</v>
      </c>
      <c r="AC58" t="s">
        <v>425</v>
      </c>
      <c r="AD58" t="s">
        <v>81</v>
      </c>
      <c r="AE58">
        <v>111.133</v>
      </c>
      <c r="AF58">
        <v>0.99819678194932504</v>
      </c>
      <c r="AG58">
        <v>110.9326029683743</v>
      </c>
      <c r="AH58">
        <v>682.07</v>
      </c>
      <c r="AI58">
        <v>1</v>
      </c>
      <c r="AJ58">
        <v>75.663800506639092</v>
      </c>
      <c r="AK58">
        <v>0.92979999999999996</v>
      </c>
      <c r="AL58" s="62">
        <v>70.352000000000004</v>
      </c>
      <c r="AM58">
        <v>8.9176000000000002</v>
      </c>
      <c r="AN58">
        <v>8.9015196227113016</v>
      </c>
      <c r="AO58">
        <v>1</v>
      </c>
      <c r="AP58">
        <v>6071.4594890626977</v>
      </c>
      <c r="AQ58">
        <v>1.0375922509225091</v>
      </c>
      <c r="AR58">
        <v>6299.6993000000002</v>
      </c>
      <c r="AS58" s="60">
        <v>65436.961034379499</v>
      </c>
      <c r="AT58" t="s">
        <v>336</v>
      </c>
      <c r="AU58" t="s">
        <v>433</v>
      </c>
      <c r="AV58" t="s">
        <v>425</v>
      </c>
      <c r="AW58" t="s">
        <v>81</v>
      </c>
      <c r="AX58">
        <v>111.133</v>
      </c>
      <c r="AY58">
        <v>0.99819678194932504</v>
      </c>
      <c r="AZ58">
        <v>110.9326029683743</v>
      </c>
      <c r="BA58">
        <v>682.07</v>
      </c>
      <c r="BB58">
        <v>1</v>
      </c>
      <c r="BC58">
        <v>75.663800506639092</v>
      </c>
      <c r="BD58">
        <v>0.92979999999999996</v>
      </c>
      <c r="BE58" s="62">
        <v>70.352000000000004</v>
      </c>
      <c r="BF58">
        <v>8.9176000000000002</v>
      </c>
      <c r="BG58">
        <v>1</v>
      </c>
      <c r="BH58">
        <v>6071.4594890626977</v>
      </c>
      <c r="BI58">
        <v>1.0375922509225091</v>
      </c>
      <c r="BJ58" s="62">
        <v>6299.6993000000002</v>
      </c>
      <c r="BK58" s="60">
        <v>65436.961034379499</v>
      </c>
    </row>
    <row r="59" spans="1:63" x14ac:dyDescent="0.25">
      <c r="A59">
        <v>119</v>
      </c>
      <c r="B59" t="s">
        <v>133</v>
      </c>
      <c r="C59">
        <v>2016</v>
      </c>
      <c r="D59">
        <v>10</v>
      </c>
      <c r="E59" t="s">
        <v>100</v>
      </c>
      <c r="F59" t="s">
        <v>426</v>
      </c>
      <c r="G59" t="s">
        <v>427</v>
      </c>
      <c r="H59" t="s">
        <v>84</v>
      </c>
      <c r="I59" t="s">
        <v>428</v>
      </c>
      <c r="J59" t="s">
        <v>381</v>
      </c>
      <c r="K59">
        <v>-815.73483167999996</v>
      </c>
      <c r="L59" t="s">
        <v>381</v>
      </c>
      <c r="M59" t="s">
        <v>383</v>
      </c>
      <c r="N59">
        <v>1.0246055790003199</v>
      </c>
      <c r="O59">
        <v>835.80645952421503</v>
      </c>
      <c r="P59" t="s">
        <v>440</v>
      </c>
      <c r="Q59">
        <v>2</v>
      </c>
      <c r="R59">
        <v>31.615939999999998</v>
      </c>
      <c r="S59">
        <v>6.3E-2</v>
      </c>
      <c r="T59">
        <v>1.9918042</v>
      </c>
      <c r="U59">
        <v>0.98099999999999998</v>
      </c>
      <c r="V59">
        <v>1953.96</v>
      </c>
      <c r="W59">
        <v>2</v>
      </c>
      <c r="X59">
        <v>2.5589060200000003E-4</v>
      </c>
      <c r="Y59">
        <v>1</v>
      </c>
      <c r="Z59" s="60">
        <v>835.80646000000002</v>
      </c>
      <c r="AA59" t="s">
        <v>336</v>
      </c>
      <c r="AB59" t="s">
        <v>433</v>
      </c>
      <c r="AC59" t="s">
        <v>425</v>
      </c>
      <c r="AD59" t="s">
        <v>27</v>
      </c>
      <c r="AE59">
        <v>111.133</v>
      </c>
      <c r="AF59">
        <v>0.99819678194932504</v>
      </c>
      <c r="AG59">
        <v>110.9326029683743</v>
      </c>
      <c r="AH59">
        <v>682.07</v>
      </c>
      <c r="AI59">
        <v>1</v>
      </c>
      <c r="AJ59">
        <v>75.663800506639092</v>
      </c>
      <c r="AK59">
        <v>0.99739999999999995</v>
      </c>
      <c r="AL59" s="62">
        <v>75.466999999999999</v>
      </c>
      <c r="AM59">
        <v>8.9176000000000002</v>
      </c>
      <c r="AN59">
        <v>8.9015196227113016</v>
      </c>
      <c r="AO59">
        <v>1</v>
      </c>
      <c r="AP59">
        <v>6071.4594890626977</v>
      </c>
      <c r="AQ59">
        <v>1.0108695652173909</v>
      </c>
      <c r="AR59">
        <v>6137.4535999999998</v>
      </c>
      <c r="AS59" s="60">
        <v>5129723.3668302558</v>
      </c>
      <c r="AT59" t="s">
        <v>336</v>
      </c>
      <c r="AU59" t="s">
        <v>433</v>
      </c>
      <c r="AV59" t="s">
        <v>425</v>
      </c>
      <c r="AW59" t="s">
        <v>27</v>
      </c>
      <c r="AX59">
        <v>111.133</v>
      </c>
      <c r="AY59">
        <v>0.99819678194932504</v>
      </c>
      <c r="AZ59">
        <v>110.9326029683743</v>
      </c>
      <c r="BA59">
        <v>682.07</v>
      </c>
      <c r="BB59">
        <v>1</v>
      </c>
      <c r="BC59">
        <v>75.663800506639092</v>
      </c>
      <c r="BD59">
        <v>0.99739999999999995</v>
      </c>
      <c r="BE59" s="62">
        <v>75.466999999999999</v>
      </c>
      <c r="BF59">
        <v>8.9176000000000002</v>
      </c>
      <c r="BG59">
        <v>1</v>
      </c>
      <c r="BH59">
        <v>6071.4594890626977</v>
      </c>
      <c r="BI59">
        <v>1.0108695652173909</v>
      </c>
      <c r="BJ59" s="62">
        <v>6137.4535999999998</v>
      </c>
      <c r="BK59" s="60">
        <v>5129723.3668302558</v>
      </c>
    </row>
    <row r="60" spans="1:63" x14ac:dyDescent="0.25">
      <c r="A60">
        <v>119</v>
      </c>
      <c r="B60" t="s">
        <v>133</v>
      </c>
      <c r="C60">
        <v>2016</v>
      </c>
      <c r="D60">
        <v>10</v>
      </c>
      <c r="E60" t="s">
        <v>100</v>
      </c>
      <c r="F60" t="s">
        <v>426</v>
      </c>
      <c r="G60" t="s">
        <v>427</v>
      </c>
      <c r="H60" t="s">
        <v>84</v>
      </c>
      <c r="I60" t="s">
        <v>429</v>
      </c>
      <c r="J60" t="s">
        <v>87</v>
      </c>
      <c r="K60">
        <v>-244.32922497000001</v>
      </c>
      <c r="L60" t="s">
        <v>87</v>
      </c>
      <c r="M60" t="s">
        <v>383</v>
      </c>
      <c r="N60">
        <v>1.0126516739992699</v>
      </c>
      <c r="O60">
        <v>247.42039867281471</v>
      </c>
      <c r="P60" t="s">
        <v>440</v>
      </c>
      <c r="Q60">
        <v>2</v>
      </c>
      <c r="R60">
        <v>31.615939999999998</v>
      </c>
      <c r="S60">
        <v>6.3E-2</v>
      </c>
      <c r="T60">
        <v>1.9918042</v>
      </c>
      <c r="U60">
        <v>0.98099999999999998</v>
      </c>
      <c r="V60">
        <v>1953.96</v>
      </c>
      <c r="W60">
        <v>2</v>
      </c>
      <c r="X60">
        <v>2.5589060200000003E-4</v>
      </c>
      <c r="Y60">
        <v>1</v>
      </c>
      <c r="Z60" s="60">
        <v>247.420399</v>
      </c>
      <c r="AA60" t="s">
        <v>336</v>
      </c>
      <c r="AB60" t="s">
        <v>433</v>
      </c>
      <c r="AC60" t="s">
        <v>425</v>
      </c>
      <c r="AD60" t="s">
        <v>27</v>
      </c>
      <c r="AE60">
        <v>111.133</v>
      </c>
      <c r="AF60">
        <v>0.99819678194932504</v>
      </c>
      <c r="AG60">
        <v>110.9326029683743</v>
      </c>
      <c r="AH60">
        <v>682.07</v>
      </c>
      <c r="AI60">
        <v>1</v>
      </c>
      <c r="AJ60">
        <v>75.663800506639092</v>
      </c>
      <c r="AK60">
        <v>0.99739999999999995</v>
      </c>
      <c r="AL60" s="62">
        <v>75.466999999999999</v>
      </c>
      <c r="AM60">
        <v>8.9176000000000002</v>
      </c>
      <c r="AN60">
        <v>8.9015196227113016</v>
      </c>
      <c r="AO60">
        <v>1</v>
      </c>
      <c r="AP60">
        <v>6071.4594890626977</v>
      </c>
      <c r="AQ60">
        <v>1.0108695652173909</v>
      </c>
      <c r="AR60">
        <v>6137.4535999999998</v>
      </c>
      <c r="AS60" s="60">
        <v>1518531.2185559859</v>
      </c>
      <c r="AT60" t="s">
        <v>336</v>
      </c>
      <c r="AU60" t="s">
        <v>433</v>
      </c>
      <c r="AV60" t="s">
        <v>425</v>
      </c>
      <c r="AW60" t="s">
        <v>27</v>
      </c>
      <c r="AX60">
        <v>111.133</v>
      </c>
      <c r="AY60">
        <v>0.99819678194932504</v>
      </c>
      <c r="AZ60">
        <v>110.9326029683743</v>
      </c>
      <c r="BA60">
        <v>682.07</v>
      </c>
      <c r="BB60">
        <v>1</v>
      </c>
      <c r="BC60">
        <v>75.663800506639092</v>
      </c>
      <c r="BD60">
        <v>0.99739999999999995</v>
      </c>
      <c r="BE60" s="62">
        <v>75.466999999999999</v>
      </c>
      <c r="BF60">
        <v>8.9176000000000002</v>
      </c>
      <c r="BG60">
        <v>1</v>
      </c>
      <c r="BH60">
        <v>6071.4594890626977</v>
      </c>
      <c r="BI60">
        <v>1.0108695652173909</v>
      </c>
      <c r="BJ60" s="62">
        <v>6137.4535999999998</v>
      </c>
      <c r="BK60" s="60">
        <v>1518531.2185559859</v>
      </c>
    </row>
    <row r="61" spans="1:63" x14ac:dyDescent="0.25">
      <c r="A61">
        <v>119</v>
      </c>
      <c r="B61" t="s">
        <v>133</v>
      </c>
      <c r="C61">
        <v>2016</v>
      </c>
      <c r="D61">
        <v>10</v>
      </c>
      <c r="E61" t="s">
        <v>100</v>
      </c>
      <c r="F61" t="s">
        <v>426</v>
      </c>
      <c r="G61" t="s">
        <v>427</v>
      </c>
      <c r="H61" t="s">
        <v>84</v>
      </c>
      <c r="I61" t="s">
        <v>430</v>
      </c>
      <c r="J61" t="s">
        <v>59</v>
      </c>
      <c r="K61">
        <v>-393.42108459999997</v>
      </c>
      <c r="L61" t="s">
        <v>59</v>
      </c>
      <c r="M61" t="s">
        <v>383</v>
      </c>
      <c r="N61">
        <v>1.0130674619995901</v>
      </c>
      <c r="O61">
        <v>398.56209967284798</v>
      </c>
      <c r="P61" t="s">
        <v>440</v>
      </c>
      <c r="Q61">
        <v>2</v>
      </c>
      <c r="R61">
        <v>31.615939999999998</v>
      </c>
      <c r="S61">
        <v>6.3E-2</v>
      </c>
      <c r="T61">
        <v>1.9918042</v>
      </c>
      <c r="U61">
        <v>0.98099999999999998</v>
      </c>
      <c r="V61">
        <v>1953.96</v>
      </c>
      <c r="W61">
        <v>2</v>
      </c>
      <c r="X61">
        <v>2.5589060200000003E-4</v>
      </c>
      <c r="Y61">
        <v>1</v>
      </c>
      <c r="Z61" s="60">
        <v>398.56209999999999</v>
      </c>
      <c r="AA61" t="s">
        <v>336</v>
      </c>
      <c r="AB61" t="s">
        <v>433</v>
      </c>
      <c r="AC61" t="s">
        <v>425</v>
      </c>
      <c r="AD61" t="s">
        <v>27</v>
      </c>
      <c r="AE61">
        <v>111.133</v>
      </c>
      <c r="AF61">
        <v>0.99819678194932504</v>
      </c>
      <c r="AG61">
        <v>110.9326029683743</v>
      </c>
      <c r="AH61">
        <v>682.07</v>
      </c>
      <c r="AI61">
        <v>1</v>
      </c>
      <c r="AJ61">
        <v>75.663800506639092</v>
      </c>
      <c r="AK61">
        <v>0.99739999999999995</v>
      </c>
      <c r="AL61" s="62">
        <v>75.466999999999999</v>
      </c>
      <c r="AM61">
        <v>8.9176000000000002</v>
      </c>
      <c r="AN61">
        <v>8.9015196227113016</v>
      </c>
      <c r="AO61">
        <v>1</v>
      </c>
      <c r="AP61">
        <v>6071.4594890626977</v>
      </c>
      <c r="AQ61">
        <v>1.0108695652173909</v>
      </c>
      <c r="AR61">
        <v>6137.4535999999998</v>
      </c>
      <c r="AS61" s="60">
        <v>2446156.39546856</v>
      </c>
      <c r="AT61" t="s">
        <v>336</v>
      </c>
      <c r="AU61" t="s">
        <v>433</v>
      </c>
      <c r="AV61" t="s">
        <v>425</v>
      </c>
      <c r="AW61" t="s">
        <v>27</v>
      </c>
      <c r="AX61">
        <v>111.133</v>
      </c>
      <c r="AY61">
        <v>0.99819678194932504</v>
      </c>
      <c r="AZ61">
        <v>110.9326029683743</v>
      </c>
      <c r="BA61">
        <v>682.07</v>
      </c>
      <c r="BB61">
        <v>1</v>
      </c>
      <c r="BC61">
        <v>75.663800506639092</v>
      </c>
      <c r="BD61">
        <v>0.99739999999999995</v>
      </c>
      <c r="BE61" s="62">
        <v>75.466999999999999</v>
      </c>
      <c r="BF61">
        <v>8.9176000000000002</v>
      </c>
      <c r="BG61">
        <v>1</v>
      </c>
      <c r="BH61">
        <v>6071.4594890626977</v>
      </c>
      <c r="BI61">
        <v>1.0108695652173909</v>
      </c>
      <c r="BJ61" s="62">
        <v>6137.4535999999998</v>
      </c>
      <c r="BK61" s="60">
        <v>2446156.39546856</v>
      </c>
    </row>
    <row r="62" spans="1:63" x14ac:dyDescent="0.25">
      <c r="A62">
        <v>129</v>
      </c>
      <c r="B62" t="s">
        <v>130</v>
      </c>
      <c r="C62">
        <v>2016</v>
      </c>
      <c r="D62">
        <v>11</v>
      </c>
      <c r="E62" t="s">
        <v>100</v>
      </c>
      <c r="F62" t="s">
        <v>426</v>
      </c>
      <c r="G62" t="s">
        <v>427</v>
      </c>
      <c r="H62" t="s">
        <v>84</v>
      </c>
      <c r="I62" t="s">
        <v>428</v>
      </c>
      <c r="J62" t="s">
        <v>381</v>
      </c>
      <c r="K62">
        <v>-2252.18045975</v>
      </c>
      <c r="L62" t="s">
        <v>381</v>
      </c>
      <c r="M62" t="s">
        <v>382</v>
      </c>
      <c r="N62">
        <v>1.486442099502E-2</v>
      </c>
      <c r="O62">
        <v>33.4773585104817</v>
      </c>
      <c r="P62" t="s">
        <v>440</v>
      </c>
      <c r="Q62">
        <v>2</v>
      </c>
      <c r="R62">
        <v>31.615939999999998</v>
      </c>
      <c r="S62">
        <v>0.111</v>
      </c>
      <c r="T62">
        <v>3.5093692999999999</v>
      </c>
      <c r="U62">
        <v>1.9E-2</v>
      </c>
      <c r="V62">
        <v>66.677999999999997</v>
      </c>
      <c r="W62">
        <v>2</v>
      </c>
      <c r="X62">
        <v>7.4987252169999999E-3</v>
      </c>
      <c r="Y62">
        <v>1</v>
      </c>
      <c r="Z62" s="60">
        <v>33.477359</v>
      </c>
      <c r="AA62" t="s">
        <v>336</v>
      </c>
      <c r="AB62" t="s">
        <v>433</v>
      </c>
      <c r="AC62" t="s">
        <v>425</v>
      </c>
      <c r="AD62" t="s">
        <v>81</v>
      </c>
      <c r="AE62">
        <v>111.133</v>
      </c>
      <c r="AF62">
        <v>0.99819678194932504</v>
      </c>
      <c r="AG62">
        <v>110.9326029683743</v>
      </c>
      <c r="AH62">
        <v>682.07</v>
      </c>
      <c r="AI62">
        <v>1</v>
      </c>
      <c r="AJ62">
        <v>75.663800506639092</v>
      </c>
      <c r="AK62">
        <v>0.92979999999999996</v>
      </c>
      <c r="AL62" s="62">
        <v>70.352000000000004</v>
      </c>
      <c r="AM62">
        <v>8.9176000000000002</v>
      </c>
      <c r="AN62">
        <v>8.9015196227113016</v>
      </c>
      <c r="AO62">
        <v>1</v>
      </c>
      <c r="AP62">
        <v>6071.4594890626977</v>
      </c>
      <c r="AQ62">
        <v>1.0375922509225091</v>
      </c>
      <c r="AR62">
        <v>6299.6993000000002</v>
      </c>
      <c r="AS62" s="60">
        <v>210897.29505814871</v>
      </c>
      <c r="AT62" t="s">
        <v>336</v>
      </c>
      <c r="AU62" t="s">
        <v>433</v>
      </c>
      <c r="AV62" t="s">
        <v>425</v>
      </c>
      <c r="AW62" t="s">
        <v>81</v>
      </c>
      <c r="AX62">
        <v>111.133</v>
      </c>
      <c r="AY62">
        <v>0.99819678194932504</v>
      </c>
      <c r="AZ62">
        <v>110.9326029683743</v>
      </c>
      <c r="BA62">
        <v>682.07</v>
      </c>
      <c r="BB62">
        <v>1</v>
      </c>
      <c r="BC62">
        <v>75.663800506639092</v>
      </c>
      <c r="BD62">
        <v>0.92979999999999996</v>
      </c>
      <c r="BE62" s="62">
        <v>70.352000000000004</v>
      </c>
      <c r="BF62">
        <v>8.9176000000000002</v>
      </c>
      <c r="BG62">
        <v>1</v>
      </c>
      <c r="BH62">
        <v>6071.4594890626977</v>
      </c>
      <c r="BI62">
        <v>1.0375922509225091</v>
      </c>
      <c r="BJ62" s="62">
        <v>6299.6993000000002</v>
      </c>
      <c r="BK62" s="60">
        <v>210897.29505814871</v>
      </c>
    </row>
    <row r="63" spans="1:63" x14ac:dyDescent="0.25">
      <c r="A63">
        <v>129</v>
      </c>
      <c r="B63" t="s">
        <v>130</v>
      </c>
      <c r="C63">
        <v>2016</v>
      </c>
      <c r="D63">
        <v>11</v>
      </c>
      <c r="E63" t="s">
        <v>100</v>
      </c>
      <c r="F63" t="s">
        <v>426</v>
      </c>
      <c r="G63" t="s">
        <v>427</v>
      </c>
      <c r="H63" t="s">
        <v>84</v>
      </c>
      <c r="I63" t="s">
        <v>429</v>
      </c>
      <c r="J63" t="s">
        <v>87</v>
      </c>
      <c r="K63">
        <v>-625.05634615999998</v>
      </c>
      <c r="L63" t="s">
        <v>87</v>
      </c>
      <c r="M63" t="s">
        <v>382</v>
      </c>
      <c r="N63">
        <v>2.68183260348E-2</v>
      </c>
      <c r="O63">
        <v>16.762964881439689</v>
      </c>
      <c r="P63" t="s">
        <v>440</v>
      </c>
      <c r="Q63">
        <v>2</v>
      </c>
      <c r="R63">
        <v>31.615939999999998</v>
      </c>
      <c r="S63">
        <v>0.111</v>
      </c>
      <c r="T63">
        <v>3.5093692999999999</v>
      </c>
      <c r="U63">
        <v>1.9E-2</v>
      </c>
      <c r="V63">
        <v>66.677999999999997</v>
      </c>
      <c r="W63">
        <v>2</v>
      </c>
      <c r="X63">
        <v>7.4987252169999999E-3</v>
      </c>
      <c r="Y63">
        <v>1</v>
      </c>
      <c r="Z63" s="60">
        <v>16.762965000000001</v>
      </c>
      <c r="AA63" t="s">
        <v>336</v>
      </c>
      <c r="AB63" t="s">
        <v>433</v>
      </c>
      <c r="AC63" t="s">
        <v>425</v>
      </c>
      <c r="AD63" t="s">
        <v>81</v>
      </c>
      <c r="AE63">
        <v>111.133</v>
      </c>
      <c r="AF63">
        <v>0.99819678194932504</v>
      </c>
      <c r="AG63">
        <v>110.9326029683743</v>
      </c>
      <c r="AH63">
        <v>682.07</v>
      </c>
      <c r="AI63">
        <v>1</v>
      </c>
      <c r="AJ63">
        <v>75.663800506639092</v>
      </c>
      <c r="AK63">
        <v>0.92979999999999996</v>
      </c>
      <c r="AL63" s="62">
        <v>70.352000000000004</v>
      </c>
      <c r="AM63">
        <v>8.9176000000000002</v>
      </c>
      <c r="AN63">
        <v>8.9015196227113016</v>
      </c>
      <c r="AO63">
        <v>1</v>
      </c>
      <c r="AP63">
        <v>6071.4594890626977</v>
      </c>
      <c r="AQ63">
        <v>1.0375922509225091</v>
      </c>
      <c r="AR63">
        <v>6299.6993000000002</v>
      </c>
      <c r="AS63" s="60">
        <v>105601.63887642451</v>
      </c>
      <c r="AT63" t="s">
        <v>336</v>
      </c>
      <c r="AU63" t="s">
        <v>433</v>
      </c>
      <c r="AV63" t="s">
        <v>425</v>
      </c>
      <c r="AW63" t="s">
        <v>81</v>
      </c>
      <c r="AX63">
        <v>111.133</v>
      </c>
      <c r="AY63">
        <v>0.99819678194932504</v>
      </c>
      <c r="AZ63">
        <v>110.9326029683743</v>
      </c>
      <c r="BA63">
        <v>682.07</v>
      </c>
      <c r="BB63">
        <v>1</v>
      </c>
      <c r="BC63">
        <v>75.663800506639092</v>
      </c>
      <c r="BD63">
        <v>0.92979999999999996</v>
      </c>
      <c r="BE63" s="62">
        <v>70.352000000000004</v>
      </c>
      <c r="BF63">
        <v>8.9176000000000002</v>
      </c>
      <c r="BG63">
        <v>1</v>
      </c>
      <c r="BH63">
        <v>6071.4594890626977</v>
      </c>
      <c r="BI63">
        <v>1.0375922509225091</v>
      </c>
      <c r="BJ63" s="62">
        <v>6299.6993000000002</v>
      </c>
      <c r="BK63" s="60">
        <v>105601.63887642451</v>
      </c>
    </row>
    <row r="64" spans="1:63" x14ac:dyDescent="0.25">
      <c r="A64">
        <v>129</v>
      </c>
      <c r="B64" t="s">
        <v>130</v>
      </c>
      <c r="C64">
        <v>2016</v>
      </c>
      <c r="D64">
        <v>11</v>
      </c>
      <c r="E64" t="s">
        <v>100</v>
      </c>
      <c r="F64" t="s">
        <v>426</v>
      </c>
      <c r="G64" t="s">
        <v>427</v>
      </c>
      <c r="H64" t="s">
        <v>84</v>
      </c>
      <c r="I64" t="s">
        <v>430</v>
      </c>
      <c r="J64" t="s">
        <v>59</v>
      </c>
      <c r="K64">
        <v>-873.82877030999998</v>
      </c>
      <c r="L64" t="s">
        <v>59</v>
      </c>
      <c r="M64" t="s">
        <v>382</v>
      </c>
      <c r="N64">
        <v>2.6402538002839999E-2</v>
      </c>
      <c r="O64">
        <v>23.071297316084721</v>
      </c>
      <c r="P64" t="s">
        <v>440</v>
      </c>
      <c r="Q64">
        <v>2</v>
      </c>
      <c r="R64">
        <v>31.615939999999998</v>
      </c>
      <c r="S64">
        <v>0.111</v>
      </c>
      <c r="T64">
        <v>3.5093692999999999</v>
      </c>
      <c r="U64">
        <v>1.9E-2</v>
      </c>
      <c r="V64">
        <v>66.677999999999997</v>
      </c>
      <c r="W64">
        <v>2</v>
      </c>
      <c r="X64">
        <v>7.4987252169999999E-3</v>
      </c>
      <c r="Y64">
        <v>1</v>
      </c>
      <c r="Z64" s="60">
        <v>23.071297000000001</v>
      </c>
      <c r="AA64" t="s">
        <v>336</v>
      </c>
      <c r="AB64" t="s">
        <v>433</v>
      </c>
      <c r="AC64" t="s">
        <v>425</v>
      </c>
      <c r="AD64" t="s">
        <v>81</v>
      </c>
      <c r="AE64">
        <v>111.133</v>
      </c>
      <c r="AF64">
        <v>0.99819678194932504</v>
      </c>
      <c r="AG64">
        <v>110.9326029683743</v>
      </c>
      <c r="AH64">
        <v>682.07</v>
      </c>
      <c r="AI64">
        <v>1</v>
      </c>
      <c r="AJ64">
        <v>75.663800506639092</v>
      </c>
      <c r="AK64">
        <v>0.92979999999999996</v>
      </c>
      <c r="AL64" s="62">
        <v>70.352000000000004</v>
      </c>
      <c r="AM64">
        <v>8.9176000000000002</v>
      </c>
      <c r="AN64">
        <v>8.9015196227113016</v>
      </c>
      <c r="AO64">
        <v>1</v>
      </c>
      <c r="AP64">
        <v>6071.4594890626977</v>
      </c>
      <c r="AQ64">
        <v>1.0375922509225091</v>
      </c>
      <c r="AR64">
        <v>6299.6993000000002</v>
      </c>
      <c r="AS64" s="60">
        <v>145342.23356099211</v>
      </c>
      <c r="AT64" t="s">
        <v>336</v>
      </c>
      <c r="AU64" t="s">
        <v>433</v>
      </c>
      <c r="AV64" t="s">
        <v>425</v>
      </c>
      <c r="AW64" t="s">
        <v>81</v>
      </c>
      <c r="AX64">
        <v>111.133</v>
      </c>
      <c r="AY64">
        <v>0.99819678194932504</v>
      </c>
      <c r="AZ64">
        <v>110.9326029683743</v>
      </c>
      <c r="BA64">
        <v>682.07</v>
      </c>
      <c r="BB64">
        <v>1</v>
      </c>
      <c r="BC64">
        <v>75.663800506639092</v>
      </c>
      <c r="BD64">
        <v>0.92979999999999996</v>
      </c>
      <c r="BE64" s="62">
        <v>70.352000000000004</v>
      </c>
      <c r="BF64">
        <v>8.9176000000000002</v>
      </c>
      <c r="BG64">
        <v>1</v>
      </c>
      <c r="BH64">
        <v>6071.4594890626977</v>
      </c>
      <c r="BI64">
        <v>1.0375922509225091</v>
      </c>
      <c r="BJ64" s="62">
        <v>6299.6993000000002</v>
      </c>
      <c r="BK64" s="60">
        <v>145342.23356099211</v>
      </c>
    </row>
    <row r="65" spans="1:63" x14ac:dyDescent="0.25">
      <c r="A65">
        <v>131</v>
      </c>
      <c r="B65" t="s">
        <v>130</v>
      </c>
      <c r="C65">
        <v>2016</v>
      </c>
      <c r="D65">
        <v>11</v>
      </c>
      <c r="E65" t="s">
        <v>100</v>
      </c>
      <c r="F65" t="s">
        <v>426</v>
      </c>
      <c r="G65" t="s">
        <v>427</v>
      </c>
      <c r="H65" t="s">
        <v>84</v>
      </c>
      <c r="I65" t="s">
        <v>428</v>
      </c>
      <c r="J65" t="s">
        <v>381</v>
      </c>
      <c r="K65">
        <v>-2252.18045975</v>
      </c>
      <c r="L65" t="s">
        <v>381</v>
      </c>
      <c r="M65" t="s">
        <v>383</v>
      </c>
      <c r="N65">
        <v>1.0246055790040201</v>
      </c>
      <c r="O65">
        <v>2307.5966639836888</v>
      </c>
      <c r="P65" t="s">
        <v>440</v>
      </c>
      <c r="Q65">
        <v>2</v>
      </c>
      <c r="R65">
        <v>31.615939999999998</v>
      </c>
      <c r="S65">
        <v>0.111</v>
      </c>
      <c r="T65">
        <v>3.5093692999999999</v>
      </c>
      <c r="U65">
        <v>0.98099999999999998</v>
      </c>
      <c r="V65">
        <v>3442.6909999999998</v>
      </c>
      <c r="W65">
        <v>2</v>
      </c>
      <c r="X65">
        <v>1.4523522399999999E-4</v>
      </c>
      <c r="Y65">
        <v>1</v>
      </c>
      <c r="Z65" s="60">
        <v>2307.5966640000001</v>
      </c>
      <c r="AA65" t="s">
        <v>336</v>
      </c>
      <c r="AB65" t="s">
        <v>433</v>
      </c>
      <c r="AC65" t="s">
        <v>425</v>
      </c>
      <c r="AD65" t="s">
        <v>27</v>
      </c>
      <c r="AE65">
        <v>111.133</v>
      </c>
      <c r="AF65">
        <v>0.99819678194932504</v>
      </c>
      <c r="AG65">
        <v>110.9326029683743</v>
      </c>
      <c r="AH65">
        <v>682.07</v>
      </c>
      <c r="AI65">
        <v>1</v>
      </c>
      <c r="AJ65">
        <v>75.663800506639092</v>
      </c>
      <c r="AK65">
        <v>0.99739999999999995</v>
      </c>
      <c r="AL65" s="62">
        <v>75.466999999999999</v>
      </c>
      <c r="AM65">
        <v>8.9176000000000002</v>
      </c>
      <c r="AN65">
        <v>8.9015196227113016</v>
      </c>
      <c r="AO65">
        <v>1</v>
      </c>
      <c r="AP65">
        <v>6071.4594890626977</v>
      </c>
      <c r="AQ65">
        <v>1.0108695652173909</v>
      </c>
      <c r="AR65">
        <v>6137.4535999999998</v>
      </c>
      <c r="AS65" s="60">
        <v>14162767.452814789</v>
      </c>
      <c r="AT65" t="s">
        <v>336</v>
      </c>
      <c r="AU65" t="s">
        <v>433</v>
      </c>
      <c r="AV65" t="s">
        <v>425</v>
      </c>
      <c r="AW65" t="s">
        <v>27</v>
      </c>
      <c r="AX65">
        <v>111.133</v>
      </c>
      <c r="AY65">
        <v>0.99819678194932504</v>
      </c>
      <c r="AZ65">
        <v>110.9326029683743</v>
      </c>
      <c r="BA65">
        <v>682.07</v>
      </c>
      <c r="BB65">
        <v>1</v>
      </c>
      <c r="BC65">
        <v>75.663800506639092</v>
      </c>
      <c r="BD65">
        <v>0.99739999999999995</v>
      </c>
      <c r="BE65" s="62">
        <v>75.466999999999999</v>
      </c>
      <c r="BF65">
        <v>8.9176000000000002</v>
      </c>
      <c r="BG65">
        <v>1</v>
      </c>
      <c r="BH65">
        <v>6071.4594890626977</v>
      </c>
      <c r="BI65">
        <v>1.0108695652173909</v>
      </c>
      <c r="BJ65" s="62">
        <v>6137.4535999999998</v>
      </c>
      <c r="BK65" s="60">
        <v>14162767.452814789</v>
      </c>
    </row>
    <row r="66" spans="1:63" x14ac:dyDescent="0.25">
      <c r="A66">
        <v>131</v>
      </c>
      <c r="B66" t="s">
        <v>130</v>
      </c>
      <c r="C66">
        <v>2016</v>
      </c>
      <c r="D66">
        <v>11</v>
      </c>
      <c r="E66" t="s">
        <v>100</v>
      </c>
      <c r="F66" t="s">
        <v>426</v>
      </c>
      <c r="G66" t="s">
        <v>427</v>
      </c>
      <c r="H66" t="s">
        <v>84</v>
      </c>
      <c r="I66" t="s">
        <v>429</v>
      </c>
      <c r="J66" t="s">
        <v>87</v>
      </c>
      <c r="K66">
        <v>-625.05634615999998</v>
      </c>
      <c r="L66" t="s">
        <v>87</v>
      </c>
      <c r="M66" t="s">
        <v>383</v>
      </c>
      <c r="N66">
        <v>1.0126516740336</v>
      </c>
      <c r="O66">
        <v>632.96435530424935</v>
      </c>
      <c r="P66" t="s">
        <v>440</v>
      </c>
      <c r="Q66">
        <v>2</v>
      </c>
      <c r="R66">
        <v>31.615939999999998</v>
      </c>
      <c r="S66">
        <v>0.111</v>
      </c>
      <c r="T66">
        <v>3.5093692999999999</v>
      </c>
      <c r="U66">
        <v>0.98099999999999998</v>
      </c>
      <c r="V66">
        <v>3442.6909999999998</v>
      </c>
      <c r="W66">
        <v>2</v>
      </c>
      <c r="X66">
        <v>1.4523522399999999E-4</v>
      </c>
      <c r="Y66">
        <v>1</v>
      </c>
      <c r="Z66" s="60">
        <v>632.96435499999995</v>
      </c>
      <c r="AA66" t="s">
        <v>336</v>
      </c>
      <c r="AB66" t="s">
        <v>433</v>
      </c>
      <c r="AC66" t="s">
        <v>425</v>
      </c>
      <c r="AD66" t="s">
        <v>27</v>
      </c>
      <c r="AE66">
        <v>111.133</v>
      </c>
      <c r="AF66">
        <v>0.99819678194932504</v>
      </c>
      <c r="AG66">
        <v>110.9326029683743</v>
      </c>
      <c r="AH66">
        <v>682.07</v>
      </c>
      <c r="AI66">
        <v>1</v>
      </c>
      <c r="AJ66">
        <v>75.663800506639092</v>
      </c>
      <c r="AK66">
        <v>0.99739999999999995</v>
      </c>
      <c r="AL66" s="62">
        <v>75.466999999999999</v>
      </c>
      <c r="AM66">
        <v>8.9176000000000002</v>
      </c>
      <c r="AN66">
        <v>8.9015196227113016</v>
      </c>
      <c r="AO66">
        <v>1</v>
      </c>
      <c r="AP66">
        <v>6071.4594890626977</v>
      </c>
      <c r="AQ66">
        <v>1.0108695652173909</v>
      </c>
      <c r="AR66">
        <v>6137.4535999999998</v>
      </c>
      <c r="AS66" s="60">
        <v>3884789.3592664278</v>
      </c>
      <c r="AT66" t="s">
        <v>336</v>
      </c>
      <c r="AU66" t="s">
        <v>433</v>
      </c>
      <c r="AV66" t="s">
        <v>425</v>
      </c>
      <c r="AW66" t="s">
        <v>27</v>
      </c>
      <c r="AX66">
        <v>111.133</v>
      </c>
      <c r="AY66">
        <v>0.99819678194932504</v>
      </c>
      <c r="AZ66">
        <v>110.9326029683743</v>
      </c>
      <c r="BA66">
        <v>682.07</v>
      </c>
      <c r="BB66">
        <v>1</v>
      </c>
      <c r="BC66">
        <v>75.663800506639092</v>
      </c>
      <c r="BD66">
        <v>0.99739999999999995</v>
      </c>
      <c r="BE66" s="62">
        <v>75.466999999999999</v>
      </c>
      <c r="BF66">
        <v>8.9176000000000002</v>
      </c>
      <c r="BG66">
        <v>1</v>
      </c>
      <c r="BH66">
        <v>6071.4594890626977</v>
      </c>
      <c r="BI66">
        <v>1.0108695652173909</v>
      </c>
      <c r="BJ66" s="62">
        <v>6137.4535999999998</v>
      </c>
      <c r="BK66" s="60">
        <v>3884789.3592664278</v>
      </c>
    </row>
    <row r="67" spans="1:63" x14ac:dyDescent="0.25">
      <c r="A67">
        <v>131</v>
      </c>
      <c r="B67" t="s">
        <v>130</v>
      </c>
      <c r="C67">
        <v>2016</v>
      </c>
      <c r="D67">
        <v>11</v>
      </c>
      <c r="E67" t="s">
        <v>100</v>
      </c>
      <c r="F67" t="s">
        <v>426</v>
      </c>
      <c r="G67" t="s">
        <v>427</v>
      </c>
      <c r="H67" t="s">
        <v>84</v>
      </c>
      <c r="I67" t="s">
        <v>430</v>
      </c>
      <c r="J67" t="s">
        <v>59</v>
      </c>
      <c r="K67">
        <v>-873.82877030999998</v>
      </c>
      <c r="L67" t="s">
        <v>59</v>
      </c>
      <c r="M67" t="s">
        <v>383</v>
      </c>
      <c r="N67">
        <v>1.01306746198132</v>
      </c>
      <c r="O67">
        <v>885.24749454420953</v>
      </c>
      <c r="P67" t="s">
        <v>440</v>
      </c>
      <c r="Q67">
        <v>2</v>
      </c>
      <c r="R67">
        <v>31.615939999999998</v>
      </c>
      <c r="S67">
        <v>0.111</v>
      </c>
      <c r="T67">
        <v>3.5093692999999999</v>
      </c>
      <c r="U67">
        <v>0.98099999999999998</v>
      </c>
      <c r="V67">
        <v>3442.6909999999998</v>
      </c>
      <c r="W67">
        <v>2</v>
      </c>
      <c r="X67">
        <v>1.4523522399999999E-4</v>
      </c>
      <c r="Y67">
        <v>1</v>
      </c>
      <c r="Z67" s="60">
        <v>885.24749499999996</v>
      </c>
      <c r="AA67" t="s">
        <v>336</v>
      </c>
      <c r="AB67" t="s">
        <v>433</v>
      </c>
      <c r="AC67" t="s">
        <v>425</v>
      </c>
      <c r="AD67" t="s">
        <v>27</v>
      </c>
      <c r="AE67">
        <v>111.133</v>
      </c>
      <c r="AF67">
        <v>0.99819678194932504</v>
      </c>
      <c r="AG67">
        <v>110.9326029683743</v>
      </c>
      <c r="AH67">
        <v>682.07</v>
      </c>
      <c r="AI67">
        <v>1</v>
      </c>
      <c r="AJ67">
        <v>75.663800506639092</v>
      </c>
      <c r="AK67">
        <v>0.99739999999999995</v>
      </c>
      <c r="AL67" s="62">
        <v>75.466999999999999</v>
      </c>
      <c r="AM67">
        <v>8.9176000000000002</v>
      </c>
      <c r="AN67">
        <v>8.9015196227113016</v>
      </c>
      <c r="AO67">
        <v>1</v>
      </c>
      <c r="AP67">
        <v>6071.4594890626977</v>
      </c>
      <c r="AQ67">
        <v>1.0108695652173909</v>
      </c>
      <c r="AR67">
        <v>6137.4535999999998</v>
      </c>
      <c r="AS67" s="60">
        <v>5433165.425078732</v>
      </c>
      <c r="AT67" t="s">
        <v>336</v>
      </c>
      <c r="AU67" t="s">
        <v>433</v>
      </c>
      <c r="AV67" t="s">
        <v>425</v>
      </c>
      <c r="AW67" t="s">
        <v>27</v>
      </c>
      <c r="AX67">
        <v>111.133</v>
      </c>
      <c r="AY67">
        <v>0.99819678194932504</v>
      </c>
      <c r="AZ67">
        <v>110.9326029683743</v>
      </c>
      <c r="BA67">
        <v>682.07</v>
      </c>
      <c r="BB67">
        <v>1</v>
      </c>
      <c r="BC67">
        <v>75.663800506639092</v>
      </c>
      <c r="BD67">
        <v>0.99739999999999995</v>
      </c>
      <c r="BE67" s="62">
        <v>75.466999999999999</v>
      </c>
      <c r="BF67">
        <v>8.9176000000000002</v>
      </c>
      <c r="BG67">
        <v>1</v>
      </c>
      <c r="BH67">
        <v>6071.4594890626977</v>
      </c>
      <c r="BI67">
        <v>1.0108695652173909</v>
      </c>
      <c r="BJ67" s="62">
        <v>6137.4535999999998</v>
      </c>
      <c r="BK67" s="60">
        <v>5433165.425078732</v>
      </c>
    </row>
    <row r="68" spans="1:63" x14ac:dyDescent="0.25">
      <c r="A68">
        <v>141</v>
      </c>
      <c r="B68" t="s">
        <v>132</v>
      </c>
      <c r="C68">
        <v>2016</v>
      </c>
      <c r="D68">
        <v>12</v>
      </c>
      <c r="E68" t="s">
        <v>100</v>
      </c>
      <c r="F68" t="s">
        <v>426</v>
      </c>
      <c r="G68" t="s">
        <v>427</v>
      </c>
      <c r="H68" t="s">
        <v>84</v>
      </c>
      <c r="I68" t="s">
        <v>428</v>
      </c>
      <c r="J68" t="s">
        <v>381</v>
      </c>
      <c r="K68">
        <v>-2160.3600798299999</v>
      </c>
      <c r="L68" t="s">
        <v>381</v>
      </c>
      <c r="M68" t="s">
        <v>382</v>
      </c>
      <c r="N68">
        <v>1.486442223598E-2</v>
      </c>
      <c r="O68">
        <v>32.112504408348578</v>
      </c>
      <c r="P68" t="s">
        <v>440</v>
      </c>
      <c r="Q68">
        <v>2</v>
      </c>
      <c r="R68">
        <v>31.615939999999998</v>
      </c>
      <c r="S68">
        <v>0.17</v>
      </c>
      <c r="T68">
        <v>5.3747097999999998</v>
      </c>
      <c r="U68">
        <v>1.9E-2</v>
      </c>
      <c r="V68">
        <v>102.119</v>
      </c>
      <c r="W68">
        <v>2</v>
      </c>
      <c r="X68">
        <v>4.8962484940000004E-3</v>
      </c>
      <c r="Y68">
        <v>1</v>
      </c>
      <c r="Z68" s="60">
        <v>32.112504000000001</v>
      </c>
      <c r="AA68" t="s">
        <v>336</v>
      </c>
      <c r="AB68" t="s">
        <v>433</v>
      </c>
      <c r="AC68" t="s">
        <v>425</v>
      </c>
      <c r="AD68" t="s">
        <v>81</v>
      </c>
      <c r="AE68">
        <v>111.133</v>
      </c>
      <c r="AF68">
        <v>0.99819678194932504</v>
      </c>
      <c r="AG68">
        <v>110.9326029683743</v>
      </c>
      <c r="AH68">
        <v>682.07</v>
      </c>
      <c r="AI68">
        <v>1</v>
      </c>
      <c r="AJ68">
        <v>75.663800506639092</v>
      </c>
      <c r="AK68">
        <v>0.92979999999999996</v>
      </c>
      <c r="AL68" s="62">
        <v>70.352000000000004</v>
      </c>
      <c r="AM68">
        <v>8.9176000000000002</v>
      </c>
      <c r="AN68">
        <v>8.9015196227113016</v>
      </c>
      <c r="AO68">
        <v>1</v>
      </c>
      <c r="AP68">
        <v>6071.4594890626977</v>
      </c>
      <c r="AQ68">
        <v>1.0375922509225091</v>
      </c>
      <c r="AR68">
        <v>6299.6993000000002</v>
      </c>
      <c r="AS68" s="60">
        <v>202299.11897004719</v>
      </c>
      <c r="AT68" t="s">
        <v>336</v>
      </c>
      <c r="AU68" t="s">
        <v>433</v>
      </c>
      <c r="AV68" t="s">
        <v>425</v>
      </c>
      <c r="AW68" t="s">
        <v>81</v>
      </c>
      <c r="AX68">
        <v>111.133</v>
      </c>
      <c r="AY68">
        <v>0.99819678194932504</v>
      </c>
      <c r="AZ68">
        <v>110.9326029683743</v>
      </c>
      <c r="BA68">
        <v>682.07</v>
      </c>
      <c r="BB68">
        <v>1</v>
      </c>
      <c r="BC68">
        <v>75.663800506639092</v>
      </c>
      <c r="BD68">
        <v>0.92979999999999996</v>
      </c>
      <c r="BE68" s="62">
        <v>70.352000000000004</v>
      </c>
      <c r="BF68">
        <v>8.9176000000000002</v>
      </c>
      <c r="BG68">
        <v>1</v>
      </c>
      <c r="BH68">
        <v>6071.4594890626977</v>
      </c>
      <c r="BI68">
        <v>1.0375922509225091</v>
      </c>
      <c r="BJ68" s="62">
        <v>6299.6993000000002</v>
      </c>
      <c r="BK68" s="60">
        <v>202299.11897004719</v>
      </c>
    </row>
    <row r="69" spans="1:63" x14ac:dyDescent="0.25">
      <c r="A69">
        <v>141</v>
      </c>
      <c r="B69" t="s">
        <v>132</v>
      </c>
      <c r="C69">
        <v>2016</v>
      </c>
      <c r="D69">
        <v>12</v>
      </c>
      <c r="E69" t="s">
        <v>100</v>
      </c>
      <c r="F69" t="s">
        <v>426</v>
      </c>
      <c r="G69" t="s">
        <v>427</v>
      </c>
      <c r="H69" t="s">
        <v>84</v>
      </c>
      <c r="I69" t="s">
        <v>429</v>
      </c>
      <c r="J69" t="s">
        <v>87</v>
      </c>
      <c r="K69">
        <v>-544.59085073999995</v>
      </c>
      <c r="L69" t="s">
        <v>87</v>
      </c>
      <c r="M69" t="s">
        <v>382</v>
      </c>
      <c r="N69">
        <v>2.6818289120749999E-2</v>
      </c>
      <c r="O69">
        <v>14.60499488766053</v>
      </c>
      <c r="P69" t="s">
        <v>440</v>
      </c>
      <c r="Q69">
        <v>2</v>
      </c>
      <c r="R69">
        <v>31.615939999999998</v>
      </c>
      <c r="S69">
        <v>0.17</v>
      </c>
      <c r="T69">
        <v>5.3747097999999998</v>
      </c>
      <c r="U69">
        <v>1.9E-2</v>
      </c>
      <c r="V69">
        <v>102.119</v>
      </c>
      <c r="W69">
        <v>2</v>
      </c>
      <c r="X69">
        <v>4.8962484940000004E-3</v>
      </c>
      <c r="Y69">
        <v>1</v>
      </c>
      <c r="Z69" s="60">
        <v>14.604995000000001</v>
      </c>
      <c r="AA69" t="s">
        <v>336</v>
      </c>
      <c r="AB69" t="s">
        <v>433</v>
      </c>
      <c r="AC69" t="s">
        <v>425</v>
      </c>
      <c r="AD69" t="s">
        <v>81</v>
      </c>
      <c r="AE69">
        <v>111.133</v>
      </c>
      <c r="AF69">
        <v>0.99819678194932504</v>
      </c>
      <c r="AG69">
        <v>110.9326029683743</v>
      </c>
      <c r="AH69">
        <v>682.07</v>
      </c>
      <c r="AI69">
        <v>1</v>
      </c>
      <c r="AJ69">
        <v>75.663800506639092</v>
      </c>
      <c r="AK69">
        <v>0.92979999999999996</v>
      </c>
      <c r="AL69" s="62">
        <v>70.352000000000004</v>
      </c>
      <c r="AM69">
        <v>8.9176000000000002</v>
      </c>
      <c r="AN69">
        <v>8.9015196227113016</v>
      </c>
      <c r="AO69">
        <v>1</v>
      </c>
      <c r="AP69">
        <v>6071.4594890626977</v>
      </c>
      <c r="AQ69">
        <v>1.0375922509225091</v>
      </c>
      <c r="AR69">
        <v>6299.6993000000002</v>
      </c>
      <c r="AS69" s="60">
        <v>92007.076778003509</v>
      </c>
      <c r="AT69" t="s">
        <v>336</v>
      </c>
      <c r="AU69" t="s">
        <v>433</v>
      </c>
      <c r="AV69" t="s">
        <v>425</v>
      </c>
      <c r="AW69" t="s">
        <v>81</v>
      </c>
      <c r="AX69">
        <v>111.133</v>
      </c>
      <c r="AY69">
        <v>0.99819678194932504</v>
      </c>
      <c r="AZ69">
        <v>110.9326029683743</v>
      </c>
      <c r="BA69">
        <v>682.07</v>
      </c>
      <c r="BB69">
        <v>1</v>
      </c>
      <c r="BC69">
        <v>75.663800506639092</v>
      </c>
      <c r="BD69">
        <v>0.92979999999999996</v>
      </c>
      <c r="BE69" s="62">
        <v>70.352000000000004</v>
      </c>
      <c r="BF69">
        <v>8.9176000000000002</v>
      </c>
      <c r="BG69">
        <v>1</v>
      </c>
      <c r="BH69">
        <v>6071.4594890626977</v>
      </c>
      <c r="BI69">
        <v>1.0375922509225091</v>
      </c>
      <c r="BJ69" s="62">
        <v>6299.6993000000002</v>
      </c>
      <c r="BK69" s="60">
        <v>92007.076778003509</v>
      </c>
    </row>
    <row r="70" spans="1:63" x14ac:dyDescent="0.25">
      <c r="A70">
        <v>141</v>
      </c>
      <c r="B70" t="s">
        <v>132</v>
      </c>
      <c r="C70">
        <v>2016</v>
      </c>
      <c r="D70">
        <v>12</v>
      </c>
      <c r="E70" t="s">
        <v>100</v>
      </c>
      <c r="F70" t="s">
        <v>426</v>
      </c>
      <c r="G70" t="s">
        <v>427</v>
      </c>
      <c r="H70" t="s">
        <v>84</v>
      </c>
      <c r="I70" t="s">
        <v>430</v>
      </c>
      <c r="J70" t="s">
        <v>59</v>
      </c>
      <c r="K70">
        <v>-740.56397855</v>
      </c>
      <c r="L70" t="s">
        <v>59</v>
      </c>
      <c r="M70" t="s">
        <v>382</v>
      </c>
      <c r="N70">
        <v>2.6402550870099999E-2</v>
      </c>
      <c r="O70">
        <v>19.552778116230019</v>
      </c>
      <c r="P70" t="s">
        <v>440</v>
      </c>
      <c r="Q70">
        <v>2</v>
      </c>
      <c r="R70">
        <v>31.615939999999998</v>
      </c>
      <c r="S70">
        <v>0.17</v>
      </c>
      <c r="T70">
        <v>5.3747097999999998</v>
      </c>
      <c r="U70">
        <v>1.9E-2</v>
      </c>
      <c r="V70">
        <v>102.119</v>
      </c>
      <c r="W70">
        <v>2</v>
      </c>
      <c r="X70">
        <v>4.8962484940000004E-3</v>
      </c>
      <c r="Y70">
        <v>1</v>
      </c>
      <c r="Z70" s="60">
        <v>19.552778</v>
      </c>
      <c r="AA70" t="s">
        <v>336</v>
      </c>
      <c r="AB70" t="s">
        <v>433</v>
      </c>
      <c r="AC70" t="s">
        <v>425</v>
      </c>
      <c r="AD70" t="s">
        <v>81</v>
      </c>
      <c r="AE70">
        <v>111.133</v>
      </c>
      <c r="AF70">
        <v>0.99819678194932504</v>
      </c>
      <c r="AG70">
        <v>110.9326029683743</v>
      </c>
      <c r="AH70">
        <v>682.07</v>
      </c>
      <c r="AI70">
        <v>1</v>
      </c>
      <c r="AJ70">
        <v>75.663800506639092</v>
      </c>
      <c r="AK70">
        <v>0.92979999999999996</v>
      </c>
      <c r="AL70" s="62">
        <v>70.352000000000004</v>
      </c>
      <c r="AM70">
        <v>8.9176000000000002</v>
      </c>
      <c r="AN70">
        <v>8.9015196227113016</v>
      </c>
      <c r="AO70">
        <v>1</v>
      </c>
      <c r="AP70">
        <v>6071.4594890626977</v>
      </c>
      <c r="AQ70">
        <v>1.0375922509225091</v>
      </c>
      <c r="AR70">
        <v>6299.6993000000002</v>
      </c>
      <c r="AS70" s="60">
        <v>123176.6218796554</v>
      </c>
      <c r="AT70" t="s">
        <v>336</v>
      </c>
      <c r="AU70" t="s">
        <v>433</v>
      </c>
      <c r="AV70" t="s">
        <v>425</v>
      </c>
      <c r="AW70" t="s">
        <v>81</v>
      </c>
      <c r="AX70">
        <v>111.133</v>
      </c>
      <c r="AY70">
        <v>0.99819678194932504</v>
      </c>
      <c r="AZ70">
        <v>110.9326029683743</v>
      </c>
      <c r="BA70">
        <v>682.07</v>
      </c>
      <c r="BB70">
        <v>1</v>
      </c>
      <c r="BC70">
        <v>75.663800506639092</v>
      </c>
      <c r="BD70">
        <v>0.92979999999999996</v>
      </c>
      <c r="BE70" s="62">
        <v>70.352000000000004</v>
      </c>
      <c r="BF70">
        <v>8.9176000000000002</v>
      </c>
      <c r="BG70">
        <v>1</v>
      </c>
      <c r="BH70">
        <v>6071.4594890626977</v>
      </c>
      <c r="BI70">
        <v>1.0375922509225091</v>
      </c>
      <c r="BJ70" s="62">
        <v>6299.6993000000002</v>
      </c>
      <c r="BK70" s="60">
        <v>123176.6218796554</v>
      </c>
    </row>
    <row r="71" spans="1:63" x14ac:dyDescent="0.25">
      <c r="A71">
        <v>143</v>
      </c>
      <c r="B71" t="s">
        <v>132</v>
      </c>
      <c r="C71">
        <v>2016</v>
      </c>
      <c r="D71">
        <v>12</v>
      </c>
      <c r="E71" t="s">
        <v>100</v>
      </c>
      <c r="F71" t="s">
        <v>426</v>
      </c>
      <c r="G71" t="s">
        <v>427</v>
      </c>
      <c r="H71" t="s">
        <v>84</v>
      </c>
      <c r="I71" t="s">
        <v>428</v>
      </c>
      <c r="J71" t="s">
        <v>381</v>
      </c>
      <c r="K71">
        <v>-2160.3600798299999</v>
      </c>
      <c r="L71" t="s">
        <v>381</v>
      </c>
      <c r="M71" t="s">
        <v>383</v>
      </c>
      <c r="N71">
        <v>1.0246055755629599</v>
      </c>
      <c r="O71">
        <v>2213.51698301746</v>
      </c>
      <c r="P71" t="s">
        <v>440</v>
      </c>
      <c r="Q71">
        <v>2</v>
      </c>
      <c r="R71">
        <v>31.615939999999998</v>
      </c>
      <c r="S71">
        <v>0.17</v>
      </c>
      <c r="T71">
        <v>5.3747097999999998</v>
      </c>
      <c r="U71">
        <v>0.98099999999999998</v>
      </c>
      <c r="V71">
        <v>5272.59</v>
      </c>
      <c r="W71">
        <v>2</v>
      </c>
      <c r="X71">
        <v>9.4830054999999995E-5</v>
      </c>
      <c r="Y71">
        <v>1</v>
      </c>
      <c r="Z71" s="60">
        <v>2213.516983</v>
      </c>
      <c r="AA71" t="s">
        <v>336</v>
      </c>
      <c r="AB71" t="s">
        <v>433</v>
      </c>
      <c r="AC71" t="s">
        <v>425</v>
      </c>
      <c r="AD71" t="s">
        <v>27</v>
      </c>
      <c r="AE71">
        <v>111.133</v>
      </c>
      <c r="AF71">
        <v>0.99819678194932504</v>
      </c>
      <c r="AG71">
        <v>110.9326029683743</v>
      </c>
      <c r="AH71">
        <v>682.07</v>
      </c>
      <c r="AI71">
        <v>1</v>
      </c>
      <c r="AJ71">
        <v>75.663800506639092</v>
      </c>
      <c r="AK71">
        <v>0.99739999999999995</v>
      </c>
      <c r="AL71" s="62">
        <v>75.466999999999999</v>
      </c>
      <c r="AM71">
        <v>8.9176000000000002</v>
      </c>
      <c r="AN71">
        <v>8.9015196227113016</v>
      </c>
      <c r="AO71">
        <v>1</v>
      </c>
      <c r="AP71">
        <v>6071.4594890626977</v>
      </c>
      <c r="AQ71">
        <v>1.0108695652173909</v>
      </c>
      <c r="AR71">
        <v>6137.4535999999998</v>
      </c>
      <c r="AS71" s="60">
        <v>13585357.77597449</v>
      </c>
      <c r="AT71" t="s">
        <v>336</v>
      </c>
      <c r="AU71" t="s">
        <v>433</v>
      </c>
      <c r="AV71" t="s">
        <v>425</v>
      </c>
      <c r="AW71" t="s">
        <v>27</v>
      </c>
      <c r="AX71">
        <v>111.133</v>
      </c>
      <c r="AY71">
        <v>0.99819678194932504</v>
      </c>
      <c r="AZ71">
        <v>110.9326029683743</v>
      </c>
      <c r="BA71">
        <v>682.07</v>
      </c>
      <c r="BB71">
        <v>1</v>
      </c>
      <c r="BC71">
        <v>75.663800506639092</v>
      </c>
      <c r="BD71">
        <v>0.99739999999999995</v>
      </c>
      <c r="BE71" s="62">
        <v>75.466999999999999</v>
      </c>
      <c r="BF71">
        <v>8.9176000000000002</v>
      </c>
      <c r="BG71">
        <v>1</v>
      </c>
      <c r="BH71">
        <v>6071.4594890626977</v>
      </c>
      <c r="BI71">
        <v>1.0108695652173909</v>
      </c>
      <c r="BJ71" s="62">
        <v>6137.4535999999998</v>
      </c>
      <c r="BK71" s="60">
        <v>13585357.77597449</v>
      </c>
    </row>
    <row r="72" spans="1:63" x14ac:dyDescent="0.25">
      <c r="A72">
        <v>143</v>
      </c>
      <c r="B72" t="s">
        <v>132</v>
      </c>
      <c r="C72">
        <v>2016</v>
      </c>
      <c r="D72">
        <v>12</v>
      </c>
      <c r="E72" t="s">
        <v>100</v>
      </c>
      <c r="F72" t="s">
        <v>426</v>
      </c>
      <c r="G72" t="s">
        <v>427</v>
      </c>
      <c r="H72" t="s">
        <v>84</v>
      </c>
      <c r="I72" t="s">
        <v>429</v>
      </c>
      <c r="J72" t="s">
        <v>87</v>
      </c>
      <c r="K72">
        <v>-544.59085073999995</v>
      </c>
      <c r="L72" t="s">
        <v>87</v>
      </c>
      <c r="M72" t="s">
        <v>383</v>
      </c>
      <c r="N72">
        <v>1.01265168052705</v>
      </c>
      <c r="O72">
        <v>551.4808402015168</v>
      </c>
      <c r="P72" t="s">
        <v>440</v>
      </c>
      <c r="Q72">
        <v>2</v>
      </c>
      <c r="R72">
        <v>31.615939999999998</v>
      </c>
      <c r="S72">
        <v>0.17</v>
      </c>
      <c r="T72">
        <v>5.3747097999999998</v>
      </c>
      <c r="U72">
        <v>0.98099999999999998</v>
      </c>
      <c r="V72">
        <v>5272.59</v>
      </c>
      <c r="W72">
        <v>2</v>
      </c>
      <c r="X72">
        <v>9.4830054999999995E-5</v>
      </c>
      <c r="Y72">
        <v>1</v>
      </c>
      <c r="Z72" s="60">
        <v>551.48083999999994</v>
      </c>
      <c r="AA72" t="s">
        <v>336</v>
      </c>
      <c r="AB72" t="s">
        <v>433</v>
      </c>
      <c r="AC72" t="s">
        <v>425</v>
      </c>
      <c r="AD72" t="s">
        <v>27</v>
      </c>
      <c r="AE72">
        <v>111.133</v>
      </c>
      <c r="AF72">
        <v>0.99819678194932504</v>
      </c>
      <c r="AG72">
        <v>110.9326029683743</v>
      </c>
      <c r="AH72">
        <v>682.07</v>
      </c>
      <c r="AI72">
        <v>1</v>
      </c>
      <c r="AJ72">
        <v>75.663800506639092</v>
      </c>
      <c r="AK72">
        <v>0.99739999999999995</v>
      </c>
      <c r="AL72" s="62">
        <v>75.466999999999999</v>
      </c>
      <c r="AM72">
        <v>8.9176000000000002</v>
      </c>
      <c r="AN72">
        <v>8.9015196227113016</v>
      </c>
      <c r="AO72">
        <v>1</v>
      </c>
      <c r="AP72">
        <v>6071.4594890626977</v>
      </c>
      <c r="AQ72">
        <v>1.0108695652173909</v>
      </c>
      <c r="AR72">
        <v>6137.4535999999998</v>
      </c>
      <c r="AS72" s="60">
        <v>3384688.066789024</v>
      </c>
      <c r="AT72" t="s">
        <v>336</v>
      </c>
      <c r="AU72" t="s">
        <v>433</v>
      </c>
      <c r="AV72" t="s">
        <v>425</v>
      </c>
      <c r="AW72" t="s">
        <v>27</v>
      </c>
      <c r="AX72">
        <v>111.133</v>
      </c>
      <c r="AY72">
        <v>0.99819678194932504</v>
      </c>
      <c r="AZ72">
        <v>110.9326029683743</v>
      </c>
      <c r="BA72">
        <v>682.07</v>
      </c>
      <c r="BB72">
        <v>1</v>
      </c>
      <c r="BC72">
        <v>75.663800506639092</v>
      </c>
      <c r="BD72">
        <v>0.99739999999999995</v>
      </c>
      <c r="BE72" s="62">
        <v>75.466999999999999</v>
      </c>
      <c r="BF72">
        <v>8.9176000000000002</v>
      </c>
      <c r="BG72">
        <v>1</v>
      </c>
      <c r="BH72">
        <v>6071.4594890626977</v>
      </c>
      <c r="BI72">
        <v>1.0108695652173909</v>
      </c>
      <c r="BJ72" s="62">
        <v>6137.4535999999998</v>
      </c>
      <c r="BK72" s="60">
        <v>3384688.066789024</v>
      </c>
    </row>
    <row r="73" spans="1:63" x14ac:dyDescent="0.25">
      <c r="A73">
        <v>143</v>
      </c>
      <c r="B73" t="s">
        <v>132</v>
      </c>
      <c r="C73">
        <v>2016</v>
      </c>
      <c r="D73">
        <v>12</v>
      </c>
      <c r="E73" t="s">
        <v>100</v>
      </c>
      <c r="F73" t="s">
        <v>426</v>
      </c>
      <c r="G73" t="s">
        <v>427</v>
      </c>
      <c r="H73" t="s">
        <v>84</v>
      </c>
      <c r="I73" t="s">
        <v>430</v>
      </c>
      <c r="J73" t="s">
        <v>59</v>
      </c>
      <c r="K73">
        <v>-740.56397855</v>
      </c>
      <c r="L73" t="s">
        <v>59</v>
      </c>
      <c r="M73" t="s">
        <v>383</v>
      </c>
      <c r="N73">
        <v>1.0130674505202899</v>
      </c>
      <c r="O73">
        <v>750.24126169681131</v>
      </c>
      <c r="P73" t="s">
        <v>440</v>
      </c>
      <c r="Q73">
        <v>2</v>
      </c>
      <c r="R73">
        <v>31.615939999999998</v>
      </c>
      <c r="S73">
        <v>0.17</v>
      </c>
      <c r="T73">
        <v>5.3747097999999998</v>
      </c>
      <c r="U73">
        <v>0.98099999999999998</v>
      </c>
      <c r="V73">
        <v>5272.59</v>
      </c>
      <c r="W73">
        <v>2</v>
      </c>
      <c r="X73">
        <v>9.4830054999999995E-5</v>
      </c>
      <c r="Y73">
        <v>1</v>
      </c>
      <c r="Z73" s="60">
        <v>750.24126200000001</v>
      </c>
      <c r="AA73" t="s">
        <v>336</v>
      </c>
      <c r="AB73" t="s">
        <v>433</v>
      </c>
      <c r="AC73" t="s">
        <v>425</v>
      </c>
      <c r="AD73" t="s">
        <v>27</v>
      </c>
      <c r="AE73">
        <v>111.133</v>
      </c>
      <c r="AF73">
        <v>0.99819678194932504</v>
      </c>
      <c r="AG73">
        <v>110.9326029683743</v>
      </c>
      <c r="AH73">
        <v>682.07</v>
      </c>
      <c r="AI73">
        <v>1</v>
      </c>
      <c r="AJ73">
        <v>75.663800506639092</v>
      </c>
      <c r="AK73">
        <v>0.99739999999999995</v>
      </c>
      <c r="AL73" s="62">
        <v>75.466999999999999</v>
      </c>
      <c r="AM73">
        <v>8.9176000000000002</v>
      </c>
      <c r="AN73">
        <v>8.9015196227113016</v>
      </c>
      <c r="AO73">
        <v>1</v>
      </c>
      <c r="AP73">
        <v>6071.4594890626977</v>
      </c>
      <c r="AQ73">
        <v>1.0108695652173909</v>
      </c>
      <c r="AR73">
        <v>6137.4535999999998</v>
      </c>
      <c r="AS73" s="60">
        <v>4604570.9343304429</v>
      </c>
      <c r="AT73" t="s">
        <v>336</v>
      </c>
      <c r="AU73" t="s">
        <v>433</v>
      </c>
      <c r="AV73" t="s">
        <v>425</v>
      </c>
      <c r="AW73" t="s">
        <v>27</v>
      </c>
      <c r="AX73">
        <v>111.133</v>
      </c>
      <c r="AY73">
        <v>0.99819678194932504</v>
      </c>
      <c r="AZ73">
        <v>110.9326029683743</v>
      </c>
      <c r="BA73">
        <v>682.07</v>
      </c>
      <c r="BB73">
        <v>1</v>
      </c>
      <c r="BC73">
        <v>75.663800506639092</v>
      </c>
      <c r="BD73">
        <v>0.99739999999999995</v>
      </c>
      <c r="BE73" s="62">
        <v>75.466999999999999</v>
      </c>
      <c r="BF73">
        <v>8.9176000000000002</v>
      </c>
      <c r="BG73">
        <v>1</v>
      </c>
      <c r="BH73">
        <v>6071.4594890626977</v>
      </c>
      <c r="BI73">
        <v>1.0108695652173909</v>
      </c>
      <c r="BJ73" s="62">
        <v>6137.4535999999998</v>
      </c>
      <c r="BK73" s="60">
        <v>4604570.9343304429</v>
      </c>
    </row>
    <row r="74" spans="1:63" x14ac:dyDescent="0.25">
      <c r="A74">
        <v>153</v>
      </c>
      <c r="B74" t="s">
        <v>122</v>
      </c>
      <c r="C74">
        <v>2017</v>
      </c>
      <c r="D74">
        <v>1</v>
      </c>
      <c r="E74" t="s">
        <v>100</v>
      </c>
      <c r="F74" t="s">
        <v>426</v>
      </c>
      <c r="G74" t="s">
        <v>427</v>
      </c>
      <c r="H74" t="s">
        <v>84</v>
      </c>
      <c r="I74" t="s">
        <v>428</v>
      </c>
      <c r="J74" t="s">
        <v>381</v>
      </c>
      <c r="K74">
        <v>-1712.0870854499999</v>
      </c>
      <c r="L74" t="s">
        <v>381</v>
      </c>
      <c r="M74" t="s">
        <v>382</v>
      </c>
      <c r="N74">
        <v>1.486442099991E-2</v>
      </c>
      <c r="O74">
        <v>25.44918322663769</v>
      </c>
      <c r="P74" t="s">
        <v>440</v>
      </c>
      <c r="Q74">
        <v>2</v>
      </c>
      <c r="R74">
        <v>29.947030000000002</v>
      </c>
      <c r="S74">
        <v>0.1</v>
      </c>
      <c r="T74">
        <v>2.9947029999999999</v>
      </c>
      <c r="U74">
        <v>1.9E-2</v>
      </c>
      <c r="V74">
        <v>56.899000000000001</v>
      </c>
      <c r="W74">
        <v>2</v>
      </c>
      <c r="X74">
        <v>8.7875006590000006E-3</v>
      </c>
      <c r="Y74">
        <v>1</v>
      </c>
      <c r="Z74" s="60">
        <v>25.449183000000001</v>
      </c>
      <c r="AA74" t="s">
        <v>336</v>
      </c>
      <c r="AB74" t="s">
        <v>433</v>
      </c>
      <c r="AC74" t="s">
        <v>425</v>
      </c>
      <c r="AD74" t="s">
        <v>81</v>
      </c>
      <c r="AE74">
        <v>111.133</v>
      </c>
      <c r="AF74">
        <v>0.99819678194932504</v>
      </c>
      <c r="AG74">
        <v>110.9326029683743</v>
      </c>
      <c r="AH74">
        <v>682.07</v>
      </c>
      <c r="AI74">
        <v>1</v>
      </c>
      <c r="AJ74">
        <v>75.663800506639092</v>
      </c>
      <c r="AK74">
        <v>0.92979999999999996</v>
      </c>
      <c r="AL74" s="62">
        <v>70.352000000000004</v>
      </c>
      <c r="AM74">
        <v>8.9176000000000002</v>
      </c>
      <c r="AN74">
        <v>8.9015196227113016</v>
      </c>
      <c r="AO74">
        <v>1</v>
      </c>
      <c r="AP74">
        <v>6071.4594890626977</v>
      </c>
      <c r="AQ74">
        <v>1.0375922509225091</v>
      </c>
      <c r="AR74">
        <v>6299.6993000000002</v>
      </c>
      <c r="AS74" s="60">
        <v>160322.20033067191</v>
      </c>
      <c r="AT74" t="s">
        <v>339</v>
      </c>
      <c r="AU74" t="s">
        <v>433</v>
      </c>
      <c r="AV74" t="s">
        <v>425</v>
      </c>
      <c r="AW74" t="s">
        <v>81</v>
      </c>
      <c r="AX74">
        <v>111.133</v>
      </c>
      <c r="AY74">
        <v>1.0062587218588701</v>
      </c>
      <c r="AZ74">
        <v>111.82855053634179</v>
      </c>
      <c r="BA74">
        <v>663.92</v>
      </c>
      <c r="BB74">
        <v>1</v>
      </c>
      <c r="BC74">
        <v>74.245211272088028</v>
      </c>
      <c r="BD74">
        <v>0.92979999999999996</v>
      </c>
      <c r="BE74" s="62">
        <v>69.033000000000001</v>
      </c>
      <c r="BF74">
        <v>8.9176000000000002</v>
      </c>
      <c r="BG74">
        <v>1</v>
      </c>
      <c r="BH74">
        <v>5957.6282116020648</v>
      </c>
      <c r="BI74">
        <v>1.0375922509225091</v>
      </c>
      <c r="BJ74" s="62">
        <v>6181.5888999999997</v>
      </c>
      <c r="BK74" s="60">
        <v>157316.38714686871</v>
      </c>
    </row>
    <row r="75" spans="1:63" x14ac:dyDescent="0.25">
      <c r="A75">
        <v>153</v>
      </c>
      <c r="B75" t="s">
        <v>122</v>
      </c>
      <c r="C75">
        <v>2017</v>
      </c>
      <c r="D75">
        <v>1</v>
      </c>
      <c r="E75" t="s">
        <v>100</v>
      </c>
      <c r="F75" t="s">
        <v>426</v>
      </c>
      <c r="G75" t="s">
        <v>427</v>
      </c>
      <c r="H75" t="s">
        <v>84</v>
      </c>
      <c r="I75" t="s">
        <v>429</v>
      </c>
      <c r="J75" t="s">
        <v>87</v>
      </c>
      <c r="K75">
        <v>-449.51020827000002</v>
      </c>
      <c r="L75" t="s">
        <v>87</v>
      </c>
      <c r="M75" t="s">
        <v>382</v>
      </c>
      <c r="N75">
        <v>2.6818326000169999E-2</v>
      </c>
      <c r="O75">
        <v>12.05511130578917</v>
      </c>
      <c r="P75" t="s">
        <v>440</v>
      </c>
      <c r="Q75">
        <v>2</v>
      </c>
      <c r="R75">
        <v>29.947030000000002</v>
      </c>
      <c r="S75">
        <v>0.1</v>
      </c>
      <c r="T75">
        <v>2.9947029999999999</v>
      </c>
      <c r="U75">
        <v>1.9E-2</v>
      </c>
      <c r="V75">
        <v>56.899000000000001</v>
      </c>
      <c r="W75">
        <v>2</v>
      </c>
      <c r="X75">
        <v>8.7875006590000006E-3</v>
      </c>
      <c r="Y75">
        <v>1</v>
      </c>
      <c r="Z75" s="60">
        <v>12.055111</v>
      </c>
      <c r="AA75" t="s">
        <v>336</v>
      </c>
      <c r="AB75" t="s">
        <v>433</v>
      </c>
      <c r="AC75" t="s">
        <v>425</v>
      </c>
      <c r="AD75" t="s">
        <v>81</v>
      </c>
      <c r="AE75">
        <v>111.133</v>
      </c>
      <c r="AF75">
        <v>0.99819678194932504</v>
      </c>
      <c r="AG75">
        <v>110.9326029683743</v>
      </c>
      <c r="AH75">
        <v>682.07</v>
      </c>
      <c r="AI75">
        <v>1</v>
      </c>
      <c r="AJ75">
        <v>75.663800506639092</v>
      </c>
      <c r="AK75">
        <v>0.92979999999999996</v>
      </c>
      <c r="AL75" s="62">
        <v>70.352000000000004</v>
      </c>
      <c r="AM75">
        <v>8.9176000000000002</v>
      </c>
      <c r="AN75">
        <v>8.9015196227113016</v>
      </c>
      <c r="AO75">
        <v>1</v>
      </c>
      <c r="AP75">
        <v>6071.4594890626977</v>
      </c>
      <c r="AQ75">
        <v>1.0375922509225091</v>
      </c>
      <c r="AR75">
        <v>6299.6993000000002</v>
      </c>
      <c r="AS75" s="60">
        <v>75943.574328122297</v>
      </c>
      <c r="AT75" t="s">
        <v>339</v>
      </c>
      <c r="AU75" t="s">
        <v>433</v>
      </c>
      <c r="AV75" t="s">
        <v>425</v>
      </c>
      <c r="AW75" t="s">
        <v>81</v>
      </c>
      <c r="AX75">
        <v>111.133</v>
      </c>
      <c r="AY75">
        <v>1.0062587218588701</v>
      </c>
      <c r="AZ75">
        <v>111.82855053634179</v>
      </c>
      <c r="BA75">
        <v>663.92</v>
      </c>
      <c r="BB75">
        <v>1</v>
      </c>
      <c r="BC75">
        <v>74.245211272088028</v>
      </c>
      <c r="BD75">
        <v>0.92979999999999996</v>
      </c>
      <c r="BE75" s="62">
        <v>69.033000000000001</v>
      </c>
      <c r="BF75">
        <v>8.9176000000000002</v>
      </c>
      <c r="BG75">
        <v>1</v>
      </c>
      <c r="BH75">
        <v>5957.6282116020648</v>
      </c>
      <c r="BI75">
        <v>1.0375922509225091</v>
      </c>
      <c r="BJ75" s="62">
        <v>6181.5888999999997</v>
      </c>
      <c r="BK75" s="60">
        <v>74519.740345867904</v>
      </c>
    </row>
    <row r="76" spans="1:63" x14ac:dyDescent="0.25">
      <c r="A76">
        <v>153</v>
      </c>
      <c r="B76" t="s">
        <v>122</v>
      </c>
      <c r="C76">
        <v>2017</v>
      </c>
      <c r="D76">
        <v>1</v>
      </c>
      <c r="E76" t="s">
        <v>100</v>
      </c>
      <c r="F76" t="s">
        <v>426</v>
      </c>
      <c r="G76" t="s">
        <v>427</v>
      </c>
      <c r="H76" t="s">
        <v>84</v>
      </c>
      <c r="I76" t="s">
        <v>430</v>
      </c>
      <c r="J76" t="s">
        <v>59</v>
      </c>
      <c r="K76">
        <v>-656.53419492</v>
      </c>
      <c r="L76" t="s">
        <v>59</v>
      </c>
      <c r="M76" t="s">
        <v>382</v>
      </c>
      <c r="N76">
        <v>2.640253800029E-2</v>
      </c>
      <c r="O76">
        <v>17.334169029865102</v>
      </c>
      <c r="P76" t="s">
        <v>440</v>
      </c>
      <c r="Q76">
        <v>2</v>
      </c>
      <c r="R76">
        <v>29.947030000000002</v>
      </c>
      <c r="S76">
        <v>0.1</v>
      </c>
      <c r="T76">
        <v>2.9947029999999999</v>
      </c>
      <c r="U76">
        <v>1.9E-2</v>
      </c>
      <c r="V76">
        <v>56.899000000000001</v>
      </c>
      <c r="W76">
        <v>2</v>
      </c>
      <c r="X76">
        <v>8.7875006590000006E-3</v>
      </c>
      <c r="Y76">
        <v>1</v>
      </c>
      <c r="Z76" s="60">
        <v>17.334168999999999</v>
      </c>
      <c r="AA76" t="s">
        <v>336</v>
      </c>
      <c r="AB76" t="s">
        <v>433</v>
      </c>
      <c r="AC76" t="s">
        <v>425</v>
      </c>
      <c r="AD76" t="s">
        <v>81</v>
      </c>
      <c r="AE76">
        <v>111.133</v>
      </c>
      <c r="AF76">
        <v>0.99819678194932504</v>
      </c>
      <c r="AG76">
        <v>110.9326029683743</v>
      </c>
      <c r="AH76">
        <v>682.07</v>
      </c>
      <c r="AI76">
        <v>1</v>
      </c>
      <c r="AJ76">
        <v>75.663800506639092</v>
      </c>
      <c r="AK76">
        <v>0.92979999999999996</v>
      </c>
      <c r="AL76" s="62">
        <v>70.352000000000004</v>
      </c>
      <c r="AM76">
        <v>8.9176000000000002</v>
      </c>
      <c r="AN76">
        <v>8.9015196227113016</v>
      </c>
      <c r="AO76">
        <v>1</v>
      </c>
      <c r="AP76">
        <v>6071.4594890626977</v>
      </c>
      <c r="AQ76">
        <v>1.0375922509225091</v>
      </c>
      <c r="AR76">
        <v>6299.6993000000002</v>
      </c>
      <c r="AS76" s="60">
        <v>109200.0523153817</v>
      </c>
      <c r="AT76" t="s">
        <v>339</v>
      </c>
      <c r="AU76" t="s">
        <v>433</v>
      </c>
      <c r="AV76" t="s">
        <v>425</v>
      </c>
      <c r="AW76" t="s">
        <v>81</v>
      </c>
      <c r="AX76">
        <v>111.133</v>
      </c>
      <c r="AY76">
        <v>1.0062587218588701</v>
      </c>
      <c r="AZ76">
        <v>111.82855053634179</v>
      </c>
      <c r="BA76">
        <v>663.92</v>
      </c>
      <c r="BB76">
        <v>1</v>
      </c>
      <c r="BC76">
        <v>74.245211272088028</v>
      </c>
      <c r="BD76">
        <v>0.92979999999999996</v>
      </c>
      <c r="BE76" s="62">
        <v>69.033000000000001</v>
      </c>
      <c r="BF76">
        <v>8.9176000000000002</v>
      </c>
      <c r="BG76">
        <v>1</v>
      </c>
      <c r="BH76">
        <v>5957.6282116020648</v>
      </c>
      <c r="BI76">
        <v>1.0375922509225091</v>
      </c>
      <c r="BJ76" s="62">
        <v>6181.5888999999997</v>
      </c>
      <c r="BK76" s="60">
        <v>107152.70668112409</v>
      </c>
    </row>
    <row r="77" spans="1:63" x14ac:dyDescent="0.25">
      <c r="A77">
        <v>155</v>
      </c>
      <c r="B77" t="s">
        <v>122</v>
      </c>
      <c r="C77">
        <v>2017</v>
      </c>
      <c r="D77">
        <v>1</v>
      </c>
      <c r="E77" t="s">
        <v>100</v>
      </c>
      <c r="F77" t="s">
        <v>426</v>
      </c>
      <c r="G77" t="s">
        <v>427</v>
      </c>
      <c r="H77" t="s">
        <v>84</v>
      </c>
      <c r="I77" t="s">
        <v>428</v>
      </c>
      <c r="J77" t="s">
        <v>381</v>
      </c>
      <c r="K77">
        <v>-1712.0870854499999</v>
      </c>
      <c r="L77" t="s">
        <v>381</v>
      </c>
      <c r="M77" t="s">
        <v>383</v>
      </c>
      <c r="N77">
        <v>1.0246055790000299</v>
      </c>
      <c r="O77">
        <v>1754.2139794859711</v>
      </c>
      <c r="P77" t="s">
        <v>440</v>
      </c>
      <c r="Q77">
        <v>2</v>
      </c>
      <c r="R77">
        <v>29.947030000000002</v>
      </c>
      <c r="S77">
        <v>0.1</v>
      </c>
      <c r="T77">
        <v>2.9947029999999999</v>
      </c>
      <c r="U77">
        <v>0.98099999999999998</v>
      </c>
      <c r="V77">
        <v>2937.8040000000001</v>
      </c>
      <c r="W77">
        <v>2</v>
      </c>
      <c r="X77">
        <v>1.70195153E-4</v>
      </c>
      <c r="Y77">
        <v>1</v>
      </c>
      <c r="Z77" s="60">
        <v>1754.2139790000001</v>
      </c>
      <c r="AA77" t="s">
        <v>336</v>
      </c>
      <c r="AB77" t="s">
        <v>433</v>
      </c>
      <c r="AC77" t="s">
        <v>425</v>
      </c>
      <c r="AD77" t="s">
        <v>27</v>
      </c>
      <c r="AE77">
        <v>111.133</v>
      </c>
      <c r="AF77">
        <v>0.99819678194932504</v>
      </c>
      <c r="AG77">
        <v>110.9326029683743</v>
      </c>
      <c r="AH77">
        <v>682.07</v>
      </c>
      <c r="AI77">
        <v>1</v>
      </c>
      <c r="AJ77">
        <v>75.663800506639092</v>
      </c>
      <c r="AK77">
        <v>0.99739999999999995</v>
      </c>
      <c r="AL77" s="62">
        <v>75.466999999999999</v>
      </c>
      <c r="AM77">
        <v>8.9176000000000002</v>
      </c>
      <c r="AN77">
        <v>8.9015196227113016</v>
      </c>
      <c r="AO77">
        <v>1</v>
      </c>
      <c r="AP77">
        <v>6071.4594890626977</v>
      </c>
      <c r="AQ77">
        <v>1.0108695652173909</v>
      </c>
      <c r="AR77">
        <v>6137.4535999999998</v>
      </c>
      <c r="AS77" s="60">
        <v>10766406.900583871</v>
      </c>
      <c r="AT77" t="s">
        <v>339</v>
      </c>
      <c r="AU77" t="s">
        <v>433</v>
      </c>
      <c r="AV77" t="s">
        <v>425</v>
      </c>
      <c r="AW77" t="s">
        <v>27</v>
      </c>
      <c r="AX77">
        <v>111.133</v>
      </c>
      <c r="AY77">
        <v>1.0062587218588701</v>
      </c>
      <c r="AZ77">
        <v>111.82855053634179</v>
      </c>
      <c r="BA77">
        <v>663.92</v>
      </c>
      <c r="BB77">
        <v>1</v>
      </c>
      <c r="BC77">
        <v>74.245211272088028</v>
      </c>
      <c r="BD77">
        <v>0.99739999999999995</v>
      </c>
      <c r="BE77" s="62">
        <v>74.052000000000007</v>
      </c>
      <c r="BF77">
        <v>8.9176000000000002</v>
      </c>
      <c r="BG77">
        <v>1</v>
      </c>
      <c r="BH77">
        <v>5957.6282116020648</v>
      </c>
      <c r="BI77">
        <v>1.0108695652173909</v>
      </c>
      <c r="BJ77" s="62">
        <v>6022.3850000000002</v>
      </c>
      <c r="BK77" s="60">
        <v>10564551.953919919</v>
      </c>
    </row>
    <row r="78" spans="1:63" x14ac:dyDescent="0.25">
      <c r="A78">
        <v>155</v>
      </c>
      <c r="B78" t="s">
        <v>122</v>
      </c>
      <c r="C78">
        <v>2017</v>
      </c>
      <c r="D78">
        <v>1</v>
      </c>
      <c r="E78" t="s">
        <v>100</v>
      </c>
      <c r="F78" t="s">
        <v>426</v>
      </c>
      <c r="G78" t="s">
        <v>427</v>
      </c>
      <c r="H78" t="s">
        <v>84</v>
      </c>
      <c r="I78" t="s">
        <v>429</v>
      </c>
      <c r="J78" t="s">
        <v>87</v>
      </c>
      <c r="K78">
        <v>-449.51020827000002</v>
      </c>
      <c r="L78" t="s">
        <v>87</v>
      </c>
      <c r="M78" t="s">
        <v>383</v>
      </c>
      <c r="N78">
        <v>1.0126516740011799</v>
      </c>
      <c r="O78">
        <v>455.19726488523457</v>
      </c>
      <c r="P78" t="s">
        <v>440</v>
      </c>
      <c r="Q78">
        <v>2</v>
      </c>
      <c r="R78">
        <v>29.947030000000002</v>
      </c>
      <c r="S78">
        <v>0.1</v>
      </c>
      <c r="T78">
        <v>2.9947029999999999</v>
      </c>
      <c r="U78">
        <v>0.98099999999999998</v>
      </c>
      <c r="V78">
        <v>2937.8040000000001</v>
      </c>
      <c r="W78">
        <v>2</v>
      </c>
      <c r="X78">
        <v>1.70195153E-4</v>
      </c>
      <c r="Y78">
        <v>1</v>
      </c>
      <c r="Z78" s="60">
        <v>455.19726500000002</v>
      </c>
      <c r="AA78" t="s">
        <v>336</v>
      </c>
      <c r="AB78" t="s">
        <v>433</v>
      </c>
      <c r="AC78" t="s">
        <v>425</v>
      </c>
      <c r="AD78" t="s">
        <v>27</v>
      </c>
      <c r="AE78">
        <v>111.133</v>
      </c>
      <c r="AF78">
        <v>0.99819678194932504</v>
      </c>
      <c r="AG78">
        <v>110.9326029683743</v>
      </c>
      <c r="AH78">
        <v>682.07</v>
      </c>
      <c r="AI78">
        <v>1</v>
      </c>
      <c r="AJ78">
        <v>75.663800506639092</v>
      </c>
      <c r="AK78">
        <v>0.99739999999999995</v>
      </c>
      <c r="AL78" s="62">
        <v>75.466999999999999</v>
      </c>
      <c r="AM78">
        <v>8.9176000000000002</v>
      </c>
      <c r="AN78">
        <v>8.9015196227113016</v>
      </c>
      <c r="AO78">
        <v>1</v>
      </c>
      <c r="AP78">
        <v>6071.4594890626977</v>
      </c>
      <c r="AQ78">
        <v>1.0108695652173909</v>
      </c>
      <c r="AR78">
        <v>6137.4535999999998</v>
      </c>
      <c r="AS78" s="60">
        <v>2793752.0927844038</v>
      </c>
      <c r="AT78" t="s">
        <v>339</v>
      </c>
      <c r="AU78" t="s">
        <v>433</v>
      </c>
      <c r="AV78" t="s">
        <v>425</v>
      </c>
      <c r="AW78" t="s">
        <v>27</v>
      </c>
      <c r="AX78">
        <v>111.133</v>
      </c>
      <c r="AY78">
        <v>1.0062587218588701</v>
      </c>
      <c r="AZ78">
        <v>111.82855053634179</v>
      </c>
      <c r="BA78">
        <v>663.92</v>
      </c>
      <c r="BB78">
        <v>1</v>
      </c>
      <c r="BC78">
        <v>74.245211272088028</v>
      </c>
      <c r="BD78">
        <v>0.99739999999999995</v>
      </c>
      <c r="BE78" s="62">
        <v>74.052000000000007</v>
      </c>
      <c r="BF78">
        <v>8.9176000000000002</v>
      </c>
      <c r="BG78">
        <v>1</v>
      </c>
      <c r="BH78">
        <v>5957.6282116020648</v>
      </c>
      <c r="BI78">
        <v>1.0108695652173909</v>
      </c>
      <c r="BJ78" s="62">
        <v>6022.3850000000002</v>
      </c>
      <c r="BK78" s="60">
        <v>2741373.1807770249</v>
      </c>
    </row>
    <row r="79" spans="1:63" x14ac:dyDescent="0.25">
      <c r="A79">
        <v>155</v>
      </c>
      <c r="B79" t="s">
        <v>122</v>
      </c>
      <c r="C79">
        <v>2017</v>
      </c>
      <c r="D79">
        <v>1</v>
      </c>
      <c r="E79" t="s">
        <v>100</v>
      </c>
      <c r="F79" t="s">
        <v>426</v>
      </c>
      <c r="G79" t="s">
        <v>427</v>
      </c>
      <c r="H79" t="s">
        <v>84</v>
      </c>
      <c r="I79" t="s">
        <v>430</v>
      </c>
      <c r="J79" t="s">
        <v>59</v>
      </c>
      <c r="K79">
        <v>-656.53419492</v>
      </c>
      <c r="L79" t="s">
        <v>59</v>
      </c>
      <c r="M79" t="s">
        <v>383</v>
      </c>
      <c r="N79">
        <v>1.0130674619998301</v>
      </c>
      <c r="O79">
        <v>665.11343056370606</v>
      </c>
      <c r="P79" t="s">
        <v>440</v>
      </c>
      <c r="Q79">
        <v>2</v>
      </c>
      <c r="R79">
        <v>29.947030000000002</v>
      </c>
      <c r="S79">
        <v>0.1</v>
      </c>
      <c r="T79">
        <v>2.9947029999999999</v>
      </c>
      <c r="U79">
        <v>0.98099999999999998</v>
      </c>
      <c r="V79">
        <v>2937.8040000000001</v>
      </c>
      <c r="W79">
        <v>2</v>
      </c>
      <c r="X79">
        <v>1.70195153E-4</v>
      </c>
      <c r="Y79">
        <v>1</v>
      </c>
      <c r="Z79" s="60">
        <v>665.11343099999999</v>
      </c>
      <c r="AA79" t="s">
        <v>336</v>
      </c>
      <c r="AB79" t="s">
        <v>433</v>
      </c>
      <c r="AC79" t="s">
        <v>425</v>
      </c>
      <c r="AD79" t="s">
        <v>27</v>
      </c>
      <c r="AE79">
        <v>111.133</v>
      </c>
      <c r="AF79">
        <v>0.99819678194932504</v>
      </c>
      <c r="AG79">
        <v>110.9326029683743</v>
      </c>
      <c r="AH79">
        <v>682.07</v>
      </c>
      <c r="AI79">
        <v>1</v>
      </c>
      <c r="AJ79">
        <v>75.663800506639092</v>
      </c>
      <c r="AK79">
        <v>0.99739999999999995</v>
      </c>
      <c r="AL79" s="62">
        <v>75.466999999999999</v>
      </c>
      <c r="AM79">
        <v>8.9176000000000002</v>
      </c>
      <c r="AN79">
        <v>8.9015196227113016</v>
      </c>
      <c r="AO79">
        <v>1</v>
      </c>
      <c r="AP79">
        <v>6071.4594890626977</v>
      </c>
      <c r="AQ79">
        <v>1.0108695652173909</v>
      </c>
      <c r="AR79">
        <v>6137.4535999999998</v>
      </c>
      <c r="AS79" s="60">
        <v>4082102.8214993021</v>
      </c>
      <c r="AT79" t="s">
        <v>339</v>
      </c>
      <c r="AU79" t="s">
        <v>433</v>
      </c>
      <c r="AV79" t="s">
        <v>425</v>
      </c>
      <c r="AW79" t="s">
        <v>27</v>
      </c>
      <c r="AX79">
        <v>111.133</v>
      </c>
      <c r="AY79">
        <v>1.0062587218588701</v>
      </c>
      <c r="AZ79">
        <v>111.82855053634179</v>
      </c>
      <c r="BA79">
        <v>663.92</v>
      </c>
      <c r="BB79">
        <v>1</v>
      </c>
      <c r="BC79">
        <v>74.245211272088028</v>
      </c>
      <c r="BD79">
        <v>0.99739999999999995</v>
      </c>
      <c r="BE79" s="62">
        <v>74.052000000000007</v>
      </c>
      <c r="BF79">
        <v>8.9176000000000002</v>
      </c>
      <c r="BG79">
        <v>1</v>
      </c>
      <c r="BH79">
        <v>5957.6282116020648</v>
      </c>
      <c r="BI79">
        <v>1.0108695652173909</v>
      </c>
      <c r="BJ79" s="62">
        <v>6022.3850000000002</v>
      </c>
      <c r="BK79" s="60">
        <v>4005569.1501529352</v>
      </c>
    </row>
    <row r="80" spans="1:63" x14ac:dyDescent="0.25">
      <c r="A80">
        <v>173</v>
      </c>
      <c r="B80" t="s">
        <v>124</v>
      </c>
      <c r="C80">
        <v>2017</v>
      </c>
      <c r="D80">
        <v>2</v>
      </c>
      <c r="E80" t="s">
        <v>100</v>
      </c>
      <c r="F80" t="s">
        <v>426</v>
      </c>
      <c r="G80" t="s">
        <v>427</v>
      </c>
      <c r="H80" t="s">
        <v>84</v>
      </c>
      <c r="I80" t="s">
        <v>428</v>
      </c>
      <c r="J80" t="s">
        <v>381</v>
      </c>
      <c r="K80">
        <v>-1917.15321713</v>
      </c>
      <c r="L80" t="s">
        <v>381</v>
      </c>
      <c r="M80" t="s">
        <v>382</v>
      </c>
      <c r="N80">
        <v>1.486442099988E-2</v>
      </c>
      <c r="O80">
        <v>28.49737254069467</v>
      </c>
      <c r="P80" t="s">
        <v>440</v>
      </c>
      <c r="Q80">
        <v>2</v>
      </c>
      <c r="R80">
        <v>29.947030000000002</v>
      </c>
      <c r="S80">
        <v>0.11</v>
      </c>
      <c r="T80">
        <v>3.2941733000000002</v>
      </c>
      <c r="U80">
        <v>1.9E-2</v>
      </c>
      <c r="V80">
        <v>62.588999999999999</v>
      </c>
      <c r="W80">
        <v>2</v>
      </c>
      <c r="X80">
        <v>7.9886241990000002E-3</v>
      </c>
      <c r="Y80">
        <v>1</v>
      </c>
      <c r="Z80" s="60">
        <v>28.497373</v>
      </c>
      <c r="AA80" t="s">
        <v>336</v>
      </c>
      <c r="AB80" t="s">
        <v>433</v>
      </c>
      <c r="AC80" t="s">
        <v>425</v>
      </c>
      <c r="AD80" t="s">
        <v>81</v>
      </c>
      <c r="AE80">
        <v>111.133</v>
      </c>
      <c r="AF80">
        <v>0.99819678194932504</v>
      </c>
      <c r="AG80">
        <v>110.9326029683743</v>
      </c>
      <c r="AH80">
        <v>682.07</v>
      </c>
      <c r="AI80">
        <v>1</v>
      </c>
      <c r="AJ80">
        <v>75.663800506639092</v>
      </c>
      <c r="AK80">
        <v>0.92979999999999996</v>
      </c>
      <c r="AL80" s="62">
        <v>70.352000000000004</v>
      </c>
      <c r="AM80">
        <v>8.9176000000000002</v>
      </c>
      <c r="AN80">
        <v>8.9015196227113016</v>
      </c>
      <c r="AO80">
        <v>1</v>
      </c>
      <c r="AP80">
        <v>6071.4594890626977</v>
      </c>
      <c r="AQ80">
        <v>1.0375922509225091</v>
      </c>
      <c r="AR80">
        <v>6299.6993000000002</v>
      </c>
      <c r="AS80" s="60">
        <v>179524.8807399389</v>
      </c>
      <c r="AT80" t="s">
        <v>339</v>
      </c>
      <c r="AU80" t="s">
        <v>433</v>
      </c>
      <c r="AV80" t="s">
        <v>425</v>
      </c>
      <c r="AW80" t="s">
        <v>81</v>
      </c>
      <c r="AX80">
        <v>111.133</v>
      </c>
      <c r="AY80">
        <v>1.0062587218588701</v>
      </c>
      <c r="AZ80">
        <v>111.82855053634179</v>
      </c>
      <c r="BA80">
        <v>663.92</v>
      </c>
      <c r="BB80">
        <v>1</v>
      </c>
      <c r="BC80">
        <v>74.245211272088028</v>
      </c>
      <c r="BD80">
        <v>0.92979999999999996</v>
      </c>
      <c r="BE80" s="62">
        <v>69.033000000000001</v>
      </c>
      <c r="BF80">
        <v>8.9176000000000002</v>
      </c>
      <c r="BG80">
        <v>1</v>
      </c>
      <c r="BH80">
        <v>5957.6282116020648</v>
      </c>
      <c r="BI80">
        <v>1.0375922509225091</v>
      </c>
      <c r="BJ80" s="62">
        <v>6181.5888999999997</v>
      </c>
      <c r="BK80" s="60">
        <v>176159.04461595969</v>
      </c>
    </row>
    <row r="81" spans="1:63" x14ac:dyDescent="0.25">
      <c r="A81">
        <v>173</v>
      </c>
      <c r="B81" t="s">
        <v>124</v>
      </c>
      <c r="C81">
        <v>2017</v>
      </c>
      <c r="D81">
        <v>2</v>
      </c>
      <c r="E81" t="s">
        <v>100</v>
      </c>
      <c r="F81" t="s">
        <v>426</v>
      </c>
      <c r="G81" t="s">
        <v>427</v>
      </c>
      <c r="H81" t="s">
        <v>84</v>
      </c>
      <c r="I81" t="s">
        <v>429</v>
      </c>
      <c r="J81" t="s">
        <v>87</v>
      </c>
      <c r="K81">
        <v>-527.19524751999995</v>
      </c>
      <c r="L81" t="s">
        <v>87</v>
      </c>
      <c r="M81" t="s">
        <v>382</v>
      </c>
      <c r="N81">
        <v>2.6818325999760001E-2</v>
      </c>
      <c r="O81">
        <v>14.138494013515521</v>
      </c>
      <c r="P81" t="s">
        <v>440</v>
      </c>
      <c r="Q81">
        <v>2</v>
      </c>
      <c r="R81">
        <v>29.947030000000002</v>
      </c>
      <c r="S81">
        <v>0.11</v>
      </c>
      <c r="T81">
        <v>3.2941733000000002</v>
      </c>
      <c r="U81">
        <v>1.9E-2</v>
      </c>
      <c r="V81">
        <v>62.588999999999999</v>
      </c>
      <c r="W81">
        <v>2</v>
      </c>
      <c r="X81">
        <v>7.9886241990000002E-3</v>
      </c>
      <c r="Y81">
        <v>1</v>
      </c>
      <c r="Z81" s="60">
        <v>14.138494</v>
      </c>
      <c r="AA81" t="s">
        <v>336</v>
      </c>
      <c r="AB81" t="s">
        <v>433</v>
      </c>
      <c r="AC81" t="s">
        <v>425</v>
      </c>
      <c r="AD81" t="s">
        <v>81</v>
      </c>
      <c r="AE81">
        <v>111.133</v>
      </c>
      <c r="AF81">
        <v>0.99819678194932504</v>
      </c>
      <c r="AG81">
        <v>110.9326029683743</v>
      </c>
      <c r="AH81">
        <v>682.07</v>
      </c>
      <c r="AI81">
        <v>1</v>
      </c>
      <c r="AJ81">
        <v>75.663800506639092</v>
      </c>
      <c r="AK81">
        <v>0.92979999999999996</v>
      </c>
      <c r="AL81" s="62">
        <v>70.352000000000004</v>
      </c>
      <c r="AM81">
        <v>8.9176000000000002</v>
      </c>
      <c r="AN81">
        <v>8.9015196227113016</v>
      </c>
      <c r="AO81">
        <v>1</v>
      </c>
      <c r="AP81">
        <v>6071.4594890626977</v>
      </c>
      <c r="AQ81">
        <v>1.0375922509225091</v>
      </c>
      <c r="AR81">
        <v>6299.6993000000002</v>
      </c>
      <c r="AS81" s="60">
        <v>89068.2607548542</v>
      </c>
      <c r="AT81" t="s">
        <v>339</v>
      </c>
      <c r="AU81" t="s">
        <v>433</v>
      </c>
      <c r="AV81" t="s">
        <v>425</v>
      </c>
      <c r="AW81" t="s">
        <v>81</v>
      </c>
      <c r="AX81">
        <v>111.133</v>
      </c>
      <c r="AY81">
        <v>1.0062587218588701</v>
      </c>
      <c r="AZ81">
        <v>111.82855053634179</v>
      </c>
      <c r="BA81">
        <v>663.92</v>
      </c>
      <c r="BB81">
        <v>1</v>
      </c>
      <c r="BC81">
        <v>74.245211272088028</v>
      </c>
      <c r="BD81">
        <v>0.92979999999999996</v>
      </c>
      <c r="BE81" s="62">
        <v>69.033000000000001</v>
      </c>
      <c r="BF81">
        <v>8.9176000000000002</v>
      </c>
      <c r="BG81">
        <v>1</v>
      </c>
      <c r="BH81">
        <v>5957.6282116020648</v>
      </c>
      <c r="BI81">
        <v>1.0375922509225091</v>
      </c>
      <c r="BJ81" s="62">
        <v>6181.5888999999997</v>
      </c>
      <c r="BK81" s="60">
        <v>87398.357573116591</v>
      </c>
    </row>
    <row r="82" spans="1:63" x14ac:dyDescent="0.25">
      <c r="A82">
        <v>173</v>
      </c>
      <c r="B82" t="s">
        <v>124</v>
      </c>
      <c r="C82">
        <v>2017</v>
      </c>
      <c r="D82">
        <v>2</v>
      </c>
      <c r="E82" t="s">
        <v>100</v>
      </c>
      <c r="F82" t="s">
        <v>426</v>
      </c>
      <c r="G82" t="s">
        <v>427</v>
      </c>
      <c r="H82" t="s">
        <v>84</v>
      </c>
      <c r="I82" t="s">
        <v>430</v>
      </c>
      <c r="J82" t="s">
        <v>59</v>
      </c>
      <c r="K82">
        <v>-658.58793264999997</v>
      </c>
      <c r="L82" t="s">
        <v>59</v>
      </c>
      <c r="M82" t="s">
        <v>382</v>
      </c>
      <c r="N82">
        <v>2.6402538000080002E-2</v>
      </c>
      <c r="O82">
        <v>17.388392918185751</v>
      </c>
      <c r="P82" t="s">
        <v>440</v>
      </c>
      <c r="Q82">
        <v>2</v>
      </c>
      <c r="R82">
        <v>29.947030000000002</v>
      </c>
      <c r="S82">
        <v>0.11</v>
      </c>
      <c r="T82">
        <v>3.2941733000000002</v>
      </c>
      <c r="U82">
        <v>1.9E-2</v>
      </c>
      <c r="V82">
        <v>62.588999999999999</v>
      </c>
      <c r="W82">
        <v>2</v>
      </c>
      <c r="X82">
        <v>7.9886241990000002E-3</v>
      </c>
      <c r="Y82">
        <v>1</v>
      </c>
      <c r="Z82" s="60">
        <v>17.388393000000001</v>
      </c>
      <c r="AA82" t="s">
        <v>336</v>
      </c>
      <c r="AB82" t="s">
        <v>433</v>
      </c>
      <c r="AC82" t="s">
        <v>425</v>
      </c>
      <c r="AD82" t="s">
        <v>81</v>
      </c>
      <c r="AE82">
        <v>111.133</v>
      </c>
      <c r="AF82">
        <v>0.99819678194932504</v>
      </c>
      <c r="AG82">
        <v>110.9326029683743</v>
      </c>
      <c r="AH82">
        <v>682.07</v>
      </c>
      <c r="AI82">
        <v>1</v>
      </c>
      <c r="AJ82">
        <v>75.663800506639092</v>
      </c>
      <c r="AK82">
        <v>0.92979999999999996</v>
      </c>
      <c r="AL82" s="62">
        <v>70.352000000000004</v>
      </c>
      <c r="AM82">
        <v>8.9176000000000002</v>
      </c>
      <c r="AN82">
        <v>8.9015196227113016</v>
      </c>
      <c r="AO82">
        <v>1</v>
      </c>
      <c r="AP82">
        <v>6071.4594890626977</v>
      </c>
      <c r="AQ82">
        <v>1.0375922509225091</v>
      </c>
      <c r="AR82">
        <v>6299.6993000000002</v>
      </c>
      <c r="AS82" s="60">
        <v>109541.6472102249</v>
      </c>
      <c r="AT82" t="s">
        <v>339</v>
      </c>
      <c r="AU82" t="s">
        <v>433</v>
      </c>
      <c r="AV82" t="s">
        <v>425</v>
      </c>
      <c r="AW82" t="s">
        <v>81</v>
      </c>
      <c r="AX82">
        <v>111.133</v>
      </c>
      <c r="AY82">
        <v>1.0062587218588701</v>
      </c>
      <c r="AZ82">
        <v>111.82855053634179</v>
      </c>
      <c r="BA82">
        <v>663.92</v>
      </c>
      <c r="BB82">
        <v>1</v>
      </c>
      <c r="BC82">
        <v>74.245211272088028</v>
      </c>
      <c r="BD82">
        <v>0.92979999999999996</v>
      </c>
      <c r="BE82" s="62">
        <v>69.033000000000001</v>
      </c>
      <c r="BF82">
        <v>8.9176000000000002</v>
      </c>
      <c r="BG82">
        <v>1</v>
      </c>
      <c r="BH82">
        <v>5957.6282116020648</v>
      </c>
      <c r="BI82">
        <v>1.0375922509225091</v>
      </c>
      <c r="BJ82" s="62">
        <v>6181.5888999999997</v>
      </c>
      <c r="BK82" s="60">
        <v>107487.89715763769</v>
      </c>
    </row>
    <row r="83" spans="1:63" x14ac:dyDescent="0.25">
      <c r="A83">
        <v>175</v>
      </c>
      <c r="B83" t="s">
        <v>124</v>
      </c>
      <c r="C83">
        <v>2017</v>
      </c>
      <c r="D83">
        <v>2</v>
      </c>
      <c r="E83" t="s">
        <v>100</v>
      </c>
      <c r="F83" t="s">
        <v>426</v>
      </c>
      <c r="G83" t="s">
        <v>427</v>
      </c>
      <c r="H83" t="s">
        <v>84</v>
      </c>
      <c r="I83" t="s">
        <v>428</v>
      </c>
      <c r="J83" t="s">
        <v>381</v>
      </c>
      <c r="K83">
        <v>-1917.15321713</v>
      </c>
      <c r="L83" t="s">
        <v>381</v>
      </c>
      <c r="M83" t="s">
        <v>383</v>
      </c>
      <c r="N83">
        <v>1.0246055789999</v>
      </c>
      <c r="O83">
        <v>1964.325882069005</v>
      </c>
      <c r="P83" t="s">
        <v>440</v>
      </c>
      <c r="Q83">
        <v>2</v>
      </c>
      <c r="R83">
        <v>29.947030000000002</v>
      </c>
      <c r="S83">
        <v>0.11</v>
      </c>
      <c r="T83">
        <v>3.2941733000000002</v>
      </c>
      <c r="U83">
        <v>0.98099999999999998</v>
      </c>
      <c r="V83">
        <v>3231.5839999999998</v>
      </c>
      <c r="W83">
        <v>2</v>
      </c>
      <c r="X83">
        <v>1.54722885E-4</v>
      </c>
      <c r="Y83">
        <v>1</v>
      </c>
      <c r="Z83" s="60">
        <v>1964.3258820000001</v>
      </c>
      <c r="AA83" t="s">
        <v>336</v>
      </c>
      <c r="AB83" t="s">
        <v>433</v>
      </c>
      <c r="AC83" t="s">
        <v>425</v>
      </c>
      <c r="AD83" t="s">
        <v>27</v>
      </c>
      <c r="AE83">
        <v>111.133</v>
      </c>
      <c r="AF83">
        <v>0.99819678194932504</v>
      </c>
      <c r="AG83">
        <v>110.9326029683743</v>
      </c>
      <c r="AH83">
        <v>682.07</v>
      </c>
      <c r="AI83">
        <v>1</v>
      </c>
      <c r="AJ83">
        <v>75.663800506639092</v>
      </c>
      <c r="AK83">
        <v>0.99739999999999995</v>
      </c>
      <c r="AL83" s="62">
        <v>75.466999999999999</v>
      </c>
      <c r="AM83">
        <v>8.9176000000000002</v>
      </c>
      <c r="AN83">
        <v>8.9015196227113016</v>
      </c>
      <c r="AO83">
        <v>1</v>
      </c>
      <c r="AP83">
        <v>6071.4594890626977</v>
      </c>
      <c r="AQ83">
        <v>1.0108695652173909</v>
      </c>
      <c r="AR83">
        <v>6137.4535999999998</v>
      </c>
      <c r="AS83" s="60">
        <v>12055958.956054069</v>
      </c>
      <c r="AT83" t="s">
        <v>339</v>
      </c>
      <c r="AU83" t="s">
        <v>433</v>
      </c>
      <c r="AV83" t="s">
        <v>425</v>
      </c>
      <c r="AW83" t="s">
        <v>27</v>
      </c>
      <c r="AX83">
        <v>111.133</v>
      </c>
      <c r="AY83">
        <v>1.0062587218588701</v>
      </c>
      <c r="AZ83">
        <v>111.82855053634179</v>
      </c>
      <c r="BA83">
        <v>663.92</v>
      </c>
      <c r="BB83">
        <v>1</v>
      </c>
      <c r="BC83">
        <v>74.245211272088028</v>
      </c>
      <c r="BD83">
        <v>0.99739999999999995</v>
      </c>
      <c r="BE83" s="62">
        <v>74.052000000000007</v>
      </c>
      <c r="BF83">
        <v>8.9176000000000002</v>
      </c>
      <c r="BG83">
        <v>1</v>
      </c>
      <c r="BH83">
        <v>5957.6282116020648</v>
      </c>
      <c r="BI83">
        <v>1.0108695652173909</v>
      </c>
      <c r="BJ83" s="62">
        <v>6022.3850000000002</v>
      </c>
      <c r="BK83" s="60">
        <v>11829926.72686857</v>
      </c>
    </row>
    <row r="84" spans="1:63" x14ac:dyDescent="0.25">
      <c r="A84">
        <v>175</v>
      </c>
      <c r="B84" t="s">
        <v>124</v>
      </c>
      <c r="C84">
        <v>2017</v>
      </c>
      <c r="D84">
        <v>2</v>
      </c>
      <c r="E84" t="s">
        <v>100</v>
      </c>
      <c r="F84" t="s">
        <v>426</v>
      </c>
      <c r="G84" t="s">
        <v>427</v>
      </c>
      <c r="H84" t="s">
        <v>84</v>
      </c>
      <c r="I84" t="s">
        <v>429</v>
      </c>
      <c r="J84" t="s">
        <v>87</v>
      </c>
      <c r="K84">
        <v>-527.19524751999995</v>
      </c>
      <c r="L84" t="s">
        <v>87</v>
      </c>
      <c r="M84" t="s">
        <v>383</v>
      </c>
      <c r="N84">
        <v>1.0126516739998299</v>
      </c>
      <c r="O84">
        <v>533.86514992588275</v>
      </c>
      <c r="P84" t="s">
        <v>440</v>
      </c>
      <c r="Q84">
        <v>2</v>
      </c>
      <c r="R84">
        <v>29.947030000000002</v>
      </c>
      <c r="S84">
        <v>0.11</v>
      </c>
      <c r="T84">
        <v>3.2941733000000002</v>
      </c>
      <c r="U84">
        <v>0.98099999999999998</v>
      </c>
      <c r="V84">
        <v>3231.5839999999998</v>
      </c>
      <c r="W84">
        <v>2</v>
      </c>
      <c r="X84">
        <v>1.54722885E-4</v>
      </c>
      <c r="Y84">
        <v>1</v>
      </c>
      <c r="Z84" s="60">
        <v>533.86514999999997</v>
      </c>
      <c r="AA84" t="s">
        <v>336</v>
      </c>
      <c r="AB84" t="s">
        <v>433</v>
      </c>
      <c r="AC84" t="s">
        <v>425</v>
      </c>
      <c r="AD84" t="s">
        <v>27</v>
      </c>
      <c r="AE84">
        <v>111.133</v>
      </c>
      <c r="AF84">
        <v>0.99819678194932504</v>
      </c>
      <c r="AG84">
        <v>110.9326029683743</v>
      </c>
      <c r="AH84">
        <v>682.07</v>
      </c>
      <c r="AI84">
        <v>1</v>
      </c>
      <c r="AJ84">
        <v>75.663800506639092</v>
      </c>
      <c r="AK84">
        <v>0.99739999999999995</v>
      </c>
      <c r="AL84" s="62">
        <v>75.466999999999999</v>
      </c>
      <c r="AM84">
        <v>8.9176000000000002</v>
      </c>
      <c r="AN84">
        <v>8.9015196227113016</v>
      </c>
      <c r="AO84">
        <v>1</v>
      </c>
      <c r="AP84">
        <v>6071.4594890626977</v>
      </c>
      <c r="AQ84">
        <v>1.0108695652173909</v>
      </c>
      <c r="AR84">
        <v>6137.4535999999998</v>
      </c>
      <c r="AS84" s="60">
        <v>3276572.5867820401</v>
      </c>
      <c r="AT84" t="s">
        <v>339</v>
      </c>
      <c r="AU84" t="s">
        <v>433</v>
      </c>
      <c r="AV84" t="s">
        <v>425</v>
      </c>
      <c r="AW84" t="s">
        <v>27</v>
      </c>
      <c r="AX84">
        <v>111.133</v>
      </c>
      <c r="AY84">
        <v>1.0062587218588701</v>
      </c>
      <c r="AZ84">
        <v>111.82855053634179</v>
      </c>
      <c r="BA84">
        <v>663.92</v>
      </c>
      <c r="BB84">
        <v>1</v>
      </c>
      <c r="BC84">
        <v>74.245211272088028</v>
      </c>
      <c r="BD84">
        <v>0.99739999999999995</v>
      </c>
      <c r="BE84" s="62">
        <v>74.052000000000007</v>
      </c>
      <c r="BF84">
        <v>8.9176000000000002</v>
      </c>
      <c r="BG84">
        <v>1</v>
      </c>
      <c r="BH84">
        <v>5957.6282116020648</v>
      </c>
      <c r="BI84">
        <v>1.0108695652173909</v>
      </c>
      <c r="BJ84" s="62">
        <v>6022.3850000000002</v>
      </c>
      <c r="BK84" s="60">
        <v>3215141.4713827502</v>
      </c>
    </row>
    <row r="85" spans="1:63" x14ac:dyDescent="0.25">
      <c r="A85">
        <v>175</v>
      </c>
      <c r="B85" t="s">
        <v>124</v>
      </c>
      <c r="C85">
        <v>2017</v>
      </c>
      <c r="D85">
        <v>2</v>
      </c>
      <c r="E85" t="s">
        <v>100</v>
      </c>
      <c r="F85" t="s">
        <v>426</v>
      </c>
      <c r="G85" t="s">
        <v>427</v>
      </c>
      <c r="H85" t="s">
        <v>84</v>
      </c>
      <c r="I85" t="s">
        <v>430</v>
      </c>
      <c r="J85" t="s">
        <v>59</v>
      </c>
      <c r="K85">
        <v>-658.58793264999997</v>
      </c>
      <c r="L85" t="s">
        <v>59</v>
      </c>
      <c r="M85" t="s">
        <v>383</v>
      </c>
      <c r="N85">
        <v>1.0130674620001301</v>
      </c>
      <c r="O85">
        <v>667.19400543364804</v>
      </c>
      <c r="P85" t="s">
        <v>440</v>
      </c>
      <c r="Q85">
        <v>2</v>
      </c>
      <c r="R85">
        <v>29.947030000000002</v>
      </c>
      <c r="S85">
        <v>0.11</v>
      </c>
      <c r="T85">
        <v>3.2941733000000002</v>
      </c>
      <c r="U85">
        <v>0.98099999999999998</v>
      </c>
      <c r="V85">
        <v>3231.5839999999998</v>
      </c>
      <c r="W85">
        <v>2</v>
      </c>
      <c r="X85">
        <v>1.54722885E-4</v>
      </c>
      <c r="Y85">
        <v>1</v>
      </c>
      <c r="Z85" s="60">
        <v>667.19400499999995</v>
      </c>
      <c r="AA85" t="s">
        <v>336</v>
      </c>
      <c r="AB85" t="s">
        <v>433</v>
      </c>
      <c r="AC85" t="s">
        <v>425</v>
      </c>
      <c r="AD85" t="s">
        <v>27</v>
      </c>
      <c r="AE85">
        <v>111.133</v>
      </c>
      <c r="AF85">
        <v>0.99819678194932504</v>
      </c>
      <c r="AG85">
        <v>110.9326029683743</v>
      </c>
      <c r="AH85">
        <v>682.07</v>
      </c>
      <c r="AI85">
        <v>1</v>
      </c>
      <c r="AJ85">
        <v>75.663800506639092</v>
      </c>
      <c r="AK85">
        <v>0.99739999999999995</v>
      </c>
      <c r="AL85" s="62">
        <v>75.466999999999999</v>
      </c>
      <c r="AM85">
        <v>8.9176000000000002</v>
      </c>
      <c r="AN85">
        <v>8.9015196227113016</v>
      </c>
      <c r="AO85">
        <v>1</v>
      </c>
      <c r="AP85">
        <v>6071.4594890626977</v>
      </c>
      <c r="AQ85">
        <v>1.0108695652173909</v>
      </c>
      <c r="AR85">
        <v>6137.4535999999998</v>
      </c>
      <c r="AS85" s="60">
        <v>4094872.2478856682</v>
      </c>
      <c r="AT85" t="s">
        <v>339</v>
      </c>
      <c r="AU85" t="s">
        <v>433</v>
      </c>
      <c r="AV85" t="s">
        <v>425</v>
      </c>
      <c r="AW85" t="s">
        <v>27</v>
      </c>
      <c r="AX85">
        <v>111.133</v>
      </c>
      <c r="AY85">
        <v>1.0062587218588701</v>
      </c>
      <c r="AZ85">
        <v>111.82855053634179</v>
      </c>
      <c r="BA85">
        <v>663.92</v>
      </c>
      <c r="BB85">
        <v>1</v>
      </c>
      <c r="BC85">
        <v>74.245211272088028</v>
      </c>
      <c r="BD85">
        <v>0.99739999999999995</v>
      </c>
      <c r="BE85" s="62">
        <v>74.052000000000007</v>
      </c>
      <c r="BF85">
        <v>8.9176000000000002</v>
      </c>
      <c r="BG85">
        <v>1</v>
      </c>
      <c r="BH85">
        <v>5957.6282116020648</v>
      </c>
      <c r="BI85">
        <v>1.0108695652173909</v>
      </c>
      <c r="BJ85" s="62">
        <v>6022.3850000000002</v>
      </c>
      <c r="BK85" s="60">
        <v>4018099.167801925</v>
      </c>
    </row>
    <row r="86" spans="1:63" x14ac:dyDescent="0.25">
      <c r="A86">
        <v>193</v>
      </c>
      <c r="B86" t="s">
        <v>125</v>
      </c>
      <c r="C86">
        <v>2017</v>
      </c>
      <c r="D86">
        <v>3</v>
      </c>
      <c r="E86" t="s">
        <v>100</v>
      </c>
      <c r="F86" t="s">
        <v>426</v>
      </c>
      <c r="G86" t="s">
        <v>427</v>
      </c>
      <c r="H86" t="s">
        <v>84</v>
      </c>
      <c r="I86" t="s">
        <v>428</v>
      </c>
      <c r="J86" t="s">
        <v>381</v>
      </c>
      <c r="K86">
        <v>-2033.8479460599999</v>
      </c>
      <c r="L86" t="s">
        <v>381</v>
      </c>
      <c r="M86" t="s">
        <v>382</v>
      </c>
      <c r="N86">
        <v>1.4548156723420001E-2</v>
      </c>
      <c r="O86">
        <v>29.588738670886741</v>
      </c>
      <c r="P86" t="s">
        <v>440</v>
      </c>
      <c r="Q86">
        <v>2</v>
      </c>
      <c r="R86">
        <v>29.947030000000002</v>
      </c>
      <c r="S86">
        <v>0.115</v>
      </c>
      <c r="T86">
        <v>3.4439085</v>
      </c>
      <c r="U86">
        <v>1.9E-2</v>
      </c>
      <c r="V86">
        <v>65.433999999999997</v>
      </c>
      <c r="W86">
        <v>2</v>
      </c>
      <c r="X86">
        <v>7.6412874040000002E-3</v>
      </c>
      <c r="Y86">
        <v>1</v>
      </c>
      <c r="Z86" s="60">
        <v>29.588739</v>
      </c>
      <c r="AA86" t="s">
        <v>336</v>
      </c>
      <c r="AB86" t="s">
        <v>433</v>
      </c>
      <c r="AC86" t="s">
        <v>425</v>
      </c>
      <c r="AD86" t="s">
        <v>81</v>
      </c>
      <c r="AE86">
        <v>111.133</v>
      </c>
      <c r="AF86">
        <v>0.99819678194932504</v>
      </c>
      <c r="AG86">
        <v>110.9326029683743</v>
      </c>
      <c r="AH86">
        <v>682.07</v>
      </c>
      <c r="AI86">
        <v>1</v>
      </c>
      <c r="AJ86">
        <v>75.663800506639092</v>
      </c>
      <c r="AK86">
        <v>0.92979999999999996</v>
      </c>
      <c r="AL86" s="62">
        <v>70.352000000000004</v>
      </c>
      <c r="AM86">
        <v>8.9176000000000002</v>
      </c>
      <c r="AN86">
        <v>8.9015196227113016</v>
      </c>
      <c r="AO86">
        <v>1</v>
      </c>
      <c r="AP86">
        <v>6071.4594890626977</v>
      </c>
      <c r="AQ86">
        <v>1.0375922509225091</v>
      </c>
      <c r="AR86">
        <v>6299.6993000000002</v>
      </c>
      <c r="AS86" s="60">
        <v>186400.1583661827</v>
      </c>
      <c r="AT86" t="s">
        <v>339</v>
      </c>
      <c r="AU86" t="s">
        <v>433</v>
      </c>
      <c r="AV86" t="s">
        <v>425</v>
      </c>
      <c r="AW86" t="s">
        <v>81</v>
      </c>
      <c r="AX86">
        <v>111.133</v>
      </c>
      <c r="AY86">
        <v>1.0062587218588701</v>
      </c>
      <c r="AZ86">
        <v>111.82855053634179</v>
      </c>
      <c r="BA86">
        <v>663.92</v>
      </c>
      <c r="BB86">
        <v>1</v>
      </c>
      <c r="BC86">
        <v>74.245211272088028</v>
      </c>
      <c r="BD86">
        <v>0.92979999999999996</v>
      </c>
      <c r="BE86" s="62">
        <v>69.033000000000001</v>
      </c>
      <c r="BF86">
        <v>8.9176000000000002</v>
      </c>
      <c r="BG86">
        <v>1</v>
      </c>
      <c r="BH86">
        <v>5957.6282116020648</v>
      </c>
      <c r="BI86">
        <v>1.0375922509225091</v>
      </c>
      <c r="BJ86" s="62">
        <v>6181.5888999999997</v>
      </c>
      <c r="BK86" s="60">
        <v>182905.42056739709</v>
      </c>
    </row>
    <row r="87" spans="1:63" x14ac:dyDescent="0.25">
      <c r="A87">
        <v>193</v>
      </c>
      <c r="B87" t="s">
        <v>125</v>
      </c>
      <c r="C87">
        <v>2017</v>
      </c>
      <c r="D87">
        <v>3</v>
      </c>
      <c r="E87" t="s">
        <v>100</v>
      </c>
      <c r="F87" t="s">
        <v>426</v>
      </c>
      <c r="G87" t="s">
        <v>427</v>
      </c>
      <c r="H87" t="s">
        <v>84</v>
      </c>
      <c r="I87" t="s">
        <v>429</v>
      </c>
      <c r="J87" t="s">
        <v>87</v>
      </c>
      <c r="K87">
        <v>-512.70944611000004</v>
      </c>
      <c r="L87" t="s">
        <v>87</v>
      </c>
      <c r="M87" t="s">
        <v>382</v>
      </c>
      <c r="N87">
        <v>2.5599311181759999E-2</v>
      </c>
      <c r="O87">
        <v>13.1250086567977</v>
      </c>
      <c r="P87" t="s">
        <v>440</v>
      </c>
      <c r="Q87">
        <v>2</v>
      </c>
      <c r="R87">
        <v>29.947030000000002</v>
      </c>
      <c r="S87">
        <v>0.115</v>
      </c>
      <c r="T87">
        <v>3.4439085</v>
      </c>
      <c r="U87">
        <v>1.9E-2</v>
      </c>
      <c r="V87">
        <v>65.433999999999997</v>
      </c>
      <c r="W87">
        <v>2</v>
      </c>
      <c r="X87">
        <v>7.6412874040000002E-3</v>
      </c>
      <c r="Y87">
        <v>1</v>
      </c>
      <c r="Z87" s="60">
        <v>13.125009</v>
      </c>
      <c r="AA87" t="s">
        <v>336</v>
      </c>
      <c r="AB87" t="s">
        <v>433</v>
      </c>
      <c r="AC87" t="s">
        <v>425</v>
      </c>
      <c r="AD87" t="s">
        <v>81</v>
      </c>
      <c r="AE87">
        <v>111.133</v>
      </c>
      <c r="AF87">
        <v>0.99819678194932504</v>
      </c>
      <c r="AG87">
        <v>110.9326029683743</v>
      </c>
      <c r="AH87">
        <v>682.07</v>
      </c>
      <c r="AI87">
        <v>1</v>
      </c>
      <c r="AJ87">
        <v>75.663800506639092</v>
      </c>
      <c r="AK87">
        <v>0.92979999999999996</v>
      </c>
      <c r="AL87" s="62">
        <v>70.352000000000004</v>
      </c>
      <c r="AM87">
        <v>8.9176000000000002</v>
      </c>
      <c r="AN87">
        <v>8.9015196227113016</v>
      </c>
      <c r="AO87">
        <v>1</v>
      </c>
      <c r="AP87">
        <v>6071.4594890626977</v>
      </c>
      <c r="AQ87">
        <v>1.0375922509225091</v>
      </c>
      <c r="AR87">
        <v>6299.6993000000002</v>
      </c>
      <c r="AS87" s="60">
        <v>82683.610009793701</v>
      </c>
      <c r="AT87" t="s">
        <v>339</v>
      </c>
      <c r="AU87" t="s">
        <v>433</v>
      </c>
      <c r="AV87" t="s">
        <v>425</v>
      </c>
      <c r="AW87" t="s">
        <v>81</v>
      </c>
      <c r="AX87">
        <v>111.133</v>
      </c>
      <c r="AY87">
        <v>1.0062587218588701</v>
      </c>
      <c r="AZ87">
        <v>111.82855053634179</v>
      </c>
      <c r="BA87">
        <v>663.92</v>
      </c>
      <c r="BB87">
        <v>1</v>
      </c>
      <c r="BC87">
        <v>74.245211272088028</v>
      </c>
      <c r="BD87">
        <v>0.92979999999999996</v>
      </c>
      <c r="BE87" s="62">
        <v>69.033000000000001</v>
      </c>
      <c r="BF87">
        <v>8.9176000000000002</v>
      </c>
      <c r="BG87">
        <v>1</v>
      </c>
      <c r="BH87">
        <v>5957.6282116020648</v>
      </c>
      <c r="BI87">
        <v>1.0375922509225091</v>
      </c>
      <c r="BJ87" s="62">
        <v>6181.5888999999997</v>
      </c>
      <c r="BK87" s="60">
        <v>81133.409946800093</v>
      </c>
    </row>
    <row r="88" spans="1:63" x14ac:dyDescent="0.25">
      <c r="A88">
        <v>193</v>
      </c>
      <c r="B88" t="s">
        <v>125</v>
      </c>
      <c r="C88">
        <v>2017</v>
      </c>
      <c r="D88">
        <v>3</v>
      </c>
      <c r="E88" t="s">
        <v>100</v>
      </c>
      <c r="F88" t="s">
        <v>426</v>
      </c>
      <c r="G88" t="s">
        <v>427</v>
      </c>
      <c r="H88" t="s">
        <v>84</v>
      </c>
      <c r="I88" t="s">
        <v>430</v>
      </c>
      <c r="J88" t="s">
        <v>59</v>
      </c>
      <c r="K88">
        <v>-652.02333047000002</v>
      </c>
      <c r="L88" t="s">
        <v>59</v>
      </c>
      <c r="M88" t="s">
        <v>382</v>
      </c>
      <c r="N88">
        <v>2.58407818723E-2</v>
      </c>
      <c r="O88">
        <v>16.848792658325848</v>
      </c>
      <c r="P88" t="s">
        <v>440</v>
      </c>
      <c r="Q88">
        <v>2</v>
      </c>
      <c r="R88">
        <v>29.947030000000002</v>
      </c>
      <c r="S88">
        <v>0.115</v>
      </c>
      <c r="T88">
        <v>3.4439085</v>
      </c>
      <c r="U88">
        <v>1.9E-2</v>
      </c>
      <c r="V88">
        <v>65.433999999999997</v>
      </c>
      <c r="W88">
        <v>2</v>
      </c>
      <c r="X88">
        <v>7.6412874040000002E-3</v>
      </c>
      <c r="Y88">
        <v>1</v>
      </c>
      <c r="Z88" s="60">
        <v>16.848793000000001</v>
      </c>
      <c r="AA88" t="s">
        <v>336</v>
      </c>
      <c r="AB88" t="s">
        <v>433</v>
      </c>
      <c r="AC88" t="s">
        <v>425</v>
      </c>
      <c r="AD88" t="s">
        <v>81</v>
      </c>
      <c r="AE88">
        <v>111.133</v>
      </c>
      <c r="AF88">
        <v>0.99819678194932504</v>
      </c>
      <c r="AG88">
        <v>110.9326029683743</v>
      </c>
      <c r="AH88">
        <v>682.07</v>
      </c>
      <c r="AI88">
        <v>1</v>
      </c>
      <c r="AJ88">
        <v>75.663800506639092</v>
      </c>
      <c r="AK88">
        <v>0.92979999999999996</v>
      </c>
      <c r="AL88" s="62">
        <v>70.352000000000004</v>
      </c>
      <c r="AM88">
        <v>8.9176000000000002</v>
      </c>
      <c r="AN88">
        <v>8.9015196227113016</v>
      </c>
      <c r="AO88">
        <v>1</v>
      </c>
      <c r="AP88">
        <v>6071.4594890626977</v>
      </c>
      <c r="AQ88">
        <v>1.0375922509225091</v>
      </c>
      <c r="AR88">
        <v>6299.6993000000002</v>
      </c>
      <c r="AS88" s="60">
        <v>106142.3294679449</v>
      </c>
      <c r="AT88" t="s">
        <v>339</v>
      </c>
      <c r="AU88" t="s">
        <v>433</v>
      </c>
      <c r="AV88" t="s">
        <v>425</v>
      </c>
      <c r="AW88" t="s">
        <v>81</v>
      </c>
      <c r="AX88">
        <v>111.133</v>
      </c>
      <c r="AY88">
        <v>1.0062587218588701</v>
      </c>
      <c r="AZ88">
        <v>111.82855053634179</v>
      </c>
      <c r="BA88">
        <v>663.92</v>
      </c>
      <c r="BB88">
        <v>1</v>
      </c>
      <c r="BC88">
        <v>74.245211272088028</v>
      </c>
      <c r="BD88">
        <v>0.92979999999999996</v>
      </c>
      <c r="BE88" s="62">
        <v>69.033000000000001</v>
      </c>
      <c r="BF88">
        <v>8.9176000000000002</v>
      </c>
      <c r="BG88">
        <v>1</v>
      </c>
      <c r="BH88">
        <v>5957.6282116020648</v>
      </c>
      <c r="BI88">
        <v>1.0375922509225091</v>
      </c>
      <c r="BJ88" s="62">
        <v>6181.5888999999997</v>
      </c>
      <c r="BK88" s="60">
        <v>104152.3117871977</v>
      </c>
    </row>
    <row r="89" spans="1:63" x14ac:dyDescent="0.25">
      <c r="A89">
        <v>195</v>
      </c>
      <c r="B89" t="s">
        <v>125</v>
      </c>
      <c r="C89">
        <v>2017</v>
      </c>
      <c r="D89">
        <v>3</v>
      </c>
      <c r="E89" t="s">
        <v>100</v>
      </c>
      <c r="F89" t="s">
        <v>426</v>
      </c>
      <c r="G89" t="s">
        <v>427</v>
      </c>
      <c r="H89" t="s">
        <v>84</v>
      </c>
      <c r="I89" t="s">
        <v>428</v>
      </c>
      <c r="J89" t="s">
        <v>381</v>
      </c>
      <c r="K89">
        <v>-2033.8479460599999</v>
      </c>
      <c r="L89" t="s">
        <v>381</v>
      </c>
      <c r="M89" t="s">
        <v>383</v>
      </c>
      <c r="N89">
        <v>1.0028054602980501</v>
      </c>
      <c r="O89">
        <v>2039.553825724942</v>
      </c>
      <c r="P89" t="s">
        <v>440</v>
      </c>
      <c r="Q89">
        <v>2</v>
      </c>
      <c r="R89">
        <v>29.947030000000002</v>
      </c>
      <c r="S89">
        <v>0.115</v>
      </c>
      <c r="T89">
        <v>3.4439085</v>
      </c>
      <c r="U89">
        <v>0.98099999999999998</v>
      </c>
      <c r="V89">
        <v>3378.4740000000002</v>
      </c>
      <c r="W89">
        <v>2</v>
      </c>
      <c r="X89">
        <v>1.4799581100000001E-4</v>
      </c>
      <c r="Y89">
        <v>1</v>
      </c>
      <c r="Z89" s="60">
        <v>2039.5538260000001</v>
      </c>
      <c r="AA89" t="s">
        <v>336</v>
      </c>
      <c r="AB89" t="s">
        <v>433</v>
      </c>
      <c r="AC89" t="s">
        <v>425</v>
      </c>
      <c r="AD89" t="s">
        <v>27</v>
      </c>
      <c r="AE89">
        <v>111.133</v>
      </c>
      <c r="AF89">
        <v>0.99819678194932504</v>
      </c>
      <c r="AG89">
        <v>110.9326029683743</v>
      </c>
      <c r="AH89">
        <v>682.07</v>
      </c>
      <c r="AI89">
        <v>1</v>
      </c>
      <c r="AJ89">
        <v>75.663800506639092</v>
      </c>
      <c r="AK89">
        <v>0.99739999999999995</v>
      </c>
      <c r="AL89" s="62">
        <v>75.466999999999999</v>
      </c>
      <c r="AM89">
        <v>8.9176000000000002</v>
      </c>
      <c r="AN89">
        <v>8.9015196227113016</v>
      </c>
      <c r="AO89">
        <v>1</v>
      </c>
      <c r="AP89">
        <v>6071.4594890626977</v>
      </c>
      <c r="AQ89">
        <v>1.0108695652173909</v>
      </c>
      <c r="AR89">
        <v>6137.4535999999998</v>
      </c>
      <c r="AS89" s="60">
        <v>12517666.971777471</v>
      </c>
      <c r="AT89" t="s">
        <v>339</v>
      </c>
      <c r="AU89" t="s">
        <v>433</v>
      </c>
      <c r="AV89" t="s">
        <v>425</v>
      </c>
      <c r="AW89" t="s">
        <v>27</v>
      </c>
      <c r="AX89">
        <v>111.133</v>
      </c>
      <c r="AY89">
        <v>1.0062587218588701</v>
      </c>
      <c r="AZ89">
        <v>111.82855053634179</v>
      </c>
      <c r="BA89">
        <v>663.92</v>
      </c>
      <c r="BB89">
        <v>1</v>
      </c>
      <c r="BC89">
        <v>74.245211272088028</v>
      </c>
      <c r="BD89">
        <v>0.99739999999999995</v>
      </c>
      <c r="BE89" s="62">
        <v>74.052000000000007</v>
      </c>
      <c r="BF89">
        <v>8.9176000000000002</v>
      </c>
      <c r="BG89">
        <v>1</v>
      </c>
      <c r="BH89">
        <v>5957.6282116020648</v>
      </c>
      <c r="BI89">
        <v>1.0108695652173909</v>
      </c>
      <c r="BJ89" s="62">
        <v>6022.3850000000002</v>
      </c>
      <c r="BK89" s="60">
        <v>12282978.36839501</v>
      </c>
    </row>
    <row r="90" spans="1:63" x14ac:dyDescent="0.25">
      <c r="A90">
        <v>195</v>
      </c>
      <c r="B90" t="s">
        <v>125</v>
      </c>
      <c r="C90">
        <v>2017</v>
      </c>
      <c r="D90">
        <v>3</v>
      </c>
      <c r="E90" t="s">
        <v>100</v>
      </c>
      <c r="F90" t="s">
        <v>426</v>
      </c>
      <c r="G90" t="s">
        <v>427</v>
      </c>
      <c r="H90" t="s">
        <v>84</v>
      </c>
      <c r="I90" t="s">
        <v>429</v>
      </c>
      <c r="J90" t="s">
        <v>87</v>
      </c>
      <c r="K90">
        <v>-512.70944611000004</v>
      </c>
      <c r="L90" t="s">
        <v>87</v>
      </c>
      <c r="M90" t="s">
        <v>383</v>
      </c>
      <c r="N90">
        <v>0.96662205245462995</v>
      </c>
      <c r="O90">
        <v>495.5962571117247</v>
      </c>
      <c r="P90" t="s">
        <v>440</v>
      </c>
      <c r="Q90">
        <v>2</v>
      </c>
      <c r="R90">
        <v>29.947030000000002</v>
      </c>
      <c r="S90">
        <v>0.115</v>
      </c>
      <c r="T90">
        <v>3.4439085</v>
      </c>
      <c r="U90">
        <v>0.98099999999999998</v>
      </c>
      <c r="V90">
        <v>3378.4740000000002</v>
      </c>
      <c r="W90">
        <v>2</v>
      </c>
      <c r="X90">
        <v>1.4799581100000001E-4</v>
      </c>
      <c r="Y90">
        <v>1</v>
      </c>
      <c r="Z90" s="60">
        <v>495.59625699999998</v>
      </c>
      <c r="AA90" t="s">
        <v>336</v>
      </c>
      <c r="AB90" t="s">
        <v>433</v>
      </c>
      <c r="AC90" t="s">
        <v>425</v>
      </c>
      <c r="AD90" t="s">
        <v>27</v>
      </c>
      <c r="AE90">
        <v>111.133</v>
      </c>
      <c r="AF90">
        <v>0.99819678194932504</v>
      </c>
      <c r="AG90">
        <v>110.9326029683743</v>
      </c>
      <c r="AH90">
        <v>682.07</v>
      </c>
      <c r="AI90">
        <v>1</v>
      </c>
      <c r="AJ90">
        <v>75.663800506639092</v>
      </c>
      <c r="AK90">
        <v>0.99739999999999995</v>
      </c>
      <c r="AL90" s="62">
        <v>75.466999999999999</v>
      </c>
      <c r="AM90">
        <v>8.9176000000000002</v>
      </c>
      <c r="AN90">
        <v>8.9015196227113016</v>
      </c>
      <c r="AO90">
        <v>1</v>
      </c>
      <c r="AP90">
        <v>6071.4594890626977</v>
      </c>
      <c r="AQ90">
        <v>1.0108695652173909</v>
      </c>
      <c r="AR90">
        <v>6137.4535999999998</v>
      </c>
      <c r="AS90" s="60">
        <v>3041699.0316711748</v>
      </c>
      <c r="AT90" t="s">
        <v>339</v>
      </c>
      <c r="AU90" t="s">
        <v>433</v>
      </c>
      <c r="AV90" t="s">
        <v>425</v>
      </c>
      <c r="AW90" t="s">
        <v>27</v>
      </c>
      <c r="AX90">
        <v>111.133</v>
      </c>
      <c r="AY90">
        <v>1.0062587218588701</v>
      </c>
      <c r="AZ90">
        <v>111.82855053634179</v>
      </c>
      <c r="BA90">
        <v>663.92</v>
      </c>
      <c r="BB90">
        <v>1</v>
      </c>
      <c r="BC90">
        <v>74.245211272088028</v>
      </c>
      <c r="BD90">
        <v>0.99739999999999995</v>
      </c>
      <c r="BE90" s="62">
        <v>74.052000000000007</v>
      </c>
      <c r="BF90">
        <v>8.9176000000000002</v>
      </c>
      <c r="BG90">
        <v>1</v>
      </c>
      <c r="BH90">
        <v>5957.6282116020648</v>
      </c>
      <c r="BI90">
        <v>1.0108695652173909</v>
      </c>
      <c r="BJ90" s="62">
        <v>6022.3850000000002</v>
      </c>
      <c r="BK90" s="60">
        <v>2984671.4642129452</v>
      </c>
    </row>
    <row r="91" spans="1:63" x14ac:dyDescent="0.25">
      <c r="A91">
        <v>195</v>
      </c>
      <c r="B91" t="s">
        <v>125</v>
      </c>
      <c r="C91">
        <v>2017</v>
      </c>
      <c r="D91">
        <v>3</v>
      </c>
      <c r="E91" t="s">
        <v>100</v>
      </c>
      <c r="F91" t="s">
        <v>426</v>
      </c>
      <c r="G91" t="s">
        <v>427</v>
      </c>
      <c r="H91" t="s">
        <v>84</v>
      </c>
      <c r="I91" t="s">
        <v>430</v>
      </c>
      <c r="J91" t="s">
        <v>59</v>
      </c>
      <c r="K91">
        <v>-652.02333047000002</v>
      </c>
      <c r="L91" t="s">
        <v>59</v>
      </c>
      <c r="M91" t="s">
        <v>383</v>
      </c>
      <c r="N91">
        <v>0.99151283514869004</v>
      </c>
      <c r="O91">
        <v>646.48950097740101</v>
      </c>
      <c r="P91" t="s">
        <v>440</v>
      </c>
      <c r="Q91">
        <v>2</v>
      </c>
      <c r="R91">
        <v>29.947030000000002</v>
      </c>
      <c r="S91">
        <v>0.115</v>
      </c>
      <c r="T91">
        <v>3.4439085</v>
      </c>
      <c r="U91">
        <v>0.98099999999999998</v>
      </c>
      <c r="V91">
        <v>3378.4740000000002</v>
      </c>
      <c r="W91">
        <v>2</v>
      </c>
      <c r="X91">
        <v>1.4799581100000001E-4</v>
      </c>
      <c r="Y91">
        <v>1</v>
      </c>
      <c r="Z91" s="60">
        <v>646.48950100000002</v>
      </c>
      <c r="AA91" t="s">
        <v>336</v>
      </c>
      <c r="AB91" t="s">
        <v>433</v>
      </c>
      <c r="AC91" t="s">
        <v>425</v>
      </c>
      <c r="AD91" t="s">
        <v>27</v>
      </c>
      <c r="AE91">
        <v>111.133</v>
      </c>
      <c r="AF91">
        <v>0.99819678194932504</v>
      </c>
      <c r="AG91">
        <v>110.9326029683743</v>
      </c>
      <c r="AH91">
        <v>682.07</v>
      </c>
      <c r="AI91">
        <v>1</v>
      </c>
      <c r="AJ91">
        <v>75.663800506639092</v>
      </c>
      <c r="AK91">
        <v>0.99739999999999995</v>
      </c>
      <c r="AL91" s="62">
        <v>75.466999999999999</v>
      </c>
      <c r="AM91">
        <v>8.9176000000000002</v>
      </c>
      <c r="AN91">
        <v>8.9015196227113016</v>
      </c>
      <c r="AO91">
        <v>1</v>
      </c>
      <c r="AP91">
        <v>6071.4594890626977</v>
      </c>
      <c r="AQ91">
        <v>1.0108695652173909</v>
      </c>
      <c r="AR91">
        <v>6137.4535999999998</v>
      </c>
      <c r="AS91" s="60">
        <v>3967799.315274653</v>
      </c>
      <c r="AT91" t="s">
        <v>339</v>
      </c>
      <c r="AU91" t="s">
        <v>433</v>
      </c>
      <c r="AV91" t="s">
        <v>425</v>
      </c>
      <c r="AW91" t="s">
        <v>27</v>
      </c>
      <c r="AX91">
        <v>111.133</v>
      </c>
      <c r="AY91">
        <v>1.0062587218588701</v>
      </c>
      <c r="AZ91">
        <v>111.82855053634179</v>
      </c>
      <c r="BA91">
        <v>663.92</v>
      </c>
      <c r="BB91">
        <v>1</v>
      </c>
      <c r="BC91">
        <v>74.245211272088028</v>
      </c>
      <c r="BD91">
        <v>0.99739999999999995</v>
      </c>
      <c r="BE91" s="62">
        <v>74.052000000000007</v>
      </c>
      <c r="BF91">
        <v>8.9176000000000002</v>
      </c>
      <c r="BG91">
        <v>1</v>
      </c>
      <c r="BH91">
        <v>5957.6282116020648</v>
      </c>
      <c r="BI91">
        <v>1.0108695652173909</v>
      </c>
      <c r="BJ91" s="62">
        <v>6022.3850000000002</v>
      </c>
      <c r="BK91" s="60">
        <v>3893408.6734798849</v>
      </c>
    </row>
    <row r="92" spans="1:63" x14ac:dyDescent="0.25">
      <c r="A92">
        <v>213</v>
      </c>
      <c r="B92" t="s">
        <v>141</v>
      </c>
      <c r="C92">
        <v>2017</v>
      </c>
      <c r="D92">
        <v>4</v>
      </c>
      <c r="E92" t="s">
        <v>100</v>
      </c>
      <c r="F92" t="s">
        <v>426</v>
      </c>
      <c r="G92" t="s">
        <v>427</v>
      </c>
      <c r="H92" t="s">
        <v>84</v>
      </c>
      <c r="I92" t="s">
        <v>428</v>
      </c>
      <c r="J92" t="s">
        <v>381</v>
      </c>
      <c r="K92">
        <v>-627.60684700000002</v>
      </c>
      <c r="L92" t="s">
        <v>381</v>
      </c>
      <c r="M92" t="s">
        <v>382</v>
      </c>
      <c r="N92">
        <v>1.4548156723370001E-2</v>
      </c>
      <c r="O92">
        <v>9.1305227708160963</v>
      </c>
      <c r="P92" t="s">
        <v>440</v>
      </c>
      <c r="Q92">
        <v>2</v>
      </c>
      <c r="R92">
        <v>29.947030000000002</v>
      </c>
      <c r="S92">
        <v>4.5999999999999999E-2</v>
      </c>
      <c r="T92">
        <v>1.3775634000000001</v>
      </c>
      <c r="U92">
        <v>1.9E-2</v>
      </c>
      <c r="V92">
        <v>26.173999999999999</v>
      </c>
      <c r="W92">
        <v>2</v>
      </c>
      <c r="X92">
        <v>1.9102926568E-2</v>
      </c>
      <c r="Y92">
        <v>1</v>
      </c>
      <c r="Z92" s="60">
        <v>9.1305230000000002</v>
      </c>
      <c r="AA92" t="s">
        <v>336</v>
      </c>
      <c r="AB92" t="s">
        <v>433</v>
      </c>
      <c r="AC92" t="s">
        <v>425</v>
      </c>
      <c r="AD92" t="s">
        <v>81</v>
      </c>
      <c r="AE92">
        <v>111.133</v>
      </c>
      <c r="AF92">
        <v>0.99819678194932504</v>
      </c>
      <c r="AG92">
        <v>110.9326029683743</v>
      </c>
      <c r="AH92">
        <v>682.07</v>
      </c>
      <c r="AI92">
        <v>1</v>
      </c>
      <c r="AJ92">
        <v>75.663800506639092</v>
      </c>
      <c r="AK92">
        <v>0.92979999999999996</v>
      </c>
      <c r="AL92" s="62">
        <v>70.352000000000004</v>
      </c>
      <c r="AM92">
        <v>8.9176000000000002</v>
      </c>
      <c r="AN92">
        <v>8.9015196227113016</v>
      </c>
      <c r="AO92">
        <v>1</v>
      </c>
      <c r="AP92">
        <v>6071.4594890626977</v>
      </c>
      <c r="AQ92">
        <v>1.0375922509225091</v>
      </c>
      <c r="AR92">
        <v>6299.6993000000002</v>
      </c>
      <c r="AS92" s="60">
        <v>57519.549351733913</v>
      </c>
      <c r="AT92" t="s">
        <v>339</v>
      </c>
      <c r="AU92" t="s">
        <v>433</v>
      </c>
      <c r="AV92" t="s">
        <v>425</v>
      </c>
      <c r="AW92" t="s">
        <v>81</v>
      </c>
      <c r="AX92">
        <v>111.133</v>
      </c>
      <c r="AY92">
        <v>1.0062587218588701</v>
      </c>
      <c r="AZ92">
        <v>111.82855053634179</v>
      </c>
      <c r="BA92">
        <v>655.74</v>
      </c>
      <c r="BB92">
        <v>1</v>
      </c>
      <c r="BC92">
        <v>73.330453728700761</v>
      </c>
      <c r="BD92">
        <v>0.92979999999999996</v>
      </c>
      <c r="BE92" s="62">
        <v>68.183000000000007</v>
      </c>
      <c r="BF92">
        <v>8.9176000000000002</v>
      </c>
      <c r="BG92">
        <v>1</v>
      </c>
      <c r="BH92">
        <v>5884.2256950776273</v>
      </c>
      <c r="BI92">
        <v>1.0375922509225091</v>
      </c>
      <c r="BJ92" s="62">
        <v>6105.4269999999997</v>
      </c>
      <c r="BK92" s="60">
        <v>55745.741648321004</v>
      </c>
    </row>
    <row r="93" spans="1:63" x14ac:dyDescent="0.25">
      <c r="A93">
        <v>213</v>
      </c>
      <c r="B93" t="s">
        <v>141</v>
      </c>
      <c r="C93">
        <v>2017</v>
      </c>
      <c r="D93">
        <v>4</v>
      </c>
      <c r="E93" t="s">
        <v>100</v>
      </c>
      <c r="F93" t="s">
        <v>426</v>
      </c>
      <c r="G93" t="s">
        <v>427</v>
      </c>
      <c r="H93" t="s">
        <v>84</v>
      </c>
      <c r="I93" t="s">
        <v>429</v>
      </c>
      <c r="J93" t="s">
        <v>87</v>
      </c>
      <c r="K93">
        <v>-144.39652699999999</v>
      </c>
      <c r="L93" t="s">
        <v>87</v>
      </c>
      <c r="M93" t="s">
        <v>382</v>
      </c>
      <c r="N93">
        <v>2.559931118139E-2</v>
      </c>
      <c r="O93">
        <v>3.6964516281849829</v>
      </c>
      <c r="P93" t="s">
        <v>440</v>
      </c>
      <c r="Q93">
        <v>2</v>
      </c>
      <c r="R93">
        <v>29.947030000000002</v>
      </c>
      <c r="S93">
        <v>4.5999999999999999E-2</v>
      </c>
      <c r="T93">
        <v>1.3775634000000001</v>
      </c>
      <c r="U93">
        <v>1.9E-2</v>
      </c>
      <c r="V93">
        <v>26.173999999999999</v>
      </c>
      <c r="W93">
        <v>2</v>
      </c>
      <c r="X93">
        <v>1.9102926568E-2</v>
      </c>
      <c r="Y93">
        <v>1</v>
      </c>
      <c r="Z93" s="60">
        <v>3.6964519999999998</v>
      </c>
      <c r="AA93" t="s">
        <v>336</v>
      </c>
      <c r="AB93" t="s">
        <v>433</v>
      </c>
      <c r="AC93" t="s">
        <v>425</v>
      </c>
      <c r="AD93" t="s">
        <v>81</v>
      </c>
      <c r="AE93">
        <v>111.133</v>
      </c>
      <c r="AF93">
        <v>0.99819678194932504</v>
      </c>
      <c r="AG93">
        <v>110.9326029683743</v>
      </c>
      <c r="AH93">
        <v>682.07</v>
      </c>
      <c r="AI93">
        <v>1</v>
      </c>
      <c r="AJ93">
        <v>75.663800506639092</v>
      </c>
      <c r="AK93">
        <v>0.92979999999999996</v>
      </c>
      <c r="AL93" s="62">
        <v>70.352000000000004</v>
      </c>
      <c r="AM93">
        <v>8.9176000000000002</v>
      </c>
      <c r="AN93">
        <v>8.9015196227113016</v>
      </c>
      <c r="AO93">
        <v>1</v>
      </c>
      <c r="AP93">
        <v>6071.4594890626977</v>
      </c>
      <c r="AQ93">
        <v>1.0375922509225091</v>
      </c>
      <c r="AR93">
        <v>6299.6993000000002</v>
      </c>
      <c r="AS93" s="60">
        <v>23286.5360768836</v>
      </c>
      <c r="AT93" t="s">
        <v>339</v>
      </c>
      <c r="AU93" t="s">
        <v>433</v>
      </c>
      <c r="AV93" t="s">
        <v>425</v>
      </c>
      <c r="AW93" t="s">
        <v>81</v>
      </c>
      <c r="AX93">
        <v>111.133</v>
      </c>
      <c r="AY93">
        <v>1.0062587218588701</v>
      </c>
      <c r="AZ93">
        <v>111.82855053634179</v>
      </c>
      <c r="BA93">
        <v>655.74</v>
      </c>
      <c r="BB93">
        <v>1</v>
      </c>
      <c r="BC93">
        <v>73.330453728700761</v>
      </c>
      <c r="BD93">
        <v>0.92979999999999996</v>
      </c>
      <c r="BE93" s="62">
        <v>68.183000000000007</v>
      </c>
      <c r="BF93">
        <v>8.9176000000000002</v>
      </c>
      <c r="BG93">
        <v>1</v>
      </c>
      <c r="BH93">
        <v>5884.2256950776273</v>
      </c>
      <c r="BI93">
        <v>1.0375922509225091</v>
      </c>
      <c r="BJ93" s="62">
        <v>6105.4269999999997</v>
      </c>
      <c r="BK93" s="60">
        <v>22568.417845004002</v>
      </c>
    </row>
    <row r="94" spans="1:63" x14ac:dyDescent="0.25">
      <c r="A94">
        <v>213</v>
      </c>
      <c r="B94" t="s">
        <v>141</v>
      </c>
      <c r="C94">
        <v>2017</v>
      </c>
      <c r="D94">
        <v>4</v>
      </c>
      <c r="E94" t="s">
        <v>100</v>
      </c>
      <c r="F94" t="s">
        <v>426</v>
      </c>
      <c r="G94" t="s">
        <v>427</v>
      </c>
      <c r="H94" t="s">
        <v>84</v>
      </c>
      <c r="I94" t="s">
        <v>430</v>
      </c>
      <c r="J94" t="s">
        <v>59</v>
      </c>
      <c r="K94">
        <v>-307.28832304999997</v>
      </c>
      <c r="L94" t="s">
        <v>59</v>
      </c>
      <c r="M94" t="s">
        <v>382</v>
      </c>
      <c r="N94">
        <v>2.5840781872550001E-2</v>
      </c>
      <c r="O94">
        <v>7.9405705279167291</v>
      </c>
      <c r="P94" t="s">
        <v>440</v>
      </c>
      <c r="Q94">
        <v>2</v>
      </c>
      <c r="R94">
        <v>29.947030000000002</v>
      </c>
      <c r="S94">
        <v>4.5999999999999999E-2</v>
      </c>
      <c r="T94">
        <v>1.3775634000000001</v>
      </c>
      <c r="U94">
        <v>1.9E-2</v>
      </c>
      <c r="V94">
        <v>26.173999999999999</v>
      </c>
      <c r="W94">
        <v>2</v>
      </c>
      <c r="X94">
        <v>1.9102926568E-2</v>
      </c>
      <c r="Y94">
        <v>1</v>
      </c>
      <c r="Z94" s="60">
        <v>7.9405710000000003</v>
      </c>
      <c r="AA94" t="s">
        <v>336</v>
      </c>
      <c r="AB94" t="s">
        <v>433</v>
      </c>
      <c r="AC94" t="s">
        <v>425</v>
      </c>
      <c r="AD94" t="s">
        <v>81</v>
      </c>
      <c r="AE94">
        <v>111.133</v>
      </c>
      <c r="AF94">
        <v>0.99819678194932504</v>
      </c>
      <c r="AG94">
        <v>110.9326029683743</v>
      </c>
      <c r="AH94">
        <v>682.07</v>
      </c>
      <c r="AI94">
        <v>1</v>
      </c>
      <c r="AJ94">
        <v>75.663800506639092</v>
      </c>
      <c r="AK94">
        <v>0.92979999999999996</v>
      </c>
      <c r="AL94" s="62">
        <v>70.352000000000004</v>
      </c>
      <c r="AM94">
        <v>8.9176000000000002</v>
      </c>
      <c r="AN94">
        <v>8.9015196227113016</v>
      </c>
      <c r="AO94">
        <v>1</v>
      </c>
      <c r="AP94">
        <v>6071.4594890626977</v>
      </c>
      <c r="AQ94">
        <v>1.0375922509225091</v>
      </c>
      <c r="AR94">
        <v>6299.6993000000002</v>
      </c>
      <c r="AS94" s="60">
        <v>50023.209570300307</v>
      </c>
      <c r="AT94" t="s">
        <v>339</v>
      </c>
      <c r="AU94" t="s">
        <v>433</v>
      </c>
      <c r="AV94" t="s">
        <v>425</v>
      </c>
      <c r="AW94" t="s">
        <v>81</v>
      </c>
      <c r="AX94">
        <v>111.133</v>
      </c>
      <c r="AY94">
        <v>1.0062587218588701</v>
      </c>
      <c r="AZ94">
        <v>111.82855053634179</v>
      </c>
      <c r="BA94">
        <v>655.74</v>
      </c>
      <c r="BB94">
        <v>1</v>
      </c>
      <c r="BC94">
        <v>73.330453728700761</v>
      </c>
      <c r="BD94">
        <v>0.92979999999999996</v>
      </c>
      <c r="BE94" s="62">
        <v>68.183000000000007</v>
      </c>
      <c r="BF94">
        <v>8.9176000000000002</v>
      </c>
      <c r="BG94">
        <v>1</v>
      </c>
      <c r="BH94">
        <v>5884.2256950776273</v>
      </c>
      <c r="BI94">
        <v>1.0375922509225091</v>
      </c>
      <c r="BJ94" s="62">
        <v>6105.4269999999997</v>
      </c>
      <c r="BK94" s="60">
        <v>48480.576578817003</v>
      </c>
    </row>
    <row r="95" spans="1:63" x14ac:dyDescent="0.25">
      <c r="A95">
        <v>215</v>
      </c>
      <c r="B95" t="s">
        <v>141</v>
      </c>
      <c r="C95">
        <v>2017</v>
      </c>
      <c r="D95">
        <v>4</v>
      </c>
      <c r="E95" t="s">
        <v>100</v>
      </c>
      <c r="F95" t="s">
        <v>426</v>
      </c>
      <c r="G95" t="s">
        <v>427</v>
      </c>
      <c r="H95" t="s">
        <v>84</v>
      </c>
      <c r="I95" t="s">
        <v>428</v>
      </c>
      <c r="J95" t="s">
        <v>381</v>
      </c>
      <c r="K95">
        <v>-627.60684700000002</v>
      </c>
      <c r="L95" t="s">
        <v>381</v>
      </c>
      <c r="M95" t="s">
        <v>383</v>
      </c>
      <c r="N95">
        <v>1.0028054602980501</v>
      </c>
      <c r="O95">
        <v>629.3675730920429</v>
      </c>
      <c r="P95" t="s">
        <v>440</v>
      </c>
      <c r="Q95">
        <v>2</v>
      </c>
      <c r="R95">
        <v>29.947030000000002</v>
      </c>
      <c r="S95">
        <v>4.5999999999999999E-2</v>
      </c>
      <c r="T95">
        <v>1.3775634000000001</v>
      </c>
      <c r="U95">
        <v>0.98099999999999998</v>
      </c>
      <c r="V95">
        <v>1351.39</v>
      </c>
      <c r="W95">
        <v>2</v>
      </c>
      <c r="X95">
        <v>3.6998941799999999E-4</v>
      </c>
      <c r="Y95">
        <v>1</v>
      </c>
      <c r="Z95" s="60">
        <v>629.36757299999999</v>
      </c>
      <c r="AA95" t="s">
        <v>336</v>
      </c>
      <c r="AB95" t="s">
        <v>433</v>
      </c>
      <c r="AC95" t="s">
        <v>425</v>
      </c>
      <c r="AD95" t="s">
        <v>27</v>
      </c>
      <c r="AE95">
        <v>111.133</v>
      </c>
      <c r="AF95">
        <v>0.99819678194932504</v>
      </c>
      <c r="AG95">
        <v>110.9326029683743</v>
      </c>
      <c r="AH95">
        <v>682.07</v>
      </c>
      <c r="AI95">
        <v>1</v>
      </c>
      <c r="AJ95">
        <v>75.663800506639092</v>
      </c>
      <c r="AK95">
        <v>0.99739999999999995</v>
      </c>
      <c r="AL95" s="62">
        <v>75.466999999999999</v>
      </c>
      <c r="AM95">
        <v>8.9176000000000002</v>
      </c>
      <c r="AN95">
        <v>8.9015196227113016</v>
      </c>
      <c r="AO95">
        <v>1</v>
      </c>
      <c r="AP95">
        <v>6071.4594890626977</v>
      </c>
      <c r="AQ95">
        <v>1.0108695652173909</v>
      </c>
      <c r="AR95">
        <v>6137.4535999999998</v>
      </c>
      <c r="AS95" s="60">
        <v>3862714.276632112</v>
      </c>
      <c r="AT95" t="s">
        <v>339</v>
      </c>
      <c r="AU95" t="s">
        <v>433</v>
      </c>
      <c r="AV95" t="s">
        <v>425</v>
      </c>
      <c r="AW95" t="s">
        <v>27</v>
      </c>
      <c r="AX95">
        <v>111.133</v>
      </c>
      <c r="AY95">
        <v>1.0062587218588701</v>
      </c>
      <c r="AZ95">
        <v>111.82855053634179</v>
      </c>
      <c r="BA95">
        <v>655.74</v>
      </c>
      <c r="BB95">
        <v>1</v>
      </c>
      <c r="BC95">
        <v>73.330453728700761</v>
      </c>
      <c r="BD95">
        <v>0.99739999999999995</v>
      </c>
      <c r="BE95" s="62">
        <v>73.14</v>
      </c>
      <c r="BF95">
        <v>8.9176000000000002</v>
      </c>
      <c r="BG95">
        <v>1</v>
      </c>
      <c r="BH95">
        <v>5884.2256950776273</v>
      </c>
      <c r="BI95">
        <v>1.0108695652173909</v>
      </c>
      <c r="BJ95" s="62">
        <v>5948.1846999999998</v>
      </c>
      <c r="BK95" s="60">
        <v>3743594.5683947331</v>
      </c>
    </row>
    <row r="96" spans="1:63" x14ac:dyDescent="0.25">
      <c r="A96">
        <v>215</v>
      </c>
      <c r="B96" t="s">
        <v>141</v>
      </c>
      <c r="C96">
        <v>2017</v>
      </c>
      <c r="D96">
        <v>4</v>
      </c>
      <c r="E96" t="s">
        <v>100</v>
      </c>
      <c r="F96" t="s">
        <v>426</v>
      </c>
      <c r="G96" t="s">
        <v>427</v>
      </c>
      <c r="H96" t="s">
        <v>84</v>
      </c>
      <c r="I96" t="s">
        <v>429</v>
      </c>
      <c r="J96" t="s">
        <v>87</v>
      </c>
      <c r="K96">
        <v>-144.39652699999999</v>
      </c>
      <c r="L96" t="s">
        <v>87</v>
      </c>
      <c r="M96" t="s">
        <v>383</v>
      </c>
      <c r="N96">
        <v>0.96662205245447996</v>
      </c>
      <c r="O96">
        <v>139.5768672960387</v>
      </c>
      <c r="P96" t="s">
        <v>440</v>
      </c>
      <c r="Q96">
        <v>2</v>
      </c>
      <c r="R96">
        <v>29.947030000000002</v>
      </c>
      <c r="S96">
        <v>4.5999999999999999E-2</v>
      </c>
      <c r="T96">
        <v>1.3775634000000001</v>
      </c>
      <c r="U96">
        <v>0.98099999999999998</v>
      </c>
      <c r="V96">
        <v>1351.39</v>
      </c>
      <c r="W96">
        <v>2</v>
      </c>
      <c r="X96">
        <v>3.6998941799999999E-4</v>
      </c>
      <c r="Y96">
        <v>1</v>
      </c>
      <c r="Z96" s="60">
        <v>139.57686699999999</v>
      </c>
      <c r="AA96" t="s">
        <v>336</v>
      </c>
      <c r="AB96" t="s">
        <v>433</v>
      </c>
      <c r="AC96" t="s">
        <v>425</v>
      </c>
      <c r="AD96" t="s">
        <v>27</v>
      </c>
      <c r="AE96">
        <v>111.133</v>
      </c>
      <c r="AF96">
        <v>0.99819678194932504</v>
      </c>
      <c r="AG96">
        <v>110.9326029683743</v>
      </c>
      <c r="AH96">
        <v>682.07</v>
      </c>
      <c r="AI96">
        <v>1</v>
      </c>
      <c r="AJ96">
        <v>75.663800506639092</v>
      </c>
      <c r="AK96">
        <v>0.99739999999999995</v>
      </c>
      <c r="AL96" s="62">
        <v>75.466999999999999</v>
      </c>
      <c r="AM96">
        <v>8.9176000000000002</v>
      </c>
      <c r="AN96">
        <v>8.9015196227113016</v>
      </c>
      <c r="AO96">
        <v>1</v>
      </c>
      <c r="AP96">
        <v>6071.4594890626977</v>
      </c>
      <c r="AQ96">
        <v>1.0108695652173909</v>
      </c>
      <c r="AR96">
        <v>6137.4535999999998</v>
      </c>
      <c r="AS96" s="60">
        <v>856646.54484587116</v>
      </c>
      <c r="AT96" t="s">
        <v>339</v>
      </c>
      <c r="AU96" t="s">
        <v>433</v>
      </c>
      <c r="AV96" t="s">
        <v>425</v>
      </c>
      <c r="AW96" t="s">
        <v>27</v>
      </c>
      <c r="AX96">
        <v>111.133</v>
      </c>
      <c r="AY96">
        <v>1.0062587218588701</v>
      </c>
      <c r="AZ96">
        <v>111.82855053634179</v>
      </c>
      <c r="BA96">
        <v>655.74</v>
      </c>
      <c r="BB96">
        <v>1</v>
      </c>
      <c r="BC96">
        <v>73.330453728700761</v>
      </c>
      <c r="BD96">
        <v>0.99739999999999995</v>
      </c>
      <c r="BE96" s="62">
        <v>73.14</v>
      </c>
      <c r="BF96">
        <v>8.9176000000000002</v>
      </c>
      <c r="BG96">
        <v>1</v>
      </c>
      <c r="BH96">
        <v>5884.2256950776273</v>
      </c>
      <c r="BI96">
        <v>1.0108695652173909</v>
      </c>
      <c r="BJ96" s="62">
        <v>5948.1846999999998</v>
      </c>
      <c r="BK96" s="60">
        <v>830228.98476333485</v>
      </c>
    </row>
    <row r="97" spans="1:63" x14ac:dyDescent="0.25">
      <c r="A97">
        <v>215</v>
      </c>
      <c r="B97" t="s">
        <v>141</v>
      </c>
      <c r="C97">
        <v>2017</v>
      </c>
      <c r="D97">
        <v>4</v>
      </c>
      <c r="E97" t="s">
        <v>100</v>
      </c>
      <c r="F97" t="s">
        <v>426</v>
      </c>
      <c r="G97" t="s">
        <v>427</v>
      </c>
      <c r="H97" t="s">
        <v>84</v>
      </c>
      <c r="I97" t="s">
        <v>430</v>
      </c>
      <c r="J97" t="s">
        <v>59</v>
      </c>
      <c r="K97">
        <v>-307.28832304999997</v>
      </c>
      <c r="L97" t="s">
        <v>59</v>
      </c>
      <c r="M97" t="s">
        <v>383</v>
      </c>
      <c r="N97">
        <v>0.99151283514844002</v>
      </c>
      <c r="O97">
        <v>304.68031639531517</v>
      </c>
      <c r="P97" t="s">
        <v>440</v>
      </c>
      <c r="Q97">
        <v>2</v>
      </c>
      <c r="R97">
        <v>29.947030000000002</v>
      </c>
      <c r="S97">
        <v>4.5999999999999999E-2</v>
      </c>
      <c r="T97">
        <v>1.3775634000000001</v>
      </c>
      <c r="U97">
        <v>0.98099999999999998</v>
      </c>
      <c r="V97">
        <v>1351.39</v>
      </c>
      <c r="W97">
        <v>2</v>
      </c>
      <c r="X97">
        <v>3.6998941799999999E-4</v>
      </c>
      <c r="Y97">
        <v>1</v>
      </c>
      <c r="Z97" s="60">
        <v>304.680316</v>
      </c>
      <c r="AA97" t="s">
        <v>336</v>
      </c>
      <c r="AB97" t="s">
        <v>433</v>
      </c>
      <c r="AC97" t="s">
        <v>425</v>
      </c>
      <c r="AD97" t="s">
        <v>27</v>
      </c>
      <c r="AE97">
        <v>111.133</v>
      </c>
      <c r="AF97">
        <v>0.99819678194932504</v>
      </c>
      <c r="AG97">
        <v>110.9326029683743</v>
      </c>
      <c r="AH97">
        <v>682.07</v>
      </c>
      <c r="AI97">
        <v>1</v>
      </c>
      <c r="AJ97">
        <v>75.663800506639092</v>
      </c>
      <c r="AK97">
        <v>0.99739999999999995</v>
      </c>
      <c r="AL97" s="62">
        <v>75.466999999999999</v>
      </c>
      <c r="AM97">
        <v>8.9176000000000002</v>
      </c>
      <c r="AN97">
        <v>8.9015196227113016</v>
      </c>
      <c r="AO97">
        <v>1</v>
      </c>
      <c r="AP97">
        <v>6071.4594890626977</v>
      </c>
      <c r="AQ97">
        <v>1.0108695652173909</v>
      </c>
      <c r="AR97">
        <v>6137.4535999999998</v>
      </c>
      <c r="AS97" s="60">
        <v>1869961.302283338</v>
      </c>
      <c r="AT97" t="s">
        <v>339</v>
      </c>
      <c r="AU97" t="s">
        <v>433</v>
      </c>
      <c r="AV97" t="s">
        <v>425</v>
      </c>
      <c r="AW97" t="s">
        <v>27</v>
      </c>
      <c r="AX97">
        <v>111.133</v>
      </c>
      <c r="AY97">
        <v>1.0062587218588701</v>
      </c>
      <c r="AZ97">
        <v>111.82855053634179</v>
      </c>
      <c r="BA97">
        <v>655.74</v>
      </c>
      <c r="BB97">
        <v>1</v>
      </c>
      <c r="BC97">
        <v>73.330453728700761</v>
      </c>
      <c r="BD97">
        <v>0.99739999999999995</v>
      </c>
      <c r="BE97" s="62">
        <v>73.14</v>
      </c>
      <c r="BF97">
        <v>8.9176000000000002</v>
      </c>
      <c r="BG97">
        <v>1</v>
      </c>
      <c r="BH97">
        <v>5884.2256950776273</v>
      </c>
      <c r="BI97">
        <v>1.0108695652173909</v>
      </c>
      <c r="BJ97" s="62">
        <v>5948.1846999999998</v>
      </c>
      <c r="BK97" s="60">
        <v>1812294.794022365</v>
      </c>
    </row>
    <row r="98" spans="1:63" x14ac:dyDescent="0.25">
      <c r="A98">
        <v>233</v>
      </c>
      <c r="B98" t="s">
        <v>144</v>
      </c>
      <c r="C98">
        <v>2017</v>
      </c>
      <c r="D98">
        <v>5</v>
      </c>
      <c r="E98" t="s">
        <v>100</v>
      </c>
      <c r="F98" t="s">
        <v>426</v>
      </c>
      <c r="G98" t="s">
        <v>427</v>
      </c>
      <c r="H98" t="s">
        <v>84</v>
      </c>
      <c r="I98" t="s">
        <v>428</v>
      </c>
      <c r="J98" t="s">
        <v>381</v>
      </c>
      <c r="K98">
        <v>-592.70822071999999</v>
      </c>
      <c r="L98" t="s">
        <v>381</v>
      </c>
      <c r="M98" t="s">
        <v>382</v>
      </c>
      <c r="N98">
        <v>1.486442100004E-2</v>
      </c>
      <c r="O98">
        <v>8.8102645229667118</v>
      </c>
      <c r="P98" t="s">
        <v>440</v>
      </c>
      <c r="Q98">
        <v>2</v>
      </c>
      <c r="R98">
        <v>29.947030000000002</v>
      </c>
      <c r="S98">
        <v>6.7000000000000004E-2</v>
      </c>
      <c r="T98">
        <v>2.0064510000000002</v>
      </c>
      <c r="U98">
        <v>1.9E-2</v>
      </c>
      <c r="V98">
        <v>38.122999999999998</v>
      </c>
      <c r="W98">
        <v>2</v>
      </c>
      <c r="X98">
        <v>1.3115442122E-2</v>
      </c>
      <c r="Y98">
        <v>1</v>
      </c>
      <c r="Z98" s="60">
        <v>8.8102649999999993</v>
      </c>
      <c r="AA98" t="s">
        <v>336</v>
      </c>
      <c r="AB98" t="s">
        <v>433</v>
      </c>
      <c r="AC98" t="s">
        <v>425</v>
      </c>
      <c r="AD98" t="s">
        <v>81</v>
      </c>
      <c r="AE98">
        <v>111.133</v>
      </c>
      <c r="AF98">
        <v>0.99819678194932504</v>
      </c>
      <c r="AG98">
        <v>110.9326029683743</v>
      </c>
      <c r="AH98">
        <v>682.07</v>
      </c>
      <c r="AI98">
        <v>1</v>
      </c>
      <c r="AJ98">
        <v>75.663800506639092</v>
      </c>
      <c r="AK98">
        <v>0.92979999999999996</v>
      </c>
      <c r="AL98" s="62">
        <v>70.352000000000004</v>
      </c>
      <c r="AM98">
        <v>8.9176000000000002</v>
      </c>
      <c r="AN98">
        <v>8.9015196227113016</v>
      </c>
      <c r="AO98">
        <v>1</v>
      </c>
      <c r="AP98">
        <v>6071.4594890626977</v>
      </c>
      <c r="AQ98">
        <v>1.0375922509225091</v>
      </c>
      <c r="AR98">
        <v>6299.6993000000002</v>
      </c>
      <c r="AS98" s="60">
        <v>55502.020253314498</v>
      </c>
      <c r="AT98" t="s">
        <v>339</v>
      </c>
      <c r="AU98" t="s">
        <v>433</v>
      </c>
      <c r="AV98" t="s">
        <v>425</v>
      </c>
      <c r="AW98" t="s">
        <v>81</v>
      </c>
      <c r="AX98">
        <v>111.133</v>
      </c>
      <c r="AY98">
        <v>1.0062587218588701</v>
      </c>
      <c r="AZ98">
        <v>111.82855053634179</v>
      </c>
      <c r="BA98">
        <v>671.54</v>
      </c>
      <c r="BB98">
        <v>1</v>
      </c>
      <c r="BC98">
        <v>75.09734482717495</v>
      </c>
      <c r="BD98">
        <v>0.92979999999999996</v>
      </c>
      <c r="BE98" s="62">
        <v>69.825999999999993</v>
      </c>
      <c r="BF98">
        <v>8.9176000000000002</v>
      </c>
      <c r="BG98">
        <v>1</v>
      </c>
      <c r="BH98">
        <v>6026.0056169707959</v>
      </c>
      <c r="BI98">
        <v>1.0375922509225091</v>
      </c>
      <c r="BJ98" s="62">
        <v>6252.5366999999997</v>
      </c>
      <c r="BK98" s="60">
        <v>55086.505249225491</v>
      </c>
    </row>
    <row r="99" spans="1:63" x14ac:dyDescent="0.25">
      <c r="A99">
        <v>233</v>
      </c>
      <c r="B99" t="s">
        <v>144</v>
      </c>
      <c r="C99">
        <v>2017</v>
      </c>
      <c r="D99">
        <v>5</v>
      </c>
      <c r="E99" t="s">
        <v>100</v>
      </c>
      <c r="F99" t="s">
        <v>426</v>
      </c>
      <c r="G99" t="s">
        <v>427</v>
      </c>
      <c r="H99" t="s">
        <v>84</v>
      </c>
      <c r="I99" t="s">
        <v>429</v>
      </c>
      <c r="J99" t="s">
        <v>87</v>
      </c>
      <c r="K99">
        <v>-137.77261236999999</v>
      </c>
      <c r="L99" t="s">
        <v>87</v>
      </c>
      <c r="M99" t="s">
        <v>382</v>
      </c>
      <c r="N99">
        <v>2.6818326000539999E-2</v>
      </c>
      <c r="O99">
        <v>3.6948308324846901</v>
      </c>
      <c r="P99" t="s">
        <v>440</v>
      </c>
      <c r="Q99">
        <v>2</v>
      </c>
      <c r="R99">
        <v>29.947030000000002</v>
      </c>
      <c r="S99">
        <v>6.7000000000000004E-2</v>
      </c>
      <c r="T99">
        <v>2.0064510000000002</v>
      </c>
      <c r="U99">
        <v>1.9E-2</v>
      </c>
      <c r="V99">
        <v>38.122999999999998</v>
      </c>
      <c r="W99">
        <v>2</v>
      </c>
      <c r="X99">
        <v>1.3115442122E-2</v>
      </c>
      <c r="Y99">
        <v>1</v>
      </c>
      <c r="Z99" s="60">
        <v>3.6948310000000002</v>
      </c>
      <c r="AA99" t="s">
        <v>336</v>
      </c>
      <c r="AB99" t="s">
        <v>433</v>
      </c>
      <c r="AC99" t="s">
        <v>425</v>
      </c>
      <c r="AD99" t="s">
        <v>81</v>
      </c>
      <c r="AE99">
        <v>111.133</v>
      </c>
      <c r="AF99">
        <v>0.99819678194932504</v>
      </c>
      <c r="AG99">
        <v>110.9326029683743</v>
      </c>
      <c r="AH99">
        <v>682.07</v>
      </c>
      <c r="AI99">
        <v>1</v>
      </c>
      <c r="AJ99">
        <v>75.663800506639092</v>
      </c>
      <c r="AK99">
        <v>0.92979999999999996</v>
      </c>
      <c r="AL99" s="62">
        <v>70.352000000000004</v>
      </c>
      <c r="AM99">
        <v>8.9176000000000002</v>
      </c>
      <c r="AN99">
        <v>8.9015196227113016</v>
      </c>
      <c r="AO99">
        <v>1</v>
      </c>
      <c r="AP99">
        <v>6071.4594890626977</v>
      </c>
      <c r="AQ99">
        <v>1.0375922509225091</v>
      </c>
      <c r="AR99">
        <v>6299.6993000000002</v>
      </c>
      <c r="AS99" s="60">
        <v>23276.3242643183</v>
      </c>
      <c r="AT99" t="s">
        <v>339</v>
      </c>
      <c r="AU99" t="s">
        <v>433</v>
      </c>
      <c r="AV99" t="s">
        <v>425</v>
      </c>
      <c r="AW99" t="s">
        <v>81</v>
      </c>
      <c r="AX99">
        <v>111.133</v>
      </c>
      <c r="AY99">
        <v>1.0062587218588701</v>
      </c>
      <c r="AZ99">
        <v>111.82855053634179</v>
      </c>
      <c r="BA99">
        <v>671.54</v>
      </c>
      <c r="BB99">
        <v>1</v>
      </c>
      <c r="BC99">
        <v>75.09734482717495</v>
      </c>
      <c r="BD99">
        <v>0.92979999999999996</v>
      </c>
      <c r="BE99" s="62">
        <v>69.825999999999993</v>
      </c>
      <c r="BF99">
        <v>8.9176000000000002</v>
      </c>
      <c r="BG99">
        <v>1</v>
      </c>
      <c r="BH99">
        <v>6026.0056169707959</v>
      </c>
      <c r="BI99">
        <v>1.0375922509225091</v>
      </c>
      <c r="BJ99" s="62">
        <v>6252.5366999999997</v>
      </c>
      <c r="BK99" s="60">
        <v>23102.066427797701</v>
      </c>
    </row>
    <row r="100" spans="1:63" x14ac:dyDescent="0.25">
      <c r="A100">
        <v>233</v>
      </c>
      <c r="B100" t="s">
        <v>144</v>
      </c>
      <c r="C100">
        <v>2017</v>
      </c>
      <c r="D100">
        <v>5</v>
      </c>
      <c r="E100" t="s">
        <v>100</v>
      </c>
      <c r="F100" t="s">
        <v>426</v>
      </c>
      <c r="G100" t="s">
        <v>427</v>
      </c>
      <c r="H100" t="s">
        <v>84</v>
      </c>
      <c r="I100" t="s">
        <v>430</v>
      </c>
      <c r="J100" t="s">
        <v>59</v>
      </c>
      <c r="K100">
        <v>-329.48112725999999</v>
      </c>
      <c r="L100" t="s">
        <v>59</v>
      </c>
      <c r="M100" t="s">
        <v>382</v>
      </c>
      <c r="N100">
        <v>2.6402537999979998E-2</v>
      </c>
      <c r="O100">
        <v>8.6991379827583959</v>
      </c>
      <c r="P100" t="s">
        <v>440</v>
      </c>
      <c r="Q100">
        <v>2</v>
      </c>
      <c r="R100">
        <v>29.947030000000002</v>
      </c>
      <c r="S100">
        <v>6.7000000000000004E-2</v>
      </c>
      <c r="T100">
        <v>2.0064510000000002</v>
      </c>
      <c r="U100">
        <v>1.9E-2</v>
      </c>
      <c r="V100">
        <v>38.122999999999998</v>
      </c>
      <c r="W100">
        <v>2</v>
      </c>
      <c r="X100">
        <v>1.3115442122E-2</v>
      </c>
      <c r="Y100">
        <v>1</v>
      </c>
      <c r="Z100" s="60">
        <v>8.6991379999999996</v>
      </c>
      <c r="AA100" t="s">
        <v>336</v>
      </c>
      <c r="AB100" t="s">
        <v>433</v>
      </c>
      <c r="AC100" t="s">
        <v>425</v>
      </c>
      <c r="AD100" t="s">
        <v>81</v>
      </c>
      <c r="AE100">
        <v>111.133</v>
      </c>
      <c r="AF100">
        <v>0.99819678194932504</v>
      </c>
      <c r="AG100">
        <v>110.9326029683743</v>
      </c>
      <c r="AH100">
        <v>682.07</v>
      </c>
      <c r="AI100">
        <v>1</v>
      </c>
      <c r="AJ100">
        <v>75.663800506639092</v>
      </c>
      <c r="AK100">
        <v>0.92979999999999996</v>
      </c>
      <c r="AL100" s="62">
        <v>70.352000000000004</v>
      </c>
      <c r="AM100">
        <v>8.9176000000000002</v>
      </c>
      <c r="AN100">
        <v>8.9015196227113016</v>
      </c>
      <c r="AO100">
        <v>1</v>
      </c>
      <c r="AP100">
        <v>6071.4594890626977</v>
      </c>
      <c r="AQ100">
        <v>1.0375922509225091</v>
      </c>
      <c r="AR100">
        <v>6299.6993000000002</v>
      </c>
      <c r="AS100" s="60">
        <v>54801.953569203397</v>
      </c>
      <c r="AT100" t="s">
        <v>339</v>
      </c>
      <c r="AU100" t="s">
        <v>433</v>
      </c>
      <c r="AV100" t="s">
        <v>425</v>
      </c>
      <c r="AW100" t="s">
        <v>81</v>
      </c>
      <c r="AX100">
        <v>111.133</v>
      </c>
      <c r="AY100">
        <v>1.0062587218588701</v>
      </c>
      <c r="AZ100">
        <v>111.82855053634179</v>
      </c>
      <c r="BA100">
        <v>671.54</v>
      </c>
      <c r="BB100">
        <v>1</v>
      </c>
      <c r="BC100">
        <v>75.09734482717495</v>
      </c>
      <c r="BD100">
        <v>0.92979999999999996</v>
      </c>
      <c r="BE100" s="62">
        <v>69.825999999999993</v>
      </c>
      <c r="BF100">
        <v>8.9176000000000002</v>
      </c>
      <c r="BG100">
        <v>1</v>
      </c>
      <c r="BH100">
        <v>6026.0056169707959</v>
      </c>
      <c r="BI100">
        <v>1.0375922509225091</v>
      </c>
      <c r="BJ100" s="62">
        <v>6252.5366999999997</v>
      </c>
      <c r="BK100" s="60">
        <v>54391.679603364602</v>
      </c>
    </row>
    <row r="101" spans="1:63" x14ac:dyDescent="0.25">
      <c r="A101">
        <v>235</v>
      </c>
      <c r="B101" t="s">
        <v>144</v>
      </c>
      <c r="C101">
        <v>2017</v>
      </c>
      <c r="D101">
        <v>5</v>
      </c>
      <c r="E101" t="s">
        <v>100</v>
      </c>
      <c r="F101" t="s">
        <v>426</v>
      </c>
      <c r="G101" t="s">
        <v>427</v>
      </c>
      <c r="H101" t="s">
        <v>84</v>
      </c>
      <c r="I101" t="s">
        <v>428</v>
      </c>
      <c r="J101" t="s">
        <v>381</v>
      </c>
      <c r="K101">
        <v>-592.70822071999999</v>
      </c>
      <c r="L101" t="s">
        <v>381</v>
      </c>
      <c r="M101" t="s">
        <v>383</v>
      </c>
      <c r="N101">
        <v>1.0246055790000901</v>
      </c>
      <c r="O101">
        <v>607.2921496689288</v>
      </c>
      <c r="P101" t="s">
        <v>440</v>
      </c>
      <c r="Q101">
        <v>2</v>
      </c>
      <c r="R101">
        <v>29.947030000000002</v>
      </c>
      <c r="S101">
        <v>6.7000000000000004E-2</v>
      </c>
      <c r="T101">
        <v>2.0064510000000002</v>
      </c>
      <c r="U101">
        <v>0.98099999999999998</v>
      </c>
      <c r="V101">
        <v>1968.328</v>
      </c>
      <c r="W101">
        <v>2</v>
      </c>
      <c r="X101">
        <v>2.5402270400000002E-4</v>
      </c>
      <c r="Y101">
        <v>1</v>
      </c>
      <c r="Z101" s="60">
        <v>607.29214999999999</v>
      </c>
      <c r="AA101" t="s">
        <v>336</v>
      </c>
      <c r="AB101" t="s">
        <v>433</v>
      </c>
      <c r="AC101" t="s">
        <v>425</v>
      </c>
      <c r="AD101" t="s">
        <v>27</v>
      </c>
      <c r="AE101">
        <v>111.133</v>
      </c>
      <c r="AF101">
        <v>0.99819678194932504</v>
      </c>
      <c r="AG101">
        <v>110.9326029683743</v>
      </c>
      <c r="AH101">
        <v>682.07</v>
      </c>
      <c r="AI101">
        <v>1</v>
      </c>
      <c r="AJ101">
        <v>75.663800506639092</v>
      </c>
      <c r="AK101">
        <v>0.99739999999999995</v>
      </c>
      <c r="AL101" s="62">
        <v>75.466999999999999</v>
      </c>
      <c r="AM101">
        <v>8.9176000000000002</v>
      </c>
      <c r="AN101">
        <v>8.9015196227113016</v>
      </c>
      <c r="AO101">
        <v>1</v>
      </c>
      <c r="AP101">
        <v>6071.4594890626977</v>
      </c>
      <c r="AQ101">
        <v>1.0108695652173909</v>
      </c>
      <c r="AR101">
        <v>6137.4535999999998</v>
      </c>
      <c r="AS101" s="60">
        <v>3727227.3922692402</v>
      </c>
      <c r="AT101" t="s">
        <v>339</v>
      </c>
      <c r="AU101" t="s">
        <v>433</v>
      </c>
      <c r="AV101" t="s">
        <v>425</v>
      </c>
      <c r="AW101" t="s">
        <v>27</v>
      </c>
      <c r="AX101">
        <v>111.133</v>
      </c>
      <c r="AY101">
        <v>1.0062587218588701</v>
      </c>
      <c r="AZ101">
        <v>111.82855053634179</v>
      </c>
      <c r="BA101">
        <v>671.54</v>
      </c>
      <c r="BB101">
        <v>1</v>
      </c>
      <c r="BC101">
        <v>75.09734482717495</v>
      </c>
      <c r="BD101">
        <v>0.99739999999999995</v>
      </c>
      <c r="BE101" s="62">
        <v>74.902000000000001</v>
      </c>
      <c r="BF101">
        <v>8.9176000000000002</v>
      </c>
      <c r="BG101">
        <v>1</v>
      </c>
      <c r="BH101">
        <v>6026.0056169707959</v>
      </c>
      <c r="BI101">
        <v>1.0108695652173909</v>
      </c>
      <c r="BJ101" s="62">
        <v>6091.5056999999997</v>
      </c>
      <c r="BK101" s="60">
        <v>3699323.5932902549</v>
      </c>
    </row>
    <row r="102" spans="1:63" x14ac:dyDescent="0.25">
      <c r="A102">
        <v>235</v>
      </c>
      <c r="B102" t="s">
        <v>144</v>
      </c>
      <c r="C102">
        <v>2017</v>
      </c>
      <c r="D102">
        <v>5</v>
      </c>
      <c r="E102" t="s">
        <v>100</v>
      </c>
      <c r="F102" t="s">
        <v>426</v>
      </c>
      <c r="G102" t="s">
        <v>427</v>
      </c>
      <c r="H102" t="s">
        <v>84</v>
      </c>
      <c r="I102" t="s">
        <v>429</v>
      </c>
      <c r="J102" t="s">
        <v>87</v>
      </c>
      <c r="K102">
        <v>-137.77261236999999</v>
      </c>
      <c r="L102" t="s">
        <v>87</v>
      </c>
      <c r="M102" t="s">
        <v>383</v>
      </c>
      <c r="N102">
        <v>1.01265167400027</v>
      </c>
      <c r="O102">
        <v>139.51566654787081</v>
      </c>
      <c r="P102" t="s">
        <v>440</v>
      </c>
      <c r="Q102">
        <v>2</v>
      </c>
      <c r="R102">
        <v>29.947030000000002</v>
      </c>
      <c r="S102">
        <v>6.7000000000000004E-2</v>
      </c>
      <c r="T102">
        <v>2.0064510000000002</v>
      </c>
      <c r="U102">
        <v>0.98099999999999998</v>
      </c>
      <c r="V102">
        <v>1968.328</v>
      </c>
      <c r="W102">
        <v>2</v>
      </c>
      <c r="X102">
        <v>2.5402270400000002E-4</v>
      </c>
      <c r="Y102">
        <v>1</v>
      </c>
      <c r="Z102" s="60">
        <v>139.51566700000001</v>
      </c>
      <c r="AA102" t="s">
        <v>336</v>
      </c>
      <c r="AB102" t="s">
        <v>433</v>
      </c>
      <c r="AC102" t="s">
        <v>425</v>
      </c>
      <c r="AD102" t="s">
        <v>27</v>
      </c>
      <c r="AE102">
        <v>111.133</v>
      </c>
      <c r="AF102">
        <v>0.99819678194932504</v>
      </c>
      <c r="AG102">
        <v>110.9326029683743</v>
      </c>
      <c r="AH102">
        <v>682.07</v>
      </c>
      <c r="AI102">
        <v>1</v>
      </c>
      <c r="AJ102">
        <v>75.663800506639092</v>
      </c>
      <c r="AK102">
        <v>0.99739999999999995</v>
      </c>
      <c r="AL102" s="62">
        <v>75.466999999999999</v>
      </c>
      <c r="AM102">
        <v>8.9176000000000002</v>
      </c>
      <c r="AN102">
        <v>8.9015196227113016</v>
      </c>
      <c r="AO102">
        <v>1</v>
      </c>
      <c r="AP102">
        <v>6071.4594890626977</v>
      </c>
      <c r="AQ102">
        <v>1.0108695652173909</v>
      </c>
      <c r="AR102">
        <v>6137.4535999999998</v>
      </c>
      <c r="AS102" s="60">
        <v>856270.93268555123</v>
      </c>
      <c r="AT102" t="s">
        <v>339</v>
      </c>
      <c r="AU102" t="s">
        <v>433</v>
      </c>
      <c r="AV102" t="s">
        <v>425</v>
      </c>
      <c r="AW102" t="s">
        <v>27</v>
      </c>
      <c r="AX102">
        <v>111.133</v>
      </c>
      <c r="AY102">
        <v>1.0062587218588701</v>
      </c>
      <c r="AZ102">
        <v>111.82855053634179</v>
      </c>
      <c r="BA102">
        <v>671.54</v>
      </c>
      <c r="BB102">
        <v>1</v>
      </c>
      <c r="BC102">
        <v>75.09734482717495</v>
      </c>
      <c r="BD102">
        <v>0.99739999999999995</v>
      </c>
      <c r="BE102" s="62">
        <v>74.902000000000001</v>
      </c>
      <c r="BF102">
        <v>8.9176000000000002</v>
      </c>
      <c r="BG102">
        <v>1</v>
      </c>
      <c r="BH102">
        <v>6026.0056169707959</v>
      </c>
      <c r="BI102">
        <v>1.0108695652173909</v>
      </c>
      <c r="BJ102" s="62">
        <v>6091.5056999999997</v>
      </c>
      <c r="BK102" s="60">
        <v>849860.48076980188</v>
      </c>
    </row>
    <row r="103" spans="1:63" x14ac:dyDescent="0.25">
      <c r="A103">
        <v>235</v>
      </c>
      <c r="B103" t="s">
        <v>144</v>
      </c>
      <c r="C103">
        <v>2017</v>
      </c>
      <c r="D103">
        <v>5</v>
      </c>
      <c r="E103" t="s">
        <v>100</v>
      </c>
      <c r="F103" t="s">
        <v>426</v>
      </c>
      <c r="G103" t="s">
        <v>427</v>
      </c>
      <c r="H103" t="s">
        <v>84</v>
      </c>
      <c r="I103" t="s">
        <v>430</v>
      </c>
      <c r="J103" t="s">
        <v>59</v>
      </c>
      <c r="K103">
        <v>-329.48112725999999</v>
      </c>
      <c r="L103" t="s">
        <v>59</v>
      </c>
      <c r="M103" t="s">
        <v>383</v>
      </c>
      <c r="N103">
        <v>1.0130674620003099</v>
      </c>
      <c r="O103">
        <v>333.78660937028928</v>
      </c>
      <c r="P103" t="s">
        <v>440</v>
      </c>
      <c r="Q103">
        <v>2</v>
      </c>
      <c r="R103">
        <v>29.947030000000002</v>
      </c>
      <c r="S103">
        <v>6.7000000000000004E-2</v>
      </c>
      <c r="T103">
        <v>2.0064510000000002</v>
      </c>
      <c r="U103">
        <v>0.98099999999999998</v>
      </c>
      <c r="V103">
        <v>1968.328</v>
      </c>
      <c r="W103">
        <v>2</v>
      </c>
      <c r="X103">
        <v>2.5402270400000002E-4</v>
      </c>
      <c r="Y103">
        <v>1</v>
      </c>
      <c r="Z103" s="60">
        <v>333.786609</v>
      </c>
      <c r="AA103" t="s">
        <v>336</v>
      </c>
      <c r="AB103" t="s">
        <v>433</v>
      </c>
      <c r="AC103" t="s">
        <v>425</v>
      </c>
      <c r="AD103" t="s">
        <v>27</v>
      </c>
      <c r="AE103">
        <v>111.133</v>
      </c>
      <c r="AF103">
        <v>0.99819678194932504</v>
      </c>
      <c r="AG103">
        <v>110.9326029683743</v>
      </c>
      <c r="AH103">
        <v>682.07</v>
      </c>
      <c r="AI103">
        <v>1</v>
      </c>
      <c r="AJ103">
        <v>75.663800506639092</v>
      </c>
      <c r="AK103">
        <v>0.99739999999999995</v>
      </c>
      <c r="AL103" s="62">
        <v>75.466999999999999</v>
      </c>
      <c r="AM103">
        <v>8.9176000000000002</v>
      </c>
      <c r="AN103">
        <v>8.9015196227113016</v>
      </c>
      <c r="AO103">
        <v>1</v>
      </c>
      <c r="AP103">
        <v>6071.4594890626977</v>
      </c>
      <c r="AQ103">
        <v>1.0108695652173909</v>
      </c>
      <c r="AR103">
        <v>6137.4535999999998</v>
      </c>
      <c r="AS103" s="60">
        <v>2048599.8250388419</v>
      </c>
      <c r="AT103" t="s">
        <v>339</v>
      </c>
      <c r="AU103" t="s">
        <v>433</v>
      </c>
      <c r="AV103" t="s">
        <v>425</v>
      </c>
      <c r="AW103" t="s">
        <v>27</v>
      </c>
      <c r="AX103">
        <v>111.133</v>
      </c>
      <c r="AY103">
        <v>1.0062587218588701</v>
      </c>
      <c r="AZ103">
        <v>111.82855053634179</v>
      </c>
      <c r="BA103">
        <v>671.54</v>
      </c>
      <c r="BB103">
        <v>1</v>
      </c>
      <c r="BC103">
        <v>75.09734482717495</v>
      </c>
      <c r="BD103">
        <v>0.99739999999999995</v>
      </c>
      <c r="BE103" s="62">
        <v>74.902000000000001</v>
      </c>
      <c r="BF103">
        <v>8.9176000000000002</v>
      </c>
      <c r="BG103">
        <v>1</v>
      </c>
      <c r="BH103">
        <v>6026.0056169707959</v>
      </c>
      <c r="BI103">
        <v>1.0108695652173909</v>
      </c>
      <c r="BJ103" s="62">
        <v>6091.5056999999997</v>
      </c>
      <c r="BK103" s="60">
        <v>2033263.0313071711</v>
      </c>
    </row>
    <row r="104" spans="1:63" x14ac:dyDescent="0.25">
      <c r="A104">
        <v>253</v>
      </c>
      <c r="B104" t="s">
        <v>143</v>
      </c>
      <c r="C104">
        <v>2017</v>
      </c>
      <c r="D104">
        <v>6</v>
      </c>
      <c r="E104" t="s">
        <v>100</v>
      </c>
      <c r="F104" t="s">
        <v>426</v>
      </c>
      <c r="G104" t="s">
        <v>427</v>
      </c>
      <c r="H104" t="s">
        <v>84</v>
      </c>
      <c r="I104" t="s">
        <v>428</v>
      </c>
      <c r="J104" t="s">
        <v>381</v>
      </c>
      <c r="K104">
        <v>-602.12437604000002</v>
      </c>
      <c r="L104" t="s">
        <v>381</v>
      </c>
      <c r="M104" t="s">
        <v>382</v>
      </c>
      <c r="N104">
        <v>1.4864421000100001E-2</v>
      </c>
      <c r="O104">
        <v>8.9502302198810852</v>
      </c>
      <c r="P104" t="s">
        <v>440</v>
      </c>
      <c r="Q104">
        <v>2</v>
      </c>
      <c r="R104">
        <v>29.947030000000002</v>
      </c>
      <c r="S104">
        <v>6.9000000000000006E-2</v>
      </c>
      <c r="T104">
        <v>2.0663450999999999</v>
      </c>
      <c r="U104">
        <v>1.9E-2</v>
      </c>
      <c r="V104">
        <v>39.261000000000003</v>
      </c>
      <c r="W104">
        <v>2</v>
      </c>
      <c r="X104">
        <v>1.2735284378999999E-2</v>
      </c>
      <c r="Y104">
        <v>1</v>
      </c>
      <c r="Z104" s="60">
        <v>8.9502299999999995</v>
      </c>
      <c r="AA104" t="s">
        <v>336</v>
      </c>
      <c r="AB104" t="s">
        <v>433</v>
      </c>
      <c r="AC104" t="s">
        <v>425</v>
      </c>
      <c r="AD104" t="s">
        <v>81</v>
      </c>
      <c r="AE104">
        <v>111.133</v>
      </c>
      <c r="AF104">
        <v>0.99819678194932504</v>
      </c>
      <c r="AG104">
        <v>110.9326029683743</v>
      </c>
      <c r="AH104">
        <v>682.07</v>
      </c>
      <c r="AI104">
        <v>1</v>
      </c>
      <c r="AJ104">
        <v>75.663800506639092</v>
      </c>
      <c r="AK104">
        <v>0.92979999999999996</v>
      </c>
      <c r="AL104" s="62">
        <v>70.352000000000004</v>
      </c>
      <c r="AM104">
        <v>8.9176000000000002</v>
      </c>
      <c r="AN104">
        <v>8.9015196227113016</v>
      </c>
      <c r="AO104">
        <v>1</v>
      </c>
      <c r="AP104">
        <v>6071.4594890626977</v>
      </c>
      <c r="AQ104">
        <v>1.0375922509225091</v>
      </c>
      <c r="AR104">
        <v>6299.6993000000002</v>
      </c>
      <c r="AS104" s="60">
        <v>56383.757665839003</v>
      </c>
      <c r="AT104" t="s">
        <v>339</v>
      </c>
      <c r="AU104" t="s">
        <v>433</v>
      </c>
      <c r="AV104" t="s">
        <v>425</v>
      </c>
      <c r="AW104" t="s">
        <v>81</v>
      </c>
      <c r="AX104">
        <v>111.133</v>
      </c>
      <c r="AY104">
        <v>1.0062587218588701</v>
      </c>
      <c r="AZ104">
        <v>111.82855053634179</v>
      </c>
      <c r="BA104">
        <v>665.15</v>
      </c>
      <c r="BB104">
        <v>1</v>
      </c>
      <c r="BC104">
        <v>74.382760389247736</v>
      </c>
      <c r="BD104">
        <v>0.92979999999999996</v>
      </c>
      <c r="BE104" s="62">
        <v>69.161000000000001</v>
      </c>
      <c r="BF104">
        <v>8.9176000000000002</v>
      </c>
      <c r="BG104">
        <v>1</v>
      </c>
      <c r="BH104">
        <v>5968.6655093190648</v>
      </c>
      <c r="BI104">
        <v>1.0375922509225091</v>
      </c>
      <c r="BJ104" s="62">
        <v>6193.0411000000004</v>
      </c>
      <c r="BK104" s="60">
        <v>55429.142244453004</v>
      </c>
    </row>
    <row r="105" spans="1:63" x14ac:dyDescent="0.25">
      <c r="A105">
        <v>253</v>
      </c>
      <c r="B105" t="s">
        <v>143</v>
      </c>
      <c r="C105">
        <v>2017</v>
      </c>
      <c r="D105">
        <v>6</v>
      </c>
      <c r="E105" t="s">
        <v>100</v>
      </c>
      <c r="F105" t="s">
        <v>426</v>
      </c>
      <c r="G105" t="s">
        <v>427</v>
      </c>
      <c r="H105" t="s">
        <v>84</v>
      </c>
      <c r="I105" t="s">
        <v>429</v>
      </c>
      <c r="J105" t="s">
        <v>87</v>
      </c>
      <c r="K105">
        <v>-124.91985214</v>
      </c>
      <c r="L105" t="s">
        <v>87</v>
      </c>
      <c r="M105" t="s">
        <v>382</v>
      </c>
      <c r="N105">
        <v>2.6818326000169999E-2</v>
      </c>
      <c r="O105">
        <v>3.350141318583554</v>
      </c>
      <c r="P105" t="s">
        <v>440</v>
      </c>
      <c r="Q105">
        <v>2</v>
      </c>
      <c r="R105">
        <v>29.947030000000002</v>
      </c>
      <c r="S105">
        <v>6.9000000000000006E-2</v>
      </c>
      <c r="T105">
        <v>2.0663450999999999</v>
      </c>
      <c r="U105">
        <v>1.9E-2</v>
      </c>
      <c r="V105">
        <v>39.261000000000003</v>
      </c>
      <c r="W105">
        <v>2</v>
      </c>
      <c r="X105">
        <v>1.2735284378999999E-2</v>
      </c>
      <c r="Y105">
        <v>1</v>
      </c>
      <c r="Z105" s="60">
        <v>3.3501409999999998</v>
      </c>
      <c r="AA105" t="s">
        <v>336</v>
      </c>
      <c r="AB105" t="s">
        <v>433</v>
      </c>
      <c r="AC105" t="s">
        <v>425</v>
      </c>
      <c r="AD105" t="s">
        <v>81</v>
      </c>
      <c r="AE105">
        <v>111.133</v>
      </c>
      <c r="AF105">
        <v>0.99819678194932504</v>
      </c>
      <c r="AG105">
        <v>110.9326029683743</v>
      </c>
      <c r="AH105">
        <v>682.07</v>
      </c>
      <c r="AI105">
        <v>1</v>
      </c>
      <c r="AJ105">
        <v>75.663800506639092</v>
      </c>
      <c r="AK105">
        <v>0.92979999999999996</v>
      </c>
      <c r="AL105" s="62">
        <v>70.352000000000004</v>
      </c>
      <c r="AM105">
        <v>8.9176000000000002</v>
      </c>
      <c r="AN105">
        <v>8.9015196227113016</v>
      </c>
      <c r="AO105">
        <v>1</v>
      </c>
      <c r="AP105">
        <v>6071.4594890626977</v>
      </c>
      <c r="AQ105">
        <v>1.0375922509225091</v>
      </c>
      <c r="AR105">
        <v>6299.6993000000002</v>
      </c>
      <c r="AS105" s="60">
        <v>21104.8809126013</v>
      </c>
      <c r="AT105" t="s">
        <v>339</v>
      </c>
      <c r="AU105" t="s">
        <v>433</v>
      </c>
      <c r="AV105" t="s">
        <v>425</v>
      </c>
      <c r="AW105" t="s">
        <v>81</v>
      </c>
      <c r="AX105">
        <v>111.133</v>
      </c>
      <c r="AY105">
        <v>1.0062587218588701</v>
      </c>
      <c r="AZ105">
        <v>111.82855053634179</v>
      </c>
      <c r="BA105">
        <v>665.15</v>
      </c>
      <c r="BB105">
        <v>1</v>
      </c>
      <c r="BC105">
        <v>74.382760389247736</v>
      </c>
      <c r="BD105">
        <v>0.92979999999999996</v>
      </c>
      <c r="BE105" s="62">
        <v>69.161000000000001</v>
      </c>
      <c r="BF105">
        <v>8.9176000000000002</v>
      </c>
      <c r="BG105">
        <v>1</v>
      </c>
      <c r="BH105">
        <v>5968.6655093190648</v>
      </c>
      <c r="BI105">
        <v>1.0375922509225091</v>
      </c>
      <c r="BJ105" s="62">
        <v>6193.0411000000004</v>
      </c>
      <c r="BK105" s="60">
        <v>20747.5609037951</v>
      </c>
    </row>
    <row r="106" spans="1:63" x14ac:dyDescent="0.25">
      <c r="A106">
        <v>253</v>
      </c>
      <c r="B106" t="s">
        <v>143</v>
      </c>
      <c r="C106">
        <v>2017</v>
      </c>
      <c r="D106">
        <v>6</v>
      </c>
      <c r="E106" t="s">
        <v>100</v>
      </c>
      <c r="F106" t="s">
        <v>426</v>
      </c>
      <c r="G106" t="s">
        <v>427</v>
      </c>
      <c r="H106" t="s">
        <v>84</v>
      </c>
      <c r="I106" t="s">
        <v>430</v>
      </c>
      <c r="J106" t="s">
        <v>59</v>
      </c>
      <c r="K106">
        <v>-338.84159514999999</v>
      </c>
      <c r="L106" t="s">
        <v>59</v>
      </c>
      <c r="M106" t="s">
        <v>382</v>
      </c>
      <c r="N106">
        <v>2.6402537999939999E-2</v>
      </c>
      <c r="O106">
        <v>8.9462780919081606</v>
      </c>
      <c r="P106" t="s">
        <v>440</v>
      </c>
      <c r="Q106">
        <v>2</v>
      </c>
      <c r="R106">
        <v>29.947030000000002</v>
      </c>
      <c r="S106">
        <v>6.9000000000000006E-2</v>
      </c>
      <c r="T106">
        <v>2.0663450999999999</v>
      </c>
      <c r="U106">
        <v>1.9E-2</v>
      </c>
      <c r="V106">
        <v>39.261000000000003</v>
      </c>
      <c r="W106">
        <v>2</v>
      </c>
      <c r="X106">
        <v>1.2735284378999999E-2</v>
      </c>
      <c r="Y106">
        <v>1</v>
      </c>
      <c r="Z106" s="60">
        <v>8.9462779999999995</v>
      </c>
      <c r="AA106" t="s">
        <v>336</v>
      </c>
      <c r="AB106" t="s">
        <v>433</v>
      </c>
      <c r="AC106" t="s">
        <v>425</v>
      </c>
      <c r="AD106" t="s">
        <v>81</v>
      </c>
      <c r="AE106">
        <v>111.133</v>
      </c>
      <c r="AF106">
        <v>0.99819678194932504</v>
      </c>
      <c r="AG106">
        <v>110.9326029683743</v>
      </c>
      <c r="AH106">
        <v>682.07</v>
      </c>
      <c r="AI106">
        <v>1</v>
      </c>
      <c r="AJ106">
        <v>75.663800506639092</v>
      </c>
      <c r="AK106">
        <v>0.92979999999999996</v>
      </c>
      <c r="AL106" s="62">
        <v>70.352000000000004</v>
      </c>
      <c r="AM106">
        <v>8.9176000000000002</v>
      </c>
      <c r="AN106">
        <v>8.9015196227113016</v>
      </c>
      <c r="AO106">
        <v>1</v>
      </c>
      <c r="AP106">
        <v>6071.4594890626977</v>
      </c>
      <c r="AQ106">
        <v>1.0375922509225091</v>
      </c>
      <c r="AR106">
        <v>6299.6993000000002</v>
      </c>
      <c r="AS106" s="60">
        <v>56358.861254205403</v>
      </c>
      <c r="AT106" t="s">
        <v>339</v>
      </c>
      <c r="AU106" t="s">
        <v>433</v>
      </c>
      <c r="AV106" t="s">
        <v>425</v>
      </c>
      <c r="AW106" t="s">
        <v>81</v>
      </c>
      <c r="AX106">
        <v>111.133</v>
      </c>
      <c r="AY106">
        <v>1.0062587218588701</v>
      </c>
      <c r="AZ106">
        <v>111.82855053634179</v>
      </c>
      <c r="BA106">
        <v>665.15</v>
      </c>
      <c r="BB106">
        <v>1</v>
      </c>
      <c r="BC106">
        <v>74.382760389247736</v>
      </c>
      <c r="BD106">
        <v>0.92979999999999996</v>
      </c>
      <c r="BE106" s="62">
        <v>69.161000000000001</v>
      </c>
      <c r="BF106">
        <v>8.9176000000000002</v>
      </c>
      <c r="BG106">
        <v>1</v>
      </c>
      <c r="BH106">
        <v>5968.6655093190648</v>
      </c>
      <c r="BI106">
        <v>1.0375922509225091</v>
      </c>
      <c r="BJ106" s="62">
        <v>6193.0411000000004</v>
      </c>
      <c r="BK106" s="60">
        <v>55404.667346025803</v>
      </c>
    </row>
    <row r="107" spans="1:63" x14ac:dyDescent="0.25">
      <c r="A107">
        <v>255</v>
      </c>
      <c r="B107" t="s">
        <v>143</v>
      </c>
      <c r="C107">
        <v>2017</v>
      </c>
      <c r="D107">
        <v>6</v>
      </c>
      <c r="E107" t="s">
        <v>100</v>
      </c>
      <c r="F107" t="s">
        <v>426</v>
      </c>
      <c r="G107" t="s">
        <v>427</v>
      </c>
      <c r="H107" t="s">
        <v>84</v>
      </c>
      <c r="I107" t="s">
        <v>428</v>
      </c>
      <c r="J107" t="s">
        <v>381</v>
      </c>
      <c r="K107">
        <v>-602.12437604000002</v>
      </c>
      <c r="L107" t="s">
        <v>381</v>
      </c>
      <c r="M107" t="s">
        <v>383</v>
      </c>
      <c r="N107">
        <v>1.02460557899988</v>
      </c>
      <c r="O107">
        <v>616.93999494240563</v>
      </c>
      <c r="P107" t="s">
        <v>440</v>
      </c>
      <c r="Q107">
        <v>2</v>
      </c>
      <c r="R107">
        <v>29.947030000000002</v>
      </c>
      <c r="S107">
        <v>6.9000000000000006E-2</v>
      </c>
      <c r="T107">
        <v>2.0663450999999999</v>
      </c>
      <c r="U107">
        <v>0.98099999999999998</v>
      </c>
      <c r="V107">
        <v>2027.085</v>
      </c>
      <c r="W107">
        <v>2</v>
      </c>
      <c r="X107">
        <v>2.4665961199999998E-4</v>
      </c>
      <c r="Y107">
        <v>1</v>
      </c>
      <c r="Z107" s="60">
        <v>616.93999499999995</v>
      </c>
      <c r="AA107" t="s">
        <v>336</v>
      </c>
      <c r="AB107" t="s">
        <v>433</v>
      </c>
      <c r="AC107" t="s">
        <v>425</v>
      </c>
      <c r="AD107" t="s">
        <v>27</v>
      </c>
      <c r="AE107">
        <v>111.133</v>
      </c>
      <c r="AF107">
        <v>0.99819678194932504</v>
      </c>
      <c r="AG107">
        <v>110.9326029683743</v>
      </c>
      <c r="AH107">
        <v>682.07</v>
      </c>
      <c r="AI107">
        <v>1</v>
      </c>
      <c r="AJ107">
        <v>75.663800506639092</v>
      </c>
      <c r="AK107">
        <v>0.99739999999999995</v>
      </c>
      <c r="AL107" s="62">
        <v>75.466999999999999</v>
      </c>
      <c r="AM107">
        <v>8.9176000000000002</v>
      </c>
      <c r="AN107">
        <v>8.9015196227113016</v>
      </c>
      <c r="AO107">
        <v>1</v>
      </c>
      <c r="AP107">
        <v>6071.4594890626977</v>
      </c>
      <c r="AQ107">
        <v>1.0108695652173909</v>
      </c>
      <c r="AR107">
        <v>6137.4535999999998</v>
      </c>
      <c r="AS107" s="60">
        <v>3786440.5932967318</v>
      </c>
      <c r="AT107" t="s">
        <v>339</v>
      </c>
      <c r="AU107" t="s">
        <v>433</v>
      </c>
      <c r="AV107" t="s">
        <v>425</v>
      </c>
      <c r="AW107" t="s">
        <v>27</v>
      </c>
      <c r="AX107">
        <v>111.133</v>
      </c>
      <c r="AY107">
        <v>1.0062587218588701</v>
      </c>
      <c r="AZ107">
        <v>111.82855053634179</v>
      </c>
      <c r="BA107">
        <v>665.15</v>
      </c>
      <c r="BB107">
        <v>1</v>
      </c>
      <c r="BC107">
        <v>74.382760389247736</v>
      </c>
      <c r="BD107">
        <v>0.99739999999999995</v>
      </c>
      <c r="BE107" s="62">
        <v>74.188999999999993</v>
      </c>
      <c r="BF107">
        <v>8.9176000000000002</v>
      </c>
      <c r="BG107">
        <v>1</v>
      </c>
      <c r="BH107">
        <v>5968.6655093190648</v>
      </c>
      <c r="BI107">
        <v>1.0108695652173909</v>
      </c>
      <c r="BJ107" s="62">
        <v>6033.5423000000001</v>
      </c>
      <c r="BK107" s="60">
        <v>3722333.5563942879</v>
      </c>
    </row>
    <row r="108" spans="1:63" x14ac:dyDescent="0.25">
      <c r="A108">
        <v>255</v>
      </c>
      <c r="B108" t="s">
        <v>143</v>
      </c>
      <c r="C108">
        <v>2017</v>
      </c>
      <c r="D108">
        <v>6</v>
      </c>
      <c r="E108" t="s">
        <v>100</v>
      </c>
      <c r="F108" t="s">
        <v>426</v>
      </c>
      <c r="G108" t="s">
        <v>427</v>
      </c>
      <c r="H108" t="s">
        <v>84</v>
      </c>
      <c r="I108" t="s">
        <v>429</v>
      </c>
      <c r="J108" t="s">
        <v>87</v>
      </c>
      <c r="K108">
        <v>-124.91985214</v>
      </c>
      <c r="L108" t="s">
        <v>87</v>
      </c>
      <c r="M108" t="s">
        <v>383</v>
      </c>
      <c r="N108">
        <v>1.0126516739960501</v>
      </c>
      <c r="O108">
        <v>126.50029738491</v>
      </c>
      <c r="P108" t="s">
        <v>440</v>
      </c>
      <c r="Q108">
        <v>2</v>
      </c>
      <c r="R108">
        <v>29.947030000000002</v>
      </c>
      <c r="S108">
        <v>6.9000000000000006E-2</v>
      </c>
      <c r="T108">
        <v>2.0663450999999999</v>
      </c>
      <c r="U108">
        <v>0.98099999999999998</v>
      </c>
      <c r="V108">
        <v>2027.085</v>
      </c>
      <c r="W108">
        <v>2</v>
      </c>
      <c r="X108">
        <v>2.4665961199999998E-4</v>
      </c>
      <c r="Y108">
        <v>1</v>
      </c>
      <c r="Z108" s="60">
        <v>126.500297</v>
      </c>
      <c r="AA108" t="s">
        <v>336</v>
      </c>
      <c r="AB108" t="s">
        <v>433</v>
      </c>
      <c r="AC108" t="s">
        <v>425</v>
      </c>
      <c r="AD108" t="s">
        <v>27</v>
      </c>
      <c r="AE108">
        <v>111.133</v>
      </c>
      <c r="AF108">
        <v>0.99819678194932504</v>
      </c>
      <c r="AG108">
        <v>110.9326029683743</v>
      </c>
      <c r="AH108">
        <v>682.07</v>
      </c>
      <c r="AI108">
        <v>1</v>
      </c>
      <c r="AJ108">
        <v>75.663800506639092</v>
      </c>
      <c r="AK108">
        <v>0.99739999999999995</v>
      </c>
      <c r="AL108" s="62">
        <v>75.466999999999999</v>
      </c>
      <c r="AM108">
        <v>8.9176000000000002</v>
      </c>
      <c r="AN108">
        <v>8.9015196227113016</v>
      </c>
      <c r="AO108">
        <v>1</v>
      </c>
      <c r="AP108">
        <v>6071.4594890626977</v>
      </c>
      <c r="AQ108">
        <v>1.0108695652173909</v>
      </c>
      <c r="AR108">
        <v>6137.4535999999998</v>
      </c>
      <c r="AS108" s="60">
        <v>776389.70322371915</v>
      </c>
      <c r="AT108" t="s">
        <v>339</v>
      </c>
      <c r="AU108" t="s">
        <v>433</v>
      </c>
      <c r="AV108" t="s">
        <v>425</v>
      </c>
      <c r="AW108" t="s">
        <v>27</v>
      </c>
      <c r="AX108">
        <v>111.133</v>
      </c>
      <c r="AY108">
        <v>1.0062587218588701</v>
      </c>
      <c r="AZ108">
        <v>111.82855053634179</v>
      </c>
      <c r="BA108">
        <v>665.15</v>
      </c>
      <c r="BB108">
        <v>1</v>
      </c>
      <c r="BC108">
        <v>74.382760389247736</v>
      </c>
      <c r="BD108">
        <v>0.99739999999999995</v>
      </c>
      <c r="BE108" s="62">
        <v>74.188999999999993</v>
      </c>
      <c r="BF108">
        <v>8.9176000000000002</v>
      </c>
      <c r="BG108">
        <v>1</v>
      </c>
      <c r="BH108">
        <v>5968.6655093190648</v>
      </c>
      <c r="BI108">
        <v>1.0108695652173909</v>
      </c>
      <c r="BJ108" s="62">
        <v>6033.5423000000001</v>
      </c>
      <c r="BK108" s="60">
        <v>763244.89291206317</v>
      </c>
    </row>
    <row r="109" spans="1:63" x14ac:dyDescent="0.25">
      <c r="A109">
        <v>255</v>
      </c>
      <c r="B109" t="s">
        <v>143</v>
      </c>
      <c r="C109">
        <v>2017</v>
      </c>
      <c r="D109">
        <v>6</v>
      </c>
      <c r="E109" t="s">
        <v>100</v>
      </c>
      <c r="F109" t="s">
        <v>426</v>
      </c>
      <c r="G109" t="s">
        <v>427</v>
      </c>
      <c r="H109" t="s">
        <v>84</v>
      </c>
      <c r="I109" t="s">
        <v>430</v>
      </c>
      <c r="J109" t="s">
        <v>59</v>
      </c>
      <c r="K109">
        <v>-338.84159514999999</v>
      </c>
      <c r="L109" t="s">
        <v>59</v>
      </c>
      <c r="M109" t="s">
        <v>383</v>
      </c>
      <c r="N109">
        <v>1.0130674620006199</v>
      </c>
      <c r="O109">
        <v>343.26939481885199</v>
      </c>
      <c r="P109" t="s">
        <v>440</v>
      </c>
      <c r="Q109">
        <v>2</v>
      </c>
      <c r="R109">
        <v>29.947030000000002</v>
      </c>
      <c r="S109">
        <v>6.9000000000000006E-2</v>
      </c>
      <c r="T109">
        <v>2.0663450999999999</v>
      </c>
      <c r="U109">
        <v>0.98099999999999998</v>
      </c>
      <c r="V109">
        <v>2027.085</v>
      </c>
      <c r="W109">
        <v>2</v>
      </c>
      <c r="X109">
        <v>2.4665961199999998E-4</v>
      </c>
      <c r="Y109">
        <v>1</v>
      </c>
      <c r="Z109" s="60">
        <v>343.26939499999997</v>
      </c>
      <c r="AA109" t="s">
        <v>336</v>
      </c>
      <c r="AB109" t="s">
        <v>433</v>
      </c>
      <c r="AC109" t="s">
        <v>425</v>
      </c>
      <c r="AD109" t="s">
        <v>27</v>
      </c>
      <c r="AE109">
        <v>111.133</v>
      </c>
      <c r="AF109">
        <v>0.99819678194932504</v>
      </c>
      <c r="AG109">
        <v>110.9326029683743</v>
      </c>
      <c r="AH109">
        <v>682.07</v>
      </c>
      <c r="AI109">
        <v>1</v>
      </c>
      <c r="AJ109">
        <v>75.663800506639092</v>
      </c>
      <c r="AK109">
        <v>0.99739999999999995</v>
      </c>
      <c r="AL109" s="62">
        <v>75.466999999999999</v>
      </c>
      <c r="AM109">
        <v>8.9176000000000002</v>
      </c>
      <c r="AN109">
        <v>8.9015196227113016</v>
      </c>
      <c r="AO109">
        <v>1</v>
      </c>
      <c r="AP109">
        <v>6071.4594890626977</v>
      </c>
      <c r="AQ109">
        <v>1.0108695652173909</v>
      </c>
      <c r="AR109">
        <v>6137.4535999999998</v>
      </c>
      <c r="AS109" s="60">
        <v>2106799.9841125719</v>
      </c>
      <c r="AT109" t="s">
        <v>339</v>
      </c>
      <c r="AU109" t="s">
        <v>433</v>
      </c>
      <c r="AV109" t="s">
        <v>425</v>
      </c>
      <c r="AW109" t="s">
        <v>27</v>
      </c>
      <c r="AX109">
        <v>111.133</v>
      </c>
      <c r="AY109">
        <v>1.0062587218588701</v>
      </c>
      <c r="AZ109">
        <v>111.82855053634179</v>
      </c>
      <c r="BA109">
        <v>665.15</v>
      </c>
      <c r="BB109">
        <v>1</v>
      </c>
      <c r="BC109">
        <v>74.382760389247736</v>
      </c>
      <c r="BD109">
        <v>0.99739999999999995</v>
      </c>
      <c r="BE109" s="62">
        <v>74.188999999999993</v>
      </c>
      <c r="BF109">
        <v>8.9176000000000002</v>
      </c>
      <c r="BG109">
        <v>1</v>
      </c>
      <c r="BH109">
        <v>5968.6655093190648</v>
      </c>
      <c r="BI109">
        <v>1.0108695652173909</v>
      </c>
      <c r="BJ109" s="62">
        <v>6033.5423000000001</v>
      </c>
      <c r="BK109" s="60">
        <v>2071130.415027908</v>
      </c>
    </row>
    <row r="110" spans="1:63" x14ac:dyDescent="0.25">
      <c r="A110">
        <v>273</v>
      </c>
      <c r="B110" t="s">
        <v>142</v>
      </c>
      <c r="C110">
        <v>2017</v>
      </c>
      <c r="D110">
        <v>7</v>
      </c>
      <c r="E110" t="s">
        <v>100</v>
      </c>
      <c r="F110" t="s">
        <v>426</v>
      </c>
      <c r="G110" t="s">
        <v>427</v>
      </c>
      <c r="H110" t="s">
        <v>84</v>
      </c>
      <c r="I110" t="s">
        <v>428</v>
      </c>
      <c r="J110" t="s">
        <v>381</v>
      </c>
      <c r="K110">
        <v>-619.39203424000004</v>
      </c>
      <c r="L110" t="s">
        <v>381</v>
      </c>
      <c r="M110" t="s">
        <v>382</v>
      </c>
      <c r="N110">
        <v>1.486442099989E-2</v>
      </c>
      <c r="O110">
        <v>9.2069039609216414</v>
      </c>
      <c r="P110" t="s">
        <v>440</v>
      </c>
      <c r="Q110">
        <v>2</v>
      </c>
      <c r="R110">
        <v>29.947030000000002</v>
      </c>
      <c r="S110">
        <v>7.9000000000000001E-2</v>
      </c>
      <c r="T110">
        <v>2.3658153999999998</v>
      </c>
      <c r="U110">
        <v>1.9E-2</v>
      </c>
      <c r="V110">
        <v>44.95</v>
      </c>
      <c r="W110">
        <v>2</v>
      </c>
      <c r="X110">
        <v>1.1123470523000001E-2</v>
      </c>
      <c r="Y110">
        <v>1</v>
      </c>
      <c r="Z110" s="60">
        <v>9.2069039999999998</v>
      </c>
      <c r="AA110" t="s">
        <v>336</v>
      </c>
      <c r="AB110" t="s">
        <v>433</v>
      </c>
      <c r="AC110" t="s">
        <v>425</v>
      </c>
      <c r="AD110" t="s">
        <v>81</v>
      </c>
      <c r="AE110">
        <v>111.133</v>
      </c>
      <c r="AF110">
        <v>0.99819678194932504</v>
      </c>
      <c r="AG110">
        <v>110.9326029683743</v>
      </c>
      <c r="AH110">
        <v>682.07</v>
      </c>
      <c r="AI110">
        <v>1</v>
      </c>
      <c r="AJ110">
        <v>75.663800506639092</v>
      </c>
      <c r="AK110">
        <v>0.92979999999999996</v>
      </c>
      <c r="AL110" s="62">
        <v>70.352000000000004</v>
      </c>
      <c r="AM110">
        <v>8.9176000000000002</v>
      </c>
      <c r="AN110">
        <v>8.9015196227113016</v>
      </c>
      <c r="AO110">
        <v>1</v>
      </c>
      <c r="AP110">
        <v>6071.4594890626977</v>
      </c>
      <c r="AQ110">
        <v>1.0375922509225091</v>
      </c>
      <c r="AR110">
        <v>6299.6993000000002</v>
      </c>
      <c r="AS110" s="60">
        <v>58000.726683967201</v>
      </c>
      <c r="AT110" t="s">
        <v>342</v>
      </c>
      <c r="AU110" t="s">
        <v>434</v>
      </c>
      <c r="AV110" t="s">
        <v>425</v>
      </c>
      <c r="AW110" t="s">
        <v>81</v>
      </c>
      <c r="AX110">
        <v>111.133</v>
      </c>
      <c r="AY110">
        <v>1.0155396203574489</v>
      </c>
      <c r="AZ110">
        <v>112.8599646291844</v>
      </c>
      <c r="BA110">
        <v>658.17</v>
      </c>
      <c r="BB110">
        <v>1</v>
      </c>
      <c r="BC110">
        <v>74.281042919990284</v>
      </c>
      <c r="BD110">
        <v>0.95185525912296853</v>
      </c>
      <c r="BE110" s="62">
        <v>70.704999999999998</v>
      </c>
      <c r="BF110">
        <v>8.9176000000000002</v>
      </c>
      <c r="BG110">
        <v>1</v>
      </c>
      <c r="BH110">
        <v>5960.503435912874</v>
      </c>
      <c r="BI110">
        <v>1.081469419077697</v>
      </c>
      <c r="BJ110" s="62">
        <v>6446.1022000000003</v>
      </c>
      <c r="BK110" s="60">
        <v>59348.6441295888</v>
      </c>
    </row>
    <row r="111" spans="1:63" x14ac:dyDescent="0.25">
      <c r="A111">
        <v>273</v>
      </c>
      <c r="B111" t="s">
        <v>142</v>
      </c>
      <c r="C111">
        <v>2017</v>
      </c>
      <c r="D111">
        <v>7</v>
      </c>
      <c r="E111" t="s">
        <v>100</v>
      </c>
      <c r="F111" t="s">
        <v>426</v>
      </c>
      <c r="G111" t="s">
        <v>427</v>
      </c>
      <c r="H111" t="s">
        <v>84</v>
      </c>
      <c r="I111" t="s">
        <v>429</v>
      </c>
      <c r="J111" t="s">
        <v>87</v>
      </c>
      <c r="K111">
        <v>-111.25636713</v>
      </c>
      <c r="L111" t="s">
        <v>87</v>
      </c>
      <c r="M111" t="s">
        <v>382</v>
      </c>
      <c r="N111">
        <v>2.6818326000350001E-2</v>
      </c>
      <c r="O111">
        <v>2.9837095233069642</v>
      </c>
      <c r="P111" t="s">
        <v>440</v>
      </c>
      <c r="Q111">
        <v>2</v>
      </c>
      <c r="R111">
        <v>29.947030000000002</v>
      </c>
      <c r="S111">
        <v>7.9000000000000001E-2</v>
      </c>
      <c r="T111">
        <v>2.3658153999999998</v>
      </c>
      <c r="U111">
        <v>1.9E-2</v>
      </c>
      <c r="V111">
        <v>44.95</v>
      </c>
      <c r="W111">
        <v>2</v>
      </c>
      <c r="X111">
        <v>1.1123470523000001E-2</v>
      </c>
      <c r="Y111">
        <v>1</v>
      </c>
      <c r="Z111" s="60">
        <v>2.9837099999999999</v>
      </c>
      <c r="AA111" t="s">
        <v>336</v>
      </c>
      <c r="AB111" t="s">
        <v>433</v>
      </c>
      <c r="AC111" t="s">
        <v>425</v>
      </c>
      <c r="AD111" t="s">
        <v>81</v>
      </c>
      <c r="AE111">
        <v>111.133</v>
      </c>
      <c r="AF111">
        <v>0.99819678194932504</v>
      </c>
      <c r="AG111">
        <v>110.9326029683743</v>
      </c>
      <c r="AH111">
        <v>682.07</v>
      </c>
      <c r="AI111">
        <v>1</v>
      </c>
      <c r="AJ111">
        <v>75.663800506639092</v>
      </c>
      <c r="AK111">
        <v>0.92979999999999996</v>
      </c>
      <c r="AL111" s="62">
        <v>70.352000000000004</v>
      </c>
      <c r="AM111">
        <v>8.9176000000000002</v>
      </c>
      <c r="AN111">
        <v>8.9015196227113016</v>
      </c>
      <c r="AO111">
        <v>1</v>
      </c>
      <c r="AP111">
        <v>6071.4594890626977</v>
      </c>
      <c r="AQ111">
        <v>1.0375922509225091</v>
      </c>
      <c r="AR111">
        <v>6299.6993000000002</v>
      </c>
      <c r="AS111" s="60">
        <v>18796.475798403</v>
      </c>
      <c r="AT111" t="s">
        <v>342</v>
      </c>
      <c r="AU111" t="s">
        <v>434</v>
      </c>
      <c r="AV111" t="s">
        <v>425</v>
      </c>
      <c r="AW111" t="s">
        <v>81</v>
      </c>
      <c r="AX111">
        <v>111.133</v>
      </c>
      <c r="AY111">
        <v>1.0155396203574489</v>
      </c>
      <c r="AZ111">
        <v>112.8599646291844</v>
      </c>
      <c r="BA111">
        <v>658.17</v>
      </c>
      <c r="BB111">
        <v>1</v>
      </c>
      <c r="BC111">
        <v>74.281042919990284</v>
      </c>
      <c r="BD111">
        <v>0.95185525912296853</v>
      </c>
      <c r="BE111" s="62">
        <v>70.704999999999998</v>
      </c>
      <c r="BF111">
        <v>8.9176000000000002</v>
      </c>
      <c r="BG111">
        <v>1</v>
      </c>
      <c r="BH111">
        <v>5960.503435912874</v>
      </c>
      <c r="BI111">
        <v>1.081469419077697</v>
      </c>
      <c r="BJ111" s="62">
        <v>6446.1022000000003</v>
      </c>
      <c r="BK111" s="60">
        <v>19233.299595162</v>
      </c>
    </row>
    <row r="112" spans="1:63" x14ac:dyDescent="0.25">
      <c r="A112">
        <v>273</v>
      </c>
      <c r="B112" t="s">
        <v>142</v>
      </c>
      <c r="C112">
        <v>2017</v>
      </c>
      <c r="D112">
        <v>7</v>
      </c>
      <c r="E112" t="s">
        <v>100</v>
      </c>
      <c r="F112" t="s">
        <v>426</v>
      </c>
      <c r="G112" t="s">
        <v>427</v>
      </c>
      <c r="H112" t="s">
        <v>84</v>
      </c>
      <c r="I112" t="s">
        <v>430</v>
      </c>
      <c r="J112" t="s">
        <v>59</v>
      </c>
      <c r="K112">
        <v>-352.98990703999999</v>
      </c>
      <c r="L112" t="s">
        <v>59</v>
      </c>
      <c r="M112" t="s">
        <v>382</v>
      </c>
      <c r="N112">
        <v>2.6402538000410002E-2</v>
      </c>
      <c r="O112">
        <v>9.3198294343847934</v>
      </c>
      <c r="P112" t="s">
        <v>440</v>
      </c>
      <c r="Q112">
        <v>2</v>
      </c>
      <c r="R112">
        <v>29.947030000000002</v>
      </c>
      <c r="S112">
        <v>7.9000000000000001E-2</v>
      </c>
      <c r="T112">
        <v>2.3658153999999998</v>
      </c>
      <c r="U112">
        <v>1.9E-2</v>
      </c>
      <c r="V112">
        <v>44.95</v>
      </c>
      <c r="W112">
        <v>2</v>
      </c>
      <c r="X112">
        <v>1.1123470523000001E-2</v>
      </c>
      <c r="Y112">
        <v>1</v>
      </c>
      <c r="Z112" s="60">
        <v>9.3198290000000004</v>
      </c>
      <c r="AA112" t="s">
        <v>336</v>
      </c>
      <c r="AB112" t="s">
        <v>433</v>
      </c>
      <c r="AC112" t="s">
        <v>425</v>
      </c>
      <c r="AD112" t="s">
        <v>81</v>
      </c>
      <c r="AE112">
        <v>111.133</v>
      </c>
      <c r="AF112">
        <v>0.99819678194932504</v>
      </c>
      <c r="AG112">
        <v>110.9326029683743</v>
      </c>
      <c r="AH112">
        <v>682.07</v>
      </c>
      <c r="AI112">
        <v>1</v>
      </c>
      <c r="AJ112">
        <v>75.663800506639092</v>
      </c>
      <c r="AK112">
        <v>0.92979999999999996</v>
      </c>
      <c r="AL112" s="62">
        <v>70.352000000000004</v>
      </c>
      <c r="AM112">
        <v>8.9176000000000002</v>
      </c>
      <c r="AN112">
        <v>8.9015196227113016</v>
      </c>
      <c r="AO112">
        <v>1</v>
      </c>
      <c r="AP112">
        <v>6071.4594890626977</v>
      </c>
      <c r="AQ112">
        <v>1.0375922509225091</v>
      </c>
      <c r="AR112">
        <v>6299.6993000000002</v>
      </c>
      <c r="AS112" s="60">
        <v>58712.120227419713</v>
      </c>
      <c r="AT112" t="s">
        <v>342</v>
      </c>
      <c r="AU112" t="s">
        <v>434</v>
      </c>
      <c r="AV112" t="s">
        <v>425</v>
      </c>
      <c r="AW112" t="s">
        <v>81</v>
      </c>
      <c r="AX112">
        <v>111.133</v>
      </c>
      <c r="AY112">
        <v>1.0155396203574489</v>
      </c>
      <c r="AZ112">
        <v>112.8599646291844</v>
      </c>
      <c r="BA112">
        <v>658.17</v>
      </c>
      <c r="BB112">
        <v>1</v>
      </c>
      <c r="BC112">
        <v>74.281042919990284</v>
      </c>
      <c r="BD112">
        <v>0.95185525912296853</v>
      </c>
      <c r="BE112" s="62">
        <v>70.704999999999998</v>
      </c>
      <c r="BF112">
        <v>8.9176000000000002</v>
      </c>
      <c r="BG112">
        <v>1</v>
      </c>
      <c r="BH112">
        <v>5960.503435912874</v>
      </c>
      <c r="BI112">
        <v>1.081469419077697</v>
      </c>
      <c r="BJ112" s="62">
        <v>6446.1022000000003</v>
      </c>
      <c r="BK112" s="60">
        <v>60076.570220523798</v>
      </c>
    </row>
    <row r="113" spans="1:63" x14ac:dyDescent="0.25">
      <c r="A113">
        <v>275</v>
      </c>
      <c r="B113" t="s">
        <v>142</v>
      </c>
      <c r="C113">
        <v>2017</v>
      </c>
      <c r="D113">
        <v>7</v>
      </c>
      <c r="E113" t="s">
        <v>100</v>
      </c>
      <c r="F113" t="s">
        <v>426</v>
      </c>
      <c r="G113" t="s">
        <v>427</v>
      </c>
      <c r="H113" t="s">
        <v>84</v>
      </c>
      <c r="I113" t="s">
        <v>428</v>
      </c>
      <c r="J113" t="s">
        <v>381</v>
      </c>
      <c r="K113">
        <v>-619.39203424000004</v>
      </c>
      <c r="L113" t="s">
        <v>381</v>
      </c>
      <c r="M113" t="s">
        <v>383</v>
      </c>
      <c r="N113">
        <v>1.0246055790000701</v>
      </c>
      <c r="O113">
        <v>634.63253387050634</v>
      </c>
      <c r="P113" t="s">
        <v>440</v>
      </c>
      <c r="Q113">
        <v>2</v>
      </c>
      <c r="R113">
        <v>29.947030000000002</v>
      </c>
      <c r="S113">
        <v>7.9000000000000001E-2</v>
      </c>
      <c r="T113">
        <v>2.3658153999999998</v>
      </c>
      <c r="U113">
        <v>0.98099999999999998</v>
      </c>
      <c r="V113">
        <v>2320.8649999999998</v>
      </c>
      <c r="W113">
        <v>2</v>
      </c>
      <c r="X113">
        <v>2.15436917E-4</v>
      </c>
      <c r="Y113">
        <v>1</v>
      </c>
      <c r="Z113" s="60">
        <v>634.63253399999996</v>
      </c>
      <c r="AA113" t="s">
        <v>336</v>
      </c>
      <c r="AB113" t="s">
        <v>433</v>
      </c>
      <c r="AC113" t="s">
        <v>425</v>
      </c>
      <c r="AD113" t="s">
        <v>27</v>
      </c>
      <c r="AE113">
        <v>111.133</v>
      </c>
      <c r="AF113">
        <v>0.99819678194932504</v>
      </c>
      <c r="AG113">
        <v>110.9326029683743</v>
      </c>
      <c r="AH113">
        <v>682.07</v>
      </c>
      <c r="AI113">
        <v>1</v>
      </c>
      <c r="AJ113">
        <v>75.663800506639092</v>
      </c>
      <c r="AK113">
        <v>0.99739999999999995</v>
      </c>
      <c r="AL113" s="62">
        <v>75.466999999999999</v>
      </c>
      <c r="AM113">
        <v>8.9176000000000002</v>
      </c>
      <c r="AN113">
        <v>8.9015196227113016</v>
      </c>
      <c r="AO113">
        <v>1</v>
      </c>
      <c r="AP113">
        <v>6071.4594890626977</v>
      </c>
      <c r="AQ113">
        <v>1.0108695652173909</v>
      </c>
      <c r="AR113">
        <v>6137.4535999999998</v>
      </c>
      <c r="AS113" s="60">
        <v>3895027.730475422</v>
      </c>
      <c r="AT113" t="s">
        <v>342</v>
      </c>
      <c r="AU113" t="s">
        <v>434</v>
      </c>
      <c r="AV113" t="s">
        <v>425</v>
      </c>
      <c r="AW113" t="s">
        <v>27</v>
      </c>
      <c r="AX113">
        <v>111.133</v>
      </c>
      <c r="AY113">
        <v>1.0155396203574489</v>
      </c>
      <c r="AZ113">
        <v>112.8599646291844</v>
      </c>
      <c r="BA113">
        <v>658.17</v>
      </c>
      <c r="BB113">
        <v>1</v>
      </c>
      <c r="BC113">
        <v>74.281042919990284</v>
      </c>
      <c r="BD113">
        <v>1.0016354901359501</v>
      </c>
      <c r="BE113" s="62">
        <v>74.403000000000006</v>
      </c>
      <c r="BF113">
        <v>8.9176000000000002</v>
      </c>
      <c r="BG113">
        <v>1</v>
      </c>
      <c r="BH113">
        <v>5960.503435912874</v>
      </c>
      <c r="BI113">
        <v>1.016194415745886</v>
      </c>
      <c r="BJ113" s="62">
        <v>6057.0303000000004</v>
      </c>
      <c r="BK113" s="60">
        <v>3843988.48780378</v>
      </c>
    </row>
    <row r="114" spans="1:63" x14ac:dyDescent="0.25">
      <c r="A114">
        <v>275</v>
      </c>
      <c r="B114" t="s">
        <v>142</v>
      </c>
      <c r="C114">
        <v>2017</v>
      </c>
      <c r="D114">
        <v>7</v>
      </c>
      <c r="E114" t="s">
        <v>100</v>
      </c>
      <c r="F114" t="s">
        <v>426</v>
      </c>
      <c r="G114" t="s">
        <v>427</v>
      </c>
      <c r="H114" t="s">
        <v>84</v>
      </c>
      <c r="I114" t="s">
        <v>429</v>
      </c>
      <c r="J114" t="s">
        <v>87</v>
      </c>
      <c r="K114">
        <v>-111.25636713</v>
      </c>
      <c r="L114" t="s">
        <v>87</v>
      </c>
      <c r="M114" t="s">
        <v>383</v>
      </c>
      <c r="N114">
        <v>1.01265167399557</v>
      </c>
      <c r="O114">
        <v>112.6639464168602</v>
      </c>
      <c r="P114" t="s">
        <v>440</v>
      </c>
      <c r="Q114">
        <v>2</v>
      </c>
      <c r="R114">
        <v>29.947030000000002</v>
      </c>
      <c r="S114">
        <v>7.9000000000000001E-2</v>
      </c>
      <c r="T114">
        <v>2.3658153999999998</v>
      </c>
      <c r="U114">
        <v>0.98099999999999998</v>
      </c>
      <c r="V114">
        <v>2320.8649999999998</v>
      </c>
      <c r="W114">
        <v>2</v>
      </c>
      <c r="X114">
        <v>2.15436917E-4</v>
      </c>
      <c r="Y114">
        <v>1</v>
      </c>
      <c r="Z114" s="60">
        <v>112.663946</v>
      </c>
      <c r="AA114" t="s">
        <v>336</v>
      </c>
      <c r="AB114" t="s">
        <v>433</v>
      </c>
      <c r="AC114" t="s">
        <v>425</v>
      </c>
      <c r="AD114" t="s">
        <v>27</v>
      </c>
      <c r="AE114">
        <v>111.133</v>
      </c>
      <c r="AF114">
        <v>0.99819678194932504</v>
      </c>
      <c r="AG114">
        <v>110.9326029683743</v>
      </c>
      <c r="AH114">
        <v>682.07</v>
      </c>
      <c r="AI114">
        <v>1</v>
      </c>
      <c r="AJ114">
        <v>75.663800506639092</v>
      </c>
      <c r="AK114">
        <v>0.99739999999999995</v>
      </c>
      <c r="AL114" s="62">
        <v>75.466999999999999</v>
      </c>
      <c r="AM114">
        <v>8.9176000000000002</v>
      </c>
      <c r="AN114">
        <v>8.9015196227113016</v>
      </c>
      <c r="AO114">
        <v>1</v>
      </c>
      <c r="AP114">
        <v>6071.4594890626977</v>
      </c>
      <c r="AQ114">
        <v>1.0108695652173909</v>
      </c>
      <c r="AR114">
        <v>6137.4535999999998</v>
      </c>
      <c r="AS114" s="60">
        <v>691469.7409679055</v>
      </c>
      <c r="AT114" t="s">
        <v>342</v>
      </c>
      <c r="AU114" t="s">
        <v>434</v>
      </c>
      <c r="AV114" t="s">
        <v>425</v>
      </c>
      <c r="AW114" t="s">
        <v>27</v>
      </c>
      <c r="AX114">
        <v>111.133</v>
      </c>
      <c r="AY114">
        <v>1.0155396203574489</v>
      </c>
      <c r="AZ114">
        <v>112.8599646291844</v>
      </c>
      <c r="BA114">
        <v>658.17</v>
      </c>
      <c r="BB114">
        <v>1</v>
      </c>
      <c r="BC114">
        <v>74.281042919990284</v>
      </c>
      <c r="BD114">
        <v>1.0016354901359501</v>
      </c>
      <c r="BE114" s="62">
        <v>74.403000000000006</v>
      </c>
      <c r="BF114">
        <v>8.9176000000000002</v>
      </c>
      <c r="BG114">
        <v>1</v>
      </c>
      <c r="BH114">
        <v>5960.503435912874</v>
      </c>
      <c r="BI114">
        <v>1.016194415745886</v>
      </c>
      <c r="BJ114" s="62">
        <v>6057.0303000000004</v>
      </c>
      <c r="BK114" s="60">
        <v>682408.93463956378</v>
      </c>
    </row>
    <row r="115" spans="1:63" x14ac:dyDescent="0.25">
      <c r="A115">
        <v>275</v>
      </c>
      <c r="B115" t="s">
        <v>142</v>
      </c>
      <c r="C115">
        <v>2017</v>
      </c>
      <c r="D115">
        <v>7</v>
      </c>
      <c r="E115" t="s">
        <v>100</v>
      </c>
      <c r="F115" t="s">
        <v>426</v>
      </c>
      <c r="G115" t="s">
        <v>427</v>
      </c>
      <c r="H115" t="s">
        <v>84</v>
      </c>
      <c r="I115" t="s">
        <v>430</v>
      </c>
      <c r="J115" t="s">
        <v>59</v>
      </c>
      <c r="K115">
        <v>-352.98990703999999</v>
      </c>
      <c r="L115" t="s">
        <v>59</v>
      </c>
      <c r="M115" t="s">
        <v>383</v>
      </c>
      <c r="N115">
        <v>1.01306746199974</v>
      </c>
      <c r="O115">
        <v>357.60258923653703</v>
      </c>
      <c r="P115" t="s">
        <v>440</v>
      </c>
      <c r="Q115">
        <v>2</v>
      </c>
      <c r="R115">
        <v>29.947030000000002</v>
      </c>
      <c r="S115">
        <v>7.9000000000000001E-2</v>
      </c>
      <c r="T115">
        <v>2.3658153999999998</v>
      </c>
      <c r="U115">
        <v>0.98099999999999998</v>
      </c>
      <c r="V115">
        <v>2320.8649999999998</v>
      </c>
      <c r="W115">
        <v>2</v>
      </c>
      <c r="X115">
        <v>2.15436917E-4</v>
      </c>
      <c r="Y115">
        <v>1</v>
      </c>
      <c r="Z115" s="60">
        <v>357.60258900000002</v>
      </c>
      <c r="AA115" t="s">
        <v>336</v>
      </c>
      <c r="AB115" t="s">
        <v>433</v>
      </c>
      <c r="AC115" t="s">
        <v>425</v>
      </c>
      <c r="AD115" t="s">
        <v>27</v>
      </c>
      <c r="AE115">
        <v>111.133</v>
      </c>
      <c r="AF115">
        <v>0.99819678194932504</v>
      </c>
      <c r="AG115">
        <v>110.9326029683743</v>
      </c>
      <c r="AH115">
        <v>682.07</v>
      </c>
      <c r="AI115">
        <v>1</v>
      </c>
      <c r="AJ115">
        <v>75.663800506639092</v>
      </c>
      <c r="AK115">
        <v>0.99739999999999995</v>
      </c>
      <c r="AL115" s="62">
        <v>75.466999999999999</v>
      </c>
      <c r="AM115">
        <v>8.9176000000000002</v>
      </c>
      <c r="AN115">
        <v>8.9015196227113016</v>
      </c>
      <c r="AO115">
        <v>1</v>
      </c>
      <c r="AP115">
        <v>6071.4594890626977</v>
      </c>
      <c r="AQ115">
        <v>1.0108695652173909</v>
      </c>
      <c r="AR115">
        <v>6137.4535999999998</v>
      </c>
      <c r="AS115" s="60">
        <v>2194769.297227371</v>
      </c>
      <c r="AT115" t="s">
        <v>342</v>
      </c>
      <c r="AU115" t="s">
        <v>434</v>
      </c>
      <c r="AV115" t="s">
        <v>425</v>
      </c>
      <c r="AW115" t="s">
        <v>27</v>
      </c>
      <c r="AX115">
        <v>111.133</v>
      </c>
      <c r="AY115">
        <v>1.0155396203574489</v>
      </c>
      <c r="AZ115">
        <v>112.8599646291844</v>
      </c>
      <c r="BA115">
        <v>658.17</v>
      </c>
      <c r="BB115">
        <v>1</v>
      </c>
      <c r="BC115">
        <v>74.281042919990284</v>
      </c>
      <c r="BD115">
        <v>1.0016354901359501</v>
      </c>
      <c r="BE115" s="62">
        <v>74.403000000000006</v>
      </c>
      <c r="BF115">
        <v>8.9176000000000002</v>
      </c>
      <c r="BG115">
        <v>1</v>
      </c>
      <c r="BH115">
        <v>5960.503435912874</v>
      </c>
      <c r="BI115">
        <v>1.016194415745886</v>
      </c>
      <c r="BJ115" s="62">
        <v>6057.0303000000004</v>
      </c>
      <c r="BK115" s="60">
        <v>2166009.7169314469</v>
      </c>
    </row>
    <row r="116" spans="1:63" x14ac:dyDescent="0.25">
      <c r="A116">
        <v>293</v>
      </c>
      <c r="B116" t="s">
        <v>137</v>
      </c>
      <c r="C116">
        <v>2017</v>
      </c>
      <c r="D116">
        <v>8</v>
      </c>
      <c r="E116" t="s">
        <v>100</v>
      </c>
      <c r="F116" t="s">
        <v>426</v>
      </c>
      <c r="G116" t="s">
        <v>427</v>
      </c>
      <c r="H116" t="s">
        <v>84</v>
      </c>
      <c r="I116" t="s">
        <v>428</v>
      </c>
      <c r="J116" t="s">
        <v>381</v>
      </c>
      <c r="K116">
        <v>-572.27883523000003</v>
      </c>
      <c r="L116" t="s">
        <v>381</v>
      </c>
      <c r="M116" t="s">
        <v>382</v>
      </c>
      <c r="N116">
        <v>1.454815672329E-2</v>
      </c>
      <c r="O116">
        <v>8.3256021843478951</v>
      </c>
      <c r="P116" t="s">
        <v>440</v>
      </c>
      <c r="Q116">
        <v>2</v>
      </c>
      <c r="R116">
        <v>29.947030000000002</v>
      </c>
      <c r="S116">
        <v>5.3999999999999999E-2</v>
      </c>
      <c r="T116">
        <v>1.6171396</v>
      </c>
      <c r="U116">
        <v>1.9E-2</v>
      </c>
      <c r="V116">
        <v>30.725999999999999</v>
      </c>
      <c r="W116">
        <v>2</v>
      </c>
      <c r="X116">
        <v>1.6272863373000001E-2</v>
      </c>
      <c r="Y116">
        <v>1</v>
      </c>
      <c r="Z116" s="60">
        <v>8.3256019999999999</v>
      </c>
      <c r="AA116" t="s">
        <v>336</v>
      </c>
      <c r="AB116" t="s">
        <v>433</v>
      </c>
      <c r="AC116" t="s">
        <v>425</v>
      </c>
      <c r="AD116" t="s">
        <v>81</v>
      </c>
      <c r="AE116">
        <v>111.133</v>
      </c>
      <c r="AF116">
        <v>0.99819678194932504</v>
      </c>
      <c r="AG116">
        <v>110.9326029683743</v>
      </c>
      <c r="AH116">
        <v>682.07</v>
      </c>
      <c r="AI116">
        <v>1</v>
      </c>
      <c r="AJ116">
        <v>75.663800506639092</v>
      </c>
      <c r="AK116">
        <v>0.92979999999999996</v>
      </c>
      <c r="AL116" s="62">
        <v>70.352000000000004</v>
      </c>
      <c r="AM116">
        <v>8.9176000000000002</v>
      </c>
      <c r="AN116">
        <v>8.9015196227113016</v>
      </c>
      <c r="AO116">
        <v>1</v>
      </c>
      <c r="AP116">
        <v>6071.4594890626977</v>
      </c>
      <c r="AQ116">
        <v>1.0375922509225091</v>
      </c>
      <c r="AR116">
        <v>6299.6993000000002</v>
      </c>
      <c r="AS116" s="60">
        <v>52448.789091478597</v>
      </c>
      <c r="AT116" t="s">
        <v>342</v>
      </c>
      <c r="AU116" t="s">
        <v>434</v>
      </c>
      <c r="AV116" t="s">
        <v>425</v>
      </c>
      <c r="AW116" t="s">
        <v>81</v>
      </c>
      <c r="AX116">
        <v>111.133</v>
      </c>
      <c r="AY116">
        <v>1.0155396203574489</v>
      </c>
      <c r="AZ116">
        <v>112.8599646291844</v>
      </c>
      <c r="BA116">
        <v>644.24</v>
      </c>
      <c r="BB116">
        <v>1</v>
      </c>
      <c r="BC116">
        <v>72.708903612705754</v>
      </c>
      <c r="BD116">
        <v>0.95185525912296853</v>
      </c>
      <c r="BE116" s="62">
        <v>69.207999999999998</v>
      </c>
      <c r="BF116">
        <v>8.9176000000000002</v>
      </c>
      <c r="BG116">
        <v>1</v>
      </c>
      <c r="BH116">
        <v>5834.3509025821759</v>
      </c>
      <c r="BI116">
        <v>1.081469419077697</v>
      </c>
      <c r="BJ116" s="62">
        <v>6309.6720999999998</v>
      </c>
      <c r="BK116" s="60">
        <v>52531.818655104187</v>
      </c>
    </row>
    <row r="117" spans="1:63" x14ac:dyDescent="0.25">
      <c r="A117">
        <v>293</v>
      </c>
      <c r="B117" t="s">
        <v>137</v>
      </c>
      <c r="C117">
        <v>2017</v>
      </c>
      <c r="D117">
        <v>8</v>
      </c>
      <c r="E117" t="s">
        <v>100</v>
      </c>
      <c r="F117" t="s">
        <v>426</v>
      </c>
      <c r="G117" t="s">
        <v>427</v>
      </c>
      <c r="H117" t="s">
        <v>84</v>
      </c>
      <c r="I117" t="s">
        <v>429</v>
      </c>
      <c r="J117" t="s">
        <v>87</v>
      </c>
      <c r="K117">
        <v>-112.55728247</v>
      </c>
      <c r="L117" t="s">
        <v>87</v>
      </c>
      <c r="M117" t="s">
        <v>382</v>
      </c>
      <c r="N117">
        <v>2.5599311180049999E-2</v>
      </c>
      <c r="O117">
        <v>2.8813888995303172</v>
      </c>
      <c r="P117" t="s">
        <v>440</v>
      </c>
      <c r="Q117">
        <v>2</v>
      </c>
      <c r="R117">
        <v>29.947030000000002</v>
      </c>
      <c r="S117">
        <v>5.3999999999999999E-2</v>
      </c>
      <c r="T117">
        <v>1.6171396</v>
      </c>
      <c r="U117">
        <v>1.9E-2</v>
      </c>
      <c r="V117">
        <v>30.725999999999999</v>
      </c>
      <c r="W117">
        <v>2</v>
      </c>
      <c r="X117">
        <v>1.6272863373000001E-2</v>
      </c>
      <c r="Y117">
        <v>1</v>
      </c>
      <c r="Z117" s="60">
        <v>2.881389</v>
      </c>
      <c r="AA117" t="s">
        <v>336</v>
      </c>
      <c r="AB117" t="s">
        <v>433</v>
      </c>
      <c r="AC117" t="s">
        <v>425</v>
      </c>
      <c r="AD117" t="s">
        <v>81</v>
      </c>
      <c r="AE117">
        <v>111.133</v>
      </c>
      <c r="AF117">
        <v>0.99819678194932504</v>
      </c>
      <c r="AG117">
        <v>110.9326029683743</v>
      </c>
      <c r="AH117">
        <v>682.07</v>
      </c>
      <c r="AI117">
        <v>1</v>
      </c>
      <c r="AJ117">
        <v>75.663800506639092</v>
      </c>
      <c r="AK117">
        <v>0.92979999999999996</v>
      </c>
      <c r="AL117" s="62">
        <v>70.352000000000004</v>
      </c>
      <c r="AM117">
        <v>8.9176000000000002</v>
      </c>
      <c r="AN117">
        <v>8.9015196227113016</v>
      </c>
      <c r="AO117">
        <v>1</v>
      </c>
      <c r="AP117">
        <v>6071.4594890626977</v>
      </c>
      <c r="AQ117">
        <v>1.0375922509225091</v>
      </c>
      <c r="AR117">
        <v>6299.6993000000002</v>
      </c>
      <c r="AS117" s="60">
        <v>18151.884266327699</v>
      </c>
      <c r="AT117" t="s">
        <v>342</v>
      </c>
      <c r="AU117" t="s">
        <v>434</v>
      </c>
      <c r="AV117" t="s">
        <v>425</v>
      </c>
      <c r="AW117" t="s">
        <v>81</v>
      </c>
      <c r="AX117">
        <v>111.133</v>
      </c>
      <c r="AY117">
        <v>1.0155396203574489</v>
      </c>
      <c r="AZ117">
        <v>112.8599646291844</v>
      </c>
      <c r="BA117">
        <v>644.24</v>
      </c>
      <c r="BB117">
        <v>1</v>
      </c>
      <c r="BC117">
        <v>72.708903612705754</v>
      </c>
      <c r="BD117">
        <v>0.95185525912296853</v>
      </c>
      <c r="BE117" s="62">
        <v>69.207999999999998</v>
      </c>
      <c r="BF117">
        <v>8.9176000000000002</v>
      </c>
      <c r="BG117">
        <v>1</v>
      </c>
      <c r="BH117">
        <v>5834.3509025821759</v>
      </c>
      <c r="BI117">
        <v>1.081469419077697</v>
      </c>
      <c r="BJ117" s="62">
        <v>6309.6720999999998</v>
      </c>
      <c r="BK117" s="60">
        <v>18180.619782546899</v>
      </c>
    </row>
    <row r="118" spans="1:63" x14ac:dyDescent="0.25">
      <c r="A118">
        <v>293</v>
      </c>
      <c r="B118" t="s">
        <v>137</v>
      </c>
      <c r="C118">
        <v>2017</v>
      </c>
      <c r="D118">
        <v>8</v>
      </c>
      <c r="E118" t="s">
        <v>100</v>
      </c>
      <c r="F118" t="s">
        <v>426</v>
      </c>
      <c r="G118" t="s">
        <v>427</v>
      </c>
      <c r="H118" t="s">
        <v>84</v>
      </c>
      <c r="I118" t="s">
        <v>430</v>
      </c>
      <c r="J118" t="s">
        <v>59</v>
      </c>
      <c r="K118">
        <v>-348.52462724999998</v>
      </c>
      <c r="L118" t="s">
        <v>59</v>
      </c>
      <c r="M118" t="s">
        <v>382</v>
      </c>
      <c r="N118">
        <v>2.5840781871819998E-2</v>
      </c>
      <c r="O118">
        <v>9.0061488697246226</v>
      </c>
      <c r="P118" t="s">
        <v>440</v>
      </c>
      <c r="Q118">
        <v>2</v>
      </c>
      <c r="R118">
        <v>29.947030000000002</v>
      </c>
      <c r="S118">
        <v>5.3999999999999999E-2</v>
      </c>
      <c r="T118">
        <v>1.6171396</v>
      </c>
      <c r="U118">
        <v>1.9E-2</v>
      </c>
      <c r="V118">
        <v>30.725999999999999</v>
      </c>
      <c r="W118">
        <v>2</v>
      </c>
      <c r="X118">
        <v>1.6272863373000001E-2</v>
      </c>
      <c r="Y118">
        <v>1</v>
      </c>
      <c r="Z118" s="60">
        <v>9.0061490000000006</v>
      </c>
      <c r="AA118" t="s">
        <v>336</v>
      </c>
      <c r="AB118" t="s">
        <v>433</v>
      </c>
      <c r="AC118" t="s">
        <v>425</v>
      </c>
      <c r="AD118" t="s">
        <v>81</v>
      </c>
      <c r="AE118">
        <v>111.133</v>
      </c>
      <c r="AF118">
        <v>0.99819678194932504</v>
      </c>
      <c r="AG118">
        <v>110.9326029683743</v>
      </c>
      <c r="AH118">
        <v>682.07</v>
      </c>
      <c r="AI118">
        <v>1</v>
      </c>
      <c r="AJ118">
        <v>75.663800506639092</v>
      </c>
      <c r="AK118">
        <v>0.92979999999999996</v>
      </c>
      <c r="AL118" s="62">
        <v>70.352000000000004</v>
      </c>
      <c r="AM118">
        <v>8.9176000000000002</v>
      </c>
      <c r="AN118">
        <v>8.9015196227113016</v>
      </c>
      <c r="AO118">
        <v>1</v>
      </c>
      <c r="AP118">
        <v>6071.4594890626977</v>
      </c>
      <c r="AQ118">
        <v>1.0375922509225091</v>
      </c>
      <c r="AR118">
        <v>6299.6993000000002</v>
      </c>
      <c r="AS118" s="60">
        <v>56736.030550995703</v>
      </c>
      <c r="AT118" t="s">
        <v>342</v>
      </c>
      <c r="AU118" t="s">
        <v>434</v>
      </c>
      <c r="AV118" t="s">
        <v>425</v>
      </c>
      <c r="AW118" t="s">
        <v>81</v>
      </c>
      <c r="AX118">
        <v>111.133</v>
      </c>
      <c r="AY118">
        <v>1.0155396203574489</v>
      </c>
      <c r="AZ118">
        <v>112.8599646291844</v>
      </c>
      <c r="BA118">
        <v>644.24</v>
      </c>
      <c r="BB118">
        <v>1</v>
      </c>
      <c r="BC118">
        <v>72.708903612705754</v>
      </c>
      <c r="BD118">
        <v>0.95185525912296853</v>
      </c>
      <c r="BE118" s="62">
        <v>69.207999999999998</v>
      </c>
      <c r="BF118">
        <v>8.9176000000000002</v>
      </c>
      <c r="BG118">
        <v>1</v>
      </c>
      <c r="BH118">
        <v>5834.3509025821759</v>
      </c>
      <c r="BI118">
        <v>1.081469419077697</v>
      </c>
      <c r="BJ118" s="62">
        <v>6309.6720999999998</v>
      </c>
      <c r="BK118" s="60">
        <v>56825.847073742902</v>
      </c>
    </row>
    <row r="119" spans="1:63" x14ac:dyDescent="0.25">
      <c r="A119">
        <v>295</v>
      </c>
      <c r="B119" t="s">
        <v>137</v>
      </c>
      <c r="C119">
        <v>2017</v>
      </c>
      <c r="D119">
        <v>8</v>
      </c>
      <c r="E119" t="s">
        <v>100</v>
      </c>
      <c r="F119" t="s">
        <v>426</v>
      </c>
      <c r="G119" t="s">
        <v>427</v>
      </c>
      <c r="H119" t="s">
        <v>84</v>
      </c>
      <c r="I119" t="s">
        <v>428</v>
      </c>
      <c r="J119" t="s">
        <v>381</v>
      </c>
      <c r="K119">
        <v>-572.27883523000003</v>
      </c>
      <c r="L119" t="s">
        <v>381</v>
      </c>
      <c r="M119" t="s">
        <v>383</v>
      </c>
      <c r="N119">
        <v>1.0028054602977901</v>
      </c>
      <c r="O119">
        <v>573.88434078150328</v>
      </c>
      <c r="P119" t="s">
        <v>440</v>
      </c>
      <c r="Q119">
        <v>2</v>
      </c>
      <c r="R119">
        <v>29.947030000000002</v>
      </c>
      <c r="S119">
        <v>5.3999999999999999E-2</v>
      </c>
      <c r="T119">
        <v>1.6171396</v>
      </c>
      <c r="U119">
        <v>0.98099999999999998</v>
      </c>
      <c r="V119">
        <v>1586.414</v>
      </c>
      <c r="W119">
        <v>2</v>
      </c>
      <c r="X119">
        <v>3.1517623999999998E-4</v>
      </c>
      <c r="Y119">
        <v>1</v>
      </c>
      <c r="Z119" s="60">
        <v>573.88434099999995</v>
      </c>
      <c r="AA119" t="s">
        <v>336</v>
      </c>
      <c r="AB119" t="s">
        <v>433</v>
      </c>
      <c r="AC119" t="s">
        <v>425</v>
      </c>
      <c r="AD119" t="s">
        <v>27</v>
      </c>
      <c r="AE119">
        <v>111.133</v>
      </c>
      <c r="AF119">
        <v>0.99819678194932504</v>
      </c>
      <c r="AG119">
        <v>110.9326029683743</v>
      </c>
      <c r="AH119">
        <v>682.07</v>
      </c>
      <c r="AI119">
        <v>1</v>
      </c>
      <c r="AJ119">
        <v>75.663800506639092</v>
      </c>
      <c r="AK119">
        <v>0.99739999999999995</v>
      </c>
      <c r="AL119" s="62">
        <v>75.466999999999999</v>
      </c>
      <c r="AM119">
        <v>8.9176000000000002</v>
      </c>
      <c r="AN119">
        <v>8.9015196227113016</v>
      </c>
      <c r="AO119">
        <v>1</v>
      </c>
      <c r="AP119">
        <v>6071.4594890626977</v>
      </c>
      <c r="AQ119">
        <v>1.0108695652173909</v>
      </c>
      <c r="AR119">
        <v>6137.4535999999998</v>
      </c>
      <c r="AS119" s="60">
        <v>3522188.5146540771</v>
      </c>
      <c r="AT119" t="s">
        <v>342</v>
      </c>
      <c r="AU119" t="s">
        <v>434</v>
      </c>
      <c r="AV119" t="s">
        <v>425</v>
      </c>
      <c r="AW119" t="s">
        <v>27</v>
      </c>
      <c r="AX119">
        <v>111.133</v>
      </c>
      <c r="AY119">
        <v>1.0155396203574489</v>
      </c>
      <c r="AZ119">
        <v>112.8599646291844</v>
      </c>
      <c r="BA119">
        <v>644.24</v>
      </c>
      <c r="BB119">
        <v>1</v>
      </c>
      <c r="BC119">
        <v>72.708903612705754</v>
      </c>
      <c r="BD119">
        <v>1.0016354901359501</v>
      </c>
      <c r="BE119" s="62">
        <v>72.828000000000003</v>
      </c>
      <c r="BF119">
        <v>8.9176000000000002</v>
      </c>
      <c r="BG119">
        <v>1</v>
      </c>
      <c r="BH119">
        <v>5834.3509025821759</v>
      </c>
      <c r="BI119">
        <v>1.016194415745886</v>
      </c>
      <c r="BJ119" s="62">
        <v>5928.8347999999996</v>
      </c>
      <c r="BK119" s="60">
        <v>3402465.4520958662</v>
      </c>
    </row>
    <row r="120" spans="1:63" x14ac:dyDescent="0.25">
      <c r="A120">
        <v>295</v>
      </c>
      <c r="B120" t="s">
        <v>137</v>
      </c>
      <c r="C120">
        <v>2017</v>
      </c>
      <c r="D120">
        <v>8</v>
      </c>
      <c r="E120" t="s">
        <v>100</v>
      </c>
      <c r="F120" t="s">
        <v>426</v>
      </c>
      <c r="G120" t="s">
        <v>427</v>
      </c>
      <c r="H120" t="s">
        <v>84</v>
      </c>
      <c r="I120" t="s">
        <v>429</v>
      </c>
      <c r="J120" t="s">
        <v>87</v>
      </c>
      <c r="K120">
        <v>-112.55728247</v>
      </c>
      <c r="L120" t="s">
        <v>87</v>
      </c>
      <c r="M120" t="s">
        <v>383</v>
      </c>
      <c r="N120">
        <v>0.96662205245035004</v>
      </c>
      <c r="O120">
        <v>108.80035139938521</v>
      </c>
      <c r="P120" t="s">
        <v>440</v>
      </c>
      <c r="Q120">
        <v>2</v>
      </c>
      <c r="R120">
        <v>29.947030000000002</v>
      </c>
      <c r="S120">
        <v>5.3999999999999999E-2</v>
      </c>
      <c r="T120">
        <v>1.6171396</v>
      </c>
      <c r="U120">
        <v>0.98099999999999998</v>
      </c>
      <c r="V120">
        <v>1586.414</v>
      </c>
      <c r="W120">
        <v>2</v>
      </c>
      <c r="X120">
        <v>3.1517623999999998E-4</v>
      </c>
      <c r="Y120">
        <v>1</v>
      </c>
      <c r="Z120" s="60">
        <v>108.80035100000001</v>
      </c>
      <c r="AA120" t="s">
        <v>336</v>
      </c>
      <c r="AB120" t="s">
        <v>433</v>
      </c>
      <c r="AC120" t="s">
        <v>425</v>
      </c>
      <c r="AD120" t="s">
        <v>27</v>
      </c>
      <c r="AE120">
        <v>111.133</v>
      </c>
      <c r="AF120">
        <v>0.99819678194932504</v>
      </c>
      <c r="AG120">
        <v>110.9326029683743</v>
      </c>
      <c r="AH120">
        <v>682.07</v>
      </c>
      <c r="AI120">
        <v>1</v>
      </c>
      <c r="AJ120">
        <v>75.663800506639092</v>
      </c>
      <c r="AK120">
        <v>0.99739999999999995</v>
      </c>
      <c r="AL120" s="62">
        <v>75.466999999999999</v>
      </c>
      <c r="AM120">
        <v>8.9176000000000002</v>
      </c>
      <c r="AN120">
        <v>8.9015196227113016</v>
      </c>
      <c r="AO120">
        <v>1</v>
      </c>
      <c r="AP120">
        <v>6071.4594890626977</v>
      </c>
      <c r="AQ120">
        <v>1.0108695652173909</v>
      </c>
      <c r="AR120">
        <v>6137.4535999999998</v>
      </c>
      <c r="AS120" s="60">
        <v>667757.10592621367</v>
      </c>
      <c r="AT120" t="s">
        <v>342</v>
      </c>
      <c r="AU120" t="s">
        <v>434</v>
      </c>
      <c r="AV120" t="s">
        <v>425</v>
      </c>
      <c r="AW120" t="s">
        <v>27</v>
      </c>
      <c r="AX120">
        <v>111.133</v>
      </c>
      <c r="AY120">
        <v>1.0155396203574489</v>
      </c>
      <c r="AZ120">
        <v>112.8599646291844</v>
      </c>
      <c r="BA120">
        <v>644.24</v>
      </c>
      <c r="BB120">
        <v>1</v>
      </c>
      <c r="BC120">
        <v>72.708903612705754</v>
      </c>
      <c r="BD120">
        <v>1.0016354901359501</v>
      </c>
      <c r="BE120" s="62">
        <v>72.828000000000003</v>
      </c>
      <c r="BF120">
        <v>8.9176000000000002</v>
      </c>
      <c r="BG120">
        <v>1</v>
      </c>
      <c r="BH120">
        <v>5834.3509025821759</v>
      </c>
      <c r="BI120">
        <v>1.016194415745886</v>
      </c>
      <c r="BJ120" s="62">
        <v>5928.8347999999996</v>
      </c>
      <c r="BK120" s="60">
        <v>645059.30726101482</v>
      </c>
    </row>
    <row r="121" spans="1:63" x14ac:dyDescent="0.25">
      <c r="A121">
        <v>295</v>
      </c>
      <c r="B121" t="s">
        <v>137</v>
      </c>
      <c r="C121">
        <v>2017</v>
      </c>
      <c r="D121">
        <v>8</v>
      </c>
      <c r="E121" t="s">
        <v>100</v>
      </c>
      <c r="F121" t="s">
        <v>426</v>
      </c>
      <c r="G121" t="s">
        <v>427</v>
      </c>
      <c r="H121" t="s">
        <v>84</v>
      </c>
      <c r="I121" t="s">
        <v>430</v>
      </c>
      <c r="J121" t="s">
        <v>59</v>
      </c>
      <c r="K121">
        <v>-348.52462724999998</v>
      </c>
      <c r="L121" t="s">
        <v>59</v>
      </c>
      <c r="M121" t="s">
        <v>383</v>
      </c>
      <c r="N121">
        <v>0.99151283514854005</v>
      </c>
      <c r="O121">
        <v>345.56664128373558</v>
      </c>
      <c r="P121" t="s">
        <v>440</v>
      </c>
      <c r="Q121">
        <v>2</v>
      </c>
      <c r="R121">
        <v>29.947030000000002</v>
      </c>
      <c r="S121">
        <v>5.3999999999999999E-2</v>
      </c>
      <c r="T121">
        <v>1.6171396</v>
      </c>
      <c r="U121">
        <v>0.98099999999999998</v>
      </c>
      <c r="V121">
        <v>1586.414</v>
      </c>
      <c r="W121">
        <v>2</v>
      </c>
      <c r="X121">
        <v>3.1517623999999998E-4</v>
      </c>
      <c r="Y121">
        <v>1</v>
      </c>
      <c r="Z121" s="60">
        <v>345.566641</v>
      </c>
      <c r="AA121" t="s">
        <v>336</v>
      </c>
      <c r="AB121" t="s">
        <v>433</v>
      </c>
      <c r="AC121" t="s">
        <v>425</v>
      </c>
      <c r="AD121" t="s">
        <v>27</v>
      </c>
      <c r="AE121">
        <v>111.133</v>
      </c>
      <c r="AF121">
        <v>0.99819678194932504</v>
      </c>
      <c r="AG121">
        <v>110.9326029683743</v>
      </c>
      <c r="AH121">
        <v>682.07</v>
      </c>
      <c r="AI121">
        <v>1</v>
      </c>
      <c r="AJ121">
        <v>75.663800506639092</v>
      </c>
      <c r="AK121">
        <v>0.99739999999999995</v>
      </c>
      <c r="AL121" s="62">
        <v>75.466999999999999</v>
      </c>
      <c r="AM121">
        <v>8.9176000000000002</v>
      </c>
      <c r="AN121">
        <v>8.9015196227113016</v>
      </c>
      <c r="AO121">
        <v>1</v>
      </c>
      <c r="AP121">
        <v>6071.4594890626977</v>
      </c>
      <c r="AQ121">
        <v>1.0108695652173909</v>
      </c>
      <c r="AR121">
        <v>6137.4535999999998</v>
      </c>
      <c r="AS121" s="60">
        <v>2120899.2248453582</v>
      </c>
      <c r="AT121" t="s">
        <v>342</v>
      </c>
      <c r="AU121" t="s">
        <v>434</v>
      </c>
      <c r="AV121" t="s">
        <v>425</v>
      </c>
      <c r="AW121" t="s">
        <v>27</v>
      </c>
      <c r="AX121">
        <v>111.133</v>
      </c>
      <c r="AY121">
        <v>1.0155396203574489</v>
      </c>
      <c r="AZ121">
        <v>112.8599646291844</v>
      </c>
      <c r="BA121">
        <v>644.24</v>
      </c>
      <c r="BB121">
        <v>1</v>
      </c>
      <c r="BC121">
        <v>72.708903612705754</v>
      </c>
      <c r="BD121">
        <v>1.0016354901359501</v>
      </c>
      <c r="BE121" s="62">
        <v>72.828000000000003</v>
      </c>
      <c r="BF121">
        <v>8.9176000000000002</v>
      </c>
      <c r="BG121">
        <v>1</v>
      </c>
      <c r="BH121">
        <v>5834.3509025821759</v>
      </c>
      <c r="BI121">
        <v>1.016194415745886</v>
      </c>
      <c r="BJ121" s="62">
        <v>5928.8347999999996</v>
      </c>
      <c r="BK121" s="60">
        <v>2048807.5268799069</v>
      </c>
    </row>
    <row r="122" spans="1:63" x14ac:dyDescent="0.25">
      <c r="A122">
        <v>313</v>
      </c>
      <c r="B122" t="s">
        <v>121</v>
      </c>
      <c r="C122">
        <v>2017</v>
      </c>
      <c r="D122">
        <v>9</v>
      </c>
      <c r="E122" t="s">
        <v>100</v>
      </c>
      <c r="F122" t="s">
        <v>426</v>
      </c>
      <c r="G122" t="s">
        <v>427</v>
      </c>
      <c r="H122" t="s">
        <v>84</v>
      </c>
      <c r="I122" t="s">
        <v>428</v>
      </c>
      <c r="J122" t="s">
        <v>381</v>
      </c>
      <c r="K122">
        <v>-484.02635694000003</v>
      </c>
      <c r="L122" t="s">
        <v>381</v>
      </c>
      <c r="M122" t="s">
        <v>382</v>
      </c>
      <c r="N122">
        <v>1.4864421000020001E-2</v>
      </c>
      <c r="O122">
        <v>7.1947715446621121</v>
      </c>
      <c r="P122" t="s">
        <v>440</v>
      </c>
      <c r="Q122">
        <v>2</v>
      </c>
      <c r="R122">
        <v>29.947030000000002</v>
      </c>
      <c r="S122">
        <v>4.2000000000000003E-2</v>
      </c>
      <c r="T122">
        <v>1.2577753</v>
      </c>
      <c r="U122">
        <v>1.9E-2</v>
      </c>
      <c r="V122">
        <v>23.898</v>
      </c>
      <c r="W122">
        <v>2</v>
      </c>
      <c r="X122">
        <v>2.0922252908E-2</v>
      </c>
      <c r="Y122">
        <v>1</v>
      </c>
      <c r="Z122" s="60">
        <v>7.1947720000000004</v>
      </c>
      <c r="AA122" t="s">
        <v>336</v>
      </c>
      <c r="AB122" t="s">
        <v>433</v>
      </c>
      <c r="AC122" t="s">
        <v>425</v>
      </c>
      <c r="AD122" t="s">
        <v>81</v>
      </c>
      <c r="AE122">
        <v>111.133</v>
      </c>
      <c r="AF122">
        <v>0.99819678194932504</v>
      </c>
      <c r="AG122">
        <v>110.9326029683743</v>
      </c>
      <c r="AH122">
        <v>682.07</v>
      </c>
      <c r="AI122">
        <v>1</v>
      </c>
      <c r="AJ122">
        <v>75.663800506639092</v>
      </c>
      <c r="AK122">
        <v>0.92979999999999996</v>
      </c>
      <c r="AL122" s="62">
        <v>70.352000000000004</v>
      </c>
      <c r="AM122">
        <v>8.9176000000000002</v>
      </c>
      <c r="AN122">
        <v>8.9015196227113016</v>
      </c>
      <c r="AO122">
        <v>1</v>
      </c>
      <c r="AP122">
        <v>6071.4594890626977</v>
      </c>
      <c r="AQ122">
        <v>1.0375922509225091</v>
      </c>
      <c r="AR122">
        <v>6299.6993000000002</v>
      </c>
      <c r="AS122" s="60">
        <v>45324.900132059607</v>
      </c>
      <c r="AT122" t="s">
        <v>342</v>
      </c>
      <c r="AU122" t="s">
        <v>434</v>
      </c>
      <c r="AV122" t="s">
        <v>425</v>
      </c>
      <c r="AW122" t="s">
        <v>81</v>
      </c>
      <c r="AX122">
        <v>111.133</v>
      </c>
      <c r="AY122">
        <v>1.0155396203574489</v>
      </c>
      <c r="AZ122">
        <v>112.8599646291844</v>
      </c>
      <c r="BA122">
        <v>625.54</v>
      </c>
      <c r="BB122">
        <v>1</v>
      </c>
      <c r="BC122">
        <v>70.598422274140006</v>
      </c>
      <c r="BD122">
        <v>0.95185525912296853</v>
      </c>
      <c r="BE122" s="62">
        <v>67.198999999999998</v>
      </c>
      <c r="BF122">
        <v>8.9176000000000002</v>
      </c>
      <c r="BG122">
        <v>1</v>
      </c>
      <c r="BH122">
        <v>5665.0004091662331</v>
      </c>
      <c r="BI122">
        <v>1.081469419077697</v>
      </c>
      <c r="BJ122" s="62">
        <v>6126.5246999999999</v>
      </c>
      <c r="BK122" s="60">
        <v>44078.948368868398</v>
      </c>
    </row>
    <row r="123" spans="1:63" x14ac:dyDescent="0.25">
      <c r="A123">
        <v>313</v>
      </c>
      <c r="B123" t="s">
        <v>121</v>
      </c>
      <c r="C123">
        <v>2017</v>
      </c>
      <c r="D123">
        <v>9</v>
      </c>
      <c r="E123" t="s">
        <v>100</v>
      </c>
      <c r="F123" t="s">
        <v>426</v>
      </c>
      <c r="G123" t="s">
        <v>427</v>
      </c>
      <c r="H123" t="s">
        <v>84</v>
      </c>
      <c r="I123" t="s">
        <v>429</v>
      </c>
      <c r="J123" t="s">
        <v>87</v>
      </c>
      <c r="K123">
        <v>-98.679780840000006</v>
      </c>
      <c r="L123" t="s">
        <v>87</v>
      </c>
      <c r="M123" t="s">
        <v>382</v>
      </c>
      <c r="N123">
        <v>2.6818325998410001E-2</v>
      </c>
      <c r="O123">
        <v>2.646426532018773</v>
      </c>
      <c r="P123" t="s">
        <v>440</v>
      </c>
      <c r="Q123">
        <v>2</v>
      </c>
      <c r="R123">
        <v>29.947030000000002</v>
      </c>
      <c r="S123">
        <v>4.2000000000000003E-2</v>
      </c>
      <c r="T123">
        <v>1.2577753</v>
      </c>
      <c r="U123">
        <v>1.9E-2</v>
      </c>
      <c r="V123">
        <v>23.898</v>
      </c>
      <c r="W123">
        <v>2</v>
      </c>
      <c r="X123">
        <v>2.0922252908E-2</v>
      </c>
      <c r="Y123">
        <v>1</v>
      </c>
      <c r="Z123" s="60">
        <v>2.6464270000000001</v>
      </c>
      <c r="AA123" t="s">
        <v>336</v>
      </c>
      <c r="AB123" t="s">
        <v>433</v>
      </c>
      <c r="AC123" t="s">
        <v>425</v>
      </c>
      <c r="AD123" t="s">
        <v>81</v>
      </c>
      <c r="AE123">
        <v>111.133</v>
      </c>
      <c r="AF123">
        <v>0.99819678194932504</v>
      </c>
      <c r="AG123">
        <v>110.9326029683743</v>
      </c>
      <c r="AH123">
        <v>682.07</v>
      </c>
      <c r="AI123">
        <v>1</v>
      </c>
      <c r="AJ123">
        <v>75.663800506639092</v>
      </c>
      <c r="AK123">
        <v>0.92979999999999996</v>
      </c>
      <c r="AL123" s="62">
        <v>70.352000000000004</v>
      </c>
      <c r="AM123">
        <v>8.9176000000000002</v>
      </c>
      <c r="AN123">
        <v>8.9015196227113016</v>
      </c>
      <c r="AO123">
        <v>1</v>
      </c>
      <c r="AP123">
        <v>6071.4594890626977</v>
      </c>
      <c r="AQ123">
        <v>1.0375922509225091</v>
      </c>
      <c r="AR123">
        <v>6299.6993000000002</v>
      </c>
      <c r="AS123" s="60">
        <v>16671.6943194011</v>
      </c>
      <c r="AT123" t="s">
        <v>342</v>
      </c>
      <c r="AU123" t="s">
        <v>434</v>
      </c>
      <c r="AV123" t="s">
        <v>425</v>
      </c>
      <c r="AW123" t="s">
        <v>81</v>
      </c>
      <c r="AX123">
        <v>111.133</v>
      </c>
      <c r="AY123">
        <v>1.0155396203574489</v>
      </c>
      <c r="AZ123">
        <v>112.8599646291844</v>
      </c>
      <c r="BA123">
        <v>625.54</v>
      </c>
      <c r="BB123">
        <v>1</v>
      </c>
      <c r="BC123">
        <v>70.598422274140006</v>
      </c>
      <c r="BD123">
        <v>0.95185525912296853</v>
      </c>
      <c r="BE123" s="62">
        <v>67.198999999999998</v>
      </c>
      <c r="BF123">
        <v>8.9176000000000002</v>
      </c>
      <c r="BG123">
        <v>1</v>
      </c>
      <c r="BH123">
        <v>5665.0004091662331</v>
      </c>
      <c r="BI123">
        <v>1.081469419077697</v>
      </c>
      <c r="BJ123" s="62">
        <v>6126.5246999999999</v>
      </c>
      <c r="BK123" s="60">
        <v>16213.4003822469</v>
      </c>
    </row>
    <row r="124" spans="1:63" x14ac:dyDescent="0.25">
      <c r="A124">
        <v>313</v>
      </c>
      <c r="B124" t="s">
        <v>121</v>
      </c>
      <c r="C124">
        <v>2017</v>
      </c>
      <c r="D124">
        <v>9</v>
      </c>
      <c r="E124" t="s">
        <v>100</v>
      </c>
      <c r="F124" t="s">
        <v>426</v>
      </c>
      <c r="G124" t="s">
        <v>427</v>
      </c>
      <c r="H124" t="s">
        <v>84</v>
      </c>
      <c r="I124" t="s">
        <v>430</v>
      </c>
      <c r="J124" t="s">
        <v>59</v>
      </c>
      <c r="K124">
        <v>-328.17007977999998</v>
      </c>
      <c r="L124" t="s">
        <v>59</v>
      </c>
      <c r="M124" t="s">
        <v>382</v>
      </c>
      <c r="N124">
        <v>2.640253800026E-2</v>
      </c>
      <c r="O124">
        <v>8.6645230019398056</v>
      </c>
      <c r="P124" t="s">
        <v>440</v>
      </c>
      <c r="Q124">
        <v>2</v>
      </c>
      <c r="R124">
        <v>29.947030000000002</v>
      </c>
      <c r="S124">
        <v>4.2000000000000003E-2</v>
      </c>
      <c r="T124">
        <v>1.2577753</v>
      </c>
      <c r="U124">
        <v>1.9E-2</v>
      </c>
      <c r="V124">
        <v>23.898</v>
      </c>
      <c r="W124">
        <v>2</v>
      </c>
      <c r="X124">
        <v>2.0922252908E-2</v>
      </c>
      <c r="Y124">
        <v>1</v>
      </c>
      <c r="Z124" s="60">
        <v>8.6645230000000009</v>
      </c>
      <c r="AA124" t="s">
        <v>336</v>
      </c>
      <c r="AB124" t="s">
        <v>433</v>
      </c>
      <c r="AC124" t="s">
        <v>425</v>
      </c>
      <c r="AD124" t="s">
        <v>81</v>
      </c>
      <c r="AE124">
        <v>111.133</v>
      </c>
      <c r="AF124">
        <v>0.99819678194932504</v>
      </c>
      <c r="AG124">
        <v>110.9326029683743</v>
      </c>
      <c r="AH124">
        <v>682.07</v>
      </c>
      <c r="AI124">
        <v>1</v>
      </c>
      <c r="AJ124">
        <v>75.663800506639092</v>
      </c>
      <c r="AK124">
        <v>0.92979999999999996</v>
      </c>
      <c r="AL124" s="62">
        <v>70.352000000000004</v>
      </c>
      <c r="AM124">
        <v>8.9176000000000002</v>
      </c>
      <c r="AN124">
        <v>8.9015196227113016</v>
      </c>
      <c r="AO124">
        <v>1</v>
      </c>
      <c r="AP124">
        <v>6071.4594890626977</v>
      </c>
      <c r="AQ124">
        <v>1.0375922509225091</v>
      </c>
      <c r="AR124">
        <v>6299.6993000000002</v>
      </c>
      <c r="AS124" s="60">
        <v>54583.88947793391</v>
      </c>
      <c r="AT124" t="s">
        <v>342</v>
      </c>
      <c r="AU124" t="s">
        <v>434</v>
      </c>
      <c r="AV124" t="s">
        <v>425</v>
      </c>
      <c r="AW124" t="s">
        <v>81</v>
      </c>
      <c r="AX124">
        <v>111.133</v>
      </c>
      <c r="AY124">
        <v>1.0155396203574489</v>
      </c>
      <c r="AZ124">
        <v>112.8599646291844</v>
      </c>
      <c r="BA124">
        <v>625.54</v>
      </c>
      <c r="BB124">
        <v>1</v>
      </c>
      <c r="BC124">
        <v>70.598422274140006</v>
      </c>
      <c r="BD124">
        <v>0.95185525912296853</v>
      </c>
      <c r="BE124" s="62">
        <v>67.198999999999998</v>
      </c>
      <c r="BF124">
        <v>8.9176000000000002</v>
      </c>
      <c r="BG124">
        <v>1</v>
      </c>
      <c r="BH124">
        <v>5665.0004091662331</v>
      </c>
      <c r="BI124">
        <v>1.081469419077697</v>
      </c>
      <c r="BJ124" s="62">
        <v>6126.5246999999999</v>
      </c>
      <c r="BK124" s="60">
        <v>53083.414173218101</v>
      </c>
    </row>
    <row r="125" spans="1:63" x14ac:dyDescent="0.25">
      <c r="A125">
        <v>315</v>
      </c>
      <c r="B125" t="s">
        <v>121</v>
      </c>
      <c r="C125">
        <v>2017</v>
      </c>
      <c r="D125">
        <v>9</v>
      </c>
      <c r="E125" t="s">
        <v>100</v>
      </c>
      <c r="F125" t="s">
        <v>426</v>
      </c>
      <c r="G125" t="s">
        <v>427</v>
      </c>
      <c r="H125" t="s">
        <v>84</v>
      </c>
      <c r="I125" t="s">
        <v>428</v>
      </c>
      <c r="J125" t="s">
        <v>381</v>
      </c>
      <c r="K125">
        <v>-484.02635694000003</v>
      </c>
      <c r="L125" t="s">
        <v>381</v>
      </c>
      <c r="M125" t="s">
        <v>383</v>
      </c>
      <c r="N125">
        <v>1.0246055789999799</v>
      </c>
      <c r="O125">
        <v>495.93610570375972</v>
      </c>
      <c r="P125" t="s">
        <v>440</v>
      </c>
      <c r="Q125">
        <v>2</v>
      </c>
      <c r="R125">
        <v>29.947030000000002</v>
      </c>
      <c r="S125">
        <v>4.2000000000000003E-2</v>
      </c>
      <c r="T125">
        <v>1.2577753</v>
      </c>
      <c r="U125">
        <v>0.98099999999999998</v>
      </c>
      <c r="V125">
        <v>1233.8779999999999</v>
      </c>
      <c r="W125">
        <v>2</v>
      </c>
      <c r="X125">
        <v>4.0522644900000001E-4</v>
      </c>
      <c r="Y125">
        <v>1</v>
      </c>
      <c r="Z125" s="60">
        <v>495.936106</v>
      </c>
      <c r="AA125" t="s">
        <v>336</v>
      </c>
      <c r="AB125" t="s">
        <v>433</v>
      </c>
      <c r="AC125" t="s">
        <v>425</v>
      </c>
      <c r="AD125" t="s">
        <v>27</v>
      </c>
      <c r="AE125">
        <v>111.133</v>
      </c>
      <c r="AF125">
        <v>0.99819678194932504</v>
      </c>
      <c r="AG125">
        <v>110.9326029683743</v>
      </c>
      <c r="AH125">
        <v>682.07</v>
      </c>
      <c r="AI125">
        <v>1</v>
      </c>
      <c r="AJ125">
        <v>75.663800506639092</v>
      </c>
      <c r="AK125">
        <v>0.99739999999999995</v>
      </c>
      <c r="AL125" s="62">
        <v>75.466999999999999</v>
      </c>
      <c r="AM125">
        <v>8.9176000000000002</v>
      </c>
      <c r="AN125">
        <v>8.9015196227113016</v>
      </c>
      <c r="AO125">
        <v>1</v>
      </c>
      <c r="AP125">
        <v>6071.4594890626977</v>
      </c>
      <c r="AQ125">
        <v>1.0108695652173909</v>
      </c>
      <c r="AR125">
        <v>6137.4535999999998</v>
      </c>
      <c r="AS125" s="60">
        <v>3043784.8391396808</v>
      </c>
      <c r="AT125" t="s">
        <v>342</v>
      </c>
      <c r="AU125" t="s">
        <v>434</v>
      </c>
      <c r="AV125" t="s">
        <v>425</v>
      </c>
      <c r="AW125" t="s">
        <v>27</v>
      </c>
      <c r="AX125">
        <v>111.133</v>
      </c>
      <c r="AY125">
        <v>1.0155396203574489</v>
      </c>
      <c r="AZ125">
        <v>112.8599646291844</v>
      </c>
      <c r="BA125">
        <v>625.54</v>
      </c>
      <c r="BB125">
        <v>1</v>
      </c>
      <c r="BC125">
        <v>70.598422274140006</v>
      </c>
      <c r="BD125">
        <v>1.0016354901359501</v>
      </c>
      <c r="BE125" s="62">
        <v>70.713999999999999</v>
      </c>
      <c r="BF125">
        <v>8.9176000000000002</v>
      </c>
      <c r="BG125">
        <v>1</v>
      </c>
      <c r="BH125">
        <v>5665.0004091662331</v>
      </c>
      <c r="BI125">
        <v>1.016194415745886</v>
      </c>
      <c r="BJ125" s="62">
        <v>5756.7417999999998</v>
      </c>
      <c r="BK125" s="60">
        <v>2854976.11153943</v>
      </c>
    </row>
    <row r="126" spans="1:63" x14ac:dyDescent="0.25">
      <c r="A126">
        <v>315</v>
      </c>
      <c r="B126" t="s">
        <v>121</v>
      </c>
      <c r="C126">
        <v>2017</v>
      </c>
      <c r="D126">
        <v>9</v>
      </c>
      <c r="E126" t="s">
        <v>100</v>
      </c>
      <c r="F126" t="s">
        <v>426</v>
      </c>
      <c r="G126" t="s">
        <v>427</v>
      </c>
      <c r="H126" t="s">
        <v>84</v>
      </c>
      <c r="I126" t="s">
        <v>429</v>
      </c>
      <c r="J126" t="s">
        <v>87</v>
      </c>
      <c r="K126">
        <v>-98.679780840000006</v>
      </c>
      <c r="L126" t="s">
        <v>87</v>
      </c>
      <c r="M126" t="s">
        <v>383</v>
      </c>
      <c r="N126">
        <v>1.0126516740003699</v>
      </c>
      <c r="O126">
        <v>99.928245257615643</v>
      </c>
      <c r="P126" t="s">
        <v>440</v>
      </c>
      <c r="Q126">
        <v>2</v>
      </c>
      <c r="R126">
        <v>29.947030000000002</v>
      </c>
      <c r="S126">
        <v>4.2000000000000003E-2</v>
      </c>
      <c r="T126">
        <v>1.2577753</v>
      </c>
      <c r="U126">
        <v>0.98099999999999998</v>
      </c>
      <c r="V126">
        <v>1233.8779999999999</v>
      </c>
      <c r="W126">
        <v>2</v>
      </c>
      <c r="X126">
        <v>4.0522644900000001E-4</v>
      </c>
      <c r="Y126">
        <v>1</v>
      </c>
      <c r="Z126" s="60">
        <v>99.928245000000004</v>
      </c>
      <c r="AA126" t="s">
        <v>336</v>
      </c>
      <c r="AB126" t="s">
        <v>433</v>
      </c>
      <c r="AC126" t="s">
        <v>425</v>
      </c>
      <c r="AD126" t="s">
        <v>27</v>
      </c>
      <c r="AE126">
        <v>111.133</v>
      </c>
      <c r="AF126">
        <v>0.99819678194932504</v>
      </c>
      <c r="AG126">
        <v>110.9326029683743</v>
      </c>
      <c r="AH126">
        <v>682.07</v>
      </c>
      <c r="AI126">
        <v>1</v>
      </c>
      <c r="AJ126">
        <v>75.663800506639092</v>
      </c>
      <c r="AK126">
        <v>0.99739999999999995</v>
      </c>
      <c r="AL126" s="62">
        <v>75.466999999999999</v>
      </c>
      <c r="AM126">
        <v>8.9176000000000002</v>
      </c>
      <c r="AN126">
        <v>8.9015196227113016</v>
      </c>
      <c r="AO126">
        <v>1</v>
      </c>
      <c r="AP126">
        <v>6071.4594890626977</v>
      </c>
      <c r="AQ126">
        <v>1.0108695652173909</v>
      </c>
      <c r="AR126">
        <v>6137.4535999999998</v>
      </c>
      <c r="AS126" s="60">
        <v>613304.96701693197</v>
      </c>
      <c r="AT126" t="s">
        <v>342</v>
      </c>
      <c r="AU126" t="s">
        <v>434</v>
      </c>
      <c r="AV126" t="s">
        <v>425</v>
      </c>
      <c r="AW126" t="s">
        <v>27</v>
      </c>
      <c r="AX126">
        <v>111.133</v>
      </c>
      <c r="AY126">
        <v>1.0155396203574489</v>
      </c>
      <c r="AZ126">
        <v>112.8599646291844</v>
      </c>
      <c r="BA126">
        <v>625.54</v>
      </c>
      <c r="BB126">
        <v>1</v>
      </c>
      <c r="BC126">
        <v>70.598422274140006</v>
      </c>
      <c r="BD126">
        <v>1.0016354901359501</v>
      </c>
      <c r="BE126" s="62">
        <v>70.713999999999999</v>
      </c>
      <c r="BF126">
        <v>8.9176000000000002</v>
      </c>
      <c r="BG126">
        <v>1</v>
      </c>
      <c r="BH126">
        <v>5665.0004091662331</v>
      </c>
      <c r="BI126">
        <v>1.016194415745886</v>
      </c>
      <c r="BJ126" s="62">
        <v>5756.7417999999998</v>
      </c>
      <c r="BK126" s="60">
        <v>575261.10499214102</v>
      </c>
    </row>
    <row r="127" spans="1:63" x14ac:dyDescent="0.25">
      <c r="A127">
        <v>315</v>
      </c>
      <c r="B127" t="s">
        <v>121</v>
      </c>
      <c r="C127">
        <v>2017</v>
      </c>
      <c r="D127">
        <v>9</v>
      </c>
      <c r="E127" t="s">
        <v>100</v>
      </c>
      <c r="F127" t="s">
        <v>426</v>
      </c>
      <c r="G127" t="s">
        <v>427</v>
      </c>
      <c r="H127" t="s">
        <v>84</v>
      </c>
      <c r="I127" t="s">
        <v>430</v>
      </c>
      <c r="J127" t="s">
        <v>59</v>
      </c>
      <c r="K127">
        <v>-328.17007977999998</v>
      </c>
      <c r="L127" t="s">
        <v>59</v>
      </c>
      <c r="M127" t="s">
        <v>383</v>
      </c>
      <c r="N127">
        <v>1.01306746199965</v>
      </c>
      <c r="O127">
        <v>332.45842982694728</v>
      </c>
      <c r="P127" t="s">
        <v>440</v>
      </c>
      <c r="Q127">
        <v>2</v>
      </c>
      <c r="R127">
        <v>29.947030000000002</v>
      </c>
      <c r="S127">
        <v>4.2000000000000003E-2</v>
      </c>
      <c r="T127">
        <v>1.2577753</v>
      </c>
      <c r="U127">
        <v>0.98099999999999998</v>
      </c>
      <c r="V127">
        <v>1233.8779999999999</v>
      </c>
      <c r="W127">
        <v>2</v>
      </c>
      <c r="X127">
        <v>4.0522644900000001E-4</v>
      </c>
      <c r="Y127">
        <v>1</v>
      </c>
      <c r="Z127" s="60">
        <v>332.45843000000002</v>
      </c>
      <c r="AA127" t="s">
        <v>336</v>
      </c>
      <c r="AB127" t="s">
        <v>433</v>
      </c>
      <c r="AC127" t="s">
        <v>425</v>
      </c>
      <c r="AD127" t="s">
        <v>27</v>
      </c>
      <c r="AE127">
        <v>111.133</v>
      </c>
      <c r="AF127">
        <v>0.99819678194932504</v>
      </c>
      <c r="AG127">
        <v>110.9326029683743</v>
      </c>
      <c r="AH127">
        <v>682.07</v>
      </c>
      <c r="AI127">
        <v>1</v>
      </c>
      <c r="AJ127">
        <v>75.663800506639092</v>
      </c>
      <c r="AK127">
        <v>0.99739999999999995</v>
      </c>
      <c r="AL127" s="62">
        <v>75.466999999999999</v>
      </c>
      <c r="AM127">
        <v>8.9176000000000002</v>
      </c>
      <c r="AN127">
        <v>8.9015196227113016</v>
      </c>
      <c r="AO127">
        <v>1</v>
      </c>
      <c r="AP127">
        <v>6071.4594890626977</v>
      </c>
      <c r="AQ127">
        <v>1.0108695652173909</v>
      </c>
      <c r="AR127">
        <v>6137.4535999999998</v>
      </c>
      <c r="AS127" s="60">
        <v>2040448.188053848</v>
      </c>
      <c r="AT127" t="s">
        <v>342</v>
      </c>
      <c r="AU127" t="s">
        <v>434</v>
      </c>
      <c r="AV127" t="s">
        <v>425</v>
      </c>
      <c r="AW127" t="s">
        <v>27</v>
      </c>
      <c r="AX127">
        <v>111.133</v>
      </c>
      <c r="AY127">
        <v>1.0155396203574489</v>
      </c>
      <c r="AZ127">
        <v>112.8599646291844</v>
      </c>
      <c r="BA127">
        <v>625.54</v>
      </c>
      <c r="BB127">
        <v>1</v>
      </c>
      <c r="BC127">
        <v>70.598422274140006</v>
      </c>
      <c r="BD127">
        <v>1.0016354901359501</v>
      </c>
      <c r="BE127" s="62">
        <v>70.713999999999999</v>
      </c>
      <c r="BF127">
        <v>8.9176000000000002</v>
      </c>
      <c r="BG127">
        <v>1</v>
      </c>
      <c r="BH127">
        <v>5665.0004091662331</v>
      </c>
      <c r="BI127">
        <v>1.016194415745886</v>
      </c>
      <c r="BJ127" s="62">
        <v>5756.7417999999998</v>
      </c>
      <c r="BK127" s="60">
        <v>1913877.3407433741</v>
      </c>
    </row>
    <row r="128" spans="1:63" x14ac:dyDescent="0.25">
      <c r="A128">
        <v>333</v>
      </c>
      <c r="B128" t="s">
        <v>127</v>
      </c>
      <c r="C128">
        <v>2017</v>
      </c>
      <c r="D128">
        <v>10</v>
      </c>
      <c r="E128" t="s">
        <v>100</v>
      </c>
      <c r="F128" t="s">
        <v>426</v>
      </c>
      <c r="G128" t="s">
        <v>427</v>
      </c>
      <c r="H128" t="s">
        <v>84</v>
      </c>
      <c r="I128" t="s">
        <v>428</v>
      </c>
      <c r="J128" t="s">
        <v>381</v>
      </c>
      <c r="K128">
        <v>-615.00732959000004</v>
      </c>
      <c r="L128" t="s">
        <v>381</v>
      </c>
      <c r="M128" t="s">
        <v>382</v>
      </c>
      <c r="N128">
        <v>1.4864421000050001E-2</v>
      </c>
      <c r="O128">
        <v>9.1417278651422667</v>
      </c>
      <c r="P128" t="s">
        <v>440</v>
      </c>
      <c r="Q128">
        <v>2</v>
      </c>
      <c r="R128">
        <v>29.947030000000002</v>
      </c>
      <c r="S128">
        <v>6.0999999999999999E-2</v>
      </c>
      <c r="T128">
        <v>1.8267688</v>
      </c>
      <c r="U128">
        <v>1.9E-2</v>
      </c>
      <c r="V128">
        <v>34.709000000000003</v>
      </c>
      <c r="W128">
        <v>2</v>
      </c>
      <c r="X128">
        <v>1.4405485609000001E-2</v>
      </c>
      <c r="Y128">
        <v>1</v>
      </c>
      <c r="Z128" s="60">
        <v>9.1417280000000005</v>
      </c>
      <c r="AA128" t="s">
        <v>342</v>
      </c>
      <c r="AB128" t="s">
        <v>434</v>
      </c>
      <c r="AC128" t="s">
        <v>425</v>
      </c>
      <c r="AD128" t="s">
        <v>81</v>
      </c>
      <c r="AE128">
        <v>111.133</v>
      </c>
      <c r="AF128">
        <v>1.0155396203574489</v>
      </c>
      <c r="AG128">
        <v>112.8599646291844</v>
      </c>
      <c r="AH128">
        <v>661.2</v>
      </c>
      <c r="AI128">
        <v>1</v>
      </c>
      <c r="AJ128">
        <v>74.623008612816719</v>
      </c>
      <c r="AK128">
        <v>0.95185525912296853</v>
      </c>
      <c r="AL128" s="62">
        <v>71.03</v>
      </c>
      <c r="AM128">
        <v>8.9176000000000002</v>
      </c>
      <c r="AN128">
        <v>9.0561761184995895</v>
      </c>
      <c r="AO128">
        <v>1</v>
      </c>
      <c r="AP128">
        <v>5987.9436495519294</v>
      </c>
      <c r="AQ128">
        <v>1.081469419077697</v>
      </c>
      <c r="AR128">
        <v>6475.7779</v>
      </c>
      <c r="AS128" s="60">
        <v>59199.800150211202</v>
      </c>
      <c r="AT128" t="s">
        <v>342</v>
      </c>
      <c r="AU128" t="s">
        <v>434</v>
      </c>
      <c r="AV128" t="s">
        <v>425</v>
      </c>
      <c r="AW128" t="s">
        <v>81</v>
      </c>
      <c r="AX128">
        <v>111.133</v>
      </c>
      <c r="AY128">
        <v>1.0155396203574489</v>
      </c>
      <c r="AZ128">
        <v>112.8599646291844</v>
      </c>
      <c r="BA128">
        <v>629.54999999999995</v>
      </c>
      <c r="BB128">
        <v>1</v>
      </c>
      <c r="BC128">
        <v>71.050990732303021</v>
      </c>
      <c r="BD128">
        <v>0.95185525912296853</v>
      </c>
      <c r="BE128" s="62">
        <v>67.63</v>
      </c>
      <c r="BF128">
        <v>8.9176000000000002</v>
      </c>
      <c r="BG128">
        <v>1</v>
      </c>
      <c r="BH128">
        <v>5701.3156754014162</v>
      </c>
      <c r="BI128">
        <v>1.081469419077697</v>
      </c>
      <c r="BJ128" s="62">
        <v>6165.7986000000001</v>
      </c>
      <c r="BK128" s="60">
        <v>56366.053703980797</v>
      </c>
    </row>
    <row r="129" spans="1:63" x14ac:dyDescent="0.25">
      <c r="A129">
        <v>333</v>
      </c>
      <c r="B129" t="s">
        <v>127</v>
      </c>
      <c r="C129">
        <v>2017</v>
      </c>
      <c r="D129">
        <v>10</v>
      </c>
      <c r="E129" t="s">
        <v>100</v>
      </c>
      <c r="F129" t="s">
        <v>426</v>
      </c>
      <c r="G129" t="s">
        <v>427</v>
      </c>
      <c r="H129" t="s">
        <v>84</v>
      </c>
      <c r="I129" t="s">
        <v>429</v>
      </c>
      <c r="J129" t="s">
        <v>87</v>
      </c>
      <c r="K129">
        <v>-134.35987306999999</v>
      </c>
      <c r="L129" t="s">
        <v>87</v>
      </c>
      <c r="M129" t="s">
        <v>382</v>
      </c>
      <c r="N129">
        <v>2.6818326001860002E-2</v>
      </c>
      <c r="O129">
        <v>3.6033068775597901</v>
      </c>
      <c r="P129" t="s">
        <v>440</v>
      </c>
      <c r="Q129">
        <v>2</v>
      </c>
      <c r="R129">
        <v>29.947030000000002</v>
      </c>
      <c r="S129">
        <v>6.0999999999999999E-2</v>
      </c>
      <c r="T129">
        <v>1.8267688</v>
      </c>
      <c r="U129">
        <v>1.9E-2</v>
      </c>
      <c r="V129">
        <v>34.709000000000003</v>
      </c>
      <c r="W129">
        <v>2</v>
      </c>
      <c r="X129">
        <v>1.4405485609000001E-2</v>
      </c>
      <c r="Y129">
        <v>1</v>
      </c>
      <c r="Z129" s="60">
        <v>3.603307</v>
      </c>
      <c r="AA129" t="s">
        <v>342</v>
      </c>
      <c r="AB129" t="s">
        <v>434</v>
      </c>
      <c r="AC129" t="s">
        <v>425</v>
      </c>
      <c r="AD129" t="s">
        <v>81</v>
      </c>
      <c r="AE129">
        <v>111.133</v>
      </c>
      <c r="AF129">
        <v>1.0155396203574489</v>
      </c>
      <c r="AG129">
        <v>112.8599646291844</v>
      </c>
      <c r="AH129">
        <v>661.2</v>
      </c>
      <c r="AI129">
        <v>1</v>
      </c>
      <c r="AJ129">
        <v>74.623008612816719</v>
      </c>
      <c r="AK129">
        <v>0.95185525912296853</v>
      </c>
      <c r="AL129" s="62">
        <v>71.03</v>
      </c>
      <c r="AM129">
        <v>8.9176000000000002</v>
      </c>
      <c r="AN129">
        <v>9.0561761184995895</v>
      </c>
      <c r="AO129">
        <v>1</v>
      </c>
      <c r="AP129">
        <v>5987.9436495519294</v>
      </c>
      <c r="AQ129">
        <v>1.081469419077697</v>
      </c>
      <c r="AR129">
        <v>6475.7779</v>
      </c>
      <c r="AS129" s="60">
        <v>23334.215837515301</v>
      </c>
      <c r="AT129" t="s">
        <v>342</v>
      </c>
      <c r="AU129" t="s">
        <v>434</v>
      </c>
      <c r="AV129" t="s">
        <v>425</v>
      </c>
      <c r="AW129" t="s">
        <v>81</v>
      </c>
      <c r="AX129">
        <v>111.133</v>
      </c>
      <c r="AY129">
        <v>1.0155396203574489</v>
      </c>
      <c r="AZ129">
        <v>112.8599646291844</v>
      </c>
      <c r="BA129">
        <v>629.54999999999995</v>
      </c>
      <c r="BB129">
        <v>1</v>
      </c>
      <c r="BC129">
        <v>71.050990732303021</v>
      </c>
      <c r="BD129">
        <v>0.95185525912296853</v>
      </c>
      <c r="BE129" s="62">
        <v>67.63</v>
      </c>
      <c r="BF129">
        <v>8.9176000000000002</v>
      </c>
      <c r="BG129">
        <v>1</v>
      </c>
      <c r="BH129">
        <v>5701.3156754014162</v>
      </c>
      <c r="BI129">
        <v>1.081469419077697</v>
      </c>
      <c r="BJ129" s="62">
        <v>6165.7986000000001</v>
      </c>
      <c r="BK129" s="60">
        <v>22217.2652559702</v>
      </c>
    </row>
    <row r="130" spans="1:63" x14ac:dyDescent="0.25">
      <c r="A130">
        <v>333</v>
      </c>
      <c r="B130" t="s">
        <v>127</v>
      </c>
      <c r="C130">
        <v>2017</v>
      </c>
      <c r="D130">
        <v>10</v>
      </c>
      <c r="E130" t="s">
        <v>100</v>
      </c>
      <c r="F130" t="s">
        <v>426</v>
      </c>
      <c r="G130" t="s">
        <v>427</v>
      </c>
      <c r="H130" t="s">
        <v>84</v>
      </c>
      <c r="I130" t="s">
        <v>430</v>
      </c>
      <c r="J130" t="s">
        <v>59</v>
      </c>
      <c r="K130">
        <v>-407.24413398000002</v>
      </c>
      <c r="L130" t="s">
        <v>59</v>
      </c>
      <c r="M130" t="s">
        <v>382</v>
      </c>
      <c r="N130">
        <v>2.6402537999850002E-2</v>
      </c>
      <c r="O130">
        <v>10.752278722622959</v>
      </c>
      <c r="P130" t="s">
        <v>440</v>
      </c>
      <c r="Q130">
        <v>2</v>
      </c>
      <c r="R130">
        <v>29.947030000000002</v>
      </c>
      <c r="S130">
        <v>6.0999999999999999E-2</v>
      </c>
      <c r="T130">
        <v>1.8267688</v>
      </c>
      <c r="U130">
        <v>1.9E-2</v>
      </c>
      <c r="V130">
        <v>34.709000000000003</v>
      </c>
      <c r="W130">
        <v>2</v>
      </c>
      <c r="X130">
        <v>1.4405485609000001E-2</v>
      </c>
      <c r="Y130">
        <v>1</v>
      </c>
      <c r="Z130" s="60">
        <v>10.752279</v>
      </c>
      <c r="AA130" t="s">
        <v>342</v>
      </c>
      <c r="AB130" t="s">
        <v>434</v>
      </c>
      <c r="AC130" t="s">
        <v>425</v>
      </c>
      <c r="AD130" t="s">
        <v>81</v>
      </c>
      <c r="AE130">
        <v>111.133</v>
      </c>
      <c r="AF130">
        <v>1.0155396203574489</v>
      </c>
      <c r="AG130">
        <v>112.8599646291844</v>
      </c>
      <c r="AH130">
        <v>661.2</v>
      </c>
      <c r="AI130">
        <v>1</v>
      </c>
      <c r="AJ130">
        <v>74.623008612816719</v>
      </c>
      <c r="AK130">
        <v>0.95185525912296853</v>
      </c>
      <c r="AL130" s="62">
        <v>71.03</v>
      </c>
      <c r="AM130">
        <v>8.9176000000000002</v>
      </c>
      <c r="AN130">
        <v>9.0561761184995895</v>
      </c>
      <c r="AO130">
        <v>1</v>
      </c>
      <c r="AP130">
        <v>5987.9436495519294</v>
      </c>
      <c r="AQ130">
        <v>1.081469419077697</v>
      </c>
      <c r="AR130">
        <v>6475.7779</v>
      </c>
      <c r="AS130" s="60">
        <v>69629.370722834094</v>
      </c>
      <c r="AT130" t="s">
        <v>342</v>
      </c>
      <c r="AU130" t="s">
        <v>434</v>
      </c>
      <c r="AV130" t="s">
        <v>425</v>
      </c>
      <c r="AW130" t="s">
        <v>81</v>
      </c>
      <c r="AX130">
        <v>111.133</v>
      </c>
      <c r="AY130">
        <v>1.0155396203574489</v>
      </c>
      <c r="AZ130">
        <v>112.8599646291844</v>
      </c>
      <c r="BA130">
        <v>629.54999999999995</v>
      </c>
      <c r="BB130">
        <v>1</v>
      </c>
      <c r="BC130">
        <v>71.050990732303021</v>
      </c>
      <c r="BD130">
        <v>0.95185525912296853</v>
      </c>
      <c r="BE130" s="62">
        <v>67.63</v>
      </c>
      <c r="BF130">
        <v>8.9176000000000002</v>
      </c>
      <c r="BG130">
        <v>1</v>
      </c>
      <c r="BH130">
        <v>5701.3156754014162</v>
      </c>
      <c r="BI130">
        <v>1.081469419077697</v>
      </c>
      <c r="BJ130" s="62">
        <v>6165.7986000000001</v>
      </c>
      <c r="BK130" s="60">
        <v>66296.386805009402</v>
      </c>
    </row>
    <row r="131" spans="1:63" x14ac:dyDescent="0.25">
      <c r="A131">
        <v>335</v>
      </c>
      <c r="B131" t="s">
        <v>127</v>
      </c>
      <c r="C131">
        <v>2017</v>
      </c>
      <c r="D131">
        <v>10</v>
      </c>
      <c r="E131" t="s">
        <v>100</v>
      </c>
      <c r="F131" t="s">
        <v>426</v>
      </c>
      <c r="G131" t="s">
        <v>427</v>
      </c>
      <c r="H131" t="s">
        <v>84</v>
      </c>
      <c r="I131" t="s">
        <v>428</v>
      </c>
      <c r="J131" t="s">
        <v>381</v>
      </c>
      <c r="K131">
        <v>-615.00732959000004</v>
      </c>
      <c r="L131" t="s">
        <v>381</v>
      </c>
      <c r="M131" t="s">
        <v>383</v>
      </c>
      <c r="N131">
        <v>1.0246055790000199</v>
      </c>
      <c r="O131">
        <v>630.13994102381798</v>
      </c>
      <c r="P131" t="s">
        <v>440</v>
      </c>
      <c r="Q131">
        <v>2</v>
      </c>
      <c r="R131">
        <v>29.947030000000002</v>
      </c>
      <c r="S131">
        <v>6.0999999999999999E-2</v>
      </c>
      <c r="T131">
        <v>1.8267688</v>
      </c>
      <c r="U131">
        <v>0.98099999999999998</v>
      </c>
      <c r="V131">
        <v>1792.06</v>
      </c>
      <c r="W131">
        <v>2</v>
      </c>
      <c r="X131">
        <v>2.7900851500000003E-4</v>
      </c>
      <c r="Y131">
        <v>1</v>
      </c>
      <c r="Z131" s="60">
        <v>630.13994100000002</v>
      </c>
      <c r="AA131" t="s">
        <v>342</v>
      </c>
      <c r="AB131" t="s">
        <v>434</v>
      </c>
      <c r="AC131" t="s">
        <v>425</v>
      </c>
      <c r="AD131" t="s">
        <v>27</v>
      </c>
      <c r="AE131">
        <v>111.133</v>
      </c>
      <c r="AF131">
        <v>1.0155396203574489</v>
      </c>
      <c r="AG131">
        <v>112.8599646291844</v>
      </c>
      <c r="AH131">
        <v>661.2</v>
      </c>
      <c r="AI131">
        <v>1</v>
      </c>
      <c r="AJ131">
        <v>74.623008612816719</v>
      </c>
      <c r="AK131">
        <v>1.0016354901359501</v>
      </c>
      <c r="AL131" s="62">
        <v>74.745000000000005</v>
      </c>
      <c r="AM131">
        <v>8.9176000000000002</v>
      </c>
      <c r="AN131">
        <v>9.0561761184995895</v>
      </c>
      <c r="AO131">
        <v>1</v>
      </c>
      <c r="AP131">
        <v>5987.9436495519294</v>
      </c>
      <c r="AQ131">
        <v>1.016194415745886</v>
      </c>
      <c r="AR131">
        <v>6084.9148999999998</v>
      </c>
      <c r="AS131" s="60">
        <v>3834347.9160760208</v>
      </c>
      <c r="AT131" t="s">
        <v>342</v>
      </c>
      <c r="AU131" t="s">
        <v>434</v>
      </c>
      <c r="AV131" t="s">
        <v>425</v>
      </c>
      <c r="AW131" t="s">
        <v>27</v>
      </c>
      <c r="AX131">
        <v>111.133</v>
      </c>
      <c r="AY131">
        <v>1.0155396203574489</v>
      </c>
      <c r="AZ131">
        <v>112.8599646291844</v>
      </c>
      <c r="BA131">
        <v>629.54999999999995</v>
      </c>
      <c r="BB131">
        <v>1</v>
      </c>
      <c r="BC131">
        <v>71.050990732303021</v>
      </c>
      <c r="BD131">
        <v>1.0016354901359501</v>
      </c>
      <c r="BE131" s="62">
        <v>71.167000000000002</v>
      </c>
      <c r="BF131">
        <v>8.9176000000000002</v>
      </c>
      <c r="BG131">
        <v>1</v>
      </c>
      <c r="BH131">
        <v>5701.3156754014162</v>
      </c>
      <c r="BI131">
        <v>1.016194415745886</v>
      </c>
      <c r="BJ131" s="62">
        <v>5793.6451999999999</v>
      </c>
      <c r="BK131" s="60">
        <v>3650807.2445029332</v>
      </c>
    </row>
    <row r="132" spans="1:63" x14ac:dyDescent="0.25">
      <c r="A132">
        <v>335</v>
      </c>
      <c r="B132" t="s">
        <v>127</v>
      </c>
      <c r="C132">
        <v>2017</v>
      </c>
      <c r="D132">
        <v>10</v>
      </c>
      <c r="E132" t="s">
        <v>100</v>
      </c>
      <c r="F132" t="s">
        <v>426</v>
      </c>
      <c r="G132" t="s">
        <v>427</v>
      </c>
      <c r="H132" t="s">
        <v>84</v>
      </c>
      <c r="I132" t="s">
        <v>429</v>
      </c>
      <c r="J132" t="s">
        <v>87</v>
      </c>
      <c r="K132">
        <v>-134.35987306999999</v>
      </c>
      <c r="L132" t="s">
        <v>87</v>
      </c>
      <c r="M132" t="s">
        <v>383</v>
      </c>
      <c r="N132">
        <v>1.01265167399922</v>
      </c>
      <c r="O132">
        <v>136.05975038265819</v>
      </c>
      <c r="P132" t="s">
        <v>440</v>
      </c>
      <c r="Q132">
        <v>2</v>
      </c>
      <c r="R132">
        <v>29.947030000000002</v>
      </c>
      <c r="S132">
        <v>6.0999999999999999E-2</v>
      </c>
      <c r="T132">
        <v>1.8267688</v>
      </c>
      <c r="U132">
        <v>0.98099999999999998</v>
      </c>
      <c r="V132">
        <v>1792.06</v>
      </c>
      <c r="W132">
        <v>2</v>
      </c>
      <c r="X132">
        <v>2.7900851500000003E-4</v>
      </c>
      <c r="Y132">
        <v>1</v>
      </c>
      <c r="Z132" s="60">
        <v>136.05975000000001</v>
      </c>
      <c r="AA132" t="s">
        <v>342</v>
      </c>
      <c r="AB132" t="s">
        <v>434</v>
      </c>
      <c r="AC132" t="s">
        <v>425</v>
      </c>
      <c r="AD132" t="s">
        <v>27</v>
      </c>
      <c r="AE132">
        <v>111.133</v>
      </c>
      <c r="AF132">
        <v>1.0155396203574489</v>
      </c>
      <c r="AG132">
        <v>112.8599646291844</v>
      </c>
      <c r="AH132">
        <v>661.2</v>
      </c>
      <c r="AI132">
        <v>1</v>
      </c>
      <c r="AJ132">
        <v>74.623008612816719</v>
      </c>
      <c r="AK132">
        <v>1.0016354901359501</v>
      </c>
      <c r="AL132" s="62">
        <v>74.745000000000005</v>
      </c>
      <c r="AM132">
        <v>8.9176000000000002</v>
      </c>
      <c r="AN132">
        <v>9.0561761184995895</v>
      </c>
      <c r="AO132">
        <v>1</v>
      </c>
      <c r="AP132">
        <v>5987.9436495519294</v>
      </c>
      <c r="AQ132">
        <v>1.016194415745886</v>
      </c>
      <c r="AR132">
        <v>6084.9148999999998</v>
      </c>
      <c r="AS132" s="60">
        <v>827912.000065275</v>
      </c>
      <c r="AT132" t="s">
        <v>342</v>
      </c>
      <c r="AU132" t="s">
        <v>434</v>
      </c>
      <c r="AV132" t="s">
        <v>425</v>
      </c>
      <c r="AW132" t="s">
        <v>27</v>
      </c>
      <c r="AX132">
        <v>111.133</v>
      </c>
      <c r="AY132">
        <v>1.0155396203574489</v>
      </c>
      <c r="AZ132">
        <v>112.8599646291844</v>
      </c>
      <c r="BA132">
        <v>629.54999999999995</v>
      </c>
      <c r="BB132">
        <v>1</v>
      </c>
      <c r="BC132">
        <v>71.050990732303021</v>
      </c>
      <c r="BD132">
        <v>1.0016354901359501</v>
      </c>
      <c r="BE132" s="62">
        <v>71.167000000000002</v>
      </c>
      <c r="BF132">
        <v>8.9176000000000002</v>
      </c>
      <c r="BG132">
        <v>1</v>
      </c>
      <c r="BH132">
        <v>5701.3156754014162</v>
      </c>
      <c r="BI132">
        <v>1.016194415745886</v>
      </c>
      <c r="BJ132" s="62">
        <v>5793.6451999999999</v>
      </c>
      <c r="BK132" s="60">
        <v>788281.91750069999</v>
      </c>
    </row>
    <row r="133" spans="1:63" x14ac:dyDescent="0.25">
      <c r="A133">
        <v>335</v>
      </c>
      <c r="B133" t="s">
        <v>127</v>
      </c>
      <c r="C133">
        <v>2017</v>
      </c>
      <c r="D133">
        <v>10</v>
      </c>
      <c r="E133" t="s">
        <v>100</v>
      </c>
      <c r="F133" t="s">
        <v>426</v>
      </c>
      <c r="G133" t="s">
        <v>427</v>
      </c>
      <c r="H133" t="s">
        <v>84</v>
      </c>
      <c r="I133" t="s">
        <v>430</v>
      </c>
      <c r="J133" t="s">
        <v>59</v>
      </c>
      <c r="K133">
        <v>-407.24413398000002</v>
      </c>
      <c r="L133" t="s">
        <v>59</v>
      </c>
      <c r="M133" t="s">
        <v>383</v>
      </c>
      <c r="N133">
        <v>1.01306746199968</v>
      </c>
      <c r="O133">
        <v>412.56578122537621</v>
      </c>
      <c r="P133" t="s">
        <v>440</v>
      </c>
      <c r="Q133">
        <v>2</v>
      </c>
      <c r="R133">
        <v>29.947030000000002</v>
      </c>
      <c r="S133">
        <v>6.0999999999999999E-2</v>
      </c>
      <c r="T133">
        <v>1.8267688</v>
      </c>
      <c r="U133">
        <v>0.98099999999999998</v>
      </c>
      <c r="V133">
        <v>1792.06</v>
      </c>
      <c r="W133">
        <v>2</v>
      </c>
      <c r="X133">
        <v>2.7900851500000003E-4</v>
      </c>
      <c r="Y133">
        <v>1</v>
      </c>
      <c r="Z133" s="60">
        <v>412.56578100000002</v>
      </c>
      <c r="AA133" t="s">
        <v>342</v>
      </c>
      <c r="AB133" t="s">
        <v>434</v>
      </c>
      <c r="AC133" t="s">
        <v>425</v>
      </c>
      <c r="AD133" t="s">
        <v>27</v>
      </c>
      <c r="AE133">
        <v>111.133</v>
      </c>
      <c r="AF133">
        <v>1.0155396203574489</v>
      </c>
      <c r="AG133">
        <v>112.8599646291844</v>
      </c>
      <c r="AH133">
        <v>661.2</v>
      </c>
      <c r="AI133">
        <v>1</v>
      </c>
      <c r="AJ133">
        <v>74.623008612816719</v>
      </c>
      <c r="AK133">
        <v>1.0016354901359501</v>
      </c>
      <c r="AL133" s="62">
        <v>74.745000000000005</v>
      </c>
      <c r="AM133">
        <v>8.9176000000000002</v>
      </c>
      <c r="AN133">
        <v>9.0561761184995895</v>
      </c>
      <c r="AO133">
        <v>1</v>
      </c>
      <c r="AP133">
        <v>5987.9436495519294</v>
      </c>
      <c r="AQ133">
        <v>1.016194415745886</v>
      </c>
      <c r="AR133">
        <v>6084.9148999999998</v>
      </c>
      <c r="AS133" s="60">
        <v>2510427.6680370369</v>
      </c>
      <c r="AT133" t="s">
        <v>342</v>
      </c>
      <c r="AU133" t="s">
        <v>434</v>
      </c>
      <c r="AV133" t="s">
        <v>425</v>
      </c>
      <c r="AW133" t="s">
        <v>27</v>
      </c>
      <c r="AX133">
        <v>111.133</v>
      </c>
      <c r="AY133">
        <v>1.0155396203574489</v>
      </c>
      <c r="AZ133">
        <v>112.8599646291844</v>
      </c>
      <c r="BA133">
        <v>629.54999999999995</v>
      </c>
      <c r="BB133">
        <v>1</v>
      </c>
      <c r="BC133">
        <v>71.050990732303021</v>
      </c>
      <c r="BD133">
        <v>1.0016354901359501</v>
      </c>
      <c r="BE133" s="62">
        <v>71.167000000000002</v>
      </c>
      <c r="BF133">
        <v>8.9176000000000002</v>
      </c>
      <c r="BG133">
        <v>1</v>
      </c>
      <c r="BH133">
        <v>5701.3156754014162</v>
      </c>
      <c r="BI133">
        <v>1.016194415745886</v>
      </c>
      <c r="BJ133" s="62">
        <v>5793.6451999999999</v>
      </c>
      <c r="BK133" s="60">
        <v>2390259.7567749009</v>
      </c>
    </row>
    <row r="134" spans="1:63" x14ac:dyDescent="0.25">
      <c r="A134">
        <v>353</v>
      </c>
      <c r="B134" t="s">
        <v>128</v>
      </c>
      <c r="C134">
        <v>2017</v>
      </c>
      <c r="D134">
        <v>11</v>
      </c>
      <c r="E134" t="s">
        <v>100</v>
      </c>
      <c r="F134" t="s">
        <v>426</v>
      </c>
      <c r="G134" t="s">
        <v>427</v>
      </c>
      <c r="H134" t="s">
        <v>84</v>
      </c>
      <c r="I134" t="s">
        <v>428</v>
      </c>
      <c r="J134" t="s">
        <v>381</v>
      </c>
      <c r="K134">
        <v>-327.39630697000001</v>
      </c>
      <c r="L134" t="s">
        <v>381</v>
      </c>
      <c r="M134" t="s">
        <v>382</v>
      </c>
      <c r="N134">
        <v>1.486442100009E-2</v>
      </c>
      <c r="O134">
        <v>4.8665565406767799</v>
      </c>
      <c r="P134" t="s">
        <v>440</v>
      </c>
      <c r="Q134">
        <v>2</v>
      </c>
      <c r="R134">
        <v>29.947030000000002</v>
      </c>
      <c r="S134">
        <v>0.10199999999999999</v>
      </c>
      <c r="T134">
        <v>3.0545971000000001</v>
      </c>
      <c r="U134">
        <v>1.9E-2</v>
      </c>
      <c r="V134">
        <v>58.036999999999999</v>
      </c>
      <c r="W134">
        <v>2</v>
      </c>
      <c r="X134">
        <v>8.6151937560000006E-3</v>
      </c>
      <c r="Y134">
        <v>1</v>
      </c>
      <c r="Z134" s="60">
        <v>4.8665570000000002</v>
      </c>
      <c r="AA134" t="s">
        <v>342</v>
      </c>
      <c r="AB134" t="s">
        <v>434</v>
      </c>
      <c r="AC134" t="s">
        <v>425</v>
      </c>
      <c r="AD134" t="s">
        <v>81</v>
      </c>
      <c r="AE134">
        <v>111.133</v>
      </c>
      <c r="AF134">
        <v>1.0155396203574489</v>
      </c>
      <c r="AG134">
        <v>112.8599646291844</v>
      </c>
      <c r="AH134">
        <v>661.2</v>
      </c>
      <c r="AI134">
        <v>1</v>
      </c>
      <c r="AJ134">
        <v>74.623008612816719</v>
      </c>
      <c r="AK134">
        <v>0.95185525912296853</v>
      </c>
      <c r="AL134" s="62">
        <v>71.03</v>
      </c>
      <c r="AM134">
        <v>8.9176000000000002</v>
      </c>
      <c r="AN134">
        <v>9.0561761184995895</v>
      </c>
      <c r="AO134">
        <v>1</v>
      </c>
      <c r="AP134">
        <v>5987.9436495519294</v>
      </c>
      <c r="AQ134">
        <v>1.081469419077697</v>
      </c>
      <c r="AR134">
        <v>6475.7779</v>
      </c>
      <c r="AS134" s="60">
        <v>31514.742269690301</v>
      </c>
      <c r="AT134" t="s">
        <v>342</v>
      </c>
      <c r="AU134" t="s">
        <v>434</v>
      </c>
      <c r="AV134" t="s">
        <v>425</v>
      </c>
      <c r="AW134" t="s">
        <v>81</v>
      </c>
      <c r="AX134">
        <v>111.133</v>
      </c>
      <c r="AY134">
        <v>1.0155396203574489</v>
      </c>
      <c r="AZ134">
        <v>112.8599646291844</v>
      </c>
      <c r="BA134">
        <v>633.77</v>
      </c>
      <c r="BB134">
        <v>1</v>
      </c>
      <c r="BC134">
        <v>71.52725978303819</v>
      </c>
      <c r="BD134">
        <v>0.95185525912296853</v>
      </c>
      <c r="BE134" s="62">
        <v>68.084000000000003</v>
      </c>
      <c r="BF134">
        <v>8.9176000000000002</v>
      </c>
      <c r="BG134">
        <v>1</v>
      </c>
      <c r="BH134">
        <v>5739.5327386214849</v>
      </c>
      <c r="BI134">
        <v>1.081469419077697</v>
      </c>
      <c r="BJ134" s="62">
        <v>6207.1291000000001</v>
      </c>
      <c r="BK134" s="60">
        <v>30207.347571508701</v>
      </c>
    </row>
    <row r="135" spans="1:63" x14ac:dyDescent="0.25">
      <c r="A135">
        <v>353</v>
      </c>
      <c r="B135" t="s">
        <v>128</v>
      </c>
      <c r="C135">
        <v>2017</v>
      </c>
      <c r="D135">
        <v>11</v>
      </c>
      <c r="E135" t="s">
        <v>100</v>
      </c>
      <c r="F135" t="s">
        <v>426</v>
      </c>
      <c r="G135" t="s">
        <v>427</v>
      </c>
      <c r="H135" t="s">
        <v>84</v>
      </c>
      <c r="I135" t="s">
        <v>429</v>
      </c>
      <c r="J135" t="s">
        <v>87</v>
      </c>
      <c r="K135">
        <v>-87.702766729999993</v>
      </c>
      <c r="L135" t="s">
        <v>87</v>
      </c>
      <c r="M135" t="s">
        <v>382</v>
      </c>
      <c r="N135">
        <v>2.68183260003E-2</v>
      </c>
      <c r="O135">
        <v>2.3520413892934049</v>
      </c>
      <c r="P135" t="s">
        <v>440</v>
      </c>
      <c r="Q135">
        <v>2</v>
      </c>
      <c r="R135">
        <v>29.947030000000002</v>
      </c>
      <c r="S135">
        <v>0.10199999999999999</v>
      </c>
      <c r="T135">
        <v>3.0545971000000001</v>
      </c>
      <c r="U135">
        <v>1.9E-2</v>
      </c>
      <c r="V135">
        <v>58.036999999999999</v>
      </c>
      <c r="W135">
        <v>2</v>
      </c>
      <c r="X135">
        <v>8.6151937560000006E-3</v>
      </c>
      <c r="Y135">
        <v>1</v>
      </c>
      <c r="Z135" s="60">
        <v>2.3520409999999998</v>
      </c>
      <c r="AA135" t="s">
        <v>342</v>
      </c>
      <c r="AB135" t="s">
        <v>434</v>
      </c>
      <c r="AC135" t="s">
        <v>425</v>
      </c>
      <c r="AD135" t="s">
        <v>81</v>
      </c>
      <c r="AE135">
        <v>111.133</v>
      </c>
      <c r="AF135">
        <v>1.0155396203574489</v>
      </c>
      <c r="AG135">
        <v>112.8599646291844</v>
      </c>
      <c r="AH135">
        <v>661.2</v>
      </c>
      <c r="AI135">
        <v>1</v>
      </c>
      <c r="AJ135">
        <v>74.623008612816719</v>
      </c>
      <c r="AK135">
        <v>0.95185525912296853</v>
      </c>
      <c r="AL135" s="62">
        <v>71.03</v>
      </c>
      <c r="AM135">
        <v>8.9176000000000002</v>
      </c>
      <c r="AN135">
        <v>9.0561761184995895</v>
      </c>
      <c r="AO135">
        <v>1</v>
      </c>
      <c r="AP135">
        <v>5987.9436495519294</v>
      </c>
      <c r="AQ135">
        <v>1.081469419077697</v>
      </c>
      <c r="AR135">
        <v>6475.7779</v>
      </c>
      <c r="AS135" s="60">
        <v>15231.2951276939</v>
      </c>
      <c r="AT135" t="s">
        <v>342</v>
      </c>
      <c r="AU135" t="s">
        <v>434</v>
      </c>
      <c r="AV135" t="s">
        <v>425</v>
      </c>
      <c r="AW135" t="s">
        <v>81</v>
      </c>
      <c r="AX135">
        <v>111.133</v>
      </c>
      <c r="AY135">
        <v>1.0155396203574489</v>
      </c>
      <c r="AZ135">
        <v>112.8599646291844</v>
      </c>
      <c r="BA135">
        <v>633.77</v>
      </c>
      <c r="BB135">
        <v>1</v>
      </c>
      <c r="BC135">
        <v>71.52725978303819</v>
      </c>
      <c r="BD135">
        <v>0.95185525912296853</v>
      </c>
      <c r="BE135" s="62">
        <v>68.084000000000003</v>
      </c>
      <c r="BF135">
        <v>8.9176000000000002</v>
      </c>
      <c r="BG135">
        <v>1</v>
      </c>
      <c r="BH135">
        <v>5739.5327386214849</v>
      </c>
      <c r="BI135">
        <v>1.081469419077697</v>
      </c>
      <c r="BJ135" s="62">
        <v>6207.1291000000001</v>
      </c>
      <c r="BK135" s="60">
        <v>14599.4221354931</v>
      </c>
    </row>
    <row r="136" spans="1:63" x14ac:dyDescent="0.25">
      <c r="A136">
        <v>353</v>
      </c>
      <c r="B136" t="s">
        <v>128</v>
      </c>
      <c r="C136">
        <v>2017</v>
      </c>
      <c r="D136">
        <v>11</v>
      </c>
      <c r="E136" t="s">
        <v>100</v>
      </c>
      <c r="F136" t="s">
        <v>426</v>
      </c>
      <c r="G136" t="s">
        <v>427</v>
      </c>
      <c r="H136" t="s">
        <v>84</v>
      </c>
      <c r="I136" t="s">
        <v>430</v>
      </c>
      <c r="J136" t="s">
        <v>59</v>
      </c>
      <c r="K136">
        <v>-166.10609883000001</v>
      </c>
      <c r="L136" t="s">
        <v>59</v>
      </c>
      <c r="M136" t="s">
        <v>382</v>
      </c>
      <c r="N136">
        <v>2.6402538000090001E-2</v>
      </c>
      <c r="O136">
        <v>4.3856225864057814</v>
      </c>
      <c r="P136" t="s">
        <v>440</v>
      </c>
      <c r="Q136">
        <v>2</v>
      </c>
      <c r="R136">
        <v>29.947030000000002</v>
      </c>
      <c r="S136">
        <v>0.10199999999999999</v>
      </c>
      <c r="T136">
        <v>3.0545971000000001</v>
      </c>
      <c r="U136">
        <v>1.9E-2</v>
      </c>
      <c r="V136">
        <v>58.036999999999999</v>
      </c>
      <c r="W136">
        <v>2</v>
      </c>
      <c r="X136">
        <v>8.6151937560000006E-3</v>
      </c>
      <c r="Y136">
        <v>1</v>
      </c>
      <c r="Z136" s="60">
        <v>4.3856229999999998</v>
      </c>
      <c r="AA136" t="s">
        <v>342</v>
      </c>
      <c r="AB136" t="s">
        <v>434</v>
      </c>
      <c r="AC136" t="s">
        <v>425</v>
      </c>
      <c r="AD136" t="s">
        <v>81</v>
      </c>
      <c r="AE136">
        <v>111.133</v>
      </c>
      <c r="AF136">
        <v>1.0155396203574489</v>
      </c>
      <c r="AG136">
        <v>112.8599646291844</v>
      </c>
      <c r="AH136">
        <v>661.2</v>
      </c>
      <c r="AI136">
        <v>1</v>
      </c>
      <c r="AJ136">
        <v>74.623008612816719</v>
      </c>
      <c r="AK136">
        <v>0.95185525912296853</v>
      </c>
      <c r="AL136" s="62">
        <v>71.03</v>
      </c>
      <c r="AM136">
        <v>8.9176000000000002</v>
      </c>
      <c r="AN136">
        <v>9.0561761184995895</v>
      </c>
      <c r="AO136">
        <v>1</v>
      </c>
      <c r="AP136">
        <v>5987.9436495519294</v>
      </c>
      <c r="AQ136">
        <v>1.081469419077697</v>
      </c>
      <c r="AR136">
        <v>6475.7779</v>
      </c>
      <c r="AS136" s="60">
        <v>28400.3205011317</v>
      </c>
      <c r="AT136" t="s">
        <v>342</v>
      </c>
      <c r="AU136" t="s">
        <v>434</v>
      </c>
      <c r="AV136" t="s">
        <v>425</v>
      </c>
      <c r="AW136" t="s">
        <v>81</v>
      </c>
      <c r="AX136">
        <v>111.133</v>
      </c>
      <c r="AY136">
        <v>1.0155396203574489</v>
      </c>
      <c r="AZ136">
        <v>112.8599646291844</v>
      </c>
      <c r="BA136">
        <v>633.77</v>
      </c>
      <c r="BB136">
        <v>1</v>
      </c>
      <c r="BC136">
        <v>71.52725978303819</v>
      </c>
      <c r="BD136">
        <v>0.95185525912296853</v>
      </c>
      <c r="BE136" s="62">
        <v>68.084000000000003</v>
      </c>
      <c r="BF136">
        <v>8.9176000000000002</v>
      </c>
      <c r="BG136">
        <v>1</v>
      </c>
      <c r="BH136">
        <v>5739.5327386214849</v>
      </c>
      <c r="BI136">
        <v>1.081469419077697</v>
      </c>
      <c r="BJ136" s="62">
        <v>6207.1291000000001</v>
      </c>
      <c r="BK136" s="60">
        <v>27222.128144929298</v>
      </c>
    </row>
    <row r="137" spans="1:63" x14ac:dyDescent="0.25">
      <c r="A137">
        <v>355</v>
      </c>
      <c r="B137" t="s">
        <v>128</v>
      </c>
      <c r="C137">
        <v>2017</v>
      </c>
      <c r="D137">
        <v>11</v>
      </c>
      <c r="E137" t="s">
        <v>100</v>
      </c>
      <c r="F137" t="s">
        <v>426</v>
      </c>
      <c r="G137" t="s">
        <v>427</v>
      </c>
      <c r="H137" t="s">
        <v>84</v>
      </c>
      <c r="I137" t="s">
        <v>428</v>
      </c>
      <c r="J137" t="s">
        <v>381</v>
      </c>
      <c r="K137">
        <v>-327.39630697000001</v>
      </c>
      <c r="L137" t="s">
        <v>381</v>
      </c>
      <c r="M137" t="s">
        <v>383</v>
      </c>
      <c r="N137">
        <v>1.0246055789998201</v>
      </c>
      <c r="O137">
        <v>335.45208266539959</v>
      </c>
      <c r="P137" t="s">
        <v>440</v>
      </c>
      <c r="Q137">
        <v>2</v>
      </c>
      <c r="R137">
        <v>29.947030000000002</v>
      </c>
      <c r="S137">
        <v>0.10199999999999999</v>
      </c>
      <c r="T137">
        <v>3.0545971000000001</v>
      </c>
      <c r="U137">
        <v>0.98099999999999998</v>
      </c>
      <c r="V137">
        <v>2996.56</v>
      </c>
      <c r="W137">
        <v>2</v>
      </c>
      <c r="X137">
        <v>1.6685799699999999E-4</v>
      </c>
      <c r="Y137">
        <v>1</v>
      </c>
      <c r="Z137" s="60">
        <v>335.45208300000002</v>
      </c>
      <c r="AA137" t="s">
        <v>342</v>
      </c>
      <c r="AB137" t="s">
        <v>434</v>
      </c>
      <c r="AC137" t="s">
        <v>425</v>
      </c>
      <c r="AD137" t="s">
        <v>27</v>
      </c>
      <c r="AE137">
        <v>111.133</v>
      </c>
      <c r="AF137">
        <v>1.0155396203574489</v>
      </c>
      <c r="AG137">
        <v>112.8599646291844</v>
      </c>
      <c r="AH137">
        <v>661.2</v>
      </c>
      <c r="AI137">
        <v>1</v>
      </c>
      <c r="AJ137">
        <v>74.623008612816719</v>
      </c>
      <c r="AK137">
        <v>1.0016354901359501</v>
      </c>
      <c r="AL137" s="62">
        <v>74.745000000000005</v>
      </c>
      <c r="AM137">
        <v>8.9176000000000002</v>
      </c>
      <c r="AN137">
        <v>9.0561761184995895</v>
      </c>
      <c r="AO137">
        <v>1</v>
      </c>
      <c r="AP137">
        <v>5987.9436495519294</v>
      </c>
      <c r="AQ137">
        <v>1.016194415745886</v>
      </c>
      <c r="AR137">
        <v>6084.9148999999998</v>
      </c>
      <c r="AS137" s="60">
        <v>2041197.3780827371</v>
      </c>
      <c r="AT137" t="s">
        <v>342</v>
      </c>
      <c r="AU137" t="s">
        <v>434</v>
      </c>
      <c r="AV137" t="s">
        <v>425</v>
      </c>
      <c r="AW137" t="s">
        <v>27</v>
      </c>
      <c r="AX137">
        <v>111.133</v>
      </c>
      <c r="AY137">
        <v>1.0155396203574489</v>
      </c>
      <c r="AZ137">
        <v>112.8599646291844</v>
      </c>
      <c r="BA137">
        <v>633.77</v>
      </c>
      <c r="BB137">
        <v>1</v>
      </c>
      <c r="BC137">
        <v>71.52725978303819</v>
      </c>
      <c r="BD137">
        <v>1.0016354901359501</v>
      </c>
      <c r="BE137" s="62">
        <v>71.644000000000005</v>
      </c>
      <c r="BF137">
        <v>8.9176000000000002</v>
      </c>
      <c r="BG137">
        <v>1</v>
      </c>
      <c r="BH137">
        <v>5739.5327386214849</v>
      </c>
      <c r="BI137">
        <v>1.016194415745886</v>
      </c>
      <c r="BJ137" s="62">
        <v>5832.4811</v>
      </c>
      <c r="BK137" s="60">
        <v>1956517.9340531309</v>
      </c>
    </row>
    <row r="138" spans="1:63" x14ac:dyDescent="0.25">
      <c r="A138">
        <v>355</v>
      </c>
      <c r="B138" t="s">
        <v>128</v>
      </c>
      <c r="C138">
        <v>2017</v>
      </c>
      <c r="D138">
        <v>11</v>
      </c>
      <c r="E138" t="s">
        <v>100</v>
      </c>
      <c r="F138" t="s">
        <v>426</v>
      </c>
      <c r="G138" t="s">
        <v>427</v>
      </c>
      <c r="H138" t="s">
        <v>84</v>
      </c>
      <c r="I138" t="s">
        <v>429</v>
      </c>
      <c r="J138" t="s">
        <v>87</v>
      </c>
      <c r="K138">
        <v>-87.702766729999993</v>
      </c>
      <c r="L138" t="s">
        <v>87</v>
      </c>
      <c r="M138" t="s">
        <v>383</v>
      </c>
      <c r="N138">
        <v>1.0126516739996401</v>
      </c>
      <c r="O138">
        <v>88.812353543534442</v>
      </c>
      <c r="P138" t="s">
        <v>440</v>
      </c>
      <c r="Q138">
        <v>2</v>
      </c>
      <c r="R138">
        <v>29.947030000000002</v>
      </c>
      <c r="S138">
        <v>0.10199999999999999</v>
      </c>
      <c r="T138">
        <v>3.0545971000000001</v>
      </c>
      <c r="U138">
        <v>0.98099999999999998</v>
      </c>
      <c r="V138">
        <v>2996.56</v>
      </c>
      <c r="W138">
        <v>2</v>
      </c>
      <c r="X138">
        <v>1.6685799699999999E-4</v>
      </c>
      <c r="Y138">
        <v>1</v>
      </c>
      <c r="Z138" s="60">
        <v>88.812353999999999</v>
      </c>
      <c r="AA138" t="s">
        <v>342</v>
      </c>
      <c r="AB138" t="s">
        <v>434</v>
      </c>
      <c r="AC138" t="s">
        <v>425</v>
      </c>
      <c r="AD138" t="s">
        <v>27</v>
      </c>
      <c r="AE138">
        <v>111.133</v>
      </c>
      <c r="AF138">
        <v>1.0155396203574489</v>
      </c>
      <c r="AG138">
        <v>112.8599646291844</v>
      </c>
      <c r="AH138">
        <v>661.2</v>
      </c>
      <c r="AI138">
        <v>1</v>
      </c>
      <c r="AJ138">
        <v>74.623008612816719</v>
      </c>
      <c r="AK138">
        <v>1.0016354901359501</v>
      </c>
      <c r="AL138" s="62">
        <v>74.745000000000005</v>
      </c>
      <c r="AM138">
        <v>8.9176000000000002</v>
      </c>
      <c r="AN138">
        <v>9.0561761184995895</v>
      </c>
      <c r="AO138">
        <v>1</v>
      </c>
      <c r="AP138">
        <v>5987.9436495519294</v>
      </c>
      <c r="AQ138">
        <v>1.016194415745886</v>
      </c>
      <c r="AR138">
        <v>6084.9148999999998</v>
      </c>
      <c r="AS138" s="60">
        <v>540415.61615867459</v>
      </c>
      <c r="AT138" t="s">
        <v>342</v>
      </c>
      <c r="AU138" t="s">
        <v>434</v>
      </c>
      <c r="AV138" t="s">
        <v>425</v>
      </c>
      <c r="AW138" t="s">
        <v>27</v>
      </c>
      <c r="AX138">
        <v>111.133</v>
      </c>
      <c r="AY138">
        <v>1.0155396203574489</v>
      </c>
      <c r="AZ138">
        <v>112.8599646291844</v>
      </c>
      <c r="BA138">
        <v>633.77</v>
      </c>
      <c r="BB138">
        <v>1</v>
      </c>
      <c r="BC138">
        <v>71.52725978303819</v>
      </c>
      <c r="BD138">
        <v>1.0016354901359501</v>
      </c>
      <c r="BE138" s="62">
        <v>71.644000000000005</v>
      </c>
      <c r="BF138">
        <v>8.9176000000000002</v>
      </c>
      <c r="BG138">
        <v>1</v>
      </c>
      <c r="BH138">
        <v>5739.5327386214849</v>
      </c>
      <c r="BI138">
        <v>1.016194415745886</v>
      </c>
      <c r="BJ138" s="62">
        <v>5832.4811</v>
      </c>
      <c r="BK138" s="60">
        <v>517996.37615150941</v>
      </c>
    </row>
    <row r="139" spans="1:63" x14ac:dyDescent="0.25">
      <c r="A139">
        <v>355</v>
      </c>
      <c r="B139" t="s">
        <v>128</v>
      </c>
      <c r="C139">
        <v>2017</v>
      </c>
      <c r="D139">
        <v>11</v>
      </c>
      <c r="E139" t="s">
        <v>100</v>
      </c>
      <c r="F139" t="s">
        <v>426</v>
      </c>
      <c r="G139" t="s">
        <v>427</v>
      </c>
      <c r="H139" t="s">
        <v>84</v>
      </c>
      <c r="I139" t="s">
        <v>430</v>
      </c>
      <c r="J139" t="s">
        <v>59</v>
      </c>
      <c r="K139">
        <v>-166.10609883000001</v>
      </c>
      <c r="L139" t="s">
        <v>59</v>
      </c>
      <c r="M139" t="s">
        <v>383</v>
      </c>
      <c r="N139">
        <v>1.01306746199909</v>
      </c>
      <c r="O139">
        <v>168.27668396427811</v>
      </c>
      <c r="P139" t="s">
        <v>440</v>
      </c>
      <c r="Q139">
        <v>2</v>
      </c>
      <c r="R139">
        <v>29.947030000000002</v>
      </c>
      <c r="S139">
        <v>0.10199999999999999</v>
      </c>
      <c r="T139">
        <v>3.0545971000000001</v>
      </c>
      <c r="U139">
        <v>0.98099999999999998</v>
      </c>
      <c r="V139">
        <v>2996.56</v>
      </c>
      <c r="W139">
        <v>2</v>
      </c>
      <c r="X139">
        <v>1.6685799699999999E-4</v>
      </c>
      <c r="Y139">
        <v>1</v>
      </c>
      <c r="Z139" s="60">
        <v>168.27668399999999</v>
      </c>
      <c r="AA139" t="s">
        <v>342</v>
      </c>
      <c r="AB139" t="s">
        <v>434</v>
      </c>
      <c r="AC139" t="s">
        <v>425</v>
      </c>
      <c r="AD139" t="s">
        <v>27</v>
      </c>
      <c r="AE139">
        <v>111.133</v>
      </c>
      <c r="AF139">
        <v>1.0155396203574489</v>
      </c>
      <c r="AG139">
        <v>112.8599646291844</v>
      </c>
      <c r="AH139">
        <v>661.2</v>
      </c>
      <c r="AI139">
        <v>1</v>
      </c>
      <c r="AJ139">
        <v>74.623008612816719</v>
      </c>
      <c r="AK139">
        <v>1.0016354901359501</v>
      </c>
      <c r="AL139" s="62">
        <v>74.745000000000005</v>
      </c>
      <c r="AM139">
        <v>8.9176000000000002</v>
      </c>
      <c r="AN139">
        <v>9.0561761184995895</v>
      </c>
      <c r="AO139">
        <v>1</v>
      </c>
      <c r="AP139">
        <v>5987.9436495519294</v>
      </c>
      <c r="AQ139">
        <v>1.016194415745886</v>
      </c>
      <c r="AR139">
        <v>6084.9148999999998</v>
      </c>
      <c r="AS139" s="60">
        <v>1023949.301794191</v>
      </c>
      <c r="AT139" t="s">
        <v>342</v>
      </c>
      <c r="AU139" t="s">
        <v>434</v>
      </c>
      <c r="AV139" t="s">
        <v>425</v>
      </c>
      <c r="AW139" t="s">
        <v>27</v>
      </c>
      <c r="AX139">
        <v>111.133</v>
      </c>
      <c r="AY139">
        <v>1.0155396203574489</v>
      </c>
      <c r="AZ139">
        <v>112.8599646291844</v>
      </c>
      <c r="BA139">
        <v>633.77</v>
      </c>
      <c r="BB139">
        <v>1</v>
      </c>
      <c r="BC139">
        <v>71.52725978303819</v>
      </c>
      <c r="BD139">
        <v>1.0016354901359501</v>
      </c>
      <c r="BE139" s="62">
        <v>71.644000000000005</v>
      </c>
      <c r="BF139">
        <v>8.9176000000000002</v>
      </c>
      <c r="BG139">
        <v>1</v>
      </c>
      <c r="BH139">
        <v>5739.5327386214849</v>
      </c>
      <c r="BI139">
        <v>1.016194415745886</v>
      </c>
      <c r="BJ139" s="62">
        <v>5832.4811</v>
      </c>
      <c r="BK139" s="60">
        <v>981470.57900067233</v>
      </c>
    </row>
    <row r="140" spans="1:63" x14ac:dyDescent="0.25">
      <c r="A140">
        <v>373</v>
      </c>
      <c r="B140" t="s">
        <v>138</v>
      </c>
      <c r="C140">
        <v>2017</v>
      </c>
      <c r="D140">
        <v>12</v>
      </c>
      <c r="E140" t="s">
        <v>100</v>
      </c>
      <c r="F140" t="s">
        <v>426</v>
      </c>
      <c r="G140" t="s">
        <v>427</v>
      </c>
      <c r="H140" t="s">
        <v>84</v>
      </c>
      <c r="I140" t="s">
        <v>428</v>
      </c>
      <c r="J140" t="s">
        <v>381</v>
      </c>
      <c r="K140">
        <v>-1200.9802060699999</v>
      </c>
      <c r="L140" t="s">
        <v>381</v>
      </c>
      <c r="M140" t="s">
        <v>382</v>
      </c>
      <c r="N140">
        <v>1.486442099989E-2</v>
      </c>
      <c r="O140">
        <v>17.85187539555913</v>
      </c>
      <c r="P140" t="s">
        <v>440</v>
      </c>
      <c r="Q140">
        <v>2</v>
      </c>
      <c r="R140">
        <v>29.947030000000002</v>
      </c>
      <c r="S140">
        <v>0.156</v>
      </c>
      <c r="T140">
        <v>4.6717367000000003</v>
      </c>
      <c r="U140">
        <v>1.9E-2</v>
      </c>
      <c r="V140">
        <v>88.763000000000005</v>
      </c>
      <c r="W140">
        <v>2</v>
      </c>
      <c r="X140">
        <v>5.6329777050000002E-3</v>
      </c>
      <c r="Y140">
        <v>1</v>
      </c>
      <c r="Z140" s="60">
        <v>17.851875</v>
      </c>
      <c r="AA140" t="s">
        <v>342</v>
      </c>
      <c r="AB140" t="s">
        <v>434</v>
      </c>
      <c r="AC140" t="s">
        <v>425</v>
      </c>
      <c r="AD140" t="s">
        <v>81</v>
      </c>
      <c r="AE140">
        <v>111.133</v>
      </c>
      <c r="AF140">
        <v>1.0155396203574489</v>
      </c>
      <c r="AG140">
        <v>112.8599646291844</v>
      </c>
      <c r="AH140">
        <v>661.2</v>
      </c>
      <c r="AI140">
        <v>1</v>
      </c>
      <c r="AJ140">
        <v>74.623008612816719</v>
      </c>
      <c r="AK140">
        <v>0.95185525912296853</v>
      </c>
      <c r="AL140" s="62">
        <v>71.03</v>
      </c>
      <c r="AM140">
        <v>8.9176000000000002</v>
      </c>
      <c r="AN140">
        <v>9.0561761184995895</v>
      </c>
      <c r="AO140">
        <v>1</v>
      </c>
      <c r="AP140">
        <v>5987.9436495519294</v>
      </c>
      <c r="AQ140">
        <v>1.081469419077697</v>
      </c>
      <c r="AR140">
        <v>6475.7779</v>
      </c>
      <c r="AS140" s="60">
        <v>115604.7775985625</v>
      </c>
      <c r="AT140" t="s">
        <v>342</v>
      </c>
      <c r="AU140" t="s">
        <v>434</v>
      </c>
      <c r="AV140" t="s">
        <v>425</v>
      </c>
      <c r="AW140" t="s">
        <v>81</v>
      </c>
      <c r="AX140">
        <v>111.133</v>
      </c>
      <c r="AY140">
        <v>1.0155396203574489</v>
      </c>
      <c r="AZ140">
        <v>112.8599646291844</v>
      </c>
      <c r="BA140">
        <v>638.13</v>
      </c>
      <c r="BB140">
        <v>1</v>
      </c>
      <c r="BC140">
        <v>72.019329228821434</v>
      </c>
      <c r="BD140">
        <v>0.95185525912296853</v>
      </c>
      <c r="BE140" s="62">
        <v>68.552000000000007</v>
      </c>
      <c r="BF140">
        <v>8.9176000000000002</v>
      </c>
      <c r="BG140">
        <v>1</v>
      </c>
      <c r="BH140">
        <v>5779.0176664981427</v>
      </c>
      <c r="BI140">
        <v>1.081469419077697</v>
      </c>
      <c r="BJ140" s="62">
        <v>6249.8308999999999</v>
      </c>
      <c r="BK140" s="60">
        <v>111571.1999979375</v>
      </c>
    </row>
    <row r="141" spans="1:63" x14ac:dyDescent="0.25">
      <c r="A141">
        <v>373</v>
      </c>
      <c r="B141" t="s">
        <v>138</v>
      </c>
      <c r="C141">
        <v>2017</v>
      </c>
      <c r="D141">
        <v>12</v>
      </c>
      <c r="E141" t="s">
        <v>100</v>
      </c>
      <c r="F141" t="s">
        <v>426</v>
      </c>
      <c r="G141" t="s">
        <v>427</v>
      </c>
      <c r="H141" t="s">
        <v>84</v>
      </c>
      <c r="I141" t="s">
        <v>429</v>
      </c>
      <c r="J141" t="s">
        <v>87</v>
      </c>
      <c r="K141">
        <v>-313.90816480000001</v>
      </c>
      <c r="L141" t="s">
        <v>87</v>
      </c>
      <c r="M141" t="s">
        <v>382</v>
      </c>
      <c r="N141">
        <v>2.6818325999200001E-2</v>
      </c>
      <c r="O141">
        <v>8.4184914974169978</v>
      </c>
      <c r="P141" t="s">
        <v>440</v>
      </c>
      <c r="Q141">
        <v>2</v>
      </c>
      <c r="R141">
        <v>29.947030000000002</v>
      </c>
      <c r="S141">
        <v>0.156</v>
      </c>
      <c r="T141">
        <v>4.6717367000000003</v>
      </c>
      <c r="U141">
        <v>1.9E-2</v>
      </c>
      <c r="V141">
        <v>88.763000000000005</v>
      </c>
      <c r="W141">
        <v>2</v>
      </c>
      <c r="X141">
        <v>5.6329777050000002E-3</v>
      </c>
      <c r="Y141">
        <v>1</v>
      </c>
      <c r="Z141" s="60">
        <v>8.4184909999999995</v>
      </c>
      <c r="AA141" t="s">
        <v>342</v>
      </c>
      <c r="AB141" t="s">
        <v>434</v>
      </c>
      <c r="AC141" t="s">
        <v>425</v>
      </c>
      <c r="AD141" t="s">
        <v>81</v>
      </c>
      <c r="AE141">
        <v>111.133</v>
      </c>
      <c r="AF141">
        <v>1.0155396203574489</v>
      </c>
      <c r="AG141">
        <v>112.8599646291844</v>
      </c>
      <c r="AH141">
        <v>661.2</v>
      </c>
      <c r="AI141">
        <v>1</v>
      </c>
      <c r="AJ141">
        <v>74.623008612816719</v>
      </c>
      <c r="AK141">
        <v>0.95185525912296853</v>
      </c>
      <c r="AL141" s="62">
        <v>71.03</v>
      </c>
      <c r="AM141">
        <v>8.9176000000000002</v>
      </c>
      <c r="AN141">
        <v>9.0561761184995895</v>
      </c>
      <c r="AO141">
        <v>1</v>
      </c>
      <c r="AP141">
        <v>5987.9436495519294</v>
      </c>
      <c r="AQ141">
        <v>1.081469419077697</v>
      </c>
      <c r="AR141">
        <v>6475.7779</v>
      </c>
      <c r="AS141" s="60">
        <v>54516.277969148898</v>
      </c>
      <c r="AT141" t="s">
        <v>342</v>
      </c>
      <c r="AU141" t="s">
        <v>434</v>
      </c>
      <c r="AV141" t="s">
        <v>425</v>
      </c>
      <c r="AW141" t="s">
        <v>81</v>
      </c>
      <c r="AX141">
        <v>111.133</v>
      </c>
      <c r="AY141">
        <v>1.0155396203574489</v>
      </c>
      <c r="AZ141">
        <v>112.8599646291844</v>
      </c>
      <c r="BA141">
        <v>638.13</v>
      </c>
      <c r="BB141">
        <v>1</v>
      </c>
      <c r="BC141">
        <v>72.019329228821434</v>
      </c>
      <c r="BD141">
        <v>0.95185525912296853</v>
      </c>
      <c r="BE141" s="62">
        <v>68.552000000000007</v>
      </c>
      <c r="BF141">
        <v>8.9176000000000002</v>
      </c>
      <c r="BG141">
        <v>1</v>
      </c>
      <c r="BH141">
        <v>5779.0176664981427</v>
      </c>
      <c r="BI141">
        <v>1.081469419077697</v>
      </c>
      <c r="BJ141" s="62">
        <v>6249.8308999999999</v>
      </c>
      <c r="BK141" s="60">
        <v>52614.145183171902</v>
      </c>
    </row>
    <row r="142" spans="1:63" x14ac:dyDescent="0.25">
      <c r="A142">
        <v>373</v>
      </c>
      <c r="B142" t="s">
        <v>138</v>
      </c>
      <c r="C142">
        <v>2017</v>
      </c>
      <c r="D142">
        <v>12</v>
      </c>
      <c r="E142" t="s">
        <v>100</v>
      </c>
      <c r="F142" t="s">
        <v>426</v>
      </c>
      <c r="G142" t="s">
        <v>427</v>
      </c>
      <c r="H142" t="s">
        <v>84</v>
      </c>
      <c r="I142" t="s">
        <v>430</v>
      </c>
      <c r="J142" t="s">
        <v>59</v>
      </c>
      <c r="K142">
        <v>-532.17418777</v>
      </c>
      <c r="L142" t="s">
        <v>59</v>
      </c>
      <c r="M142" t="s">
        <v>382</v>
      </c>
      <c r="N142">
        <v>2.6402538000199999E-2</v>
      </c>
      <c r="O142">
        <v>14.050749215322989</v>
      </c>
      <c r="P142" t="s">
        <v>440</v>
      </c>
      <c r="Q142">
        <v>2</v>
      </c>
      <c r="R142">
        <v>29.947030000000002</v>
      </c>
      <c r="S142">
        <v>0.156</v>
      </c>
      <c r="T142">
        <v>4.6717367000000003</v>
      </c>
      <c r="U142">
        <v>1.9E-2</v>
      </c>
      <c r="V142">
        <v>88.763000000000005</v>
      </c>
      <c r="W142">
        <v>2</v>
      </c>
      <c r="X142">
        <v>5.6329777050000002E-3</v>
      </c>
      <c r="Y142">
        <v>1</v>
      </c>
      <c r="Z142" s="60">
        <v>14.050749</v>
      </c>
      <c r="AA142" t="s">
        <v>342</v>
      </c>
      <c r="AB142" t="s">
        <v>434</v>
      </c>
      <c r="AC142" t="s">
        <v>425</v>
      </c>
      <c r="AD142" t="s">
        <v>81</v>
      </c>
      <c r="AE142">
        <v>111.133</v>
      </c>
      <c r="AF142">
        <v>1.0155396203574489</v>
      </c>
      <c r="AG142">
        <v>112.8599646291844</v>
      </c>
      <c r="AH142">
        <v>661.2</v>
      </c>
      <c r="AI142">
        <v>1</v>
      </c>
      <c r="AJ142">
        <v>74.623008612816719</v>
      </c>
      <c r="AK142">
        <v>0.95185525912296853</v>
      </c>
      <c r="AL142" s="62">
        <v>71.03</v>
      </c>
      <c r="AM142">
        <v>8.9176000000000002</v>
      </c>
      <c r="AN142">
        <v>9.0561761184995895</v>
      </c>
      <c r="AO142">
        <v>1</v>
      </c>
      <c r="AP142">
        <v>5987.9436495519294</v>
      </c>
      <c r="AQ142">
        <v>1.081469419077697</v>
      </c>
      <c r="AR142">
        <v>6475.7779</v>
      </c>
      <c r="AS142" s="60">
        <v>90989.529852647102</v>
      </c>
      <c r="AT142" t="s">
        <v>342</v>
      </c>
      <c r="AU142" t="s">
        <v>434</v>
      </c>
      <c r="AV142" t="s">
        <v>425</v>
      </c>
      <c r="AW142" t="s">
        <v>81</v>
      </c>
      <c r="AX142">
        <v>111.133</v>
      </c>
      <c r="AY142">
        <v>1.0155396203574489</v>
      </c>
      <c r="AZ142">
        <v>112.8599646291844</v>
      </c>
      <c r="BA142">
        <v>638.13</v>
      </c>
      <c r="BB142">
        <v>1</v>
      </c>
      <c r="BC142">
        <v>72.019329228821434</v>
      </c>
      <c r="BD142">
        <v>0.95185525912296853</v>
      </c>
      <c r="BE142" s="62">
        <v>68.552000000000007</v>
      </c>
      <c r="BF142">
        <v>8.9176000000000002</v>
      </c>
      <c r="BG142">
        <v>1</v>
      </c>
      <c r="BH142">
        <v>5779.0176664981427</v>
      </c>
      <c r="BI142">
        <v>1.081469419077697</v>
      </c>
      <c r="BJ142" s="62">
        <v>6249.8308999999999</v>
      </c>
      <c r="BK142" s="60">
        <v>87814.805268344091</v>
      </c>
    </row>
    <row r="143" spans="1:63" x14ac:dyDescent="0.25">
      <c r="A143">
        <v>375</v>
      </c>
      <c r="B143" t="s">
        <v>138</v>
      </c>
      <c r="C143">
        <v>2017</v>
      </c>
      <c r="D143">
        <v>12</v>
      </c>
      <c r="E143" t="s">
        <v>100</v>
      </c>
      <c r="F143" t="s">
        <v>426</v>
      </c>
      <c r="G143" t="s">
        <v>427</v>
      </c>
      <c r="H143" t="s">
        <v>84</v>
      </c>
      <c r="I143" t="s">
        <v>428</v>
      </c>
      <c r="J143" t="s">
        <v>381</v>
      </c>
      <c r="K143">
        <v>-1200.9802060699999</v>
      </c>
      <c r="L143" t="s">
        <v>381</v>
      </c>
      <c r="M143" t="s">
        <v>383</v>
      </c>
      <c r="N143">
        <v>1.0246055790003299</v>
      </c>
      <c r="O143">
        <v>1230.5310194082881</v>
      </c>
      <c r="P143" t="s">
        <v>440</v>
      </c>
      <c r="Q143">
        <v>2</v>
      </c>
      <c r="R143">
        <v>29.947030000000002</v>
      </c>
      <c r="S143">
        <v>0.156</v>
      </c>
      <c r="T143">
        <v>4.6717367000000003</v>
      </c>
      <c r="U143">
        <v>0.98099999999999998</v>
      </c>
      <c r="V143">
        <v>4582.9740000000002</v>
      </c>
      <c r="W143">
        <v>2</v>
      </c>
      <c r="X143">
        <v>1.09099462E-4</v>
      </c>
      <c r="Y143">
        <v>1</v>
      </c>
      <c r="Z143" s="60">
        <v>1230.531019</v>
      </c>
      <c r="AA143" t="s">
        <v>342</v>
      </c>
      <c r="AB143" t="s">
        <v>434</v>
      </c>
      <c r="AC143" t="s">
        <v>425</v>
      </c>
      <c r="AD143" t="s">
        <v>27</v>
      </c>
      <c r="AE143">
        <v>111.133</v>
      </c>
      <c r="AF143">
        <v>1.0155396203574489</v>
      </c>
      <c r="AG143">
        <v>112.8599646291844</v>
      </c>
      <c r="AH143">
        <v>661.2</v>
      </c>
      <c r="AI143">
        <v>1</v>
      </c>
      <c r="AJ143">
        <v>74.623008612816719</v>
      </c>
      <c r="AK143">
        <v>1.0016354901359501</v>
      </c>
      <c r="AL143" s="62">
        <v>74.745000000000005</v>
      </c>
      <c r="AM143">
        <v>8.9176000000000002</v>
      </c>
      <c r="AN143">
        <v>9.0561761184995895</v>
      </c>
      <c r="AO143">
        <v>1</v>
      </c>
      <c r="AP143">
        <v>5987.9436495519294</v>
      </c>
      <c r="AQ143">
        <v>1.016194415745886</v>
      </c>
      <c r="AR143">
        <v>6084.9148999999998</v>
      </c>
      <c r="AS143" s="60">
        <v>7487676.5324252835</v>
      </c>
      <c r="AT143" t="s">
        <v>342</v>
      </c>
      <c r="AU143" t="s">
        <v>434</v>
      </c>
      <c r="AV143" t="s">
        <v>425</v>
      </c>
      <c r="AW143" t="s">
        <v>27</v>
      </c>
      <c r="AX143">
        <v>111.133</v>
      </c>
      <c r="AY143">
        <v>1.0155396203574489</v>
      </c>
      <c r="AZ143">
        <v>112.8599646291844</v>
      </c>
      <c r="BA143">
        <v>638.13</v>
      </c>
      <c r="BB143">
        <v>1</v>
      </c>
      <c r="BC143">
        <v>72.019329228821434</v>
      </c>
      <c r="BD143">
        <v>1.0016354901359501</v>
      </c>
      <c r="BE143" s="62">
        <v>72.137</v>
      </c>
      <c r="BF143">
        <v>8.9176000000000002</v>
      </c>
      <c r="BG143">
        <v>1</v>
      </c>
      <c r="BH143">
        <v>5779.0176664981427</v>
      </c>
      <c r="BI143">
        <v>1.016194415745886</v>
      </c>
      <c r="BJ143" s="62">
        <v>5872.6054999999997</v>
      </c>
      <c r="BK143" s="60">
        <v>7226423.230100004</v>
      </c>
    </row>
    <row r="144" spans="1:63" x14ac:dyDescent="0.25">
      <c r="A144">
        <v>375</v>
      </c>
      <c r="B144" t="s">
        <v>138</v>
      </c>
      <c r="C144">
        <v>2017</v>
      </c>
      <c r="D144">
        <v>12</v>
      </c>
      <c r="E144" t="s">
        <v>100</v>
      </c>
      <c r="F144" t="s">
        <v>426</v>
      </c>
      <c r="G144" t="s">
        <v>427</v>
      </c>
      <c r="H144" t="s">
        <v>84</v>
      </c>
      <c r="I144" t="s">
        <v>429</v>
      </c>
      <c r="J144" t="s">
        <v>87</v>
      </c>
      <c r="K144">
        <v>-313.90816480000001</v>
      </c>
      <c r="L144" t="s">
        <v>87</v>
      </c>
      <c r="M144" t="s">
        <v>383</v>
      </c>
      <c r="N144">
        <v>1.0126516739998901</v>
      </c>
      <c r="O144">
        <v>317.87962856695327</v>
      </c>
      <c r="P144" t="s">
        <v>440</v>
      </c>
      <c r="Q144">
        <v>2</v>
      </c>
      <c r="R144">
        <v>29.947030000000002</v>
      </c>
      <c r="S144">
        <v>0.156</v>
      </c>
      <c r="T144">
        <v>4.6717367000000003</v>
      </c>
      <c r="U144">
        <v>0.98099999999999998</v>
      </c>
      <c r="V144">
        <v>4582.9740000000002</v>
      </c>
      <c r="W144">
        <v>2</v>
      </c>
      <c r="X144">
        <v>1.09099462E-4</v>
      </c>
      <c r="Y144">
        <v>1</v>
      </c>
      <c r="Z144" s="60">
        <v>317.87962900000002</v>
      </c>
      <c r="AA144" t="s">
        <v>342</v>
      </c>
      <c r="AB144" t="s">
        <v>434</v>
      </c>
      <c r="AC144" t="s">
        <v>425</v>
      </c>
      <c r="AD144" t="s">
        <v>27</v>
      </c>
      <c r="AE144">
        <v>111.133</v>
      </c>
      <c r="AF144">
        <v>1.0155396203574489</v>
      </c>
      <c r="AG144">
        <v>112.8599646291844</v>
      </c>
      <c r="AH144">
        <v>661.2</v>
      </c>
      <c r="AI144">
        <v>1</v>
      </c>
      <c r="AJ144">
        <v>74.623008612816719</v>
      </c>
      <c r="AK144">
        <v>1.0016354901359501</v>
      </c>
      <c r="AL144" s="62">
        <v>74.745000000000005</v>
      </c>
      <c r="AM144">
        <v>8.9176000000000002</v>
      </c>
      <c r="AN144">
        <v>9.0561761184995895</v>
      </c>
      <c r="AO144">
        <v>1</v>
      </c>
      <c r="AP144">
        <v>5987.9436495519294</v>
      </c>
      <c r="AQ144">
        <v>1.016194415745886</v>
      </c>
      <c r="AR144">
        <v>6084.9148999999998</v>
      </c>
      <c r="AS144" s="60">
        <v>1934270.490908572</v>
      </c>
      <c r="AT144" t="s">
        <v>342</v>
      </c>
      <c r="AU144" t="s">
        <v>434</v>
      </c>
      <c r="AV144" t="s">
        <v>425</v>
      </c>
      <c r="AW144" t="s">
        <v>27</v>
      </c>
      <c r="AX144">
        <v>111.133</v>
      </c>
      <c r="AY144">
        <v>1.0155396203574489</v>
      </c>
      <c r="AZ144">
        <v>112.8599646291844</v>
      </c>
      <c r="BA144">
        <v>638.13</v>
      </c>
      <c r="BB144">
        <v>1</v>
      </c>
      <c r="BC144">
        <v>72.019329228821434</v>
      </c>
      <c r="BD144">
        <v>1.0016354901359501</v>
      </c>
      <c r="BE144" s="62">
        <v>72.137</v>
      </c>
      <c r="BF144">
        <v>8.9176000000000002</v>
      </c>
      <c r="BG144">
        <v>1</v>
      </c>
      <c r="BH144">
        <v>5779.0176664981427</v>
      </c>
      <c r="BI144">
        <v>1.016194415745886</v>
      </c>
      <c r="BJ144" s="62">
        <v>5872.6054999999997</v>
      </c>
      <c r="BK144" s="60">
        <v>1866781.65760336</v>
      </c>
    </row>
    <row r="145" spans="1:63" x14ac:dyDescent="0.25">
      <c r="A145">
        <v>375</v>
      </c>
      <c r="B145" t="s">
        <v>138</v>
      </c>
      <c r="C145">
        <v>2017</v>
      </c>
      <c r="D145">
        <v>12</v>
      </c>
      <c r="E145" t="s">
        <v>100</v>
      </c>
      <c r="F145" t="s">
        <v>426</v>
      </c>
      <c r="G145" t="s">
        <v>427</v>
      </c>
      <c r="H145" t="s">
        <v>84</v>
      </c>
      <c r="I145" t="s">
        <v>430</v>
      </c>
      <c r="J145" t="s">
        <v>59</v>
      </c>
      <c r="K145">
        <v>-532.17418777</v>
      </c>
      <c r="L145" t="s">
        <v>59</v>
      </c>
      <c r="M145" t="s">
        <v>383</v>
      </c>
      <c r="N145">
        <v>1.01306746199944</v>
      </c>
      <c r="O145">
        <v>539.1283537457673</v>
      </c>
      <c r="P145" t="s">
        <v>440</v>
      </c>
      <c r="Q145">
        <v>2</v>
      </c>
      <c r="R145">
        <v>29.947030000000002</v>
      </c>
      <c r="S145">
        <v>0.156</v>
      </c>
      <c r="T145">
        <v>4.6717367000000003</v>
      </c>
      <c r="U145">
        <v>0.98099999999999998</v>
      </c>
      <c r="V145">
        <v>4582.9740000000002</v>
      </c>
      <c r="W145">
        <v>2</v>
      </c>
      <c r="X145">
        <v>1.09099462E-4</v>
      </c>
      <c r="Y145">
        <v>1</v>
      </c>
      <c r="Z145" s="60">
        <v>539.12835399999994</v>
      </c>
      <c r="AA145" t="s">
        <v>342</v>
      </c>
      <c r="AB145" t="s">
        <v>434</v>
      </c>
      <c r="AC145" t="s">
        <v>425</v>
      </c>
      <c r="AD145" t="s">
        <v>27</v>
      </c>
      <c r="AE145">
        <v>111.133</v>
      </c>
      <c r="AF145">
        <v>1.0155396203574489</v>
      </c>
      <c r="AG145">
        <v>112.8599646291844</v>
      </c>
      <c r="AH145">
        <v>661.2</v>
      </c>
      <c r="AI145">
        <v>1</v>
      </c>
      <c r="AJ145">
        <v>74.623008612816719</v>
      </c>
      <c r="AK145">
        <v>1.0016354901359501</v>
      </c>
      <c r="AL145" s="62">
        <v>74.745000000000005</v>
      </c>
      <c r="AM145">
        <v>8.9176000000000002</v>
      </c>
      <c r="AN145">
        <v>9.0561761184995895</v>
      </c>
      <c r="AO145">
        <v>1</v>
      </c>
      <c r="AP145">
        <v>5987.9436495519294</v>
      </c>
      <c r="AQ145">
        <v>1.016194415745886</v>
      </c>
      <c r="AR145">
        <v>6084.9148999999998</v>
      </c>
      <c r="AS145" s="60">
        <v>3280550.1542670741</v>
      </c>
      <c r="AT145" t="s">
        <v>342</v>
      </c>
      <c r="AU145" t="s">
        <v>434</v>
      </c>
      <c r="AV145" t="s">
        <v>425</v>
      </c>
      <c r="AW145" t="s">
        <v>27</v>
      </c>
      <c r="AX145">
        <v>111.133</v>
      </c>
      <c r="AY145">
        <v>1.0155396203574489</v>
      </c>
      <c r="AZ145">
        <v>112.8599646291844</v>
      </c>
      <c r="BA145">
        <v>638.13</v>
      </c>
      <c r="BB145">
        <v>1</v>
      </c>
      <c r="BC145">
        <v>72.019329228821434</v>
      </c>
      <c r="BD145">
        <v>1.0016354901359501</v>
      </c>
      <c r="BE145" s="62">
        <v>72.137</v>
      </c>
      <c r="BF145">
        <v>8.9176000000000002</v>
      </c>
      <c r="BG145">
        <v>1</v>
      </c>
      <c r="BH145">
        <v>5779.0176664981427</v>
      </c>
      <c r="BI145">
        <v>1.016194415745886</v>
      </c>
      <c r="BJ145" s="62">
        <v>5872.6054999999997</v>
      </c>
      <c r="BK145" s="60">
        <v>3166088.1369063458</v>
      </c>
    </row>
    <row r="146" spans="1:63" x14ac:dyDescent="0.25">
      <c r="A146">
        <v>393</v>
      </c>
      <c r="B146" t="s">
        <v>119</v>
      </c>
      <c r="C146">
        <v>2018</v>
      </c>
      <c r="D146">
        <v>1</v>
      </c>
      <c r="E146" t="s">
        <v>100</v>
      </c>
      <c r="F146" t="s">
        <v>426</v>
      </c>
      <c r="G146" t="s">
        <v>427</v>
      </c>
      <c r="H146" t="s">
        <v>84</v>
      </c>
      <c r="I146" t="s">
        <v>428</v>
      </c>
      <c r="J146" t="s">
        <v>381</v>
      </c>
      <c r="K146">
        <v>-2282.21465661</v>
      </c>
      <c r="L146" t="s">
        <v>381</v>
      </c>
      <c r="M146" t="s">
        <v>382</v>
      </c>
      <c r="N146">
        <v>1.4501348692960001E-2</v>
      </c>
      <c r="O146">
        <v>33.095190527685581</v>
      </c>
      <c r="P146" t="s">
        <v>440</v>
      </c>
      <c r="Q146">
        <v>2</v>
      </c>
      <c r="R146">
        <v>30.199670000000001</v>
      </c>
      <c r="S146">
        <v>9.6000000000000002E-2</v>
      </c>
      <c r="T146">
        <v>2.8991682999999999</v>
      </c>
      <c r="U146">
        <v>1.9E-2</v>
      </c>
      <c r="V146">
        <v>55.084000000000003</v>
      </c>
      <c r="W146">
        <v>2</v>
      </c>
      <c r="X146">
        <v>2.6697137E-3</v>
      </c>
      <c r="Y146">
        <v>0.29411700000000002</v>
      </c>
      <c r="Z146" s="60">
        <v>9.7338579999999997</v>
      </c>
      <c r="AA146" t="s">
        <v>342</v>
      </c>
      <c r="AB146" t="s">
        <v>434</v>
      </c>
      <c r="AC146" t="s">
        <v>425</v>
      </c>
      <c r="AD146" t="s">
        <v>81</v>
      </c>
      <c r="AE146">
        <v>111.133</v>
      </c>
      <c r="AF146">
        <v>1.0155396203574489</v>
      </c>
      <c r="AG146">
        <v>112.8599646291844</v>
      </c>
      <c r="AH146">
        <v>661.2</v>
      </c>
      <c r="AI146">
        <v>1</v>
      </c>
      <c r="AJ146">
        <v>74.623008612816719</v>
      </c>
      <c r="AK146">
        <v>0.95185525912296853</v>
      </c>
      <c r="AL146" s="62">
        <v>71.03</v>
      </c>
      <c r="AM146">
        <v>8.9176000000000002</v>
      </c>
      <c r="AN146">
        <v>9.0561761184995895</v>
      </c>
      <c r="AO146">
        <v>1</v>
      </c>
      <c r="AP146">
        <v>5987.9436495519294</v>
      </c>
      <c r="AQ146">
        <v>1.081469419077697</v>
      </c>
      <c r="AR146">
        <v>6475.7779</v>
      </c>
      <c r="AS146" s="60">
        <v>63034.302518138204</v>
      </c>
      <c r="AT146" t="s">
        <v>343</v>
      </c>
      <c r="AU146" t="s">
        <v>435</v>
      </c>
      <c r="AV146" t="s">
        <v>425</v>
      </c>
      <c r="AW146" t="s">
        <v>81</v>
      </c>
      <c r="AX146">
        <v>111.133</v>
      </c>
      <c r="AY146">
        <v>1.027287859172453</v>
      </c>
      <c r="AZ146">
        <v>114.1655816534122</v>
      </c>
      <c r="BA146">
        <v>605.53</v>
      </c>
      <c r="BB146">
        <v>1</v>
      </c>
      <c r="BC146">
        <v>69.130684658590724</v>
      </c>
      <c r="BD146">
        <v>0.92730000000000001</v>
      </c>
      <c r="BE146" s="62">
        <v>64.105000000000004</v>
      </c>
      <c r="BF146">
        <v>8.9176000000000002</v>
      </c>
      <c r="BG146">
        <v>1</v>
      </c>
      <c r="BH146">
        <v>5547.2253382114104</v>
      </c>
      <c r="BI146">
        <v>1.094557195571956</v>
      </c>
      <c r="BJ146" s="62">
        <v>6071.7554</v>
      </c>
      <c r="BK146" s="60">
        <v>59101.604874333199</v>
      </c>
    </row>
    <row r="147" spans="1:63" x14ac:dyDescent="0.25">
      <c r="A147">
        <v>393</v>
      </c>
      <c r="B147" t="s">
        <v>119</v>
      </c>
      <c r="C147">
        <v>2018</v>
      </c>
      <c r="D147">
        <v>1</v>
      </c>
      <c r="E147" t="s">
        <v>100</v>
      </c>
      <c r="F147" t="s">
        <v>426</v>
      </c>
      <c r="G147" t="s">
        <v>427</v>
      </c>
      <c r="H147" t="s">
        <v>84</v>
      </c>
      <c r="I147" t="s">
        <v>429</v>
      </c>
      <c r="J147" t="s">
        <v>87</v>
      </c>
      <c r="K147">
        <v>-664.95678799999996</v>
      </c>
      <c r="L147" t="s">
        <v>87</v>
      </c>
      <c r="M147" t="s">
        <v>382</v>
      </c>
      <c r="N147">
        <v>2.544990394672E-2</v>
      </c>
      <c r="O147">
        <v>16.92308638331945</v>
      </c>
      <c r="P147" t="s">
        <v>440</v>
      </c>
      <c r="Q147">
        <v>2</v>
      </c>
      <c r="R147">
        <v>30.199670000000001</v>
      </c>
      <c r="S147">
        <v>9.6000000000000002E-2</v>
      </c>
      <c r="T147">
        <v>2.8991682999999999</v>
      </c>
      <c r="U147">
        <v>1.9E-2</v>
      </c>
      <c r="V147">
        <v>55.084000000000003</v>
      </c>
      <c r="W147">
        <v>2</v>
      </c>
      <c r="X147">
        <v>2.6697137E-3</v>
      </c>
      <c r="Y147">
        <v>0.29411700000000002</v>
      </c>
      <c r="Z147" s="60">
        <v>4.9773670000000001</v>
      </c>
      <c r="AA147" t="s">
        <v>342</v>
      </c>
      <c r="AB147" t="s">
        <v>434</v>
      </c>
      <c r="AC147" t="s">
        <v>425</v>
      </c>
      <c r="AD147" t="s">
        <v>81</v>
      </c>
      <c r="AE147">
        <v>111.133</v>
      </c>
      <c r="AF147">
        <v>1.0155396203574489</v>
      </c>
      <c r="AG147">
        <v>112.8599646291844</v>
      </c>
      <c r="AH147">
        <v>661.2</v>
      </c>
      <c r="AI147">
        <v>1</v>
      </c>
      <c r="AJ147">
        <v>74.623008612816719</v>
      </c>
      <c r="AK147">
        <v>0.95185525912296853</v>
      </c>
      <c r="AL147" s="62">
        <v>71.03</v>
      </c>
      <c r="AM147">
        <v>8.9176000000000002</v>
      </c>
      <c r="AN147">
        <v>9.0561761184995895</v>
      </c>
      <c r="AO147">
        <v>1</v>
      </c>
      <c r="AP147">
        <v>5987.9436495519294</v>
      </c>
      <c r="AQ147">
        <v>1.081469419077697</v>
      </c>
      <c r="AR147">
        <v>6475.7779</v>
      </c>
      <c r="AS147" s="60">
        <v>32232.323218789301</v>
      </c>
      <c r="AT147" t="s">
        <v>343</v>
      </c>
      <c r="AU147" t="s">
        <v>435</v>
      </c>
      <c r="AV147" t="s">
        <v>425</v>
      </c>
      <c r="AW147" t="s">
        <v>81</v>
      </c>
      <c r="AX147">
        <v>111.133</v>
      </c>
      <c r="AY147">
        <v>1.027287859172453</v>
      </c>
      <c r="AZ147">
        <v>114.1655816534122</v>
      </c>
      <c r="BA147">
        <v>605.53</v>
      </c>
      <c r="BB147">
        <v>1</v>
      </c>
      <c r="BC147">
        <v>69.130684658590724</v>
      </c>
      <c r="BD147">
        <v>0.92730000000000001</v>
      </c>
      <c r="BE147" s="62">
        <v>64.105000000000004</v>
      </c>
      <c r="BF147">
        <v>8.9176000000000002</v>
      </c>
      <c r="BG147">
        <v>1</v>
      </c>
      <c r="BH147">
        <v>5547.2253382114104</v>
      </c>
      <c r="BI147">
        <v>1.094557195571956</v>
      </c>
      <c r="BJ147" s="62">
        <v>6071.7554</v>
      </c>
      <c r="BK147" s="60">
        <v>30221.3549600318</v>
      </c>
    </row>
    <row r="148" spans="1:63" x14ac:dyDescent="0.25">
      <c r="A148">
        <v>393</v>
      </c>
      <c r="B148" t="s">
        <v>119</v>
      </c>
      <c r="C148">
        <v>2018</v>
      </c>
      <c r="D148">
        <v>1</v>
      </c>
      <c r="E148" t="s">
        <v>100</v>
      </c>
      <c r="F148" t="s">
        <v>426</v>
      </c>
      <c r="G148" t="s">
        <v>427</v>
      </c>
      <c r="H148" t="s">
        <v>84</v>
      </c>
      <c r="I148" t="s">
        <v>430</v>
      </c>
      <c r="J148" t="s">
        <v>59</v>
      </c>
      <c r="K148">
        <v>-827.93369911000002</v>
      </c>
      <c r="L148" t="s">
        <v>59</v>
      </c>
      <c r="M148" t="s">
        <v>382</v>
      </c>
      <c r="N148">
        <v>2.575764033551E-2</v>
      </c>
      <c r="O148">
        <v>21.32561844332373</v>
      </c>
      <c r="P148" t="s">
        <v>440</v>
      </c>
      <c r="Q148">
        <v>2</v>
      </c>
      <c r="R148">
        <v>30.199670000000001</v>
      </c>
      <c r="S148">
        <v>9.6000000000000002E-2</v>
      </c>
      <c r="T148">
        <v>2.8991682999999999</v>
      </c>
      <c r="U148">
        <v>1.9E-2</v>
      </c>
      <c r="V148">
        <v>55.084000000000003</v>
      </c>
      <c r="W148">
        <v>2</v>
      </c>
      <c r="X148">
        <v>2.6697137E-3</v>
      </c>
      <c r="Y148">
        <v>0.29411700000000002</v>
      </c>
      <c r="Z148" s="60">
        <v>6.272227</v>
      </c>
      <c r="AA148" t="s">
        <v>342</v>
      </c>
      <c r="AB148" t="s">
        <v>434</v>
      </c>
      <c r="AC148" t="s">
        <v>425</v>
      </c>
      <c r="AD148" t="s">
        <v>81</v>
      </c>
      <c r="AE148">
        <v>111.133</v>
      </c>
      <c r="AF148">
        <v>1.0155396203574489</v>
      </c>
      <c r="AG148">
        <v>112.8599646291844</v>
      </c>
      <c r="AH148">
        <v>661.2</v>
      </c>
      <c r="AI148">
        <v>1</v>
      </c>
      <c r="AJ148">
        <v>74.623008612816719</v>
      </c>
      <c r="AK148">
        <v>0.95185525912296853</v>
      </c>
      <c r="AL148" s="62">
        <v>71.03</v>
      </c>
      <c r="AM148">
        <v>8.9176000000000002</v>
      </c>
      <c r="AN148">
        <v>9.0561761184995895</v>
      </c>
      <c r="AO148">
        <v>1</v>
      </c>
      <c r="AP148">
        <v>5987.9436495519294</v>
      </c>
      <c r="AQ148">
        <v>1.081469419077697</v>
      </c>
      <c r="AR148">
        <v>6475.7779</v>
      </c>
      <c r="AS148" s="60">
        <v>40617.5489903833</v>
      </c>
      <c r="AT148" t="s">
        <v>343</v>
      </c>
      <c r="AU148" t="s">
        <v>435</v>
      </c>
      <c r="AV148" t="s">
        <v>425</v>
      </c>
      <c r="AW148" t="s">
        <v>81</v>
      </c>
      <c r="AX148">
        <v>111.133</v>
      </c>
      <c r="AY148">
        <v>1.027287859172453</v>
      </c>
      <c r="AZ148">
        <v>114.1655816534122</v>
      </c>
      <c r="BA148">
        <v>605.53</v>
      </c>
      <c r="BB148">
        <v>1</v>
      </c>
      <c r="BC148">
        <v>69.130684658590724</v>
      </c>
      <c r="BD148">
        <v>0.92730000000000001</v>
      </c>
      <c r="BE148" s="62">
        <v>64.105000000000004</v>
      </c>
      <c r="BF148">
        <v>8.9176000000000002</v>
      </c>
      <c r="BG148">
        <v>1</v>
      </c>
      <c r="BH148">
        <v>5547.2253382114104</v>
      </c>
      <c r="BI148">
        <v>1.094557195571956</v>
      </c>
      <c r="BJ148" s="62">
        <v>6071.7554</v>
      </c>
      <c r="BK148" s="60">
        <v>38083.428157275797</v>
      </c>
    </row>
    <row r="149" spans="1:63" x14ac:dyDescent="0.25">
      <c r="A149">
        <v>395</v>
      </c>
      <c r="B149" t="s">
        <v>119</v>
      </c>
      <c r="C149">
        <v>2018</v>
      </c>
      <c r="D149">
        <v>1</v>
      </c>
      <c r="E149" t="s">
        <v>100</v>
      </c>
      <c r="F149" t="s">
        <v>426</v>
      </c>
      <c r="G149" t="s">
        <v>427</v>
      </c>
      <c r="H149" t="s">
        <v>84</v>
      </c>
      <c r="I149" t="s">
        <v>428</v>
      </c>
      <c r="J149" t="s">
        <v>381</v>
      </c>
      <c r="K149">
        <v>-2282.21465661</v>
      </c>
      <c r="L149" t="s">
        <v>381</v>
      </c>
      <c r="M149" t="s">
        <v>383</v>
      </c>
      <c r="N149">
        <v>0.99957897948762997</v>
      </c>
      <c r="O149">
        <v>2281.2537974259362</v>
      </c>
      <c r="P149" t="s">
        <v>440</v>
      </c>
      <c r="Q149">
        <v>2</v>
      </c>
      <c r="R149">
        <v>30.199670000000001</v>
      </c>
      <c r="S149">
        <v>9.6000000000000002E-2</v>
      </c>
      <c r="T149">
        <v>2.8991682999999999</v>
      </c>
      <c r="U149">
        <v>0.98099999999999998</v>
      </c>
      <c r="V149">
        <v>2844.0839999999998</v>
      </c>
      <c r="W149">
        <v>2</v>
      </c>
      <c r="X149">
        <v>5.1706918E-5</v>
      </c>
      <c r="Y149">
        <v>0.29411799999999999</v>
      </c>
      <c r="Z149" s="60">
        <v>670.95780400000001</v>
      </c>
      <c r="AA149" t="s">
        <v>342</v>
      </c>
      <c r="AB149" t="s">
        <v>434</v>
      </c>
      <c r="AC149" t="s">
        <v>425</v>
      </c>
      <c r="AD149" t="s">
        <v>27</v>
      </c>
      <c r="AE149">
        <v>111.133</v>
      </c>
      <c r="AF149">
        <v>1.0155396203574489</v>
      </c>
      <c r="AG149">
        <v>112.8599646291844</v>
      </c>
      <c r="AH149">
        <v>661.2</v>
      </c>
      <c r="AI149">
        <v>1</v>
      </c>
      <c r="AJ149">
        <v>74.623008612816719</v>
      </c>
      <c r="AK149">
        <v>1.0016354901359501</v>
      </c>
      <c r="AL149" s="62">
        <v>74.745000000000005</v>
      </c>
      <c r="AM149">
        <v>8.9176000000000002</v>
      </c>
      <c r="AN149">
        <v>9.0561761184995895</v>
      </c>
      <c r="AO149">
        <v>1</v>
      </c>
      <c r="AP149">
        <v>5987.9436495519294</v>
      </c>
      <c r="AQ149">
        <v>1.016194415745886</v>
      </c>
      <c r="AR149">
        <v>6084.9148999999998</v>
      </c>
      <c r="AS149" s="60">
        <v>4082721.1388308802</v>
      </c>
      <c r="AT149" t="s">
        <v>343</v>
      </c>
      <c r="AU149" t="s">
        <v>435</v>
      </c>
      <c r="AV149" t="s">
        <v>425</v>
      </c>
      <c r="AW149" t="s">
        <v>27</v>
      </c>
      <c r="AX149">
        <v>111.133</v>
      </c>
      <c r="AY149">
        <v>1.027287859172453</v>
      </c>
      <c r="AZ149">
        <v>114.1655816534122</v>
      </c>
      <c r="BA149">
        <v>605.53</v>
      </c>
      <c r="BB149">
        <v>1</v>
      </c>
      <c r="BC149">
        <v>69.130684658590724</v>
      </c>
      <c r="BD149">
        <v>0.95599999999999996</v>
      </c>
      <c r="BE149" s="62">
        <v>66.088999999999999</v>
      </c>
      <c r="BF149">
        <v>8.9176000000000002</v>
      </c>
      <c r="BG149">
        <v>1</v>
      </c>
      <c r="BH149">
        <v>5547.2253382114104</v>
      </c>
      <c r="BI149">
        <v>1.0027686628383921</v>
      </c>
      <c r="BJ149" s="62">
        <v>5562.5837000000001</v>
      </c>
      <c r="BK149" s="60">
        <v>3732258.9439181951</v>
      </c>
    </row>
    <row r="150" spans="1:63" x14ac:dyDescent="0.25">
      <c r="A150">
        <v>395</v>
      </c>
      <c r="B150" t="s">
        <v>119</v>
      </c>
      <c r="C150">
        <v>2018</v>
      </c>
      <c r="D150">
        <v>1</v>
      </c>
      <c r="E150" t="s">
        <v>100</v>
      </c>
      <c r="F150" t="s">
        <v>426</v>
      </c>
      <c r="G150" t="s">
        <v>427</v>
      </c>
      <c r="H150" t="s">
        <v>84</v>
      </c>
      <c r="I150" t="s">
        <v>429</v>
      </c>
      <c r="J150" t="s">
        <v>87</v>
      </c>
      <c r="K150">
        <v>-664.95678799999996</v>
      </c>
      <c r="L150" t="s">
        <v>87</v>
      </c>
      <c r="M150" t="s">
        <v>383</v>
      </c>
      <c r="N150">
        <v>0.96098048160807004</v>
      </c>
      <c r="O150">
        <v>639.01049438079531</v>
      </c>
      <c r="P150" t="s">
        <v>440</v>
      </c>
      <c r="Q150">
        <v>2</v>
      </c>
      <c r="R150">
        <v>30.199670000000001</v>
      </c>
      <c r="S150">
        <v>9.6000000000000002E-2</v>
      </c>
      <c r="T150">
        <v>2.8991682999999999</v>
      </c>
      <c r="U150">
        <v>0.98099999999999998</v>
      </c>
      <c r="V150">
        <v>2844.0839999999998</v>
      </c>
      <c r="W150">
        <v>2</v>
      </c>
      <c r="X150">
        <v>5.1706918E-5</v>
      </c>
      <c r="Y150">
        <v>0.29411799999999999</v>
      </c>
      <c r="Z150" s="60">
        <v>187.944489</v>
      </c>
      <c r="AA150" t="s">
        <v>342</v>
      </c>
      <c r="AB150" t="s">
        <v>434</v>
      </c>
      <c r="AC150" t="s">
        <v>425</v>
      </c>
      <c r="AD150" t="s">
        <v>27</v>
      </c>
      <c r="AE150">
        <v>111.133</v>
      </c>
      <c r="AF150">
        <v>1.0155396203574489</v>
      </c>
      <c r="AG150">
        <v>112.8599646291844</v>
      </c>
      <c r="AH150">
        <v>661.2</v>
      </c>
      <c r="AI150">
        <v>1</v>
      </c>
      <c r="AJ150">
        <v>74.623008612816719</v>
      </c>
      <c r="AK150">
        <v>1.0016354901359501</v>
      </c>
      <c r="AL150" s="62">
        <v>74.745000000000005</v>
      </c>
      <c r="AM150">
        <v>8.9176000000000002</v>
      </c>
      <c r="AN150">
        <v>9.0561761184995895</v>
      </c>
      <c r="AO150">
        <v>1</v>
      </c>
      <c r="AP150">
        <v>5987.9436495519294</v>
      </c>
      <c r="AQ150">
        <v>1.016194415745886</v>
      </c>
      <c r="AR150">
        <v>6084.9148999999998</v>
      </c>
      <c r="AS150" s="60">
        <v>1143626.2214889859</v>
      </c>
      <c r="AT150" t="s">
        <v>343</v>
      </c>
      <c r="AU150" t="s">
        <v>435</v>
      </c>
      <c r="AV150" t="s">
        <v>425</v>
      </c>
      <c r="AW150" t="s">
        <v>27</v>
      </c>
      <c r="AX150">
        <v>111.133</v>
      </c>
      <c r="AY150">
        <v>1.027287859172453</v>
      </c>
      <c r="AZ150">
        <v>114.1655816534122</v>
      </c>
      <c r="BA150">
        <v>605.53</v>
      </c>
      <c r="BB150">
        <v>1</v>
      </c>
      <c r="BC150">
        <v>69.130684658590724</v>
      </c>
      <c r="BD150">
        <v>0.95599999999999996</v>
      </c>
      <c r="BE150" s="62">
        <v>66.088999999999999</v>
      </c>
      <c r="BF150">
        <v>8.9176000000000002</v>
      </c>
      <c r="BG150">
        <v>1</v>
      </c>
      <c r="BH150">
        <v>5547.2253382114104</v>
      </c>
      <c r="BI150">
        <v>1.0027686628383921</v>
      </c>
      <c r="BJ150" s="62">
        <v>5562.5837000000001</v>
      </c>
      <c r="BK150" s="60">
        <v>1045456.951016229</v>
      </c>
    </row>
    <row r="151" spans="1:63" x14ac:dyDescent="0.25">
      <c r="A151">
        <v>395</v>
      </c>
      <c r="B151" t="s">
        <v>119</v>
      </c>
      <c r="C151">
        <v>2018</v>
      </c>
      <c r="D151">
        <v>1</v>
      </c>
      <c r="E151" t="s">
        <v>100</v>
      </c>
      <c r="F151" t="s">
        <v>426</v>
      </c>
      <c r="G151" t="s">
        <v>427</v>
      </c>
      <c r="H151" t="s">
        <v>84</v>
      </c>
      <c r="I151" t="s">
        <v>430</v>
      </c>
      <c r="J151" t="s">
        <v>59</v>
      </c>
      <c r="K151">
        <v>-827.93369911000002</v>
      </c>
      <c r="L151" t="s">
        <v>59</v>
      </c>
      <c r="M151" t="s">
        <v>383</v>
      </c>
      <c r="N151">
        <v>0.98832268784499</v>
      </c>
      <c r="O151">
        <v>818.26565886184039</v>
      </c>
      <c r="P151" t="s">
        <v>440</v>
      </c>
      <c r="Q151">
        <v>2</v>
      </c>
      <c r="R151">
        <v>30.199670000000001</v>
      </c>
      <c r="S151">
        <v>9.6000000000000002E-2</v>
      </c>
      <c r="T151">
        <v>2.8991682999999999</v>
      </c>
      <c r="U151">
        <v>0.98099999999999998</v>
      </c>
      <c r="V151">
        <v>2844.0839999999998</v>
      </c>
      <c r="W151">
        <v>2</v>
      </c>
      <c r="X151">
        <v>5.1706918E-5</v>
      </c>
      <c r="Y151">
        <v>0.29411799999999999</v>
      </c>
      <c r="Z151" s="60">
        <v>240.66665900000001</v>
      </c>
      <c r="AA151" t="s">
        <v>342</v>
      </c>
      <c r="AB151" t="s">
        <v>434</v>
      </c>
      <c r="AC151" t="s">
        <v>425</v>
      </c>
      <c r="AD151" t="s">
        <v>27</v>
      </c>
      <c r="AE151">
        <v>111.133</v>
      </c>
      <c r="AF151">
        <v>1.0155396203574489</v>
      </c>
      <c r="AG151">
        <v>112.8599646291844</v>
      </c>
      <c r="AH151">
        <v>661.2</v>
      </c>
      <c r="AI151">
        <v>1</v>
      </c>
      <c r="AJ151">
        <v>74.623008612816719</v>
      </c>
      <c r="AK151">
        <v>1.0016354901359501</v>
      </c>
      <c r="AL151" s="62">
        <v>74.745000000000005</v>
      </c>
      <c r="AM151">
        <v>8.9176000000000002</v>
      </c>
      <c r="AN151">
        <v>9.0561761184995895</v>
      </c>
      <c r="AO151">
        <v>1</v>
      </c>
      <c r="AP151">
        <v>5987.9436495519294</v>
      </c>
      <c r="AQ151">
        <v>1.016194415745886</v>
      </c>
      <c r="AR151">
        <v>6084.9148999999998</v>
      </c>
      <c r="AS151" s="60">
        <v>1464436.139282319</v>
      </c>
      <c r="AT151" t="s">
        <v>343</v>
      </c>
      <c r="AU151" t="s">
        <v>435</v>
      </c>
      <c r="AV151" t="s">
        <v>425</v>
      </c>
      <c r="AW151" t="s">
        <v>27</v>
      </c>
      <c r="AX151">
        <v>111.133</v>
      </c>
      <c r="AY151">
        <v>1.027287859172453</v>
      </c>
      <c r="AZ151">
        <v>114.1655816534122</v>
      </c>
      <c r="BA151">
        <v>605.53</v>
      </c>
      <c r="BB151">
        <v>1</v>
      </c>
      <c r="BC151">
        <v>69.130684658590724</v>
      </c>
      <c r="BD151">
        <v>0.95599999999999996</v>
      </c>
      <c r="BE151" s="62">
        <v>66.088999999999999</v>
      </c>
      <c r="BF151">
        <v>8.9176000000000002</v>
      </c>
      <c r="BG151">
        <v>1</v>
      </c>
      <c r="BH151">
        <v>5547.2253382114104</v>
      </c>
      <c r="BI151">
        <v>1.0027686628383921</v>
      </c>
      <c r="BJ151" s="62">
        <v>5562.5837000000001</v>
      </c>
      <c r="BK151" s="60">
        <v>1338728.4344868581</v>
      </c>
    </row>
    <row r="152" spans="1:63" x14ac:dyDescent="0.25">
      <c r="A152">
        <v>413</v>
      </c>
      <c r="B152" t="s">
        <v>117</v>
      </c>
      <c r="C152">
        <v>2018</v>
      </c>
      <c r="D152">
        <v>2</v>
      </c>
      <c r="E152" t="s">
        <v>100</v>
      </c>
      <c r="F152" t="s">
        <v>426</v>
      </c>
      <c r="G152" t="s">
        <v>427</v>
      </c>
      <c r="H152" t="s">
        <v>84</v>
      </c>
      <c r="I152" t="s">
        <v>428</v>
      </c>
      <c r="J152" t="s">
        <v>381</v>
      </c>
      <c r="K152">
        <v>-2369.4829982599999</v>
      </c>
      <c r="L152" t="s">
        <v>381</v>
      </c>
      <c r="M152" t="s">
        <v>382</v>
      </c>
      <c r="N152">
        <v>1.4811418028679999E-2</v>
      </c>
      <c r="O152">
        <v>35.095403199078909</v>
      </c>
      <c r="P152" t="s">
        <v>440</v>
      </c>
      <c r="Q152">
        <v>2</v>
      </c>
      <c r="R152">
        <v>30.199670000000001</v>
      </c>
      <c r="S152">
        <v>0.111</v>
      </c>
      <c r="T152">
        <v>3.3521633999999998</v>
      </c>
      <c r="U152">
        <v>1.9E-2</v>
      </c>
      <c r="V152">
        <v>63.691000000000003</v>
      </c>
      <c r="W152">
        <v>2</v>
      </c>
      <c r="X152">
        <v>2.308940912E-3</v>
      </c>
      <c r="Y152">
        <v>0.29411799999999999</v>
      </c>
      <c r="Z152" s="60">
        <v>10.322190000000001</v>
      </c>
      <c r="AA152" t="s">
        <v>342</v>
      </c>
      <c r="AB152" t="s">
        <v>434</v>
      </c>
      <c r="AC152" t="s">
        <v>425</v>
      </c>
      <c r="AD152" t="s">
        <v>81</v>
      </c>
      <c r="AE152">
        <v>111.133</v>
      </c>
      <c r="AF152">
        <v>1.0155396203574489</v>
      </c>
      <c r="AG152">
        <v>112.8599646291844</v>
      </c>
      <c r="AH152">
        <v>661.2</v>
      </c>
      <c r="AI152">
        <v>1</v>
      </c>
      <c r="AJ152">
        <v>74.623008612816719</v>
      </c>
      <c r="AK152">
        <v>0.95185525912296853</v>
      </c>
      <c r="AL152" s="62">
        <v>71.03</v>
      </c>
      <c r="AM152">
        <v>8.9176000000000002</v>
      </c>
      <c r="AN152">
        <v>9.0561761184995895</v>
      </c>
      <c r="AO152">
        <v>1</v>
      </c>
      <c r="AP152">
        <v>5987.9436495519294</v>
      </c>
      <c r="AQ152">
        <v>1.081469419077697</v>
      </c>
      <c r="AR152">
        <v>6475.7779</v>
      </c>
      <c r="AS152" s="60">
        <v>66844.209881601011</v>
      </c>
      <c r="AT152" t="s">
        <v>343</v>
      </c>
      <c r="AU152" t="s">
        <v>435</v>
      </c>
      <c r="AV152" t="s">
        <v>425</v>
      </c>
      <c r="AW152" t="s">
        <v>81</v>
      </c>
      <c r="AX152">
        <v>111.133</v>
      </c>
      <c r="AY152">
        <v>1.027287859172453</v>
      </c>
      <c r="AZ152">
        <v>114.1655816534122</v>
      </c>
      <c r="BA152">
        <v>596.84</v>
      </c>
      <c r="BB152">
        <v>1</v>
      </c>
      <c r="BC152">
        <v>68.138585754022571</v>
      </c>
      <c r="BD152">
        <v>0.92730000000000001</v>
      </c>
      <c r="BE152" s="62">
        <v>63.185000000000002</v>
      </c>
      <c r="BF152">
        <v>8.9176000000000002</v>
      </c>
      <c r="BG152">
        <v>1</v>
      </c>
      <c r="BH152">
        <v>5467.6167503808201</v>
      </c>
      <c r="BI152">
        <v>1.094557195571956</v>
      </c>
      <c r="BJ152" s="62">
        <v>5984.6193000000003</v>
      </c>
      <c r="BK152" s="60">
        <v>61774.377492267013</v>
      </c>
    </row>
    <row r="153" spans="1:63" x14ac:dyDescent="0.25">
      <c r="A153">
        <v>413</v>
      </c>
      <c r="B153" t="s">
        <v>117</v>
      </c>
      <c r="C153">
        <v>2018</v>
      </c>
      <c r="D153">
        <v>2</v>
      </c>
      <c r="E153" t="s">
        <v>100</v>
      </c>
      <c r="F153" t="s">
        <v>426</v>
      </c>
      <c r="G153" t="s">
        <v>427</v>
      </c>
      <c r="H153" t="s">
        <v>84</v>
      </c>
      <c r="I153" t="s">
        <v>429</v>
      </c>
      <c r="J153" t="s">
        <v>87</v>
      </c>
      <c r="K153">
        <v>-647.01975331000006</v>
      </c>
      <c r="L153" t="s">
        <v>87</v>
      </c>
      <c r="M153" t="s">
        <v>382</v>
      </c>
      <c r="N153">
        <v>2.6722698260090001E-2</v>
      </c>
      <c r="O153">
        <v>17.290113636021001</v>
      </c>
      <c r="P153" t="s">
        <v>440</v>
      </c>
      <c r="Q153">
        <v>2</v>
      </c>
      <c r="R153">
        <v>30.199670000000001</v>
      </c>
      <c r="S153">
        <v>0.111</v>
      </c>
      <c r="T153">
        <v>3.3521633999999998</v>
      </c>
      <c r="U153">
        <v>1.9E-2</v>
      </c>
      <c r="V153">
        <v>63.691000000000003</v>
      </c>
      <c r="W153">
        <v>2</v>
      </c>
      <c r="X153">
        <v>2.308940912E-3</v>
      </c>
      <c r="Y153">
        <v>0.29411799999999999</v>
      </c>
      <c r="Z153" s="60">
        <v>5.0853339999999996</v>
      </c>
      <c r="AA153" t="s">
        <v>342</v>
      </c>
      <c r="AB153" t="s">
        <v>434</v>
      </c>
      <c r="AC153" t="s">
        <v>425</v>
      </c>
      <c r="AD153" t="s">
        <v>81</v>
      </c>
      <c r="AE153">
        <v>111.133</v>
      </c>
      <c r="AF153">
        <v>1.0155396203574489</v>
      </c>
      <c r="AG153">
        <v>112.8599646291844</v>
      </c>
      <c r="AH153">
        <v>661.2</v>
      </c>
      <c r="AI153">
        <v>1</v>
      </c>
      <c r="AJ153">
        <v>74.623008612816719</v>
      </c>
      <c r="AK153">
        <v>0.95185525912296853</v>
      </c>
      <c r="AL153" s="62">
        <v>71.03</v>
      </c>
      <c r="AM153">
        <v>8.9176000000000002</v>
      </c>
      <c r="AN153">
        <v>9.0561761184995895</v>
      </c>
      <c r="AO153">
        <v>1</v>
      </c>
      <c r="AP153">
        <v>5987.9436495519294</v>
      </c>
      <c r="AQ153">
        <v>1.081469419077697</v>
      </c>
      <c r="AR153">
        <v>6475.7779</v>
      </c>
      <c r="AS153" s="60">
        <v>32931.4935313186</v>
      </c>
      <c r="AT153" t="s">
        <v>343</v>
      </c>
      <c r="AU153" t="s">
        <v>435</v>
      </c>
      <c r="AV153" t="s">
        <v>425</v>
      </c>
      <c r="AW153" t="s">
        <v>81</v>
      </c>
      <c r="AX153">
        <v>111.133</v>
      </c>
      <c r="AY153">
        <v>1.027287859172453</v>
      </c>
      <c r="AZ153">
        <v>114.1655816534122</v>
      </c>
      <c r="BA153">
        <v>596.84</v>
      </c>
      <c r="BB153">
        <v>1</v>
      </c>
      <c r="BC153">
        <v>68.138585754022571</v>
      </c>
      <c r="BD153">
        <v>0.92730000000000001</v>
      </c>
      <c r="BE153" s="62">
        <v>63.185000000000002</v>
      </c>
      <c r="BF153">
        <v>8.9176000000000002</v>
      </c>
      <c r="BG153">
        <v>1</v>
      </c>
      <c r="BH153">
        <v>5467.6167503808201</v>
      </c>
      <c r="BI153">
        <v>1.094557195571956</v>
      </c>
      <c r="BJ153" s="62">
        <v>5984.6193000000003</v>
      </c>
      <c r="BK153" s="60">
        <v>30433.788003346199</v>
      </c>
    </row>
    <row r="154" spans="1:63" x14ac:dyDescent="0.25">
      <c r="A154">
        <v>413</v>
      </c>
      <c r="B154" t="s">
        <v>117</v>
      </c>
      <c r="C154">
        <v>2018</v>
      </c>
      <c r="D154">
        <v>2</v>
      </c>
      <c r="E154" t="s">
        <v>100</v>
      </c>
      <c r="F154" t="s">
        <v>426</v>
      </c>
      <c r="G154" t="s">
        <v>427</v>
      </c>
      <c r="H154" t="s">
        <v>84</v>
      </c>
      <c r="I154" t="s">
        <v>430</v>
      </c>
      <c r="J154" t="s">
        <v>59</v>
      </c>
      <c r="K154">
        <v>-825.06151541999998</v>
      </c>
      <c r="L154" t="s">
        <v>59</v>
      </c>
      <c r="M154" t="s">
        <v>382</v>
      </c>
      <c r="N154">
        <v>2.630839286232E-2</v>
      </c>
      <c r="O154">
        <v>21.706042483250449</v>
      </c>
      <c r="P154" t="s">
        <v>440</v>
      </c>
      <c r="Q154">
        <v>2</v>
      </c>
      <c r="R154">
        <v>30.199670000000001</v>
      </c>
      <c r="S154">
        <v>0.111</v>
      </c>
      <c r="T154">
        <v>3.3521633999999998</v>
      </c>
      <c r="U154">
        <v>1.9E-2</v>
      </c>
      <c r="V154">
        <v>63.691000000000003</v>
      </c>
      <c r="W154">
        <v>2</v>
      </c>
      <c r="X154">
        <v>2.308940912E-3</v>
      </c>
      <c r="Y154">
        <v>0.29411799999999999</v>
      </c>
      <c r="Z154" s="60">
        <v>6.3841380000000001</v>
      </c>
      <c r="AA154" t="s">
        <v>342</v>
      </c>
      <c r="AB154" t="s">
        <v>434</v>
      </c>
      <c r="AC154" t="s">
        <v>425</v>
      </c>
      <c r="AD154" t="s">
        <v>81</v>
      </c>
      <c r="AE154">
        <v>111.133</v>
      </c>
      <c r="AF154">
        <v>1.0155396203574489</v>
      </c>
      <c r="AG154">
        <v>112.8599646291844</v>
      </c>
      <c r="AH154">
        <v>661.2</v>
      </c>
      <c r="AI154">
        <v>1</v>
      </c>
      <c r="AJ154">
        <v>74.623008612816719</v>
      </c>
      <c r="AK154">
        <v>0.95185525912296853</v>
      </c>
      <c r="AL154" s="62">
        <v>71.03</v>
      </c>
      <c r="AM154">
        <v>8.9176000000000002</v>
      </c>
      <c r="AN154">
        <v>9.0561761184995895</v>
      </c>
      <c r="AO154">
        <v>1</v>
      </c>
      <c r="AP154">
        <v>5987.9436495519294</v>
      </c>
      <c r="AQ154">
        <v>1.081469419077697</v>
      </c>
      <c r="AR154">
        <v>6475.7779</v>
      </c>
      <c r="AS154" s="60">
        <v>41342.259770950201</v>
      </c>
      <c r="AT154" t="s">
        <v>343</v>
      </c>
      <c r="AU154" t="s">
        <v>435</v>
      </c>
      <c r="AV154" t="s">
        <v>425</v>
      </c>
      <c r="AW154" t="s">
        <v>81</v>
      </c>
      <c r="AX154">
        <v>111.133</v>
      </c>
      <c r="AY154">
        <v>1.027287859172453</v>
      </c>
      <c r="AZ154">
        <v>114.1655816534122</v>
      </c>
      <c r="BA154">
        <v>596.84</v>
      </c>
      <c r="BB154">
        <v>1</v>
      </c>
      <c r="BC154">
        <v>68.138585754022571</v>
      </c>
      <c r="BD154">
        <v>0.92730000000000001</v>
      </c>
      <c r="BE154" s="62">
        <v>63.185000000000002</v>
      </c>
      <c r="BF154">
        <v>8.9176000000000002</v>
      </c>
      <c r="BG154">
        <v>1</v>
      </c>
      <c r="BH154">
        <v>5467.6167503808201</v>
      </c>
      <c r="BI154">
        <v>1.094557195571956</v>
      </c>
      <c r="BJ154" s="62">
        <v>5984.6193000000003</v>
      </c>
      <c r="BK154" s="60">
        <v>38206.6354886634</v>
      </c>
    </row>
    <row r="155" spans="1:63" x14ac:dyDescent="0.25">
      <c r="A155">
        <v>415</v>
      </c>
      <c r="B155" t="s">
        <v>117</v>
      </c>
      <c r="C155">
        <v>2018</v>
      </c>
      <c r="D155">
        <v>2</v>
      </c>
      <c r="E155" t="s">
        <v>100</v>
      </c>
      <c r="F155" t="s">
        <v>426</v>
      </c>
      <c r="G155" t="s">
        <v>427</v>
      </c>
      <c r="H155" t="s">
        <v>84</v>
      </c>
      <c r="I155" t="s">
        <v>428</v>
      </c>
      <c r="J155" t="s">
        <v>381</v>
      </c>
      <c r="K155">
        <v>-2369.4829982599999</v>
      </c>
      <c r="L155" t="s">
        <v>381</v>
      </c>
      <c r="M155" t="s">
        <v>383</v>
      </c>
      <c r="N155">
        <v>1.0209520804776899</v>
      </c>
      <c r="O155">
        <v>2419.128596730061</v>
      </c>
      <c r="P155" t="s">
        <v>440</v>
      </c>
      <c r="Q155">
        <v>2</v>
      </c>
      <c r="R155">
        <v>30.199670000000001</v>
      </c>
      <c r="S155">
        <v>0.111</v>
      </c>
      <c r="T155">
        <v>3.3521633999999998</v>
      </c>
      <c r="U155">
        <v>0.98099999999999998</v>
      </c>
      <c r="V155">
        <v>3288.4720000000002</v>
      </c>
      <c r="W155">
        <v>2</v>
      </c>
      <c r="X155">
        <v>4.4719497000000003E-5</v>
      </c>
      <c r="Y155">
        <v>0.29411799999999999</v>
      </c>
      <c r="Z155" s="60">
        <v>711.50926500000003</v>
      </c>
      <c r="AA155" t="s">
        <v>342</v>
      </c>
      <c r="AB155" t="s">
        <v>434</v>
      </c>
      <c r="AC155" t="s">
        <v>425</v>
      </c>
      <c r="AD155" t="s">
        <v>27</v>
      </c>
      <c r="AE155">
        <v>111.133</v>
      </c>
      <c r="AF155">
        <v>1.0155396203574489</v>
      </c>
      <c r="AG155">
        <v>112.8599646291844</v>
      </c>
      <c r="AH155">
        <v>661.2</v>
      </c>
      <c r="AI155">
        <v>1</v>
      </c>
      <c r="AJ155">
        <v>74.623008612816719</v>
      </c>
      <c r="AK155">
        <v>1.0016354901359501</v>
      </c>
      <c r="AL155" s="62">
        <v>74.745000000000005</v>
      </c>
      <c r="AM155">
        <v>8.9176000000000002</v>
      </c>
      <c r="AN155">
        <v>9.0561761184995895</v>
      </c>
      <c r="AO155">
        <v>1</v>
      </c>
      <c r="AP155">
        <v>5987.9436495519294</v>
      </c>
      <c r="AQ155">
        <v>1.016194415745886</v>
      </c>
      <c r="AR155">
        <v>6084.9148999999998</v>
      </c>
      <c r="AS155" s="60">
        <v>4329473.3280865476</v>
      </c>
      <c r="AT155" t="s">
        <v>343</v>
      </c>
      <c r="AU155" t="s">
        <v>435</v>
      </c>
      <c r="AV155" t="s">
        <v>425</v>
      </c>
      <c r="AW155" t="s">
        <v>27</v>
      </c>
      <c r="AX155">
        <v>111.133</v>
      </c>
      <c r="AY155">
        <v>1.027287859172453</v>
      </c>
      <c r="AZ155">
        <v>114.1655816534122</v>
      </c>
      <c r="BA155">
        <v>596.84</v>
      </c>
      <c r="BB155">
        <v>1</v>
      </c>
      <c r="BC155">
        <v>68.138585754022571</v>
      </c>
      <c r="BD155">
        <v>0.95599999999999996</v>
      </c>
      <c r="BE155" s="62">
        <v>65.14</v>
      </c>
      <c r="BF155">
        <v>8.9176000000000002</v>
      </c>
      <c r="BG155">
        <v>1</v>
      </c>
      <c r="BH155">
        <v>5467.6167503808201</v>
      </c>
      <c r="BI155">
        <v>1.0027686628383921</v>
      </c>
      <c r="BJ155" s="62">
        <v>5482.7547000000004</v>
      </c>
      <c r="BK155" s="60">
        <v>3901030.7667722958</v>
      </c>
    </row>
    <row r="156" spans="1:63" x14ac:dyDescent="0.25">
      <c r="A156">
        <v>415</v>
      </c>
      <c r="B156" t="s">
        <v>117</v>
      </c>
      <c r="C156">
        <v>2018</v>
      </c>
      <c r="D156">
        <v>2</v>
      </c>
      <c r="E156" t="s">
        <v>100</v>
      </c>
      <c r="F156" t="s">
        <v>426</v>
      </c>
      <c r="G156" t="s">
        <v>427</v>
      </c>
      <c r="H156" t="s">
        <v>84</v>
      </c>
      <c r="I156" t="s">
        <v>429</v>
      </c>
      <c r="J156" t="s">
        <v>87</v>
      </c>
      <c r="K156">
        <v>-647.01975331000006</v>
      </c>
      <c r="L156" t="s">
        <v>87</v>
      </c>
      <c r="M156" t="s">
        <v>383</v>
      </c>
      <c r="N156">
        <v>1.0090408002436699</v>
      </c>
      <c r="O156">
        <v>652.8693296533844</v>
      </c>
      <c r="P156" t="s">
        <v>440</v>
      </c>
      <c r="Q156">
        <v>2</v>
      </c>
      <c r="R156">
        <v>30.199670000000001</v>
      </c>
      <c r="S156">
        <v>0.111</v>
      </c>
      <c r="T156">
        <v>3.3521633999999998</v>
      </c>
      <c r="U156">
        <v>0.98099999999999998</v>
      </c>
      <c r="V156">
        <v>3288.4720000000002</v>
      </c>
      <c r="W156">
        <v>2</v>
      </c>
      <c r="X156">
        <v>4.4719497000000003E-5</v>
      </c>
      <c r="Y156">
        <v>0.29411799999999999</v>
      </c>
      <c r="Z156" s="60">
        <v>192.02062100000001</v>
      </c>
      <c r="AA156" t="s">
        <v>342</v>
      </c>
      <c r="AB156" t="s">
        <v>434</v>
      </c>
      <c r="AC156" t="s">
        <v>425</v>
      </c>
      <c r="AD156" t="s">
        <v>27</v>
      </c>
      <c r="AE156">
        <v>111.133</v>
      </c>
      <c r="AF156">
        <v>1.0155396203574489</v>
      </c>
      <c r="AG156">
        <v>112.8599646291844</v>
      </c>
      <c r="AH156">
        <v>661.2</v>
      </c>
      <c r="AI156">
        <v>1</v>
      </c>
      <c r="AJ156">
        <v>74.623008612816719</v>
      </c>
      <c r="AK156">
        <v>1.0016354901359501</v>
      </c>
      <c r="AL156" s="62">
        <v>74.745000000000005</v>
      </c>
      <c r="AM156">
        <v>8.9176000000000002</v>
      </c>
      <c r="AN156">
        <v>9.0561761184995895</v>
      </c>
      <c r="AO156">
        <v>1</v>
      </c>
      <c r="AP156">
        <v>5987.9436495519294</v>
      </c>
      <c r="AQ156">
        <v>1.016194415745886</v>
      </c>
      <c r="AR156">
        <v>6084.9148999999998</v>
      </c>
      <c r="AS156" s="60">
        <v>1168429.1378301531</v>
      </c>
      <c r="AT156" t="s">
        <v>343</v>
      </c>
      <c r="AU156" t="s">
        <v>435</v>
      </c>
      <c r="AV156" t="s">
        <v>425</v>
      </c>
      <c r="AW156" t="s">
        <v>27</v>
      </c>
      <c r="AX156">
        <v>111.133</v>
      </c>
      <c r="AY156">
        <v>1.027287859172453</v>
      </c>
      <c r="AZ156">
        <v>114.1655816534122</v>
      </c>
      <c r="BA156">
        <v>596.84</v>
      </c>
      <c r="BB156">
        <v>1</v>
      </c>
      <c r="BC156">
        <v>68.138585754022571</v>
      </c>
      <c r="BD156">
        <v>0.95599999999999996</v>
      </c>
      <c r="BE156" s="62">
        <v>65.14</v>
      </c>
      <c r="BF156">
        <v>8.9176000000000002</v>
      </c>
      <c r="BG156">
        <v>1</v>
      </c>
      <c r="BH156">
        <v>5467.6167503808201</v>
      </c>
      <c r="BI156">
        <v>1.0027686628383921</v>
      </c>
      <c r="BJ156" s="62">
        <v>5482.7547000000004</v>
      </c>
      <c r="BK156" s="60">
        <v>1052801.962284669</v>
      </c>
    </row>
    <row r="157" spans="1:63" x14ac:dyDescent="0.25">
      <c r="A157">
        <v>415</v>
      </c>
      <c r="B157" t="s">
        <v>117</v>
      </c>
      <c r="C157">
        <v>2018</v>
      </c>
      <c r="D157">
        <v>2</v>
      </c>
      <c r="E157" t="s">
        <v>100</v>
      </c>
      <c r="F157" t="s">
        <v>426</v>
      </c>
      <c r="G157" t="s">
        <v>427</v>
      </c>
      <c r="H157" t="s">
        <v>84</v>
      </c>
      <c r="I157" t="s">
        <v>430</v>
      </c>
      <c r="J157" t="s">
        <v>59</v>
      </c>
      <c r="K157">
        <v>-825.06151541999998</v>
      </c>
      <c r="L157" t="s">
        <v>59</v>
      </c>
      <c r="M157" t="s">
        <v>383</v>
      </c>
      <c r="N157">
        <v>1.00945510564455</v>
      </c>
      <c r="O157">
        <v>832.86255921154861</v>
      </c>
      <c r="P157" t="s">
        <v>440</v>
      </c>
      <c r="Q157">
        <v>2</v>
      </c>
      <c r="R157">
        <v>30.199670000000001</v>
      </c>
      <c r="S157">
        <v>0.111</v>
      </c>
      <c r="T157">
        <v>3.3521633999999998</v>
      </c>
      <c r="U157">
        <v>0.98099999999999998</v>
      </c>
      <c r="V157">
        <v>3288.4720000000002</v>
      </c>
      <c r="W157">
        <v>2</v>
      </c>
      <c r="X157">
        <v>4.4719497000000003E-5</v>
      </c>
      <c r="Y157">
        <v>0.29411799999999999</v>
      </c>
      <c r="Z157" s="60">
        <v>244.95987</v>
      </c>
      <c r="AA157" t="s">
        <v>342</v>
      </c>
      <c r="AB157" t="s">
        <v>434</v>
      </c>
      <c r="AC157" t="s">
        <v>425</v>
      </c>
      <c r="AD157" t="s">
        <v>27</v>
      </c>
      <c r="AE157">
        <v>111.133</v>
      </c>
      <c r="AF157">
        <v>1.0155396203574489</v>
      </c>
      <c r="AG157">
        <v>112.8599646291844</v>
      </c>
      <c r="AH157">
        <v>661.2</v>
      </c>
      <c r="AI157">
        <v>1</v>
      </c>
      <c r="AJ157">
        <v>74.623008612816719</v>
      </c>
      <c r="AK157">
        <v>1.0016354901359501</v>
      </c>
      <c r="AL157" s="62">
        <v>74.745000000000005</v>
      </c>
      <c r="AM157">
        <v>8.9176000000000002</v>
      </c>
      <c r="AN157">
        <v>9.0561761184995895</v>
      </c>
      <c r="AO157">
        <v>1</v>
      </c>
      <c r="AP157">
        <v>5987.9436495519294</v>
      </c>
      <c r="AQ157">
        <v>1.016194415745886</v>
      </c>
      <c r="AR157">
        <v>6084.9148999999998</v>
      </c>
      <c r="AS157" s="60">
        <v>1490559.962865063</v>
      </c>
      <c r="AT157" t="s">
        <v>343</v>
      </c>
      <c r="AU157" t="s">
        <v>435</v>
      </c>
      <c r="AV157" t="s">
        <v>425</v>
      </c>
      <c r="AW157" t="s">
        <v>27</v>
      </c>
      <c r="AX157">
        <v>111.133</v>
      </c>
      <c r="AY157">
        <v>1.027287859172453</v>
      </c>
      <c r="AZ157">
        <v>114.1655816534122</v>
      </c>
      <c r="BA157">
        <v>596.84</v>
      </c>
      <c r="BB157">
        <v>1</v>
      </c>
      <c r="BC157">
        <v>68.138585754022571</v>
      </c>
      <c r="BD157">
        <v>0.95599999999999996</v>
      </c>
      <c r="BE157" s="62">
        <v>65.14</v>
      </c>
      <c r="BF157">
        <v>8.9176000000000002</v>
      </c>
      <c r="BG157">
        <v>1</v>
      </c>
      <c r="BH157">
        <v>5467.6167503808201</v>
      </c>
      <c r="BI157">
        <v>1.0027686628383921</v>
      </c>
      <c r="BJ157" s="62">
        <v>5482.7547000000004</v>
      </c>
      <c r="BK157" s="60">
        <v>1343054.878553889</v>
      </c>
    </row>
    <row r="158" spans="1:63" x14ac:dyDescent="0.25">
      <c r="A158">
        <v>433</v>
      </c>
      <c r="B158" t="s">
        <v>118</v>
      </c>
      <c r="C158">
        <v>2018</v>
      </c>
      <c r="D158">
        <v>3</v>
      </c>
      <c r="E158" t="s">
        <v>100</v>
      </c>
      <c r="F158" t="s">
        <v>426</v>
      </c>
      <c r="G158" t="s">
        <v>427</v>
      </c>
      <c r="H158" t="s">
        <v>84</v>
      </c>
      <c r="I158" t="s">
        <v>428</v>
      </c>
      <c r="J158" t="s">
        <v>381</v>
      </c>
      <c r="K158">
        <v>-2357.61556062</v>
      </c>
      <c r="L158" t="s">
        <v>381</v>
      </c>
      <c r="M158" t="s">
        <v>382</v>
      </c>
      <c r="N158">
        <v>1.44619024869E-2</v>
      </c>
      <c r="O158">
        <v>34.095606339284522</v>
      </c>
      <c r="P158" t="s">
        <v>440</v>
      </c>
      <c r="Q158">
        <v>2</v>
      </c>
      <c r="R158">
        <v>30.199670000000001</v>
      </c>
      <c r="S158">
        <v>0.11899999999999999</v>
      </c>
      <c r="T158">
        <v>3.5937606999999998</v>
      </c>
      <c r="U158">
        <v>1.9E-2</v>
      </c>
      <c r="V158">
        <v>68.281000000000006</v>
      </c>
      <c r="W158">
        <v>2</v>
      </c>
      <c r="X158">
        <v>2.153719581E-3</v>
      </c>
      <c r="Y158">
        <v>0.29411599999999999</v>
      </c>
      <c r="Z158" s="60">
        <v>10.028063</v>
      </c>
      <c r="AA158" t="s">
        <v>343</v>
      </c>
      <c r="AB158" t="s">
        <v>435</v>
      </c>
      <c r="AC158" t="s">
        <v>425</v>
      </c>
      <c r="AD158" t="s">
        <v>81</v>
      </c>
      <c r="AE158">
        <v>111.133</v>
      </c>
      <c r="AF158">
        <v>1.027287859172453</v>
      </c>
      <c r="AG158">
        <v>114.1655816534122</v>
      </c>
      <c r="AH158">
        <v>625.54</v>
      </c>
      <c r="AI158">
        <v>1</v>
      </c>
      <c r="AJ158">
        <v>71.4151379474755</v>
      </c>
      <c r="AK158">
        <v>0.92730000000000001</v>
      </c>
      <c r="AL158" s="62">
        <v>66.222999999999999</v>
      </c>
      <c r="AM158">
        <v>8.9176000000000002</v>
      </c>
      <c r="AN158">
        <v>9.1609422129562699</v>
      </c>
      <c r="AO158">
        <v>1</v>
      </c>
      <c r="AP158">
        <v>5730.5357918926647</v>
      </c>
      <c r="AQ158">
        <v>1.094557195571956</v>
      </c>
      <c r="AR158">
        <v>6272.3991999999998</v>
      </c>
      <c r="AS158" s="60">
        <v>62900.014338749592</v>
      </c>
      <c r="AT158" t="s">
        <v>343</v>
      </c>
      <c r="AU158" t="s">
        <v>435</v>
      </c>
      <c r="AV158" t="s">
        <v>425</v>
      </c>
      <c r="AW158" t="s">
        <v>81</v>
      </c>
      <c r="AX158">
        <v>111.133</v>
      </c>
      <c r="AY158">
        <v>1.027287859172453</v>
      </c>
      <c r="AZ158">
        <v>114.1655816534122</v>
      </c>
      <c r="BA158">
        <v>603.45000000000005</v>
      </c>
      <c r="BB158">
        <v>1</v>
      </c>
      <c r="BC158">
        <v>68.893220248751618</v>
      </c>
      <c r="BD158">
        <v>0.92730000000000001</v>
      </c>
      <c r="BE158" s="62">
        <v>63.884999999999998</v>
      </c>
      <c r="BF158">
        <v>8.9176000000000002</v>
      </c>
      <c r="BG158">
        <v>1</v>
      </c>
      <c r="BH158">
        <v>5528.1705784084616</v>
      </c>
      <c r="BI158">
        <v>1.094557195571956</v>
      </c>
      <c r="BJ158" s="62">
        <v>6050.8989000000001</v>
      </c>
      <c r="BK158" s="60">
        <v>60678.795375830698</v>
      </c>
    </row>
    <row r="159" spans="1:63" x14ac:dyDescent="0.25">
      <c r="A159">
        <v>433</v>
      </c>
      <c r="B159" t="s">
        <v>118</v>
      </c>
      <c r="C159">
        <v>2018</v>
      </c>
      <c r="D159">
        <v>3</v>
      </c>
      <c r="E159" t="s">
        <v>100</v>
      </c>
      <c r="F159" t="s">
        <v>426</v>
      </c>
      <c r="G159" t="s">
        <v>427</v>
      </c>
      <c r="H159" t="s">
        <v>84</v>
      </c>
      <c r="I159" t="s">
        <v>429</v>
      </c>
      <c r="J159" t="s">
        <v>87</v>
      </c>
      <c r="K159">
        <v>-524.42159632000005</v>
      </c>
      <c r="L159" t="s">
        <v>87</v>
      </c>
      <c r="M159" t="s">
        <v>382</v>
      </c>
      <c r="N159">
        <v>2.5380675754250001E-2</v>
      </c>
      <c r="O159">
        <v>13.3101744947241</v>
      </c>
      <c r="P159" t="s">
        <v>440</v>
      </c>
      <c r="Q159">
        <v>2</v>
      </c>
      <c r="R159">
        <v>30.199670000000001</v>
      </c>
      <c r="S159">
        <v>0.11899999999999999</v>
      </c>
      <c r="T159">
        <v>3.5937606999999998</v>
      </c>
      <c r="U159">
        <v>1.9E-2</v>
      </c>
      <c r="V159">
        <v>68.281000000000006</v>
      </c>
      <c r="W159">
        <v>2</v>
      </c>
      <c r="X159">
        <v>2.153719581E-3</v>
      </c>
      <c r="Y159">
        <v>0.29411599999999999</v>
      </c>
      <c r="Z159" s="60">
        <v>3.9147349999999999</v>
      </c>
      <c r="AA159" t="s">
        <v>343</v>
      </c>
      <c r="AB159" t="s">
        <v>435</v>
      </c>
      <c r="AC159" t="s">
        <v>425</v>
      </c>
      <c r="AD159" t="s">
        <v>81</v>
      </c>
      <c r="AE159">
        <v>111.133</v>
      </c>
      <c r="AF159">
        <v>1.027287859172453</v>
      </c>
      <c r="AG159">
        <v>114.1655816534122</v>
      </c>
      <c r="AH159">
        <v>625.54</v>
      </c>
      <c r="AI159">
        <v>1</v>
      </c>
      <c r="AJ159">
        <v>71.4151379474755</v>
      </c>
      <c r="AK159">
        <v>0.92730000000000001</v>
      </c>
      <c r="AL159" s="62">
        <v>66.222999999999999</v>
      </c>
      <c r="AM159">
        <v>8.9176000000000002</v>
      </c>
      <c r="AN159">
        <v>9.1609422129562699</v>
      </c>
      <c r="AO159">
        <v>1</v>
      </c>
      <c r="AP159">
        <v>5730.5357918926647</v>
      </c>
      <c r="AQ159">
        <v>1.094557195571956</v>
      </c>
      <c r="AR159">
        <v>6272.3991999999998</v>
      </c>
      <c r="AS159" s="60">
        <v>24554.780682212</v>
      </c>
      <c r="AT159" t="s">
        <v>343</v>
      </c>
      <c r="AU159" t="s">
        <v>435</v>
      </c>
      <c r="AV159" t="s">
        <v>425</v>
      </c>
      <c r="AW159" t="s">
        <v>81</v>
      </c>
      <c r="AX159">
        <v>111.133</v>
      </c>
      <c r="AY159">
        <v>1.027287859172453</v>
      </c>
      <c r="AZ159">
        <v>114.1655816534122</v>
      </c>
      <c r="BA159">
        <v>603.45000000000005</v>
      </c>
      <c r="BB159">
        <v>1</v>
      </c>
      <c r="BC159">
        <v>68.893220248751618</v>
      </c>
      <c r="BD159">
        <v>0.92730000000000001</v>
      </c>
      <c r="BE159" s="62">
        <v>63.884999999999998</v>
      </c>
      <c r="BF159">
        <v>8.9176000000000002</v>
      </c>
      <c r="BG159">
        <v>1</v>
      </c>
      <c r="BH159">
        <v>5528.1705784084616</v>
      </c>
      <c r="BI159">
        <v>1.094557195571956</v>
      </c>
      <c r="BJ159" s="62">
        <v>6050.8989000000001</v>
      </c>
      <c r="BK159" s="60">
        <v>23687.6657052915</v>
      </c>
    </row>
    <row r="160" spans="1:63" x14ac:dyDescent="0.25">
      <c r="A160">
        <v>433</v>
      </c>
      <c r="B160" t="s">
        <v>118</v>
      </c>
      <c r="C160">
        <v>2018</v>
      </c>
      <c r="D160">
        <v>3</v>
      </c>
      <c r="E160" t="s">
        <v>100</v>
      </c>
      <c r="F160" t="s">
        <v>426</v>
      </c>
      <c r="G160" t="s">
        <v>427</v>
      </c>
      <c r="H160" t="s">
        <v>84</v>
      </c>
      <c r="I160" t="s">
        <v>430</v>
      </c>
      <c r="J160" t="s">
        <v>59</v>
      </c>
      <c r="K160">
        <v>-854.69399437000004</v>
      </c>
      <c r="L160" t="s">
        <v>59</v>
      </c>
      <c r="M160" t="s">
        <v>382</v>
      </c>
      <c r="N160">
        <v>2.568757504672E-2</v>
      </c>
      <c r="O160">
        <v>21.955016122360259</v>
      </c>
      <c r="P160" t="s">
        <v>440</v>
      </c>
      <c r="Q160">
        <v>2</v>
      </c>
      <c r="R160">
        <v>30.199670000000001</v>
      </c>
      <c r="S160">
        <v>0.11899999999999999</v>
      </c>
      <c r="T160">
        <v>3.5937606999999998</v>
      </c>
      <c r="U160">
        <v>1.9E-2</v>
      </c>
      <c r="V160">
        <v>68.281000000000006</v>
      </c>
      <c r="W160">
        <v>2</v>
      </c>
      <c r="X160">
        <v>2.153719581E-3</v>
      </c>
      <c r="Y160">
        <v>0.29411599999999999</v>
      </c>
      <c r="Z160" s="60">
        <v>6.4573219999999996</v>
      </c>
      <c r="AA160" t="s">
        <v>343</v>
      </c>
      <c r="AB160" t="s">
        <v>435</v>
      </c>
      <c r="AC160" t="s">
        <v>425</v>
      </c>
      <c r="AD160" t="s">
        <v>81</v>
      </c>
      <c r="AE160">
        <v>111.133</v>
      </c>
      <c r="AF160">
        <v>1.027287859172453</v>
      </c>
      <c r="AG160">
        <v>114.1655816534122</v>
      </c>
      <c r="AH160">
        <v>625.54</v>
      </c>
      <c r="AI160">
        <v>1</v>
      </c>
      <c r="AJ160">
        <v>71.4151379474755</v>
      </c>
      <c r="AK160">
        <v>0.92730000000000001</v>
      </c>
      <c r="AL160" s="62">
        <v>66.222999999999999</v>
      </c>
      <c r="AM160">
        <v>8.9176000000000002</v>
      </c>
      <c r="AN160">
        <v>9.1609422129562699</v>
      </c>
      <c r="AO160">
        <v>1</v>
      </c>
      <c r="AP160">
        <v>5730.5357918926647</v>
      </c>
      <c r="AQ160">
        <v>1.094557195571956</v>
      </c>
      <c r="AR160">
        <v>6272.3991999999998</v>
      </c>
      <c r="AS160" s="60">
        <v>40502.901346942403</v>
      </c>
      <c r="AT160" t="s">
        <v>343</v>
      </c>
      <c r="AU160" t="s">
        <v>435</v>
      </c>
      <c r="AV160" t="s">
        <v>425</v>
      </c>
      <c r="AW160" t="s">
        <v>81</v>
      </c>
      <c r="AX160">
        <v>111.133</v>
      </c>
      <c r="AY160">
        <v>1.027287859172453</v>
      </c>
      <c r="AZ160">
        <v>114.1655816534122</v>
      </c>
      <c r="BA160">
        <v>603.45000000000005</v>
      </c>
      <c r="BB160">
        <v>1</v>
      </c>
      <c r="BC160">
        <v>68.893220248751618</v>
      </c>
      <c r="BD160">
        <v>0.92730000000000001</v>
      </c>
      <c r="BE160" s="62">
        <v>63.884999999999998</v>
      </c>
      <c r="BF160">
        <v>8.9176000000000002</v>
      </c>
      <c r="BG160">
        <v>1</v>
      </c>
      <c r="BH160">
        <v>5528.1705784084616</v>
      </c>
      <c r="BI160">
        <v>1.094557195571956</v>
      </c>
      <c r="BJ160" s="62">
        <v>6050.8989000000001</v>
      </c>
      <c r="BK160" s="60">
        <v>39072.602586745801</v>
      </c>
    </row>
    <row r="161" spans="1:63" x14ac:dyDescent="0.25">
      <c r="A161">
        <v>435</v>
      </c>
      <c r="B161" t="s">
        <v>118</v>
      </c>
      <c r="C161">
        <v>2018</v>
      </c>
      <c r="D161">
        <v>3</v>
      </c>
      <c r="E161" t="s">
        <v>100</v>
      </c>
      <c r="F161" t="s">
        <v>426</v>
      </c>
      <c r="G161" t="s">
        <v>427</v>
      </c>
      <c r="H161" t="s">
        <v>84</v>
      </c>
      <c r="I161" t="s">
        <v>428</v>
      </c>
      <c r="J161" t="s">
        <v>381</v>
      </c>
      <c r="K161">
        <v>-2357.61556062</v>
      </c>
      <c r="L161" t="s">
        <v>381</v>
      </c>
      <c r="M161" t="s">
        <v>383</v>
      </c>
      <c r="N161">
        <v>0.99685994974422998</v>
      </c>
      <c r="O161">
        <v>2350.2125292758678</v>
      </c>
      <c r="P161" t="s">
        <v>440</v>
      </c>
      <c r="Q161">
        <v>2</v>
      </c>
      <c r="R161">
        <v>30.199670000000001</v>
      </c>
      <c r="S161">
        <v>0.11899999999999999</v>
      </c>
      <c r="T161">
        <v>3.5937606999999998</v>
      </c>
      <c r="U161">
        <v>0.98099999999999998</v>
      </c>
      <c r="V161">
        <v>3525.4789999999998</v>
      </c>
      <c r="W161">
        <v>2</v>
      </c>
      <c r="X161">
        <v>4.1713143999999999E-5</v>
      </c>
      <c r="Y161">
        <v>0.29411799999999999</v>
      </c>
      <c r="Z161" s="60">
        <v>691.23980900000004</v>
      </c>
      <c r="AA161" t="s">
        <v>343</v>
      </c>
      <c r="AB161" t="s">
        <v>435</v>
      </c>
      <c r="AC161" t="s">
        <v>425</v>
      </c>
      <c r="AD161" t="s">
        <v>27</v>
      </c>
      <c r="AE161">
        <v>111.133</v>
      </c>
      <c r="AF161">
        <v>1.027287859172453</v>
      </c>
      <c r="AG161">
        <v>114.1655816534122</v>
      </c>
      <c r="AH161">
        <v>625.54</v>
      </c>
      <c r="AI161">
        <v>1</v>
      </c>
      <c r="AJ161">
        <v>71.4151379474755</v>
      </c>
      <c r="AK161">
        <v>0.95599999999999996</v>
      </c>
      <c r="AL161" s="62">
        <v>68.272999999999996</v>
      </c>
      <c r="AM161">
        <v>8.9176000000000002</v>
      </c>
      <c r="AN161">
        <v>9.1609422129562699</v>
      </c>
      <c r="AO161">
        <v>1</v>
      </c>
      <c r="AP161">
        <v>5730.5357918926647</v>
      </c>
      <c r="AQ161">
        <v>1.0027686628383921</v>
      </c>
      <c r="AR161">
        <v>5746.4017000000003</v>
      </c>
      <c r="AS161" s="60">
        <v>3972141.6135452762</v>
      </c>
      <c r="AT161" t="s">
        <v>343</v>
      </c>
      <c r="AU161" t="s">
        <v>435</v>
      </c>
      <c r="AV161" t="s">
        <v>425</v>
      </c>
      <c r="AW161" t="s">
        <v>27</v>
      </c>
      <c r="AX161">
        <v>111.133</v>
      </c>
      <c r="AY161">
        <v>1.027287859172453</v>
      </c>
      <c r="AZ161">
        <v>114.1655816534122</v>
      </c>
      <c r="BA161">
        <v>603.45000000000005</v>
      </c>
      <c r="BB161">
        <v>1</v>
      </c>
      <c r="BC161">
        <v>68.893220248751618</v>
      </c>
      <c r="BD161">
        <v>0.95599999999999996</v>
      </c>
      <c r="BE161" s="62">
        <v>65.861999999999995</v>
      </c>
      <c r="BF161">
        <v>8.9176000000000002</v>
      </c>
      <c r="BG161">
        <v>1</v>
      </c>
      <c r="BH161">
        <v>5528.1705784084616</v>
      </c>
      <c r="BI161">
        <v>1.0027686628383921</v>
      </c>
      <c r="BJ161" s="62">
        <v>5543.4762000000001</v>
      </c>
      <c r="BK161" s="60">
        <v>3831871.4296840462</v>
      </c>
    </row>
    <row r="162" spans="1:63" x14ac:dyDescent="0.25">
      <c r="A162">
        <v>435</v>
      </c>
      <c r="B162" t="s">
        <v>118</v>
      </c>
      <c r="C162">
        <v>2018</v>
      </c>
      <c r="D162">
        <v>3</v>
      </c>
      <c r="E162" t="s">
        <v>100</v>
      </c>
      <c r="F162" t="s">
        <v>426</v>
      </c>
      <c r="G162" t="s">
        <v>427</v>
      </c>
      <c r="H162" t="s">
        <v>84</v>
      </c>
      <c r="I162" t="s">
        <v>429</v>
      </c>
      <c r="J162" t="s">
        <v>87</v>
      </c>
      <c r="K162">
        <v>-524.42159632000005</v>
      </c>
      <c r="L162" t="s">
        <v>87</v>
      </c>
      <c r="M162" t="s">
        <v>383</v>
      </c>
      <c r="N162">
        <v>0.95836644653295</v>
      </c>
      <c r="O162">
        <v>502.58806175033561</v>
      </c>
      <c r="P162" t="s">
        <v>440</v>
      </c>
      <c r="Q162">
        <v>2</v>
      </c>
      <c r="R162">
        <v>30.199670000000001</v>
      </c>
      <c r="S162">
        <v>0.11899999999999999</v>
      </c>
      <c r="T162">
        <v>3.5937606999999998</v>
      </c>
      <c r="U162">
        <v>0.98099999999999998</v>
      </c>
      <c r="V162">
        <v>3525.4789999999998</v>
      </c>
      <c r="W162">
        <v>2</v>
      </c>
      <c r="X162">
        <v>4.1713143999999999E-5</v>
      </c>
      <c r="Y162">
        <v>0.29411799999999999</v>
      </c>
      <c r="Z162" s="60">
        <v>147.82019600000001</v>
      </c>
      <c r="AA162" t="s">
        <v>343</v>
      </c>
      <c r="AB162" t="s">
        <v>435</v>
      </c>
      <c r="AC162" t="s">
        <v>425</v>
      </c>
      <c r="AD162" t="s">
        <v>27</v>
      </c>
      <c r="AE162">
        <v>111.133</v>
      </c>
      <c r="AF162">
        <v>1.027287859172453</v>
      </c>
      <c r="AG162">
        <v>114.1655816534122</v>
      </c>
      <c r="AH162">
        <v>625.54</v>
      </c>
      <c r="AI162">
        <v>1</v>
      </c>
      <c r="AJ162">
        <v>71.4151379474755</v>
      </c>
      <c r="AK162">
        <v>0.95599999999999996</v>
      </c>
      <c r="AL162" s="62">
        <v>68.272999999999996</v>
      </c>
      <c r="AM162">
        <v>8.9176000000000002</v>
      </c>
      <c r="AN162">
        <v>9.1609422129562699</v>
      </c>
      <c r="AO162">
        <v>1</v>
      </c>
      <c r="AP162">
        <v>5730.5357918926647</v>
      </c>
      <c r="AQ162">
        <v>1.0027686628383921</v>
      </c>
      <c r="AR162">
        <v>5746.4017000000003</v>
      </c>
      <c r="AS162" s="60">
        <v>849434.22558873333</v>
      </c>
      <c r="AT162" t="s">
        <v>343</v>
      </c>
      <c r="AU162" t="s">
        <v>435</v>
      </c>
      <c r="AV162" t="s">
        <v>425</v>
      </c>
      <c r="AW162" t="s">
        <v>27</v>
      </c>
      <c r="AX162">
        <v>111.133</v>
      </c>
      <c r="AY162">
        <v>1.027287859172453</v>
      </c>
      <c r="AZ162">
        <v>114.1655816534122</v>
      </c>
      <c r="BA162">
        <v>603.45000000000005</v>
      </c>
      <c r="BB162">
        <v>1</v>
      </c>
      <c r="BC162">
        <v>68.893220248751618</v>
      </c>
      <c r="BD162">
        <v>0.95599999999999996</v>
      </c>
      <c r="BE162" s="62">
        <v>65.861999999999995</v>
      </c>
      <c r="BF162">
        <v>8.9176000000000002</v>
      </c>
      <c r="BG162">
        <v>1</v>
      </c>
      <c r="BH162">
        <v>5528.1705784084616</v>
      </c>
      <c r="BI162">
        <v>1.0027686628383921</v>
      </c>
      <c r="BJ162" s="62">
        <v>5543.4762000000001</v>
      </c>
      <c r="BK162" s="60">
        <v>819437.73840533523</v>
      </c>
    </row>
    <row r="163" spans="1:63" x14ac:dyDescent="0.25">
      <c r="A163">
        <v>435</v>
      </c>
      <c r="B163" t="s">
        <v>118</v>
      </c>
      <c r="C163">
        <v>2018</v>
      </c>
      <c r="D163">
        <v>3</v>
      </c>
      <c r="E163" t="s">
        <v>100</v>
      </c>
      <c r="F163" t="s">
        <v>426</v>
      </c>
      <c r="G163" t="s">
        <v>427</v>
      </c>
      <c r="H163" t="s">
        <v>84</v>
      </c>
      <c r="I163" t="s">
        <v>430</v>
      </c>
      <c r="J163" t="s">
        <v>59</v>
      </c>
      <c r="K163">
        <v>-854.69399437000004</v>
      </c>
      <c r="L163" t="s">
        <v>59</v>
      </c>
      <c r="M163" t="s">
        <v>383</v>
      </c>
      <c r="N163">
        <v>0.98563427718439001</v>
      </c>
      <c r="O163">
        <v>842.41569735471398</v>
      </c>
      <c r="P163" t="s">
        <v>440</v>
      </c>
      <c r="Q163">
        <v>2</v>
      </c>
      <c r="R163">
        <v>30.199670000000001</v>
      </c>
      <c r="S163">
        <v>0.11899999999999999</v>
      </c>
      <c r="T163">
        <v>3.5937606999999998</v>
      </c>
      <c r="U163">
        <v>0.98099999999999998</v>
      </c>
      <c r="V163">
        <v>3525.4789999999998</v>
      </c>
      <c r="W163">
        <v>2</v>
      </c>
      <c r="X163">
        <v>4.1713143999999999E-5</v>
      </c>
      <c r="Y163">
        <v>0.29411799999999999</v>
      </c>
      <c r="Z163" s="60">
        <v>247.76962</v>
      </c>
      <c r="AA163" t="s">
        <v>343</v>
      </c>
      <c r="AB163" t="s">
        <v>435</v>
      </c>
      <c r="AC163" t="s">
        <v>425</v>
      </c>
      <c r="AD163" t="s">
        <v>27</v>
      </c>
      <c r="AE163">
        <v>111.133</v>
      </c>
      <c r="AF163">
        <v>1.027287859172453</v>
      </c>
      <c r="AG163">
        <v>114.1655816534122</v>
      </c>
      <c r="AH163">
        <v>625.54</v>
      </c>
      <c r="AI163">
        <v>1</v>
      </c>
      <c r="AJ163">
        <v>71.4151379474755</v>
      </c>
      <c r="AK163">
        <v>0.95599999999999996</v>
      </c>
      <c r="AL163" s="62">
        <v>68.272999999999996</v>
      </c>
      <c r="AM163">
        <v>8.9176000000000002</v>
      </c>
      <c r="AN163">
        <v>9.1609422129562699</v>
      </c>
      <c r="AO163">
        <v>1</v>
      </c>
      <c r="AP163">
        <v>5730.5357918926647</v>
      </c>
      <c r="AQ163">
        <v>1.0027686628383921</v>
      </c>
      <c r="AR163">
        <v>5746.4017000000003</v>
      </c>
      <c r="AS163" s="60">
        <v>1423783.765576354</v>
      </c>
      <c r="AT163" t="s">
        <v>343</v>
      </c>
      <c r="AU163" t="s">
        <v>435</v>
      </c>
      <c r="AV163" t="s">
        <v>425</v>
      </c>
      <c r="AW163" t="s">
        <v>27</v>
      </c>
      <c r="AX163">
        <v>111.133</v>
      </c>
      <c r="AY163">
        <v>1.027287859172453</v>
      </c>
      <c r="AZ163">
        <v>114.1655816534122</v>
      </c>
      <c r="BA163">
        <v>603.45000000000005</v>
      </c>
      <c r="BB163">
        <v>1</v>
      </c>
      <c r="BC163">
        <v>68.893220248751618</v>
      </c>
      <c r="BD163">
        <v>0.95599999999999996</v>
      </c>
      <c r="BE163" s="62">
        <v>65.861999999999995</v>
      </c>
      <c r="BF163">
        <v>8.9176000000000002</v>
      </c>
      <c r="BG163">
        <v>1</v>
      </c>
      <c r="BH163">
        <v>5528.1705784084616</v>
      </c>
      <c r="BI163">
        <v>1.0027686628383921</v>
      </c>
      <c r="BJ163" s="62">
        <v>5543.4762000000001</v>
      </c>
      <c r="BK163" s="60">
        <v>1373504.9915530439</v>
      </c>
    </row>
    <row r="164" spans="1:63" x14ac:dyDescent="0.25">
      <c r="A164">
        <v>453</v>
      </c>
      <c r="B164" t="s">
        <v>112</v>
      </c>
      <c r="C164">
        <v>2018</v>
      </c>
      <c r="D164">
        <v>4</v>
      </c>
      <c r="E164" t="s">
        <v>100</v>
      </c>
      <c r="F164" t="s">
        <v>426</v>
      </c>
      <c r="G164" t="s">
        <v>427</v>
      </c>
      <c r="H164" t="s">
        <v>84</v>
      </c>
      <c r="I164" t="s">
        <v>428</v>
      </c>
      <c r="J164" t="s">
        <v>381</v>
      </c>
      <c r="K164">
        <v>-1081.6028042600001</v>
      </c>
      <c r="L164" t="s">
        <v>381</v>
      </c>
      <c r="M164" t="s">
        <v>382</v>
      </c>
      <c r="N164">
        <v>1.450118603202E-2</v>
      </c>
      <c r="O164">
        <v>15.684523477328771</v>
      </c>
      <c r="P164" t="s">
        <v>440</v>
      </c>
      <c r="Q164">
        <v>2</v>
      </c>
      <c r="R164">
        <v>30.199670000000001</v>
      </c>
      <c r="S164">
        <v>5.6000000000000001E-2</v>
      </c>
      <c r="T164">
        <v>1.6911814999999999</v>
      </c>
      <c r="U164">
        <v>1.9E-2</v>
      </c>
      <c r="V164">
        <v>32.131999999999998</v>
      </c>
      <c r="W164">
        <v>2</v>
      </c>
      <c r="X164">
        <v>4.5766590389999997E-3</v>
      </c>
      <c r="Y164">
        <v>0.29411399999999999</v>
      </c>
      <c r="Z164" s="60">
        <v>4.6130380000000004</v>
      </c>
      <c r="AA164" t="s">
        <v>343</v>
      </c>
      <c r="AB164" t="s">
        <v>435</v>
      </c>
      <c r="AC164" t="s">
        <v>425</v>
      </c>
      <c r="AD164" t="s">
        <v>81</v>
      </c>
      <c r="AE164">
        <v>111.133</v>
      </c>
      <c r="AF164">
        <v>1.027287859172453</v>
      </c>
      <c r="AG164">
        <v>114.1655816534122</v>
      </c>
      <c r="AH164">
        <v>625.54</v>
      </c>
      <c r="AI164">
        <v>1</v>
      </c>
      <c r="AJ164">
        <v>71.4151379474755</v>
      </c>
      <c r="AK164">
        <v>0.92730000000000001</v>
      </c>
      <c r="AL164" s="62">
        <v>66.222999999999999</v>
      </c>
      <c r="AM164">
        <v>8.9176000000000002</v>
      </c>
      <c r="AN164">
        <v>9.1609422129562699</v>
      </c>
      <c r="AO164">
        <v>1</v>
      </c>
      <c r="AP164">
        <v>5730.5357918926647</v>
      </c>
      <c r="AQ164">
        <v>1.094557195571956</v>
      </c>
      <c r="AR164">
        <v>6272.3991999999998</v>
      </c>
      <c r="AS164" s="60">
        <v>28934.815860769599</v>
      </c>
      <c r="AT164" t="s">
        <v>343</v>
      </c>
      <c r="AU164" t="s">
        <v>435</v>
      </c>
      <c r="AV164" t="s">
        <v>425</v>
      </c>
      <c r="AW164" t="s">
        <v>81</v>
      </c>
      <c r="AX164">
        <v>111.133</v>
      </c>
      <c r="AY164">
        <v>1.027287859172453</v>
      </c>
      <c r="AZ164">
        <v>114.1655816534122</v>
      </c>
      <c r="BA164">
        <v>600.54999999999995</v>
      </c>
      <c r="BB164">
        <v>1</v>
      </c>
      <c r="BC164">
        <v>68.562140061956711</v>
      </c>
      <c r="BD164">
        <v>0.92730000000000001</v>
      </c>
      <c r="BE164" s="62">
        <v>63.578000000000003</v>
      </c>
      <c r="BF164">
        <v>8.9176000000000002</v>
      </c>
      <c r="BG164">
        <v>1</v>
      </c>
      <c r="BH164">
        <v>5501.6038459908877</v>
      </c>
      <c r="BI164">
        <v>1.094557195571956</v>
      </c>
      <c r="BJ164" s="62">
        <v>6021.8200999999999</v>
      </c>
      <c r="BK164" s="60">
        <v>27778.884950463798</v>
      </c>
    </row>
    <row r="165" spans="1:63" x14ac:dyDescent="0.25">
      <c r="A165">
        <v>453</v>
      </c>
      <c r="B165" t="s">
        <v>112</v>
      </c>
      <c r="C165">
        <v>2018</v>
      </c>
      <c r="D165">
        <v>4</v>
      </c>
      <c r="E165" t="s">
        <v>100</v>
      </c>
      <c r="F165" t="s">
        <v>426</v>
      </c>
      <c r="G165" t="s">
        <v>427</v>
      </c>
      <c r="H165" t="s">
        <v>84</v>
      </c>
      <c r="I165" t="s">
        <v>429</v>
      </c>
      <c r="J165" t="s">
        <v>87</v>
      </c>
      <c r="K165">
        <v>-221.88139197000001</v>
      </c>
      <c r="L165" t="s">
        <v>87</v>
      </c>
      <c r="M165" t="s">
        <v>382</v>
      </c>
      <c r="N165">
        <v>2.544961847748E-2</v>
      </c>
      <c r="O165">
        <v>5.6467967728886954</v>
      </c>
      <c r="P165" t="s">
        <v>440</v>
      </c>
      <c r="Q165">
        <v>2</v>
      </c>
      <c r="R165">
        <v>30.199670000000001</v>
      </c>
      <c r="S165">
        <v>5.6000000000000001E-2</v>
      </c>
      <c r="T165">
        <v>1.6911814999999999</v>
      </c>
      <c r="U165">
        <v>1.9E-2</v>
      </c>
      <c r="V165">
        <v>32.131999999999998</v>
      </c>
      <c r="W165">
        <v>2</v>
      </c>
      <c r="X165">
        <v>4.5766590389999997E-3</v>
      </c>
      <c r="Y165">
        <v>0.29411399999999999</v>
      </c>
      <c r="Z165" s="60">
        <v>1.6608019999999999</v>
      </c>
      <c r="AA165" t="s">
        <v>343</v>
      </c>
      <c r="AB165" t="s">
        <v>435</v>
      </c>
      <c r="AC165" t="s">
        <v>425</v>
      </c>
      <c r="AD165" t="s">
        <v>81</v>
      </c>
      <c r="AE165">
        <v>111.133</v>
      </c>
      <c r="AF165">
        <v>1.027287859172453</v>
      </c>
      <c r="AG165">
        <v>114.1655816534122</v>
      </c>
      <c r="AH165">
        <v>625.54</v>
      </c>
      <c r="AI165">
        <v>1</v>
      </c>
      <c r="AJ165">
        <v>71.4151379474755</v>
      </c>
      <c r="AK165">
        <v>0.92730000000000001</v>
      </c>
      <c r="AL165" s="62">
        <v>66.222999999999999</v>
      </c>
      <c r="AM165">
        <v>8.9176000000000002</v>
      </c>
      <c r="AN165">
        <v>9.1609422129562699</v>
      </c>
      <c r="AO165">
        <v>1</v>
      </c>
      <c r="AP165">
        <v>5730.5357918926647</v>
      </c>
      <c r="AQ165">
        <v>1.094557195571956</v>
      </c>
      <c r="AR165">
        <v>6272.3991999999998</v>
      </c>
      <c r="AS165" s="60">
        <v>10417.2131361584</v>
      </c>
      <c r="AT165" t="s">
        <v>343</v>
      </c>
      <c r="AU165" t="s">
        <v>435</v>
      </c>
      <c r="AV165" t="s">
        <v>425</v>
      </c>
      <c r="AW165" t="s">
        <v>81</v>
      </c>
      <c r="AX165">
        <v>111.133</v>
      </c>
      <c r="AY165">
        <v>1.027287859172453</v>
      </c>
      <c r="AZ165">
        <v>114.1655816534122</v>
      </c>
      <c r="BA165">
        <v>600.54999999999995</v>
      </c>
      <c r="BB165">
        <v>1</v>
      </c>
      <c r="BC165">
        <v>68.562140061956711</v>
      </c>
      <c r="BD165">
        <v>0.92730000000000001</v>
      </c>
      <c r="BE165" s="62">
        <v>63.578000000000003</v>
      </c>
      <c r="BF165">
        <v>8.9176000000000002</v>
      </c>
      <c r="BG165">
        <v>1</v>
      </c>
      <c r="BH165">
        <v>5501.6038459908877</v>
      </c>
      <c r="BI165">
        <v>1.094557195571956</v>
      </c>
      <c r="BJ165" s="62">
        <v>6021.8200999999999</v>
      </c>
      <c r="BK165" s="60">
        <v>10001.050865720201</v>
      </c>
    </row>
    <row r="166" spans="1:63" x14ac:dyDescent="0.25">
      <c r="A166">
        <v>453</v>
      </c>
      <c r="B166" t="s">
        <v>112</v>
      </c>
      <c r="C166">
        <v>2018</v>
      </c>
      <c r="D166">
        <v>4</v>
      </c>
      <c r="E166" t="s">
        <v>100</v>
      </c>
      <c r="F166" t="s">
        <v>426</v>
      </c>
      <c r="G166" t="s">
        <v>427</v>
      </c>
      <c r="H166" t="s">
        <v>84</v>
      </c>
      <c r="I166" t="s">
        <v>430</v>
      </c>
      <c r="J166" t="s">
        <v>59</v>
      </c>
      <c r="K166">
        <v>-580.83814855000003</v>
      </c>
      <c r="L166" t="s">
        <v>59</v>
      </c>
      <c r="M166" t="s">
        <v>382</v>
      </c>
      <c r="N166">
        <v>2.5757351413620001E-2</v>
      </c>
      <c r="O166">
        <v>14.96085230663877</v>
      </c>
      <c r="P166" t="s">
        <v>440</v>
      </c>
      <c r="Q166">
        <v>2</v>
      </c>
      <c r="R166">
        <v>30.199670000000001</v>
      </c>
      <c r="S166">
        <v>5.6000000000000001E-2</v>
      </c>
      <c r="T166">
        <v>1.6911814999999999</v>
      </c>
      <c r="U166">
        <v>1.9E-2</v>
      </c>
      <c r="V166">
        <v>32.131999999999998</v>
      </c>
      <c r="W166">
        <v>2</v>
      </c>
      <c r="X166">
        <v>4.5766590389999997E-3</v>
      </c>
      <c r="Y166">
        <v>0.29411399999999999</v>
      </c>
      <c r="Z166" s="60">
        <v>4.4001960000000002</v>
      </c>
      <c r="AA166" t="s">
        <v>343</v>
      </c>
      <c r="AB166" t="s">
        <v>435</v>
      </c>
      <c r="AC166" t="s">
        <v>425</v>
      </c>
      <c r="AD166" t="s">
        <v>81</v>
      </c>
      <c r="AE166">
        <v>111.133</v>
      </c>
      <c r="AF166">
        <v>1.027287859172453</v>
      </c>
      <c r="AG166">
        <v>114.1655816534122</v>
      </c>
      <c r="AH166">
        <v>625.54</v>
      </c>
      <c r="AI166">
        <v>1</v>
      </c>
      <c r="AJ166">
        <v>71.4151379474755</v>
      </c>
      <c r="AK166">
        <v>0.92730000000000001</v>
      </c>
      <c r="AL166" s="62">
        <v>66.222999999999999</v>
      </c>
      <c r="AM166">
        <v>8.9176000000000002</v>
      </c>
      <c r="AN166">
        <v>9.1609422129562699</v>
      </c>
      <c r="AO166">
        <v>1</v>
      </c>
      <c r="AP166">
        <v>5730.5357918926647</v>
      </c>
      <c r="AQ166">
        <v>1.094557195571956</v>
      </c>
      <c r="AR166">
        <v>6272.3991999999998</v>
      </c>
      <c r="AS166" s="60">
        <v>27599.785870243199</v>
      </c>
      <c r="AT166" t="s">
        <v>343</v>
      </c>
      <c r="AU166" t="s">
        <v>435</v>
      </c>
      <c r="AV166" t="s">
        <v>425</v>
      </c>
      <c r="AW166" t="s">
        <v>81</v>
      </c>
      <c r="AX166">
        <v>111.133</v>
      </c>
      <c r="AY166">
        <v>1.027287859172453</v>
      </c>
      <c r="AZ166">
        <v>114.1655816534122</v>
      </c>
      <c r="BA166">
        <v>600.54999999999995</v>
      </c>
      <c r="BB166">
        <v>1</v>
      </c>
      <c r="BC166">
        <v>68.562140061956711</v>
      </c>
      <c r="BD166">
        <v>0.92730000000000001</v>
      </c>
      <c r="BE166" s="62">
        <v>63.578000000000003</v>
      </c>
      <c r="BF166">
        <v>8.9176000000000002</v>
      </c>
      <c r="BG166">
        <v>1</v>
      </c>
      <c r="BH166">
        <v>5501.6038459908877</v>
      </c>
      <c r="BI166">
        <v>1.094557195571956</v>
      </c>
      <c r="BJ166" s="62">
        <v>6021.8200999999999</v>
      </c>
      <c r="BK166" s="60">
        <v>26497.188716739602</v>
      </c>
    </row>
    <row r="167" spans="1:63" x14ac:dyDescent="0.25">
      <c r="A167">
        <v>455</v>
      </c>
      <c r="B167" t="s">
        <v>112</v>
      </c>
      <c r="C167">
        <v>2018</v>
      </c>
      <c r="D167">
        <v>4</v>
      </c>
      <c r="E167" t="s">
        <v>100</v>
      </c>
      <c r="F167" t="s">
        <v>426</v>
      </c>
      <c r="G167" t="s">
        <v>427</v>
      </c>
      <c r="H167" t="s">
        <v>84</v>
      </c>
      <c r="I167" t="s">
        <v>428</v>
      </c>
      <c r="J167" t="s">
        <v>381</v>
      </c>
      <c r="K167">
        <v>-1081.6028042600001</v>
      </c>
      <c r="L167" t="s">
        <v>381</v>
      </c>
      <c r="M167" t="s">
        <v>383</v>
      </c>
      <c r="N167">
        <v>0.99956776726171004</v>
      </c>
      <c r="O167">
        <v>1081.1353001181731</v>
      </c>
      <c r="P167" t="s">
        <v>440</v>
      </c>
      <c r="Q167">
        <v>2</v>
      </c>
      <c r="R167">
        <v>30.199670000000001</v>
      </c>
      <c r="S167">
        <v>5.6000000000000001E-2</v>
      </c>
      <c r="T167">
        <v>1.6911814999999999</v>
      </c>
      <c r="U167">
        <v>0.98099999999999998</v>
      </c>
      <c r="V167">
        <v>1659.049</v>
      </c>
      <c r="W167">
        <v>2</v>
      </c>
      <c r="X167">
        <v>8.8640428000000003E-5</v>
      </c>
      <c r="Y167">
        <v>0.29411799999999999</v>
      </c>
      <c r="Z167" s="60">
        <v>317.98135200000002</v>
      </c>
      <c r="AA167" t="s">
        <v>343</v>
      </c>
      <c r="AB167" t="s">
        <v>435</v>
      </c>
      <c r="AC167" t="s">
        <v>425</v>
      </c>
      <c r="AD167" t="s">
        <v>27</v>
      </c>
      <c r="AE167">
        <v>111.133</v>
      </c>
      <c r="AF167">
        <v>1.027287859172453</v>
      </c>
      <c r="AG167">
        <v>114.1655816534122</v>
      </c>
      <c r="AH167">
        <v>625.54</v>
      </c>
      <c r="AI167">
        <v>1</v>
      </c>
      <c r="AJ167">
        <v>71.4151379474755</v>
      </c>
      <c r="AK167">
        <v>0.95599999999999996</v>
      </c>
      <c r="AL167" s="62">
        <v>68.272999999999996</v>
      </c>
      <c r="AM167">
        <v>8.9176000000000002</v>
      </c>
      <c r="AN167">
        <v>9.1609422129562699</v>
      </c>
      <c r="AO167">
        <v>1</v>
      </c>
      <c r="AP167">
        <v>5730.5357918926647</v>
      </c>
      <c r="AQ167">
        <v>1.0027686628383921</v>
      </c>
      <c r="AR167">
        <v>5746.4017000000003</v>
      </c>
      <c r="AS167" s="60">
        <v>1827248.5817010989</v>
      </c>
      <c r="AT167" t="s">
        <v>343</v>
      </c>
      <c r="AU167" t="s">
        <v>435</v>
      </c>
      <c r="AV167" t="s">
        <v>425</v>
      </c>
      <c r="AW167" t="s">
        <v>27</v>
      </c>
      <c r="AX167">
        <v>111.133</v>
      </c>
      <c r="AY167">
        <v>1.027287859172453</v>
      </c>
      <c r="AZ167">
        <v>114.1655816534122</v>
      </c>
      <c r="BA167">
        <v>600.54999999999995</v>
      </c>
      <c r="BB167">
        <v>1</v>
      </c>
      <c r="BC167">
        <v>68.562140061956711</v>
      </c>
      <c r="BD167">
        <v>0.95599999999999996</v>
      </c>
      <c r="BE167" s="62">
        <v>65.545000000000002</v>
      </c>
      <c r="BF167">
        <v>8.9176000000000002</v>
      </c>
      <c r="BG167">
        <v>1</v>
      </c>
      <c r="BH167">
        <v>5501.6038459908877</v>
      </c>
      <c r="BI167">
        <v>1.0027686628383921</v>
      </c>
      <c r="BJ167" s="62">
        <v>5516.8359</v>
      </c>
      <c r="BK167" s="60">
        <v>1754250.938244137</v>
      </c>
    </row>
    <row r="168" spans="1:63" x14ac:dyDescent="0.25">
      <c r="A168">
        <v>455</v>
      </c>
      <c r="B168" t="s">
        <v>112</v>
      </c>
      <c r="C168">
        <v>2018</v>
      </c>
      <c r="D168">
        <v>4</v>
      </c>
      <c r="E168" t="s">
        <v>100</v>
      </c>
      <c r="F168" t="s">
        <v>426</v>
      </c>
      <c r="G168" t="s">
        <v>427</v>
      </c>
      <c r="H168" t="s">
        <v>84</v>
      </c>
      <c r="I168" t="s">
        <v>429</v>
      </c>
      <c r="J168" t="s">
        <v>87</v>
      </c>
      <c r="K168">
        <v>-221.88139197000001</v>
      </c>
      <c r="L168" t="s">
        <v>87</v>
      </c>
      <c r="M168" t="s">
        <v>383</v>
      </c>
      <c r="N168">
        <v>0.96096970233852996</v>
      </c>
      <c r="O168">
        <v>213.2212951958696</v>
      </c>
      <c r="P168" t="s">
        <v>440</v>
      </c>
      <c r="Q168">
        <v>2</v>
      </c>
      <c r="R168">
        <v>30.199670000000001</v>
      </c>
      <c r="S168">
        <v>5.6000000000000001E-2</v>
      </c>
      <c r="T168">
        <v>1.6911814999999999</v>
      </c>
      <c r="U168">
        <v>0.98099999999999998</v>
      </c>
      <c r="V168">
        <v>1659.049</v>
      </c>
      <c r="W168">
        <v>2</v>
      </c>
      <c r="X168">
        <v>8.8640428000000003E-5</v>
      </c>
      <c r="Y168">
        <v>0.29411799999999999</v>
      </c>
      <c r="Z168" s="60">
        <v>62.712221</v>
      </c>
      <c r="AA168" t="s">
        <v>343</v>
      </c>
      <c r="AB168" t="s">
        <v>435</v>
      </c>
      <c r="AC168" t="s">
        <v>425</v>
      </c>
      <c r="AD168" t="s">
        <v>27</v>
      </c>
      <c r="AE168">
        <v>111.133</v>
      </c>
      <c r="AF168">
        <v>1.027287859172453</v>
      </c>
      <c r="AG168">
        <v>114.1655816534122</v>
      </c>
      <c r="AH168">
        <v>625.54</v>
      </c>
      <c r="AI168">
        <v>1</v>
      </c>
      <c r="AJ168">
        <v>71.4151379474755</v>
      </c>
      <c r="AK168">
        <v>0.95599999999999996</v>
      </c>
      <c r="AL168" s="62">
        <v>68.272999999999996</v>
      </c>
      <c r="AM168">
        <v>8.9176000000000002</v>
      </c>
      <c r="AN168">
        <v>9.1609422129562699</v>
      </c>
      <c r="AO168">
        <v>1</v>
      </c>
      <c r="AP168">
        <v>5730.5357918926647</v>
      </c>
      <c r="AQ168">
        <v>1.0027686628383921</v>
      </c>
      <c r="AR168">
        <v>5746.4017000000003</v>
      </c>
      <c r="AS168" s="60">
        <v>360369.61336517573</v>
      </c>
      <c r="AT168" t="s">
        <v>343</v>
      </c>
      <c r="AU168" t="s">
        <v>435</v>
      </c>
      <c r="AV168" t="s">
        <v>425</v>
      </c>
      <c r="AW168" t="s">
        <v>27</v>
      </c>
      <c r="AX168">
        <v>111.133</v>
      </c>
      <c r="AY168">
        <v>1.027287859172453</v>
      </c>
      <c r="AZ168">
        <v>114.1655816534122</v>
      </c>
      <c r="BA168">
        <v>600.54999999999995</v>
      </c>
      <c r="BB168">
        <v>1</v>
      </c>
      <c r="BC168">
        <v>68.562140061956711</v>
      </c>
      <c r="BD168">
        <v>0.95599999999999996</v>
      </c>
      <c r="BE168" s="62">
        <v>65.545000000000002</v>
      </c>
      <c r="BF168">
        <v>8.9176000000000002</v>
      </c>
      <c r="BG168">
        <v>1</v>
      </c>
      <c r="BH168">
        <v>5501.6038459908877</v>
      </c>
      <c r="BI168">
        <v>1.0027686628383921</v>
      </c>
      <c r="BJ168" s="62">
        <v>5516.8359</v>
      </c>
      <c r="BK168" s="60">
        <v>345973.03218153393</v>
      </c>
    </row>
    <row r="169" spans="1:63" x14ac:dyDescent="0.25">
      <c r="A169">
        <v>455</v>
      </c>
      <c r="B169" t="s">
        <v>112</v>
      </c>
      <c r="C169">
        <v>2018</v>
      </c>
      <c r="D169">
        <v>4</v>
      </c>
      <c r="E169" t="s">
        <v>100</v>
      </c>
      <c r="F169" t="s">
        <v>426</v>
      </c>
      <c r="G169" t="s">
        <v>427</v>
      </c>
      <c r="H169" t="s">
        <v>84</v>
      </c>
      <c r="I169" t="s">
        <v>430</v>
      </c>
      <c r="J169" t="s">
        <v>59</v>
      </c>
      <c r="K169">
        <v>-580.83814855000003</v>
      </c>
      <c r="L169" t="s">
        <v>59</v>
      </c>
      <c r="M169" t="s">
        <v>383</v>
      </c>
      <c r="N169">
        <v>0.98831160188014</v>
      </c>
      <c r="O169">
        <v>574.0490810265452</v>
      </c>
      <c r="P169" t="s">
        <v>440</v>
      </c>
      <c r="Q169">
        <v>2</v>
      </c>
      <c r="R169">
        <v>30.199670000000001</v>
      </c>
      <c r="S169">
        <v>5.6000000000000001E-2</v>
      </c>
      <c r="T169">
        <v>1.6911814999999999</v>
      </c>
      <c r="U169">
        <v>0.98099999999999998</v>
      </c>
      <c r="V169">
        <v>1659.049</v>
      </c>
      <c r="W169">
        <v>2</v>
      </c>
      <c r="X169">
        <v>8.8640428000000003E-5</v>
      </c>
      <c r="Y169">
        <v>0.29411799999999999</v>
      </c>
      <c r="Z169" s="60">
        <v>168.838168</v>
      </c>
      <c r="AA169" t="s">
        <v>343</v>
      </c>
      <c r="AB169" t="s">
        <v>435</v>
      </c>
      <c r="AC169" t="s">
        <v>425</v>
      </c>
      <c r="AD169" t="s">
        <v>27</v>
      </c>
      <c r="AE169">
        <v>111.133</v>
      </c>
      <c r="AF169">
        <v>1.027287859172453</v>
      </c>
      <c r="AG169">
        <v>114.1655816534122</v>
      </c>
      <c r="AH169">
        <v>625.54</v>
      </c>
      <c r="AI169">
        <v>1</v>
      </c>
      <c r="AJ169">
        <v>71.4151379474755</v>
      </c>
      <c r="AK169">
        <v>0.95599999999999996</v>
      </c>
      <c r="AL169" s="62">
        <v>68.272999999999996</v>
      </c>
      <c r="AM169">
        <v>8.9176000000000002</v>
      </c>
      <c r="AN169">
        <v>9.1609422129562699</v>
      </c>
      <c r="AO169">
        <v>1</v>
      </c>
      <c r="AP169">
        <v>5730.5357918926647</v>
      </c>
      <c r="AQ169">
        <v>1.0027686628383921</v>
      </c>
      <c r="AR169">
        <v>5746.4017000000003</v>
      </c>
      <c r="AS169" s="60">
        <v>970211.93562008569</v>
      </c>
      <c r="AT169" t="s">
        <v>343</v>
      </c>
      <c r="AU169" t="s">
        <v>435</v>
      </c>
      <c r="AV169" t="s">
        <v>425</v>
      </c>
      <c r="AW169" t="s">
        <v>27</v>
      </c>
      <c r="AX169">
        <v>111.133</v>
      </c>
      <c r="AY169">
        <v>1.027287859172453</v>
      </c>
      <c r="AZ169">
        <v>114.1655816534122</v>
      </c>
      <c r="BA169">
        <v>600.54999999999995</v>
      </c>
      <c r="BB169">
        <v>1</v>
      </c>
      <c r="BC169">
        <v>68.562140061956711</v>
      </c>
      <c r="BD169">
        <v>0.95599999999999996</v>
      </c>
      <c r="BE169" s="62">
        <v>65.545000000000002</v>
      </c>
      <c r="BF169">
        <v>8.9176000000000002</v>
      </c>
      <c r="BG169">
        <v>1</v>
      </c>
      <c r="BH169">
        <v>5501.6038459908877</v>
      </c>
      <c r="BI169">
        <v>1.0027686628383921</v>
      </c>
      <c r="BJ169" s="62">
        <v>5516.8359</v>
      </c>
      <c r="BK169" s="60">
        <v>931452.46651263116</v>
      </c>
    </row>
    <row r="170" spans="1:63" x14ac:dyDescent="0.25">
      <c r="A170">
        <v>473</v>
      </c>
      <c r="B170" t="s">
        <v>120</v>
      </c>
      <c r="C170">
        <v>2018</v>
      </c>
      <c r="D170">
        <v>5</v>
      </c>
      <c r="E170" t="s">
        <v>100</v>
      </c>
      <c r="F170" t="s">
        <v>426</v>
      </c>
      <c r="G170" t="s">
        <v>427</v>
      </c>
      <c r="H170" t="s">
        <v>84</v>
      </c>
      <c r="I170" t="s">
        <v>428</v>
      </c>
      <c r="J170" t="s">
        <v>381</v>
      </c>
      <c r="K170">
        <v>-1215.3878616500001</v>
      </c>
      <c r="L170" t="s">
        <v>381</v>
      </c>
      <c r="M170" t="s">
        <v>382</v>
      </c>
      <c r="N170">
        <v>1.4503539007510001E-2</v>
      </c>
      <c r="O170">
        <v>17.627425260694942</v>
      </c>
      <c r="P170" t="s">
        <v>440</v>
      </c>
      <c r="Q170">
        <v>2</v>
      </c>
      <c r="R170">
        <v>30.199670000000001</v>
      </c>
      <c r="S170">
        <v>7.0999999999999994E-2</v>
      </c>
      <c r="T170">
        <v>2.1441766000000002</v>
      </c>
      <c r="U170">
        <v>1.9E-2</v>
      </c>
      <c r="V170">
        <v>40.738999999999997</v>
      </c>
      <c r="W170">
        <v>2</v>
      </c>
      <c r="X170">
        <v>3.6097564499999999E-3</v>
      </c>
      <c r="Y170">
        <v>0.29411599999999999</v>
      </c>
      <c r="Z170" s="60">
        <v>5.1845080000000001</v>
      </c>
      <c r="AA170" t="s">
        <v>343</v>
      </c>
      <c r="AB170" t="s">
        <v>435</v>
      </c>
      <c r="AC170" t="s">
        <v>425</v>
      </c>
      <c r="AD170" t="s">
        <v>81</v>
      </c>
      <c r="AE170">
        <v>111.133</v>
      </c>
      <c r="AF170">
        <v>1.027287859172453</v>
      </c>
      <c r="AG170">
        <v>114.1655816534122</v>
      </c>
      <c r="AH170">
        <v>625.54</v>
      </c>
      <c r="AI170">
        <v>1</v>
      </c>
      <c r="AJ170">
        <v>71.4151379474755</v>
      </c>
      <c r="AK170">
        <v>0.92730000000000001</v>
      </c>
      <c r="AL170" s="62">
        <v>66.222999999999999</v>
      </c>
      <c r="AM170">
        <v>8.9176000000000002</v>
      </c>
      <c r="AN170">
        <v>9.1609422129562699</v>
      </c>
      <c r="AO170">
        <v>1</v>
      </c>
      <c r="AP170">
        <v>5730.5357918926647</v>
      </c>
      <c r="AQ170">
        <v>1.094557195571956</v>
      </c>
      <c r="AR170">
        <v>6272.3991999999998</v>
      </c>
      <c r="AS170" s="60">
        <v>32519.303831593599</v>
      </c>
      <c r="AT170" t="s">
        <v>343</v>
      </c>
      <c r="AU170" t="s">
        <v>435</v>
      </c>
      <c r="AV170" t="s">
        <v>425</v>
      </c>
      <c r="AW170" t="s">
        <v>81</v>
      </c>
      <c r="AX170">
        <v>111.133</v>
      </c>
      <c r="AY170">
        <v>1.027287859172453</v>
      </c>
      <c r="AZ170">
        <v>114.1655816534122</v>
      </c>
      <c r="BA170">
        <v>626.12</v>
      </c>
      <c r="BB170">
        <v>1</v>
      </c>
      <c r="BC170">
        <v>71.481353984834485</v>
      </c>
      <c r="BD170">
        <v>0.92730000000000001</v>
      </c>
      <c r="BE170" s="62">
        <v>66.284999999999997</v>
      </c>
      <c r="BF170">
        <v>8.9176000000000002</v>
      </c>
      <c r="BG170">
        <v>1</v>
      </c>
      <c r="BH170">
        <v>5735.8491383761793</v>
      </c>
      <c r="BI170">
        <v>1.094557195571956</v>
      </c>
      <c r="BJ170" s="62">
        <v>6278.2148999999999</v>
      </c>
      <c r="BK170" s="60">
        <v>32549.455374769201</v>
      </c>
    </row>
    <row r="171" spans="1:63" x14ac:dyDescent="0.25">
      <c r="A171">
        <v>473</v>
      </c>
      <c r="B171" t="s">
        <v>120</v>
      </c>
      <c r="C171">
        <v>2018</v>
      </c>
      <c r="D171">
        <v>5</v>
      </c>
      <c r="E171" t="s">
        <v>100</v>
      </c>
      <c r="F171" t="s">
        <v>426</v>
      </c>
      <c r="G171" t="s">
        <v>427</v>
      </c>
      <c r="H171" t="s">
        <v>84</v>
      </c>
      <c r="I171" t="s">
        <v>429</v>
      </c>
      <c r="J171" t="s">
        <v>87</v>
      </c>
      <c r="K171">
        <v>-237.13501686000001</v>
      </c>
      <c r="L171" t="s">
        <v>87</v>
      </c>
      <c r="M171" t="s">
        <v>382</v>
      </c>
      <c r="N171">
        <v>2.5453747954229999E-2</v>
      </c>
      <c r="O171">
        <v>6.0359749502765219</v>
      </c>
      <c r="P171" t="s">
        <v>440</v>
      </c>
      <c r="Q171">
        <v>2</v>
      </c>
      <c r="R171">
        <v>30.199670000000001</v>
      </c>
      <c r="S171">
        <v>7.0999999999999994E-2</v>
      </c>
      <c r="T171">
        <v>2.1441766000000002</v>
      </c>
      <c r="U171">
        <v>1.9E-2</v>
      </c>
      <c r="V171">
        <v>40.738999999999997</v>
      </c>
      <c r="W171">
        <v>2</v>
      </c>
      <c r="X171">
        <v>3.6097564499999999E-3</v>
      </c>
      <c r="Y171">
        <v>0.29411599999999999</v>
      </c>
      <c r="Z171" s="60">
        <v>1.775277</v>
      </c>
      <c r="AA171" t="s">
        <v>343</v>
      </c>
      <c r="AB171" t="s">
        <v>435</v>
      </c>
      <c r="AC171" t="s">
        <v>425</v>
      </c>
      <c r="AD171" t="s">
        <v>81</v>
      </c>
      <c r="AE171">
        <v>111.133</v>
      </c>
      <c r="AF171">
        <v>1.027287859172453</v>
      </c>
      <c r="AG171">
        <v>114.1655816534122</v>
      </c>
      <c r="AH171">
        <v>625.54</v>
      </c>
      <c r="AI171">
        <v>1</v>
      </c>
      <c r="AJ171">
        <v>71.4151379474755</v>
      </c>
      <c r="AK171">
        <v>0.92730000000000001</v>
      </c>
      <c r="AL171" s="62">
        <v>66.222999999999999</v>
      </c>
      <c r="AM171">
        <v>8.9176000000000002</v>
      </c>
      <c r="AN171">
        <v>9.1609422129562699</v>
      </c>
      <c r="AO171">
        <v>1</v>
      </c>
      <c r="AP171">
        <v>5730.5357918926647</v>
      </c>
      <c r="AQ171">
        <v>1.094557195571956</v>
      </c>
      <c r="AR171">
        <v>6272.3991999999998</v>
      </c>
      <c r="AS171" s="60">
        <v>11135.2460345784</v>
      </c>
      <c r="AT171" t="s">
        <v>343</v>
      </c>
      <c r="AU171" t="s">
        <v>435</v>
      </c>
      <c r="AV171" t="s">
        <v>425</v>
      </c>
      <c r="AW171" t="s">
        <v>81</v>
      </c>
      <c r="AX171">
        <v>111.133</v>
      </c>
      <c r="AY171">
        <v>1.027287859172453</v>
      </c>
      <c r="AZ171">
        <v>114.1655816534122</v>
      </c>
      <c r="BA171">
        <v>626.12</v>
      </c>
      <c r="BB171">
        <v>1</v>
      </c>
      <c r="BC171">
        <v>71.481353984834485</v>
      </c>
      <c r="BD171">
        <v>0.92730000000000001</v>
      </c>
      <c r="BE171" s="62">
        <v>66.284999999999997</v>
      </c>
      <c r="BF171">
        <v>8.9176000000000002</v>
      </c>
      <c r="BG171">
        <v>1</v>
      </c>
      <c r="BH171">
        <v>5735.8491383761793</v>
      </c>
      <c r="BI171">
        <v>1.094557195571956</v>
      </c>
      <c r="BJ171" s="62">
        <v>6278.2148999999999</v>
      </c>
      <c r="BK171" s="60">
        <v>11145.5705130273</v>
      </c>
    </row>
    <row r="172" spans="1:63" x14ac:dyDescent="0.25">
      <c r="A172">
        <v>473</v>
      </c>
      <c r="B172" t="s">
        <v>120</v>
      </c>
      <c r="C172">
        <v>2018</v>
      </c>
      <c r="D172">
        <v>5</v>
      </c>
      <c r="E172" t="s">
        <v>100</v>
      </c>
      <c r="F172" t="s">
        <v>426</v>
      </c>
      <c r="G172" t="s">
        <v>427</v>
      </c>
      <c r="H172" t="s">
        <v>84</v>
      </c>
      <c r="I172" t="s">
        <v>430</v>
      </c>
      <c r="J172" t="s">
        <v>59</v>
      </c>
      <c r="K172">
        <v>-639.96228321000001</v>
      </c>
      <c r="L172" t="s">
        <v>59</v>
      </c>
      <c r="M172" t="s">
        <v>382</v>
      </c>
      <c r="N172">
        <v>2.576153082457E-2</v>
      </c>
      <c r="O172">
        <v>16.486408085476612</v>
      </c>
      <c r="P172" t="s">
        <v>440</v>
      </c>
      <c r="Q172">
        <v>2</v>
      </c>
      <c r="R172">
        <v>30.199670000000001</v>
      </c>
      <c r="S172">
        <v>7.0999999999999994E-2</v>
      </c>
      <c r="T172">
        <v>2.1441766000000002</v>
      </c>
      <c r="U172">
        <v>1.9E-2</v>
      </c>
      <c r="V172">
        <v>40.738999999999997</v>
      </c>
      <c r="W172">
        <v>2</v>
      </c>
      <c r="X172">
        <v>3.6097564499999999E-3</v>
      </c>
      <c r="Y172">
        <v>0.29411599999999999</v>
      </c>
      <c r="Z172" s="60">
        <v>4.848916</v>
      </c>
      <c r="AA172" t="s">
        <v>343</v>
      </c>
      <c r="AB172" t="s">
        <v>435</v>
      </c>
      <c r="AC172" t="s">
        <v>425</v>
      </c>
      <c r="AD172" t="s">
        <v>81</v>
      </c>
      <c r="AE172">
        <v>111.133</v>
      </c>
      <c r="AF172">
        <v>1.027287859172453</v>
      </c>
      <c r="AG172">
        <v>114.1655816534122</v>
      </c>
      <c r="AH172">
        <v>625.54</v>
      </c>
      <c r="AI172">
        <v>1</v>
      </c>
      <c r="AJ172">
        <v>71.4151379474755</v>
      </c>
      <c r="AK172">
        <v>0.92730000000000001</v>
      </c>
      <c r="AL172" s="62">
        <v>66.222999999999999</v>
      </c>
      <c r="AM172">
        <v>8.9176000000000002</v>
      </c>
      <c r="AN172">
        <v>9.1609422129562699</v>
      </c>
      <c r="AO172">
        <v>1</v>
      </c>
      <c r="AP172">
        <v>5730.5357918926647</v>
      </c>
      <c r="AQ172">
        <v>1.094557195571956</v>
      </c>
      <c r="AR172">
        <v>6272.3991999999998</v>
      </c>
      <c r="AS172" s="60">
        <v>30414.336839267198</v>
      </c>
      <c r="AT172" t="s">
        <v>343</v>
      </c>
      <c r="AU172" t="s">
        <v>435</v>
      </c>
      <c r="AV172" t="s">
        <v>425</v>
      </c>
      <c r="AW172" t="s">
        <v>81</v>
      </c>
      <c r="AX172">
        <v>111.133</v>
      </c>
      <c r="AY172">
        <v>1.027287859172453</v>
      </c>
      <c r="AZ172">
        <v>114.1655816534122</v>
      </c>
      <c r="BA172">
        <v>626.12</v>
      </c>
      <c r="BB172">
        <v>1</v>
      </c>
      <c r="BC172">
        <v>71.481353984834485</v>
      </c>
      <c r="BD172">
        <v>0.92730000000000001</v>
      </c>
      <c r="BE172" s="62">
        <v>66.284999999999997</v>
      </c>
      <c r="BF172">
        <v>8.9176000000000002</v>
      </c>
      <c r="BG172">
        <v>1</v>
      </c>
      <c r="BH172">
        <v>5735.8491383761793</v>
      </c>
      <c r="BI172">
        <v>1.094557195571956</v>
      </c>
      <c r="BJ172" s="62">
        <v>6278.2148999999999</v>
      </c>
      <c r="BK172" s="60">
        <v>30442.536680048401</v>
      </c>
    </row>
    <row r="173" spans="1:63" x14ac:dyDescent="0.25">
      <c r="A173">
        <v>475</v>
      </c>
      <c r="B173" t="s">
        <v>120</v>
      </c>
      <c r="C173">
        <v>2018</v>
      </c>
      <c r="D173">
        <v>5</v>
      </c>
      <c r="E173" t="s">
        <v>100</v>
      </c>
      <c r="F173" t="s">
        <v>426</v>
      </c>
      <c r="G173" t="s">
        <v>427</v>
      </c>
      <c r="H173" t="s">
        <v>84</v>
      </c>
      <c r="I173" t="s">
        <v>428</v>
      </c>
      <c r="J173" t="s">
        <v>381</v>
      </c>
      <c r="K173">
        <v>-1215.3878616500001</v>
      </c>
      <c r="L173" t="s">
        <v>381</v>
      </c>
      <c r="M173" t="s">
        <v>383</v>
      </c>
      <c r="N173">
        <v>0.99972995802816</v>
      </c>
      <c r="O173">
        <v>1215.05965591529</v>
      </c>
      <c r="P173" t="s">
        <v>440</v>
      </c>
      <c r="Q173">
        <v>2</v>
      </c>
      <c r="R173">
        <v>30.199670000000001</v>
      </c>
      <c r="S173">
        <v>7.0999999999999994E-2</v>
      </c>
      <c r="T173">
        <v>2.1441766000000002</v>
      </c>
      <c r="U173">
        <v>0.98099999999999998</v>
      </c>
      <c r="V173">
        <v>2103.4369999999999</v>
      </c>
      <c r="W173">
        <v>2</v>
      </c>
      <c r="X173">
        <v>6.9913578999999997E-5</v>
      </c>
      <c r="Y173">
        <v>0.29411799999999999</v>
      </c>
      <c r="Z173" s="60">
        <v>357.37091600000002</v>
      </c>
      <c r="AA173" t="s">
        <v>343</v>
      </c>
      <c r="AB173" t="s">
        <v>435</v>
      </c>
      <c r="AC173" t="s">
        <v>425</v>
      </c>
      <c r="AD173" t="s">
        <v>27</v>
      </c>
      <c r="AE173">
        <v>111.133</v>
      </c>
      <c r="AF173">
        <v>1.027287859172453</v>
      </c>
      <c r="AG173">
        <v>114.1655816534122</v>
      </c>
      <c r="AH173">
        <v>625.54</v>
      </c>
      <c r="AI173">
        <v>1</v>
      </c>
      <c r="AJ173">
        <v>71.4151379474755</v>
      </c>
      <c r="AK173">
        <v>0.95599999999999996</v>
      </c>
      <c r="AL173" s="62">
        <v>68.272999999999996</v>
      </c>
      <c r="AM173">
        <v>8.9176000000000002</v>
      </c>
      <c r="AN173">
        <v>9.1609422129562699</v>
      </c>
      <c r="AO173">
        <v>1</v>
      </c>
      <c r="AP173">
        <v>5730.5357918926647</v>
      </c>
      <c r="AQ173">
        <v>1.0027686628383921</v>
      </c>
      <c r="AR173">
        <v>5746.4017000000003</v>
      </c>
      <c r="AS173" s="60">
        <v>2053596.839232957</v>
      </c>
      <c r="AT173" t="s">
        <v>343</v>
      </c>
      <c r="AU173" t="s">
        <v>435</v>
      </c>
      <c r="AV173" t="s">
        <v>425</v>
      </c>
      <c r="AW173" t="s">
        <v>27</v>
      </c>
      <c r="AX173">
        <v>111.133</v>
      </c>
      <c r="AY173">
        <v>1.027287859172453</v>
      </c>
      <c r="AZ173">
        <v>114.1655816534122</v>
      </c>
      <c r="BA173">
        <v>626.12</v>
      </c>
      <c r="BB173">
        <v>1</v>
      </c>
      <c r="BC173">
        <v>71.481353984834485</v>
      </c>
      <c r="BD173">
        <v>0.95599999999999996</v>
      </c>
      <c r="BE173" s="62">
        <v>68.335999999999999</v>
      </c>
      <c r="BF173">
        <v>8.9176000000000002</v>
      </c>
      <c r="BG173">
        <v>1</v>
      </c>
      <c r="BH173">
        <v>5735.8491383761793</v>
      </c>
      <c r="BI173">
        <v>1.0027686628383921</v>
      </c>
      <c r="BJ173" s="62">
        <v>5751.7298000000001</v>
      </c>
      <c r="BK173" s="60">
        <v>2055500.947210497</v>
      </c>
    </row>
    <row r="174" spans="1:63" x14ac:dyDescent="0.25">
      <c r="A174">
        <v>475</v>
      </c>
      <c r="B174" t="s">
        <v>120</v>
      </c>
      <c r="C174">
        <v>2018</v>
      </c>
      <c r="D174">
        <v>5</v>
      </c>
      <c r="E174" t="s">
        <v>100</v>
      </c>
      <c r="F174" t="s">
        <v>426</v>
      </c>
      <c r="G174" t="s">
        <v>427</v>
      </c>
      <c r="H174" t="s">
        <v>84</v>
      </c>
      <c r="I174" t="s">
        <v>429</v>
      </c>
      <c r="J174" t="s">
        <v>87</v>
      </c>
      <c r="K174">
        <v>-237.13501686000001</v>
      </c>
      <c r="L174" t="s">
        <v>87</v>
      </c>
      <c r="M174" t="s">
        <v>383</v>
      </c>
      <c r="N174">
        <v>0.96112563014763996</v>
      </c>
      <c r="O174">
        <v>227.9165425096387</v>
      </c>
      <c r="P174" t="s">
        <v>440</v>
      </c>
      <c r="Q174">
        <v>2</v>
      </c>
      <c r="R174">
        <v>30.199670000000001</v>
      </c>
      <c r="S174">
        <v>7.0999999999999994E-2</v>
      </c>
      <c r="T174">
        <v>2.1441766000000002</v>
      </c>
      <c r="U174">
        <v>0.98099999999999998</v>
      </c>
      <c r="V174">
        <v>2103.4369999999999</v>
      </c>
      <c r="W174">
        <v>2</v>
      </c>
      <c r="X174">
        <v>6.9913578999999997E-5</v>
      </c>
      <c r="Y174">
        <v>0.29411799999999999</v>
      </c>
      <c r="Z174" s="60">
        <v>67.034357999999997</v>
      </c>
      <c r="AA174" t="s">
        <v>343</v>
      </c>
      <c r="AB174" t="s">
        <v>435</v>
      </c>
      <c r="AC174" t="s">
        <v>425</v>
      </c>
      <c r="AD174" t="s">
        <v>27</v>
      </c>
      <c r="AE174">
        <v>111.133</v>
      </c>
      <c r="AF174">
        <v>1.027287859172453</v>
      </c>
      <c r="AG174">
        <v>114.1655816534122</v>
      </c>
      <c r="AH174">
        <v>625.54</v>
      </c>
      <c r="AI174">
        <v>1</v>
      </c>
      <c r="AJ174">
        <v>71.4151379474755</v>
      </c>
      <c r="AK174">
        <v>0.95599999999999996</v>
      </c>
      <c r="AL174" s="62">
        <v>68.272999999999996</v>
      </c>
      <c r="AM174">
        <v>8.9176000000000002</v>
      </c>
      <c r="AN174">
        <v>9.1609422129562699</v>
      </c>
      <c r="AO174">
        <v>1</v>
      </c>
      <c r="AP174">
        <v>5730.5357918926647</v>
      </c>
      <c r="AQ174">
        <v>1.0027686628383921</v>
      </c>
      <c r="AR174">
        <v>5746.4017000000003</v>
      </c>
      <c r="AS174" s="60">
        <v>385206.34876960859</v>
      </c>
      <c r="AT174" t="s">
        <v>343</v>
      </c>
      <c r="AU174" t="s">
        <v>435</v>
      </c>
      <c r="AV174" t="s">
        <v>425</v>
      </c>
      <c r="AW174" t="s">
        <v>27</v>
      </c>
      <c r="AX174">
        <v>111.133</v>
      </c>
      <c r="AY174">
        <v>1.027287859172453</v>
      </c>
      <c r="AZ174">
        <v>114.1655816534122</v>
      </c>
      <c r="BA174">
        <v>626.12</v>
      </c>
      <c r="BB174">
        <v>1</v>
      </c>
      <c r="BC174">
        <v>71.481353984834485</v>
      </c>
      <c r="BD174">
        <v>0.95599999999999996</v>
      </c>
      <c r="BE174" s="62">
        <v>68.335999999999999</v>
      </c>
      <c r="BF174">
        <v>8.9176000000000002</v>
      </c>
      <c r="BG174">
        <v>1</v>
      </c>
      <c r="BH174">
        <v>5735.8491383761793</v>
      </c>
      <c r="BI174">
        <v>1.0027686628383921</v>
      </c>
      <c r="BJ174" s="62">
        <v>5751.7298000000001</v>
      </c>
      <c r="BK174" s="60">
        <v>385563.5145324684</v>
      </c>
    </row>
    <row r="175" spans="1:63" x14ac:dyDescent="0.25">
      <c r="A175">
        <v>475</v>
      </c>
      <c r="B175" t="s">
        <v>120</v>
      </c>
      <c r="C175">
        <v>2018</v>
      </c>
      <c r="D175">
        <v>5</v>
      </c>
      <c r="E175" t="s">
        <v>100</v>
      </c>
      <c r="F175" t="s">
        <v>426</v>
      </c>
      <c r="G175" t="s">
        <v>427</v>
      </c>
      <c r="H175" t="s">
        <v>84</v>
      </c>
      <c r="I175" t="s">
        <v>430</v>
      </c>
      <c r="J175" t="s">
        <v>59</v>
      </c>
      <c r="K175">
        <v>-639.96228321000001</v>
      </c>
      <c r="L175" t="s">
        <v>59</v>
      </c>
      <c r="M175" t="s">
        <v>383</v>
      </c>
      <c r="N175">
        <v>0.98847196621108002</v>
      </c>
      <c r="O175">
        <v>632.58477638552063</v>
      </c>
      <c r="P175" t="s">
        <v>440</v>
      </c>
      <c r="Q175">
        <v>2</v>
      </c>
      <c r="R175">
        <v>30.199670000000001</v>
      </c>
      <c r="S175">
        <v>7.0999999999999994E-2</v>
      </c>
      <c r="T175">
        <v>2.1441766000000002</v>
      </c>
      <c r="U175">
        <v>0.98099999999999998</v>
      </c>
      <c r="V175">
        <v>2103.4369999999999</v>
      </c>
      <c r="W175">
        <v>2</v>
      </c>
      <c r="X175">
        <v>6.9913578999999997E-5</v>
      </c>
      <c r="Y175">
        <v>0.29411799999999999</v>
      </c>
      <c r="Z175" s="60">
        <v>186.05456899999999</v>
      </c>
      <c r="AA175" t="s">
        <v>343</v>
      </c>
      <c r="AB175" t="s">
        <v>435</v>
      </c>
      <c r="AC175" t="s">
        <v>425</v>
      </c>
      <c r="AD175" t="s">
        <v>27</v>
      </c>
      <c r="AE175">
        <v>111.133</v>
      </c>
      <c r="AF175">
        <v>1.027287859172453</v>
      </c>
      <c r="AG175">
        <v>114.1655816534122</v>
      </c>
      <c r="AH175">
        <v>625.54</v>
      </c>
      <c r="AI175">
        <v>1</v>
      </c>
      <c r="AJ175">
        <v>71.4151379474755</v>
      </c>
      <c r="AK175">
        <v>0.95599999999999996</v>
      </c>
      <c r="AL175" s="62">
        <v>68.272999999999996</v>
      </c>
      <c r="AM175">
        <v>8.9176000000000002</v>
      </c>
      <c r="AN175">
        <v>9.1609422129562699</v>
      </c>
      <c r="AO175">
        <v>1</v>
      </c>
      <c r="AP175">
        <v>5730.5357918926647</v>
      </c>
      <c r="AQ175">
        <v>1.0027686628383921</v>
      </c>
      <c r="AR175">
        <v>5746.4017000000003</v>
      </c>
      <c r="AS175" s="60">
        <v>1069144.291594367</v>
      </c>
      <c r="AT175" t="s">
        <v>343</v>
      </c>
      <c r="AU175" t="s">
        <v>435</v>
      </c>
      <c r="AV175" t="s">
        <v>425</v>
      </c>
      <c r="AW175" t="s">
        <v>27</v>
      </c>
      <c r="AX175">
        <v>111.133</v>
      </c>
      <c r="AY175">
        <v>1.027287859172453</v>
      </c>
      <c r="AZ175">
        <v>114.1655816534122</v>
      </c>
      <c r="BA175">
        <v>626.12</v>
      </c>
      <c r="BB175">
        <v>1</v>
      </c>
      <c r="BC175">
        <v>71.481353984834485</v>
      </c>
      <c r="BD175">
        <v>0.95599999999999996</v>
      </c>
      <c r="BE175" s="62">
        <v>68.335999999999999</v>
      </c>
      <c r="BF175">
        <v>8.9176000000000002</v>
      </c>
      <c r="BG175">
        <v>1</v>
      </c>
      <c r="BH175">
        <v>5735.8491383761793</v>
      </c>
      <c r="BI175">
        <v>1.0027686628383921</v>
      </c>
      <c r="BJ175" s="62">
        <v>5751.7298000000001</v>
      </c>
      <c r="BK175" s="60">
        <v>1070135.6089434561</v>
      </c>
    </row>
    <row r="176" spans="1:63" x14ac:dyDescent="0.25">
      <c r="A176">
        <v>493</v>
      </c>
      <c r="B176" t="s">
        <v>126</v>
      </c>
      <c r="C176">
        <v>2018</v>
      </c>
      <c r="D176">
        <v>6</v>
      </c>
      <c r="E176" t="s">
        <v>100</v>
      </c>
      <c r="F176" t="s">
        <v>426</v>
      </c>
      <c r="G176" t="s">
        <v>427</v>
      </c>
      <c r="H176" t="s">
        <v>84</v>
      </c>
      <c r="I176" t="s">
        <v>428</v>
      </c>
      <c r="J176" t="s">
        <v>381</v>
      </c>
      <c r="K176">
        <v>-1316.6304871</v>
      </c>
      <c r="L176" t="s">
        <v>381</v>
      </c>
      <c r="M176" t="s">
        <v>382</v>
      </c>
      <c r="N176">
        <v>1.440545710176E-2</v>
      </c>
      <c r="O176">
        <v>18.96666400078843</v>
      </c>
      <c r="P176" t="s">
        <v>440</v>
      </c>
      <c r="Q176">
        <v>2</v>
      </c>
      <c r="R176">
        <v>30.199670000000001</v>
      </c>
      <c r="S176">
        <v>6.9000000000000006E-2</v>
      </c>
      <c r="T176">
        <v>2.0837772000000001</v>
      </c>
      <c r="U176">
        <v>1.9E-2</v>
      </c>
      <c r="V176">
        <v>39.591999999999999</v>
      </c>
      <c r="W176">
        <v>2</v>
      </c>
      <c r="X176">
        <v>3.7143791039999999E-3</v>
      </c>
      <c r="Y176">
        <v>0.29411900000000002</v>
      </c>
      <c r="Z176" s="60">
        <v>5.5784560000000001</v>
      </c>
      <c r="AA176" t="s">
        <v>343</v>
      </c>
      <c r="AB176" t="s">
        <v>435</v>
      </c>
      <c r="AC176" t="s">
        <v>425</v>
      </c>
      <c r="AD176" t="s">
        <v>81</v>
      </c>
      <c r="AE176">
        <v>111.133</v>
      </c>
      <c r="AF176">
        <v>1.027287859172453</v>
      </c>
      <c r="AG176">
        <v>114.1655816534122</v>
      </c>
      <c r="AH176">
        <v>625.54</v>
      </c>
      <c r="AI176">
        <v>1</v>
      </c>
      <c r="AJ176">
        <v>71.4151379474755</v>
      </c>
      <c r="AK176">
        <v>0.92730000000000001</v>
      </c>
      <c r="AL176" s="62">
        <v>66.222999999999999</v>
      </c>
      <c r="AM176">
        <v>8.9176000000000002</v>
      </c>
      <c r="AN176">
        <v>9.1609422129562699</v>
      </c>
      <c r="AO176">
        <v>1</v>
      </c>
      <c r="AP176">
        <v>5730.5357918926647</v>
      </c>
      <c r="AQ176">
        <v>1.094557195571956</v>
      </c>
      <c r="AR176">
        <v>6272.3991999999998</v>
      </c>
      <c r="AS176" s="60">
        <v>34990.302951635203</v>
      </c>
      <c r="AT176" t="s">
        <v>343</v>
      </c>
      <c r="AU176" t="s">
        <v>435</v>
      </c>
      <c r="AV176" t="s">
        <v>425</v>
      </c>
      <c r="AW176" t="s">
        <v>81</v>
      </c>
      <c r="AX176">
        <v>111.133</v>
      </c>
      <c r="AY176">
        <v>1.027287859172453</v>
      </c>
      <c r="AZ176">
        <v>114.1655816534122</v>
      </c>
      <c r="BA176">
        <v>636.15</v>
      </c>
      <c r="BB176">
        <v>1</v>
      </c>
      <c r="BC176">
        <v>72.6264347688182</v>
      </c>
      <c r="BD176">
        <v>0.92730000000000001</v>
      </c>
      <c r="BE176" s="62">
        <v>67.346000000000004</v>
      </c>
      <c r="BF176">
        <v>8.9176000000000002</v>
      </c>
      <c r="BG176">
        <v>1</v>
      </c>
      <c r="BH176">
        <v>5827.7333887721306</v>
      </c>
      <c r="BI176">
        <v>1.094557195571956</v>
      </c>
      <c r="BJ176" s="62">
        <v>6378.7875000000004</v>
      </c>
      <c r="BK176" s="60">
        <v>35583.785402100002</v>
      </c>
    </row>
    <row r="177" spans="1:63" x14ac:dyDescent="0.25">
      <c r="A177">
        <v>493</v>
      </c>
      <c r="B177" t="s">
        <v>126</v>
      </c>
      <c r="C177">
        <v>2018</v>
      </c>
      <c r="D177">
        <v>6</v>
      </c>
      <c r="E177" t="s">
        <v>100</v>
      </c>
      <c r="F177" t="s">
        <v>426</v>
      </c>
      <c r="G177" t="s">
        <v>427</v>
      </c>
      <c r="H177" t="s">
        <v>84</v>
      </c>
      <c r="I177" t="s">
        <v>429</v>
      </c>
      <c r="J177" t="s">
        <v>87</v>
      </c>
      <c r="K177">
        <v>-245.4951222</v>
      </c>
      <c r="L177" t="s">
        <v>87</v>
      </c>
      <c r="M177" t="s">
        <v>382</v>
      </c>
      <c r="N177">
        <v>2.5322459834020001E-2</v>
      </c>
      <c r="O177">
        <v>6.2165403713573317</v>
      </c>
      <c r="P177" t="s">
        <v>440</v>
      </c>
      <c r="Q177">
        <v>2</v>
      </c>
      <c r="R177">
        <v>30.199670000000001</v>
      </c>
      <c r="S177">
        <v>6.9000000000000006E-2</v>
      </c>
      <c r="T177">
        <v>2.0837772000000001</v>
      </c>
      <c r="U177">
        <v>1.9E-2</v>
      </c>
      <c r="V177">
        <v>39.591999999999999</v>
      </c>
      <c r="W177">
        <v>2</v>
      </c>
      <c r="X177">
        <v>3.7143791039999999E-3</v>
      </c>
      <c r="Y177">
        <v>0.29411900000000002</v>
      </c>
      <c r="Z177" s="60">
        <v>1.828403</v>
      </c>
      <c r="AA177" t="s">
        <v>343</v>
      </c>
      <c r="AB177" t="s">
        <v>435</v>
      </c>
      <c r="AC177" t="s">
        <v>425</v>
      </c>
      <c r="AD177" t="s">
        <v>81</v>
      </c>
      <c r="AE177">
        <v>111.133</v>
      </c>
      <c r="AF177">
        <v>1.027287859172453</v>
      </c>
      <c r="AG177">
        <v>114.1655816534122</v>
      </c>
      <c r="AH177">
        <v>625.54</v>
      </c>
      <c r="AI177">
        <v>1</v>
      </c>
      <c r="AJ177">
        <v>71.4151379474755</v>
      </c>
      <c r="AK177">
        <v>0.92730000000000001</v>
      </c>
      <c r="AL177" s="62">
        <v>66.222999999999999</v>
      </c>
      <c r="AM177">
        <v>8.9176000000000002</v>
      </c>
      <c r="AN177">
        <v>9.1609422129562699</v>
      </c>
      <c r="AO177">
        <v>1</v>
      </c>
      <c r="AP177">
        <v>5730.5357918926647</v>
      </c>
      <c r="AQ177">
        <v>1.094557195571956</v>
      </c>
      <c r="AR177">
        <v>6272.3991999999998</v>
      </c>
      <c r="AS177" s="60">
        <v>11468.4735144776</v>
      </c>
      <c r="AT177" t="s">
        <v>343</v>
      </c>
      <c r="AU177" t="s">
        <v>435</v>
      </c>
      <c r="AV177" t="s">
        <v>425</v>
      </c>
      <c r="AW177" t="s">
        <v>81</v>
      </c>
      <c r="AX177">
        <v>111.133</v>
      </c>
      <c r="AY177">
        <v>1.027287859172453</v>
      </c>
      <c r="AZ177">
        <v>114.1655816534122</v>
      </c>
      <c r="BA177">
        <v>636.15</v>
      </c>
      <c r="BB177">
        <v>1</v>
      </c>
      <c r="BC177">
        <v>72.6264347688182</v>
      </c>
      <c r="BD177">
        <v>0.92730000000000001</v>
      </c>
      <c r="BE177" s="62">
        <v>67.346000000000004</v>
      </c>
      <c r="BF177">
        <v>8.9176000000000002</v>
      </c>
      <c r="BG177">
        <v>1</v>
      </c>
      <c r="BH177">
        <v>5827.7333887721306</v>
      </c>
      <c r="BI177">
        <v>1.094557195571956</v>
      </c>
      <c r="BJ177" s="62">
        <v>6378.7875000000004</v>
      </c>
      <c r="BK177" s="60">
        <v>11662.9942013625</v>
      </c>
    </row>
    <row r="178" spans="1:63" x14ac:dyDescent="0.25">
      <c r="A178">
        <v>493</v>
      </c>
      <c r="B178" t="s">
        <v>126</v>
      </c>
      <c r="C178">
        <v>2018</v>
      </c>
      <c r="D178">
        <v>6</v>
      </c>
      <c r="E178" t="s">
        <v>100</v>
      </c>
      <c r="F178" t="s">
        <v>426</v>
      </c>
      <c r="G178" t="s">
        <v>427</v>
      </c>
      <c r="H178" t="s">
        <v>84</v>
      </c>
      <c r="I178" t="s">
        <v>430</v>
      </c>
      <c r="J178" t="s">
        <v>59</v>
      </c>
      <c r="K178">
        <v>-694.75780531999999</v>
      </c>
      <c r="L178" t="s">
        <v>59</v>
      </c>
      <c r="M178" t="s">
        <v>382</v>
      </c>
      <c r="N178">
        <v>2.5587315411149999E-2</v>
      </c>
      <c r="O178">
        <v>17.77698709908119</v>
      </c>
      <c r="P178" t="s">
        <v>440</v>
      </c>
      <c r="Q178">
        <v>2</v>
      </c>
      <c r="R178">
        <v>30.199670000000001</v>
      </c>
      <c r="S178">
        <v>6.9000000000000006E-2</v>
      </c>
      <c r="T178">
        <v>2.0837772000000001</v>
      </c>
      <c r="U178">
        <v>1.9E-2</v>
      </c>
      <c r="V178">
        <v>39.591999999999999</v>
      </c>
      <c r="W178">
        <v>2</v>
      </c>
      <c r="X178">
        <v>3.7143791039999999E-3</v>
      </c>
      <c r="Y178">
        <v>0.29411900000000002</v>
      </c>
      <c r="Z178" s="60">
        <v>5.2285500000000003</v>
      </c>
      <c r="AA178" t="s">
        <v>343</v>
      </c>
      <c r="AB178" t="s">
        <v>435</v>
      </c>
      <c r="AC178" t="s">
        <v>425</v>
      </c>
      <c r="AD178" t="s">
        <v>81</v>
      </c>
      <c r="AE178">
        <v>111.133</v>
      </c>
      <c r="AF178">
        <v>1.027287859172453</v>
      </c>
      <c r="AG178">
        <v>114.1655816534122</v>
      </c>
      <c r="AH178">
        <v>625.54</v>
      </c>
      <c r="AI178">
        <v>1</v>
      </c>
      <c r="AJ178">
        <v>71.4151379474755</v>
      </c>
      <c r="AK178">
        <v>0.92730000000000001</v>
      </c>
      <c r="AL178" s="62">
        <v>66.222999999999999</v>
      </c>
      <c r="AM178">
        <v>8.9176000000000002</v>
      </c>
      <c r="AN178">
        <v>9.1609422129562699</v>
      </c>
      <c r="AO178">
        <v>1</v>
      </c>
      <c r="AP178">
        <v>5730.5357918926647</v>
      </c>
      <c r="AQ178">
        <v>1.094557195571956</v>
      </c>
      <c r="AR178">
        <v>6272.3991999999998</v>
      </c>
      <c r="AS178" s="60">
        <v>32795.552837160001</v>
      </c>
      <c r="AT178" t="s">
        <v>343</v>
      </c>
      <c r="AU178" t="s">
        <v>435</v>
      </c>
      <c r="AV178" t="s">
        <v>425</v>
      </c>
      <c r="AW178" t="s">
        <v>81</v>
      </c>
      <c r="AX178">
        <v>111.133</v>
      </c>
      <c r="AY178">
        <v>1.027287859172453</v>
      </c>
      <c r="AZ178">
        <v>114.1655816534122</v>
      </c>
      <c r="BA178">
        <v>636.15</v>
      </c>
      <c r="BB178">
        <v>1</v>
      </c>
      <c r="BC178">
        <v>72.6264347688182</v>
      </c>
      <c r="BD178">
        <v>0.92730000000000001</v>
      </c>
      <c r="BE178" s="62">
        <v>67.346000000000004</v>
      </c>
      <c r="BF178">
        <v>8.9176000000000002</v>
      </c>
      <c r="BG178">
        <v>1</v>
      </c>
      <c r="BH178">
        <v>5827.7333887721306</v>
      </c>
      <c r="BI178">
        <v>1.094557195571956</v>
      </c>
      <c r="BJ178" s="62">
        <v>6378.7875000000004</v>
      </c>
      <c r="BK178" s="60">
        <v>33351.809383125001</v>
      </c>
    </row>
    <row r="179" spans="1:63" x14ac:dyDescent="0.25">
      <c r="A179">
        <v>495</v>
      </c>
      <c r="B179" t="s">
        <v>126</v>
      </c>
      <c r="C179">
        <v>2018</v>
      </c>
      <c r="D179">
        <v>6</v>
      </c>
      <c r="E179" t="s">
        <v>100</v>
      </c>
      <c r="F179" t="s">
        <v>426</v>
      </c>
      <c r="G179" t="s">
        <v>427</v>
      </c>
      <c r="H179" t="s">
        <v>84</v>
      </c>
      <c r="I179" t="s">
        <v>428</v>
      </c>
      <c r="J179" t="s">
        <v>381</v>
      </c>
      <c r="K179">
        <v>-1316.6304871</v>
      </c>
      <c r="L179" t="s">
        <v>381</v>
      </c>
      <c r="M179" t="s">
        <v>383</v>
      </c>
      <c r="N179">
        <v>0.99296916539947</v>
      </c>
      <c r="O179">
        <v>1307.3734759151851</v>
      </c>
      <c r="P179" t="s">
        <v>440</v>
      </c>
      <c r="Q179">
        <v>2</v>
      </c>
      <c r="R179">
        <v>30.199670000000001</v>
      </c>
      <c r="S179">
        <v>6.9000000000000006E-2</v>
      </c>
      <c r="T179">
        <v>2.0837772000000001</v>
      </c>
      <c r="U179">
        <v>0.98099999999999998</v>
      </c>
      <c r="V179">
        <v>2044.1849999999999</v>
      </c>
      <c r="W179">
        <v>2</v>
      </c>
      <c r="X179">
        <v>7.1940065000000004E-5</v>
      </c>
      <c r="Y179">
        <v>0.29411799999999999</v>
      </c>
      <c r="Z179" s="60">
        <v>384.52207199999998</v>
      </c>
      <c r="AA179" t="s">
        <v>343</v>
      </c>
      <c r="AB179" t="s">
        <v>435</v>
      </c>
      <c r="AC179" t="s">
        <v>425</v>
      </c>
      <c r="AD179" t="s">
        <v>27</v>
      </c>
      <c r="AE179">
        <v>111.133</v>
      </c>
      <c r="AF179">
        <v>1.027287859172453</v>
      </c>
      <c r="AG179">
        <v>114.1655816534122</v>
      </c>
      <c r="AH179">
        <v>625.54</v>
      </c>
      <c r="AI179">
        <v>1</v>
      </c>
      <c r="AJ179">
        <v>71.4151379474755</v>
      </c>
      <c r="AK179">
        <v>0.95599999999999996</v>
      </c>
      <c r="AL179" s="62">
        <v>68.272999999999996</v>
      </c>
      <c r="AM179">
        <v>8.9176000000000002</v>
      </c>
      <c r="AN179">
        <v>9.1609422129562699</v>
      </c>
      <c r="AO179">
        <v>1</v>
      </c>
      <c r="AP179">
        <v>5730.5357918926647</v>
      </c>
      <c r="AQ179">
        <v>1.0027686628383921</v>
      </c>
      <c r="AR179">
        <v>5746.4017000000003</v>
      </c>
      <c r="AS179" s="60">
        <v>2209618.2882283218</v>
      </c>
      <c r="AT179" t="s">
        <v>343</v>
      </c>
      <c r="AU179" t="s">
        <v>435</v>
      </c>
      <c r="AV179" t="s">
        <v>425</v>
      </c>
      <c r="AW179" t="s">
        <v>27</v>
      </c>
      <c r="AX179">
        <v>111.133</v>
      </c>
      <c r="AY179">
        <v>1.027287859172453</v>
      </c>
      <c r="AZ179">
        <v>114.1655816534122</v>
      </c>
      <c r="BA179">
        <v>636.15</v>
      </c>
      <c r="BB179">
        <v>1</v>
      </c>
      <c r="BC179">
        <v>72.6264347688182</v>
      </c>
      <c r="BD179">
        <v>0.95599999999999996</v>
      </c>
      <c r="BE179" s="62">
        <v>69.430999999999997</v>
      </c>
      <c r="BF179">
        <v>8.9176000000000002</v>
      </c>
      <c r="BG179">
        <v>1</v>
      </c>
      <c r="BH179">
        <v>5827.7333887721306</v>
      </c>
      <c r="BI179">
        <v>1.0027686628383921</v>
      </c>
      <c r="BJ179" s="62">
        <v>5843.8684000000003</v>
      </c>
      <c r="BK179" s="60">
        <v>2247096.385663325</v>
      </c>
    </row>
    <row r="180" spans="1:63" x14ac:dyDescent="0.25">
      <c r="A180">
        <v>495</v>
      </c>
      <c r="B180" t="s">
        <v>126</v>
      </c>
      <c r="C180">
        <v>2018</v>
      </c>
      <c r="D180">
        <v>6</v>
      </c>
      <c r="E180" t="s">
        <v>100</v>
      </c>
      <c r="F180" t="s">
        <v>426</v>
      </c>
      <c r="G180" t="s">
        <v>427</v>
      </c>
      <c r="H180" t="s">
        <v>84</v>
      </c>
      <c r="I180" t="s">
        <v>429</v>
      </c>
      <c r="J180" t="s">
        <v>87</v>
      </c>
      <c r="K180">
        <v>-245.4951222</v>
      </c>
      <c r="L180" t="s">
        <v>87</v>
      </c>
      <c r="M180" t="s">
        <v>383</v>
      </c>
      <c r="N180">
        <v>0.95616823139648</v>
      </c>
      <c r="O180">
        <v>234.73463681043671</v>
      </c>
      <c r="P180" t="s">
        <v>440</v>
      </c>
      <c r="Q180">
        <v>2</v>
      </c>
      <c r="R180">
        <v>30.199670000000001</v>
      </c>
      <c r="S180">
        <v>6.9000000000000006E-2</v>
      </c>
      <c r="T180">
        <v>2.0837772000000001</v>
      </c>
      <c r="U180">
        <v>0.98099999999999998</v>
      </c>
      <c r="V180">
        <v>2044.1849999999999</v>
      </c>
      <c r="W180">
        <v>2</v>
      </c>
      <c r="X180">
        <v>7.1940065000000004E-5</v>
      </c>
      <c r="Y180">
        <v>0.29411799999999999</v>
      </c>
      <c r="Z180" s="60">
        <v>69.039681999999999</v>
      </c>
      <c r="AA180" t="s">
        <v>343</v>
      </c>
      <c r="AB180" t="s">
        <v>435</v>
      </c>
      <c r="AC180" t="s">
        <v>425</v>
      </c>
      <c r="AD180" t="s">
        <v>27</v>
      </c>
      <c r="AE180">
        <v>111.133</v>
      </c>
      <c r="AF180">
        <v>1.027287859172453</v>
      </c>
      <c r="AG180">
        <v>114.1655816534122</v>
      </c>
      <c r="AH180">
        <v>625.54</v>
      </c>
      <c r="AI180">
        <v>1</v>
      </c>
      <c r="AJ180">
        <v>71.4151379474755</v>
      </c>
      <c r="AK180">
        <v>0.95599999999999996</v>
      </c>
      <c r="AL180" s="62">
        <v>68.272999999999996</v>
      </c>
      <c r="AM180">
        <v>8.9176000000000002</v>
      </c>
      <c r="AN180">
        <v>9.1609422129562699</v>
      </c>
      <c r="AO180">
        <v>1</v>
      </c>
      <c r="AP180">
        <v>5730.5357918926647</v>
      </c>
      <c r="AQ180">
        <v>1.0027686628383921</v>
      </c>
      <c r="AR180">
        <v>5746.4017000000003</v>
      </c>
      <c r="AS180" s="60">
        <v>396729.74601225939</v>
      </c>
      <c r="AT180" t="s">
        <v>343</v>
      </c>
      <c r="AU180" t="s">
        <v>435</v>
      </c>
      <c r="AV180" t="s">
        <v>425</v>
      </c>
      <c r="AW180" t="s">
        <v>27</v>
      </c>
      <c r="AX180">
        <v>111.133</v>
      </c>
      <c r="AY180">
        <v>1.027287859172453</v>
      </c>
      <c r="AZ180">
        <v>114.1655816534122</v>
      </c>
      <c r="BA180">
        <v>636.15</v>
      </c>
      <c r="BB180">
        <v>1</v>
      </c>
      <c r="BC180">
        <v>72.6264347688182</v>
      </c>
      <c r="BD180">
        <v>0.95599999999999996</v>
      </c>
      <c r="BE180" s="62">
        <v>69.430999999999997</v>
      </c>
      <c r="BF180">
        <v>8.9176000000000002</v>
      </c>
      <c r="BG180">
        <v>1</v>
      </c>
      <c r="BH180">
        <v>5827.7333887721306</v>
      </c>
      <c r="BI180">
        <v>1.0027686628383921</v>
      </c>
      <c r="BJ180" s="62">
        <v>5843.8684000000003</v>
      </c>
      <c r="BK180" s="60">
        <v>403458.81598584878</v>
      </c>
    </row>
    <row r="181" spans="1:63" x14ac:dyDescent="0.25">
      <c r="A181">
        <v>495</v>
      </c>
      <c r="B181" t="s">
        <v>126</v>
      </c>
      <c r="C181">
        <v>2018</v>
      </c>
      <c r="D181">
        <v>6</v>
      </c>
      <c r="E181" t="s">
        <v>100</v>
      </c>
      <c r="F181" t="s">
        <v>426</v>
      </c>
      <c r="G181" t="s">
        <v>427</v>
      </c>
      <c r="H181" t="s">
        <v>84</v>
      </c>
      <c r="I181" t="s">
        <v>430</v>
      </c>
      <c r="J181" t="s">
        <v>59</v>
      </c>
      <c r="K181">
        <v>-694.75780531999999</v>
      </c>
      <c r="L181" t="s">
        <v>59</v>
      </c>
      <c r="M181" t="s">
        <v>383</v>
      </c>
      <c r="N181">
        <v>0.98178730708994999</v>
      </c>
      <c r="O181">
        <v>682.10439476484657</v>
      </c>
      <c r="P181" t="s">
        <v>440</v>
      </c>
      <c r="Q181">
        <v>2</v>
      </c>
      <c r="R181">
        <v>30.199670000000001</v>
      </c>
      <c r="S181">
        <v>6.9000000000000006E-2</v>
      </c>
      <c r="T181">
        <v>2.0837772000000001</v>
      </c>
      <c r="U181">
        <v>0.98099999999999998</v>
      </c>
      <c r="V181">
        <v>2044.1849999999999</v>
      </c>
      <c r="W181">
        <v>2</v>
      </c>
      <c r="X181">
        <v>7.1940065000000004E-5</v>
      </c>
      <c r="Y181">
        <v>0.29411799999999999</v>
      </c>
      <c r="Z181" s="60">
        <v>200.61918</v>
      </c>
      <c r="AA181" t="s">
        <v>343</v>
      </c>
      <c r="AB181" t="s">
        <v>435</v>
      </c>
      <c r="AC181" t="s">
        <v>425</v>
      </c>
      <c r="AD181" t="s">
        <v>27</v>
      </c>
      <c r="AE181">
        <v>111.133</v>
      </c>
      <c r="AF181">
        <v>1.027287859172453</v>
      </c>
      <c r="AG181">
        <v>114.1655816534122</v>
      </c>
      <c r="AH181">
        <v>625.54</v>
      </c>
      <c r="AI181">
        <v>1</v>
      </c>
      <c r="AJ181">
        <v>71.4151379474755</v>
      </c>
      <c r="AK181">
        <v>0.95599999999999996</v>
      </c>
      <c r="AL181" s="62">
        <v>68.272999999999996</v>
      </c>
      <c r="AM181">
        <v>8.9176000000000002</v>
      </c>
      <c r="AN181">
        <v>9.1609422129562699</v>
      </c>
      <c r="AO181">
        <v>1</v>
      </c>
      <c r="AP181">
        <v>5730.5357918926647</v>
      </c>
      <c r="AQ181">
        <v>1.0027686628383921</v>
      </c>
      <c r="AR181">
        <v>5746.4017000000003</v>
      </c>
      <c r="AS181" s="60">
        <v>1152838.397004606</v>
      </c>
      <c r="AT181" t="s">
        <v>343</v>
      </c>
      <c r="AU181" t="s">
        <v>435</v>
      </c>
      <c r="AV181" t="s">
        <v>425</v>
      </c>
      <c r="AW181" t="s">
        <v>27</v>
      </c>
      <c r="AX181">
        <v>111.133</v>
      </c>
      <c r="AY181">
        <v>1.027287859172453</v>
      </c>
      <c r="AZ181">
        <v>114.1655816534122</v>
      </c>
      <c r="BA181">
        <v>636.15</v>
      </c>
      <c r="BB181">
        <v>1</v>
      </c>
      <c r="BC181">
        <v>72.6264347688182</v>
      </c>
      <c r="BD181">
        <v>0.95599999999999996</v>
      </c>
      <c r="BE181" s="62">
        <v>69.430999999999997</v>
      </c>
      <c r="BF181">
        <v>8.9176000000000002</v>
      </c>
      <c r="BG181">
        <v>1</v>
      </c>
      <c r="BH181">
        <v>5827.7333887721306</v>
      </c>
      <c r="BI181">
        <v>1.0027686628383921</v>
      </c>
      <c r="BJ181" s="62">
        <v>5843.8684000000003</v>
      </c>
      <c r="BK181" s="60">
        <v>1172392.0864359119</v>
      </c>
    </row>
    <row r="182" spans="1:63" x14ac:dyDescent="0.25">
      <c r="A182">
        <v>513</v>
      </c>
      <c r="B182" t="s">
        <v>139</v>
      </c>
      <c r="C182">
        <v>2018</v>
      </c>
      <c r="D182">
        <v>7</v>
      </c>
      <c r="E182" t="s">
        <v>100</v>
      </c>
      <c r="F182" t="s">
        <v>426</v>
      </c>
      <c r="G182" t="s">
        <v>427</v>
      </c>
      <c r="H182" t="s">
        <v>84</v>
      </c>
      <c r="I182" t="s">
        <v>428</v>
      </c>
      <c r="J182" t="s">
        <v>381</v>
      </c>
      <c r="K182">
        <v>-1342.4478473199999</v>
      </c>
      <c r="L182" t="s">
        <v>381</v>
      </c>
      <c r="M182" t="s">
        <v>384</v>
      </c>
      <c r="N182">
        <v>0.20175712613847999</v>
      </c>
      <c r="O182">
        <v>270.84841966607218</v>
      </c>
      <c r="P182" t="s">
        <v>440</v>
      </c>
      <c r="Q182">
        <v>2</v>
      </c>
      <c r="R182">
        <v>30.199670000000001</v>
      </c>
      <c r="S182">
        <v>7.6999999999999999E-2</v>
      </c>
      <c r="T182">
        <v>2.3253746</v>
      </c>
      <c r="U182">
        <v>1.9E-2</v>
      </c>
      <c r="V182">
        <v>44.182000000000002</v>
      </c>
      <c r="W182">
        <v>2</v>
      </c>
      <c r="X182">
        <v>3.3284737620000002E-3</v>
      </c>
      <c r="Y182">
        <v>0.29411700000000002</v>
      </c>
      <c r="Z182" s="60">
        <v>79.661124999999998</v>
      </c>
      <c r="AA182" t="s">
        <v>343</v>
      </c>
      <c r="AB182" t="s">
        <v>435</v>
      </c>
      <c r="AC182" t="s">
        <v>425</v>
      </c>
      <c r="AD182" t="s">
        <v>81</v>
      </c>
      <c r="AE182">
        <v>111.133</v>
      </c>
      <c r="AF182">
        <v>1.027287859172453</v>
      </c>
      <c r="AG182">
        <v>114.1655816534122</v>
      </c>
      <c r="AH182">
        <v>625.54</v>
      </c>
      <c r="AI182">
        <v>1</v>
      </c>
      <c r="AJ182">
        <v>71.4151379474755</v>
      </c>
      <c r="AK182">
        <v>0.92730000000000001</v>
      </c>
      <c r="AL182" s="62">
        <v>66.222999999999999</v>
      </c>
      <c r="AM182">
        <v>8.9176000000000002</v>
      </c>
      <c r="AN182">
        <v>9.1609422129562699</v>
      </c>
      <c r="AO182">
        <v>1</v>
      </c>
      <c r="AP182">
        <v>5730.5357918926647</v>
      </c>
      <c r="AQ182">
        <v>1.094557195571956</v>
      </c>
      <c r="AR182">
        <v>6272.3991999999998</v>
      </c>
      <c r="AS182" s="60">
        <v>499666.37672110001</v>
      </c>
      <c r="AT182" t="s">
        <v>346</v>
      </c>
      <c r="AU182" t="s">
        <v>436</v>
      </c>
      <c r="AV182" t="s">
        <v>425</v>
      </c>
      <c r="AW182" t="s">
        <v>81</v>
      </c>
      <c r="AX182">
        <v>111.133</v>
      </c>
      <c r="AY182">
        <v>1.0368587857491129</v>
      </c>
      <c r="AZ182">
        <v>115.2292274366562</v>
      </c>
      <c r="BA182">
        <v>652.41</v>
      </c>
      <c r="BB182">
        <v>1</v>
      </c>
      <c r="BC182">
        <v>75.17670027194886</v>
      </c>
      <c r="BD182">
        <v>0.90990000000000004</v>
      </c>
      <c r="BE182" s="62">
        <v>68.403000000000006</v>
      </c>
      <c r="BF182">
        <v>8.9176000000000002</v>
      </c>
      <c r="BG182">
        <v>1</v>
      </c>
      <c r="BH182">
        <v>6032.3733035653786</v>
      </c>
      <c r="BI182">
        <v>1.053620848708487</v>
      </c>
      <c r="BJ182" s="62">
        <v>6355.8343000000004</v>
      </c>
      <c r="BK182" s="60">
        <v>506312.91065158747</v>
      </c>
    </row>
    <row r="183" spans="1:63" x14ac:dyDescent="0.25">
      <c r="A183">
        <v>513</v>
      </c>
      <c r="B183" t="s">
        <v>139</v>
      </c>
      <c r="C183">
        <v>2018</v>
      </c>
      <c r="D183">
        <v>7</v>
      </c>
      <c r="E183" t="s">
        <v>100</v>
      </c>
      <c r="F183" t="s">
        <v>426</v>
      </c>
      <c r="G183" t="s">
        <v>427</v>
      </c>
      <c r="H183" t="s">
        <v>84</v>
      </c>
      <c r="I183" t="s">
        <v>429</v>
      </c>
      <c r="J183" t="s">
        <v>87</v>
      </c>
      <c r="K183">
        <v>-252.99031909000001</v>
      </c>
      <c r="L183" t="s">
        <v>87</v>
      </c>
      <c r="M183" t="s">
        <v>384</v>
      </c>
      <c r="N183">
        <v>0.19825300619041</v>
      </c>
      <c r="O183">
        <v>50.156091296663568</v>
      </c>
      <c r="P183" t="s">
        <v>440</v>
      </c>
      <c r="Q183">
        <v>2</v>
      </c>
      <c r="R183">
        <v>30.199670000000001</v>
      </c>
      <c r="S183">
        <v>7.6999999999999999E-2</v>
      </c>
      <c r="T183">
        <v>2.3253746</v>
      </c>
      <c r="U183">
        <v>1.9E-2</v>
      </c>
      <c r="V183">
        <v>44.182000000000002</v>
      </c>
      <c r="W183">
        <v>2</v>
      </c>
      <c r="X183">
        <v>3.3284737620000002E-3</v>
      </c>
      <c r="Y183">
        <v>0.29411700000000002</v>
      </c>
      <c r="Z183" s="60">
        <v>14.751759</v>
      </c>
      <c r="AA183" t="s">
        <v>343</v>
      </c>
      <c r="AB183" t="s">
        <v>435</v>
      </c>
      <c r="AC183" t="s">
        <v>425</v>
      </c>
      <c r="AD183" t="s">
        <v>81</v>
      </c>
      <c r="AE183">
        <v>111.133</v>
      </c>
      <c r="AF183">
        <v>1.027287859172453</v>
      </c>
      <c r="AG183">
        <v>114.1655816534122</v>
      </c>
      <c r="AH183">
        <v>625.54</v>
      </c>
      <c r="AI183">
        <v>1</v>
      </c>
      <c r="AJ183">
        <v>71.4151379474755</v>
      </c>
      <c r="AK183">
        <v>0.92730000000000001</v>
      </c>
      <c r="AL183" s="62">
        <v>66.222999999999999</v>
      </c>
      <c r="AM183">
        <v>8.9176000000000002</v>
      </c>
      <c r="AN183">
        <v>9.1609422129562699</v>
      </c>
      <c r="AO183">
        <v>1</v>
      </c>
      <c r="AP183">
        <v>5730.5357918926647</v>
      </c>
      <c r="AQ183">
        <v>1.094557195571956</v>
      </c>
      <c r="AR183">
        <v>6272.3991999999998</v>
      </c>
      <c r="AS183" s="60">
        <v>92528.921350192802</v>
      </c>
      <c r="AT183" t="s">
        <v>346</v>
      </c>
      <c r="AU183" t="s">
        <v>436</v>
      </c>
      <c r="AV183" t="s">
        <v>425</v>
      </c>
      <c r="AW183" t="s">
        <v>81</v>
      </c>
      <c r="AX183">
        <v>111.133</v>
      </c>
      <c r="AY183">
        <v>1.0368587857491129</v>
      </c>
      <c r="AZ183">
        <v>115.2292274366562</v>
      </c>
      <c r="BA183">
        <v>652.41</v>
      </c>
      <c r="BB183">
        <v>1</v>
      </c>
      <c r="BC183">
        <v>75.17670027194886</v>
      </c>
      <c r="BD183">
        <v>0.90990000000000004</v>
      </c>
      <c r="BE183" s="62">
        <v>68.403000000000006</v>
      </c>
      <c r="BF183">
        <v>8.9176000000000002</v>
      </c>
      <c r="BG183">
        <v>1</v>
      </c>
      <c r="BH183">
        <v>6032.3733035653786</v>
      </c>
      <c r="BI183">
        <v>1.053620848708487</v>
      </c>
      <c r="BJ183" s="62">
        <v>6355.8343000000004</v>
      </c>
      <c r="BK183" s="60">
        <v>93759.735837533706</v>
      </c>
    </row>
    <row r="184" spans="1:63" x14ac:dyDescent="0.25">
      <c r="A184">
        <v>513</v>
      </c>
      <c r="B184" t="s">
        <v>139</v>
      </c>
      <c r="C184">
        <v>2018</v>
      </c>
      <c r="D184">
        <v>7</v>
      </c>
      <c r="E184" t="s">
        <v>100</v>
      </c>
      <c r="F184" t="s">
        <v>426</v>
      </c>
      <c r="G184" t="s">
        <v>427</v>
      </c>
      <c r="H184" t="s">
        <v>84</v>
      </c>
      <c r="I184" t="s">
        <v>430</v>
      </c>
      <c r="J184" t="s">
        <v>59</v>
      </c>
      <c r="K184">
        <v>-735.08000726</v>
      </c>
      <c r="L184" t="s">
        <v>59</v>
      </c>
      <c r="M184" t="s">
        <v>384</v>
      </c>
      <c r="N184">
        <v>0.19448562178723</v>
      </c>
      <c r="O184">
        <v>142.9624922753226</v>
      </c>
      <c r="P184" t="s">
        <v>440</v>
      </c>
      <c r="Q184">
        <v>2</v>
      </c>
      <c r="R184">
        <v>30.199670000000001</v>
      </c>
      <c r="S184">
        <v>7.6999999999999999E-2</v>
      </c>
      <c r="T184">
        <v>2.3253746</v>
      </c>
      <c r="U184">
        <v>1.9E-2</v>
      </c>
      <c r="V184">
        <v>44.182000000000002</v>
      </c>
      <c r="W184">
        <v>2</v>
      </c>
      <c r="X184">
        <v>3.3284737620000002E-3</v>
      </c>
      <c r="Y184">
        <v>0.29411700000000002</v>
      </c>
      <c r="Z184" s="60">
        <v>42.047699000000001</v>
      </c>
      <c r="AA184" t="s">
        <v>343</v>
      </c>
      <c r="AB184" t="s">
        <v>435</v>
      </c>
      <c r="AC184" t="s">
        <v>425</v>
      </c>
      <c r="AD184" t="s">
        <v>81</v>
      </c>
      <c r="AE184">
        <v>111.133</v>
      </c>
      <c r="AF184">
        <v>1.027287859172453</v>
      </c>
      <c r="AG184">
        <v>114.1655816534122</v>
      </c>
      <c r="AH184">
        <v>625.54</v>
      </c>
      <c r="AI184">
        <v>1</v>
      </c>
      <c r="AJ184">
        <v>71.4151379474755</v>
      </c>
      <c r="AK184">
        <v>0.92730000000000001</v>
      </c>
      <c r="AL184" s="62">
        <v>66.222999999999999</v>
      </c>
      <c r="AM184">
        <v>8.9176000000000002</v>
      </c>
      <c r="AN184">
        <v>9.1609422129562699</v>
      </c>
      <c r="AO184">
        <v>1</v>
      </c>
      <c r="AP184">
        <v>5730.5357918926647</v>
      </c>
      <c r="AQ184">
        <v>1.094557195571956</v>
      </c>
      <c r="AR184">
        <v>6272.3991999999998</v>
      </c>
      <c r="AS184" s="60">
        <v>263739.95356944081</v>
      </c>
      <c r="AT184" t="s">
        <v>346</v>
      </c>
      <c r="AU184" t="s">
        <v>436</v>
      </c>
      <c r="AV184" t="s">
        <v>425</v>
      </c>
      <c r="AW184" t="s">
        <v>81</v>
      </c>
      <c r="AX184">
        <v>111.133</v>
      </c>
      <c r="AY184">
        <v>1.0368587857491129</v>
      </c>
      <c r="AZ184">
        <v>115.2292274366562</v>
      </c>
      <c r="BA184">
        <v>652.41</v>
      </c>
      <c r="BB184">
        <v>1</v>
      </c>
      <c r="BC184">
        <v>75.17670027194886</v>
      </c>
      <c r="BD184">
        <v>0.90990000000000004</v>
      </c>
      <c r="BE184" s="62">
        <v>68.403000000000006</v>
      </c>
      <c r="BF184">
        <v>8.9176000000000002</v>
      </c>
      <c r="BG184">
        <v>1</v>
      </c>
      <c r="BH184">
        <v>6032.3733035653786</v>
      </c>
      <c r="BI184">
        <v>1.053620848708487</v>
      </c>
      <c r="BJ184" s="62">
        <v>6355.8343000000004</v>
      </c>
      <c r="BK184" s="60">
        <v>267248.2075402757</v>
      </c>
    </row>
    <row r="185" spans="1:63" x14ac:dyDescent="0.25">
      <c r="A185">
        <v>515</v>
      </c>
      <c r="B185" t="s">
        <v>139</v>
      </c>
      <c r="C185">
        <v>2018</v>
      </c>
      <c r="D185">
        <v>7</v>
      </c>
      <c r="E185" t="s">
        <v>100</v>
      </c>
      <c r="F185" t="s">
        <v>426</v>
      </c>
      <c r="G185" t="s">
        <v>427</v>
      </c>
      <c r="H185" t="s">
        <v>84</v>
      </c>
      <c r="I185" t="s">
        <v>428</v>
      </c>
      <c r="J185" t="s">
        <v>381</v>
      </c>
      <c r="K185">
        <v>-1342.4478473199999</v>
      </c>
      <c r="L185" t="s">
        <v>381</v>
      </c>
      <c r="M185" t="s">
        <v>385</v>
      </c>
      <c r="N185">
        <v>0.45395728808484997</v>
      </c>
      <c r="O185">
        <v>609.41398416473191</v>
      </c>
      <c r="P185" t="s">
        <v>440</v>
      </c>
      <c r="Q185">
        <v>2</v>
      </c>
      <c r="R185">
        <v>30.199670000000001</v>
      </c>
      <c r="S185">
        <v>7.6999999999999999E-2</v>
      </c>
      <c r="T185">
        <v>2.3253746</v>
      </c>
      <c r="U185">
        <v>0.98099999999999998</v>
      </c>
      <c r="V185">
        <v>2281.192</v>
      </c>
      <c r="W185">
        <v>2</v>
      </c>
      <c r="X185">
        <v>6.4465770999999996E-5</v>
      </c>
      <c r="Y185">
        <v>0.29411799999999999</v>
      </c>
      <c r="Z185" s="60">
        <v>179.239622</v>
      </c>
      <c r="AA185" t="s">
        <v>343</v>
      </c>
      <c r="AB185" t="s">
        <v>435</v>
      </c>
      <c r="AC185" t="s">
        <v>425</v>
      </c>
      <c r="AD185" t="s">
        <v>27</v>
      </c>
      <c r="AE185">
        <v>111.133</v>
      </c>
      <c r="AF185">
        <v>1.027287859172453</v>
      </c>
      <c r="AG185">
        <v>114.1655816534122</v>
      </c>
      <c r="AH185">
        <v>625.54</v>
      </c>
      <c r="AI185">
        <v>1</v>
      </c>
      <c r="AJ185">
        <v>71.4151379474755</v>
      </c>
      <c r="AK185">
        <v>0.95599999999999996</v>
      </c>
      <c r="AL185" s="62">
        <v>68.272999999999996</v>
      </c>
      <c r="AM185">
        <v>8.9176000000000002</v>
      </c>
      <c r="AN185">
        <v>9.1609422129562699</v>
      </c>
      <c r="AO185">
        <v>1</v>
      </c>
      <c r="AP185">
        <v>5730.5357918926647</v>
      </c>
      <c r="AQ185">
        <v>1.0027686628383921</v>
      </c>
      <c r="AR185">
        <v>5746.4017000000003</v>
      </c>
      <c r="AS185" s="60">
        <v>1029982.868568157</v>
      </c>
      <c r="AT185" t="s">
        <v>346</v>
      </c>
      <c r="AU185" t="s">
        <v>436</v>
      </c>
      <c r="AV185" t="s">
        <v>425</v>
      </c>
      <c r="AW185" t="s">
        <v>27</v>
      </c>
      <c r="AX185">
        <v>111.133</v>
      </c>
      <c r="AY185">
        <v>1.0368587857491129</v>
      </c>
      <c r="AZ185">
        <v>115.2292274366562</v>
      </c>
      <c r="BA185">
        <v>652.41</v>
      </c>
      <c r="BB185">
        <v>1</v>
      </c>
      <c r="BC185">
        <v>75.17670027194886</v>
      </c>
      <c r="BD185">
        <v>0.93979999999999997</v>
      </c>
      <c r="BE185" s="62">
        <v>70.650999999999996</v>
      </c>
      <c r="BF185">
        <v>8.9176000000000002</v>
      </c>
      <c r="BG185">
        <v>1</v>
      </c>
      <c r="BH185">
        <v>6032.3733035653786</v>
      </c>
      <c r="BI185">
        <v>0.95477850697292876</v>
      </c>
      <c r="BJ185" s="62">
        <v>5759.5803999999998</v>
      </c>
      <c r="BK185" s="60">
        <v>1032345.013774609</v>
      </c>
    </row>
    <row r="186" spans="1:63" x14ac:dyDescent="0.25">
      <c r="A186">
        <v>515</v>
      </c>
      <c r="B186" t="s">
        <v>139</v>
      </c>
      <c r="C186">
        <v>2018</v>
      </c>
      <c r="D186">
        <v>7</v>
      </c>
      <c r="E186" t="s">
        <v>100</v>
      </c>
      <c r="F186" t="s">
        <v>426</v>
      </c>
      <c r="G186" t="s">
        <v>427</v>
      </c>
      <c r="H186" t="s">
        <v>84</v>
      </c>
      <c r="I186" t="s">
        <v>429</v>
      </c>
      <c r="J186" t="s">
        <v>87</v>
      </c>
      <c r="K186">
        <v>-252.99031909000001</v>
      </c>
      <c r="L186" t="s">
        <v>87</v>
      </c>
      <c r="M186" t="s">
        <v>385</v>
      </c>
      <c r="N186">
        <v>0.39630375236307003</v>
      </c>
      <c r="O186">
        <v>100.26101276689739</v>
      </c>
      <c r="P186" t="s">
        <v>440</v>
      </c>
      <c r="Q186">
        <v>2</v>
      </c>
      <c r="R186">
        <v>30.199670000000001</v>
      </c>
      <c r="S186">
        <v>7.6999999999999999E-2</v>
      </c>
      <c r="T186">
        <v>2.3253746</v>
      </c>
      <c r="U186">
        <v>0.98099999999999998</v>
      </c>
      <c r="V186">
        <v>2281.192</v>
      </c>
      <c r="W186">
        <v>2</v>
      </c>
      <c r="X186">
        <v>6.4465770999999996E-5</v>
      </c>
      <c r="Y186">
        <v>0.29411799999999999</v>
      </c>
      <c r="Z186" s="60">
        <v>29.488568999999998</v>
      </c>
      <c r="AA186" t="s">
        <v>343</v>
      </c>
      <c r="AB186" t="s">
        <v>435</v>
      </c>
      <c r="AC186" t="s">
        <v>425</v>
      </c>
      <c r="AD186" t="s">
        <v>27</v>
      </c>
      <c r="AE186">
        <v>111.133</v>
      </c>
      <c r="AF186">
        <v>1.027287859172453</v>
      </c>
      <c r="AG186">
        <v>114.1655816534122</v>
      </c>
      <c r="AH186">
        <v>625.54</v>
      </c>
      <c r="AI186">
        <v>1</v>
      </c>
      <c r="AJ186">
        <v>71.4151379474755</v>
      </c>
      <c r="AK186">
        <v>0.95599999999999996</v>
      </c>
      <c r="AL186" s="62">
        <v>68.272999999999996</v>
      </c>
      <c r="AM186">
        <v>8.9176000000000002</v>
      </c>
      <c r="AN186">
        <v>9.1609422129562699</v>
      </c>
      <c r="AO186">
        <v>1</v>
      </c>
      <c r="AP186">
        <v>5730.5357918926647</v>
      </c>
      <c r="AQ186">
        <v>1.0027686628383921</v>
      </c>
      <c r="AR186">
        <v>5746.4017000000003</v>
      </c>
      <c r="AS186" s="60">
        <v>169453.1630321673</v>
      </c>
      <c r="AT186" t="s">
        <v>346</v>
      </c>
      <c r="AU186" t="s">
        <v>436</v>
      </c>
      <c r="AV186" t="s">
        <v>425</v>
      </c>
      <c r="AW186" t="s">
        <v>27</v>
      </c>
      <c r="AX186">
        <v>111.133</v>
      </c>
      <c r="AY186">
        <v>1.0368587857491129</v>
      </c>
      <c r="AZ186">
        <v>115.2292274366562</v>
      </c>
      <c r="BA186">
        <v>652.41</v>
      </c>
      <c r="BB186">
        <v>1</v>
      </c>
      <c r="BC186">
        <v>75.17670027194886</v>
      </c>
      <c r="BD186">
        <v>0.93979999999999997</v>
      </c>
      <c r="BE186" s="62">
        <v>70.650999999999996</v>
      </c>
      <c r="BF186">
        <v>8.9176000000000002</v>
      </c>
      <c r="BG186">
        <v>1</v>
      </c>
      <c r="BH186">
        <v>6032.3733035653786</v>
      </c>
      <c r="BI186">
        <v>0.95477850697292876</v>
      </c>
      <c r="BJ186" s="62">
        <v>5759.5803999999998</v>
      </c>
      <c r="BK186" s="60">
        <v>169841.78403644761</v>
      </c>
    </row>
    <row r="187" spans="1:63" x14ac:dyDescent="0.25">
      <c r="A187">
        <v>515</v>
      </c>
      <c r="B187" t="s">
        <v>139</v>
      </c>
      <c r="C187">
        <v>2018</v>
      </c>
      <c r="D187">
        <v>7</v>
      </c>
      <c r="E187" t="s">
        <v>100</v>
      </c>
      <c r="F187" t="s">
        <v>426</v>
      </c>
      <c r="G187" t="s">
        <v>427</v>
      </c>
      <c r="H187" t="s">
        <v>84</v>
      </c>
      <c r="I187" t="s">
        <v>430</v>
      </c>
      <c r="J187" t="s">
        <v>59</v>
      </c>
      <c r="K187">
        <v>-735.08000726</v>
      </c>
      <c r="L187" t="s">
        <v>59</v>
      </c>
      <c r="M187" t="s">
        <v>385</v>
      </c>
      <c r="N187">
        <v>0.43959706019025002</v>
      </c>
      <c r="O187">
        <v>323.13901019612359</v>
      </c>
      <c r="P187" t="s">
        <v>440</v>
      </c>
      <c r="Q187">
        <v>2</v>
      </c>
      <c r="R187">
        <v>30.199670000000001</v>
      </c>
      <c r="S187">
        <v>7.6999999999999999E-2</v>
      </c>
      <c r="T187">
        <v>2.3253746</v>
      </c>
      <c r="U187">
        <v>0.98099999999999998</v>
      </c>
      <c r="V187">
        <v>2281.192</v>
      </c>
      <c r="W187">
        <v>2</v>
      </c>
      <c r="X187">
        <v>6.4465770999999996E-5</v>
      </c>
      <c r="Y187">
        <v>0.29411799999999999</v>
      </c>
      <c r="Z187" s="60">
        <v>95.040998999999999</v>
      </c>
      <c r="AA187" t="s">
        <v>343</v>
      </c>
      <c r="AB187" t="s">
        <v>435</v>
      </c>
      <c r="AC187" t="s">
        <v>425</v>
      </c>
      <c r="AD187" t="s">
        <v>27</v>
      </c>
      <c r="AE187">
        <v>111.133</v>
      </c>
      <c r="AF187">
        <v>1.027287859172453</v>
      </c>
      <c r="AG187">
        <v>114.1655816534122</v>
      </c>
      <c r="AH187">
        <v>625.54</v>
      </c>
      <c r="AI187">
        <v>1</v>
      </c>
      <c r="AJ187">
        <v>71.4151379474755</v>
      </c>
      <c r="AK187">
        <v>0.95599999999999996</v>
      </c>
      <c r="AL187" s="62">
        <v>68.272999999999996</v>
      </c>
      <c r="AM187">
        <v>8.9176000000000002</v>
      </c>
      <c r="AN187">
        <v>9.1609422129562699</v>
      </c>
      <c r="AO187">
        <v>1</v>
      </c>
      <c r="AP187">
        <v>5730.5357918926647</v>
      </c>
      <c r="AQ187">
        <v>1.0027686628383921</v>
      </c>
      <c r="AR187">
        <v>5746.4017000000003</v>
      </c>
      <c r="AS187" s="60">
        <v>546143.75822329836</v>
      </c>
      <c r="AT187" t="s">
        <v>346</v>
      </c>
      <c r="AU187" t="s">
        <v>436</v>
      </c>
      <c r="AV187" t="s">
        <v>425</v>
      </c>
      <c r="AW187" t="s">
        <v>27</v>
      </c>
      <c r="AX187">
        <v>111.133</v>
      </c>
      <c r="AY187">
        <v>1.0368587857491129</v>
      </c>
      <c r="AZ187">
        <v>115.2292274366562</v>
      </c>
      <c r="BA187">
        <v>652.41</v>
      </c>
      <c r="BB187">
        <v>1</v>
      </c>
      <c r="BC187">
        <v>75.17670027194886</v>
      </c>
      <c r="BD187">
        <v>0.93979999999999997</v>
      </c>
      <c r="BE187" s="62">
        <v>70.650999999999996</v>
      </c>
      <c r="BF187">
        <v>8.9176000000000002</v>
      </c>
      <c r="BG187">
        <v>1</v>
      </c>
      <c r="BH187">
        <v>6032.3733035653786</v>
      </c>
      <c r="BI187">
        <v>0.95477850697292876</v>
      </c>
      <c r="BJ187" s="62">
        <v>5759.5803999999998</v>
      </c>
      <c r="BK187" s="60">
        <v>547396.27503681963</v>
      </c>
    </row>
    <row r="188" spans="1:63" x14ac:dyDescent="0.25">
      <c r="A188">
        <v>533</v>
      </c>
      <c r="B188" t="s">
        <v>140</v>
      </c>
      <c r="C188">
        <v>2018</v>
      </c>
      <c r="D188">
        <v>8</v>
      </c>
      <c r="E188" t="s">
        <v>100</v>
      </c>
      <c r="F188" t="s">
        <v>426</v>
      </c>
      <c r="G188" t="s">
        <v>427</v>
      </c>
      <c r="H188" t="s">
        <v>84</v>
      </c>
      <c r="I188" t="s">
        <v>428</v>
      </c>
      <c r="J188" t="s">
        <v>381</v>
      </c>
      <c r="K188">
        <v>-1224.73443279</v>
      </c>
      <c r="L188" t="s">
        <v>381</v>
      </c>
      <c r="M188" t="s">
        <v>384</v>
      </c>
      <c r="N188">
        <v>0.20160579082968999</v>
      </c>
      <c r="O188">
        <v>246.91355387897971</v>
      </c>
      <c r="P188" t="s">
        <v>440</v>
      </c>
      <c r="Q188">
        <v>2</v>
      </c>
      <c r="R188">
        <v>30.199670000000001</v>
      </c>
      <c r="S188">
        <v>5.3999999999999999E-2</v>
      </c>
      <c r="T188">
        <v>1.6307822000000001</v>
      </c>
      <c r="U188">
        <v>1.9E-2</v>
      </c>
      <c r="V188">
        <v>30.984999999999999</v>
      </c>
      <c r="W188">
        <v>2</v>
      </c>
      <c r="X188">
        <v>4.7461520570000002E-3</v>
      </c>
      <c r="Y188">
        <v>0.29411900000000002</v>
      </c>
      <c r="Z188" s="60">
        <v>72.621967999999995</v>
      </c>
      <c r="AA188" t="s">
        <v>343</v>
      </c>
      <c r="AB188" t="s">
        <v>435</v>
      </c>
      <c r="AC188" t="s">
        <v>425</v>
      </c>
      <c r="AD188" t="s">
        <v>81</v>
      </c>
      <c r="AE188">
        <v>111.133</v>
      </c>
      <c r="AF188">
        <v>1.027287859172453</v>
      </c>
      <c r="AG188">
        <v>114.1655816534122</v>
      </c>
      <c r="AH188">
        <v>625.54</v>
      </c>
      <c r="AI188">
        <v>1</v>
      </c>
      <c r="AJ188">
        <v>71.4151379474755</v>
      </c>
      <c r="AK188">
        <v>0.92730000000000001</v>
      </c>
      <c r="AL188" s="62">
        <v>66.222999999999999</v>
      </c>
      <c r="AM188">
        <v>8.9176000000000002</v>
      </c>
      <c r="AN188">
        <v>9.1609422129562699</v>
      </c>
      <c r="AO188">
        <v>1</v>
      </c>
      <c r="AP188">
        <v>5730.5357918926647</v>
      </c>
      <c r="AQ188">
        <v>1.094557195571956</v>
      </c>
      <c r="AR188">
        <v>6272.3991999999998</v>
      </c>
      <c r="AS188" s="60">
        <v>455513.97398562549</v>
      </c>
      <c r="AT188" t="s">
        <v>346</v>
      </c>
      <c r="AU188" t="s">
        <v>436</v>
      </c>
      <c r="AV188" t="s">
        <v>425</v>
      </c>
      <c r="AW188" t="s">
        <v>81</v>
      </c>
      <c r="AX188">
        <v>111.133</v>
      </c>
      <c r="AY188">
        <v>1.0368587857491129</v>
      </c>
      <c r="AZ188">
        <v>115.2292274366562</v>
      </c>
      <c r="BA188">
        <v>656.25</v>
      </c>
      <c r="BB188">
        <v>1</v>
      </c>
      <c r="BC188">
        <v>75.619180505305636</v>
      </c>
      <c r="BD188">
        <v>0.90990000000000004</v>
      </c>
      <c r="BE188" s="62">
        <v>68.805999999999997</v>
      </c>
      <c r="BF188">
        <v>8.9176000000000002</v>
      </c>
      <c r="BG188">
        <v>1</v>
      </c>
      <c r="BH188">
        <v>6067.879064491317</v>
      </c>
      <c r="BI188">
        <v>1.053620848708487</v>
      </c>
      <c r="BJ188" s="62">
        <v>6393.2439000000004</v>
      </c>
      <c r="BK188" s="60">
        <v>464289.95392199518</v>
      </c>
    </row>
    <row r="189" spans="1:63" x14ac:dyDescent="0.25">
      <c r="A189">
        <v>533</v>
      </c>
      <c r="B189" t="s">
        <v>140</v>
      </c>
      <c r="C189">
        <v>2018</v>
      </c>
      <c r="D189">
        <v>8</v>
      </c>
      <c r="E189" t="s">
        <v>100</v>
      </c>
      <c r="F189" t="s">
        <v>426</v>
      </c>
      <c r="G189" t="s">
        <v>427</v>
      </c>
      <c r="H189" t="s">
        <v>84</v>
      </c>
      <c r="I189" t="s">
        <v>429</v>
      </c>
      <c r="J189" t="s">
        <v>87</v>
      </c>
      <c r="K189">
        <v>-241.96369261000001</v>
      </c>
      <c r="L189" t="s">
        <v>87</v>
      </c>
      <c r="M189" t="s">
        <v>384</v>
      </c>
      <c r="N189">
        <v>0.19810429927807999</v>
      </c>
      <c r="O189">
        <v>47.934047775240799</v>
      </c>
      <c r="P189" t="s">
        <v>440</v>
      </c>
      <c r="Q189">
        <v>2</v>
      </c>
      <c r="R189">
        <v>30.199670000000001</v>
      </c>
      <c r="S189">
        <v>5.3999999999999999E-2</v>
      </c>
      <c r="T189">
        <v>1.6307822000000001</v>
      </c>
      <c r="U189">
        <v>1.9E-2</v>
      </c>
      <c r="V189">
        <v>30.984999999999999</v>
      </c>
      <c r="W189">
        <v>2</v>
      </c>
      <c r="X189">
        <v>4.7461520570000002E-3</v>
      </c>
      <c r="Y189">
        <v>0.29411900000000002</v>
      </c>
      <c r="Z189" s="60">
        <v>14.098314</v>
      </c>
      <c r="AA189" t="s">
        <v>343</v>
      </c>
      <c r="AB189" t="s">
        <v>435</v>
      </c>
      <c r="AC189" t="s">
        <v>425</v>
      </c>
      <c r="AD189" t="s">
        <v>81</v>
      </c>
      <c r="AE189">
        <v>111.133</v>
      </c>
      <c r="AF189">
        <v>1.027287859172453</v>
      </c>
      <c r="AG189">
        <v>114.1655816534122</v>
      </c>
      <c r="AH189">
        <v>625.54</v>
      </c>
      <c r="AI189">
        <v>1</v>
      </c>
      <c r="AJ189">
        <v>71.4151379474755</v>
      </c>
      <c r="AK189">
        <v>0.92730000000000001</v>
      </c>
      <c r="AL189" s="62">
        <v>66.222999999999999</v>
      </c>
      <c r="AM189">
        <v>8.9176000000000002</v>
      </c>
      <c r="AN189">
        <v>9.1609422129562699</v>
      </c>
      <c r="AO189">
        <v>1</v>
      </c>
      <c r="AP189">
        <v>5730.5357918926647</v>
      </c>
      <c r="AQ189">
        <v>1.094557195571956</v>
      </c>
      <c r="AR189">
        <v>6272.3991999999998</v>
      </c>
      <c r="AS189" s="60">
        <v>88430.253454948805</v>
      </c>
      <c r="AT189" t="s">
        <v>346</v>
      </c>
      <c r="AU189" t="s">
        <v>436</v>
      </c>
      <c r="AV189" t="s">
        <v>425</v>
      </c>
      <c r="AW189" t="s">
        <v>81</v>
      </c>
      <c r="AX189">
        <v>111.133</v>
      </c>
      <c r="AY189">
        <v>1.0368587857491129</v>
      </c>
      <c r="AZ189">
        <v>115.2292274366562</v>
      </c>
      <c r="BA189">
        <v>656.25</v>
      </c>
      <c r="BB189">
        <v>1</v>
      </c>
      <c r="BC189">
        <v>75.619180505305636</v>
      </c>
      <c r="BD189">
        <v>0.90990000000000004</v>
      </c>
      <c r="BE189" s="62">
        <v>68.805999999999997</v>
      </c>
      <c r="BF189">
        <v>8.9176000000000002</v>
      </c>
      <c r="BG189">
        <v>1</v>
      </c>
      <c r="BH189">
        <v>6067.879064491317</v>
      </c>
      <c r="BI189">
        <v>1.053620848708487</v>
      </c>
      <c r="BJ189" s="62">
        <v>6393.2439000000004</v>
      </c>
      <c r="BK189" s="60">
        <v>90133.95998078461</v>
      </c>
    </row>
    <row r="190" spans="1:63" x14ac:dyDescent="0.25">
      <c r="A190">
        <v>533</v>
      </c>
      <c r="B190" t="s">
        <v>140</v>
      </c>
      <c r="C190">
        <v>2018</v>
      </c>
      <c r="D190">
        <v>8</v>
      </c>
      <c r="E190" t="s">
        <v>100</v>
      </c>
      <c r="F190" t="s">
        <v>426</v>
      </c>
      <c r="G190" t="s">
        <v>427</v>
      </c>
      <c r="H190" t="s">
        <v>84</v>
      </c>
      <c r="I190" t="s">
        <v>430</v>
      </c>
      <c r="J190" t="s">
        <v>59</v>
      </c>
      <c r="K190">
        <v>-666.51787973</v>
      </c>
      <c r="L190" t="s">
        <v>59</v>
      </c>
      <c r="M190" t="s">
        <v>384</v>
      </c>
      <c r="N190">
        <v>0.19433974073592999</v>
      </c>
      <c r="O190">
        <v>129.53091194259</v>
      </c>
      <c r="P190" t="s">
        <v>440</v>
      </c>
      <c r="Q190">
        <v>2</v>
      </c>
      <c r="R190">
        <v>30.199670000000001</v>
      </c>
      <c r="S190">
        <v>5.3999999999999999E-2</v>
      </c>
      <c r="T190">
        <v>1.6307822000000001</v>
      </c>
      <c r="U190">
        <v>1.9E-2</v>
      </c>
      <c r="V190">
        <v>30.984999999999999</v>
      </c>
      <c r="W190">
        <v>2</v>
      </c>
      <c r="X190">
        <v>4.7461520570000002E-3</v>
      </c>
      <c r="Y190">
        <v>0.29411900000000002</v>
      </c>
      <c r="Z190" s="60">
        <v>38.097501999999999</v>
      </c>
      <c r="AA190" t="s">
        <v>343</v>
      </c>
      <c r="AB190" t="s">
        <v>435</v>
      </c>
      <c r="AC190" t="s">
        <v>425</v>
      </c>
      <c r="AD190" t="s">
        <v>81</v>
      </c>
      <c r="AE190">
        <v>111.133</v>
      </c>
      <c r="AF190">
        <v>1.027287859172453</v>
      </c>
      <c r="AG190">
        <v>114.1655816534122</v>
      </c>
      <c r="AH190">
        <v>625.54</v>
      </c>
      <c r="AI190">
        <v>1</v>
      </c>
      <c r="AJ190">
        <v>71.4151379474755</v>
      </c>
      <c r="AK190">
        <v>0.92730000000000001</v>
      </c>
      <c r="AL190" s="62">
        <v>66.222999999999999</v>
      </c>
      <c r="AM190">
        <v>8.9176000000000002</v>
      </c>
      <c r="AN190">
        <v>9.1609422129562699</v>
      </c>
      <c r="AO190">
        <v>1</v>
      </c>
      <c r="AP190">
        <v>5730.5357918926647</v>
      </c>
      <c r="AQ190">
        <v>1.094557195571956</v>
      </c>
      <c r="AR190">
        <v>6272.3991999999998</v>
      </c>
      <c r="AS190" s="60">
        <v>238962.74106679839</v>
      </c>
      <c r="AT190" t="s">
        <v>346</v>
      </c>
      <c r="AU190" t="s">
        <v>436</v>
      </c>
      <c r="AV190" t="s">
        <v>425</v>
      </c>
      <c r="AW190" t="s">
        <v>81</v>
      </c>
      <c r="AX190">
        <v>111.133</v>
      </c>
      <c r="AY190">
        <v>1.0368587857491129</v>
      </c>
      <c r="AZ190">
        <v>115.2292274366562</v>
      </c>
      <c r="BA190">
        <v>656.25</v>
      </c>
      <c r="BB190">
        <v>1</v>
      </c>
      <c r="BC190">
        <v>75.619180505305636</v>
      </c>
      <c r="BD190">
        <v>0.90990000000000004</v>
      </c>
      <c r="BE190" s="62">
        <v>68.805999999999997</v>
      </c>
      <c r="BF190">
        <v>8.9176000000000002</v>
      </c>
      <c r="BG190">
        <v>1</v>
      </c>
      <c r="BH190">
        <v>6067.879064491317</v>
      </c>
      <c r="BI190">
        <v>1.053620848708487</v>
      </c>
      <c r="BJ190" s="62">
        <v>6393.2439000000004</v>
      </c>
      <c r="BK190" s="60">
        <v>243566.6222667378</v>
      </c>
    </row>
    <row r="191" spans="1:63" x14ac:dyDescent="0.25">
      <c r="A191">
        <v>535</v>
      </c>
      <c r="B191" t="s">
        <v>140</v>
      </c>
      <c r="C191">
        <v>2018</v>
      </c>
      <c r="D191">
        <v>8</v>
      </c>
      <c r="E191" t="s">
        <v>100</v>
      </c>
      <c r="F191" t="s">
        <v>426</v>
      </c>
      <c r="G191" t="s">
        <v>427</v>
      </c>
      <c r="H191" t="s">
        <v>84</v>
      </c>
      <c r="I191" t="s">
        <v>428</v>
      </c>
      <c r="J191" t="s">
        <v>381</v>
      </c>
      <c r="K191">
        <v>-1224.73443279</v>
      </c>
      <c r="L191" t="s">
        <v>381</v>
      </c>
      <c r="M191" t="s">
        <v>385</v>
      </c>
      <c r="N191">
        <v>0.45361678082336998</v>
      </c>
      <c r="O191">
        <v>555.56009076573582</v>
      </c>
      <c r="P191" t="s">
        <v>440</v>
      </c>
      <c r="Q191">
        <v>2</v>
      </c>
      <c r="R191">
        <v>30.199670000000001</v>
      </c>
      <c r="S191">
        <v>5.3999999999999999E-2</v>
      </c>
      <c r="T191">
        <v>1.6307822000000001</v>
      </c>
      <c r="U191">
        <v>0.98099999999999998</v>
      </c>
      <c r="V191">
        <v>1599.797</v>
      </c>
      <c r="W191">
        <v>2</v>
      </c>
      <c r="X191">
        <v>9.1923415999999999E-5</v>
      </c>
      <c r="Y191">
        <v>0.29411799999999999</v>
      </c>
      <c r="Z191" s="60">
        <v>163.40022300000001</v>
      </c>
      <c r="AA191" t="s">
        <v>343</v>
      </c>
      <c r="AB191" t="s">
        <v>435</v>
      </c>
      <c r="AC191" t="s">
        <v>425</v>
      </c>
      <c r="AD191" t="s">
        <v>27</v>
      </c>
      <c r="AE191">
        <v>111.133</v>
      </c>
      <c r="AF191">
        <v>1.027287859172453</v>
      </c>
      <c r="AG191">
        <v>114.1655816534122</v>
      </c>
      <c r="AH191">
        <v>625.54</v>
      </c>
      <c r="AI191">
        <v>1</v>
      </c>
      <c r="AJ191">
        <v>71.4151379474755</v>
      </c>
      <c r="AK191">
        <v>0.95599999999999996</v>
      </c>
      <c r="AL191" s="62">
        <v>68.272999999999996</v>
      </c>
      <c r="AM191">
        <v>8.9176000000000002</v>
      </c>
      <c r="AN191">
        <v>9.1609422129562699</v>
      </c>
      <c r="AO191">
        <v>1</v>
      </c>
      <c r="AP191">
        <v>5730.5357918926647</v>
      </c>
      <c r="AQ191">
        <v>1.0027686628383921</v>
      </c>
      <c r="AR191">
        <v>5746.4017000000003</v>
      </c>
      <c r="AS191" s="60">
        <v>938963.31922757917</v>
      </c>
      <c r="AT191" t="s">
        <v>346</v>
      </c>
      <c r="AU191" t="s">
        <v>436</v>
      </c>
      <c r="AV191" t="s">
        <v>425</v>
      </c>
      <c r="AW191" t="s">
        <v>27</v>
      </c>
      <c r="AX191">
        <v>111.133</v>
      </c>
      <c r="AY191">
        <v>1.0368587857491129</v>
      </c>
      <c r="AZ191">
        <v>115.2292274366562</v>
      </c>
      <c r="BA191">
        <v>656.25</v>
      </c>
      <c r="BB191">
        <v>1</v>
      </c>
      <c r="BC191">
        <v>75.619180505305636</v>
      </c>
      <c r="BD191">
        <v>0.93979999999999997</v>
      </c>
      <c r="BE191" s="62">
        <v>71.066999999999993</v>
      </c>
      <c r="BF191">
        <v>8.9176000000000002</v>
      </c>
      <c r="BG191">
        <v>1</v>
      </c>
      <c r="BH191">
        <v>6067.879064491317</v>
      </c>
      <c r="BI191">
        <v>0.95477850697292876</v>
      </c>
      <c r="BJ191" s="62">
        <v>5793.4804999999997</v>
      </c>
      <c r="BK191" s="60">
        <v>946656.00564615149</v>
      </c>
    </row>
    <row r="192" spans="1:63" x14ac:dyDescent="0.25">
      <c r="A192">
        <v>535</v>
      </c>
      <c r="B192" t="s">
        <v>140</v>
      </c>
      <c r="C192">
        <v>2018</v>
      </c>
      <c r="D192">
        <v>8</v>
      </c>
      <c r="E192" t="s">
        <v>100</v>
      </c>
      <c r="F192" t="s">
        <v>426</v>
      </c>
      <c r="G192" t="s">
        <v>427</v>
      </c>
      <c r="H192" t="s">
        <v>84</v>
      </c>
      <c r="I192" t="s">
        <v>429</v>
      </c>
      <c r="J192" t="s">
        <v>87</v>
      </c>
      <c r="K192">
        <v>-241.96369261000001</v>
      </c>
      <c r="L192" t="s">
        <v>87</v>
      </c>
      <c r="M192" t="s">
        <v>385</v>
      </c>
      <c r="N192">
        <v>0.39600649024447998</v>
      </c>
      <c r="O192">
        <v>95.819192677080324</v>
      </c>
      <c r="P192" t="s">
        <v>440</v>
      </c>
      <c r="Q192">
        <v>2</v>
      </c>
      <c r="R192">
        <v>30.199670000000001</v>
      </c>
      <c r="S192">
        <v>5.3999999999999999E-2</v>
      </c>
      <c r="T192">
        <v>1.6307822000000001</v>
      </c>
      <c r="U192">
        <v>0.98099999999999998</v>
      </c>
      <c r="V192">
        <v>1599.797</v>
      </c>
      <c r="W192">
        <v>2</v>
      </c>
      <c r="X192">
        <v>9.1923415999999999E-5</v>
      </c>
      <c r="Y192">
        <v>0.29411799999999999</v>
      </c>
      <c r="Z192" s="60">
        <v>28.182148999999999</v>
      </c>
      <c r="AA192" t="s">
        <v>343</v>
      </c>
      <c r="AB192" t="s">
        <v>435</v>
      </c>
      <c r="AC192" t="s">
        <v>425</v>
      </c>
      <c r="AD192" t="s">
        <v>27</v>
      </c>
      <c r="AE192">
        <v>111.133</v>
      </c>
      <c r="AF192">
        <v>1.027287859172453</v>
      </c>
      <c r="AG192">
        <v>114.1655816534122</v>
      </c>
      <c r="AH192">
        <v>625.54</v>
      </c>
      <c r="AI192">
        <v>1</v>
      </c>
      <c r="AJ192">
        <v>71.4151379474755</v>
      </c>
      <c r="AK192">
        <v>0.95599999999999996</v>
      </c>
      <c r="AL192" s="62">
        <v>68.272999999999996</v>
      </c>
      <c r="AM192">
        <v>8.9176000000000002</v>
      </c>
      <c r="AN192">
        <v>9.1609422129562699</v>
      </c>
      <c r="AO192">
        <v>1</v>
      </c>
      <c r="AP192">
        <v>5730.5357918926647</v>
      </c>
      <c r="AQ192">
        <v>1.0027686628383921</v>
      </c>
      <c r="AR192">
        <v>5746.4017000000003</v>
      </c>
      <c r="AS192" s="60">
        <v>161945.94892325331</v>
      </c>
      <c r="AT192" t="s">
        <v>346</v>
      </c>
      <c r="AU192" t="s">
        <v>436</v>
      </c>
      <c r="AV192" t="s">
        <v>425</v>
      </c>
      <c r="AW192" t="s">
        <v>27</v>
      </c>
      <c r="AX192">
        <v>111.133</v>
      </c>
      <c r="AY192">
        <v>1.0368587857491129</v>
      </c>
      <c r="AZ192">
        <v>115.2292274366562</v>
      </c>
      <c r="BA192">
        <v>656.25</v>
      </c>
      <c r="BB192">
        <v>1</v>
      </c>
      <c r="BC192">
        <v>75.619180505305636</v>
      </c>
      <c r="BD192">
        <v>0.93979999999999997</v>
      </c>
      <c r="BE192" s="62">
        <v>71.066999999999993</v>
      </c>
      <c r="BF192">
        <v>8.9176000000000002</v>
      </c>
      <c r="BG192">
        <v>1</v>
      </c>
      <c r="BH192">
        <v>6067.879064491317</v>
      </c>
      <c r="BI192">
        <v>0.95477850697292876</v>
      </c>
      <c r="BJ192" s="62">
        <v>5793.4804999999997</v>
      </c>
      <c r="BK192" s="60">
        <v>163272.7306795945</v>
      </c>
    </row>
    <row r="193" spans="1:63" x14ac:dyDescent="0.25">
      <c r="A193">
        <v>535</v>
      </c>
      <c r="B193" t="s">
        <v>140</v>
      </c>
      <c r="C193">
        <v>2018</v>
      </c>
      <c r="D193">
        <v>8</v>
      </c>
      <c r="E193" t="s">
        <v>100</v>
      </c>
      <c r="F193" t="s">
        <v>426</v>
      </c>
      <c r="G193" t="s">
        <v>427</v>
      </c>
      <c r="H193" t="s">
        <v>84</v>
      </c>
      <c r="I193" t="s">
        <v>430</v>
      </c>
      <c r="J193" t="s">
        <v>59</v>
      </c>
      <c r="K193">
        <v>-666.51787973</v>
      </c>
      <c r="L193" t="s">
        <v>59</v>
      </c>
      <c r="M193" t="s">
        <v>385</v>
      </c>
      <c r="N193">
        <v>0.43926732434283</v>
      </c>
      <c r="O193">
        <v>292.77952565565317</v>
      </c>
      <c r="P193" t="s">
        <v>440</v>
      </c>
      <c r="Q193">
        <v>2</v>
      </c>
      <c r="R193">
        <v>30.199670000000001</v>
      </c>
      <c r="S193">
        <v>5.3999999999999999E-2</v>
      </c>
      <c r="T193">
        <v>1.6307822000000001</v>
      </c>
      <c r="U193">
        <v>0.98099999999999998</v>
      </c>
      <c r="V193">
        <v>1599.797</v>
      </c>
      <c r="W193">
        <v>2</v>
      </c>
      <c r="X193">
        <v>9.1923415999999999E-5</v>
      </c>
      <c r="Y193">
        <v>0.29411799999999999</v>
      </c>
      <c r="Z193" s="60">
        <v>86.111728999999997</v>
      </c>
      <c r="AA193" t="s">
        <v>343</v>
      </c>
      <c r="AB193" t="s">
        <v>435</v>
      </c>
      <c r="AC193" t="s">
        <v>425</v>
      </c>
      <c r="AD193" t="s">
        <v>27</v>
      </c>
      <c r="AE193">
        <v>111.133</v>
      </c>
      <c r="AF193">
        <v>1.027287859172453</v>
      </c>
      <c r="AG193">
        <v>114.1655816534122</v>
      </c>
      <c r="AH193">
        <v>625.54</v>
      </c>
      <c r="AI193">
        <v>1</v>
      </c>
      <c r="AJ193">
        <v>71.4151379474755</v>
      </c>
      <c r="AK193">
        <v>0.95599999999999996</v>
      </c>
      <c r="AL193" s="62">
        <v>68.272999999999996</v>
      </c>
      <c r="AM193">
        <v>8.9176000000000002</v>
      </c>
      <c r="AN193">
        <v>9.1609422129562699</v>
      </c>
      <c r="AO193">
        <v>1</v>
      </c>
      <c r="AP193">
        <v>5730.5357918926647</v>
      </c>
      <c r="AQ193">
        <v>1.0027686628383921</v>
      </c>
      <c r="AR193">
        <v>5746.4017000000003</v>
      </c>
      <c r="AS193" s="60">
        <v>494832.5859155393</v>
      </c>
      <c r="AT193" t="s">
        <v>346</v>
      </c>
      <c r="AU193" t="s">
        <v>436</v>
      </c>
      <c r="AV193" t="s">
        <v>425</v>
      </c>
      <c r="AW193" t="s">
        <v>27</v>
      </c>
      <c r="AX193">
        <v>111.133</v>
      </c>
      <c r="AY193">
        <v>1.0368587857491129</v>
      </c>
      <c r="AZ193">
        <v>115.2292274366562</v>
      </c>
      <c r="BA193">
        <v>656.25</v>
      </c>
      <c r="BB193">
        <v>1</v>
      </c>
      <c r="BC193">
        <v>75.619180505305636</v>
      </c>
      <c r="BD193">
        <v>0.93979999999999997</v>
      </c>
      <c r="BE193" s="62">
        <v>71.066999999999993</v>
      </c>
      <c r="BF193">
        <v>8.9176000000000002</v>
      </c>
      <c r="BG193">
        <v>1</v>
      </c>
      <c r="BH193">
        <v>6067.879064491317</v>
      </c>
      <c r="BI193">
        <v>0.95477850697292876</v>
      </c>
      <c r="BJ193" s="62">
        <v>5793.4804999999997</v>
      </c>
      <c r="BK193" s="60">
        <v>498886.62278278451</v>
      </c>
    </row>
    <row r="194" spans="1:63" x14ac:dyDescent="0.25">
      <c r="A194">
        <v>553</v>
      </c>
      <c r="B194" t="s">
        <v>113</v>
      </c>
      <c r="C194">
        <v>2018</v>
      </c>
      <c r="D194">
        <v>9</v>
      </c>
      <c r="E194" t="s">
        <v>100</v>
      </c>
      <c r="F194" t="s">
        <v>426</v>
      </c>
      <c r="G194" t="s">
        <v>427</v>
      </c>
      <c r="H194" t="s">
        <v>84</v>
      </c>
      <c r="I194" t="s">
        <v>428</v>
      </c>
      <c r="J194" t="s">
        <v>381</v>
      </c>
      <c r="K194">
        <v>-1059.88664868</v>
      </c>
      <c r="L194" t="s">
        <v>381</v>
      </c>
      <c r="M194" t="s">
        <v>384</v>
      </c>
      <c r="N194">
        <v>0.21705732236049999</v>
      </c>
      <c r="O194">
        <v>230.05615796812481</v>
      </c>
      <c r="P194" t="s">
        <v>440</v>
      </c>
      <c r="Q194">
        <v>2</v>
      </c>
      <c r="R194">
        <v>30.199670000000001</v>
      </c>
      <c r="S194">
        <v>4.3999999999999997E-2</v>
      </c>
      <c r="T194">
        <v>1.3287855</v>
      </c>
      <c r="U194">
        <v>1.9E-2</v>
      </c>
      <c r="V194">
        <v>25.247</v>
      </c>
      <c r="W194">
        <v>2</v>
      </c>
      <c r="X194">
        <v>5.8248242360000001E-3</v>
      </c>
      <c r="Y194">
        <v>0.29411900000000002</v>
      </c>
      <c r="Z194" s="60">
        <v>67.663887000000003</v>
      </c>
      <c r="AA194" t="s">
        <v>346</v>
      </c>
      <c r="AB194" t="s">
        <v>436</v>
      </c>
      <c r="AC194" t="s">
        <v>425</v>
      </c>
      <c r="AD194" t="s">
        <v>81</v>
      </c>
      <c r="AE194">
        <v>111.133</v>
      </c>
      <c r="AF194">
        <v>1.0368587857491129</v>
      </c>
      <c r="AG194">
        <v>115.2292274366562</v>
      </c>
      <c r="AH194">
        <v>603.45000000000005</v>
      </c>
      <c r="AI194">
        <v>1</v>
      </c>
      <c r="AJ194">
        <v>69.535077296650186</v>
      </c>
      <c r="AK194">
        <v>0.90990000000000004</v>
      </c>
      <c r="AL194" s="62">
        <v>63.27</v>
      </c>
      <c r="AM194">
        <v>8.9176000000000002</v>
      </c>
      <c r="AN194">
        <v>9.2462919077962926</v>
      </c>
      <c r="AO194">
        <v>1</v>
      </c>
      <c r="AP194">
        <v>5579.6748517596734</v>
      </c>
      <c r="AQ194">
        <v>1.053620848708487</v>
      </c>
      <c r="AR194">
        <v>5878.8617999999997</v>
      </c>
      <c r="AS194" s="60">
        <v>397786.64052381658</v>
      </c>
      <c r="AT194" t="s">
        <v>346</v>
      </c>
      <c r="AU194" t="s">
        <v>436</v>
      </c>
      <c r="AV194" t="s">
        <v>425</v>
      </c>
      <c r="AW194" t="s">
        <v>81</v>
      </c>
      <c r="AX194">
        <v>111.133</v>
      </c>
      <c r="AY194">
        <v>1.0368587857491129</v>
      </c>
      <c r="AZ194">
        <v>115.2292274366562</v>
      </c>
      <c r="BA194">
        <v>603.45000000000005</v>
      </c>
      <c r="BB194">
        <v>1</v>
      </c>
      <c r="BC194">
        <v>69.535077296650186</v>
      </c>
      <c r="BD194">
        <v>0.90990000000000004</v>
      </c>
      <c r="BE194" s="62">
        <v>63.27</v>
      </c>
      <c r="BF194">
        <v>8.9176000000000002</v>
      </c>
      <c r="BG194">
        <v>1</v>
      </c>
      <c r="BH194">
        <v>5579.6748517596734</v>
      </c>
      <c r="BI194">
        <v>1.053620848708487</v>
      </c>
      <c r="BJ194" s="62">
        <v>5878.8617999999997</v>
      </c>
      <c r="BK194" s="60">
        <v>397786.64052381658</v>
      </c>
    </row>
    <row r="195" spans="1:63" x14ac:dyDescent="0.25">
      <c r="A195">
        <v>553</v>
      </c>
      <c r="B195" t="s">
        <v>113</v>
      </c>
      <c r="C195">
        <v>2018</v>
      </c>
      <c r="D195">
        <v>9</v>
      </c>
      <c r="E195" t="s">
        <v>100</v>
      </c>
      <c r="F195" t="s">
        <v>426</v>
      </c>
      <c r="G195" t="s">
        <v>427</v>
      </c>
      <c r="H195" t="s">
        <v>84</v>
      </c>
      <c r="I195" t="s">
        <v>429</v>
      </c>
      <c r="J195" t="s">
        <v>87</v>
      </c>
      <c r="K195">
        <v>-212.30899108</v>
      </c>
      <c r="L195" t="s">
        <v>87</v>
      </c>
      <c r="M195" t="s">
        <v>384</v>
      </c>
      <c r="N195">
        <v>0.19876726231865</v>
      </c>
      <c r="O195">
        <v>42.200076922606279</v>
      </c>
      <c r="P195" t="s">
        <v>440</v>
      </c>
      <c r="Q195">
        <v>2</v>
      </c>
      <c r="R195">
        <v>30.199670000000001</v>
      </c>
      <c r="S195">
        <v>4.3999999999999997E-2</v>
      </c>
      <c r="T195">
        <v>1.3287855</v>
      </c>
      <c r="U195">
        <v>1.9E-2</v>
      </c>
      <c r="V195">
        <v>25.247</v>
      </c>
      <c r="W195">
        <v>2</v>
      </c>
      <c r="X195">
        <v>5.8248242360000001E-3</v>
      </c>
      <c r="Y195">
        <v>0.29411900000000002</v>
      </c>
      <c r="Z195" s="60">
        <v>12.411844</v>
      </c>
      <c r="AA195" t="s">
        <v>346</v>
      </c>
      <c r="AB195" t="s">
        <v>436</v>
      </c>
      <c r="AC195" t="s">
        <v>425</v>
      </c>
      <c r="AD195" t="s">
        <v>81</v>
      </c>
      <c r="AE195">
        <v>111.133</v>
      </c>
      <c r="AF195">
        <v>1.0368587857491129</v>
      </c>
      <c r="AG195">
        <v>115.2292274366562</v>
      </c>
      <c r="AH195">
        <v>603.45000000000005</v>
      </c>
      <c r="AI195">
        <v>1</v>
      </c>
      <c r="AJ195">
        <v>69.535077296650186</v>
      </c>
      <c r="AK195">
        <v>0.90990000000000004</v>
      </c>
      <c r="AL195" s="62">
        <v>63.27</v>
      </c>
      <c r="AM195">
        <v>8.9176000000000002</v>
      </c>
      <c r="AN195">
        <v>9.2462919077962926</v>
      </c>
      <c r="AO195">
        <v>1</v>
      </c>
      <c r="AP195">
        <v>5579.6748517596734</v>
      </c>
      <c r="AQ195">
        <v>1.053620848708487</v>
      </c>
      <c r="AR195">
        <v>5878.8617999999997</v>
      </c>
      <c r="AS195" s="60">
        <v>72967.515559159205</v>
      </c>
      <c r="AT195" t="s">
        <v>346</v>
      </c>
      <c r="AU195" t="s">
        <v>436</v>
      </c>
      <c r="AV195" t="s">
        <v>425</v>
      </c>
      <c r="AW195" t="s">
        <v>81</v>
      </c>
      <c r="AX195">
        <v>111.133</v>
      </c>
      <c r="AY195">
        <v>1.0368587857491129</v>
      </c>
      <c r="AZ195">
        <v>115.2292274366562</v>
      </c>
      <c r="BA195">
        <v>603.45000000000005</v>
      </c>
      <c r="BB195">
        <v>1</v>
      </c>
      <c r="BC195">
        <v>69.535077296650186</v>
      </c>
      <c r="BD195">
        <v>0.90990000000000004</v>
      </c>
      <c r="BE195" s="62">
        <v>63.27</v>
      </c>
      <c r="BF195">
        <v>8.9176000000000002</v>
      </c>
      <c r="BG195">
        <v>1</v>
      </c>
      <c r="BH195">
        <v>5579.6748517596734</v>
      </c>
      <c r="BI195">
        <v>1.053620848708487</v>
      </c>
      <c r="BJ195" s="62">
        <v>5878.8617999999997</v>
      </c>
      <c r="BK195" s="60">
        <v>72967.515559159205</v>
      </c>
    </row>
    <row r="196" spans="1:63" x14ac:dyDescent="0.25">
      <c r="A196">
        <v>553</v>
      </c>
      <c r="B196" t="s">
        <v>113</v>
      </c>
      <c r="C196">
        <v>2018</v>
      </c>
      <c r="D196">
        <v>9</v>
      </c>
      <c r="E196" t="s">
        <v>100</v>
      </c>
      <c r="F196" t="s">
        <v>426</v>
      </c>
      <c r="G196" t="s">
        <v>427</v>
      </c>
      <c r="H196" t="s">
        <v>84</v>
      </c>
      <c r="I196" t="s">
        <v>430</v>
      </c>
      <c r="J196" t="s">
        <v>59</v>
      </c>
      <c r="K196">
        <v>-617.46088514999997</v>
      </c>
      <c r="L196" t="s">
        <v>59</v>
      </c>
      <c r="M196" t="s">
        <v>384</v>
      </c>
      <c r="N196">
        <v>0.19498283783636999</v>
      </c>
      <c r="O196">
        <v>120.3942756395039</v>
      </c>
      <c r="P196" t="s">
        <v>440</v>
      </c>
      <c r="Q196">
        <v>2</v>
      </c>
      <c r="R196">
        <v>30.199670000000001</v>
      </c>
      <c r="S196">
        <v>4.3999999999999997E-2</v>
      </c>
      <c r="T196">
        <v>1.3287855</v>
      </c>
      <c r="U196">
        <v>1.9E-2</v>
      </c>
      <c r="V196">
        <v>25.247</v>
      </c>
      <c r="W196">
        <v>2</v>
      </c>
      <c r="X196">
        <v>5.8248242360000001E-3</v>
      </c>
      <c r="Y196">
        <v>0.29411900000000002</v>
      </c>
      <c r="Z196" s="60">
        <v>35.410243999999999</v>
      </c>
      <c r="AA196" t="s">
        <v>346</v>
      </c>
      <c r="AB196" t="s">
        <v>436</v>
      </c>
      <c r="AC196" t="s">
        <v>425</v>
      </c>
      <c r="AD196" t="s">
        <v>81</v>
      </c>
      <c r="AE196">
        <v>111.133</v>
      </c>
      <c r="AF196">
        <v>1.0368587857491129</v>
      </c>
      <c r="AG196">
        <v>115.2292274366562</v>
      </c>
      <c r="AH196">
        <v>603.45000000000005</v>
      </c>
      <c r="AI196">
        <v>1</v>
      </c>
      <c r="AJ196">
        <v>69.535077296650186</v>
      </c>
      <c r="AK196">
        <v>0.90990000000000004</v>
      </c>
      <c r="AL196" s="62">
        <v>63.27</v>
      </c>
      <c r="AM196">
        <v>8.9176000000000002</v>
      </c>
      <c r="AN196">
        <v>9.2462919077962926</v>
      </c>
      <c r="AO196">
        <v>1</v>
      </c>
      <c r="AP196">
        <v>5579.6748517596734</v>
      </c>
      <c r="AQ196">
        <v>1.053620848708487</v>
      </c>
      <c r="AR196">
        <v>5878.8617999999997</v>
      </c>
      <c r="AS196" s="60">
        <v>208171.93078027919</v>
      </c>
      <c r="AT196" t="s">
        <v>346</v>
      </c>
      <c r="AU196" t="s">
        <v>436</v>
      </c>
      <c r="AV196" t="s">
        <v>425</v>
      </c>
      <c r="AW196" t="s">
        <v>81</v>
      </c>
      <c r="AX196">
        <v>111.133</v>
      </c>
      <c r="AY196">
        <v>1.0368587857491129</v>
      </c>
      <c r="AZ196">
        <v>115.2292274366562</v>
      </c>
      <c r="BA196">
        <v>603.45000000000005</v>
      </c>
      <c r="BB196">
        <v>1</v>
      </c>
      <c r="BC196">
        <v>69.535077296650186</v>
      </c>
      <c r="BD196">
        <v>0.90990000000000004</v>
      </c>
      <c r="BE196" s="62">
        <v>63.27</v>
      </c>
      <c r="BF196">
        <v>8.9176000000000002</v>
      </c>
      <c r="BG196">
        <v>1</v>
      </c>
      <c r="BH196">
        <v>5579.6748517596734</v>
      </c>
      <c r="BI196">
        <v>1.053620848708487</v>
      </c>
      <c r="BJ196" s="62">
        <v>5878.8617999999997</v>
      </c>
      <c r="BK196" s="60">
        <v>208171.93078027919</v>
      </c>
    </row>
    <row r="197" spans="1:63" x14ac:dyDescent="0.25">
      <c r="A197">
        <v>555</v>
      </c>
      <c r="B197" t="s">
        <v>113</v>
      </c>
      <c r="C197">
        <v>2018</v>
      </c>
      <c r="D197">
        <v>9</v>
      </c>
      <c r="E197" t="s">
        <v>100</v>
      </c>
      <c r="F197" t="s">
        <v>426</v>
      </c>
      <c r="G197" t="s">
        <v>427</v>
      </c>
      <c r="H197" t="s">
        <v>84</v>
      </c>
      <c r="I197" t="s">
        <v>428</v>
      </c>
      <c r="J197" t="s">
        <v>381</v>
      </c>
      <c r="K197">
        <v>-1059.88664868</v>
      </c>
      <c r="L197" t="s">
        <v>381</v>
      </c>
      <c r="M197" t="s">
        <v>385</v>
      </c>
      <c r="N197">
        <v>0.4372753786229</v>
      </c>
      <c r="O197">
        <v>463.46233559890362</v>
      </c>
      <c r="P197" t="s">
        <v>440</v>
      </c>
      <c r="Q197">
        <v>2</v>
      </c>
      <c r="R197">
        <v>30.199670000000001</v>
      </c>
      <c r="S197">
        <v>4.3999999999999997E-2</v>
      </c>
      <c r="T197">
        <v>1.3287855</v>
      </c>
      <c r="U197">
        <v>0.98099999999999998</v>
      </c>
      <c r="V197">
        <v>1303.539</v>
      </c>
      <c r="W197">
        <v>2</v>
      </c>
      <c r="X197">
        <v>1.12815083E-4</v>
      </c>
      <c r="Y197">
        <v>0.29411799999999999</v>
      </c>
      <c r="Z197" s="60">
        <v>136.31261499999999</v>
      </c>
      <c r="AA197" t="s">
        <v>346</v>
      </c>
      <c r="AB197" t="s">
        <v>436</v>
      </c>
      <c r="AC197" t="s">
        <v>425</v>
      </c>
      <c r="AD197" t="s">
        <v>27</v>
      </c>
      <c r="AE197">
        <v>111.133</v>
      </c>
      <c r="AF197">
        <v>1.0368587857491129</v>
      </c>
      <c r="AG197">
        <v>115.2292274366562</v>
      </c>
      <c r="AH197">
        <v>603.45000000000005</v>
      </c>
      <c r="AI197">
        <v>1</v>
      </c>
      <c r="AJ197">
        <v>69.535077296650186</v>
      </c>
      <c r="AK197">
        <v>0.93979999999999997</v>
      </c>
      <c r="AL197" s="62">
        <v>65.349000000000004</v>
      </c>
      <c r="AM197">
        <v>8.9176000000000002</v>
      </c>
      <c r="AN197">
        <v>9.2462919077962926</v>
      </c>
      <c r="AO197">
        <v>1</v>
      </c>
      <c r="AP197">
        <v>5579.6748517596734</v>
      </c>
      <c r="AQ197">
        <v>0.95477850697292876</v>
      </c>
      <c r="AR197">
        <v>5327.3536000000004</v>
      </c>
      <c r="AS197" s="60">
        <v>726185.50024566404</v>
      </c>
      <c r="AT197" t="s">
        <v>346</v>
      </c>
      <c r="AU197" t="s">
        <v>436</v>
      </c>
      <c r="AV197" t="s">
        <v>425</v>
      </c>
      <c r="AW197" t="s">
        <v>27</v>
      </c>
      <c r="AX197">
        <v>111.133</v>
      </c>
      <c r="AY197">
        <v>1.0368587857491129</v>
      </c>
      <c r="AZ197">
        <v>115.2292274366562</v>
      </c>
      <c r="BA197">
        <v>603.45000000000005</v>
      </c>
      <c r="BB197">
        <v>1</v>
      </c>
      <c r="BC197">
        <v>69.535077296650186</v>
      </c>
      <c r="BD197">
        <v>0.93979999999999997</v>
      </c>
      <c r="BE197" s="62">
        <v>65.349000000000004</v>
      </c>
      <c r="BF197">
        <v>8.9176000000000002</v>
      </c>
      <c r="BG197">
        <v>1</v>
      </c>
      <c r="BH197">
        <v>5579.6748517596734</v>
      </c>
      <c r="BI197">
        <v>0.95477850697292876</v>
      </c>
      <c r="BJ197" s="62">
        <v>5327.3536000000004</v>
      </c>
      <c r="BK197" s="60">
        <v>726185.50024566404</v>
      </c>
    </row>
    <row r="198" spans="1:63" x14ac:dyDescent="0.25">
      <c r="A198">
        <v>555</v>
      </c>
      <c r="B198" t="s">
        <v>113</v>
      </c>
      <c r="C198">
        <v>2018</v>
      </c>
      <c r="D198">
        <v>9</v>
      </c>
      <c r="E198" t="s">
        <v>100</v>
      </c>
      <c r="F198" t="s">
        <v>426</v>
      </c>
      <c r="G198" t="s">
        <v>427</v>
      </c>
      <c r="H198" t="s">
        <v>84</v>
      </c>
      <c r="I198" t="s">
        <v>429</v>
      </c>
      <c r="J198" t="s">
        <v>87</v>
      </c>
      <c r="K198">
        <v>-212.30899108</v>
      </c>
      <c r="L198" t="s">
        <v>87</v>
      </c>
      <c r="M198" t="s">
        <v>385</v>
      </c>
      <c r="N198">
        <v>0.39732724921072998</v>
      </c>
      <c r="O198">
        <v>84.356147408521807</v>
      </c>
      <c r="P198" t="s">
        <v>440</v>
      </c>
      <c r="Q198">
        <v>2</v>
      </c>
      <c r="R198">
        <v>30.199670000000001</v>
      </c>
      <c r="S198">
        <v>4.3999999999999997E-2</v>
      </c>
      <c r="T198">
        <v>1.3287855</v>
      </c>
      <c r="U198">
        <v>0.98099999999999998</v>
      </c>
      <c r="V198">
        <v>1303.539</v>
      </c>
      <c r="W198">
        <v>2</v>
      </c>
      <c r="X198">
        <v>1.12815083E-4</v>
      </c>
      <c r="Y198">
        <v>0.29411799999999999</v>
      </c>
      <c r="Z198" s="60">
        <v>24.810661</v>
      </c>
      <c r="AA198" t="s">
        <v>346</v>
      </c>
      <c r="AB198" t="s">
        <v>436</v>
      </c>
      <c r="AC198" t="s">
        <v>425</v>
      </c>
      <c r="AD198" t="s">
        <v>27</v>
      </c>
      <c r="AE198">
        <v>111.133</v>
      </c>
      <c r="AF198">
        <v>1.0368587857491129</v>
      </c>
      <c r="AG198">
        <v>115.2292274366562</v>
      </c>
      <c r="AH198">
        <v>603.45000000000005</v>
      </c>
      <c r="AI198">
        <v>1</v>
      </c>
      <c r="AJ198">
        <v>69.535077296650186</v>
      </c>
      <c r="AK198">
        <v>0.93979999999999997</v>
      </c>
      <c r="AL198" s="62">
        <v>65.349000000000004</v>
      </c>
      <c r="AM198">
        <v>8.9176000000000002</v>
      </c>
      <c r="AN198">
        <v>9.2462919077962926</v>
      </c>
      <c r="AO198">
        <v>1</v>
      </c>
      <c r="AP198">
        <v>5579.6748517596734</v>
      </c>
      <c r="AQ198">
        <v>0.95477850697292876</v>
      </c>
      <c r="AR198">
        <v>5327.3536000000004</v>
      </c>
      <c r="AS198" s="60">
        <v>132175.1641967296</v>
      </c>
      <c r="AT198" t="s">
        <v>346</v>
      </c>
      <c r="AU198" t="s">
        <v>436</v>
      </c>
      <c r="AV198" t="s">
        <v>425</v>
      </c>
      <c r="AW198" t="s">
        <v>27</v>
      </c>
      <c r="AX198">
        <v>111.133</v>
      </c>
      <c r="AY198">
        <v>1.0368587857491129</v>
      </c>
      <c r="AZ198">
        <v>115.2292274366562</v>
      </c>
      <c r="BA198">
        <v>603.45000000000005</v>
      </c>
      <c r="BB198">
        <v>1</v>
      </c>
      <c r="BC198">
        <v>69.535077296650186</v>
      </c>
      <c r="BD198">
        <v>0.93979999999999997</v>
      </c>
      <c r="BE198" s="62">
        <v>65.349000000000004</v>
      </c>
      <c r="BF198">
        <v>8.9176000000000002</v>
      </c>
      <c r="BG198">
        <v>1</v>
      </c>
      <c r="BH198">
        <v>5579.6748517596734</v>
      </c>
      <c r="BI198">
        <v>0.95477850697292876</v>
      </c>
      <c r="BJ198" s="62">
        <v>5327.3536000000004</v>
      </c>
      <c r="BK198" s="60">
        <v>132175.1641967296</v>
      </c>
    </row>
    <row r="199" spans="1:63" x14ac:dyDescent="0.25">
      <c r="A199">
        <v>555</v>
      </c>
      <c r="B199" t="s">
        <v>113</v>
      </c>
      <c r="C199">
        <v>2018</v>
      </c>
      <c r="D199">
        <v>9</v>
      </c>
      <c r="E199" t="s">
        <v>100</v>
      </c>
      <c r="F199" t="s">
        <v>426</v>
      </c>
      <c r="G199" t="s">
        <v>427</v>
      </c>
      <c r="H199" t="s">
        <v>84</v>
      </c>
      <c r="I199" t="s">
        <v>430</v>
      </c>
      <c r="J199" t="s">
        <v>59</v>
      </c>
      <c r="K199">
        <v>-617.46088514999997</v>
      </c>
      <c r="L199" t="s">
        <v>59</v>
      </c>
      <c r="M199" t="s">
        <v>385</v>
      </c>
      <c r="N199">
        <v>0.44072989868802998</v>
      </c>
      <c r="O199">
        <v>272.13347335598081</v>
      </c>
      <c r="P199" t="s">
        <v>440</v>
      </c>
      <c r="Q199">
        <v>2</v>
      </c>
      <c r="R199">
        <v>30.199670000000001</v>
      </c>
      <c r="S199">
        <v>4.3999999999999997E-2</v>
      </c>
      <c r="T199">
        <v>1.3287855</v>
      </c>
      <c r="U199">
        <v>0.98099999999999998</v>
      </c>
      <c r="V199">
        <v>1303.539</v>
      </c>
      <c r="W199">
        <v>2</v>
      </c>
      <c r="X199">
        <v>1.12815083E-4</v>
      </c>
      <c r="Y199">
        <v>0.29411799999999999</v>
      </c>
      <c r="Z199" s="60">
        <v>80.039353000000006</v>
      </c>
      <c r="AA199" t="s">
        <v>346</v>
      </c>
      <c r="AB199" t="s">
        <v>436</v>
      </c>
      <c r="AC199" t="s">
        <v>425</v>
      </c>
      <c r="AD199" t="s">
        <v>27</v>
      </c>
      <c r="AE199">
        <v>111.133</v>
      </c>
      <c r="AF199">
        <v>1.0368587857491129</v>
      </c>
      <c r="AG199">
        <v>115.2292274366562</v>
      </c>
      <c r="AH199">
        <v>603.45000000000005</v>
      </c>
      <c r="AI199">
        <v>1</v>
      </c>
      <c r="AJ199">
        <v>69.535077296650186</v>
      </c>
      <c r="AK199">
        <v>0.93979999999999997</v>
      </c>
      <c r="AL199" s="62">
        <v>65.349000000000004</v>
      </c>
      <c r="AM199">
        <v>8.9176000000000002</v>
      </c>
      <c r="AN199">
        <v>9.2462919077962926</v>
      </c>
      <c r="AO199">
        <v>1</v>
      </c>
      <c r="AP199">
        <v>5579.6748517596734</v>
      </c>
      <c r="AQ199">
        <v>0.95477850697292876</v>
      </c>
      <c r="AR199">
        <v>5327.3536000000004</v>
      </c>
      <c r="AS199" s="60">
        <v>426397.93534622091</v>
      </c>
      <c r="AT199" t="s">
        <v>346</v>
      </c>
      <c r="AU199" t="s">
        <v>436</v>
      </c>
      <c r="AV199" t="s">
        <v>425</v>
      </c>
      <c r="AW199" t="s">
        <v>27</v>
      </c>
      <c r="AX199">
        <v>111.133</v>
      </c>
      <c r="AY199">
        <v>1.0368587857491129</v>
      </c>
      <c r="AZ199">
        <v>115.2292274366562</v>
      </c>
      <c r="BA199">
        <v>603.45000000000005</v>
      </c>
      <c r="BB199">
        <v>1</v>
      </c>
      <c r="BC199">
        <v>69.535077296650186</v>
      </c>
      <c r="BD199">
        <v>0.93979999999999997</v>
      </c>
      <c r="BE199" s="62">
        <v>65.349000000000004</v>
      </c>
      <c r="BF199">
        <v>8.9176000000000002</v>
      </c>
      <c r="BG199">
        <v>1</v>
      </c>
      <c r="BH199">
        <v>5579.6748517596734</v>
      </c>
      <c r="BI199">
        <v>0.95477850697292876</v>
      </c>
      <c r="BJ199" s="62">
        <v>5327.3536000000004</v>
      </c>
      <c r="BK199" s="60">
        <v>426397.93534622091</v>
      </c>
    </row>
    <row r="200" spans="1:63" x14ac:dyDescent="0.25">
      <c r="A200">
        <v>573</v>
      </c>
      <c r="B200" t="s">
        <v>114</v>
      </c>
      <c r="C200">
        <v>2018</v>
      </c>
      <c r="D200">
        <v>10</v>
      </c>
      <c r="E200" t="s">
        <v>100</v>
      </c>
      <c r="F200" t="s">
        <v>426</v>
      </c>
      <c r="G200" t="s">
        <v>427</v>
      </c>
      <c r="H200" t="s">
        <v>84</v>
      </c>
      <c r="I200" t="s">
        <v>428</v>
      </c>
      <c r="J200" t="s">
        <v>381</v>
      </c>
      <c r="K200">
        <v>-1179.5901044699999</v>
      </c>
      <c r="L200" t="s">
        <v>381</v>
      </c>
      <c r="M200" t="s">
        <v>384</v>
      </c>
      <c r="N200">
        <v>0.20227799740353999</v>
      </c>
      <c r="O200">
        <v>238.60512408922409</v>
      </c>
      <c r="P200" t="s">
        <v>440</v>
      </c>
      <c r="Q200">
        <v>2</v>
      </c>
      <c r="R200">
        <v>30.199670000000001</v>
      </c>
      <c r="S200">
        <v>0.06</v>
      </c>
      <c r="T200">
        <v>1.8119802</v>
      </c>
      <c r="U200">
        <v>1.9E-2</v>
      </c>
      <c r="V200">
        <v>34.427999999999997</v>
      </c>
      <c r="W200">
        <v>2</v>
      </c>
      <c r="X200">
        <v>4.2715145509999997E-3</v>
      </c>
      <c r="Y200">
        <v>0.29411900000000002</v>
      </c>
      <c r="Z200" s="60">
        <v>70.178299999999993</v>
      </c>
      <c r="AA200" t="s">
        <v>346</v>
      </c>
      <c r="AB200" t="s">
        <v>436</v>
      </c>
      <c r="AC200" t="s">
        <v>425</v>
      </c>
      <c r="AD200" t="s">
        <v>81</v>
      </c>
      <c r="AE200">
        <v>111.133</v>
      </c>
      <c r="AF200">
        <v>1.0368587857491129</v>
      </c>
      <c r="AG200">
        <v>115.2292274366562</v>
      </c>
      <c r="AH200">
        <v>603.45000000000005</v>
      </c>
      <c r="AI200">
        <v>1</v>
      </c>
      <c r="AJ200">
        <v>69.535077296650186</v>
      </c>
      <c r="AK200">
        <v>0.90990000000000004</v>
      </c>
      <c r="AL200" s="62">
        <v>63.27</v>
      </c>
      <c r="AM200">
        <v>8.9176000000000002</v>
      </c>
      <c r="AN200">
        <v>9.2462919077962926</v>
      </c>
      <c r="AO200">
        <v>1</v>
      </c>
      <c r="AP200">
        <v>5579.6748517596734</v>
      </c>
      <c r="AQ200">
        <v>1.053620848708487</v>
      </c>
      <c r="AR200">
        <v>5878.8617999999997</v>
      </c>
      <c r="AS200" s="60">
        <v>412568.52705893992</v>
      </c>
      <c r="AT200" t="s">
        <v>346</v>
      </c>
      <c r="AU200" t="s">
        <v>436</v>
      </c>
      <c r="AV200" t="s">
        <v>425</v>
      </c>
      <c r="AW200" t="s">
        <v>81</v>
      </c>
      <c r="AX200">
        <v>111.133</v>
      </c>
      <c r="AY200">
        <v>1.0368587857491129</v>
      </c>
      <c r="AZ200">
        <v>115.2292274366562</v>
      </c>
      <c r="BA200">
        <v>603.45000000000005</v>
      </c>
      <c r="BB200">
        <v>1</v>
      </c>
      <c r="BC200">
        <v>69.535077296650186</v>
      </c>
      <c r="BD200">
        <v>0.90990000000000004</v>
      </c>
      <c r="BE200" s="62">
        <v>63.27</v>
      </c>
      <c r="BF200">
        <v>8.9176000000000002</v>
      </c>
      <c r="BG200">
        <v>1</v>
      </c>
      <c r="BH200">
        <v>5579.6748517596734</v>
      </c>
      <c r="BI200">
        <v>1.053620848708487</v>
      </c>
      <c r="BJ200" s="62">
        <v>5878.8617999999997</v>
      </c>
      <c r="BK200" s="60">
        <v>412568.52705893992</v>
      </c>
    </row>
    <row r="201" spans="1:63" x14ac:dyDescent="0.25">
      <c r="A201">
        <v>573</v>
      </c>
      <c r="B201" t="s">
        <v>114</v>
      </c>
      <c r="C201">
        <v>2018</v>
      </c>
      <c r="D201">
        <v>10</v>
      </c>
      <c r="E201" t="s">
        <v>100</v>
      </c>
      <c r="F201" t="s">
        <v>426</v>
      </c>
      <c r="G201" t="s">
        <v>427</v>
      </c>
      <c r="H201" t="s">
        <v>84</v>
      </c>
      <c r="I201" t="s">
        <v>429</v>
      </c>
      <c r="J201" t="s">
        <v>87</v>
      </c>
      <c r="K201">
        <v>-279.14384976999997</v>
      </c>
      <c r="L201" t="s">
        <v>87</v>
      </c>
      <c r="M201" t="s">
        <v>384</v>
      </c>
      <c r="N201">
        <v>0.19876483095875999</v>
      </c>
      <c r="O201">
        <v>55.483980112711542</v>
      </c>
      <c r="P201" t="s">
        <v>440</v>
      </c>
      <c r="Q201">
        <v>2</v>
      </c>
      <c r="R201">
        <v>30.199670000000001</v>
      </c>
      <c r="S201">
        <v>0.06</v>
      </c>
      <c r="T201">
        <v>1.8119802</v>
      </c>
      <c r="U201">
        <v>1.9E-2</v>
      </c>
      <c r="V201">
        <v>34.427999999999997</v>
      </c>
      <c r="W201">
        <v>2</v>
      </c>
      <c r="X201">
        <v>4.2715145509999997E-3</v>
      </c>
      <c r="Y201">
        <v>0.29411900000000002</v>
      </c>
      <c r="Z201" s="60">
        <v>16.318892999999999</v>
      </c>
      <c r="AA201" t="s">
        <v>346</v>
      </c>
      <c r="AB201" t="s">
        <v>436</v>
      </c>
      <c r="AC201" t="s">
        <v>425</v>
      </c>
      <c r="AD201" t="s">
        <v>81</v>
      </c>
      <c r="AE201">
        <v>111.133</v>
      </c>
      <c r="AF201">
        <v>1.0368587857491129</v>
      </c>
      <c r="AG201">
        <v>115.2292274366562</v>
      </c>
      <c r="AH201">
        <v>603.45000000000005</v>
      </c>
      <c r="AI201">
        <v>1</v>
      </c>
      <c r="AJ201">
        <v>69.535077296650186</v>
      </c>
      <c r="AK201">
        <v>0.90990000000000004</v>
      </c>
      <c r="AL201" s="62">
        <v>63.27</v>
      </c>
      <c r="AM201">
        <v>8.9176000000000002</v>
      </c>
      <c r="AN201">
        <v>9.2462919077962926</v>
      </c>
      <c r="AO201">
        <v>1</v>
      </c>
      <c r="AP201">
        <v>5579.6748517596734</v>
      </c>
      <c r="AQ201">
        <v>1.053620848708487</v>
      </c>
      <c r="AR201">
        <v>5878.8617999999997</v>
      </c>
      <c r="AS201" s="60">
        <v>95936.516675987383</v>
      </c>
      <c r="AT201" t="s">
        <v>346</v>
      </c>
      <c r="AU201" t="s">
        <v>436</v>
      </c>
      <c r="AV201" t="s">
        <v>425</v>
      </c>
      <c r="AW201" t="s">
        <v>81</v>
      </c>
      <c r="AX201">
        <v>111.133</v>
      </c>
      <c r="AY201">
        <v>1.0368587857491129</v>
      </c>
      <c r="AZ201">
        <v>115.2292274366562</v>
      </c>
      <c r="BA201">
        <v>603.45000000000005</v>
      </c>
      <c r="BB201">
        <v>1</v>
      </c>
      <c r="BC201">
        <v>69.535077296650186</v>
      </c>
      <c r="BD201">
        <v>0.90990000000000004</v>
      </c>
      <c r="BE201" s="62">
        <v>63.27</v>
      </c>
      <c r="BF201">
        <v>8.9176000000000002</v>
      </c>
      <c r="BG201">
        <v>1</v>
      </c>
      <c r="BH201">
        <v>5579.6748517596734</v>
      </c>
      <c r="BI201">
        <v>1.053620848708487</v>
      </c>
      <c r="BJ201" s="62">
        <v>5878.8617999999997</v>
      </c>
      <c r="BK201" s="60">
        <v>95936.516675987383</v>
      </c>
    </row>
    <row r="202" spans="1:63" x14ac:dyDescent="0.25">
      <c r="A202">
        <v>573</v>
      </c>
      <c r="B202" t="s">
        <v>114</v>
      </c>
      <c r="C202">
        <v>2018</v>
      </c>
      <c r="D202">
        <v>10</v>
      </c>
      <c r="E202" t="s">
        <v>100</v>
      </c>
      <c r="F202" t="s">
        <v>426</v>
      </c>
      <c r="G202" t="s">
        <v>427</v>
      </c>
      <c r="H202" t="s">
        <v>84</v>
      </c>
      <c r="I202" t="s">
        <v>430</v>
      </c>
      <c r="J202" t="s">
        <v>59</v>
      </c>
      <c r="K202">
        <v>-683.54412523999997</v>
      </c>
      <c r="L202" t="s">
        <v>59</v>
      </c>
      <c r="M202" t="s">
        <v>384</v>
      </c>
      <c r="N202">
        <v>0.19498772039307</v>
      </c>
      <c r="O202">
        <v>133.28271076862271</v>
      </c>
      <c r="P202" t="s">
        <v>440</v>
      </c>
      <c r="Q202">
        <v>2</v>
      </c>
      <c r="R202">
        <v>30.199670000000001</v>
      </c>
      <c r="S202">
        <v>0.06</v>
      </c>
      <c r="T202">
        <v>1.8119802</v>
      </c>
      <c r="U202">
        <v>1.9E-2</v>
      </c>
      <c r="V202">
        <v>34.427999999999997</v>
      </c>
      <c r="W202">
        <v>2</v>
      </c>
      <c r="X202">
        <v>4.2715145509999997E-3</v>
      </c>
      <c r="Y202">
        <v>0.29411900000000002</v>
      </c>
      <c r="Z202" s="60">
        <v>39.200977999999999</v>
      </c>
      <c r="AA202" t="s">
        <v>346</v>
      </c>
      <c r="AB202" t="s">
        <v>436</v>
      </c>
      <c r="AC202" t="s">
        <v>425</v>
      </c>
      <c r="AD202" t="s">
        <v>81</v>
      </c>
      <c r="AE202">
        <v>111.133</v>
      </c>
      <c r="AF202">
        <v>1.0368587857491129</v>
      </c>
      <c r="AG202">
        <v>115.2292274366562</v>
      </c>
      <c r="AH202">
        <v>603.45000000000005</v>
      </c>
      <c r="AI202">
        <v>1</v>
      </c>
      <c r="AJ202">
        <v>69.535077296650186</v>
      </c>
      <c r="AK202">
        <v>0.90990000000000004</v>
      </c>
      <c r="AL202" s="62">
        <v>63.27</v>
      </c>
      <c r="AM202">
        <v>8.9176000000000002</v>
      </c>
      <c r="AN202">
        <v>9.2462919077962926</v>
      </c>
      <c r="AO202">
        <v>1</v>
      </c>
      <c r="AP202">
        <v>5579.6748517596734</v>
      </c>
      <c r="AQ202">
        <v>1.053620848708487</v>
      </c>
      <c r="AR202">
        <v>5878.8617999999997</v>
      </c>
      <c r="AS202" s="60">
        <v>230457.1320868404</v>
      </c>
      <c r="AT202" t="s">
        <v>346</v>
      </c>
      <c r="AU202" t="s">
        <v>436</v>
      </c>
      <c r="AV202" t="s">
        <v>425</v>
      </c>
      <c r="AW202" t="s">
        <v>81</v>
      </c>
      <c r="AX202">
        <v>111.133</v>
      </c>
      <c r="AY202">
        <v>1.0368587857491129</v>
      </c>
      <c r="AZ202">
        <v>115.2292274366562</v>
      </c>
      <c r="BA202">
        <v>603.45000000000005</v>
      </c>
      <c r="BB202">
        <v>1</v>
      </c>
      <c r="BC202">
        <v>69.535077296650186</v>
      </c>
      <c r="BD202">
        <v>0.90990000000000004</v>
      </c>
      <c r="BE202" s="62">
        <v>63.27</v>
      </c>
      <c r="BF202">
        <v>8.9176000000000002</v>
      </c>
      <c r="BG202">
        <v>1</v>
      </c>
      <c r="BH202">
        <v>5579.6748517596734</v>
      </c>
      <c r="BI202">
        <v>1.053620848708487</v>
      </c>
      <c r="BJ202" s="62">
        <v>5878.8617999999997</v>
      </c>
      <c r="BK202" s="60">
        <v>230457.1320868404</v>
      </c>
    </row>
    <row r="203" spans="1:63" x14ac:dyDescent="0.25">
      <c r="A203">
        <v>575</v>
      </c>
      <c r="B203" t="s">
        <v>114</v>
      </c>
      <c r="C203">
        <v>2018</v>
      </c>
      <c r="D203">
        <v>10</v>
      </c>
      <c r="E203" t="s">
        <v>100</v>
      </c>
      <c r="F203" t="s">
        <v>426</v>
      </c>
      <c r="G203" t="s">
        <v>427</v>
      </c>
      <c r="H203" t="s">
        <v>84</v>
      </c>
      <c r="I203" t="s">
        <v>428</v>
      </c>
      <c r="J203" t="s">
        <v>381</v>
      </c>
      <c r="K203">
        <v>-1179.5901044699999</v>
      </c>
      <c r="L203" t="s">
        <v>381</v>
      </c>
      <c r="M203" t="s">
        <v>385</v>
      </c>
      <c r="N203">
        <v>0.45512925812325999</v>
      </c>
      <c r="O203">
        <v>536.86596913696985</v>
      </c>
      <c r="P203" t="s">
        <v>440</v>
      </c>
      <c r="Q203">
        <v>2</v>
      </c>
      <c r="R203">
        <v>30.199670000000001</v>
      </c>
      <c r="S203">
        <v>0.06</v>
      </c>
      <c r="T203">
        <v>1.8119802</v>
      </c>
      <c r="U203">
        <v>0.98099999999999998</v>
      </c>
      <c r="V203">
        <v>1777.5530000000001</v>
      </c>
      <c r="W203">
        <v>2</v>
      </c>
      <c r="X203">
        <v>8.2731058000000003E-5</v>
      </c>
      <c r="Y203">
        <v>0.29411799999999999</v>
      </c>
      <c r="Z203" s="60">
        <v>157.90194500000001</v>
      </c>
      <c r="AA203" t="s">
        <v>346</v>
      </c>
      <c r="AB203" t="s">
        <v>436</v>
      </c>
      <c r="AC203" t="s">
        <v>425</v>
      </c>
      <c r="AD203" t="s">
        <v>27</v>
      </c>
      <c r="AE203">
        <v>111.133</v>
      </c>
      <c r="AF203">
        <v>1.0368587857491129</v>
      </c>
      <c r="AG203">
        <v>115.2292274366562</v>
      </c>
      <c r="AH203">
        <v>603.45000000000005</v>
      </c>
      <c r="AI203">
        <v>1</v>
      </c>
      <c r="AJ203">
        <v>69.535077296650186</v>
      </c>
      <c r="AK203">
        <v>0.93979999999999997</v>
      </c>
      <c r="AL203" s="62">
        <v>65.349000000000004</v>
      </c>
      <c r="AM203">
        <v>8.9176000000000002</v>
      </c>
      <c r="AN203">
        <v>9.2462919077962926</v>
      </c>
      <c r="AO203">
        <v>1</v>
      </c>
      <c r="AP203">
        <v>5579.6748517596734</v>
      </c>
      <c r="AQ203">
        <v>0.95477850697292876</v>
      </c>
      <c r="AR203">
        <v>5327.3536000000004</v>
      </c>
      <c r="AS203" s="60">
        <v>841199.49514275207</v>
      </c>
      <c r="AT203" t="s">
        <v>346</v>
      </c>
      <c r="AU203" t="s">
        <v>436</v>
      </c>
      <c r="AV203" t="s">
        <v>425</v>
      </c>
      <c r="AW203" t="s">
        <v>27</v>
      </c>
      <c r="AX203">
        <v>111.133</v>
      </c>
      <c r="AY203">
        <v>1.0368587857491129</v>
      </c>
      <c r="AZ203">
        <v>115.2292274366562</v>
      </c>
      <c r="BA203">
        <v>603.45000000000005</v>
      </c>
      <c r="BB203">
        <v>1</v>
      </c>
      <c r="BC203">
        <v>69.535077296650186</v>
      </c>
      <c r="BD203">
        <v>0.93979999999999997</v>
      </c>
      <c r="BE203" s="62">
        <v>65.349000000000004</v>
      </c>
      <c r="BF203">
        <v>8.9176000000000002</v>
      </c>
      <c r="BG203">
        <v>1</v>
      </c>
      <c r="BH203">
        <v>5579.6748517596734</v>
      </c>
      <c r="BI203">
        <v>0.95477850697292876</v>
      </c>
      <c r="BJ203" s="62">
        <v>5327.3536000000004</v>
      </c>
      <c r="BK203" s="60">
        <v>841199.49514275207</v>
      </c>
    </row>
    <row r="204" spans="1:63" x14ac:dyDescent="0.25">
      <c r="A204">
        <v>575</v>
      </c>
      <c r="B204" t="s">
        <v>114</v>
      </c>
      <c r="C204">
        <v>2018</v>
      </c>
      <c r="D204">
        <v>10</v>
      </c>
      <c r="E204" t="s">
        <v>100</v>
      </c>
      <c r="F204" t="s">
        <v>426</v>
      </c>
      <c r="G204" t="s">
        <v>427</v>
      </c>
      <c r="H204" t="s">
        <v>84</v>
      </c>
      <c r="I204" t="s">
        <v>429</v>
      </c>
      <c r="J204" t="s">
        <v>87</v>
      </c>
      <c r="K204">
        <v>-279.14384976999997</v>
      </c>
      <c r="L204" t="s">
        <v>87</v>
      </c>
      <c r="M204" t="s">
        <v>385</v>
      </c>
      <c r="N204">
        <v>0.39732687972820002</v>
      </c>
      <c r="O204">
        <v>110.9113548244315</v>
      </c>
      <c r="P204" t="s">
        <v>440</v>
      </c>
      <c r="Q204">
        <v>2</v>
      </c>
      <c r="R204">
        <v>30.199670000000001</v>
      </c>
      <c r="S204">
        <v>0.06</v>
      </c>
      <c r="T204">
        <v>1.8119802</v>
      </c>
      <c r="U204">
        <v>0.98099999999999998</v>
      </c>
      <c r="V204">
        <v>1777.5530000000001</v>
      </c>
      <c r="W204">
        <v>2</v>
      </c>
      <c r="X204">
        <v>8.2731058000000003E-5</v>
      </c>
      <c r="Y204">
        <v>0.29411799999999999</v>
      </c>
      <c r="Z204" s="60">
        <v>32.621026000000001</v>
      </c>
      <c r="AA204" t="s">
        <v>346</v>
      </c>
      <c r="AB204" t="s">
        <v>436</v>
      </c>
      <c r="AC204" t="s">
        <v>425</v>
      </c>
      <c r="AD204" t="s">
        <v>27</v>
      </c>
      <c r="AE204">
        <v>111.133</v>
      </c>
      <c r="AF204">
        <v>1.0368587857491129</v>
      </c>
      <c r="AG204">
        <v>115.2292274366562</v>
      </c>
      <c r="AH204">
        <v>603.45000000000005</v>
      </c>
      <c r="AI204">
        <v>1</v>
      </c>
      <c r="AJ204">
        <v>69.535077296650186</v>
      </c>
      <c r="AK204">
        <v>0.93979999999999997</v>
      </c>
      <c r="AL204" s="62">
        <v>65.349000000000004</v>
      </c>
      <c r="AM204">
        <v>8.9176000000000002</v>
      </c>
      <c r="AN204">
        <v>9.2462919077962926</v>
      </c>
      <c r="AO204">
        <v>1</v>
      </c>
      <c r="AP204">
        <v>5579.6748517596734</v>
      </c>
      <c r="AQ204">
        <v>0.95477850697292876</v>
      </c>
      <c r="AR204">
        <v>5327.3536000000004</v>
      </c>
      <c r="AS204" s="60">
        <v>173783.74029679361</v>
      </c>
      <c r="AT204" t="s">
        <v>346</v>
      </c>
      <c r="AU204" t="s">
        <v>436</v>
      </c>
      <c r="AV204" t="s">
        <v>425</v>
      </c>
      <c r="AW204" t="s">
        <v>27</v>
      </c>
      <c r="AX204">
        <v>111.133</v>
      </c>
      <c r="AY204">
        <v>1.0368587857491129</v>
      </c>
      <c r="AZ204">
        <v>115.2292274366562</v>
      </c>
      <c r="BA204">
        <v>603.45000000000005</v>
      </c>
      <c r="BB204">
        <v>1</v>
      </c>
      <c r="BC204">
        <v>69.535077296650186</v>
      </c>
      <c r="BD204">
        <v>0.93979999999999997</v>
      </c>
      <c r="BE204" s="62">
        <v>65.349000000000004</v>
      </c>
      <c r="BF204">
        <v>8.9176000000000002</v>
      </c>
      <c r="BG204">
        <v>1</v>
      </c>
      <c r="BH204">
        <v>5579.6748517596734</v>
      </c>
      <c r="BI204">
        <v>0.95477850697292876</v>
      </c>
      <c r="BJ204" s="62">
        <v>5327.3536000000004</v>
      </c>
      <c r="BK204" s="60">
        <v>173783.74029679361</v>
      </c>
    </row>
    <row r="205" spans="1:63" x14ac:dyDescent="0.25">
      <c r="A205">
        <v>575</v>
      </c>
      <c r="B205" t="s">
        <v>114</v>
      </c>
      <c r="C205">
        <v>2018</v>
      </c>
      <c r="D205">
        <v>10</v>
      </c>
      <c r="E205" t="s">
        <v>100</v>
      </c>
      <c r="F205" t="s">
        <v>426</v>
      </c>
      <c r="G205" t="s">
        <v>427</v>
      </c>
      <c r="H205" t="s">
        <v>84</v>
      </c>
      <c r="I205" t="s">
        <v>430</v>
      </c>
      <c r="J205" t="s">
        <v>59</v>
      </c>
      <c r="K205">
        <v>-683.54412523999997</v>
      </c>
      <c r="L205" t="s">
        <v>59</v>
      </c>
      <c r="M205" t="s">
        <v>385</v>
      </c>
      <c r="N205">
        <v>0.44073195679167998</v>
      </c>
      <c r="O205">
        <v>301.25973987048229</v>
      </c>
      <c r="P205" t="s">
        <v>440</v>
      </c>
      <c r="Q205">
        <v>2</v>
      </c>
      <c r="R205">
        <v>30.199670000000001</v>
      </c>
      <c r="S205">
        <v>0.06</v>
      </c>
      <c r="T205">
        <v>1.8119802</v>
      </c>
      <c r="U205">
        <v>0.98099999999999998</v>
      </c>
      <c r="V205">
        <v>1777.5530000000001</v>
      </c>
      <c r="W205">
        <v>2</v>
      </c>
      <c r="X205">
        <v>8.2731058000000003E-5</v>
      </c>
      <c r="Y205">
        <v>0.29411799999999999</v>
      </c>
      <c r="Z205" s="60">
        <v>88.605912000000004</v>
      </c>
      <c r="AA205" t="s">
        <v>346</v>
      </c>
      <c r="AB205" t="s">
        <v>436</v>
      </c>
      <c r="AC205" t="s">
        <v>425</v>
      </c>
      <c r="AD205" t="s">
        <v>27</v>
      </c>
      <c r="AE205">
        <v>111.133</v>
      </c>
      <c r="AF205">
        <v>1.0368587857491129</v>
      </c>
      <c r="AG205">
        <v>115.2292274366562</v>
      </c>
      <c r="AH205">
        <v>603.45000000000005</v>
      </c>
      <c r="AI205">
        <v>1</v>
      </c>
      <c r="AJ205">
        <v>69.535077296650186</v>
      </c>
      <c r="AK205">
        <v>0.93979999999999997</v>
      </c>
      <c r="AL205" s="62">
        <v>65.349000000000004</v>
      </c>
      <c r="AM205">
        <v>8.9176000000000002</v>
      </c>
      <c r="AN205">
        <v>9.2462919077962926</v>
      </c>
      <c r="AO205">
        <v>1</v>
      </c>
      <c r="AP205">
        <v>5579.6748517596734</v>
      </c>
      <c r="AQ205">
        <v>0.95477850697292876</v>
      </c>
      <c r="AR205">
        <v>5327.3536000000004</v>
      </c>
      <c r="AS205" s="60">
        <v>472035.02427448332</v>
      </c>
      <c r="AT205" t="s">
        <v>346</v>
      </c>
      <c r="AU205" t="s">
        <v>436</v>
      </c>
      <c r="AV205" t="s">
        <v>425</v>
      </c>
      <c r="AW205" t="s">
        <v>27</v>
      </c>
      <c r="AX205">
        <v>111.133</v>
      </c>
      <c r="AY205">
        <v>1.0368587857491129</v>
      </c>
      <c r="AZ205">
        <v>115.2292274366562</v>
      </c>
      <c r="BA205">
        <v>603.45000000000005</v>
      </c>
      <c r="BB205">
        <v>1</v>
      </c>
      <c r="BC205">
        <v>69.535077296650186</v>
      </c>
      <c r="BD205">
        <v>0.93979999999999997</v>
      </c>
      <c r="BE205" s="62">
        <v>65.349000000000004</v>
      </c>
      <c r="BF205">
        <v>8.9176000000000002</v>
      </c>
      <c r="BG205">
        <v>1</v>
      </c>
      <c r="BH205">
        <v>5579.6748517596734</v>
      </c>
      <c r="BI205">
        <v>0.95477850697292876</v>
      </c>
      <c r="BJ205" s="62">
        <v>5327.3536000000004</v>
      </c>
      <c r="BK205" s="60">
        <v>472035.02427448332</v>
      </c>
    </row>
    <row r="206" spans="1:63" x14ac:dyDescent="0.25">
      <c r="A206">
        <v>593</v>
      </c>
      <c r="B206" t="s">
        <v>115</v>
      </c>
      <c r="C206">
        <v>2018</v>
      </c>
      <c r="D206">
        <v>11</v>
      </c>
      <c r="E206" t="s">
        <v>100</v>
      </c>
      <c r="F206" t="s">
        <v>426</v>
      </c>
      <c r="G206" t="s">
        <v>427</v>
      </c>
      <c r="H206" t="s">
        <v>84</v>
      </c>
      <c r="I206" t="s">
        <v>428</v>
      </c>
      <c r="J206" t="s">
        <v>381</v>
      </c>
      <c r="K206">
        <v>-1653.94735896</v>
      </c>
      <c r="L206" t="s">
        <v>381</v>
      </c>
      <c r="M206" t="s">
        <v>384</v>
      </c>
      <c r="N206">
        <v>0.20227799740387001</v>
      </c>
      <c r="O206">
        <v>334.55715958184851</v>
      </c>
      <c r="P206" t="s">
        <v>440</v>
      </c>
      <c r="Q206">
        <v>2</v>
      </c>
      <c r="R206">
        <v>30.199670000000001</v>
      </c>
      <c r="S206">
        <v>9.6000000000000002E-2</v>
      </c>
      <c r="T206">
        <v>2.8991682999999999</v>
      </c>
      <c r="U206">
        <v>1.9E-2</v>
      </c>
      <c r="V206">
        <v>55.084000000000003</v>
      </c>
      <c r="W206">
        <v>2</v>
      </c>
      <c r="X206">
        <v>2.6697137E-3</v>
      </c>
      <c r="Y206">
        <v>0.29411700000000002</v>
      </c>
      <c r="Z206" s="60">
        <v>98.398948000000004</v>
      </c>
      <c r="AA206" t="s">
        <v>346</v>
      </c>
      <c r="AB206" t="s">
        <v>436</v>
      </c>
      <c r="AC206" t="s">
        <v>425</v>
      </c>
      <c r="AD206" t="s">
        <v>81</v>
      </c>
      <c r="AE206">
        <v>111.133</v>
      </c>
      <c r="AF206">
        <v>1.0368587857491129</v>
      </c>
      <c r="AG206">
        <v>115.2292274366562</v>
      </c>
      <c r="AH206">
        <v>603.45000000000005</v>
      </c>
      <c r="AI206">
        <v>1</v>
      </c>
      <c r="AJ206">
        <v>69.535077296650186</v>
      </c>
      <c r="AK206">
        <v>0.90990000000000004</v>
      </c>
      <c r="AL206" s="62">
        <v>63.27</v>
      </c>
      <c r="AM206">
        <v>8.9176000000000002</v>
      </c>
      <c r="AN206">
        <v>9.2462919077962926</v>
      </c>
      <c r="AO206">
        <v>1</v>
      </c>
      <c r="AP206">
        <v>5579.6748517596734</v>
      </c>
      <c r="AQ206">
        <v>1.053620848708487</v>
      </c>
      <c r="AR206">
        <v>5878.8617999999997</v>
      </c>
      <c r="AS206" s="60">
        <v>578473.81655738642</v>
      </c>
      <c r="AT206" t="s">
        <v>346</v>
      </c>
      <c r="AU206" t="s">
        <v>436</v>
      </c>
      <c r="AV206" t="s">
        <v>425</v>
      </c>
      <c r="AW206" t="s">
        <v>81</v>
      </c>
      <c r="AX206">
        <v>111.133</v>
      </c>
      <c r="AY206">
        <v>1.0368587857491129</v>
      </c>
      <c r="AZ206">
        <v>115.2292274366562</v>
      </c>
      <c r="BA206">
        <v>603.45000000000005</v>
      </c>
      <c r="BB206">
        <v>1</v>
      </c>
      <c r="BC206">
        <v>69.535077296650186</v>
      </c>
      <c r="BD206">
        <v>0.90990000000000004</v>
      </c>
      <c r="BE206" s="62">
        <v>63.27</v>
      </c>
      <c r="BF206">
        <v>8.9176000000000002</v>
      </c>
      <c r="BG206">
        <v>1</v>
      </c>
      <c r="BH206">
        <v>5579.6748517596734</v>
      </c>
      <c r="BI206">
        <v>1.053620848708487</v>
      </c>
      <c r="BJ206" s="62">
        <v>5878.8617999999997</v>
      </c>
      <c r="BK206" s="60">
        <v>578473.81655738642</v>
      </c>
    </row>
    <row r="207" spans="1:63" x14ac:dyDescent="0.25">
      <c r="A207">
        <v>593</v>
      </c>
      <c r="B207" t="s">
        <v>115</v>
      </c>
      <c r="C207">
        <v>2018</v>
      </c>
      <c r="D207">
        <v>11</v>
      </c>
      <c r="E207" t="s">
        <v>100</v>
      </c>
      <c r="F207" t="s">
        <v>426</v>
      </c>
      <c r="G207" t="s">
        <v>427</v>
      </c>
      <c r="H207" t="s">
        <v>84</v>
      </c>
      <c r="I207" t="s">
        <v>429</v>
      </c>
      <c r="J207" t="s">
        <v>87</v>
      </c>
      <c r="K207">
        <v>-432.19667453</v>
      </c>
      <c r="L207" t="s">
        <v>87</v>
      </c>
      <c r="M207" t="s">
        <v>384</v>
      </c>
      <c r="N207">
        <v>0.19876483095849001</v>
      </c>
      <c r="O207">
        <v>85.90549895377697</v>
      </c>
      <c r="P207" t="s">
        <v>440</v>
      </c>
      <c r="Q207">
        <v>2</v>
      </c>
      <c r="R207">
        <v>30.199670000000001</v>
      </c>
      <c r="S207">
        <v>9.6000000000000002E-2</v>
      </c>
      <c r="T207">
        <v>2.8991682999999999</v>
      </c>
      <c r="U207">
        <v>1.9E-2</v>
      </c>
      <c r="V207">
        <v>55.084000000000003</v>
      </c>
      <c r="W207">
        <v>2</v>
      </c>
      <c r="X207">
        <v>2.6697137E-3</v>
      </c>
      <c r="Y207">
        <v>0.29411700000000002</v>
      </c>
      <c r="Z207" s="60">
        <v>25.266268</v>
      </c>
      <c r="AA207" t="s">
        <v>346</v>
      </c>
      <c r="AB207" t="s">
        <v>436</v>
      </c>
      <c r="AC207" t="s">
        <v>425</v>
      </c>
      <c r="AD207" t="s">
        <v>81</v>
      </c>
      <c r="AE207">
        <v>111.133</v>
      </c>
      <c r="AF207">
        <v>1.0368587857491129</v>
      </c>
      <c r="AG207">
        <v>115.2292274366562</v>
      </c>
      <c r="AH207">
        <v>603.45000000000005</v>
      </c>
      <c r="AI207">
        <v>1</v>
      </c>
      <c r="AJ207">
        <v>69.535077296650186</v>
      </c>
      <c r="AK207">
        <v>0.90990000000000004</v>
      </c>
      <c r="AL207" s="62">
        <v>63.27</v>
      </c>
      <c r="AM207">
        <v>8.9176000000000002</v>
      </c>
      <c r="AN207">
        <v>9.2462919077962926</v>
      </c>
      <c r="AO207">
        <v>1</v>
      </c>
      <c r="AP207">
        <v>5579.6748517596734</v>
      </c>
      <c r="AQ207">
        <v>1.053620848708487</v>
      </c>
      <c r="AR207">
        <v>5878.8617999999997</v>
      </c>
      <c r="AS207" s="60">
        <v>148536.89777376241</v>
      </c>
      <c r="AT207" t="s">
        <v>346</v>
      </c>
      <c r="AU207" t="s">
        <v>436</v>
      </c>
      <c r="AV207" t="s">
        <v>425</v>
      </c>
      <c r="AW207" t="s">
        <v>81</v>
      </c>
      <c r="AX207">
        <v>111.133</v>
      </c>
      <c r="AY207">
        <v>1.0368587857491129</v>
      </c>
      <c r="AZ207">
        <v>115.2292274366562</v>
      </c>
      <c r="BA207">
        <v>603.45000000000005</v>
      </c>
      <c r="BB207">
        <v>1</v>
      </c>
      <c r="BC207">
        <v>69.535077296650186</v>
      </c>
      <c r="BD207">
        <v>0.90990000000000004</v>
      </c>
      <c r="BE207" s="62">
        <v>63.27</v>
      </c>
      <c r="BF207">
        <v>8.9176000000000002</v>
      </c>
      <c r="BG207">
        <v>1</v>
      </c>
      <c r="BH207">
        <v>5579.6748517596734</v>
      </c>
      <c r="BI207">
        <v>1.053620848708487</v>
      </c>
      <c r="BJ207" s="62">
        <v>5878.8617999999997</v>
      </c>
      <c r="BK207" s="60">
        <v>148536.89777376241</v>
      </c>
    </row>
    <row r="208" spans="1:63" x14ac:dyDescent="0.25">
      <c r="A208">
        <v>593</v>
      </c>
      <c r="B208" t="s">
        <v>115</v>
      </c>
      <c r="C208">
        <v>2018</v>
      </c>
      <c r="D208">
        <v>11</v>
      </c>
      <c r="E208" t="s">
        <v>100</v>
      </c>
      <c r="F208" t="s">
        <v>426</v>
      </c>
      <c r="G208" t="s">
        <v>427</v>
      </c>
      <c r="H208" t="s">
        <v>84</v>
      </c>
      <c r="I208" t="s">
        <v>430</v>
      </c>
      <c r="J208" t="s">
        <v>59</v>
      </c>
      <c r="K208">
        <v>-787.52142816000003</v>
      </c>
      <c r="L208" t="s">
        <v>59</v>
      </c>
      <c r="M208" t="s">
        <v>384</v>
      </c>
      <c r="N208">
        <v>0.19498772039385001</v>
      </c>
      <c r="O208">
        <v>153.55700803822751</v>
      </c>
      <c r="P208" t="s">
        <v>440</v>
      </c>
      <c r="Q208">
        <v>2</v>
      </c>
      <c r="R208">
        <v>30.199670000000001</v>
      </c>
      <c r="S208">
        <v>9.6000000000000002E-2</v>
      </c>
      <c r="T208">
        <v>2.8991682999999999</v>
      </c>
      <c r="U208">
        <v>1.9E-2</v>
      </c>
      <c r="V208">
        <v>55.084000000000003</v>
      </c>
      <c r="W208">
        <v>2</v>
      </c>
      <c r="X208">
        <v>2.6697137E-3</v>
      </c>
      <c r="Y208">
        <v>0.29411700000000002</v>
      </c>
      <c r="Z208" s="60">
        <v>45.163727000000002</v>
      </c>
      <c r="AA208" t="s">
        <v>346</v>
      </c>
      <c r="AB208" t="s">
        <v>436</v>
      </c>
      <c r="AC208" t="s">
        <v>425</v>
      </c>
      <c r="AD208" t="s">
        <v>81</v>
      </c>
      <c r="AE208">
        <v>111.133</v>
      </c>
      <c r="AF208">
        <v>1.0368587857491129</v>
      </c>
      <c r="AG208">
        <v>115.2292274366562</v>
      </c>
      <c r="AH208">
        <v>603.45000000000005</v>
      </c>
      <c r="AI208">
        <v>1</v>
      </c>
      <c r="AJ208">
        <v>69.535077296650186</v>
      </c>
      <c r="AK208">
        <v>0.90990000000000004</v>
      </c>
      <c r="AL208" s="62">
        <v>63.27</v>
      </c>
      <c r="AM208">
        <v>8.9176000000000002</v>
      </c>
      <c r="AN208">
        <v>9.2462919077962926</v>
      </c>
      <c r="AO208">
        <v>1</v>
      </c>
      <c r="AP208">
        <v>5579.6748517596734</v>
      </c>
      <c r="AQ208">
        <v>1.053620848708487</v>
      </c>
      <c r="AR208">
        <v>5878.8617999999997</v>
      </c>
      <c r="AS208" s="60">
        <v>265511.30940592859</v>
      </c>
      <c r="AT208" t="s">
        <v>346</v>
      </c>
      <c r="AU208" t="s">
        <v>436</v>
      </c>
      <c r="AV208" t="s">
        <v>425</v>
      </c>
      <c r="AW208" t="s">
        <v>81</v>
      </c>
      <c r="AX208">
        <v>111.133</v>
      </c>
      <c r="AY208">
        <v>1.0368587857491129</v>
      </c>
      <c r="AZ208">
        <v>115.2292274366562</v>
      </c>
      <c r="BA208">
        <v>603.45000000000005</v>
      </c>
      <c r="BB208">
        <v>1</v>
      </c>
      <c r="BC208">
        <v>69.535077296650186</v>
      </c>
      <c r="BD208">
        <v>0.90990000000000004</v>
      </c>
      <c r="BE208" s="62">
        <v>63.27</v>
      </c>
      <c r="BF208">
        <v>8.9176000000000002</v>
      </c>
      <c r="BG208">
        <v>1</v>
      </c>
      <c r="BH208">
        <v>5579.6748517596734</v>
      </c>
      <c r="BI208">
        <v>1.053620848708487</v>
      </c>
      <c r="BJ208" s="62">
        <v>5878.8617999999997</v>
      </c>
      <c r="BK208" s="60">
        <v>265511.30940592859</v>
      </c>
    </row>
    <row r="209" spans="1:63" x14ac:dyDescent="0.25">
      <c r="A209">
        <v>595</v>
      </c>
      <c r="B209" t="s">
        <v>115</v>
      </c>
      <c r="C209">
        <v>2018</v>
      </c>
      <c r="D209">
        <v>11</v>
      </c>
      <c r="E209" t="s">
        <v>100</v>
      </c>
      <c r="F209" t="s">
        <v>426</v>
      </c>
      <c r="G209" t="s">
        <v>427</v>
      </c>
      <c r="H209" t="s">
        <v>84</v>
      </c>
      <c r="I209" t="s">
        <v>428</v>
      </c>
      <c r="J209" t="s">
        <v>381</v>
      </c>
      <c r="K209">
        <v>-1653.94735896</v>
      </c>
      <c r="L209" t="s">
        <v>381</v>
      </c>
      <c r="M209" t="s">
        <v>385</v>
      </c>
      <c r="N209">
        <v>0.45512925812367999</v>
      </c>
      <c r="O209">
        <v>752.75983445908469</v>
      </c>
      <c r="P209" t="s">
        <v>440</v>
      </c>
      <c r="Q209">
        <v>2</v>
      </c>
      <c r="R209">
        <v>30.199670000000001</v>
      </c>
      <c r="S209">
        <v>9.6000000000000002E-2</v>
      </c>
      <c r="T209">
        <v>2.8991682999999999</v>
      </c>
      <c r="U209">
        <v>0.98099999999999998</v>
      </c>
      <c r="V209">
        <v>2844.0839999999998</v>
      </c>
      <c r="W209">
        <v>2</v>
      </c>
      <c r="X209">
        <v>5.1706918E-5</v>
      </c>
      <c r="Y209">
        <v>0.29411799999999999</v>
      </c>
      <c r="Z209" s="60">
        <v>221.400217</v>
      </c>
      <c r="AA209" t="s">
        <v>346</v>
      </c>
      <c r="AB209" t="s">
        <v>436</v>
      </c>
      <c r="AC209" t="s">
        <v>425</v>
      </c>
      <c r="AD209" t="s">
        <v>27</v>
      </c>
      <c r="AE209">
        <v>111.133</v>
      </c>
      <c r="AF209">
        <v>1.0368587857491129</v>
      </c>
      <c r="AG209">
        <v>115.2292274366562</v>
      </c>
      <c r="AH209">
        <v>603.45000000000005</v>
      </c>
      <c r="AI209">
        <v>1</v>
      </c>
      <c r="AJ209">
        <v>69.535077296650186</v>
      </c>
      <c r="AK209">
        <v>0.93979999999999997</v>
      </c>
      <c r="AL209" s="62">
        <v>65.349000000000004</v>
      </c>
      <c r="AM209">
        <v>8.9176000000000002</v>
      </c>
      <c r="AN209">
        <v>9.2462919077962926</v>
      </c>
      <c r="AO209">
        <v>1</v>
      </c>
      <c r="AP209">
        <v>5579.6748517596734</v>
      </c>
      <c r="AQ209">
        <v>0.95477850697292876</v>
      </c>
      <c r="AR209">
        <v>5327.3536000000004</v>
      </c>
      <c r="AS209" s="60">
        <v>1179477.243075731</v>
      </c>
      <c r="AT209" t="s">
        <v>346</v>
      </c>
      <c r="AU209" t="s">
        <v>436</v>
      </c>
      <c r="AV209" t="s">
        <v>425</v>
      </c>
      <c r="AW209" t="s">
        <v>27</v>
      </c>
      <c r="AX209">
        <v>111.133</v>
      </c>
      <c r="AY209">
        <v>1.0368587857491129</v>
      </c>
      <c r="AZ209">
        <v>115.2292274366562</v>
      </c>
      <c r="BA209">
        <v>603.45000000000005</v>
      </c>
      <c r="BB209">
        <v>1</v>
      </c>
      <c r="BC209">
        <v>69.535077296650186</v>
      </c>
      <c r="BD209">
        <v>0.93979999999999997</v>
      </c>
      <c r="BE209" s="62">
        <v>65.349000000000004</v>
      </c>
      <c r="BF209">
        <v>8.9176000000000002</v>
      </c>
      <c r="BG209">
        <v>1</v>
      </c>
      <c r="BH209">
        <v>5579.6748517596734</v>
      </c>
      <c r="BI209">
        <v>0.95477850697292876</v>
      </c>
      <c r="BJ209" s="62">
        <v>5327.3536000000004</v>
      </c>
      <c r="BK209" s="60">
        <v>1179477.243075731</v>
      </c>
    </row>
    <row r="210" spans="1:63" x14ac:dyDescent="0.25">
      <c r="A210">
        <v>595</v>
      </c>
      <c r="B210" t="s">
        <v>115</v>
      </c>
      <c r="C210">
        <v>2018</v>
      </c>
      <c r="D210">
        <v>11</v>
      </c>
      <c r="E210" t="s">
        <v>100</v>
      </c>
      <c r="F210" t="s">
        <v>426</v>
      </c>
      <c r="G210" t="s">
        <v>427</v>
      </c>
      <c r="H210" t="s">
        <v>84</v>
      </c>
      <c r="I210" t="s">
        <v>429</v>
      </c>
      <c r="J210" t="s">
        <v>87</v>
      </c>
      <c r="K210">
        <v>-432.19667453</v>
      </c>
      <c r="L210" t="s">
        <v>87</v>
      </c>
      <c r="M210" t="s">
        <v>385</v>
      </c>
      <c r="N210">
        <v>0.39732687972676001</v>
      </c>
      <c r="O210">
        <v>171.7233561192869</v>
      </c>
      <c r="P210" t="s">
        <v>440</v>
      </c>
      <c r="Q210">
        <v>2</v>
      </c>
      <c r="R210">
        <v>30.199670000000001</v>
      </c>
      <c r="S210">
        <v>9.6000000000000002E-2</v>
      </c>
      <c r="T210">
        <v>2.8991682999999999</v>
      </c>
      <c r="U210">
        <v>0.98099999999999998</v>
      </c>
      <c r="V210">
        <v>2844.0839999999998</v>
      </c>
      <c r="W210">
        <v>2</v>
      </c>
      <c r="X210">
        <v>5.1706918E-5</v>
      </c>
      <c r="Y210">
        <v>0.29411799999999999</v>
      </c>
      <c r="Z210" s="60">
        <v>50.506929999999997</v>
      </c>
      <c r="AA210" t="s">
        <v>346</v>
      </c>
      <c r="AB210" t="s">
        <v>436</v>
      </c>
      <c r="AC210" t="s">
        <v>425</v>
      </c>
      <c r="AD210" t="s">
        <v>27</v>
      </c>
      <c r="AE210">
        <v>111.133</v>
      </c>
      <c r="AF210">
        <v>1.0368587857491129</v>
      </c>
      <c r="AG210">
        <v>115.2292274366562</v>
      </c>
      <c r="AH210">
        <v>603.45000000000005</v>
      </c>
      <c r="AI210">
        <v>1</v>
      </c>
      <c r="AJ210">
        <v>69.535077296650186</v>
      </c>
      <c r="AK210">
        <v>0.93979999999999997</v>
      </c>
      <c r="AL210" s="62">
        <v>65.349000000000004</v>
      </c>
      <c r="AM210">
        <v>8.9176000000000002</v>
      </c>
      <c r="AN210">
        <v>9.2462919077962926</v>
      </c>
      <c r="AO210">
        <v>1</v>
      </c>
      <c r="AP210">
        <v>5579.6748517596734</v>
      </c>
      <c r="AQ210">
        <v>0.95477850697292876</v>
      </c>
      <c r="AR210">
        <v>5327.3536000000004</v>
      </c>
      <c r="AS210" s="60">
        <v>269068.27536044799</v>
      </c>
      <c r="AT210" t="s">
        <v>346</v>
      </c>
      <c r="AU210" t="s">
        <v>436</v>
      </c>
      <c r="AV210" t="s">
        <v>425</v>
      </c>
      <c r="AW210" t="s">
        <v>27</v>
      </c>
      <c r="AX210">
        <v>111.133</v>
      </c>
      <c r="AY210">
        <v>1.0368587857491129</v>
      </c>
      <c r="AZ210">
        <v>115.2292274366562</v>
      </c>
      <c r="BA210">
        <v>603.45000000000005</v>
      </c>
      <c r="BB210">
        <v>1</v>
      </c>
      <c r="BC210">
        <v>69.535077296650186</v>
      </c>
      <c r="BD210">
        <v>0.93979999999999997</v>
      </c>
      <c r="BE210" s="62">
        <v>65.349000000000004</v>
      </c>
      <c r="BF210">
        <v>8.9176000000000002</v>
      </c>
      <c r="BG210">
        <v>1</v>
      </c>
      <c r="BH210">
        <v>5579.6748517596734</v>
      </c>
      <c r="BI210">
        <v>0.95477850697292876</v>
      </c>
      <c r="BJ210" s="62">
        <v>5327.3536000000004</v>
      </c>
      <c r="BK210" s="60">
        <v>269068.27536044799</v>
      </c>
    </row>
    <row r="211" spans="1:63" x14ac:dyDescent="0.25">
      <c r="A211">
        <v>595</v>
      </c>
      <c r="B211" t="s">
        <v>115</v>
      </c>
      <c r="C211">
        <v>2018</v>
      </c>
      <c r="D211">
        <v>11</v>
      </c>
      <c r="E211" t="s">
        <v>100</v>
      </c>
      <c r="F211" t="s">
        <v>426</v>
      </c>
      <c r="G211" t="s">
        <v>427</v>
      </c>
      <c r="H211" t="s">
        <v>84</v>
      </c>
      <c r="I211" t="s">
        <v>430</v>
      </c>
      <c r="J211" t="s">
        <v>59</v>
      </c>
      <c r="K211">
        <v>-787.52142816000003</v>
      </c>
      <c r="L211" t="s">
        <v>59</v>
      </c>
      <c r="M211" t="s">
        <v>385</v>
      </c>
      <c r="N211">
        <v>0.44073195679215998</v>
      </c>
      <c r="O211">
        <v>347.0858600487133</v>
      </c>
      <c r="P211" t="s">
        <v>440</v>
      </c>
      <c r="Q211">
        <v>2</v>
      </c>
      <c r="R211">
        <v>30.199670000000001</v>
      </c>
      <c r="S211">
        <v>9.6000000000000002E-2</v>
      </c>
      <c r="T211">
        <v>2.8991682999999999</v>
      </c>
      <c r="U211">
        <v>0.98099999999999998</v>
      </c>
      <c r="V211">
        <v>2844.0839999999998</v>
      </c>
      <c r="W211">
        <v>2</v>
      </c>
      <c r="X211">
        <v>5.1706918E-5</v>
      </c>
      <c r="Y211">
        <v>0.29411799999999999</v>
      </c>
      <c r="Z211" s="60">
        <v>102.084199</v>
      </c>
      <c r="AA211" t="s">
        <v>346</v>
      </c>
      <c r="AB211" t="s">
        <v>436</v>
      </c>
      <c r="AC211" t="s">
        <v>425</v>
      </c>
      <c r="AD211" t="s">
        <v>27</v>
      </c>
      <c r="AE211">
        <v>111.133</v>
      </c>
      <c r="AF211">
        <v>1.0368587857491129</v>
      </c>
      <c r="AG211">
        <v>115.2292274366562</v>
      </c>
      <c r="AH211">
        <v>603.45000000000005</v>
      </c>
      <c r="AI211">
        <v>1</v>
      </c>
      <c r="AJ211">
        <v>69.535077296650186</v>
      </c>
      <c r="AK211">
        <v>0.93979999999999997</v>
      </c>
      <c r="AL211" s="62">
        <v>65.349000000000004</v>
      </c>
      <c r="AM211">
        <v>8.9176000000000002</v>
      </c>
      <c r="AN211">
        <v>9.2462919077962926</v>
      </c>
      <c r="AO211">
        <v>1</v>
      </c>
      <c r="AP211">
        <v>5579.6748517596734</v>
      </c>
      <c r="AQ211">
        <v>0.95477850697292876</v>
      </c>
      <c r="AR211">
        <v>5327.3536000000004</v>
      </c>
      <c r="AS211" s="60">
        <v>543838.62504576647</v>
      </c>
      <c r="AT211" t="s">
        <v>346</v>
      </c>
      <c r="AU211" t="s">
        <v>436</v>
      </c>
      <c r="AV211" t="s">
        <v>425</v>
      </c>
      <c r="AW211" t="s">
        <v>27</v>
      </c>
      <c r="AX211">
        <v>111.133</v>
      </c>
      <c r="AY211">
        <v>1.0368587857491129</v>
      </c>
      <c r="AZ211">
        <v>115.2292274366562</v>
      </c>
      <c r="BA211">
        <v>603.45000000000005</v>
      </c>
      <c r="BB211">
        <v>1</v>
      </c>
      <c r="BC211">
        <v>69.535077296650186</v>
      </c>
      <c r="BD211">
        <v>0.93979999999999997</v>
      </c>
      <c r="BE211" s="62">
        <v>65.349000000000004</v>
      </c>
      <c r="BF211">
        <v>8.9176000000000002</v>
      </c>
      <c r="BG211">
        <v>1</v>
      </c>
      <c r="BH211">
        <v>5579.6748517596734</v>
      </c>
      <c r="BI211">
        <v>0.95477850697292876</v>
      </c>
      <c r="BJ211" s="62">
        <v>5327.3536000000004</v>
      </c>
      <c r="BK211" s="60">
        <v>543838.62504576647</v>
      </c>
    </row>
    <row r="212" spans="1:63" x14ac:dyDescent="0.25">
      <c r="A212">
        <v>613</v>
      </c>
      <c r="B212" t="s">
        <v>116</v>
      </c>
      <c r="C212">
        <v>2018</v>
      </c>
      <c r="D212">
        <v>12</v>
      </c>
      <c r="E212" t="s">
        <v>100</v>
      </c>
      <c r="F212" t="s">
        <v>426</v>
      </c>
      <c r="G212" t="s">
        <v>427</v>
      </c>
      <c r="H212" t="s">
        <v>84</v>
      </c>
      <c r="I212" t="s">
        <v>428</v>
      </c>
      <c r="J212" t="s">
        <v>381</v>
      </c>
      <c r="K212">
        <v>-2422.0479950899999</v>
      </c>
      <c r="L212" t="s">
        <v>381</v>
      </c>
      <c r="M212" t="s">
        <v>384</v>
      </c>
      <c r="N212">
        <v>0.20227799740369001</v>
      </c>
      <c r="O212">
        <v>489.92701806242758</v>
      </c>
      <c r="P212" t="s">
        <v>440</v>
      </c>
      <c r="Q212">
        <v>2</v>
      </c>
      <c r="R212">
        <v>30.199670000000001</v>
      </c>
      <c r="S212">
        <v>0.14599999999999999</v>
      </c>
      <c r="T212">
        <v>4.4091518000000001</v>
      </c>
      <c r="U212">
        <v>1.9E-2</v>
      </c>
      <c r="V212">
        <v>83.774000000000001</v>
      </c>
      <c r="W212">
        <v>2</v>
      </c>
      <c r="X212">
        <v>1.7554238210000001E-3</v>
      </c>
      <c r="Y212">
        <v>0.29411799999999999</v>
      </c>
      <c r="Z212" s="60">
        <v>144.09635499999999</v>
      </c>
      <c r="AA212" t="s">
        <v>346</v>
      </c>
      <c r="AB212" t="s">
        <v>436</v>
      </c>
      <c r="AC212" t="s">
        <v>425</v>
      </c>
      <c r="AD212" t="s">
        <v>81</v>
      </c>
      <c r="AE212">
        <v>111.133</v>
      </c>
      <c r="AF212">
        <v>1.0368587857491129</v>
      </c>
      <c r="AG212">
        <v>115.2292274366562</v>
      </c>
      <c r="AH212">
        <v>603.45000000000005</v>
      </c>
      <c r="AI212">
        <v>1</v>
      </c>
      <c r="AJ212">
        <v>69.535077296650186</v>
      </c>
      <c r="AK212">
        <v>0.90990000000000004</v>
      </c>
      <c r="AL212" s="62">
        <v>63.27</v>
      </c>
      <c r="AM212">
        <v>8.9176000000000002</v>
      </c>
      <c r="AN212">
        <v>9.2462919077962926</v>
      </c>
      <c r="AO212">
        <v>1</v>
      </c>
      <c r="AP212">
        <v>5579.6748517596734</v>
      </c>
      <c r="AQ212">
        <v>1.053620848708487</v>
      </c>
      <c r="AR212">
        <v>5878.8617999999997</v>
      </c>
      <c r="AS212" s="60">
        <v>847122.55692873884</v>
      </c>
      <c r="AT212" t="s">
        <v>346</v>
      </c>
      <c r="AU212" t="s">
        <v>436</v>
      </c>
      <c r="AV212" t="s">
        <v>425</v>
      </c>
      <c r="AW212" t="s">
        <v>81</v>
      </c>
      <c r="AX212">
        <v>111.133</v>
      </c>
      <c r="AY212">
        <v>1.0368587857491129</v>
      </c>
      <c r="AZ212">
        <v>115.2292274366562</v>
      </c>
      <c r="BA212">
        <v>603.45000000000005</v>
      </c>
      <c r="BB212">
        <v>1</v>
      </c>
      <c r="BC212">
        <v>69.535077296650186</v>
      </c>
      <c r="BD212">
        <v>0.90990000000000004</v>
      </c>
      <c r="BE212" s="62">
        <v>63.27</v>
      </c>
      <c r="BF212">
        <v>8.9176000000000002</v>
      </c>
      <c r="BG212">
        <v>1</v>
      </c>
      <c r="BH212">
        <v>5579.6748517596734</v>
      </c>
      <c r="BI212">
        <v>1.053620848708487</v>
      </c>
      <c r="BJ212" s="62">
        <v>5878.8617999999997</v>
      </c>
      <c r="BK212" s="60">
        <v>847122.55692873884</v>
      </c>
    </row>
    <row r="213" spans="1:63" x14ac:dyDescent="0.25">
      <c r="A213">
        <v>613</v>
      </c>
      <c r="B213" t="s">
        <v>116</v>
      </c>
      <c r="C213">
        <v>2018</v>
      </c>
      <c r="D213">
        <v>12</v>
      </c>
      <c r="E213" t="s">
        <v>100</v>
      </c>
      <c r="F213" t="s">
        <v>426</v>
      </c>
      <c r="G213" t="s">
        <v>427</v>
      </c>
      <c r="H213" t="s">
        <v>84</v>
      </c>
      <c r="I213" t="s">
        <v>429</v>
      </c>
      <c r="J213" t="s">
        <v>87</v>
      </c>
      <c r="K213">
        <v>-617.27765622000004</v>
      </c>
      <c r="L213" t="s">
        <v>87</v>
      </c>
      <c r="M213" t="s">
        <v>384</v>
      </c>
      <c r="N213">
        <v>0.19876483095788999</v>
      </c>
      <c r="O213">
        <v>122.6930889926508</v>
      </c>
      <c r="P213" t="s">
        <v>440</v>
      </c>
      <c r="Q213">
        <v>2</v>
      </c>
      <c r="R213">
        <v>30.199670000000001</v>
      </c>
      <c r="S213">
        <v>0.14599999999999999</v>
      </c>
      <c r="T213">
        <v>4.4091518000000001</v>
      </c>
      <c r="U213">
        <v>1.9E-2</v>
      </c>
      <c r="V213">
        <v>83.774000000000001</v>
      </c>
      <c r="W213">
        <v>2</v>
      </c>
      <c r="X213">
        <v>1.7554238210000001E-3</v>
      </c>
      <c r="Y213">
        <v>0.29411799999999999</v>
      </c>
      <c r="Z213" s="60">
        <v>36.086246000000003</v>
      </c>
      <c r="AA213" t="s">
        <v>346</v>
      </c>
      <c r="AB213" t="s">
        <v>436</v>
      </c>
      <c r="AC213" t="s">
        <v>425</v>
      </c>
      <c r="AD213" t="s">
        <v>81</v>
      </c>
      <c r="AE213">
        <v>111.133</v>
      </c>
      <c r="AF213">
        <v>1.0368587857491129</v>
      </c>
      <c r="AG213">
        <v>115.2292274366562</v>
      </c>
      <c r="AH213">
        <v>603.45000000000005</v>
      </c>
      <c r="AI213">
        <v>1</v>
      </c>
      <c r="AJ213">
        <v>69.535077296650186</v>
      </c>
      <c r="AK213">
        <v>0.90990000000000004</v>
      </c>
      <c r="AL213" s="62">
        <v>63.27</v>
      </c>
      <c r="AM213">
        <v>8.9176000000000002</v>
      </c>
      <c r="AN213">
        <v>9.2462919077962926</v>
      </c>
      <c r="AO213">
        <v>1</v>
      </c>
      <c r="AP213">
        <v>5579.6748517596734</v>
      </c>
      <c r="AQ213">
        <v>1.053620848708487</v>
      </c>
      <c r="AR213">
        <v>5878.8617999999997</v>
      </c>
      <c r="AS213" s="60">
        <v>212146.05311480281</v>
      </c>
      <c r="AT213" t="s">
        <v>346</v>
      </c>
      <c r="AU213" t="s">
        <v>436</v>
      </c>
      <c r="AV213" t="s">
        <v>425</v>
      </c>
      <c r="AW213" t="s">
        <v>81</v>
      </c>
      <c r="AX213">
        <v>111.133</v>
      </c>
      <c r="AY213">
        <v>1.0368587857491129</v>
      </c>
      <c r="AZ213">
        <v>115.2292274366562</v>
      </c>
      <c r="BA213">
        <v>603.45000000000005</v>
      </c>
      <c r="BB213">
        <v>1</v>
      </c>
      <c r="BC213">
        <v>69.535077296650186</v>
      </c>
      <c r="BD213">
        <v>0.90990000000000004</v>
      </c>
      <c r="BE213" s="62">
        <v>63.27</v>
      </c>
      <c r="BF213">
        <v>8.9176000000000002</v>
      </c>
      <c r="BG213">
        <v>1</v>
      </c>
      <c r="BH213">
        <v>5579.6748517596734</v>
      </c>
      <c r="BI213">
        <v>1.053620848708487</v>
      </c>
      <c r="BJ213" s="62">
        <v>5878.8617999999997</v>
      </c>
      <c r="BK213" s="60">
        <v>212146.05311480281</v>
      </c>
    </row>
    <row r="214" spans="1:63" x14ac:dyDescent="0.25">
      <c r="A214">
        <v>613</v>
      </c>
      <c r="B214" t="s">
        <v>116</v>
      </c>
      <c r="C214">
        <v>2018</v>
      </c>
      <c r="D214">
        <v>12</v>
      </c>
      <c r="E214" t="s">
        <v>100</v>
      </c>
      <c r="F214" t="s">
        <v>426</v>
      </c>
      <c r="G214" t="s">
        <v>427</v>
      </c>
      <c r="H214" t="s">
        <v>84</v>
      </c>
      <c r="I214" t="s">
        <v>430</v>
      </c>
      <c r="J214" t="s">
        <v>59</v>
      </c>
      <c r="K214">
        <v>-903.05459274999998</v>
      </c>
      <c r="L214" t="s">
        <v>59</v>
      </c>
      <c r="M214" t="s">
        <v>384</v>
      </c>
      <c r="N214">
        <v>0.19498772039372</v>
      </c>
      <c r="O214">
        <v>176.08455643140169</v>
      </c>
      <c r="P214" t="s">
        <v>440</v>
      </c>
      <c r="Q214">
        <v>2</v>
      </c>
      <c r="R214">
        <v>30.199670000000001</v>
      </c>
      <c r="S214">
        <v>0.14599999999999999</v>
      </c>
      <c r="T214">
        <v>4.4091518000000001</v>
      </c>
      <c r="U214">
        <v>1.9E-2</v>
      </c>
      <c r="V214">
        <v>83.774000000000001</v>
      </c>
      <c r="W214">
        <v>2</v>
      </c>
      <c r="X214">
        <v>1.7554238210000001E-3</v>
      </c>
      <c r="Y214">
        <v>0.29411799999999999</v>
      </c>
      <c r="Z214" s="60">
        <v>51.789637999999997</v>
      </c>
      <c r="AA214" t="s">
        <v>346</v>
      </c>
      <c r="AB214" t="s">
        <v>436</v>
      </c>
      <c r="AC214" t="s">
        <v>425</v>
      </c>
      <c r="AD214" t="s">
        <v>81</v>
      </c>
      <c r="AE214">
        <v>111.133</v>
      </c>
      <c r="AF214">
        <v>1.0368587857491129</v>
      </c>
      <c r="AG214">
        <v>115.2292274366562</v>
      </c>
      <c r="AH214">
        <v>603.45000000000005</v>
      </c>
      <c r="AI214">
        <v>1</v>
      </c>
      <c r="AJ214">
        <v>69.535077296650186</v>
      </c>
      <c r="AK214">
        <v>0.90990000000000004</v>
      </c>
      <c r="AL214" s="62">
        <v>63.27</v>
      </c>
      <c r="AM214">
        <v>8.9176000000000002</v>
      </c>
      <c r="AN214">
        <v>9.2462919077962926</v>
      </c>
      <c r="AO214">
        <v>1</v>
      </c>
      <c r="AP214">
        <v>5579.6748517596734</v>
      </c>
      <c r="AQ214">
        <v>1.053620848708487</v>
      </c>
      <c r="AR214">
        <v>5878.8617999999997</v>
      </c>
      <c r="AS214" s="60">
        <v>304464.12447402842</v>
      </c>
      <c r="AT214" t="s">
        <v>346</v>
      </c>
      <c r="AU214" t="s">
        <v>436</v>
      </c>
      <c r="AV214" t="s">
        <v>425</v>
      </c>
      <c r="AW214" t="s">
        <v>81</v>
      </c>
      <c r="AX214">
        <v>111.133</v>
      </c>
      <c r="AY214">
        <v>1.0368587857491129</v>
      </c>
      <c r="AZ214">
        <v>115.2292274366562</v>
      </c>
      <c r="BA214">
        <v>603.45000000000005</v>
      </c>
      <c r="BB214">
        <v>1</v>
      </c>
      <c r="BC214">
        <v>69.535077296650186</v>
      </c>
      <c r="BD214">
        <v>0.90990000000000004</v>
      </c>
      <c r="BE214" s="62">
        <v>63.27</v>
      </c>
      <c r="BF214">
        <v>8.9176000000000002</v>
      </c>
      <c r="BG214">
        <v>1</v>
      </c>
      <c r="BH214">
        <v>5579.6748517596734</v>
      </c>
      <c r="BI214">
        <v>1.053620848708487</v>
      </c>
      <c r="BJ214" s="62">
        <v>5878.8617999999997</v>
      </c>
      <c r="BK214" s="60">
        <v>304464.12447402842</v>
      </c>
    </row>
    <row r="215" spans="1:63" x14ac:dyDescent="0.25">
      <c r="A215">
        <v>615</v>
      </c>
      <c r="B215" t="s">
        <v>116</v>
      </c>
      <c r="C215">
        <v>2018</v>
      </c>
      <c r="D215">
        <v>12</v>
      </c>
      <c r="E215" t="s">
        <v>100</v>
      </c>
      <c r="F215" t="s">
        <v>426</v>
      </c>
      <c r="G215" t="s">
        <v>427</v>
      </c>
      <c r="H215" t="s">
        <v>84</v>
      </c>
      <c r="I215" t="s">
        <v>428</v>
      </c>
      <c r="J215" t="s">
        <v>381</v>
      </c>
      <c r="K215">
        <v>-2422.0479950899999</v>
      </c>
      <c r="L215" t="s">
        <v>381</v>
      </c>
      <c r="M215" t="s">
        <v>385</v>
      </c>
      <c r="N215">
        <v>0.45512925812366001</v>
      </c>
      <c r="O215">
        <v>1102.3449071452101</v>
      </c>
      <c r="P215" t="s">
        <v>440</v>
      </c>
      <c r="Q215">
        <v>2</v>
      </c>
      <c r="R215">
        <v>30.199670000000001</v>
      </c>
      <c r="S215">
        <v>0.14599999999999999</v>
      </c>
      <c r="T215">
        <v>4.4091518000000001</v>
      </c>
      <c r="U215">
        <v>0.98099999999999998</v>
      </c>
      <c r="V215">
        <v>4325.3779999999997</v>
      </c>
      <c r="W215">
        <v>2</v>
      </c>
      <c r="X215">
        <v>3.3999067999999997E-5</v>
      </c>
      <c r="Y215">
        <v>0.29411799999999999</v>
      </c>
      <c r="Z215" s="60">
        <v>324.21947899999998</v>
      </c>
      <c r="AA215" t="s">
        <v>346</v>
      </c>
      <c r="AB215" t="s">
        <v>436</v>
      </c>
      <c r="AC215" t="s">
        <v>425</v>
      </c>
      <c r="AD215" t="s">
        <v>27</v>
      </c>
      <c r="AE215">
        <v>111.133</v>
      </c>
      <c r="AF215">
        <v>1.0368587857491129</v>
      </c>
      <c r="AG215">
        <v>115.2292274366562</v>
      </c>
      <c r="AH215">
        <v>603.45000000000005</v>
      </c>
      <c r="AI215">
        <v>1</v>
      </c>
      <c r="AJ215">
        <v>69.535077296650186</v>
      </c>
      <c r="AK215">
        <v>0.93979999999999997</v>
      </c>
      <c r="AL215" s="62">
        <v>65.349000000000004</v>
      </c>
      <c r="AM215">
        <v>8.9176000000000002</v>
      </c>
      <c r="AN215">
        <v>9.2462919077962926</v>
      </c>
      <c r="AO215">
        <v>1</v>
      </c>
      <c r="AP215">
        <v>5579.6748517596734</v>
      </c>
      <c r="AQ215">
        <v>0.95477850697292876</v>
      </c>
      <c r="AR215">
        <v>5327.3536000000004</v>
      </c>
      <c r="AS215" s="60">
        <v>1727231.8086407741</v>
      </c>
      <c r="AT215" t="s">
        <v>346</v>
      </c>
      <c r="AU215" t="s">
        <v>436</v>
      </c>
      <c r="AV215" t="s">
        <v>425</v>
      </c>
      <c r="AW215" t="s">
        <v>27</v>
      </c>
      <c r="AX215">
        <v>111.133</v>
      </c>
      <c r="AY215">
        <v>1.0368587857491129</v>
      </c>
      <c r="AZ215">
        <v>115.2292274366562</v>
      </c>
      <c r="BA215">
        <v>603.45000000000005</v>
      </c>
      <c r="BB215">
        <v>1</v>
      </c>
      <c r="BC215">
        <v>69.535077296650186</v>
      </c>
      <c r="BD215">
        <v>0.93979999999999997</v>
      </c>
      <c r="BE215" s="62">
        <v>65.349000000000004</v>
      </c>
      <c r="BF215">
        <v>8.9176000000000002</v>
      </c>
      <c r="BG215">
        <v>1</v>
      </c>
      <c r="BH215">
        <v>5579.6748517596734</v>
      </c>
      <c r="BI215">
        <v>0.95477850697292876</v>
      </c>
      <c r="BJ215" s="62">
        <v>5327.3536000000004</v>
      </c>
      <c r="BK215" s="60">
        <v>1727231.8086407741</v>
      </c>
    </row>
    <row r="216" spans="1:63" x14ac:dyDescent="0.25">
      <c r="A216">
        <v>615</v>
      </c>
      <c r="B216" t="s">
        <v>116</v>
      </c>
      <c r="C216">
        <v>2018</v>
      </c>
      <c r="D216">
        <v>12</v>
      </c>
      <c r="E216" t="s">
        <v>100</v>
      </c>
      <c r="F216" t="s">
        <v>426</v>
      </c>
      <c r="G216" t="s">
        <v>427</v>
      </c>
      <c r="H216" t="s">
        <v>84</v>
      </c>
      <c r="I216" t="s">
        <v>429</v>
      </c>
      <c r="J216" t="s">
        <v>87</v>
      </c>
      <c r="K216">
        <v>-617.27765622000004</v>
      </c>
      <c r="L216" t="s">
        <v>87</v>
      </c>
      <c r="M216" t="s">
        <v>385</v>
      </c>
      <c r="N216">
        <v>0.39732687972642</v>
      </c>
      <c r="O216">
        <v>245.26100507073039</v>
      </c>
      <c r="P216" t="s">
        <v>440</v>
      </c>
      <c r="Q216">
        <v>2</v>
      </c>
      <c r="R216">
        <v>30.199670000000001</v>
      </c>
      <c r="S216">
        <v>0.14599999999999999</v>
      </c>
      <c r="T216">
        <v>4.4091518000000001</v>
      </c>
      <c r="U216">
        <v>0.98099999999999998</v>
      </c>
      <c r="V216">
        <v>4325.3779999999997</v>
      </c>
      <c r="W216">
        <v>2</v>
      </c>
      <c r="X216">
        <v>3.3999067999999997E-5</v>
      </c>
      <c r="Y216">
        <v>0.29411799999999999</v>
      </c>
      <c r="Z216" s="60">
        <v>72.135676000000004</v>
      </c>
      <c r="AA216" t="s">
        <v>346</v>
      </c>
      <c r="AB216" t="s">
        <v>436</v>
      </c>
      <c r="AC216" t="s">
        <v>425</v>
      </c>
      <c r="AD216" t="s">
        <v>27</v>
      </c>
      <c r="AE216">
        <v>111.133</v>
      </c>
      <c r="AF216">
        <v>1.0368587857491129</v>
      </c>
      <c r="AG216">
        <v>115.2292274366562</v>
      </c>
      <c r="AH216">
        <v>603.45000000000005</v>
      </c>
      <c r="AI216">
        <v>1</v>
      </c>
      <c r="AJ216">
        <v>69.535077296650186</v>
      </c>
      <c r="AK216">
        <v>0.93979999999999997</v>
      </c>
      <c r="AL216" s="62">
        <v>65.349000000000004</v>
      </c>
      <c r="AM216">
        <v>8.9176000000000002</v>
      </c>
      <c r="AN216">
        <v>9.2462919077962926</v>
      </c>
      <c r="AO216">
        <v>1</v>
      </c>
      <c r="AP216">
        <v>5579.6748517596734</v>
      </c>
      <c r="AQ216">
        <v>0.95477850697292876</v>
      </c>
      <c r="AR216">
        <v>5327.3536000000004</v>
      </c>
      <c r="AS216" s="60">
        <v>384292.25322703371</v>
      </c>
      <c r="AT216" t="s">
        <v>346</v>
      </c>
      <c r="AU216" t="s">
        <v>436</v>
      </c>
      <c r="AV216" t="s">
        <v>425</v>
      </c>
      <c r="AW216" t="s">
        <v>27</v>
      </c>
      <c r="AX216">
        <v>111.133</v>
      </c>
      <c r="AY216">
        <v>1.0368587857491129</v>
      </c>
      <c r="AZ216">
        <v>115.2292274366562</v>
      </c>
      <c r="BA216">
        <v>603.45000000000005</v>
      </c>
      <c r="BB216">
        <v>1</v>
      </c>
      <c r="BC216">
        <v>69.535077296650186</v>
      </c>
      <c r="BD216">
        <v>0.93979999999999997</v>
      </c>
      <c r="BE216" s="62">
        <v>65.349000000000004</v>
      </c>
      <c r="BF216">
        <v>8.9176000000000002</v>
      </c>
      <c r="BG216">
        <v>1</v>
      </c>
      <c r="BH216">
        <v>5579.6748517596734</v>
      </c>
      <c r="BI216">
        <v>0.95477850697292876</v>
      </c>
      <c r="BJ216" s="62">
        <v>5327.3536000000004</v>
      </c>
      <c r="BK216" s="60">
        <v>384292.25322703371</v>
      </c>
    </row>
    <row r="217" spans="1:63" x14ac:dyDescent="0.25">
      <c r="A217">
        <v>615</v>
      </c>
      <c r="B217" t="s">
        <v>116</v>
      </c>
      <c r="C217">
        <v>2018</v>
      </c>
      <c r="D217">
        <v>12</v>
      </c>
      <c r="E217" t="s">
        <v>100</v>
      </c>
      <c r="F217" t="s">
        <v>426</v>
      </c>
      <c r="G217" t="s">
        <v>427</v>
      </c>
      <c r="H217" t="s">
        <v>84</v>
      </c>
      <c r="I217" t="s">
        <v>430</v>
      </c>
      <c r="J217" t="s">
        <v>59</v>
      </c>
      <c r="K217">
        <v>-903.05459274999998</v>
      </c>
      <c r="L217" t="s">
        <v>59</v>
      </c>
      <c r="M217" t="s">
        <v>385</v>
      </c>
      <c r="N217">
        <v>0.44073195679228</v>
      </c>
      <c r="O217">
        <v>398.005017752963</v>
      </c>
      <c r="P217" t="s">
        <v>440</v>
      </c>
      <c r="Q217">
        <v>2</v>
      </c>
      <c r="R217">
        <v>30.199670000000001</v>
      </c>
      <c r="S217">
        <v>0.14599999999999999</v>
      </c>
      <c r="T217">
        <v>4.4091518000000001</v>
      </c>
      <c r="U217">
        <v>0.98099999999999998</v>
      </c>
      <c r="V217">
        <v>4325.3779999999997</v>
      </c>
      <c r="W217">
        <v>2</v>
      </c>
      <c r="X217">
        <v>3.3999067999999997E-5</v>
      </c>
      <c r="Y217">
        <v>0.29411799999999999</v>
      </c>
      <c r="Z217" s="60">
        <v>117.06044</v>
      </c>
      <c r="AA217" t="s">
        <v>346</v>
      </c>
      <c r="AB217" t="s">
        <v>436</v>
      </c>
      <c r="AC217" t="s">
        <v>425</v>
      </c>
      <c r="AD217" t="s">
        <v>27</v>
      </c>
      <c r="AE217">
        <v>111.133</v>
      </c>
      <c r="AF217">
        <v>1.0368587857491129</v>
      </c>
      <c r="AG217">
        <v>115.2292274366562</v>
      </c>
      <c r="AH217">
        <v>603.45000000000005</v>
      </c>
      <c r="AI217">
        <v>1</v>
      </c>
      <c r="AJ217">
        <v>69.535077296650186</v>
      </c>
      <c r="AK217">
        <v>0.93979999999999997</v>
      </c>
      <c r="AL217" s="62">
        <v>65.349000000000004</v>
      </c>
      <c r="AM217">
        <v>8.9176000000000002</v>
      </c>
      <c r="AN217">
        <v>9.2462919077962926</v>
      </c>
      <c r="AO217">
        <v>1</v>
      </c>
      <c r="AP217">
        <v>5579.6748517596734</v>
      </c>
      <c r="AQ217">
        <v>0.95477850697292876</v>
      </c>
      <c r="AR217">
        <v>5327.3536000000004</v>
      </c>
      <c r="AS217" s="60">
        <v>623622.35645158403</v>
      </c>
      <c r="AT217" t="s">
        <v>346</v>
      </c>
      <c r="AU217" t="s">
        <v>436</v>
      </c>
      <c r="AV217" t="s">
        <v>425</v>
      </c>
      <c r="AW217" t="s">
        <v>27</v>
      </c>
      <c r="AX217">
        <v>111.133</v>
      </c>
      <c r="AY217">
        <v>1.0368587857491129</v>
      </c>
      <c r="AZ217">
        <v>115.2292274366562</v>
      </c>
      <c r="BA217">
        <v>603.45000000000005</v>
      </c>
      <c r="BB217">
        <v>1</v>
      </c>
      <c r="BC217">
        <v>69.535077296650186</v>
      </c>
      <c r="BD217">
        <v>0.93979999999999997</v>
      </c>
      <c r="BE217" s="62">
        <v>65.349000000000004</v>
      </c>
      <c r="BF217">
        <v>8.9176000000000002</v>
      </c>
      <c r="BG217">
        <v>1</v>
      </c>
      <c r="BH217">
        <v>5579.6748517596734</v>
      </c>
      <c r="BI217">
        <v>0.95477850697292876</v>
      </c>
      <c r="BJ217" s="62">
        <v>5327.3536000000004</v>
      </c>
      <c r="BK217" s="60">
        <v>623622.35645158403</v>
      </c>
    </row>
    <row r="218" spans="1:63" x14ac:dyDescent="0.25">
      <c r="A218">
        <v>633</v>
      </c>
      <c r="B218" t="s">
        <v>145</v>
      </c>
      <c r="C218">
        <v>2019</v>
      </c>
      <c r="D218">
        <v>1</v>
      </c>
      <c r="E218" t="s">
        <v>100</v>
      </c>
      <c r="F218" t="s">
        <v>426</v>
      </c>
      <c r="G218" t="s">
        <v>427</v>
      </c>
      <c r="H218" t="s">
        <v>84</v>
      </c>
      <c r="I218" t="s">
        <v>428</v>
      </c>
      <c r="J218" t="s">
        <v>381</v>
      </c>
      <c r="K218">
        <v>-3184.4997786700001</v>
      </c>
      <c r="L218" t="s">
        <v>381</v>
      </c>
      <c r="M218" t="s">
        <v>384</v>
      </c>
      <c r="N218">
        <v>0.11701058843211</v>
      </c>
      <c r="O218">
        <v>372.6201929641008</v>
      </c>
      <c r="P218" t="s">
        <v>440</v>
      </c>
      <c r="Q218">
        <v>2</v>
      </c>
      <c r="R218">
        <v>28.410399999999999</v>
      </c>
      <c r="S218">
        <v>9.5000000000000001E-2</v>
      </c>
      <c r="T218">
        <v>2.6989879999999999</v>
      </c>
      <c r="U218">
        <v>1.9E-2</v>
      </c>
      <c r="V218">
        <v>51.280999999999999</v>
      </c>
      <c r="W218">
        <v>2</v>
      </c>
      <c r="X218">
        <v>1.3928915169999999E-3</v>
      </c>
      <c r="Y218">
        <v>0.14285800000000001</v>
      </c>
      <c r="Z218" s="60">
        <v>53.231776000000004</v>
      </c>
      <c r="AA218" t="s">
        <v>346</v>
      </c>
      <c r="AB218" t="s">
        <v>436</v>
      </c>
      <c r="AC218" t="s">
        <v>425</v>
      </c>
      <c r="AD218" t="s">
        <v>81</v>
      </c>
      <c r="AE218">
        <v>111.133</v>
      </c>
      <c r="AF218">
        <v>1.0368587857491129</v>
      </c>
      <c r="AG218">
        <v>115.2292274366562</v>
      </c>
      <c r="AH218">
        <v>603.45000000000005</v>
      </c>
      <c r="AI218">
        <v>1</v>
      </c>
      <c r="AJ218">
        <v>69.535077296650186</v>
      </c>
      <c r="AK218">
        <v>0.90990000000000004</v>
      </c>
      <c r="AL218" s="62">
        <v>63.27</v>
      </c>
      <c r="AM218">
        <v>8.9176000000000002</v>
      </c>
      <c r="AN218">
        <v>9.2462919077962926</v>
      </c>
      <c r="AO218">
        <v>1</v>
      </c>
      <c r="AP218">
        <v>5579.6748517596734</v>
      </c>
      <c r="AQ218">
        <v>1.053620848708487</v>
      </c>
      <c r="AR218">
        <v>5878.8617999999997</v>
      </c>
      <c r="AS218" s="60">
        <v>312942.25447255682</v>
      </c>
      <c r="AT218" t="s">
        <v>347</v>
      </c>
      <c r="AU218" t="s">
        <v>437</v>
      </c>
      <c r="AV218" t="s">
        <v>425</v>
      </c>
      <c r="AW218" t="s">
        <v>81</v>
      </c>
      <c r="AX218">
        <v>111.133</v>
      </c>
      <c r="AY218">
        <v>1.0541007448257309</v>
      </c>
      <c r="AZ218">
        <v>117.145378074718</v>
      </c>
      <c r="BA218">
        <v>640.82000000000005</v>
      </c>
      <c r="BB218">
        <v>1</v>
      </c>
      <c r="BC218">
        <v>75.069101177840764</v>
      </c>
      <c r="BD218">
        <v>0.93830000000000002</v>
      </c>
      <c r="BE218" s="62">
        <v>70.436999999999998</v>
      </c>
      <c r="BF218">
        <v>8.9176000000000002</v>
      </c>
      <c r="BG218">
        <v>1</v>
      </c>
      <c r="BH218">
        <v>6023.7392733347688</v>
      </c>
      <c r="BI218">
        <v>1.098016605166052</v>
      </c>
      <c r="BJ218" s="62">
        <v>6614.1656999999996</v>
      </c>
      <c r="BK218" s="60">
        <v>352083.78696928319</v>
      </c>
    </row>
    <row r="219" spans="1:63" x14ac:dyDescent="0.25">
      <c r="A219">
        <v>633</v>
      </c>
      <c r="B219" t="s">
        <v>145</v>
      </c>
      <c r="C219">
        <v>2019</v>
      </c>
      <c r="D219">
        <v>1</v>
      </c>
      <c r="E219" t="s">
        <v>100</v>
      </c>
      <c r="F219" t="s">
        <v>426</v>
      </c>
      <c r="G219" t="s">
        <v>427</v>
      </c>
      <c r="H219" t="s">
        <v>84</v>
      </c>
      <c r="I219" t="s">
        <v>429</v>
      </c>
      <c r="J219" t="s">
        <v>87</v>
      </c>
      <c r="K219">
        <v>-673.39146946999995</v>
      </c>
      <c r="L219" t="s">
        <v>87</v>
      </c>
      <c r="M219" t="s">
        <v>384</v>
      </c>
      <c r="N219">
        <v>9.7514538341640006E-2</v>
      </c>
      <c r="O219">
        <v>65.665458268565615</v>
      </c>
      <c r="P219" t="s">
        <v>440</v>
      </c>
      <c r="Q219">
        <v>2</v>
      </c>
      <c r="R219">
        <v>28.410399999999999</v>
      </c>
      <c r="S219">
        <v>9.5000000000000001E-2</v>
      </c>
      <c r="T219">
        <v>2.6989879999999999</v>
      </c>
      <c r="U219">
        <v>1.9E-2</v>
      </c>
      <c r="V219">
        <v>51.280999999999999</v>
      </c>
      <c r="W219">
        <v>2</v>
      </c>
      <c r="X219">
        <v>1.3928915169999999E-3</v>
      </c>
      <c r="Y219">
        <v>0.14285800000000001</v>
      </c>
      <c r="Z219" s="60">
        <v>9.3808360000000004</v>
      </c>
      <c r="AA219" t="s">
        <v>346</v>
      </c>
      <c r="AB219" t="s">
        <v>436</v>
      </c>
      <c r="AC219" t="s">
        <v>425</v>
      </c>
      <c r="AD219" t="s">
        <v>81</v>
      </c>
      <c r="AE219">
        <v>111.133</v>
      </c>
      <c r="AF219">
        <v>1.0368587857491129</v>
      </c>
      <c r="AG219">
        <v>115.2292274366562</v>
      </c>
      <c r="AH219">
        <v>603.45000000000005</v>
      </c>
      <c r="AI219">
        <v>1</v>
      </c>
      <c r="AJ219">
        <v>69.535077296650186</v>
      </c>
      <c r="AK219">
        <v>0.90990000000000004</v>
      </c>
      <c r="AL219" s="62">
        <v>63.27</v>
      </c>
      <c r="AM219">
        <v>8.9176000000000002</v>
      </c>
      <c r="AN219">
        <v>9.2462919077962926</v>
      </c>
      <c r="AO219">
        <v>1</v>
      </c>
      <c r="AP219">
        <v>5579.6748517596734</v>
      </c>
      <c r="AQ219">
        <v>1.053620848708487</v>
      </c>
      <c r="AR219">
        <v>5878.8617999999997</v>
      </c>
      <c r="AS219" s="60">
        <v>55148.638412464803</v>
      </c>
      <c r="AT219" t="s">
        <v>347</v>
      </c>
      <c r="AU219" t="s">
        <v>437</v>
      </c>
      <c r="AV219" t="s">
        <v>425</v>
      </c>
      <c r="AW219" t="s">
        <v>81</v>
      </c>
      <c r="AX219">
        <v>111.133</v>
      </c>
      <c r="AY219">
        <v>1.0541007448257309</v>
      </c>
      <c r="AZ219">
        <v>117.145378074718</v>
      </c>
      <c r="BA219">
        <v>640.82000000000005</v>
      </c>
      <c r="BB219">
        <v>1</v>
      </c>
      <c r="BC219">
        <v>75.069101177840764</v>
      </c>
      <c r="BD219">
        <v>0.93830000000000002</v>
      </c>
      <c r="BE219" s="62">
        <v>70.436999999999998</v>
      </c>
      <c r="BF219">
        <v>8.9176000000000002</v>
      </c>
      <c r="BG219">
        <v>1</v>
      </c>
      <c r="BH219">
        <v>6023.7392733347688</v>
      </c>
      <c r="BI219">
        <v>1.098016605166052</v>
      </c>
      <c r="BJ219" s="62">
        <v>6614.1656999999996</v>
      </c>
      <c r="BK219" s="60">
        <v>62046.403708525198</v>
      </c>
    </row>
    <row r="220" spans="1:63" x14ac:dyDescent="0.25">
      <c r="A220">
        <v>633</v>
      </c>
      <c r="B220" t="s">
        <v>145</v>
      </c>
      <c r="C220">
        <v>2019</v>
      </c>
      <c r="D220">
        <v>1</v>
      </c>
      <c r="E220" t="s">
        <v>100</v>
      </c>
      <c r="F220" t="s">
        <v>426</v>
      </c>
      <c r="G220" t="s">
        <v>427</v>
      </c>
      <c r="H220" t="s">
        <v>84</v>
      </c>
      <c r="I220" t="s">
        <v>430</v>
      </c>
      <c r="J220" t="s">
        <v>59</v>
      </c>
      <c r="K220">
        <v>-1529.73313545</v>
      </c>
      <c r="L220" t="s">
        <v>59</v>
      </c>
      <c r="M220" t="s">
        <v>384</v>
      </c>
      <c r="N220">
        <v>9.9723560465670005E-2</v>
      </c>
      <c r="O220">
        <v>152.550434829387</v>
      </c>
      <c r="P220" t="s">
        <v>440</v>
      </c>
      <c r="Q220">
        <v>2</v>
      </c>
      <c r="R220">
        <v>28.410399999999999</v>
      </c>
      <c r="S220">
        <v>9.5000000000000001E-2</v>
      </c>
      <c r="T220">
        <v>2.6989879999999999</v>
      </c>
      <c r="U220">
        <v>1.9E-2</v>
      </c>
      <c r="V220">
        <v>51.280999999999999</v>
      </c>
      <c r="W220">
        <v>2</v>
      </c>
      <c r="X220">
        <v>1.3928915169999999E-3</v>
      </c>
      <c r="Y220">
        <v>0.14285800000000001</v>
      </c>
      <c r="Z220" s="60">
        <v>21.793050000000001</v>
      </c>
      <c r="AA220" t="s">
        <v>346</v>
      </c>
      <c r="AB220" t="s">
        <v>436</v>
      </c>
      <c r="AC220" t="s">
        <v>425</v>
      </c>
      <c r="AD220" t="s">
        <v>81</v>
      </c>
      <c r="AE220">
        <v>111.133</v>
      </c>
      <c r="AF220">
        <v>1.0368587857491129</v>
      </c>
      <c r="AG220">
        <v>115.2292274366562</v>
      </c>
      <c r="AH220">
        <v>603.45000000000005</v>
      </c>
      <c r="AI220">
        <v>1</v>
      </c>
      <c r="AJ220">
        <v>69.535077296650186</v>
      </c>
      <c r="AK220">
        <v>0.90990000000000004</v>
      </c>
      <c r="AL220" s="62">
        <v>63.27</v>
      </c>
      <c r="AM220">
        <v>8.9176000000000002</v>
      </c>
      <c r="AN220">
        <v>9.2462919077962926</v>
      </c>
      <c r="AO220">
        <v>1</v>
      </c>
      <c r="AP220">
        <v>5579.6748517596734</v>
      </c>
      <c r="AQ220">
        <v>1.053620848708487</v>
      </c>
      <c r="AR220">
        <v>5878.8617999999997</v>
      </c>
      <c r="AS220" s="60">
        <v>128118.32915049</v>
      </c>
      <c r="AT220" t="s">
        <v>347</v>
      </c>
      <c r="AU220" t="s">
        <v>437</v>
      </c>
      <c r="AV220" t="s">
        <v>425</v>
      </c>
      <c r="AW220" t="s">
        <v>81</v>
      </c>
      <c r="AX220">
        <v>111.133</v>
      </c>
      <c r="AY220">
        <v>1.0541007448257309</v>
      </c>
      <c r="AZ220">
        <v>117.145378074718</v>
      </c>
      <c r="BA220">
        <v>640.82000000000005</v>
      </c>
      <c r="BB220">
        <v>1</v>
      </c>
      <c r="BC220">
        <v>75.069101177840764</v>
      </c>
      <c r="BD220">
        <v>0.93830000000000002</v>
      </c>
      <c r="BE220" s="62">
        <v>70.436999999999998</v>
      </c>
      <c r="BF220">
        <v>8.9176000000000002</v>
      </c>
      <c r="BG220">
        <v>1</v>
      </c>
      <c r="BH220">
        <v>6023.7392733347688</v>
      </c>
      <c r="BI220">
        <v>1.098016605166052</v>
      </c>
      <c r="BJ220" s="62">
        <v>6614.1656999999996</v>
      </c>
      <c r="BK220" s="60">
        <v>144142.84380838499</v>
      </c>
    </row>
    <row r="221" spans="1:63" x14ac:dyDescent="0.25">
      <c r="A221">
        <v>635</v>
      </c>
      <c r="B221" t="s">
        <v>145</v>
      </c>
      <c r="C221">
        <v>2019</v>
      </c>
      <c r="D221">
        <v>1</v>
      </c>
      <c r="E221" t="s">
        <v>100</v>
      </c>
      <c r="F221" t="s">
        <v>426</v>
      </c>
      <c r="G221" t="s">
        <v>427</v>
      </c>
      <c r="H221" t="s">
        <v>84</v>
      </c>
      <c r="I221" t="s">
        <v>428</v>
      </c>
      <c r="J221" t="s">
        <v>381</v>
      </c>
      <c r="K221">
        <v>-3184.4997786700001</v>
      </c>
      <c r="L221" t="s">
        <v>381</v>
      </c>
      <c r="M221" t="s">
        <v>385</v>
      </c>
      <c r="N221">
        <v>0.54567226407086</v>
      </c>
      <c r="O221">
        <v>1737.693204160011</v>
      </c>
      <c r="P221" t="s">
        <v>440</v>
      </c>
      <c r="Q221">
        <v>2</v>
      </c>
      <c r="R221">
        <v>28.410399999999999</v>
      </c>
      <c r="S221">
        <v>9.5000000000000001E-2</v>
      </c>
      <c r="T221">
        <v>2.6989879999999999</v>
      </c>
      <c r="U221">
        <v>0.98099999999999998</v>
      </c>
      <c r="V221">
        <v>2647.7069999999999</v>
      </c>
      <c r="W221">
        <v>2</v>
      </c>
      <c r="X221">
        <v>2.6977521000000001E-5</v>
      </c>
      <c r="Y221">
        <v>0.14285700000000001</v>
      </c>
      <c r="Z221" s="60">
        <v>248.24163799999999</v>
      </c>
      <c r="AA221" t="s">
        <v>346</v>
      </c>
      <c r="AB221" t="s">
        <v>436</v>
      </c>
      <c r="AC221" t="s">
        <v>425</v>
      </c>
      <c r="AD221" t="s">
        <v>27</v>
      </c>
      <c r="AE221">
        <v>111.133</v>
      </c>
      <c r="AF221">
        <v>1.0368587857491129</v>
      </c>
      <c r="AG221">
        <v>115.2292274366562</v>
      </c>
      <c r="AH221">
        <v>603.45000000000005</v>
      </c>
      <c r="AI221">
        <v>1</v>
      </c>
      <c r="AJ221">
        <v>69.535077296650186</v>
      </c>
      <c r="AK221">
        <v>0.93979999999999997</v>
      </c>
      <c r="AL221" s="62">
        <v>65.349000000000004</v>
      </c>
      <c r="AM221">
        <v>8.9176000000000002</v>
      </c>
      <c r="AN221">
        <v>9.2462919077962926</v>
      </c>
      <c r="AO221">
        <v>1</v>
      </c>
      <c r="AP221">
        <v>5579.6748517596734</v>
      </c>
      <c r="AQ221">
        <v>0.95477850697292876</v>
      </c>
      <c r="AR221">
        <v>5327.3536000000004</v>
      </c>
      <c r="AS221" s="60">
        <v>1322470.9838691971</v>
      </c>
      <c r="AT221" t="s">
        <v>347</v>
      </c>
      <c r="AU221" t="s">
        <v>437</v>
      </c>
      <c r="AV221" t="s">
        <v>425</v>
      </c>
      <c r="AW221" t="s">
        <v>27</v>
      </c>
      <c r="AX221">
        <v>111.133</v>
      </c>
      <c r="AY221">
        <v>1.0541007448257309</v>
      </c>
      <c r="AZ221">
        <v>117.145378074718</v>
      </c>
      <c r="BA221">
        <v>640.82000000000005</v>
      </c>
      <c r="BB221">
        <v>1</v>
      </c>
      <c r="BC221">
        <v>75.069101177840764</v>
      </c>
      <c r="BD221">
        <v>0.95889999999999997</v>
      </c>
      <c r="BE221" s="62">
        <v>71.983999999999995</v>
      </c>
      <c r="BF221">
        <v>8.9176000000000002</v>
      </c>
      <c r="BG221">
        <v>1</v>
      </c>
      <c r="BH221">
        <v>6023.7392733347688</v>
      </c>
      <c r="BI221">
        <v>0.99097621000820357</v>
      </c>
      <c r="BJ221" s="62">
        <v>5969.3823000000002</v>
      </c>
      <c r="BK221" s="60">
        <v>1481849.240000207</v>
      </c>
    </row>
    <row r="222" spans="1:63" x14ac:dyDescent="0.25">
      <c r="A222">
        <v>635</v>
      </c>
      <c r="B222" t="s">
        <v>145</v>
      </c>
      <c r="C222">
        <v>2019</v>
      </c>
      <c r="D222">
        <v>1</v>
      </c>
      <c r="E222" t="s">
        <v>100</v>
      </c>
      <c r="F222" t="s">
        <v>426</v>
      </c>
      <c r="G222" t="s">
        <v>427</v>
      </c>
      <c r="H222" t="s">
        <v>84</v>
      </c>
      <c r="I222" t="s">
        <v>429</v>
      </c>
      <c r="J222" t="s">
        <v>87</v>
      </c>
      <c r="K222">
        <v>-673.39146946999995</v>
      </c>
      <c r="L222" t="s">
        <v>87</v>
      </c>
      <c r="M222" t="s">
        <v>385</v>
      </c>
      <c r="N222">
        <v>0.46576586246401003</v>
      </c>
      <c r="O222">
        <v>313.6427585536016</v>
      </c>
      <c r="P222" t="s">
        <v>440</v>
      </c>
      <c r="Q222">
        <v>2</v>
      </c>
      <c r="R222">
        <v>28.410399999999999</v>
      </c>
      <c r="S222">
        <v>9.5000000000000001E-2</v>
      </c>
      <c r="T222">
        <v>2.6989879999999999</v>
      </c>
      <c r="U222">
        <v>0.98099999999999998</v>
      </c>
      <c r="V222">
        <v>2647.7069999999999</v>
      </c>
      <c r="W222">
        <v>2</v>
      </c>
      <c r="X222">
        <v>2.6977521000000001E-5</v>
      </c>
      <c r="Y222">
        <v>0.14285700000000001</v>
      </c>
      <c r="Z222" s="60">
        <v>44.806063999999999</v>
      </c>
      <c r="AA222" t="s">
        <v>346</v>
      </c>
      <c r="AB222" t="s">
        <v>436</v>
      </c>
      <c r="AC222" t="s">
        <v>425</v>
      </c>
      <c r="AD222" t="s">
        <v>27</v>
      </c>
      <c r="AE222">
        <v>111.133</v>
      </c>
      <c r="AF222">
        <v>1.0368587857491129</v>
      </c>
      <c r="AG222">
        <v>115.2292274366562</v>
      </c>
      <c r="AH222">
        <v>603.45000000000005</v>
      </c>
      <c r="AI222">
        <v>1</v>
      </c>
      <c r="AJ222">
        <v>69.535077296650186</v>
      </c>
      <c r="AK222">
        <v>0.93979999999999997</v>
      </c>
      <c r="AL222" s="62">
        <v>65.349000000000004</v>
      </c>
      <c r="AM222">
        <v>8.9176000000000002</v>
      </c>
      <c r="AN222">
        <v>9.2462919077962926</v>
      </c>
      <c r="AO222">
        <v>1</v>
      </c>
      <c r="AP222">
        <v>5579.6748517596734</v>
      </c>
      <c r="AQ222">
        <v>0.95477850697292876</v>
      </c>
      <c r="AR222">
        <v>5327.3536000000004</v>
      </c>
      <c r="AS222" s="60">
        <v>238697.7463522304</v>
      </c>
      <c r="AT222" t="s">
        <v>347</v>
      </c>
      <c r="AU222" t="s">
        <v>437</v>
      </c>
      <c r="AV222" t="s">
        <v>425</v>
      </c>
      <c r="AW222" t="s">
        <v>27</v>
      </c>
      <c r="AX222">
        <v>111.133</v>
      </c>
      <c r="AY222">
        <v>1.0541007448257309</v>
      </c>
      <c r="AZ222">
        <v>117.145378074718</v>
      </c>
      <c r="BA222">
        <v>640.82000000000005</v>
      </c>
      <c r="BB222">
        <v>1</v>
      </c>
      <c r="BC222">
        <v>75.069101177840764</v>
      </c>
      <c r="BD222">
        <v>0.95889999999999997</v>
      </c>
      <c r="BE222" s="62">
        <v>71.983999999999995</v>
      </c>
      <c r="BF222">
        <v>8.9176000000000002</v>
      </c>
      <c r="BG222">
        <v>1</v>
      </c>
      <c r="BH222">
        <v>6023.7392733347688</v>
      </c>
      <c r="BI222">
        <v>0.99097621000820357</v>
      </c>
      <c r="BJ222" s="62">
        <v>5969.3823000000002</v>
      </c>
      <c r="BK222" s="60">
        <v>267464.52537426719</v>
      </c>
    </row>
    <row r="223" spans="1:63" x14ac:dyDescent="0.25">
      <c r="A223">
        <v>635</v>
      </c>
      <c r="B223" t="s">
        <v>145</v>
      </c>
      <c r="C223">
        <v>2019</v>
      </c>
      <c r="D223">
        <v>1</v>
      </c>
      <c r="E223" t="s">
        <v>100</v>
      </c>
      <c r="F223" t="s">
        <v>426</v>
      </c>
      <c r="G223" t="s">
        <v>427</v>
      </c>
      <c r="H223" t="s">
        <v>84</v>
      </c>
      <c r="I223" t="s">
        <v>430</v>
      </c>
      <c r="J223" t="s">
        <v>59</v>
      </c>
      <c r="K223">
        <v>-1529.73313545</v>
      </c>
      <c r="L223" t="s">
        <v>59</v>
      </c>
      <c r="M223" t="s">
        <v>385</v>
      </c>
      <c r="N223">
        <v>0.54314598235962996</v>
      </c>
      <c r="O223">
        <v>830.86840660206724</v>
      </c>
      <c r="P223" t="s">
        <v>440</v>
      </c>
      <c r="Q223">
        <v>2</v>
      </c>
      <c r="R223">
        <v>28.410399999999999</v>
      </c>
      <c r="S223">
        <v>9.5000000000000001E-2</v>
      </c>
      <c r="T223">
        <v>2.6989879999999999</v>
      </c>
      <c r="U223">
        <v>0.98099999999999998</v>
      </c>
      <c r="V223">
        <v>2647.7069999999999</v>
      </c>
      <c r="W223">
        <v>2</v>
      </c>
      <c r="X223">
        <v>2.6977521000000001E-5</v>
      </c>
      <c r="Y223">
        <v>0.14285700000000001</v>
      </c>
      <c r="Z223" s="60">
        <v>118.695368</v>
      </c>
      <c r="AA223" t="s">
        <v>346</v>
      </c>
      <c r="AB223" t="s">
        <v>436</v>
      </c>
      <c r="AC223" t="s">
        <v>425</v>
      </c>
      <c r="AD223" t="s">
        <v>27</v>
      </c>
      <c r="AE223">
        <v>111.133</v>
      </c>
      <c r="AF223">
        <v>1.0368587857491129</v>
      </c>
      <c r="AG223">
        <v>115.2292274366562</v>
      </c>
      <c r="AH223">
        <v>603.45000000000005</v>
      </c>
      <c r="AI223">
        <v>1</v>
      </c>
      <c r="AJ223">
        <v>69.535077296650186</v>
      </c>
      <c r="AK223">
        <v>0.93979999999999997</v>
      </c>
      <c r="AL223" s="62">
        <v>65.349000000000004</v>
      </c>
      <c r="AM223">
        <v>8.9176000000000002</v>
      </c>
      <c r="AN223">
        <v>9.2462919077962926</v>
      </c>
      <c r="AO223">
        <v>1</v>
      </c>
      <c r="AP223">
        <v>5579.6748517596734</v>
      </c>
      <c r="AQ223">
        <v>0.95477850697292876</v>
      </c>
      <c r="AR223">
        <v>5327.3536000000004</v>
      </c>
      <c r="AS223" s="60">
        <v>632332.19601812481</v>
      </c>
      <c r="AT223" t="s">
        <v>347</v>
      </c>
      <c r="AU223" t="s">
        <v>437</v>
      </c>
      <c r="AV223" t="s">
        <v>425</v>
      </c>
      <c r="AW223" t="s">
        <v>27</v>
      </c>
      <c r="AX223">
        <v>111.133</v>
      </c>
      <c r="AY223">
        <v>1.0541007448257309</v>
      </c>
      <c r="AZ223">
        <v>117.145378074718</v>
      </c>
      <c r="BA223">
        <v>640.82000000000005</v>
      </c>
      <c r="BB223">
        <v>1</v>
      </c>
      <c r="BC223">
        <v>75.069101177840764</v>
      </c>
      <c r="BD223">
        <v>0.95889999999999997</v>
      </c>
      <c r="BE223" s="62">
        <v>71.983999999999995</v>
      </c>
      <c r="BF223">
        <v>8.9176000000000002</v>
      </c>
      <c r="BG223">
        <v>1</v>
      </c>
      <c r="BH223">
        <v>6023.7392733347688</v>
      </c>
      <c r="BI223">
        <v>0.99097621000820357</v>
      </c>
      <c r="BJ223" s="62">
        <v>5969.3823000000002</v>
      </c>
      <c r="BK223" s="60">
        <v>708538.02883118647</v>
      </c>
    </row>
    <row r="224" spans="1:63" x14ac:dyDescent="0.25">
      <c r="A224">
        <v>653</v>
      </c>
      <c r="B224" t="s">
        <v>147</v>
      </c>
      <c r="C224">
        <v>2019</v>
      </c>
      <c r="D224">
        <v>2</v>
      </c>
      <c r="E224" t="s">
        <v>100</v>
      </c>
      <c r="F224" t="s">
        <v>426</v>
      </c>
      <c r="G224" t="s">
        <v>427</v>
      </c>
      <c r="H224" t="s">
        <v>84</v>
      </c>
      <c r="I224" t="s">
        <v>428</v>
      </c>
      <c r="J224" t="s">
        <v>381</v>
      </c>
      <c r="K224">
        <v>-3108.9983658199999</v>
      </c>
      <c r="L224" t="s">
        <v>381</v>
      </c>
      <c r="M224" t="s">
        <v>384</v>
      </c>
      <c r="N224">
        <v>0.11701058843214</v>
      </c>
      <c r="O224">
        <v>363.78572821915992</v>
      </c>
      <c r="P224" t="s">
        <v>440</v>
      </c>
      <c r="Q224">
        <v>2</v>
      </c>
      <c r="R224">
        <v>28.410399999999999</v>
      </c>
      <c r="S224">
        <v>0.112</v>
      </c>
      <c r="T224">
        <v>3.1819647999999998</v>
      </c>
      <c r="U224">
        <v>1.9E-2</v>
      </c>
      <c r="V224">
        <v>60.457000000000001</v>
      </c>
      <c r="W224">
        <v>2</v>
      </c>
      <c r="X224">
        <v>1.181471688E-3</v>
      </c>
      <c r="Y224">
        <v>0.14285600000000001</v>
      </c>
      <c r="Z224" s="60">
        <v>51.968974000000003</v>
      </c>
      <c r="AA224" t="s">
        <v>346</v>
      </c>
      <c r="AB224" t="s">
        <v>436</v>
      </c>
      <c r="AC224" t="s">
        <v>425</v>
      </c>
      <c r="AD224" t="s">
        <v>81</v>
      </c>
      <c r="AE224">
        <v>111.133</v>
      </c>
      <c r="AF224">
        <v>1.0368587857491129</v>
      </c>
      <c r="AG224">
        <v>115.2292274366562</v>
      </c>
      <c r="AH224">
        <v>603.45000000000005</v>
      </c>
      <c r="AI224">
        <v>1</v>
      </c>
      <c r="AJ224">
        <v>69.535077296650186</v>
      </c>
      <c r="AK224">
        <v>0.90990000000000004</v>
      </c>
      <c r="AL224" s="62">
        <v>63.27</v>
      </c>
      <c r="AM224">
        <v>8.9176000000000002</v>
      </c>
      <c r="AN224">
        <v>9.2462919077962926</v>
      </c>
      <c r="AO224">
        <v>1</v>
      </c>
      <c r="AP224">
        <v>5579.6748517596734</v>
      </c>
      <c r="AQ224">
        <v>1.053620848708487</v>
      </c>
      <c r="AR224">
        <v>5878.8617999999997</v>
      </c>
      <c r="AS224" s="60">
        <v>305518.41603379318</v>
      </c>
      <c r="AT224" t="s">
        <v>347</v>
      </c>
      <c r="AU224" t="s">
        <v>437</v>
      </c>
      <c r="AV224" t="s">
        <v>425</v>
      </c>
      <c r="AW224" t="s">
        <v>81</v>
      </c>
      <c r="AX224">
        <v>111.133</v>
      </c>
      <c r="AY224">
        <v>1.0541007448257309</v>
      </c>
      <c r="AZ224">
        <v>117.145378074718</v>
      </c>
      <c r="BA224">
        <v>640.82000000000005</v>
      </c>
      <c r="BB224">
        <v>1</v>
      </c>
      <c r="BC224">
        <v>75.069101177840764</v>
      </c>
      <c r="BD224">
        <v>0.93830000000000002</v>
      </c>
      <c r="BE224" s="62">
        <v>70.436999999999998</v>
      </c>
      <c r="BF224">
        <v>8.9176000000000002</v>
      </c>
      <c r="BG224">
        <v>1</v>
      </c>
      <c r="BH224">
        <v>6023.7392733347688</v>
      </c>
      <c r="BI224">
        <v>1.098016605166052</v>
      </c>
      <c r="BJ224" s="62">
        <v>6614.1656999999996</v>
      </c>
      <c r="BK224" s="60">
        <v>343731.4052949918</v>
      </c>
    </row>
    <row r="225" spans="1:63" x14ac:dyDescent="0.25">
      <c r="A225">
        <v>653</v>
      </c>
      <c r="B225" t="s">
        <v>147</v>
      </c>
      <c r="C225">
        <v>2019</v>
      </c>
      <c r="D225">
        <v>2</v>
      </c>
      <c r="E225" t="s">
        <v>100</v>
      </c>
      <c r="F225" t="s">
        <v>426</v>
      </c>
      <c r="G225" t="s">
        <v>427</v>
      </c>
      <c r="H225" t="s">
        <v>84</v>
      </c>
      <c r="I225" t="s">
        <v>429</v>
      </c>
      <c r="J225" t="s">
        <v>87</v>
      </c>
      <c r="K225">
        <v>-658.81431411999995</v>
      </c>
      <c r="L225" t="s">
        <v>87</v>
      </c>
      <c r="M225" t="s">
        <v>384</v>
      </c>
      <c r="N225">
        <v>9.7514538339289997E-2</v>
      </c>
      <c r="O225">
        <v>64.243973692727792</v>
      </c>
      <c r="P225" t="s">
        <v>440</v>
      </c>
      <c r="Q225">
        <v>2</v>
      </c>
      <c r="R225">
        <v>28.410399999999999</v>
      </c>
      <c r="S225">
        <v>0.112</v>
      </c>
      <c r="T225">
        <v>3.1819647999999998</v>
      </c>
      <c r="U225">
        <v>1.9E-2</v>
      </c>
      <c r="V225">
        <v>60.457000000000001</v>
      </c>
      <c r="W225">
        <v>2</v>
      </c>
      <c r="X225">
        <v>1.181471688E-3</v>
      </c>
      <c r="Y225">
        <v>0.14285600000000001</v>
      </c>
      <c r="Z225" s="60">
        <v>9.1776370000000007</v>
      </c>
      <c r="AA225" t="s">
        <v>346</v>
      </c>
      <c r="AB225" t="s">
        <v>436</v>
      </c>
      <c r="AC225" t="s">
        <v>425</v>
      </c>
      <c r="AD225" t="s">
        <v>81</v>
      </c>
      <c r="AE225">
        <v>111.133</v>
      </c>
      <c r="AF225">
        <v>1.0368587857491129</v>
      </c>
      <c r="AG225">
        <v>115.2292274366562</v>
      </c>
      <c r="AH225">
        <v>603.45000000000005</v>
      </c>
      <c r="AI225">
        <v>1</v>
      </c>
      <c r="AJ225">
        <v>69.535077296650186</v>
      </c>
      <c r="AK225">
        <v>0.90990000000000004</v>
      </c>
      <c r="AL225" s="62">
        <v>63.27</v>
      </c>
      <c r="AM225">
        <v>8.9176000000000002</v>
      </c>
      <c r="AN225">
        <v>9.2462919077962926</v>
      </c>
      <c r="AO225">
        <v>1</v>
      </c>
      <c r="AP225">
        <v>5579.6748517596734</v>
      </c>
      <c r="AQ225">
        <v>1.053620848708487</v>
      </c>
      <c r="AR225">
        <v>5878.8617999999997</v>
      </c>
      <c r="AS225" s="60">
        <v>53954.059573566599</v>
      </c>
      <c r="AT225" t="s">
        <v>347</v>
      </c>
      <c r="AU225" t="s">
        <v>437</v>
      </c>
      <c r="AV225" t="s">
        <v>425</v>
      </c>
      <c r="AW225" t="s">
        <v>81</v>
      </c>
      <c r="AX225">
        <v>111.133</v>
      </c>
      <c r="AY225">
        <v>1.0541007448257309</v>
      </c>
      <c r="AZ225">
        <v>117.145378074718</v>
      </c>
      <c r="BA225">
        <v>640.82000000000005</v>
      </c>
      <c r="BB225">
        <v>1</v>
      </c>
      <c r="BC225">
        <v>75.069101177840764</v>
      </c>
      <c r="BD225">
        <v>0.93830000000000002</v>
      </c>
      <c r="BE225" s="62">
        <v>70.436999999999998</v>
      </c>
      <c r="BF225">
        <v>8.9176000000000002</v>
      </c>
      <c r="BG225">
        <v>1</v>
      </c>
      <c r="BH225">
        <v>6023.7392733347688</v>
      </c>
      <c r="BI225">
        <v>1.098016605166052</v>
      </c>
      <c r="BJ225" s="62">
        <v>6614.1656999999996</v>
      </c>
      <c r="BK225" s="60">
        <v>60702.411852450903</v>
      </c>
    </row>
    <row r="226" spans="1:63" x14ac:dyDescent="0.25">
      <c r="A226">
        <v>653</v>
      </c>
      <c r="B226" t="s">
        <v>147</v>
      </c>
      <c r="C226">
        <v>2019</v>
      </c>
      <c r="D226">
        <v>2</v>
      </c>
      <c r="E226" t="s">
        <v>100</v>
      </c>
      <c r="F226" t="s">
        <v>426</v>
      </c>
      <c r="G226" t="s">
        <v>427</v>
      </c>
      <c r="H226" t="s">
        <v>84</v>
      </c>
      <c r="I226" t="s">
        <v>430</v>
      </c>
      <c r="J226" t="s">
        <v>59</v>
      </c>
      <c r="K226">
        <v>-1640.95558532</v>
      </c>
      <c r="L226" t="s">
        <v>59</v>
      </c>
      <c r="M226" t="s">
        <v>384</v>
      </c>
      <c r="N226">
        <v>9.9723560465240002E-2</v>
      </c>
      <c r="O226">
        <v>163.64193353343231</v>
      </c>
      <c r="P226" t="s">
        <v>440</v>
      </c>
      <c r="Q226">
        <v>2</v>
      </c>
      <c r="R226">
        <v>28.410399999999999</v>
      </c>
      <c r="S226">
        <v>0.112</v>
      </c>
      <c r="T226">
        <v>3.1819647999999998</v>
      </c>
      <c r="U226">
        <v>1.9E-2</v>
      </c>
      <c r="V226">
        <v>60.457000000000001</v>
      </c>
      <c r="W226">
        <v>2</v>
      </c>
      <c r="X226">
        <v>1.181471688E-3</v>
      </c>
      <c r="Y226">
        <v>0.14285600000000001</v>
      </c>
      <c r="Z226" s="60">
        <v>23.377231999999999</v>
      </c>
      <c r="AA226" t="s">
        <v>346</v>
      </c>
      <c r="AB226" t="s">
        <v>436</v>
      </c>
      <c r="AC226" t="s">
        <v>425</v>
      </c>
      <c r="AD226" t="s">
        <v>81</v>
      </c>
      <c r="AE226">
        <v>111.133</v>
      </c>
      <c r="AF226">
        <v>1.0368587857491129</v>
      </c>
      <c r="AG226">
        <v>115.2292274366562</v>
      </c>
      <c r="AH226">
        <v>603.45000000000005</v>
      </c>
      <c r="AI226">
        <v>1</v>
      </c>
      <c r="AJ226">
        <v>69.535077296650186</v>
      </c>
      <c r="AK226">
        <v>0.90990000000000004</v>
      </c>
      <c r="AL226" s="62">
        <v>63.27</v>
      </c>
      <c r="AM226">
        <v>8.9176000000000002</v>
      </c>
      <c r="AN226">
        <v>9.2462919077962926</v>
      </c>
      <c r="AO226">
        <v>1</v>
      </c>
      <c r="AP226">
        <v>5579.6748517596734</v>
      </c>
      <c r="AQ226">
        <v>1.053620848708487</v>
      </c>
      <c r="AR226">
        <v>5878.8617999999997</v>
      </c>
      <c r="AS226" s="60">
        <v>137431.5161945376</v>
      </c>
      <c r="AT226" t="s">
        <v>347</v>
      </c>
      <c r="AU226" t="s">
        <v>437</v>
      </c>
      <c r="AV226" t="s">
        <v>425</v>
      </c>
      <c r="AW226" t="s">
        <v>81</v>
      </c>
      <c r="AX226">
        <v>111.133</v>
      </c>
      <c r="AY226">
        <v>1.0541007448257309</v>
      </c>
      <c r="AZ226">
        <v>117.145378074718</v>
      </c>
      <c r="BA226">
        <v>640.82000000000005</v>
      </c>
      <c r="BB226">
        <v>1</v>
      </c>
      <c r="BC226">
        <v>75.069101177840764</v>
      </c>
      <c r="BD226">
        <v>0.93830000000000002</v>
      </c>
      <c r="BE226" s="62">
        <v>70.436999999999998</v>
      </c>
      <c r="BF226">
        <v>8.9176000000000002</v>
      </c>
      <c r="BG226">
        <v>1</v>
      </c>
      <c r="BH226">
        <v>6023.7392733347688</v>
      </c>
      <c r="BI226">
        <v>1.098016605166052</v>
      </c>
      <c r="BJ226" s="62">
        <v>6614.1656999999996</v>
      </c>
      <c r="BK226" s="60">
        <v>154620.88605534239</v>
      </c>
    </row>
    <row r="227" spans="1:63" x14ac:dyDescent="0.25">
      <c r="A227">
        <v>655</v>
      </c>
      <c r="B227" t="s">
        <v>147</v>
      </c>
      <c r="C227">
        <v>2019</v>
      </c>
      <c r="D227">
        <v>2</v>
      </c>
      <c r="E227" t="s">
        <v>100</v>
      </c>
      <c r="F227" t="s">
        <v>426</v>
      </c>
      <c r="G227" t="s">
        <v>427</v>
      </c>
      <c r="H227" t="s">
        <v>84</v>
      </c>
      <c r="I227" t="s">
        <v>428</v>
      </c>
      <c r="J227" t="s">
        <v>381</v>
      </c>
      <c r="K227">
        <v>-3108.9983658199999</v>
      </c>
      <c r="L227" t="s">
        <v>381</v>
      </c>
      <c r="M227" t="s">
        <v>385</v>
      </c>
      <c r="N227">
        <v>0.54567226407071001</v>
      </c>
      <c r="O227">
        <v>1696.494177269137</v>
      </c>
      <c r="P227" t="s">
        <v>440</v>
      </c>
      <c r="Q227">
        <v>2</v>
      </c>
      <c r="R227">
        <v>28.410399999999999</v>
      </c>
      <c r="S227">
        <v>0.112</v>
      </c>
      <c r="T227">
        <v>3.1819647999999998</v>
      </c>
      <c r="U227">
        <v>0.98099999999999998</v>
      </c>
      <c r="V227">
        <v>3121.5070000000001</v>
      </c>
      <c r="W227">
        <v>2</v>
      </c>
      <c r="X227">
        <v>2.2882718999999999E-5</v>
      </c>
      <c r="Y227">
        <v>0.14285700000000001</v>
      </c>
      <c r="Z227" s="60">
        <v>242.35606899999999</v>
      </c>
      <c r="AA227" t="s">
        <v>346</v>
      </c>
      <c r="AB227" t="s">
        <v>436</v>
      </c>
      <c r="AC227" t="s">
        <v>425</v>
      </c>
      <c r="AD227" t="s">
        <v>27</v>
      </c>
      <c r="AE227">
        <v>111.133</v>
      </c>
      <c r="AF227">
        <v>1.0368587857491129</v>
      </c>
      <c r="AG227">
        <v>115.2292274366562</v>
      </c>
      <c r="AH227">
        <v>603.45000000000005</v>
      </c>
      <c r="AI227">
        <v>1</v>
      </c>
      <c r="AJ227">
        <v>69.535077296650186</v>
      </c>
      <c r="AK227">
        <v>0.93979999999999997</v>
      </c>
      <c r="AL227" s="62">
        <v>65.349000000000004</v>
      </c>
      <c r="AM227">
        <v>8.9176000000000002</v>
      </c>
      <c r="AN227">
        <v>9.2462919077962926</v>
      </c>
      <c r="AO227">
        <v>1</v>
      </c>
      <c r="AP227">
        <v>5579.6748517596734</v>
      </c>
      <c r="AQ227">
        <v>0.95477850697292876</v>
      </c>
      <c r="AR227">
        <v>5327.3536000000004</v>
      </c>
      <c r="AS227" s="60">
        <v>1291116.4766689979</v>
      </c>
      <c r="AT227" t="s">
        <v>347</v>
      </c>
      <c r="AU227" t="s">
        <v>437</v>
      </c>
      <c r="AV227" t="s">
        <v>425</v>
      </c>
      <c r="AW227" t="s">
        <v>27</v>
      </c>
      <c r="AX227">
        <v>111.133</v>
      </c>
      <c r="AY227">
        <v>1.0541007448257309</v>
      </c>
      <c r="AZ227">
        <v>117.145378074718</v>
      </c>
      <c r="BA227">
        <v>640.82000000000005</v>
      </c>
      <c r="BB227">
        <v>1</v>
      </c>
      <c r="BC227">
        <v>75.069101177840764</v>
      </c>
      <c r="BD227">
        <v>0.95889999999999997</v>
      </c>
      <c r="BE227" s="62">
        <v>71.983999999999995</v>
      </c>
      <c r="BF227">
        <v>8.9176000000000002</v>
      </c>
      <c r="BG227">
        <v>1</v>
      </c>
      <c r="BH227">
        <v>6023.7392733347688</v>
      </c>
      <c r="BI227">
        <v>0.99097621000820357</v>
      </c>
      <c r="BJ227" s="62">
        <v>5969.3823000000002</v>
      </c>
      <c r="BK227" s="60">
        <v>1446716.028586179</v>
      </c>
    </row>
    <row r="228" spans="1:63" x14ac:dyDescent="0.25">
      <c r="A228">
        <v>655</v>
      </c>
      <c r="B228" t="s">
        <v>147</v>
      </c>
      <c r="C228">
        <v>2019</v>
      </c>
      <c r="D228">
        <v>2</v>
      </c>
      <c r="E228" t="s">
        <v>100</v>
      </c>
      <c r="F228" t="s">
        <v>426</v>
      </c>
      <c r="G228" t="s">
        <v>427</v>
      </c>
      <c r="H228" t="s">
        <v>84</v>
      </c>
      <c r="I228" t="s">
        <v>429</v>
      </c>
      <c r="J228" t="s">
        <v>87</v>
      </c>
      <c r="K228">
        <v>-658.81431411999995</v>
      </c>
      <c r="L228" t="s">
        <v>87</v>
      </c>
      <c r="M228" t="s">
        <v>385</v>
      </c>
      <c r="N228">
        <v>0.46576586246495999</v>
      </c>
      <c r="O228">
        <v>306.85321722036292</v>
      </c>
      <c r="P228" t="s">
        <v>440</v>
      </c>
      <c r="Q228">
        <v>2</v>
      </c>
      <c r="R228">
        <v>28.410399999999999</v>
      </c>
      <c r="S228">
        <v>0.112</v>
      </c>
      <c r="T228">
        <v>3.1819647999999998</v>
      </c>
      <c r="U228">
        <v>0.98099999999999998</v>
      </c>
      <c r="V228">
        <v>3121.5070000000001</v>
      </c>
      <c r="W228">
        <v>2</v>
      </c>
      <c r="X228">
        <v>2.2882718999999999E-5</v>
      </c>
      <c r="Y228">
        <v>0.14285700000000001</v>
      </c>
      <c r="Z228" s="60">
        <v>43.836129999999997</v>
      </c>
      <c r="AA228" t="s">
        <v>346</v>
      </c>
      <c r="AB228" t="s">
        <v>436</v>
      </c>
      <c r="AC228" t="s">
        <v>425</v>
      </c>
      <c r="AD228" t="s">
        <v>27</v>
      </c>
      <c r="AE228">
        <v>111.133</v>
      </c>
      <c r="AF228">
        <v>1.0368587857491129</v>
      </c>
      <c r="AG228">
        <v>115.2292274366562</v>
      </c>
      <c r="AH228">
        <v>603.45000000000005</v>
      </c>
      <c r="AI228">
        <v>1</v>
      </c>
      <c r="AJ228">
        <v>69.535077296650186</v>
      </c>
      <c r="AK228">
        <v>0.93979999999999997</v>
      </c>
      <c r="AL228" s="62">
        <v>65.349000000000004</v>
      </c>
      <c r="AM228">
        <v>8.9176000000000002</v>
      </c>
      <c r="AN228">
        <v>9.2462919077962926</v>
      </c>
      <c r="AO228">
        <v>1</v>
      </c>
      <c r="AP228">
        <v>5579.6748517596734</v>
      </c>
      <c r="AQ228">
        <v>0.95477850697292876</v>
      </c>
      <c r="AR228">
        <v>5327.3536000000004</v>
      </c>
      <c r="AS228" s="60">
        <v>233530.56496556799</v>
      </c>
      <c r="AT228" t="s">
        <v>347</v>
      </c>
      <c r="AU228" t="s">
        <v>437</v>
      </c>
      <c r="AV228" t="s">
        <v>425</v>
      </c>
      <c r="AW228" t="s">
        <v>27</v>
      </c>
      <c r="AX228">
        <v>111.133</v>
      </c>
      <c r="AY228">
        <v>1.0541007448257309</v>
      </c>
      <c r="AZ228">
        <v>117.145378074718</v>
      </c>
      <c r="BA228">
        <v>640.82000000000005</v>
      </c>
      <c r="BB228">
        <v>1</v>
      </c>
      <c r="BC228">
        <v>75.069101177840764</v>
      </c>
      <c r="BD228">
        <v>0.95889999999999997</v>
      </c>
      <c r="BE228" s="62">
        <v>71.983999999999995</v>
      </c>
      <c r="BF228">
        <v>8.9176000000000002</v>
      </c>
      <c r="BG228">
        <v>1</v>
      </c>
      <c r="BH228">
        <v>6023.7392733347688</v>
      </c>
      <c r="BI228">
        <v>0.99097621000820357</v>
      </c>
      <c r="BJ228" s="62">
        <v>5969.3823000000002</v>
      </c>
      <c r="BK228" s="60">
        <v>261674.61852249899</v>
      </c>
    </row>
    <row r="229" spans="1:63" x14ac:dyDescent="0.25">
      <c r="A229">
        <v>655</v>
      </c>
      <c r="B229" t="s">
        <v>147</v>
      </c>
      <c r="C229">
        <v>2019</v>
      </c>
      <c r="D229">
        <v>2</v>
      </c>
      <c r="E229" t="s">
        <v>100</v>
      </c>
      <c r="F229" t="s">
        <v>426</v>
      </c>
      <c r="G229" t="s">
        <v>427</v>
      </c>
      <c r="H229" t="s">
        <v>84</v>
      </c>
      <c r="I229" t="s">
        <v>430</v>
      </c>
      <c r="J229" t="s">
        <v>59</v>
      </c>
      <c r="K229">
        <v>-1640.95558532</v>
      </c>
      <c r="L229" t="s">
        <v>59</v>
      </c>
      <c r="M229" t="s">
        <v>385</v>
      </c>
      <c r="N229">
        <v>0.54314598235976996</v>
      </c>
      <c r="O229">
        <v>891.27843339738286</v>
      </c>
      <c r="P229" t="s">
        <v>440</v>
      </c>
      <c r="Q229">
        <v>2</v>
      </c>
      <c r="R229">
        <v>28.410399999999999</v>
      </c>
      <c r="S229">
        <v>0.112</v>
      </c>
      <c r="T229">
        <v>3.1819647999999998</v>
      </c>
      <c r="U229">
        <v>0.98099999999999998</v>
      </c>
      <c r="V229">
        <v>3121.5070000000001</v>
      </c>
      <c r="W229">
        <v>2</v>
      </c>
      <c r="X229">
        <v>2.2882718999999999E-5</v>
      </c>
      <c r="Y229">
        <v>0.14285700000000001</v>
      </c>
      <c r="Z229" s="60">
        <v>127.325363</v>
      </c>
      <c r="AA229" t="s">
        <v>346</v>
      </c>
      <c r="AB229" t="s">
        <v>436</v>
      </c>
      <c r="AC229" t="s">
        <v>425</v>
      </c>
      <c r="AD229" t="s">
        <v>27</v>
      </c>
      <c r="AE229">
        <v>111.133</v>
      </c>
      <c r="AF229">
        <v>1.0368587857491129</v>
      </c>
      <c r="AG229">
        <v>115.2292274366562</v>
      </c>
      <c r="AH229">
        <v>603.45000000000005</v>
      </c>
      <c r="AI229">
        <v>1</v>
      </c>
      <c r="AJ229">
        <v>69.535077296650186</v>
      </c>
      <c r="AK229">
        <v>0.93979999999999997</v>
      </c>
      <c r="AL229" s="62">
        <v>65.349000000000004</v>
      </c>
      <c r="AM229">
        <v>8.9176000000000002</v>
      </c>
      <c r="AN229">
        <v>9.2462919077962926</v>
      </c>
      <c r="AO229">
        <v>1</v>
      </c>
      <c r="AP229">
        <v>5579.6748517596734</v>
      </c>
      <c r="AQ229">
        <v>0.95477850697292876</v>
      </c>
      <c r="AR229">
        <v>5327.3536000000004</v>
      </c>
      <c r="AS229" s="60">
        <v>678307.2309493568</v>
      </c>
      <c r="AT229" t="s">
        <v>347</v>
      </c>
      <c r="AU229" t="s">
        <v>437</v>
      </c>
      <c r="AV229" t="s">
        <v>425</v>
      </c>
      <c r="AW229" t="s">
        <v>27</v>
      </c>
      <c r="AX229">
        <v>111.133</v>
      </c>
      <c r="AY229">
        <v>1.0541007448257309</v>
      </c>
      <c r="AZ229">
        <v>117.145378074718</v>
      </c>
      <c r="BA229">
        <v>640.82000000000005</v>
      </c>
      <c r="BB229">
        <v>1</v>
      </c>
      <c r="BC229">
        <v>75.069101177840764</v>
      </c>
      <c r="BD229">
        <v>0.95889999999999997</v>
      </c>
      <c r="BE229" s="62">
        <v>71.983999999999995</v>
      </c>
      <c r="BF229">
        <v>8.9176000000000002</v>
      </c>
      <c r="BG229">
        <v>1</v>
      </c>
      <c r="BH229">
        <v>6023.7392733347688</v>
      </c>
      <c r="BI229">
        <v>0.99097621000820357</v>
      </c>
      <c r="BJ229" s="62">
        <v>5969.3823000000002</v>
      </c>
      <c r="BK229" s="60">
        <v>760053.76823327492</v>
      </c>
    </row>
    <row r="230" spans="1:63" x14ac:dyDescent="0.25">
      <c r="A230">
        <v>673</v>
      </c>
      <c r="B230" t="s">
        <v>149</v>
      </c>
      <c r="C230">
        <v>2019</v>
      </c>
      <c r="D230">
        <v>3</v>
      </c>
      <c r="E230" t="s">
        <v>100</v>
      </c>
      <c r="F230" t="s">
        <v>426</v>
      </c>
      <c r="G230" t="s">
        <v>427</v>
      </c>
      <c r="H230" t="s">
        <v>84</v>
      </c>
      <c r="I230" t="s">
        <v>428</v>
      </c>
      <c r="J230" t="s">
        <v>381</v>
      </c>
      <c r="K230">
        <v>-3065.9050455800002</v>
      </c>
      <c r="L230" t="s">
        <v>381</v>
      </c>
      <c r="M230" t="s">
        <v>384</v>
      </c>
      <c r="N230">
        <v>0.11701058843201</v>
      </c>
      <c r="O230">
        <v>358.74335345998418</v>
      </c>
      <c r="P230" t="s">
        <v>440</v>
      </c>
      <c r="Q230">
        <v>2</v>
      </c>
      <c r="R230">
        <v>28.410399999999999</v>
      </c>
      <c r="S230">
        <v>0.122</v>
      </c>
      <c r="T230">
        <v>3.4660687999999999</v>
      </c>
      <c r="U230">
        <v>1.9E-2</v>
      </c>
      <c r="V230">
        <v>65.855000000000004</v>
      </c>
      <c r="W230">
        <v>2</v>
      </c>
      <c r="X230">
        <v>1.0846292850000001E-3</v>
      </c>
      <c r="Y230">
        <v>0.14285700000000001</v>
      </c>
      <c r="Z230" s="60">
        <v>51.248998999999998</v>
      </c>
      <c r="AA230" t="s">
        <v>346</v>
      </c>
      <c r="AB230" t="s">
        <v>436</v>
      </c>
      <c r="AC230" t="s">
        <v>425</v>
      </c>
      <c r="AD230" t="s">
        <v>81</v>
      </c>
      <c r="AE230">
        <v>111.133</v>
      </c>
      <c r="AF230">
        <v>1.0368587857491129</v>
      </c>
      <c r="AG230">
        <v>115.2292274366562</v>
      </c>
      <c r="AH230">
        <v>603.45000000000005</v>
      </c>
      <c r="AI230">
        <v>1</v>
      </c>
      <c r="AJ230">
        <v>69.535077296650186</v>
      </c>
      <c r="AK230">
        <v>0.90990000000000004</v>
      </c>
      <c r="AL230" s="62">
        <v>63.27</v>
      </c>
      <c r="AM230">
        <v>8.9176000000000002</v>
      </c>
      <c r="AN230">
        <v>9.2462919077962926</v>
      </c>
      <c r="AO230">
        <v>1</v>
      </c>
      <c r="AP230">
        <v>5579.6748517596734</v>
      </c>
      <c r="AQ230">
        <v>1.053620848708487</v>
      </c>
      <c r="AR230">
        <v>5878.8617999999997</v>
      </c>
      <c r="AS230" s="60">
        <v>301285.78250933823</v>
      </c>
      <c r="AT230" t="s">
        <v>347</v>
      </c>
      <c r="AU230" t="s">
        <v>437</v>
      </c>
      <c r="AV230" t="s">
        <v>425</v>
      </c>
      <c r="AW230" t="s">
        <v>81</v>
      </c>
      <c r="AX230">
        <v>111.133</v>
      </c>
      <c r="AY230">
        <v>1.0541007448257309</v>
      </c>
      <c r="AZ230">
        <v>117.145378074718</v>
      </c>
      <c r="BA230">
        <v>640.82000000000005</v>
      </c>
      <c r="BB230">
        <v>1</v>
      </c>
      <c r="BC230">
        <v>75.069101177840764</v>
      </c>
      <c r="BD230">
        <v>0.93830000000000002</v>
      </c>
      <c r="BE230" s="62">
        <v>70.436999999999998</v>
      </c>
      <c r="BF230">
        <v>8.9176000000000002</v>
      </c>
      <c r="BG230">
        <v>1</v>
      </c>
      <c r="BH230">
        <v>6023.7392733347688</v>
      </c>
      <c r="BI230">
        <v>1.098016605166052</v>
      </c>
      <c r="BJ230" s="62">
        <v>6614.1656999999996</v>
      </c>
      <c r="BK230" s="60">
        <v>338969.37134513428</v>
      </c>
    </row>
    <row r="231" spans="1:63" x14ac:dyDescent="0.25">
      <c r="A231">
        <v>673</v>
      </c>
      <c r="B231" t="s">
        <v>149</v>
      </c>
      <c r="C231">
        <v>2019</v>
      </c>
      <c r="D231">
        <v>3</v>
      </c>
      <c r="E231" t="s">
        <v>100</v>
      </c>
      <c r="F231" t="s">
        <v>426</v>
      </c>
      <c r="G231" t="s">
        <v>427</v>
      </c>
      <c r="H231" t="s">
        <v>84</v>
      </c>
      <c r="I231" t="s">
        <v>429</v>
      </c>
      <c r="J231" t="s">
        <v>87</v>
      </c>
      <c r="K231">
        <v>-737.64564960999996</v>
      </c>
      <c r="L231" t="s">
        <v>87</v>
      </c>
      <c r="M231" t="s">
        <v>384</v>
      </c>
      <c r="N231">
        <v>9.7514538340209997E-2</v>
      </c>
      <c r="O231">
        <v>71.93117498038346</v>
      </c>
      <c r="P231" t="s">
        <v>440</v>
      </c>
      <c r="Q231">
        <v>2</v>
      </c>
      <c r="R231">
        <v>28.410399999999999</v>
      </c>
      <c r="S231">
        <v>0.122</v>
      </c>
      <c r="T231">
        <v>3.4660687999999999</v>
      </c>
      <c r="U231">
        <v>1.9E-2</v>
      </c>
      <c r="V231">
        <v>65.855000000000004</v>
      </c>
      <c r="W231">
        <v>2</v>
      </c>
      <c r="X231">
        <v>1.0846292850000001E-3</v>
      </c>
      <c r="Y231">
        <v>0.14285700000000001</v>
      </c>
      <c r="Z231" s="60">
        <v>10.275872</v>
      </c>
      <c r="AA231" t="s">
        <v>346</v>
      </c>
      <c r="AB231" t="s">
        <v>436</v>
      </c>
      <c r="AC231" t="s">
        <v>425</v>
      </c>
      <c r="AD231" t="s">
        <v>81</v>
      </c>
      <c r="AE231">
        <v>111.133</v>
      </c>
      <c r="AF231">
        <v>1.0368587857491129</v>
      </c>
      <c r="AG231">
        <v>115.2292274366562</v>
      </c>
      <c r="AH231">
        <v>603.45000000000005</v>
      </c>
      <c r="AI231">
        <v>1</v>
      </c>
      <c r="AJ231">
        <v>69.535077296650186</v>
      </c>
      <c r="AK231">
        <v>0.90990000000000004</v>
      </c>
      <c r="AL231" s="62">
        <v>63.27</v>
      </c>
      <c r="AM231">
        <v>8.9176000000000002</v>
      </c>
      <c r="AN231">
        <v>9.2462919077962926</v>
      </c>
      <c r="AO231">
        <v>1</v>
      </c>
      <c r="AP231">
        <v>5579.6748517596734</v>
      </c>
      <c r="AQ231">
        <v>1.053620848708487</v>
      </c>
      <c r="AR231">
        <v>5878.8617999999997</v>
      </c>
      <c r="AS231" s="60">
        <v>60410.431362489588</v>
      </c>
      <c r="AT231" t="s">
        <v>347</v>
      </c>
      <c r="AU231" t="s">
        <v>437</v>
      </c>
      <c r="AV231" t="s">
        <v>425</v>
      </c>
      <c r="AW231" t="s">
        <v>81</v>
      </c>
      <c r="AX231">
        <v>111.133</v>
      </c>
      <c r="AY231">
        <v>1.0541007448257309</v>
      </c>
      <c r="AZ231">
        <v>117.145378074718</v>
      </c>
      <c r="BA231">
        <v>640.82000000000005</v>
      </c>
      <c r="BB231">
        <v>1</v>
      </c>
      <c r="BC231">
        <v>75.069101177840764</v>
      </c>
      <c r="BD231">
        <v>0.93830000000000002</v>
      </c>
      <c r="BE231" s="62">
        <v>70.436999999999998</v>
      </c>
      <c r="BF231">
        <v>8.9176000000000002</v>
      </c>
      <c r="BG231">
        <v>1</v>
      </c>
      <c r="BH231">
        <v>6023.7392733347688</v>
      </c>
      <c r="BI231">
        <v>1.098016605166052</v>
      </c>
      <c r="BJ231" s="62">
        <v>6614.1656999999996</v>
      </c>
      <c r="BK231" s="60">
        <v>67966.3201199904</v>
      </c>
    </row>
    <row r="232" spans="1:63" x14ac:dyDescent="0.25">
      <c r="A232">
        <v>673</v>
      </c>
      <c r="B232" t="s">
        <v>149</v>
      </c>
      <c r="C232">
        <v>2019</v>
      </c>
      <c r="D232">
        <v>3</v>
      </c>
      <c r="E232" t="s">
        <v>100</v>
      </c>
      <c r="F232" t="s">
        <v>426</v>
      </c>
      <c r="G232" t="s">
        <v>427</v>
      </c>
      <c r="H232" t="s">
        <v>84</v>
      </c>
      <c r="I232" t="s">
        <v>430</v>
      </c>
      <c r="J232" t="s">
        <v>59</v>
      </c>
      <c r="K232">
        <v>-1450.40735169</v>
      </c>
      <c r="L232" t="s">
        <v>59</v>
      </c>
      <c r="M232" t="s">
        <v>384</v>
      </c>
      <c r="N232">
        <v>9.9723560464910002E-2</v>
      </c>
      <c r="O232">
        <v>144.63978523500771</v>
      </c>
      <c r="P232" t="s">
        <v>440</v>
      </c>
      <c r="Q232">
        <v>2</v>
      </c>
      <c r="R232">
        <v>28.410399999999999</v>
      </c>
      <c r="S232">
        <v>0.122</v>
      </c>
      <c r="T232">
        <v>3.4660687999999999</v>
      </c>
      <c r="U232">
        <v>1.9E-2</v>
      </c>
      <c r="V232">
        <v>65.855000000000004</v>
      </c>
      <c r="W232">
        <v>2</v>
      </c>
      <c r="X232">
        <v>1.0846292850000001E-3</v>
      </c>
      <c r="Y232">
        <v>0.14285700000000001</v>
      </c>
      <c r="Z232" s="60">
        <v>20.662806</v>
      </c>
      <c r="AA232" t="s">
        <v>346</v>
      </c>
      <c r="AB232" t="s">
        <v>436</v>
      </c>
      <c r="AC232" t="s">
        <v>425</v>
      </c>
      <c r="AD232" t="s">
        <v>81</v>
      </c>
      <c r="AE232">
        <v>111.133</v>
      </c>
      <c r="AF232">
        <v>1.0368587857491129</v>
      </c>
      <c r="AG232">
        <v>115.2292274366562</v>
      </c>
      <c r="AH232">
        <v>603.45000000000005</v>
      </c>
      <c r="AI232">
        <v>1</v>
      </c>
      <c r="AJ232">
        <v>69.535077296650186</v>
      </c>
      <c r="AK232">
        <v>0.90990000000000004</v>
      </c>
      <c r="AL232" s="62">
        <v>63.27</v>
      </c>
      <c r="AM232">
        <v>8.9176000000000002</v>
      </c>
      <c r="AN232">
        <v>9.2462919077962926</v>
      </c>
      <c r="AO232">
        <v>1</v>
      </c>
      <c r="AP232">
        <v>5579.6748517596734</v>
      </c>
      <c r="AQ232">
        <v>1.053620848708487</v>
      </c>
      <c r="AR232">
        <v>5878.8617999999997</v>
      </c>
      <c r="AS232" s="60">
        <v>121473.7808742108</v>
      </c>
      <c r="AT232" t="s">
        <v>347</v>
      </c>
      <c r="AU232" t="s">
        <v>437</v>
      </c>
      <c r="AV232" t="s">
        <v>425</v>
      </c>
      <c r="AW232" t="s">
        <v>81</v>
      </c>
      <c r="AX232">
        <v>111.133</v>
      </c>
      <c r="AY232">
        <v>1.0541007448257309</v>
      </c>
      <c r="AZ232">
        <v>117.145378074718</v>
      </c>
      <c r="BA232">
        <v>640.82000000000005</v>
      </c>
      <c r="BB232">
        <v>1</v>
      </c>
      <c r="BC232">
        <v>75.069101177840764</v>
      </c>
      <c r="BD232">
        <v>0.93830000000000002</v>
      </c>
      <c r="BE232" s="62">
        <v>70.436999999999998</v>
      </c>
      <c r="BF232">
        <v>8.9176000000000002</v>
      </c>
      <c r="BG232">
        <v>1</v>
      </c>
      <c r="BH232">
        <v>6023.7392733347688</v>
      </c>
      <c r="BI232">
        <v>1.098016605166052</v>
      </c>
      <c r="BJ232" s="62">
        <v>6614.1656999999996</v>
      </c>
      <c r="BK232" s="60">
        <v>136667.2227109542</v>
      </c>
    </row>
    <row r="233" spans="1:63" x14ac:dyDescent="0.25">
      <c r="A233">
        <v>675</v>
      </c>
      <c r="B233" t="s">
        <v>149</v>
      </c>
      <c r="C233">
        <v>2019</v>
      </c>
      <c r="D233">
        <v>3</v>
      </c>
      <c r="E233" t="s">
        <v>100</v>
      </c>
      <c r="F233" t="s">
        <v>426</v>
      </c>
      <c r="G233" t="s">
        <v>427</v>
      </c>
      <c r="H233" t="s">
        <v>84</v>
      </c>
      <c r="I233" t="s">
        <v>428</v>
      </c>
      <c r="J233" t="s">
        <v>381</v>
      </c>
      <c r="K233">
        <v>-3065.9050455800002</v>
      </c>
      <c r="L233" t="s">
        <v>381</v>
      </c>
      <c r="M233" t="s">
        <v>385</v>
      </c>
      <c r="N233">
        <v>0.54567226407084002</v>
      </c>
      <c r="O233">
        <v>1672.9793476478501</v>
      </c>
      <c r="P233" t="s">
        <v>440</v>
      </c>
      <c r="Q233">
        <v>2</v>
      </c>
      <c r="R233">
        <v>28.410399999999999</v>
      </c>
      <c r="S233">
        <v>0.122</v>
      </c>
      <c r="T233">
        <v>3.4660687999999999</v>
      </c>
      <c r="U233">
        <v>0.98099999999999998</v>
      </c>
      <c r="V233">
        <v>3400.2130000000002</v>
      </c>
      <c r="W233">
        <v>2</v>
      </c>
      <c r="X233">
        <v>2.1007085999999999E-5</v>
      </c>
      <c r="Y233">
        <v>0.14285700000000001</v>
      </c>
      <c r="Z233" s="60">
        <v>238.99681100000001</v>
      </c>
      <c r="AA233" t="s">
        <v>346</v>
      </c>
      <c r="AB233" t="s">
        <v>436</v>
      </c>
      <c r="AC233" t="s">
        <v>425</v>
      </c>
      <c r="AD233" t="s">
        <v>27</v>
      </c>
      <c r="AE233">
        <v>111.133</v>
      </c>
      <c r="AF233">
        <v>1.0368587857491129</v>
      </c>
      <c r="AG233">
        <v>115.2292274366562</v>
      </c>
      <c r="AH233">
        <v>603.45000000000005</v>
      </c>
      <c r="AI233">
        <v>1</v>
      </c>
      <c r="AJ233">
        <v>69.535077296650186</v>
      </c>
      <c r="AK233">
        <v>0.93979999999999997</v>
      </c>
      <c r="AL233" s="62">
        <v>65.349000000000004</v>
      </c>
      <c r="AM233">
        <v>8.9176000000000002</v>
      </c>
      <c r="AN233">
        <v>9.2462919077962926</v>
      </c>
      <c r="AO233">
        <v>1</v>
      </c>
      <c r="AP233">
        <v>5579.6748517596734</v>
      </c>
      <c r="AQ233">
        <v>0.95477850697292876</v>
      </c>
      <c r="AR233">
        <v>5327.3536000000004</v>
      </c>
      <c r="AS233" s="60">
        <v>1273220.52146937</v>
      </c>
      <c r="AT233" t="s">
        <v>347</v>
      </c>
      <c r="AU233" t="s">
        <v>437</v>
      </c>
      <c r="AV233" t="s">
        <v>425</v>
      </c>
      <c r="AW233" t="s">
        <v>27</v>
      </c>
      <c r="AX233">
        <v>111.133</v>
      </c>
      <c r="AY233">
        <v>1.0541007448257309</v>
      </c>
      <c r="AZ233">
        <v>117.145378074718</v>
      </c>
      <c r="BA233">
        <v>640.82000000000005</v>
      </c>
      <c r="BB233">
        <v>1</v>
      </c>
      <c r="BC233">
        <v>75.069101177840764</v>
      </c>
      <c r="BD233">
        <v>0.95889999999999997</v>
      </c>
      <c r="BE233" s="62">
        <v>71.983999999999995</v>
      </c>
      <c r="BF233">
        <v>8.9176000000000002</v>
      </c>
      <c r="BG233">
        <v>1</v>
      </c>
      <c r="BH233">
        <v>6023.7392733347688</v>
      </c>
      <c r="BI233">
        <v>0.99097621000820357</v>
      </c>
      <c r="BJ233" s="62">
        <v>5969.3823000000002</v>
      </c>
      <c r="BK233" s="60">
        <v>1426663.3333398451</v>
      </c>
    </row>
    <row r="234" spans="1:63" x14ac:dyDescent="0.25">
      <c r="A234">
        <v>675</v>
      </c>
      <c r="B234" t="s">
        <v>149</v>
      </c>
      <c r="C234">
        <v>2019</v>
      </c>
      <c r="D234">
        <v>3</v>
      </c>
      <c r="E234" t="s">
        <v>100</v>
      </c>
      <c r="F234" t="s">
        <v>426</v>
      </c>
      <c r="G234" t="s">
        <v>427</v>
      </c>
      <c r="H234" t="s">
        <v>84</v>
      </c>
      <c r="I234" t="s">
        <v>429</v>
      </c>
      <c r="J234" t="s">
        <v>87</v>
      </c>
      <c r="K234">
        <v>-737.64564960999996</v>
      </c>
      <c r="L234" t="s">
        <v>87</v>
      </c>
      <c r="M234" t="s">
        <v>385</v>
      </c>
      <c r="N234">
        <v>0.46576586246513002</v>
      </c>
      <c r="O234">
        <v>343.57016218425269</v>
      </c>
      <c r="P234" t="s">
        <v>440</v>
      </c>
      <c r="Q234">
        <v>2</v>
      </c>
      <c r="R234">
        <v>28.410399999999999</v>
      </c>
      <c r="S234">
        <v>0.122</v>
      </c>
      <c r="T234">
        <v>3.4660687999999999</v>
      </c>
      <c r="U234">
        <v>0.98099999999999998</v>
      </c>
      <c r="V234">
        <v>3400.2130000000002</v>
      </c>
      <c r="W234">
        <v>2</v>
      </c>
      <c r="X234">
        <v>2.1007085999999999E-5</v>
      </c>
      <c r="Y234">
        <v>0.14285700000000001</v>
      </c>
      <c r="Z234" s="60">
        <v>49.081403000000002</v>
      </c>
      <c r="AA234" t="s">
        <v>346</v>
      </c>
      <c r="AB234" t="s">
        <v>436</v>
      </c>
      <c r="AC234" t="s">
        <v>425</v>
      </c>
      <c r="AD234" t="s">
        <v>27</v>
      </c>
      <c r="AE234">
        <v>111.133</v>
      </c>
      <c r="AF234">
        <v>1.0368587857491129</v>
      </c>
      <c r="AG234">
        <v>115.2292274366562</v>
      </c>
      <c r="AH234">
        <v>603.45000000000005</v>
      </c>
      <c r="AI234">
        <v>1</v>
      </c>
      <c r="AJ234">
        <v>69.535077296650186</v>
      </c>
      <c r="AK234">
        <v>0.93979999999999997</v>
      </c>
      <c r="AL234" s="62">
        <v>65.349000000000004</v>
      </c>
      <c r="AM234">
        <v>8.9176000000000002</v>
      </c>
      <c r="AN234">
        <v>9.2462919077962926</v>
      </c>
      <c r="AO234">
        <v>1</v>
      </c>
      <c r="AP234">
        <v>5579.6748517596734</v>
      </c>
      <c r="AQ234">
        <v>0.95477850697292876</v>
      </c>
      <c r="AR234">
        <v>5327.3536000000004</v>
      </c>
      <c r="AS234" s="60">
        <v>261473.98896510081</v>
      </c>
      <c r="AT234" t="s">
        <v>347</v>
      </c>
      <c r="AU234" t="s">
        <v>437</v>
      </c>
      <c r="AV234" t="s">
        <v>425</v>
      </c>
      <c r="AW234" t="s">
        <v>27</v>
      </c>
      <c r="AX234">
        <v>111.133</v>
      </c>
      <c r="AY234">
        <v>1.0541007448257309</v>
      </c>
      <c r="AZ234">
        <v>117.145378074718</v>
      </c>
      <c r="BA234">
        <v>640.82000000000005</v>
      </c>
      <c r="BB234">
        <v>1</v>
      </c>
      <c r="BC234">
        <v>75.069101177840764</v>
      </c>
      <c r="BD234">
        <v>0.95889999999999997</v>
      </c>
      <c r="BE234" s="62">
        <v>71.983999999999995</v>
      </c>
      <c r="BF234">
        <v>8.9176000000000002</v>
      </c>
      <c r="BG234">
        <v>1</v>
      </c>
      <c r="BH234">
        <v>6023.7392733347688</v>
      </c>
      <c r="BI234">
        <v>0.99097621000820357</v>
      </c>
      <c r="BJ234" s="62">
        <v>5969.3823000000002</v>
      </c>
      <c r="BK234" s="60">
        <v>292985.65832736692</v>
      </c>
    </row>
    <row r="235" spans="1:63" x14ac:dyDescent="0.25">
      <c r="A235">
        <v>675</v>
      </c>
      <c r="B235" t="s">
        <v>149</v>
      </c>
      <c r="C235">
        <v>2019</v>
      </c>
      <c r="D235">
        <v>3</v>
      </c>
      <c r="E235" t="s">
        <v>100</v>
      </c>
      <c r="F235" t="s">
        <v>426</v>
      </c>
      <c r="G235" t="s">
        <v>427</v>
      </c>
      <c r="H235" t="s">
        <v>84</v>
      </c>
      <c r="I235" t="s">
        <v>430</v>
      </c>
      <c r="J235" t="s">
        <v>59</v>
      </c>
      <c r="K235">
        <v>-1450.40735169</v>
      </c>
      <c r="L235" t="s">
        <v>59</v>
      </c>
      <c r="M235" t="s">
        <v>385</v>
      </c>
      <c r="N235">
        <v>0.54314598235857003</v>
      </c>
      <c r="O235">
        <v>787.78292585375686</v>
      </c>
      <c r="P235" t="s">
        <v>440</v>
      </c>
      <c r="Q235">
        <v>2</v>
      </c>
      <c r="R235">
        <v>28.410399999999999</v>
      </c>
      <c r="S235">
        <v>0.122</v>
      </c>
      <c r="T235">
        <v>3.4660687999999999</v>
      </c>
      <c r="U235">
        <v>0.98099999999999998</v>
      </c>
      <c r="V235">
        <v>3400.2130000000002</v>
      </c>
      <c r="W235">
        <v>2</v>
      </c>
      <c r="X235">
        <v>2.1007085999999999E-5</v>
      </c>
      <c r="Y235">
        <v>0.14285700000000001</v>
      </c>
      <c r="Z235" s="60">
        <v>112.540305</v>
      </c>
      <c r="AA235" t="s">
        <v>346</v>
      </c>
      <c r="AB235" t="s">
        <v>436</v>
      </c>
      <c r="AC235" t="s">
        <v>425</v>
      </c>
      <c r="AD235" t="s">
        <v>27</v>
      </c>
      <c r="AE235">
        <v>111.133</v>
      </c>
      <c r="AF235">
        <v>1.0368587857491129</v>
      </c>
      <c r="AG235">
        <v>115.2292274366562</v>
      </c>
      <c r="AH235">
        <v>603.45000000000005</v>
      </c>
      <c r="AI235">
        <v>1</v>
      </c>
      <c r="AJ235">
        <v>69.535077296650186</v>
      </c>
      <c r="AK235">
        <v>0.93979999999999997</v>
      </c>
      <c r="AL235" s="62">
        <v>65.349000000000004</v>
      </c>
      <c r="AM235">
        <v>8.9176000000000002</v>
      </c>
      <c r="AN235">
        <v>9.2462919077962926</v>
      </c>
      <c r="AO235">
        <v>1</v>
      </c>
      <c r="AP235">
        <v>5579.6748517596734</v>
      </c>
      <c r="AQ235">
        <v>0.95477850697292876</v>
      </c>
      <c r="AR235">
        <v>5327.3536000000004</v>
      </c>
      <c r="AS235" s="60">
        <v>599541.99898684805</v>
      </c>
      <c r="AT235" t="s">
        <v>347</v>
      </c>
      <c r="AU235" t="s">
        <v>437</v>
      </c>
      <c r="AV235" t="s">
        <v>425</v>
      </c>
      <c r="AW235" t="s">
        <v>27</v>
      </c>
      <c r="AX235">
        <v>111.133</v>
      </c>
      <c r="AY235">
        <v>1.0541007448257309</v>
      </c>
      <c r="AZ235">
        <v>117.145378074718</v>
      </c>
      <c r="BA235">
        <v>640.82000000000005</v>
      </c>
      <c r="BB235">
        <v>1</v>
      </c>
      <c r="BC235">
        <v>75.069101177840764</v>
      </c>
      <c r="BD235">
        <v>0.95889999999999997</v>
      </c>
      <c r="BE235" s="62">
        <v>71.983999999999995</v>
      </c>
      <c r="BF235">
        <v>8.9176000000000002</v>
      </c>
      <c r="BG235">
        <v>1</v>
      </c>
      <c r="BH235">
        <v>6023.7392733347688</v>
      </c>
      <c r="BI235">
        <v>0.99097621000820357</v>
      </c>
      <c r="BJ235" s="62">
        <v>5969.3823000000002</v>
      </c>
      <c r="BK235" s="60">
        <v>671796.10470360157</v>
      </c>
    </row>
    <row r="236" spans="1:63" x14ac:dyDescent="0.25">
      <c r="A236">
        <v>699</v>
      </c>
      <c r="B236" t="s">
        <v>150</v>
      </c>
      <c r="C236">
        <v>2019</v>
      </c>
      <c r="D236">
        <v>4</v>
      </c>
      <c r="E236" t="s">
        <v>100</v>
      </c>
      <c r="F236" t="s">
        <v>426</v>
      </c>
      <c r="G236" t="s">
        <v>427</v>
      </c>
      <c r="H236" t="s">
        <v>84</v>
      </c>
      <c r="I236" t="s">
        <v>428</v>
      </c>
      <c r="J236" t="s">
        <v>381</v>
      </c>
      <c r="K236">
        <v>-1557.0867358999999</v>
      </c>
      <c r="L236" t="s">
        <v>381</v>
      </c>
      <c r="M236" t="s">
        <v>384</v>
      </c>
      <c r="N236">
        <v>0.11701058843195999</v>
      </c>
      <c r="O236">
        <v>182.1956352072589</v>
      </c>
      <c r="P236" t="s">
        <v>440</v>
      </c>
      <c r="Q236">
        <v>2</v>
      </c>
      <c r="R236">
        <v>28.410399999999999</v>
      </c>
      <c r="S236">
        <v>6.0999999999999999E-2</v>
      </c>
      <c r="T236">
        <v>1.7330344</v>
      </c>
      <c r="U236">
        <v>1.9E-2</v>
      </c>
      <c r="V236">
        <v>32.927999999999997</v>
      </c>
      <c r="W236">
        <v>2</v>
      </c>
      <c r="X236">
        <v>2.1692538629999999E-3</v>
      </c>
      <c r="Y236">
        <v>0.14285800000000001</v>
      </c>
      <c r="Z236" s="60">
        <v>26.028103999999999</v>
      </c>
      <c r="AA236" t="s">
        <v>347</v>
      </c>
      <c r="AB236" t="s">
        <v>437</v>
      </c>
      <c r="AC236" t="s">
        <v>425</v>
      </c>
      <c r="AD236" t="s">
        <v>81</v>
      </c>
      <c r="AE236">
        <v>111.133</v>
      </c>
      <c r="AF236">
        <v>1.0541007448257309</v>
      </c>
      <c r="AG236">
        <v>117.145378074718</v>
      </c>
      <c r="AH236">
        <v>640.82000000000005</v>
      </c>
      <c r="AI236">
        <v>1</v>
      </c>
      <c r="AJ236">
        <v>75.069101177840764</v>
      </c>
      <c r="AK236">
        <v>0.93830000000000002</v>
      </c>
      <c r="AL236" s="62">
        <v>70.436999999999998</v>
      </c>
      <c r="AM236">
        <v>8.9176000000000002</v>
      </c>
      <c r="AN236">
        <v>9.4000488020579382</v>
      </c>
      <c r="AO236">
        <v>1</v>
      </c>
      <c r="AP236">
        <v>6023.7392733347688</v>
      </c>
      <c r="AQ236">
        <v>1.098016605166052</v>
      </c>
      <c r="AR236">
        <v>6614.1656999999996</v>
      </c>
      <c r="AS236" s="60">
        <v>172154.1927128328</v>
      </c>
      <c r="AT236" t="s">
        <v>347</v>
      </c>
      <c r="AU236" t="s">
        <v>437</v>
      </c>
      <c r="AV236" t="s">
        <v>425</v>
      </c>
      <c r="AW236" t="s">
        <v>81</v>
      </c>
      <c r="AX236">
        <v>111.133</v>
      </c>
      <c r="AY236">
        <v>1.0541007448257309</v>
      </c>
      <c r="AZ236">
        <v>117.145378074718</v>
      </c>
      <c r="BA236">
        <v>640.82000000000005</v>
      </c>
      <c r="BB236">
        <v>1</v>
      </c>
      <c r="BC236">
        <v>75.069101177840764</v>
      </c>
      <c r="BD236">
        <v>0.93830000000000002</v>
      </c>
      <c r="BE236" s="62">
        <v>70.436999999999998</v>
      </c>
      <c r="BF236">
        <v>8.9176000000000002</v>
      </c>
      <c r="BG236">
        <v>1</v>
      </c>
      <c r="BH236">
        <v>6023.7392733347688</v>
      </c>
      <c r="BI236">
        <v>1.098016605166052</v>
      </c>
      <c r="BJ236" s="62">
        <v>6614.1656999999996</v>
      </c>
      <c r="BK236" s="60">
        <v>172154.1927128328</v>
      </c>
    </row>
    <row r="237" spans="1:63" x14ac:dyDescent="0.25">
      <c r="A237">
        <v>699</v>
      </c>
      <c r="B237" t="s">
        <v>150</v>
      </c>
      <c r="C237">
        <v>2019</v>
      </c>
      <c r="D237">
        <v>4</v>
      </c>
      <c r="E237" t="s">
        <v>100</v>
      </c>
      <c r="F237" t="s">
        <v>426</v>
      </c>
      <c r="G237" t="s">
        <v>427</v>
      </c>
      <c r="H237" t="s">
        <v>84</v>
      </c>
      <c r="I237" t="s">
        <v>429</v>
      </c>
      <c r="J237" t="s">
        <v>87</v>
      </c>
      <c r="K237">
        <v>-302.73858855999998</v>
      </c>
      <c r="L237" t="s">
        <v>87</v>
      </c>
      <c r="M237" t="s">
        <v>384</v>
      </c>
      <c r="N237">
        <v>9.7514538339660006E-2</v>
      </c>
      <c r="O237">
        <v>29.521413701028671</v>
      </c>
      <c r="P237" t="s">
        <v>440</v>
      </c>
      <c r="Q237">
        <v>2</v>
      </c>
      <c r="R237">
        <v>28.410399999999999</v>
      </c>
      <c r="S237">
        <v>6.0999999999999999E-2</v>
      </c>
      <c r="T237">
        <v>1.7330344</v>
      </c>
      <c r="U237">
        <v>1.9E-2</v>
      </c>
      <c r="V237">
        <v>32.927999999999997</v>
      </c>
      <c r="W237">
        <v>2</v>
      </c>
      <c r="X237">
        <v>2.1692538629999999E-3</v>
      </c>
      <c r="Y237">
        <v>0.14285800000000001</v>
      </c>
      <c r="Z237" s="60">
        <v>4.2173699999999998</v>
      </c>
      <c r="AA237" t="s">
        <v>347</v>
      </c>
      <c r="AB237" t="s">
        <v>437</v>
      </c>
      <c r="AC237" t="s">
        <v>425</v>
      </c>
      <c r="AD237" t="s">
        <v>81</v>
      </c>
      <c r="AE237">
        <v>111.133</v>
      </c>
      <c r="AF237">
        <v>1.0541007448257309</v>
      </c>
      <c r="AG237">
        <v>117.145378074718</v>
      </c>
      <c r="AH237">
        <v>640.82000000000005</v>
      </c>
      <c r="AI237">
        <v>1</v>
      </c>
      <c r="AJ237">
        <v>75.069101177840764</v>
      </c>
      <c r="AK237">
        <v>0.93830000000000002</v>
      </c>
      <c r="AL237" s="62">
        <v>70.436999999999998</v>
      </c>
      <c r="AM237">
        <v>8.9176000000000002</v>
      </c>
      <c r="AN237">
        <v>9.4000488020579382</v>
      </c>
      <c r="AO237">
        <v>1</v>
      </c>
      <c r="AP237">
        <v>6023.7392733347688</v>
      </c>
      <c r="AQ237">
        <v>1.098016605166052</v>
      </c>
      <c r="AR237">
        <v>6614.1656999999996</v>
      </c>
      <c r="AS237" s="60">
        <v>27894.383998208999</v>
      </c>
      <c r="AT237" t="s">
        <v>347</v>
      </c>
      <c r="AU237" t="s">
        <v>437</v>
      </c>
      <c r="AV237" t="s">
        <v>425</v>
      </c>
      <c r="AW237" t="s">
        <v>81</v>
      </c>
      <c r="AX237">
        <v>111.133</v>
      </c>
      <c r="AY237">
        <v>1.0541007448257309</v>
      </c>
      <c r="AZ237">
        <v>117.145378074718</v>
      </c>
      <c r="BA237">
        <v>640.82000000000005</v>
      </c>
      <c r="BB237">
        <v>1</v>
      </c>
      <c r="BC237">
        <v>75.069101177840764</v>
      </c>
      <c r="BD237">
        <v>0.93830000000000002</v>
      </c>
      <c r="BE237" s="62">
        <v>70.436999999999998</v>
      </c>
      <c r="BF237">
        <v>8.9176000000000002</v>
      </c>
      <c r="BG237">
        <v>1</v>
      </c>
      <c r="BH237">
        <v>6023.7392733347688</v>
      </c>
      <c r="BI237">
        <v>1.098016605166052</v>
      </c>
      <c r="BJ237" s="62">
        <v>6614.1656999999996</v>
      </c>
      <c r="BK237" s="60">
        <v>27894.383998208999</v>
      </c>
    </row>
    <row r="238" spans="1:63" x14ac:dyDescent="0.25">
      <c r="A238">
        <v>699</v>
      </c>
      <c r="B238" t="s">
        <v>150</v>
      </c>
      <c r="C238">
        <v>2019</v>
      </c>
      <c r="D238">
        <v>4</v>
      </c>
      <c r="E238" t="s">
        <v>100</v>
      </c>
      <c r="F238" t="s">
        <v>426</v>
      </c>
      <c r="G238" t="s">
        <v>427</v>
      </c>
      <c r="H238" t="s">
        <v>84</v>
      </c>
      <c r="I238" t="s">
        <v>430</v>
      </c>
      <c r="J238" t="s">
        <v>59</v>
      </c>
      <c r="K238">
        <v>-893.85083488999999</v>
      </c>
      <c r="L238" t="s">
        <v>59</v>
      </c>
      <c r="M238" t="s">
        <v>384</v>
      </c>
      <c r="N238">
        <v>9.9723560464569996E-2</v>
      </c>
      <c r="O238">
        <v>89.137987779459294</v>
      </c>
      <c r="P238" t="s">
        <v>440</v>
      </c>
      <c r="Q238">
        <v>2</v>
      </c>
      <c r="R238">
        <v>28.410399999999999</v>
      </c>
      <c r="S238">
        <v>6.0999999999999999E-2</v>
      </c>
      <c r="T238">
        <v>1.7330344</v>
      </c>
      <c r="U238">
        <v>1.9E-2</v>
      </c>
      <c r="V238">
        <v>32.927999999999997</v>
      </c>
      <c r="W238">
        <v>2</v>
      </c>
      <c r="X238">
        <v>2.1692538629999999E-3</v>
      </c>
      <c r="Y238">
        <v>0.14285800000000001</v>
      </c>
      <c r="Z238" s="60">
        <v>12.734075000000001</v>
      </c>
      <c r="AA238" t="s">
        <v>347</v>
      </c>
      <c r="AB238" t="s">
        <v>437</v>
      </c>
      <c r="AC238" t="s">
        <v>425</v>
      </c>
      <c r="AD238" t="s">
        <v>81</v>
      </c>
      <c r="AE238">
        <v>111.133</v>
      </c>
      <c r="AF238">
        <v>1.0541007448257309</v>
      </c>
      <c r="AG238">
        <v>117.145378074718</v>
      </c>
      <c r="AH238">
        <v>640.82000000000005</v>
      </c>
      <c r="AI238">
        <v>1</v>
      </c>
      <c r="AJ238">
        <v>75.069101177840764</v>
      </c>
      <c r="AK238">
        <v>0.93830000000000002</v>
      </c>
      <c r="AL238" s="62">
        <v>70.436999999999998</v>
      </c>
      <c r="AM238">
        <v>8.9176000000000002</v>
      </c>
      <c r="AN238">
        <v>9.4000488020579382</v>
      </c>
      <c r="AO238">
        <v>1</v>
      </c>
      <c r="AP238">
        <v>6023.7392733347688</v>
      </c>
      <c r="AQ238">
        <v>1.098016605166052</v>
      </c>
      <c r="AR238">
        <v>6614.1656999999996</v>
      </c>
      <c r="AS238" s="60">
        <v>84225.282086227497</v>
      </c>
      <c r="AT238" t="s">
        <v>347</v>
      </c>
      <c r="AU238" t="s">
        <v>437</v>
      </c>
      <c r="AV238" t="s">
        <v>425</v>
      </c>
      <c r="AW238" t="s">
        <v>81</v>
      </c>
      <c r="AX238">
        <v>111.133</v>
      </c>
      <c r="AY238">
        <v>1.0541007448257309</v>
      </c>
      <c r="AZ238">
        <v>117.145378074718</v>
      </c>
      <c r="BA238">
        <v>640.82000000000005</v>
      </c>
      <c r="BB238">
        <v>1</v>
      </c>
      <c r="BC238">
        <v>75.069101177840764</v>
      </c>
      <c r="BD238">
        <v>0.93830000000000002</v>
      </c>
      <c r="BE238" s="62">
        <v>70.436999999999998</v>
      </c>
      <c r="BF238">
        <v>8.9176000000000002</v>
      </c>
      <c r="BG238">
        <v>1</v>
      </c>
      <c r="BH238">
        <v>6023.7392733347688</v>
      </c>
      <c r="BI238">
        <v>1.098016605166052</v>
      </c>
      <c r="BJ238" s="62">
        <v>6614.1656999999996</v>
      </c>
      <c r="BK238" s="60">
        <v>84225.282086227497</v>
      </c>
    </row>
    <row r="239" spans="1:63" x14ac:dyDescent="0.25">
      <c r="A239">
        <v>701</v>
      </c>
      <c r="B239" t="s">
        <v>150</v>
      </c>
      <c r="C239">
        <v>2019</v>
      </c>
      <c r="D239">
        <v>4</v>
      </c>
      <c r="E239" t="s">
        <v>100</v>
      </c>
      <c r="F239" t="s">
        <v>426</v>
      </c>
      <c r="G239" t="s">
        <v>427</v>
      </c>
      <c r="H239" t="s">
        <v>84</v>
      </c>
      <c r="I239" t="s">
        <v>428</v>
      </c>
      <c r="J239" t="s">
        <v>381</v>
      </c>
      <c r="K239">
        <v>-1557.0867358999999</v>
      </c>
      <c r="L239" t="s">
        <v>381</v>
      </c>
      <c r="M239" t="s">
        <v>385</v>
      </c>
      <c r="N239">
        <v>0.54567226407094005</v>
      </c>
      <c r="O239">
        <v>849.65904453338283</v>
      </c>
      <c r="P239" t="s">
        <v>440</v>
      </c>
      <c r="Q239">
        <v>2</v>
      </c>
      <c r="R239">
        <v>28.410399999999999</v>
      </c>
      <c r="S239">
        <v>6.0999999999999999E-2</v>
      </c>
      <c r="T239">
        <v>1.7330344</v>
      </c>
      <c r="U239">
        <v>0.98099999999999998</v>
      </c>
      <c r="V239">
        <v>1700.107</v>
      </c>
      <c r="W239">
        <v>2</v>
      </c>
      <c r="X239">
        <v>4.2014171000000002E-5</v>
      </c>
      <c r="Y239">
        <v>0.14285700000000001</v>
      </c>
      <c r="Z239" s="60">
        <v>121.37974199999999</v>
      </c>
      <c r="AA239" t="s">
        <v>347</v>
      </c>
      <c r="AB239" t="s">
        <v>437</v>
      </c>
      <c r="AC239" t="s">
        <v>425</v>
      </c>
      <c r="AD239" t="s">
        <v>27</v>
      </c>
      <c r="AE239">
        <v>111.133</v>
      </c>
      <c r="AF239">
        <v>1.0541007448257309</v>
      </c>
      <c r="AG239">
        <v>117.145378074718</v>
      </c>
      <c r="AH239">
        <v>640.82000000000005</v>
      </c>
      <c r="AI239">
        <v>1</v>
      </c>
      <c r="AJ239">
        <v>75.069101177840764</v>
      </c>
      <c r="AK239">
        <v>0.95889999999999997</v>
      </c>
      <c r="AL239" s="62">
        <v>71.983999999999995</v>
      </c>
      <c r="AM239">
        <v>8.9176000000000002</v>
      </c>
      <c r="AN239">
        <v>9.4000488020579382</v>
      </c>
      <c r="AO239">
        <v>1</v>
      </c>
      <c r="AP239">
        <v>6023.7392733347688</v>
      </c>
      <c r="AQ239">
        <v>0.99097621000820357</v>
      </c>
      <c r="AR239">
        <v>5969.3823000000002</v>
      </c>
      <c r="AS239" s="60">
        <v>724562.08347336657</v>
      </c>
      <c r="AT239" t="s">
        <v>347</v>
      </c>
      <c r="AU239" t="s">
        <v>437</v>
      </c>
      <c r="AV239" t="s">
        <v>425</v>
      </c>
      <c r="AW239" t="s">
        <v>27</v>
      </c>
      <c r="AX239">
        <v>111.133</v>
      </c>
      <c r="AY239">
        <v>1.0541007448257309</v>
      </c>
      <c r="AZ239">
        <v>117.145378074718</v>
      </c>
      <c r="BA239">
        <v>640.82000000000005</v>
      </c>
      <c r="BB239">
        <v>1</v>
      </c>
      <c r="BC239">
        <v>75.069101177840764</v>
      </c>
      <c r="BD239">
        <v>0.95889999999999997</v>
      </c>
      <c r="BE239" s="62">
        <v>71.983999999999995</v>
      </c>
      <c r="BF239">
        <v>8.9176000000000002</v>
      </c>
      <c r="BG239">
        <v>1</v>
      </c>
      <c r="BH239">
        <v>6023.7392733347688</v>
      </c>
      <c r="BI239">
        <v>0.99097621000820357</v>
      </c>
      <c r="BJ239" s="62">
        <v>5969.3823000000002</v>
      </c>
      <c r="BK239" s="60">
        <v>724562.08347336657</v>
      </c>
    </row>
    <row r="240" spans="1:63" x14ac:dyDescent="0.25">
      <c r="A240">
        <v>701</v>
      </c>
      <c r="B240" t="s">
        <v>150</v>
      </c>
      <c r="C240">
        <v>2019</v>
      </c>
      <c r="D240">
        <v>4</v>
      </c>
      <c r="E240" t="s">
        <v>100</v>
      </c>
      <c r="F240" t="s">
        <v>426</v>
      </c>
      <c r="G240" t="s">
        <v>427</v>
      </c>
      <c r="H240" t="s">
        <v>84</v>
      </c>
      <c r="I240" t="s">
        <v>429</v>
      </c>
      <c r="J240" t="s">
        <v>87</v>
      </c>
      <c r="K240">
        <v>-302.73858855999998</v>
      </c>
      <c r="L240" t="s">
        <v>87</v>
      </c>
      <c r="M240" t="s">
        <v>385</v>
      </c>
      <c r="N240">
        <v>0.46576586246383</v>
      </c>
      <c r="O240">
        <v>141.00529980173101</v>
      </c>
      <c r="P240" t="s">
        <v>440</v>
      </c>
      <c r="Q240">
        <v>2</v>
      </c>
      <c r="R240">
        <v>28.410399999999999</v>
      </c>
      <c r="S240">
        <v>6.0999999999999999E-2</v>
      </c>
      <c r="T240">
        <v>1.7330344</v>
      </c>
      <c r="U240">
        <v>0.98099999999999998</v>
      </c>
      <c r="V240">
        <v>1700.107</v>
      </c>
      <c r="W240">
        <v>2</v>
      </c>
      <c r="X240">
        <v>4.2014171000000002E-5</v>
      </c>
      <c r="Y240">
        <v>0.14285700000000001</v>
      </c>
      <c r="Z240" s="60">
        <v>20.143594</v>
      </c>
      <c r="AA240" t="s">
        <v>347</v>
      </c>
      <c r="AB240" t="s">
        <v>437</v>
      </c>
      <c r="AC240" t="s">
        <v>425</v>
      </c>
      <c r="AD240" t="s">
        <v>27</v>
      </c>
      <c r="AE240">
        <v>111.133</v>
      </c>
      <c r="AF240">
        <v>1.0541007448257309</v>
      </c>
      <c r="AG240">
        <v>117.145378074718</v>
      </c>
      <c r="AH240">
        <v>640.82000000000005</v>
      </c>
      <c r="AI240">
        <v>1</v>
      </c>
      <c r="AJ240">
        <v>75.069101177840764</v>
      </c>
      <c r="AK240">
        <v>0.95889999999999997</v>
      </c>
      <c r="AL240" s="62">
        <v>71.983999999999995</v>
      </c>
      <c r="AM240">
        <v>8.9176000000000002</v>
      </c>
      <c r="AN240">
        <v>9.4000488020579382</v>
      </c>
      <c r="AO240">
        <v>1</v>
      </c>
      <c r="AP240">
        <v>6023.7392733347688</v>
      </c>
      <c r="AQ240">
        <v>0.99097621000820357</v>
      </c>
      <c r="AR240">
        <v>5969.3823000000002</v>
      </c>
      <c r="AS240" s="60">
        <v>120244.8134819862</v>
      </c>
      <c r="AT240" t="s">
        <v>347</v>
      </c>
      <c r="AU240" t="s">
        <v>437</v>
      </c>
      <c r="AV240" t="s">
        <v>425</v>
      </c>
      <c r="AW240" t="s">
        <v>27</v>
      </c>
      <c r="AX240">
        <v>111.133</v>
      </c>
      <c r="AY240">
        <v>1.0541007448257309</v>
      </c>
      <c r="AZ240">
        <v>117.145378074718</v>
      </c>
      <c r="BA240">
        <v>640.82000000000005</v>
      </c>
      <c r="BB240">
        <v>1</v>
      </c>
      <c r="BC240">
        <v>75.069101177840764</v>
      </c>
      <c r="BD240">
        <v>0.95889999999999997</v>
      </c>
      <c r="BE240" s="62">
        <v>71.983999999999995</v>
      </c>
      <c r="BF240">
        <v>8.9176000000000002</v>
      </c>
      <c r="BG240">
        <v>1</v>
      </c>
      <c r="BH240">
        <v>6023.7392733347688</v>
      </c>
      <c r="BI240">
        <v>0.99097621000820357</v>
      </c>
      <c r="BJ240" s="62">
        <v>5969.3823000000002</v>
      </c>
      <c r="BK240" s="60">
        <v>120244.8134819862</v>
      </c>
    </row>
    <row r="241" spans="1:63" x14ac:dyDescent="0.25">
      <c r="A241">
        <v>701</v>
      </c>
      <c r="B241" t="s">
        <v>150</v>
      </c>
      <c r="C241">
        <v>2019</v>
      </c>
      <c r="D241">
        <v>4</v>
      </c>
      <c r="E241" t="s">
        <v>100</v>
      </c>
      <c r="F241" t="s">
        <v>426</v>
      </c>
      <c r="G241" t="s">
        <v>427</v>
      </c>
      <c r="H241" t="s">
        <v>84</v>
      </c>
      <c r="I241" t="s">
        <v>430</v>
      </c>
      <c r="J241" t="s">
        <v>59</v>
      </c>
      <c r="K241">
        <v>-893.85083488999999</v>
      </c>
      <c r="L241" t="s">
        <v>59</v>
      </c>
      <c r="M241" t="s">
        <v>385</v>
      </c>
      <c r="N241">
        <v>0.54314598235971001</v>
      </c>
      <c r="O241">
        <v>485.49148979937598</v>
      </c>
      <c r="P241" t="s">
        <v>440</v>
      </c>
      <c r="Q241">
        <v>2</v>
      </c>
      <c r="R241">
        <v>28.410399999999999</v>
      </c>
      <c r="S241">
        <v>6.0999999999999999E-2</v>
      </c>
      <c r="T241">
        <v>1.7330344</v>
      </c>
      <c r="U241">
        <v>0.98099999999999998</v>
      </c>
      <c r="V241">
        <v>1700.107</v>
      </c>
      <c r="W241">
        <v>2</v>
      </c>
      <c r="X241">
        <v>4.2014171000000002E-5</v>
      </c>
      <c r="Y241">
        <v>0.14285700000000001</v>
      </c>
      <c r="Z241" s="60">
        <v>69.355857999999998</v>
      </c>
      <c r="AA241" t="s">
        <v>347</v>
      </c>
      <c r="AB241" t="s">
        <v>437</v>
      </c>
      <c r="AC241" t="s">
        <v>425</v>
      </c>
      <c r="AD241" t="s">
        <v>27</v>
      </c>
      <c r="AE241">
        <v>111.133</v>
      </c>
      <c r="AF241">
        <v>1.0541007448257309</v>
      </c>
      <c r="AG241">
        <v>117.145378074718</v>
      </c>
      <c r="AH241">
        <v>640.82000000000005</v>
      </c>
      <c r="AI241">
        <v>1</v>
      </c>
      <c r="AJ241">
        <v>75.069101177840764</v>
      </c>
      <c r="AK241">
        <v>0.95889999999999997</v>
      </c>
      <c r="AL241" s="62">
        <v>71.983999999999995</v>
      </c>
      <c r="AM241">
        <v>8.9176000000000002</v>
      </c>
      <c r="AN241">
        <v>9.4000488020579382</v>
      </c>
      <c r="AO241">
        <v>1</v>
      </c>
      <c r="AP241">
        <v>6023.7392733347688</v>
      </c>
      <c r="AQ241">
        <v>0.99097621000820357</v>
      </c>
      <c r="AR241">
        <v>5969.3823000000002</v>
      </c>
      <c r="AS241" s="60">
        <v>414011.63114651339</v>
      </c>
      <c r="AT241" t="s">
        <v>347</v>
      </c>
      <c r="AU241" t="s">
        <v>437</v>
      </c>
      <c r="AV241" t="s">
        <v>425</v>
      </c>
      <c r="AW241" t="s">
        <v>27</v>
      </c>
      <c r="AX241">
        <v>111.133</v>
      </c>
      <c r="AY241">
        <v>1.0541007448257309</v>
      </c>
      <c r="AZ241">
        <v>117.145378074718</v>
      </c>
      <c r="BA241">
        <v>640.82000000000005</v>
      </c>
      <c r="BB241">
        <v>1</v>
      </c>
      <c r="BC241">
        <v>75.069101177840764</v>
      </c>
      <c r="BD241">
        <v>0.95889999999999997</v>
      </c>
      <c r="BE241" s="62">
        <v>71.983999999999995</v>
      </c>
      <c r="BF241">
        <v>8.9176000000000002</v>
      </c>
      <c r="BG241">
        <v>1</v>
      </c>
      <c r="BH241">
        <v>6023.7392733347688</v>
      </c>
      <c r="BI241">
        <v>0.99097621000820357</v>
      </c>
      <c r="BJ241" s="62">
        <v>5969.3823000000002</v>
      </c>
      <c r="BK241" s="60">
        <v>414011.63114651339</v>
      </c>
    </row>
    <row r="242" spans="1:63" x14ac:dyDescent="0.25">
      <c r="A242">
        <v>719</v>
      </c>
      <c r="B242" t="s">
        <v>152</v>
      </c>
      <c r="C242">
        <v>2019</v>
      </c>
      <c r="D242">
        <v>5</v>
      </c>
      <c r="E242" t="s">
        <v>100</v>
      </c>
      <c r="F242" t="s">
        <v>426</v>
      </c>
      <c r="G242" t="s">
        <v>427</v>
      </c>
      <c r="H242" t="s">
        <v>84</v>
      </c>
      <c r="I242" t="s">
        <v>428</v>
      </c>
      <c r="J242" t="s">
        <v>381</v>
      </c>
      <c r="K242">
        <v>-1771.75606309</v>
      </c>
      <c r="L242" t="s">
        <v>381</v>
      </c>
      <c r="M242" t="s">
        <v>384</v>
      </c>
      <c r="N242">
        <v>0.11701058843202</v>
      </c>
      <c r="O242">
        <v>207.31421950015999</v>
      </c>
      <c r="P242" t="s">
        <v>440</v>
      </c>
      <c r="Q242">
        <v>2</v>
      </c>
      <c r="R242">
        <v>28.410399999999999</v>
      </c>
      <c r="S242">
        <v>7.2999999999999995E-2</v>
      </c>
      <c r="T242">
        <v>2.0739592</v>
      </c>
      <c r="U242">
        <v>1.9E-2</v>
      </c>
      <c r="V242">
        <v>39.405000000000001</v>
      </c>
      <c r="W242">
        <v>2</v>
      </c>
      <c r="X242">
        <v>1.8126680120000001E-3</v>
      </c>
      <c r="Y242">
        <v>0.14285600000000001</v>
      </c>
      <c r="Z242" s="60">
        <v>29.61608</v>
      </c>
      <c r="AA242" t="s">
        <v>347</v>
      </c>
      <c r="AB242" t="s">
        <v>437</v>
      </c>
      <c r="AC242" t="s">
        <v>425</v>
      </c>
      <c r="AD242" t="s">
        <v>81</v>
      </c>
      <c r="AE242">
        <v>111.133</v>
      </c>
      <c r="AF242">
        <v>1.0541007448257309</v>
      </c>
      <c r="AG242">
        <v>117.145378074718</v>
      </c>
      <c r="AH242">
        <v>640.82000000000005</v>
      </c>
      <c r="AI242">
        <v>1</v>
      </c>
      <c r="AJ242">
        <v>75.069101177840764</v>
      </c>
      <c r="AK242">
        <v>0.93830000000000002</v>
      </c>
      <c r="AL242" s="62">
        <v>70.436999999999998</v>
      </c>
      <c r="AM242">
        <v>8.9176000000000002</v>
      </c>
      <c r="AN242">
        <v>9.4000488020579382</v>
      </c>
      <c r="AO242">
        <v>1</v>
      </c>
      <c r="AP242">
        <v>6023.7392733347688</v>
      </c>
      <c r="AQ242">
        <v>1.098016605166052</v>
      </c>
      <c r="AR242">
        <v>6614.1656999999996</v>
      </c>
      <c r="AS242" s="60">
        <v>195885.660504456</v>
      </c>
      <c r="AT242" t="s">
        <v>347</v>
      </c>
      <c r="AU242" t="s">
        <v>437</v>
      </c>
      <c r="AV242" t="s">
        <v>425</v>
      </c>
      <c r="AW242" t="s">
        <v>81</v>
      </c>
      <c r="AX242">
        <v>111.133</v>
      </c>
      <c r="AY242">
        <v>1.0541007448257309</v>
      </c>
      <c r="AZ242">
        <v>117.145378074718</v>
      </c>
      <c r="BA242">
        <v>640.82000000000005</v>
      </c>
      <c r="BB242">
        <v>1</v>
      </c>
      <c r="BC242">
        <v>75.069101177840764</v>
      </c>
      <c r="BD242">
        <v>0.93830000000000002</v>
      </c>
      <c r="BE242" s="62">
        <v>70.436999999999998</v>
      </c>
      <c r="BF242">
        <v>8.9176000000000002</v>
      </c>
      <c r="BG242">
        <v>1</v>
      </c>
      <c r="BH242">
        <v>6023.7392733347688</v>
      </c>
      <c r="BI242">
        <v>1.098016605166052</v>
      </c>
      <c r="BJ242" s="62">
        <v>6614.1656999999996</v>
      </c>
      <c r="BK242" s="60">
        <v>195885.660504456</v>
      </c>
    </row>
    <row r="243" spans="1:63" x14ac:dyDescent="0.25">
      <c r="A243">
        <v>719</v>
      </c>
      <c r="B243" t="s">
        <v>152</v>
      </c>
      <c r="C243">
        <v>2019</v>
      </c>
      <c r="D243">
        <v>5</v>
      </c>
      <c r="E243" t="s">
        <v>100</v>
      </c>
      <c r="F243" t="s">
        <v>426</v>
      </c>
      <c r="G243" t="s">
        <v>427</v>
      </c>
      <c r="H243" t="s">
        <v>84</v>
      </c>
      <c r="I243" t="s">
        <v>429</v>
      </c>
      <c r="J243" t="s">
        <v>87</v>
      </c>
      <c r="K243">
        <v>-324.73980827999998</v>
      </c>
      <c r="L243" t="s">
        <v>87</v>
      </c>
      <c r="M243" t="s">
        <v>384</v>
      </c>
      <c r="N243">
        <v>9.7514538339260007E-2</v>
      </c>
      <c r="O243">
        <v>31.666852484804</v>
      </c>
      <c r="P243" t="s">
        <v>440</v>
      </c>
      <c r="Q243">
        <v>2</v>
      </c>
      <c r="R243">
        <v>28.410399999999999</v>
      </c>
      <c r="S243">
        <v>7.2999999999999995E-2</v>
      </c>
      <c r="T243">
        <v>2.0739592</v>
      </c>
      <c r="U243">
        <v>1.9E-2</v>
      </c>
      <c r="V243">
        <v>39.405000000000001</v>
      </c>
      <c r="W243">
        <v>2</v>
      </c>
      <c r="X243">
        <v>1.8126680120000001E-3</v>
      </c>
      <c r="Y243">
        <v>0.14285600000000001</v>
      </c>
      <c r="Z243" s="60">
        <v>4.5237999999999996</v>
      </c>
      <c r="AA243" t="s">
        <v>347</v>
      </c>
      <c r="AB243" t="s">
        <v>437</v>
      </c>
      <c r="AC243" t="s">
        <v>425</v>
      </c>
      <c r="AD243" t="s">
        <v>81</v>
      </c>
      <c r="AE243">
        <v>111.133</v>
      </c>
      <c r="AF243">
        <v>1.0541007448257309</v>
      </c>
      <c r="AG243">
        <v>117.145378074718</v>
      </c>
      <c r="AH243">
        <v>640.82000000000005</v>
      </c>
      <c r="AI243">
        <v>1</v>
      </c>
      <c r="AJ243">
        <v>75.069101177840764</v>
      </c>
      <c r="AK243">
        <v>0.93830000000000002</v>
      </c>
      <c r="AL243" s="62">
        <v>70.436999999999998</v>
      </c>
      <c r="AM243">
        <v>8.9176000000000002</v>
      </c>
      <c r="AN243">
        <v>9.4000488020579382</v>
      </c>
      <c r="AO243">
        <v>1</v>
      </c>
      <c r="AP243">
        <v>6023.7392733347688</v>
      </c>
      <c r="AQ243">
        <v>1.098016605166052</v>
      </c>
      <c r="AR243">
        <v>6614.1656999999996</v>
      </c>
      <c r="AS243" s="60">
        <v>29921.162793659991</v>
      </c>
      <c r="AT243" t="s">
        <v>347</v>
      </c>
      <c r="AU243" t="s">
        <v>437</v>
      </c>
      <c r="AV243" t="s">
        <v>425</v>
      </c>
      <c r="AW243" t="s">
        <v>81</v>
      </c>
      <c r="AX243">
        <v>111.133</v>
      </c>
      <c r="AY243">
        <v>1.0541007448257309</v>
      </c>
      <c r="AZ243">
        <v>117.145378074718</v>
      </c>
      <c r="BA243">
        <v>640.82000000000005</v>
      </c>
      <c r="BB243">
        <v>1</v>
      </c>
      <c r="BC243">
        <v>75.069101177840764</v>
      </c>
      <c r="BD243">
        <v>0.93830000000000002</v>
      </c>
      <c r="BE243" s="62">
        <v>70.436999999999998</v>
      </c>
      <c r="BF243">
        <v>8.9176000000000002</v>
      </c>
      <c r="BG243">
        <v>1</v>
      </c>
      <c r="BH243">
        <v>6023.7392733347688</v>
      </c>
      <c r="BI243">
        <v>1.098016605166052</v>
      </c>
      <c r="BJ243" s="62">
        <v>6614.1656999999996</v>
      </c>
      <c r="BK243" s="60">
        <v>29921.162793659991</v>
      </c>
    </row>
    <row r="244" spans="1:63" x14ac:dyDescent="0.25">
      <c r="A244">
        <v>719</v>
      </c>
      <c r="B244" t="s">
        <v>152</v>
      </c>
      <c r="C244">
        <v>2019</v>
      </c>
      <c r="D244">
        <v>5</v>
      </c>
      <c r="E244" t="s">
        <v>100</v>
      </c>
      <c r="F244" t="s">
        <v>426</v>
      </c>
      <c r="G244" t="s">
        <v>427</v>
      </c>
      <c r="H244" t="s">
        <v>84</v>
      </c>
      <c r="I244" t="s">
        <v>430</v>
      </c>
      <c r="J244" t="s">
        <v>59</v>
      </c>
      <c r="K244">
        <v>-940.48549705000005</v>
      </c>
      <c r="L244" t="s">
        <v>59</v>
      </c>
      <c r="M244" t="s">
        <v>384</v>
      </c>
      <c r="N244">
        <v>9.9723560465200006E-2</v>
      </c>
      <c r="O244">
        <v>93.788562331709358</v>
      </c>
      <c r="P244" t="s">
        <v>440</v>
      </c>
      <c r="Q244">
        <v>2</v>
      </c>
      <c r="R244">
        <v>28.410399999999999</v>
      </c>
      <c r="S244">
        <v>7.2999999999999995E-2</v>
      </c>
      <c r="T244">
        <v>2.0739592</v>
      </c>
      <c r="U244">
        <v>1.9E-2</v>
      </c>
      <c r="V244">
        <v>39.405000000000001</v>
      </c>
      <c r="W244">
        <v>2</v>
      </c>
      <c r="X244">
        <v>1.8126680120000001E-3</v>
      </c>
      <c r="Y244">
        <v>0.14285600000000001</v>
      </c>
      <c r="Z244" s="60">
        <v>13.398258999999999</v>
      </c>
      <c r="AA244" t="s">
        <v>347</v>
      </c>
      <c r="AB244" t="s">
        <v>437</v>
      </c>
      <c r="AC244" t="s">
        <v>425</v>
      </c>
      <c r="AD244" t="s">
        <v>81</v>
      </c>
      <c r="AE244">
        <v>111.133</v>
      </c>
      <c r="AF244">
        <v>1.0541007448257309</v>
      </c>
      <c r="AG244">
        <v>117.145378074718</v>
      </c>
      <c r="AH244">
        <v>640.82000000000005</v>
      </c>
      <c r="AI244">
        <v>1</v>
      </c>
      <c r="AJ244">
        <v>75.069101177840764</v>
      </c>
      <c r="AK244">
        <v>0.93830000000000002</v>
      </c>
      <c r="AL244" s="62">
        <v>70.436999999999998</v>
      </c>
      <c r="AM244">
        <v>8.9176000000000002</v>
      </c>
      <c r="AN244">
        <v>9.4000488020579382</v>
      </c>
      <c r="AO244">
        <v>1</v>
      </c>
      <c r="AP244">
        <v>6023.7392733347688</v>
      </c>
      <c r="AQ244">
        <v>1.098016605166052</v>
      </c>
      <c r="AR244">
        <v>6614.1656999999996</v>
      </c>
      <c r="AS244" s="60">
        <v>88618.305117516284</v>
      </c>
      <c r="AT244" t="s">
        <v>347</v>
      </c>
      <c r="AU244" t="s">
        <v>437</v>
      </c>
      <c r="AV244" t="s">
        <v>425</v>
      </c>
      <c r="AW244" t="s">
        <v>81</v>
      </c>
      <c r="AX244">
        <v>111.133</v>
      </c>
      <c r="AY244">
        <v>1.0541007448257309</v>
      </c>
      <c r="AZ244">
        <v>117.145378074718</v>
      </c>
      <c r="BA244">
        <v>640.82000000000005</v>
      </c>
      <c r="BB244">
        <v>1</v>
      </c>
      <c r="BC244">
        <v>75.069101177840764</v>
      </c>
      <c r="BD244">
        <v>0.93830000000000002</v>
      </c>
      <c r="BE244" s="62">
        <v>70.436999999999998</v>
      </c>
      <c r="BF244">
        <v>8.9176000000000002</v>
      </c>
      <c r="BG244">
        <v>1</v>
      </c>
      <c r="BH244">
        <v>6023.7392733347688</v>
      </c>
      <c r="BI244">
        <v>1.098016605166052</v>
      </c>
      <c r="BJ244" s="62">
        <v>6614.1656999999996</v>
      </c>
      <c r="BK244" s="60">
        <v>88618.305117516284</v>
      </c>
    </row>
    <row r="245" spans="1:63" x14ac:dyDescent="0.25">
      <c r="A245">
        <v>721</v>
      </c>
      <c r="B245" t="s">
        <v>152</v>
      </c>
      <c r="C245">
        <v>2019</v>
      </c>
      <c r="D245">
        <v>5</v>
      </c>
      <c r="E245" t="s">
        <v>100</v>
      </c>
      <c r="F245" t="s">
        <v>426</v>
      </c>
      <c r="G245" t="s">
        <v>427</v>
      </c>
      <c r="H245" t="s">
        <v>84</v>
      </c>
      <c r="I245" t="s">
        <v>428</v>
      </c>
      <c r="J245" t="s">
        <v>381</v>
      </c>
      <c r="K245">
        <v>-1771.75606309</v>
      </c>
      <c r="L245" t="s">
        <v>381</v>
      </c>
      <c r="M245" t="s">
        <v>385</v>
      </c>
      <c r="N245">
        <v>0.54567226407076996</v>
      </c>
      <c r="O245">
        <v>966.79814232743433</v>
      </c>
      <c r="P245" t="s">
        <v>440</v>
      </c>
      <c r="Q245">
        <v>2</v>
      </c>
      <c r="R245">
        <v>28.410399999999999</v>
      </c>
      <c r="S245">
        <v>7.2999999999999995E-2</v>
      </c>
      <c r="T245">
        <v>2.0739592</v>
      </c>
      <c r="U245">
        <v>0.98099999999999998</v>
      </c>
      <c r="V245">
        <v>2034.5540000000001</v>
      </c>
      <c r="W245">
        <v>2</v>
      </c>
      <c r="X245">
        <v>3.5107731999999997E-5</v>
      </c>
      <c r="Y245">
        <v>0.14285700000000001</v>
      </c>
      <c r="Z245" s="60">
        <v>138.11388199999999</v>
      </c>
      <c r="AA245" t="s">
        <v>347</v>
      </c>
      <c r="AB245" t="s">
        <v>437</v>
      </c>
      <c r="AC245" t="s">
        <v>425</v>
      </c>
      <c r="AD245" t="s">
        <v>27</v>
      </c>
      <c r="AE245">
        <v>111.133</v>
      </c>
      <c r="AF245">
        <v>1.0541007448257309</v>
      </c>
      <c r="AG245">
        <v>117.145378074718</v>
      </c>
      <c r="AH245">
        <v>640.82000000000005</v>
      </c>
      <c r="AI245">
        <v>1</v>
      </c>
      <c r="AJ245">
        <v>75.069101177840764</v>
      </c>
      <c r="AK245">
        <v>0.95889999999999997</v>
      </c>
      <c r="AL245" s="62">
        <v>71.983999999999995</v>
      </c>
      <c r="AM245">
        <v>8.9176000000000002</v>
      </c>
      <c r="AN245">
        <v>9.4000488020579382</v>
      </c>
      <c r="AO245">
        <v>1</v>
      </c>
      <c r="AP245">
        <v>6023.7392733347688</v>
      </c>
      <c r="AQ245">
        <v>0.99097621000820357</v>
      </c>
      <c r="AR245">
        <v>5969.3823000000002</v>
      </c>
      <c r="AS245" s="60">
        <v>824454.56259508862</v>
      </c>
      <c r="AT245" t="s">
        <v>347</v>
      </c>
      <c r="AU245" t="s">
        <v>437</v>
      </c>
      <c r="AV245" t="s">
        <v>425</v>
      </c>
      <c r="AW245" t="s">
        <v>27</v>
      </c>
      <c r="AX245">
        <v>111.133</v>
      </c>
      <c r="AY245">
        <v>1.0541007448257309</v>
      </c>
      <c r="AZ245">
        <v>117.145378074718</v>
      </c>
      <c r="BA245">
        <v>640.82000000000005</v>
      </c>
      <c r="BB245">
        <v>1</v>
      </c>
      <c r="BC245">
        <v>75.069101177840764</v>
      </c>
      <c r="BD245">
        <v>0.95889999999999997</v>
      </c>
      <c r="BE245" s="62">
        <v>71.983999999999995</v>
      </c>
      <c r="BF245">
        <v>8.9176000000000002</v>
      </c>
      <c r="BG245">
        <v>1</v>
      </c>
      <c r="BH245">
        <v>6023.7392733347688</v>
      </c>
      <c r="BI245">
        <v>0.99097621000820357</v>
      </c>
      <c r="BJ245" s="62">
        <v>5969.3823000000002</v>
      </c>
      <c r="BK245" s="60">
        <v>824454.56259508862</v>
      </c>
    </row>
    <row r="246" spans="1:63" x14ac:dyDescent="0.25">
      <c r="A246">
        <v>721</v>
      </c>
      <c r="B246" t="s">
        <v>152</v>
      </c>
      <c r="C246">
        <v>2019</v>
      </c>
      <c r="D246">
        <v>5</v>
      </c>
      <c r="E246" t="s">
        <v>100</v>
      </c>
      <c r="F246" t="s">
        <v>426</v>
      </c>
      <c r="G246" t="s">
        <v>427</v>
      </c>
      <c r="H246" t="s">
        <v>84</v>
      </c>
      <c r="I246" t="s">
        <v>429</v>
      </c>
      <c r="J246" t="s">
        <v>87</v>
      </c>
      <c r="K246">
        <v>-324.73980827999998</v>
      </c>
      <c r="L246" t="s">
        <v>87</v>
      </c>
      <c r="M246" t="s">
        <v>385</v>
      </c>
      <c r="N246">
        <v>0.46576586246548002</v>
      </c>
      <c r="O246">
        <v>151.2527168804088</v>
      </c>
      <c r="P246" t="s">
        <v>440</v>
      </c>
      <c r="Q246">
        <v>2</v>
      </c>
      <c r="R246">
        <v>28.410399999999999</v>
      </c>
      <c r="S246">
        <v>7.2999999999999995E-2</v>
      </c>
      <c r="T246">
        <v>2.0739592</v>
      </c>
      <c r="U246">
        <v>0.98099999999999998</v>
      </c>
      <c r="V246">
        <v>2034.5540000000001</v>
      </c>
      <c r="W246">
        <v>2</v>
      </c>
      <c r="X246">
        <v>3.5107731999999997E-5</v>
      </c>
      <c r="Y246">
        <v>0.14285700000000001</v>
      </c>
      <c r="Z246" s="60">
        <v>21.607509</v>
      </c>
      <c r="AA246" t="s">
        <v>347</v>
      </c>
      <c r="AB246" t="s">
        <v>437</v>
      </c>
      <c r="AC246" t="s">
        <v>425</v>
      </c>
      <c r="AD246" t="s">
        <v>27</v>
      </c>
      <c r="AE246">
        <v>111.133</v>
      </c>
      <c r="AF246">
        <v>1.0541007448257309</v>
      </c>
      <c r="AG246">
        <v>117.145378074718</v>
      </c>
      <c r="AH246">
        <v>640.82000000000005</v>
      </c>
      <c r="AI246">
        <v>1</v>
      </c>
      <c r="AJ246">
        <v>75.069101177840764</v>
      </c>
      <c r="AK246">
        <v>0.95889999999999997</v>
      </c>
      <c r="AL246" s="62">
        <v>71.983999999999995</v>
      </c>
      <c r="AM246">
        <v>8.9176000000000002</v>
      </c>
      <c r="AN246">
        <v>9.4000488020579382</v>
      </c>
      <c r="AO246">
        <v>1</v>
      </c>
      <c r="AP246">
        <v>6023.7392733347688</v>
      </c>
      <c r="AQ246">
        <v>0.99097621000820357</v>
      </c>
      <c r="AR246">
        <v>5969.3823000000002</v>
      </c>
      <c r="AS246" s="60">
        <v>128983.4817716907</v>
      </c>
      <c r="AT246" t="s">
        <v>347</v>
      </c>
      <c r="AU246" t="s">
        <v>437</v>
      </c>
      <c r="AV246" t="s">
        <v>425</v>
      </c>
      <c r="AW246" t="s">
        <v>27</v>
      </c>
      <c r="AX246">
        <v>111.133</v>
      </c>
      <c r="AY246">
        <v>1.0541007448257309</v>
      </c>
      <c r="AZ246">
        <v>117.145378074718</v>
      </c>
      <c r="BA246">
        <v>640.82000000000005</v>
      </c>
      <c r="BB246">
        <v>1</v>
      </c>
      <c r="BC246">
        <v>75.069101177840764</v>
      </c>
      <c r="BD246">
        <v>0.95889999999999997</v>
      </c>
      <c r="BE246" s="62">
        <v>71.983999999999995</v>
      </c>
      <c r="BF246">
        <v>8.9176000000000002</v>
      </c>
      <c r="BG246">
        <v>1</v>
      </c>
      <c r="BH246">
        <v>6023.7392733347688</v>
      </c>
      <c r="BI246">
        <v>0.99097621000820357</v>
      </c>
      <c r="BJ246" s="62">
        <v>5969.3823000000002</v>
      </c>
      <c r="BK246" s="60">
        <v>128983.4817716907</v>
      </c>
    </row>
    <row r="247" spans="1:63" x14ac:dyDescent="0.25">
      <c r="A247">
        <v>721</v>
      </c>
      <c r="B247" t="s">
        <v>152</v>
      </c>
      <c r="C247">
        <v>2019</v>
      </c>
      <c r="D247">
        <v>5</v>
      </c>
      <c r="E247" t="s">
        <v>100</v>
      </c>
      <c r="F247" t="s">
        <v>426</v>
      </c>
      <c r="G247" t="s">
        <v>427</v>
      </c>
      <c r="H247" t="s">
        <v>84</v>
      </c>
      <c r="I247" t="s">
        <v>430</v>
      </c>
      <c r="J247" t="s">
        <v>59</v>
      </c>
      <c r="K247">
        <v>-940.48549705000005</v>
      </c>
      <c r="L247" t="s">
        <v>59</v>
      </c>
      <c r="M247" t="s">
        <v>385</v>
      </c>
      <c r="N247">
        <v>0.54314598236022005</v>
      </c>
      <c r="O247">
        <v>510.82091919076203</v>
      </c>
      <c r="P247" t="s">
        <v>440</v>
      </c>
      <c r="Q247">
        <v>2</v>
      </c>
      <c r="R247">
        <v>28.410399999999999</v>
      </c>
      <c r="S247">
        <v>7.2999999999999995E-2</v>
      </c>
      <c r="T247">
        <v>2.0739592</v>
      </c>
      <c r="U247">
        <v>0.98099999999999998</v>
      </c>
      <c r="V247">
        <v>2034.5540000000001</v>
      </c>
      <c r="W247">
        <v>2</v>
      </c>
      <c r="X247">
        <v>3.5107731999999997E-5</v>
      </c>
      <c r="Y247">
        <v>0.14285700000000001</v>
      </c>
      <c r="Z247" s="60">
        <v>72.974344000000002</v>
      </c>
      <c r="AA247" t="s">
        <v>347</v>
      </c>
      <c r="AB247" t="s">
        <v>437</v>
      </c>
      <c r="AC247" t="s">
        <v>425</v>
      </c>
      <c r="AD247" t="s">
        <v>27</v>
      </c>
      <c r="AE247">
        <v>111.133</v>
      </c>
      <c r="AF247">
        <v>1.0541007448257309</v>
      </c>
      <c r="AG247">
        <v>117.145378074718</v>
      </c>
      <c r="AH247">
        <v>640.82000000000005</v>
      </c>
      <c r="AI247">
        <v>1</v>
      </c>
      <c r="AJ247">
        <v>75.069101177840764</v>
      </c>
      <c r="AK247">
        <v>0.95889999999999997</v>
      </c>
      <c r="AL247" s="62">
        <v>71.983999999999995</v>
      </c>
      <c r="AM247">
        <v>8.9176000000000002</v>
      </c>
      <c r="AN247">
        <v>9.4000488020579382</v>
      </c>
      <c r="AO247">
        <v>1</v>
      </c>
      <c r="AP247">
        <v>6023.7392733347688</v>
      </c>
      <c r="AQ247">
        <v>0.99097621000820357</v>
      </c>
      <c r="AR247">
        <v>5969.3823000000002</v>
      </c>
      <c r="AS247" s="60">
        <v>435611.75742771121</v>
      </c>
      <c r="AT247" t="s">
        <v>347</v>
      </c>
      <c r="AU247" t="s">
        <v>437</v>
      </c>
      <c r="AV247" t="s">
        <v>425</v>
      </c>
      <c r="AW247" t="s">
        <v>27</v>
      </c>
      <c r="AX247">
        <v>111.133</v>
      </c>
      <c r="AY247">
        <v>1.0541007448257309</v>
      </c>
      <c r="AZ247">
        <v>117.145378074718</v>
      </c>
      <c r="BA247">
        <v>640.82000000000005</v>
      </c>
      <c r="BB247">
        <v>1</v>
      </c>
      <c r="BC247">
        <v>75.069101177840764</v>
      </c>
      <c r="BD247">
        <v>0.95889999999999997</v>
      </c>
      <c r="BE247" s="62">
        <v>71.983999999999995</v>
      </c>
      <c r="BF247">
        <v>8.9176000000000002</v>
      </c>
      <c r="BG247">
        <v>1</v>
      </c>
      <c r="BH247">
        <v>6023.7392733347688</v>
      </c>
      <c r="BI247">
        <v>0.99097621000820357</v>
      </c>
      <c r="BJ247" s="62">
        <v>5969.3823000000002</v>
      </c>
      <c r="BK247" s="60">
        <v>435611.75742771121</v>
      </c>
    </row>
    <row r="248" spans="1:63" x14ac:dyDescent="0.25">
      <c r="A248">
        <v>745</v>
      </c>
      <c r="B248" t="s">
        <v>153</v>
      </c>
      <c r="C248">
        <v>2019</v>
      </c>
      <c r="D248">
        <v>6</v>
      </c>
      <c r="E248" t="s">
        <v>100</v>
      </c>
      <c r="F248" t="s">
        <v>426</v>
      </c>
      <c r="G248" t="s">
        <v>427</v>
      </c>
      <c r="H248" t="s">
        <v>84</v>
      </c>
      <c r="I248" t="s">
        <v>428</v>
      </c>
      <c r="J248" t="s">
        <v>381</v>
      </c>
      <c r="K248">
        <v>-1769.62136893</v>
      </c>
      <c r="L248" t="s">
        <v>381</v>
      </c>
      <c r="M248" t="s">
        <v>384</v>
      </c>
      <c r="N248">
        <v>0.11701058843182</v>
      </c>
      <c r="O248">
        <v>207.06443768002211</v>
      </c>
      <c r="P248" t="s">
        <v>440</v>
      </c>
      <c r="Q248">
        <v>2</v>
      </c>
      <c r="R248">
        <v>28.410399999999999</v>
      </c>
      <c r="S248">
        <v>7.0000000000000007E-2</v>
      </c>
      <c r="T248">
        <v>1.9887280000000001</v>
      </c>
      <c r="U248">
        <v>1.9E-2</v>
      </c>
      <c r="V248">
        <v>37.786000000000001</v>
      </c>
      <c r="W248">
        <v>2</v>
      </c>
      <c r="X248">
        <v>1.890352021E-3</v>
      </c>
      <c r="Y248">
        <v>0.14285800000000001</v>
      </c>
      <c r="Z248" s="60">
        <v>29.580811000000001</v>
      </c>
      <c r="AA248" t="s">
        <v>347</v>
      </c>
      <c r="AB248" t="s">
        <v>437</v>
      </c>
      <c r="AC248" t="s">
        <v>425</v>
      </c>
      <c r="AD248" t="s">
        <v>81</v>
      </c>
      <c r="AE248">
        <v>111.133</v>
      </c>
      <c r="AF248">
        <v>1.0541007448257309</v>
      </c>
      <c r="AG248">
        <v>117.145378074718</v>
      </c>
      <c r="AH248">
        <v>640.82000000000005</v>
      </c>
      <c r="AI248">
        <v>1</v>
      </c>
      <c r="AJ248">
        <v>75.069101177840764</v>
      </c>
      <c r="AK248">
        <v>0.93830000000000002</v>
      </c>
      <c r="AL248" s="62">
        <v>70.436999999999998</v>
      </c>
      <c r="AM248">
        <v>8.9176000000000002</v>
      </c>
      <c r="AN248">
        <v>9.4000488020579382</v>
      </c>
      <c r="AO248">
        <v>1</v>
      </c>
      <c r="AP248">
        <v>6023.7392733347688</v>
      </c>
      <c r="AQ248">
        <v>1.098016605166052</v>
      </c>
      <c r="AR248">
        <v>6614.1656999999996</v>
      </c>
      <c r="AS248" s="60">
        <v>195652.3854943827</v>
      </c>
      <c r="AT248" t="s">
        <v>347</v>
      </c>
      <c r="AU248" t="s">
        <v>437</v>
      </c>
      <c r="AV248" t="s">
        <v>425</v>
      </c>
      <c r="AW248" t="s">
        <v>81</v>
      </c>
      <c r="AX248">
        <v>111.133</v>
      </c>
      <c r="AY248">
        <v>1.0541007448257309</v>
      </c>
      <c r="AZ248">
        <v>117.145378074718</v>
      </c>
      <c r="BA248">
        <v>640.82000000000005</v>
      </c>
      <c r="BB248">
        <v>1</v>
      </c>
      <c r="BC248">
        <v>75.069101177840764</v>
      </c>
      <c r="BD248">
        <v>0.93830000000000002</v>
      </c>
      <c r="BE248" s="62">
        <v>70.436999999999998</v>
      </c>
      <c r="BF248">
        <v>8.9176000000000002</v>
      </c>
      <c r="BG248">
        <v>1</v>
      </c>
      <c r="BH248">
        <v>6023.7392733347688</v>
      </c>
      <c r="BI248">
        <v>1.098016605166052</v>
      </c>
      <c r="BJ248" s="62">
        <v>6614.1656999999996</v>
      </c>
      <c r="BK248" s="60">
        <v>195652.3854943827</v>
      </c>
    </row>
    <row r="249" spans="1:63" x14ac:dyDescent="0.25">
      <c r="A249">
        <v>745</v>
      </c>
      <c r="B249" t="s">
        <v>153</v>
      </c>
      <c r="C249">
        <v>2019</v>
      </c>
      <c r="D249">
        <v>6</v>
      </c>
      <c r="E249" t="s">
        <v>100</v>
      </c>
      <c r="F249" t="s">
        <v>426</v>
      </c>
      <c r="G249" t="s">
        <v>427</v>
      </c>
      <c r="H249" t="s">
        <v>84</v>
      </c>
      <c r="I249" t="s">
        <v>429</v>
      </c>
      <c r="J249" t="s">
        <v>87</v>
      </c>
      <c r="K249">
        <v>-317.62866365000002</v>
      </c>
      <c r="L249" t="s">
        <v>87</v>
      </c>
      <c r="M249" t="s">
        <v>384</v>
      </c>
      <c r="N249">
        <v>9.7514538343120002E-2</v>
      </c>
      <c r="O249">
        <v>30.973412500371889</v>
      </c>
      <c r="P249" t="s">
        <v>440</v>
      </c>
      <c r="Q249">
        <v>2</v>
      </c>
      <c r="R249">
        <v>28.410399999999999</v>
      </c>
      <c r="S249">
        <v>7.0000000000000007E-2</v>
      </c>
      <c r="T249">
        <v>1.9887280000000001</v>
      </c>
      <c r="U249">
        <v>1.9E-2</v>
      </c>
      <c r="V249">
        <v>37.786000000000001</v>
      </c>
      <c r="W249">
        <v>2</v>
      </c>
      <c r="X249">
        <v>1.890352021E-3</v>
      </c>
      <c r="Y249">
        <v>0.14285800000000001</v>
      </c>
      <c r="Z249" s="60">
        <v>4.4248000000000003</v>
      </c>
      <c r="AA249" t="s">
        <v>347</v>
      </c>
      <c r="AB249" t="s">
        <v>437</v>
      </c>
      <c r="AC249" t="s">
        <v>425</v>
      </c>
      <c r="AD249" t="s">
        <v>81</v>
      </c>
      <c r="AE249">
        <v>111.133</v>
      </c>
      <c r="AF249">
        <v>1.0541007448257309</v>
      </c>
      <c r="AG249">
        <v>117.145378074718</v>
      </c>
      <c r="AH249">
        <v>640.82000000000005</v>
      </c>
      <c r="AI249">
        <v>1</v>
      </c>
      <c r="AJ249">
        <v>75.069101177840764</v>
      </c>
      <c r="AK249">
        <v>0.93830000000000002</v>
      </c>
      <c r="AL249" s="62">
        <v>70.436999999999998</v>
      </c>
      <c r="AM249">
        <v>8.9176000000000002</v>
      </c>
      <c r="AN249">
        <v>9.4000488020579382</v>
      </c>
      <c r="AO249">
        <v>1</v>
      </c>
      <c r="AP249">
        <v>6023.7392733347688</v>
      </c>
      <c r="AQ249">
        <v>1.098016605166052</v>
      </c>
      <c r="AR249">
        <v>6614.1656999999996</v>
      </c>
      <c r="AS249" s="60">
        <v>29266.360389360001</v>
      </c>
      <c r="AT249" t="s">
        <v>347</v>
      </c>
      <c r="AU249" t="s">
        <v>437</v>
      </c>
      <c r="AV249" t="s">
        <v>425</v>
      </c>
      <c r="AW249" t="s">
        <v>81</v>
      </c>
      <c r="AX249">
        <v>111.133</v>
      </c>
      <c r="AY249">
        <v>1.0541007448257309</v>
      </c>
      <c r="AZ249">
        <v>117.145378074718</v>
      </c>
      <c r="BA249">
        <v>640.82000000000005</v>
      </c>
      <c r="BB249">
        <v>1</v>
      </c>
      <c r="BC249">
        <v>75.069101177840764</v>
      </c>
      <c r="BD249">
        <v>0.93830000000000002</v>
      </c>
      <c r="BE249" s="62">
        <v>70.436999999999998</v>
      </c>
      <c r="BF249">
        <v>8.9176000000000002</v>
      </c>
      <c r="BG249">
        <v>1</v>
      </c>
      <c r="BH249">
        <v>6023.7392733347688</v>
      </c>
      <c r="BI249">
        <v>1.098016605166052</v>
      </c>
      <c r="BJ249" s="62">
        <v>6614.1656999999996</v>
      </c>
      <c r="BK249" s="60">
        <v>29266.360389360001</v>
      </c>
    </row>
    <row r="250" spans="1:63" x14ac:dyDescent="0.25">
      <c r="A250">
        <v>745</v>
      </c>
      <c r="B250" t="s">
        <v>153</v>
      </c>
      <c r="C250">
        <v>2019</v>
      </c>
      <c r="D250">
        <v>6</v>
      </c>
      <c r="E250" t="s">
        <v>100</v>
      </c>
      <c r="F250" t="s">
        <v>426</v>
      </c>
      <c r="G250" t="s">
        <v>427</v>
      </c>
      <c r="H250" t="s">
        <v>84</v>
      </c>
      <c r="I250" t="s">
        <v>430</v>
      </c>
      <c r="J250" t="s">
        <v>59</v>
      </c>
      <c r="K250">
        <v>-892.01417231000005</v>
      </c>
      <c r="L250" t="s">
        <v>59</v>
      </c>
      <c r="M250" t="s">
        <v>384</v>
      </c>
      <c r="N250">
        <v>9.972356046519E-2</v>
      </c>
      <c r="O250">
        <v>88.954829248162696</v>
      </c>
      <c r="P250" t="s">
        <v>440</v>
      </c>
      <c r="Q250">
        <v>2</v>
      </c>
      <c r="R250">
        <v>28.410399999999999</v>
      </c>
      <c r="S250">
        <v>7.0000000000000007E-2</v>
      </c>
      <c r="T250">
        <v>1.9887280000000001</v>
      </c>
      <c r="U250">
        <v>1.9E-2</v>
      </c>
      <c r="V250">
        <v>37.786000000000001</v>
      </c>
      <c r="W250">
        <v>2</v>
      </c>
      <c r="X250">
        <v>1.890352021E-3</v>
      </c>
      <c r="Y250">
        <v>0.14285800000000001</v>
      </c>
      <c r="Z250" s="60">
        <v>12.707909000000001</v>
      </c>
      <c r="AA250" t="s">
        <v>347</v>
      </c>
      <c r="AB250" t="s">
        <v>437</v>
      </c>
      <c r="AC250" t="s">
        <v>425</v>
      </c>
      <c r="AD250" t="s">
        <v>81</v>
      </c>
      <c r="AE250">
        <v>111.133</v>
      </c>
      <c r="AF250">
        <v>1.0541007448257309</v>
      </c>
      <c r="AG250">
        <v>117.145378074718</v>
      </c>
      <c r="AH250">
        <v>640.82000000000005</v>
      </c>
      <c r="AI250">
        <v>1</v>
      </c>
      <c r="AJ250">
        <v>75.069101177840764</v>
      </c>
      <c r="AK250">
        <v>0.93830000000000002</v>
      </c>
      <c r="AL250" s="62">
        <v>70.436999999999998</v>
      </c>
      <c r="AM250">
        <v>8.9176000000000002</v>
      </c>
      <c r="AN250">
        <v>9.4000488020579382</v>
      </c>
      <c r="AO250">
        <v>1</v>
      </c>
      <c r="AP250">
        <v>6023.7392733347688</v>
      </c>
      <c r="AQ250">
        <v>1.098016605166052</v>
      </c>
      <c r="AR250">
        <v>6614.1656999999996</v>
      </c>
      <c r="AS250" s="60">
        <v>84052.215826521293</v>
      </c>
      <c r="AT250" t="s">
        <v>347</v>
      </c>
      <c r="AU250" t="s">
        <v>437</v>
      </c>
      <c r="AV250" t="s">
        <v>425</v>
      </c>
      <c r="AW250" t="s">
        <v>81</v>
      </c>
      <c r="AX250">
        <v>111.133</v>
      </c>
      <c r="AY250">
        <v>1.0541007448257309</v>
      </c>
      <c r="AZ250">
        <v>117.145378074718</v>
      </c>
      <c r="BA250">
        <v>640.82000000000005</v>
      </c>
      <c r="BB250">
        <v>1</v>
      </c>
      <c r="BC250">
        <v>75.069101177840764</v>
      </c>
      <c r="BD250">
        <v>0.93830000000000002</v>
      </c>
      <c r="BE250" s="62">
        <v>70.436999999999998</v>
      </c>
      <c r="BF250">
        <v>8.9176000000000002</v>
      </c>
      <c r="BG250">
        <v>1</v>
      </c>
      <c r="BH250">
        <v>6023.7392733347688</v>
      </c>
      <c r="BI250">
        <v>1.098016605166052</v>
      </c>
      <c r="BJ250" s="62">
        <v>6614.1656999999996</v>
      </c>
      <c r="BK250" s="60">
        <v>84052.215826521293</v>
      </c>
    </row>
    <row r="251" spans="1:63" x14ac:dyDescent="0.25">
      <c r="A251">
        <v>747</v>
      </c>
      <c r="B251" t="s">
        <v>153</v>
      </c>
      <c r="C251">
        <v>2019</v>
      </c>
      <c r="D251">
        <v>6</v>
      </c>
      <c r="E251" t="s">
        <v>100</v>
      </c>
      <c r="F251" t="s">
        <v>426</v>
      </c>
      <c r="G251" t="s">
        <v>427</v>
      </c>
      <c r="H251" t="s">
        <v>84</v>
      </c>
      <c r="I251" t="s">
        <v>428</v>
      </c>
      <c r="J251" t="s">
        <v>381</v>
      </c>
      <c r="K251">
        <v>-1769.62136893</v>
      </c>
      <c r="L251" t="s">
        <v>381</v>
      </c>
      <c r="M251" t="s">
        <v>385</v>
      </c>
      <c r="N251">
        <v>0.54567226407052005</v>
      </c>
      <c r="O251">
        <v>965.63329893160608</v>
      </c>
      <c r="P251" t="s">
        <v>440</v>
      </c>
      <c r="Q251">
        <v>2</v>
      </c>
      <c r="R251">
        <v>28.410399999999999</v>
      </c>
      <c r="S251">
        <v>7.0000000000000007E-2</v>
      </c>
      <c r="T251">
        <v>1.9887280000000001</v>
      </c>
      <c r="U251">
        <v>0.98099999999999998</v>
      </c>
      <c r="V251">
        <v>1950.942</v>
      </c>
      <c r="W251">
        <v>2</v>
      </c>
      <c r="X251">
        <v>3.6612349999999999E-5</v>
      </c>
      <c r="Y251">
        <v>0.14285700000000001</v>
      </c>
      <c r="Z251" s="60">
        <v>137.94747599999999</v>
      </c>
      <c r="AA251" t="s">
        <v>347</v>
      </c>
      <c r="AB251" t="s">
        <v>437</v>
      </c>
      <c r="AC251" t="s">
        <v>425</v>
      </c>
      <c r="AD251" t="s">
        <v>27</v>
      </c>
      <c r="AE251">
        <v>111.133</v>
      </c>
      <c r="AF251">
        <v>1.0541007448257309</v>
      </c>
      <c r="AG251">
        <v>117.145378074718</v>
      </c>
      <c r="AH251">
        <v>640.82000000000005</v>
      </c>
      <c r="AI251">
        <v>1</v>
      </c>
      <c r="AJ251">
        <v>75.069101177840764</v>
      </c>
      <c r="AK251">
        <v>0.95889999999999997</v>
      </c>
      <c r="AL251" s="62">
        <v>71.983999999999995</v>
      </c>
      <c r="AM251">
        <v>8.9176000000000002</v>
      </c>
      <c r="AN251">
        <v>9.4000488020579382</v>
      </c>
      <c r="AO251">
        <v>1</v>
      </c>
      <c r="AP251">
        <v>6023.7392733347688</v>
      </c>
      <c r="AQ251">
        <v>0.99097621000820357</v>
      </c>
      <c r="AR251">
        <v>5969.3823000000002</v>
      </c>
      <c r="AS251" s="60">
        <v>823461.22156407475</v>
      </c>
      <c r="AT251" t="s">
        <v>347</v>
      </c>
      <c r="AU251" t="s">
        <v>437</v>
      </c>
      <c r="AV251" t="s">
        <v>425</v>
      </c>
      <c r="AW251" t="s">
        <v>27</v>
      </c>
      <c r="AX251">
        <v>111.133</v>
      </c>
      <c r="AY251">
        <v>1.0541007448257309</v>
      </c>
      <c r="AZ251">
        <v>117.145378074718</v>
      </c>
      <c r="BA251">
        <v>640.82000000000005</v>
      </c>
      <c r="BB251">
        <v>1</v>
      </c>
      <c r="BC251">
        <v>75.069101177840764</v>
      </c>
      <c r="BD251">
        <v>0.95889999999999997</v>
      </c>
      <c r="BE251" s="62">
        <v>71.983999999999995</v>
      </c>
      <c r="BF251">
        <v>8.9176000000000002</v>
      </c>
      <c r="BG251">
        <v>1</v>
      </c>
      <c r="BH251">
        <v>6023.7392733347688</v>
      </c>
      <c r="BI251">
        <v>0.99097621000820357</v>
      </c>
      <c r="BJ251" s="62">
        <v>5969.3823000000002</v>
      </c>
      <c r="BK251" s="60">
        <v>823461.22156407475</v>
      </c>
    </row>
    <row r="252" spans="1:63" x14ac:dyDescent="0.25">
      <c r="A252">
        <v>747</v>
      </c>
      <c r="B252" t="s">
        <v>153</v>
      </c>
      <c r="C252">
        <v>2019</v>
      </c>
      <c r="D252">
        <v>6</v>
      </c>
      <c r="E252" t="s">
        <v>100</v>
      </c>
      <c r="F252" t="s">
        <v>426</v>
      </c>
      <c r="G252" t="s">
        <v>427</v>
      </c>
      <c r="H252" t="s">
        <v>84</v>
      </c>
      <c r="I252" t="s">
        <v>429</v>
      </c>
      <c r="J252" t="s">
        <v>87</v>
      </c>
      <c r="K252">
        <v>-317.62866365000002</v>
      </c>
      <c r="L252" t="s">
        <v>87</v>
      </c>
      <c r="M252" t="s">
        <v>385</v>
      </c>
      <c r="N252">
        <v>0.46576586246503998</v>
      </c>
      <c r="O252">
        <v>147.94058846856029</v>
      </c>
      <c r="P252" t="s">
        <v>440</v>
      </c>
      <c r="Q252">
        <v>2</v>
      </c>
      <c r="R252">
        <v>28.410399999999999</v>
      </c>
      <c r="S252">
        <v>7.0000000000000007E-2</v>
      </c>
      <c r="T252">
        <v>1.9887280000000001</v>
      </c>
      <c r="U252">
        <v>0.98099999999999998</v>
      </c>
      <c r="V252">
        <v>1950.942</v>
      </c>
      <c r="W252">
        <v>2</v>
      </c>
      <c r="X252">
        <v>3.6612349999999999E-5</v>
      </c>
      <c r="Y252">
        <v>0.14285700000000001</v>
      </c>
      <c r="Z252" s="60">
        <v>21.134349</v>
      </c>
      <c r="AA252" t="s">
        <v>347</v>
      </c>
      <c r="AB252" t="s">
        <v>437</v>
      </c>
      <c r="AC252" t="s">
        <v>425</v>
      </c>
      <c r="AD252" t="s">
        <v>27</v>
      </c>
      <c r="AE252">
        <v>111.133</v>
      </c>
      <c r="AF252">
        <v>1.0541007448257309</v>
      </c>
      <c r="AG252">
        <v>117.145378074718</v>
      </c>
      <c r="AH252">
        <v>640.82000000000005</v>
      </c>
      <c r="AI252">
        <v>1</v>
      </c>
      <c r="AJ252">
        <v>75.069101177840764</v>
      </c>
      <c r="AK252">
        <v>0.95889999999999997</v>
      </c>
      <c r="AL252" s="62">
        <v>71.983999999999995</v>
      </c>
      <c r="AM252">
        <v>8.9176000000000002</v>
      </c>
      <c r="AN252">
        <v>9.4000488020579382</v>
      </c>
      <c r="AO252">
        <v>1</v>
      </c>
      <c r="AP252">
        <v>6023.7392733347688</v>
      </c>
      <c r="AQ252">
        <v>0.99097621000820357</v>
      </c>
      <c r="AR252">
        <v>5969.3823000000002</v>
      </c>
      <c r="AS252" s="60">
        <v>126159.0088426227</v>
      </c>
      <c r="AT252" t="s">
        <v>347</v>
      </c>
      <c r="AU252" t="s">
        <v>437</v>
      </c>
      <c r="AV252" t="s">
        <v>425</v>
      </c>
      <c r="AW252" t="s">
        <v>27</v>
      </c>
      <c r="AX252">
        <v>111.133</v>
      </c>
      <c r="AY252">
        <v>1.0541007448257309</v>
      </c>
      <c r="AZ252">
        <v>117.145378074718</v>
      </c>
      <c r="BA252">
        <v>640.82000000000005</v>
      </c>
      <c r="BB252">
        <v>1</v>
      </c>
      <c r="BC252">
        <v>75.069101177840764</v>
      </c>
      <c r="BD252">
        <v>0.95889999999999997</v>
      </c>
      <c r="BE252" s="62">
        <v>71.983999999999995</v>
      </c>
      <c r="BF252">
        <v>8.9176000000000002</v>
      </c>
      <c r="BG252">
        <v>1</v>
      </c>
      <c r="BH252">
        <v>6023.7392733347688</v>
      </c>
      <c r="BI252">
        <v>0.99097621000820357</v>
      </c>
      <c r="BJ252" s="62">
        <v>5969.3823000000002</v>
      </c>
      <c r="BK252" s="60">
        <v>126159.0088426227</v>
      </c>
    </row>
    <row r="253" spans="1:63" x14ac:dyDescent="0.25">
      <c r="A253">
        <v>747</v>
      </c>
      <c r="B253" t="s">
        <v>153</v>
      </c>
      <c r="C253">
        <v>2019</v>
      </c>
      <c r="D253">
        <v>6</v>
      </c>
      <c r="E253" t="s">
        <v>100</v>
      </c>
      <c r="F253" t="s">
        <v>426</v>
      </c>
      <c r="G253" t="s">
        <v>427</v>
      </c>
      <c r="H253" t="s">
        <v>84</v>
      </c>
      <c r="I253" t="s">
        <v>430</v>
      </c>
      <c r="J253" t="s">
        <v>59</v>
      </c>
      <c r="K253">
        <v>-892.01417231000005</v>
      </c>
      <c r="L253" t="s">
        <v>59</v>
      </c>
      <c r="M253" t="s">
        <v>385</v>
      </c>
      <c r="N253">
        <v>0.54314598235913003</v>
      </c>
      <c r="O253">
        <v>484.49391389758131</v>
      </c>
      <c r="P253" t="s">
        <v>440</v>
      </c>
      <c r="Q253">
        <v>2</v>
      </c>
      <c r="R253">
        <v>28.410399999999999</v>
      </c>
      <c r="S253">
        <v>7.0000000000000007E-2</v>
      </c>
      <c r="T253">
        <v>1.9887280000000001</v>
      </c>
      <c r="U253">
        <v>0.98099999999999998</v>
      </c>
      <c r="V253">
        <v>1950.942</v>
      </c>
      <c r="W253">
        <v>2</v>
      </c>
      <c r="X253">
        <v>3.6612349999999999E-5</v>
      </c>
      <c r="Y253">
        <v>0.14285700000000001</v>
      </c>
      <c r="Z253" s="60">
        <v>69.213346999999999</v>
      </c>
      <c r="AA253" t="s">
        <v>347</v>
      </c>
      <c r="AB253" t="s">
        <v>437</v>
      </c>
      <c r="AC253" t="s">
        <v>425</v>
      </c>
      <c r="AD253" t="s">
        <v>27</v>
      </c>
      <c r="AE253">
        <v>111.133</v>
      </c>
      <c r="AF253">
        <v>1.0541007448257309</v>
      </c>
      <c r="AG253">
        <v>117.145378074718</v>
      </c>
      <c r="AH253">
        <v>640.82000000000005</v>
      </c>
      <c r="AI253">
        <v>1</v>
      </c>
      <c r="AJ253">
        <v>75.069101177840764</v>
      </c>
      <c r="AK253">
        <v>0.95889999999999997</v>
      </c>
      <c r="AL253" s="62">
        <v>71.983999999999995</v>
      </c>
      <c r="AM253">
        <v>8.9176000000000002</v>
      </c>
      <c r="AN253">
        <v>9.4000488020579382</v>
      </c>
      <c r="AO253">
        <v>1</v>
      </c>
      <c r="AP253">
        <v>6023.7392733347688</v>
      </c>
      <c r="AQ253">
        <v>0.99097621000820357</v>
      </c>
      <c r="AR253">
        <v>5969.3823000000002</v>
      </c>
      <c r="AS253" s="60">
        <v>413160.92850555811</v>
      </c>
      <c r="AT253" t="s">
        <v>347</v>
      </c>
      <c r="AU253" t="s">
        <v>437</v>
      </c>
      <c r="AV253" t="s">
        <v>425</v>
      </c>
      <c r="AW253" t="s">
        <v>27</v>
      </c>
      <c r="AX253">
        <v>111.133</v>
      </c>
      <c r="AY253">
        <v>1.0541007448257309</v>
      </c>
      <c r="AZ253">
        <v>117.145378074718</v>
      </c>
      <c r="BA253">
        <v>640.82000000000005</v>
      </c>
      <c r="BB253">
        <v>1</v>
      </c>
      <c r="BC253">
        <v>75.069101177840764</v>
      </c>
      <c r="BD253">
        <v>0.95889999999999997</v>
      </c>
      <c r="BE253" s="62">
        <v>71.983999999999995</v>
      </c>
      <c r="BF253">
        <v>8.9176000000000002</v>
      </c>
      <c r="BG253">
        <v>1</v>
      </c>
      <c r="BH253">
        <v>6023.7392733347688</v>
      </c>
      <c r="BI253">
        <v>0.99097621000820357</v>
      </c>
      <c r="BJ253" s="62">
        <v>5969.3823000000002</v>
      </c>
      <c r="BK253" s="60">
        <v>413160.92850555811</v>
      </c>
    </row>
    <row r="254" spans="1:63" x14ac:dyDescent="0.25">
      <c r="A254">
        <v>765</v>
      </c>
      <c r="B254" t="s">
        <v>146</v>
      </c>
      <c r="C254">
        <v>2019</v>
      </c>
      <c r="D254">
        <v>7</v>
      </c>
      <c r="E254" t="s">
        <v>100</v>
      </c>
      <c r="F254" t="s">
        <v>426</v>
      </c>
      <c r="G254" t="s">
        <v>427</v>
      </c>
      <c r="H254" t="s">
        <v>84</v>
      </c>
      <c r="I254" t="s">
        <v>428</v>
      </c>
      <c r="J254" t="s">
        <v>381</v>
      </c>
      <c r="K254">
        <v>-1893.91390331</v>
      </c>
      <c r="L254" t="s">
        <v>381</v>
      </c>
      <c r="M254" t="s">
        <v>384</v>
      </c>
      <c r="N254">
        <v>0.11701058843226</v>
      </c>
      <c r="O254">
        <v>221.60798026634151</v>
      </c>
      <c r="P254" t="s">
        <v>440</v>
      </c>
      <c r="Q254">
        <v>2</v>
      </c>
      <c r="R254">
        <v>28.410399999999999</v>
      </c>
      <c r="S254">
        <v>7.4999999999999997E-2</v>
      </c>
      <c r="T254">
        <v>2.1307800000000001</v>
      </c>
      <c r="U254">
        <v>1.9E-2</v>
      </c>
      <c r="V254">
        <v>40.484999999999999</v>
      </c>
      <c r="W254">
        <v>2</v>
      </c>
      <c r="X254">
        <v>1.7643281089999999E-3</v>
      </c>
      <c r="Y254">
        <v>0.14285800000000001</v>
      </c>
      <c r="Z254" s="60">
        <v>31.658473000000001</v>
      </c>
      <c r="AA254" t="s">
        <v>347</v>
      </c>
      <c r="AB254" t="s">
        <v>437</v>
      </c>
      <c r="AC254" t="s">
        <v>425</v>
      </c>
      <c r="AD254" t="s">
        <v>81</v>
      </c>
      <c r="AE254">
        <v>111.133</v>
      </c>
      <c r="AF254">
        <v>1.0541007448257309</v>
      </c>
      <c r="AG254">
        <v>117.145378074718</v>
      </c>
      <c r="AH254">
        <v>640.82000000000005</v>
      </c>
      <c r="AI254">
        <v>1</v>
      </c>
      <c r="AJ254">
        <v>75.069101177840764</v>
      </c>
      <c r="AK254">
        <v>0.93830000000000002</v>
      </c>
      <c r="AL254" s="62">
        <v>70.436999999999998</v>
      </c>
      <c r="AM254">
        <v>8.9176000000000002</v>
      </c>
      <c r="AN254">
        <v>9.4000488020579382</v>
      </c>
      <c r="AO254">
        <v>1</v>
      </c>
      <c r="AP254">
        <v>6023.7392733347688</v>
      </c>
      <c r="AQ254">
        <v>1.098016605166052</v>
      </c>
      <c r="AR254">
        <v>6614.1656999999996</v>
      </c>
      <c r="AS254" s="60">
        <v>209394.38623097609</v>
      </c>
      <c r="AT254" t="s">
        <v>347</v>
      </c>
      <c r="AU254" t="s">
        <v>437</v>
      </c>
      <c r="AV254" t="s">
        <v>425</v>
      </c>
      <c r="AW254" t="s">
        <v>81</v>
      </c>
      <c r="AX254">
        <v>111.133</v>
      </c>
      <c r="AY254">
        <v>1.0541007448257309</v>
      </c>
      <c r="AZ254">
        <v>117.145378074718</v>
      </c>
      <c r="BA254">
        <v>640.82000000000005</v>
      </c>
      <c r="BB254">
        <v>1</v>
      </c>
      <c r="BC254">
        <v>75.069101177840764</v>
      </c>
      <c r="BD254">
        <v>0.93830000000000002</v>
      </c>
      <c r="BE254" s="62">
        <v>70.436999999999998</v>
      </c>
      <c r="BF254">
        <v>8.9176000000000002</v>
      </c>
      <c r="BG254">
        <v>1</v>
      </c>
      <c r="BH254">
        <v>6023.7392733347688</v>
      </c>
      <c r="BI254">
        <v>1.098016605166052</v>
      </c>
      <c r="BJ254" s="62">
        <v>6614.1656999999996</v>
      </c>
      <c r="BK254" s="60">
        <v>209394.38623097609</v>
      </c>
    </row>
    <row r="255" spans="1:63" x14ac:dyDescent="0.25">
      <c r="A255">
        <v>765</v>
      </c>
      <c r="B255" t="s">
        <v>146</v>
      </c>
      <c r="C255">
        <v>2019</v>
      </c>
      <c r="D255">
        <v>7</v>
      </c>
      <c r="E255" t="s">
        <v>100</v>
      </c>
      <c r="F255" t="s">
        <v>426</v>
      </c>
      <c r="G255" t="s">
        <v>427</v>
      </c>
      <c r="H255" t="s">
        <v>84</v>
      </c>
      <c r="I255" t="s">
        <v>429</v>
      </c>
      <c r="J255" t="s">
        <v>87</v>
      </c>
      <c r="K255">
        <v>-340.87577729999998</v>
      </c>
      <c r="L255" t="s">
        <v>87</v>
      </c>
      <c r="M255" t="s">
        <v>384</v>
      </c>
      <c r="N255">
        <v>9.7514538343159998E-2</v>
      </c>
      <c r="O255">
        <v>33.240344055775317</v>
      </c>
      <c r="P255" t="s">
        <v>440</v>
      </c>
      <c r="Q255">
        <v>2</v>
      </c>
      <c r="R255">
        <v>28.410399999999999</v>
      </c>
      <c r="S255">
        <v>7.4999999999999997E-2</v>
      </c>
      <c r="T255">
        <v>2.1307800000000001</v>
      </c>
      <c r="U255">
        <v>1.9E-2</v>
      </c>
      <c r="V255">
        <v>40.484999999999999</v>
      </c>
      <c r="W255">
        <v>2</v>
      </c>
      <c r="X255">
        <v>1.7643281089999999E-3</v>
      </c>
      <c r="Y255">
        <v>0.14285800000000001</v>
      </c>
      <c r="Z255" s="60">
        <v>4.7486490000000003</v>
      </c>
      <c r="AA255" t="s">
        <v>347</v>
      </c>
      <c r="AB255" t="s">
        <v>437</v>
      </c>
      <c r="AC255" t="s">
        <v>425</v>
      </c>
      <c r="AD255" t="s">
        <v>81</v>
      </c>
      <c r="AE255">
        <v>111.133</v>
      </c>
      <c r="AF255">
        <v>1.0541007448257309</v>
      </c>
      <c r="AG255">
        <v>117.145378074718</v>
      </c>
      <c r="AH255">
        <v>640.82000000000005</v>
      </c>
      <c r="AI255">
        <v>1</v>
      </c>
      <c r="AJ255">
        <v>75.069101177840764</v>
      </c>
      <c r="AK255">
        <v>0.93830000000000002</v>
      </c>
      <c r="AL255" s="62">
        <v>70.436999999999998</v>
      </c>
      <c r="AM255">
        <v>8.9176000000000002</v>
      </c>
      <c r="AN255">
        <v>9.4000488020579382</v>
      </c>
      <c r="AO255">
        <v>1</v>
      </c>
      <c r="AP255">
        <v>6023.7392733347688</v>
      </c>
      <c r="AQ255">
        <v>1.098016605166052</v>
      </c>
      <c r="AR255">
        <v>6614.1656999999996</v>
      </c>
      <c r="AS255" s="60">
        <v>31408.351337139298</v>
      </c>
      <c r="AT255" t="s">
        <v>347</v>
      </c>
      <c r="AU255" t="s">
        <v>437</v>
      </c>
      <c r="AV255" t="s">
        <v>425</v>
      </c>
      <c r="AW255" t="s">
        <v>81</v>
      </c>
      <c r="AX255">
        <v>111.133</v>
      </c>
      <c r="AY255">
        <v>1.0541007448257309</v>
      </c>
      <c r="AZ255">
        <v>117.145378074718</v>
      </c>
      <c r="BA255">
        <v>640.82000000000005</v>
      </c>
      <c r="BB255">
        <v>1</v>
      </c>
      <c r="BC255">
        <v>75.069101177840764</v>
      </c>
      <c r="BD255">
        <v>0.93830000000000002</v>
      </c>
      <c r="BE255" s="62">
        <v>70.436999999999998</v>
      </c>
      <c r="BF255">
        <v>8.9176000000000002</v>
      </c>
      <c r="BG255">
        <v>1</v>
      </c>
      <c r="BH255">
        <v>6023.7392733347688</v>
      </c>
      <c r="BI255">
        <v>1.098016605166052</v>
      </c>
      <c r="BJ255" s="62">
        <v>6614.1656999999996</v>
      </c>
      <c r="BK255" s="60">
        <v>31408.351337139298</v>
      </c>
    </row>
    <row r="256" spans="1:63" x14ac:dyDescent="0.25">
      <c r="A256">
        <v>765</v>
      </c>
      <c r="B256" t="s">
        <v>146</v>
      </c>
      <c r="C256">
        <v>2019</v>
      </c>
      <c r="D256">
        <v>7</v>
      </c>
      <c r="E256" t="s">
        <v>100</v>
      </c>
      <c r="F256" t="s">
        <v>426</v>
      </c>
      <c r="G256" t="s">
        <v>427</v>
      </c>
      <c r="H256" t="s">
        <v>84</v>
      </c>
      <c r="I256" t="s">
        <v>430</v>
      </c>
      <c r="J256" t="s">
        <v>59</v>
      </c>
      <c r="K256">
        <v>-992.24269938999998</v>
      </c>
      <c r="L256" t="s">
        <v>59</v>
      </c>
      <c r="M256" t="s">
        <v>384</v>
      </c>
      <c r="N256">
        <v>9.9723560465100003E-2</v>
      </c>
      <c r="O256">
        <v>98.949974828672708</v>
      </c>
      <c r="P256" t="s">
        <v>440</v>
      </c>
      <c r="Q256">
        <v>2</v>
      </c>
      <c r="R256">
        <v>28.410399999999999</v>
      </c>
      <c r="S256">
        <v>7.4999999999999997E-2</v>
      </c>
      <c r="T256">
        <v>2.1307800000000001</v>
      </c>
      <c r="U256">
        <v>1.9E-2</v>
      </c>
      <c r="V256">
        <v>40.484999999999999</v>
      </c>
      <c r="W256">
        <v>2</v>
      </c>
      <c r="X256">
        <v>1.7643281089999999E-3</v>
      </c>
      <c r="Y256">
        <v>0.14285800000000001</v>
      </c>
      <c r="Z256" s="60">
        <v>14.135795999999999</v>
      </c>
      <c r="AA256" t="s">
        <v>347</v>
      </c>
      <c r="AB256" t="s">
        <v>437</v>
      </c>
      <c r="AC256" t="s">
        <v>425</v>
      </c>
      <c r="AD256" t="s">
        <v>81</v>
      </c>
      <c r="AE256">
        <v>111.133</v>
      </c>
      <c r="AF256">
        <v>1.0541007448257309</v>
      </c>
      <c r="AG256">
        <v>117.145378074718</v>
      </c>
      <c r="AH256">
        <v>640.82000000000005</v>
      </c>
      <c r="AI256">
        <v>1</v>
      </c>
      <c r="AJ256">
        <v>75.069101177840764</v>
      </c>
      <c r="AK256">
        <v>0.93830000000000002</v>
      </c>
      <c r="AL256" s="62">
        <v>70.436999999999998</v>
      </c>
      <c r="AM256">
        <v>8.9176000000000002</v>
      </c>
      <c r="AN256">
        <v>9.4000488020579382</v>
      </c>
      <c r="AO256">
        <v>1</v>
      </c>
      <c r="AP256">
        <v>6023.7392733347688</v>
      </c>
      <c r="AQ256">
        <v>1.098016605166052</v>
      </c>
      <c r="AR256">
        <v>6614.1656999999996</v>
      </c>
      <c r="AS256" s="60">
        <v>93496.497045397191</v>
      </c>
      <c r="AT256" t="s">
        <v>347</v>
      </c>
      <c r="AU256" t="s">
        <v>437</v>
      </c>
      <c r="AV256" t="s">
        <v>425</v>
      </c>
      <c r="AW256" t="s">
        <v>81</v>
      </c>
      <c r="AX256">
        <v>111.133</v>
      </c>
      <c r="AY256">
        <v>1.0541007448257309</v>
      </c>
      <c r="AZ256">
        <v>117.145378074718</v>
      </c>
      <c r="BA256">
        <v>640.82000000000005</v>
      </c>
      <c r="BB256">
        <v>1</v>
      </c>
      <c r="BC256">
        <v>75.069101177840764</v>
      </c>
      <c r="BD256">
        <v>0.93830000000000002</v>
      </c>
      <c r="BE256" s="62">
        <v>70.436999999999998</v>
      </c>
      <c r="BF256">
        <v>8.9176000000000002</v>
      </c>
      <c r="BG256">
        <v>1</v>
      </c>
      <c r="BH256">
        <v>6023.7392733347688</v>
      </c>
      <c r="BI256">
        <v>1.098016605166052</v>
      </c>
      <c r="BJ256" s="62">
        <v>6614.1656999999996</v>
      </c>
      <c r="BK256" s="60">
        <v>93496.497045397191</v>
      </c>
    </row>
    <row r="257" spans="1:63" x14ac:dyDescent="0.25">
      <c r="A257">
        <v>767</v>
      </c>
      <c r="B257" t="s">
        <v>146</v>
      </c>
      <c r="C257">
        <v>2019</v>
      </c>
      <c r="D257">
        <v>7</v>
      </c>
      <c r="E257" t="s">
        <v>100</v>
      </c>
      <c r="F257" t="s">
        <v>426</v>
      </c>
      <c r="G257" t="s">
        <v>427</v>
      </c>
      <c r="H257" t="s">
        <v>84</v>
      </c>
      <c r="I257" t="s">
        <v>428</v>
      </c>
      <c r="J257" t="s">
        <v>381</v>
      </c>
      <c r="K257">
        <v>-1893.91390331</v>
      </c>
      <c r="L257" t="s">
        <v>381</v>
      </c>
      <c r="M257" t="s">
        <v>385</v>
      </c>
      <c r="N257">
        <v>0.54567226407081004</v>
      </c>
      <c r="O257">
        <v>1033.4562875743529</v>
      </c>
      <c r="P257" t="s">
        <v>440</v>
      </c>
      <c r="Q257">
        <v>2</v>
      </c>
      <c r="R257">
        <v>28.410399999999999</v>
      </c>
      <c r="S257">
        <v>7.4999999999999997E-2</v>
      </c>
      <c r="T257">
        <v>2.1307800000000001</v>
      </c>
      <c r="U257">
        <v>0.98099999999999998</v>
      </c>
      <c r="V257">
        <v>2090.2950000000001</v>
      </c>
      <c r="W257">
        <v>2</v>
      </c>
      <c r="X257">
        <v>3.4171526999999997E-5</v>
      </c>
      <c r="Y257">
        <v>0.14285700000000001</v>
      </c>
      <c r="Z257" s="60">
        <v>147.63646499999999</v>
      </c>
      <c r="AA257" t="s">
        <v>347</v>
      </c>
      <c r="AB257" t="s">
        <v>437</v>
      </c>
      <c r="AC257" t="s">
        <v>425</v>
      </c>
      <c r="AD257" t="s">
        <v>27</v>
      </c>
      <c r="AE257">
        <v>111.133</v>
      </c>
      <c r="AF257">
        <v>1.0541007448257309</v>
      </c>
      <c r="AG257">
        <v>117.145378074718</v>
      </c>
      <c r="AH257">
        <v>640.82000000000005</v>
      </c>
      <c r="AI257">
        <v>1</v>
      </c>
      <c r="AJ257">
        <v>75.069101177840764</v>
      </c>
      <c r="AK257">
        <v>0.95889999999999997</v>
      </c>
      <c r="AL257" s="62">
        <v>71.983999999999995</v>
      </c>
      <c r="AM257">
        <v>8.9176000000000002</v>
      </c>
      <c r="AN257">
        <v>9.4000488020579382</v>
      </c>
      <c r="AO257">
        <v>1</v>
      </c>
      <c r="AP257">
        <v>6023.7392733347688</v>
      </c>
      <c r="AQ257">
        <v>0.99097621000820357</v>
      </c>
      <c r="AR257">
        <v>5969.3823000000002</v>
      </c>
      <c r="AS257" s="60">
        <v>881298.50100556947</v>
      </c>
      <c r="AT257" t="s">
        <v>347</v>
      </c>
      <c r="AU257" t="s">
        <v>437</v>
      </c>
      <c r="AV257" t="s">
        <v>425</v>
      </c>
      <c r="AW257" t="s">
        <v>27</v>
      </c>
      <c r="AX257">
        <v>111.133</v>
      </c>
      <c r="AY257">
        <v>1.0541007448257309</v>
      </c>
      <c r="AZ257">
        <v>117.145378074718</v>
      </c>
      <c r="BA257">
        <v>640.82000000000005</v>
      </c>
      <c r="BB257">
        <v>1</v>
      </c>
      <c r="BC257">
        <v>75.069101177840764</v>
      </c>
      <c r="BD257">
        <v>0.95889999999999997</v>
      </c>
      <c r="BE257" s="62">
        <v>71.983999999999995</v>
      </c>
      <c r="BF257">
        <v>8.9176000000000002</v>
      </c>
      <c r="BG257">
        <v>1</v>
      </c>
      <c r="BH257">
        <v>6023.7392733347688</v>
      </c>
      <c r="BI257">
        <v>0.99097621000820357</v>
      </c>
      <c r="BJ257" s="62">
        <v>5969.3823000000002</v>
      </c>
      <c r="BK257" s="60">
        <v>881298.50100556947</v>
      </c>
    </row>
    <row r="258" spans="1:63" x14ac:dyDescent="0.25">
      <c r="A258">
        <v>767</v>
      </c>
      <c r="B258" t="s">
        <v>146</v>
      </c>
      <c r="C258">
        <v>2019</v>
      </c>
      <c r="D258">
        <v>7</v>
      </c>
      <c r="E258" t="s">
        <v>100</v>
      </c>
      <c r="F258" t="s">
        <v>426</v>
      </c>
      <c r="G258" t="s">
        <v>427</v>
      </c>
      <c r="H258" t="s">
        <v>84</v>
      </c>
      <c r="I258" t="s">
        <v>429</v>
      </c>
      <c r="J258" t="s">
        <v>87</v>
      </c>
      <c r="K258">
        <v>-340.87577729999998</v>
      </c>
      <c r="L258" t="s">
        <v>87</v>
      </c>
      <c r="M258" t="s">
        <v>385</v>
      </c>
      <c r="N258">
        <v>0.46576586245766999</v>
      </c>
      <c r="O258">
        <v>158.76830040506309</v>
      </c>
      <c r="P258" t="s">
        <v>440</v>
      </c>
      <c r="Q258">
        <v>2</v>
      </c>
      <c r="R258">
        <v>28.410399999999999</v>
      </c>
      <c r="S258">
        <v>7.4999999999999997E-2</v>
      </c>
      <c r="T258">
        <v>2.1307800000000001</v>
      </c>
      <c r="U258">
        <v>0.98099999999999998</v>
      </c>
      <c r="V258">
        <v>2090.2950000000001</v>
      </c>
      <c r="W258">
        <v>2</v>
      </c>
      <c r="X258">
        <v>3.4171526999999997E-5</v>
      </c>
      <c r="Y258">
        <v>0.14285700000000001</v>
      </c>
      <c r="Z258" s="60">
        <v>22.681163000000002</v>
      </c>
      <c r="AA258" t="s">
        <v>347</v>
      </c>
      <c r="AB258" t="s">
        <v>437</v>
      </c>
      <c r="AC258" t="s">
        <v>425</v>
      </c>
      <c r="AD258" t="s">
        <v>27</v>
      </c>
      <c r="AE258">
        <v>111.133</v>
      </c>
      <c r="AF258">
        <v>1.0541007448257309</v>
      </c>
      <c r="AG258">
        <v>117.145378074718</v>
      </c>
      <c r="AH258">
        <v>640.82000000000005</v>
      </c>
      <c r="AI258">
        <v>1</v>
      </c>
      <c r="AJ258">
        <v>75.069101177840764</v>
      </c>
      <c r="AK258">
        <v>0.95889999999999997</v>
      </c>
      <c r="AL258" s="62">
        <v>71.983999999999995</v>
      </c>
      <c r="AM258">
        <v>8.9176000000000002</v>
      </c>
      <c r="AN258">
        <v>9.4000488020579382</v>
      </c>
      <c r="AO258">
        <v>1</v>
      </c>
      <c r="AP258">
        <v>6023.7392733347688</v>
      </c>
      <c r="AQ258">
        <v>0.99097621000820357</v>
      </c>
      <c r="AR258">
        <v>5969.3823000000002</v>
      </c>
      <c r="AS258" s="60">
        <v>135392.53295561491</v>
      </c>
      <c r="AT258" t="s">
        <v>347</v>
      </c>
      <c r="AU258" t="s">
        <v>437</v>
      </c>
      <c r="AV258" t="s">
        <v>425</v>
      </c>
      <c r="AW258" t="s">
        <v>27</v>
      </c>
      <c r="AX258">
        <v>111.133</v>
      </c>
      <c r="AY258">
        <v>1.0541007448257309</v>
      </c>
      <c r="AZ258">
        <v>117.145378074718</v>
      </c>
      <c r="BA258">
        <v>640.82000000000005</v>
      </c>
      <c r="BB258">
        <v>1</v>
      </c>
      <c r="BC258">
        <v>75.069101177840764</v>
      </c>
      <c r="BD258">
        <v>0.95889999999999997</v>
      </c>
      <c r="BE258" s="62">
        <v>71.983999999999995</v>
      </c>
      <c r="BF258">
        <v>8.9176000000000002</v>
      </c>
      <c r="BG258">
        <v>1</v>
      </c>
      <c r="BH258">
        <v>6023.7392733347688</v>
      </c>
      <c r="BI258">
        <v>0.99097621000820357</v>
      </c>
      <c r="BJ258" s="62">
        <v>5969.3823000000002</v>
      </c>
      <c r="BK258" s="60">
        <v>135392.53295561491</v>
      </c>
    </row>
    <row r="259" spans="1:63" x14ac:dyDescent="0.25">
      <c r="A259">
        <v>767</v>
      </c>
      <c r="B259" t="s">
        <v>146</v>
      </c>
      <c r="C259">
        <v>2019</v>
      </c>
      <c r="D259">
        <v>7</v>
      </c>
      <c r="E259" t="s">
        <v>100</v>
      </c>
      <c r="F259" t="s">
        <v>426</v>
      </c>
      <c r="G259" t="s">
        <v>427</v>
      </c>
      <c r="H259" t="s">
        <v>84</v>
      </c>
      <c r="I259" t="s">
        <v>430</v>
      </c>
      <c r="J259" t="s">
        <v>59</v>
      </c>
      <c r="K259">
        <v>-992.24269938999998</v>
      </c>
      <c r="L259" t="s">
        <v>59</v>
      </c>
      <c r="M259" t="s">
        <v>385</v>
      </c>
      <c r="N259">
        <v>0.54314598235948996</v>
      </c>
      <c r="O259">
        <v>538.93263569921373</v>
      </c>
      <c r="P259" t="s">
        <v>440</v>
      </c>
      <c r="Q259">
        <v>2</v>
      </c>
      <c r="R259">
        <v>28.410399999999999</v>
      </c>
      <c r="S259">
        <v>7.4999999999999997E-2</v>
      </c>
      <c r="T259">
        <v>2.1307800000000001</v>
      </c>
      <c r="U259">
        <v>0.98099999999999998</v>
      </c>
      <c r="V259">
        <v>2090.2950000000001</v>
      </c>
      <c r="W259">
        <v>2</v>
      </c>
      <c r="X259">
        <v>3.4171526999999997E-5</v>
      </c>
      <c r="Y259">
        <v>0.14285700000000001</v>
      </c>
      <c r="Z259" s="60">
        <v>76.990300000000005</v>
      </c>
      <c r="AA259" t="s">
        <v>347</v>
      </c>
      <c r="AB259" t="s">
        <v>437</v>
      </c>
      <c r="AC259" t="s">
        <v>425</v>
      </c>
      <c r="AD259" t="s">
        <v>27</v>
      </c>
      <c r="AE259">
        <v>111.133</v>
      </c>
      <c r="AF259">
        <v>1.0541007448257309</v>
      </c>
      <c r="AG259">
        <v>117.145378074718</v>
      </c>
      <c r="AH259">
        <v>640.82000000000005</v>
      </c>
      <c r="AI259">
        <v>1</v>
      </c>
      <c r="AJ259">
        <v>75.069101177840764</v>
      </c>
      <c r="AK259">
        <v>0.95889999999999997</v>
      </c>
      <c r="AL259" s="62">
        <v>71.983999999999995</v>
      </c>
      <c r="AM259">
        <v>8.9176000000000002</v>
      </c>
      <c r="AN259">
        <v>9.4000488020579382</v>
      </c>
      <c r="AO259">
        <v>1</v>
      </c>
      <c r="AP259">
        <v>6023.7392733347688</v>
      </c>
      <c r="AQ259">
        <v>0.99097621000820357</v>
      </c>
      <c r="AR259">
        <v>5969.3823000000002</v>
      </c>
      <c r="AS259" s="60">
        <v>459584.53409168997</v>
      </c>
      <c r="AT259" t="s">
        <v>347</v>
      </c>
      <c r="AU259" t="s">
        <v>437</v>
      </c>
      <c r="AV259" t="s">
        <v>425</v>
      </c>
      <c r="AW259" t="s">
        <v>27</v>
      </c>
      <c r="AX259">
        <v>111.133</v>
      </c>
      <c r="AY259">
        <v>1.0541007448257309</v>
      </c>
      <c r="AZ259">
        <v>117.145378074718</v>
      </c>
      <c r="BA259">
        <v>640.82000000000005</v>
      </c>
      <c r="BB259">
        <v>1</v>
      </c>
      <c r="BC259">
        <v>75.069101177840764</v>
      </c>
      <c r="BD259">
        <v>0.95889999999999997</v>
      </c>
      <c r="BE259" s="62">
        <v>71.983999999999995</v>
      </c>
      <c r="BF259">
        <v>8.9176000000000002</v>
      </c>
      <c r="BG259">
        <v>1</v>
      </c>
      <c r="BH259">
        <v>6023.7392733347688</v>
      </c>
      <c r="BI259">
        <v>0.99097621000820357</v>
      </c>
      <c r="BJ259" s="62">
        <v>5969.3823000000002</v>
      </c>
      <c r="BK259" s="60">
        <v>459584.53409168997</v>
      </c>
    </row>
    <row r="260" spans="1:63" x14ac:dyDescent="0.25">
      <c r="A260">
        <v>785</v>
      </c>
      <c r="B260" t="s">
        <v>151</v>
      </c>
      <c r="C260">
        <v>2019</v>
      </c>
      <c r="D260">
        <v>8</v>
      </c>
      <c r="E260" t="s">
        <v>100</v>
      </c>
      <c r="F260" t="s">
        <v>426</v>
      </c>
      <c r="G260" t="s">
        <v>427</v>
      </c>
      <c r="H260" t="s">
        <v>84</v>
      </c>
      <c r="I260" t="s">
        <v>428</v>
      </c>
      <c r="J260" t="s">
        <v>381</v>
      </c>
      <c r="K260">
        <v>-1771.0203117200001</v>
      </c>
      <c r="L260" t="s">
        <v>381</v>
      </c>
      <c r="M260" t="s">
        <v>384</v>
      </c>
      <c r="N260">
        <v>0.11701058843235</v>
      </c>
      <c r="O260">
        <v>207.22812880000109</v>
      </c>
      <c r="P260" t="s">
        <v>440</v>
      </c>
      <c r="Q260">
        <v>2</v>
      </c>
      <c r="R260">
        <v>28.410399999999999</v>
      </c>
      <c r="S260">
        <v>5.5E-2</v>
      </c>
      <c r="T260">
        <v>1.5625720000000001</v>
      </c>
      <c r="U260">
        <v>1.9E-2</v>
      </c>
      <c r="V260">
        <v>29.689</v>
      </c>
      <c r="W260">
        <v>2</v>
      </c>
      <c r="X260">
        <v>2.4059050530000001E-3</v>
      </c>
      <c r="Y260">
        <v>0.14285800000000001</v>
      </c>
      <c r="Z260" s="60">
        <v>29.604196000000002</v>
      </c>
      <c r="AA260" t="s">
        <v>347</v>
      </c>
      <c r="AB260" t="s">
        <v>437</v>
      </c>
      <c r="AC260" t="s">
        <v>425</v>
      </c>
      <c r="AD260" t="s">
        <v>81</v>
      </c>
      <c r="AE260">
        <v>111.133</v>
      </c>
      <c r="AF260">
        <v>1.0541007448257309</v>
      </c>
      <c r="AG260">
        <v>117.145378074718</v>
      </c>
      <c r="AH260">
        <v>640.82000000000005</v>
      </c>
      <c r="AI260">
        <v>1</v>
      </c>
      <c r="AJ260">
        <v>75.069101177840764</v>
      </c>
      <c r="AK260">
        <v>0.93830000000000002</v>
      </c>
      <c r="AL260" s="62">
        <v>70.436999999999998</v>
      </c>
      <c r="AM260">
        <v>8.9176000000000002</v>
      </c>
      <c r="AN260">
        <v>9.4000488020579382</v>
      </c>
      <c r="AO260">
        <v>1</v>
      </c>
      <c r="AP260">
        <v>6023.7392733347688</v>
      </c>
      <c r="AQ260">
        <v>1.098016605166052</v>
      </c>
      <c r="AR260">
        <v>6614.1656999999996</v>
      </c>
      <c r="AS260" s="60">
        <v>195807.0577592772</v>
      </c>
      <c r="AT260" t="s">
        <v>347</v>
      </c>
      <c r="AU260" t="s">
        <v>437</v>
      </c>
      <c r="AV260" t="s">
        <v>425</v>
      </c>
      <c r="AW260" t="s">
        <v>81</v>
      </c>
      <c r="AX260">
        <v>111.133</v>
      </c>
      <c r="AY260">
        <v>1.0541007448257309</v>
      </c>
      <c r="AZ260">
        <v>117.145378074718</v>
      </c>
      <c r="BA260">
        <v>640.82000000000005</v>
      </c>
      <c r="BB260">
        <v>1</v>
      </c>
      <c r="BC260">
        <v>75.069101177840764</v>
      </c>
      <c r="BD260">
        <v>0.93830000000000002</v>
      </c>
      <c r="BE260" s="62">
        <v>70.436999999999998</v>
      </c>
      <c r="BF260">
        <v>8.9176000000000002</v>
      </c>
      <c r="BG260">
        <v>1</v>
      </c>
      <c r="BH260">
        <v>6023.7392733347688</v>
      </c>
      <c r="BI260">
        <v>1.098016605166052</v>
      </c>
      <c r="BJ260" s="62">
        <v>6614.1656999999996</v>
      </c>
      <c r="BK260" s="60">
        <v>195807.0577592772</v>
      </c>
    </row>
    <row r="261" spans="1:63" x14ac:dyDescent="0.25">
      <c r="A261">
        <v>785</v>
      </c>
      <c r="B261" t="s">
        <v>151</v>
      </c>
      <c r="C261">
        <v>2019</v>
      </c>
      <c r="D261">
        <v>8</v>
      </c>
      <c r="E261" t="s">
        <v>100</v>
      </c>
      <c r="F261" t="s">
        <v>426</v>
      </c>
      <c r="G261" t="s">
        <v>427</v>
      </c>
      <c r="H261" t="s">
        <v>84</v>
      </c>
      <c r="I261" t="s">
        <v>429</v>
      </c>
      <c r="J261" t="s">
        <v>87</v>
      </c>
      <c r="K261">
        <v>-393.21146356999998</v>
      </c>
      <c r="L261" t="s">
        <v>87</v>
      </c>
      <c r="M261" t="s">
        <v>384</v>
      </c>
      <c r="N261">
        <v>9.7514538340860005E-2</v>
      </c>
      <c r="O261">
        <v>38.343834340362427</v>
      </c>
      <c r="P261" t="s">
        <v>440</v>
      </c>
      <c r="Q261">
        <v>2</v>
      </c>
      <c r="R261">
        <v>28.410399999999999</v>
      </c>
      <c r="S261">
        <v>5.5E-2</v>
      </c>
      <c r="T261">
        <v>1.5625720000000001</v>
      </c>
      <c r="U261">
        <v>1.9E-2</v>
      </c>
      <c r="V261">
        <v>29.689</v>
      </c>
      <c r="W261">
        <v>2</v>
      </c>
      <c r="X261">
        <v>2.4059050530000001E-3</v>
      </c>
      <c r="Y261">
        <v>0.14285800000000001</v>
      </c>
      <c r="Z261" s="60">
        <v>5.4777230000000001</v>
      </c>
      <c r="AA261" t="s">
        <v>347</v>
      </c>
      <c r="AB261" t="s">
        <v>437</v>
      </c>
      <c r="AC261" t="s">
        <v>425</v>
      </c>
      <c r="AD261" t="s">
        <v>81</v>
      </c>
      <c r="AE261">
        <v>111.133</v>
      </c>
      <c r="AF261">
        <v>1.0541007448257309</v>
      </c>
      <c r="AG261">
        <v>117.145378074718</v>
      </c>
      <c r="AH261">
        <v>640.82000000000005</v>
      </c>
      <c r="AI261">
        <v>1</v>
      </c>
      <c r="AJ261">
        <v>75.069101177840764</v>
      </c>
      <c r="AK261">
        <v>0.93830000000000002</v>
      </c>
      <c r="AL261" s="62">
        <v>70.436999999999998</v>
      </c>
      <c r="AM261">
        <v>8.9176000000000002</v>
      </c>
      <c r="AN261">
        <v>9.4000488020579382</v>
      </c>
      <c r="AO261">
        <v>1</v>
      </c>
      <c r="AP261">
        <v>6023.7392733347688</v>
      </c>
      <c r="AQ261">
        <v>1.098016605166052</v>
      </c>
      <c r="AR261">
        <v>6614.1656999999996</v>
      </c>
      <c r="AS261" s="60">
        <v>36230.567580701099</v>
      </c>
      <c r="AT261" t="s">
        <v>347</v>
      </c>
      <c r="AU261" t="s">
        <v>437</v>
      </c>
      <c r="AV261" t="s">
        <v>425</v>
      </c>
      <c r="AW261" t="s">
        <v>81</v>
      </c>
      <c r="AX261">
        <v>111.133</v>
      </c>
      <c r="AY261">
        <v>1.0541007448257309</v>
      </c>
      <c r="AZ261">
        <v>117.145378074718</v>
      </c>
      <c r="BA261">
        <v>640.82000000000005</v>
      </c>
      <c r="BB261">
        <v>1</v>
      </c>
      <c r="BC261">
        <v>75.069101177840764</v>
      </c>
      <c r="BD261">
        <v>0.93830000000000002</v>
      </c>
      <c r="BE261" s="62">
        <v>70.436999999999998</v>
      </c>
      <c r="BF261">
        <v>8.9176000000000002</v>
      </c>
      <c r="BG261">
        <v>1</v>
      </c>
      <c r="BH261">
        <v>6023.7392733347688</v>
      </c>
      <c r="BI261">
        <v>1.098016605166052</v>
      </c>
      <c r="BJ261" s="62">
        <v>6614.1656999999996</v>
      </c>
      <c r="BK261" s="60">
        <v>36230.567580701099</v>
      </c>
    </row>
    <row r="262" spans="1:63" x14ac:dyDescent="0.25">
      <c r="A262">
        <v>785</v>
      </c>
      <c r="B262" t="s">
        <v>151</v>
      </c>
      <c r="C262">
        <v>2019</v>
      </c>
      <c r="D262">
        <v>8</v>
      </c>
      <c r="E262" t="s">
        <v>100</v>
      </c>
      <c r="F262" t="s">
        <v>426</v>
      </c>
      <c r="G262" t="s">
        <v>427</v>
      </c>
      <c r="H262" t="s">
        <v>84</v>
      </c>
      <c r="I262" t="s">
        <v>430</v>
      </c>
      <c r="J262" t="s">
        <v>59</v>
      </c>
      <c r="K262">
        <v>-854.24152365999998</v>
      </c>
      <c r="L262" t="s">
        <v>59</v>
      </c>
      <c r="M262" t="s">
        <v>384</v>
      </c>
      <c r="N262">
        <v>9.972356046618E-2</v>
      </c>
      <c r="O262">
        <v>85.188006237429747</v>
      </c>
      <c r="P262" t="s">
        <v>440</v>
      </c>
      <c r="Q262">
        <v>2</v>
      </c>
      <c r="R262">
        <v>28.410399999999999</v>
      </c>
      <c r="S262">
        <v>5.5E-2</v>
      </c>
      <c r="T262">
        <v>1.5625720000000001</v>
      </c>
      <c r="U262">
        <v>1.9E-2</v>
      </c>
      <c r="V262">
        <v>29.689</v>
      </c>
      <c r="W262">
        <v>2</v>
      </c>
      <c r="X262">
        <v>2.4059050530000001E-3</v>
      </c>
      <c r="Y262">
        <v>0.14285800000000001</v>
      </c>
      <c r="Z262" s="60">
        <v>12.169788</v>
      </c>
      <c r="AA262" t="s">
        <v>347</v>
      </c>
      <c r="AB262" t="s">
        <v>437</v>
      </c>
      <c r="AC262" t="s">
        <v>425</v>
      </c>
      <c r="AD262" t="s">
        <v>81</v>
      </c>
      <c r="AE262">
        <v>111.133</v>
      </c>
      <c r="AF262">
        <v>1.0541007448257309</v>
      </c>
      <c r="AG262">
        <v>117.145378074718</v>
      </c>
      <c r="AH262">
        <v>640.82000000000005</v>
      </c>
      <c r="AI262">
        <v>1</v>
      </c>
      <c r="AJ262">
        <v>75.069101177840764</v>
      </c>
      <c r="AK262">
        <v>0.93830000000000002</v>
      </c>
      <c r="AL262" s="62">
        <v>70.436999999999998</v>
      </c>
      <c r="AM262">
        <v>8.9176000000000002</v>
      </c>
      <c r="AN262">
        <v>9.4000488020579382</v>
      </c>
      <c r="AO262">
        <v>1</v>
      </c>
      <c r="AP262">
        <v>6023.7392733347688</v>
      </c>
      <c r="AQ262">
        <v>1.098016605166052</v>
      </c>
      <c r="AR262">
        <v>6614.1656999999996</v>
      </c>
      <c r="AS262" s="60">
        <v>80492.994365871593</v>
      </c>
      <c r="AT262" t="s">
        <v>347</v>
      </c>
      <c r="AU262" t="s">
        <v>437</v>
      </c>
      <c r="AV262" t="s">
        <v>425</v>
      </c>
      <c r="AW262" t="s">
        <v>81</v>
      </c>
      <c r="AX262">
        <v>111.133</v>
      </c>
      <c r="AY262">
        <v>1.0541007448257309</v>
      </c>
      <c r="AZ262">
        <v>117.145378074718</v>
      </c>
      <c r="BA262">
        <v>640.82000000000005</v>
      </c>
      <c r="BB262">
        <v>1</v>
      </c>
      <c r="BC262">
        <v>75.069101177840764</v>
      </c>
      <c r="BD262">
        <v>0.93830000000000002</v>
      </c>
      <c r="BE262" s="62">
        <v>70.436999999999998</v>
      </c>
      <c r="BF262">
        <v>8.9176000000000002</v>
      </c>
      <c r="BG262">
        <v>1</v>
      </c>
      <c r="BH262">
        <v>6023.7392733347688</v>
      </c>
      <c r="BI262">
        <v>1.098016605166052</v>
      </c>
      <c r="BJ262" s="62">
        <v>6614.1656999999996</v>
      </c>
      <c r="BK262" s="60">
        <v>80492.994365871593</v>
      </c>
    </row>
    <row r="263" spans="1:63" x14ac:dyDescent="0.25">
      <c r="A263">
        <v>787</v>
      </c>
      <c r="B263" t="s">
        <v>151</v>
      </c>
      <c r="C263">
        <v>2019</v>
      </c>
      <c r="D263">
        <v>8</v>
      </c>
      <c r="E263" t="s">
        <v>100</v>
      </c>
      <c r="F263" t="s">
        <v>426</v>
      </c>
      <c r="G263" t="s">
        <v>427</v>
      </c>
      <c r="H263" t="s">
        <v>84</v>
      </c>
      <c r="I263" t="s">
        <v>428</v>
      </c>
      <c r="J263" t="s">
        <v>381</v>
      </c>
      <c r="K263">
        <v>-1771.0203117200001</v>
      </c>
      <c r="L263" t="s">
        <v>381</v>
      </c>
      <c r="M263" t="s">
        <v>385</v>
      </c>
      <c r="N263">
        <v>0.54567226407087999</v>
      </c>
      <c r="O263">
        <v>966.3966632117681</v>
      </c>
      <c r="P263" t="s">
        <v>440</v>
      </c>
      <c r="Q263">
        <v>2</v>
      </c>
      <c r="R263">
        <v>28.410399999999999</v>
      </c>
      <c r="S263">
        <v>5.5E-2</v>
      </c>
      <c r="T263">
        <v>1.5625720000000001</v>
      </c>
      <c r="U263">
        <v>0.98099999999999998</v>
      </c>
      <c r="V263">
        <v>1532.883</v>
      </c>
      <c r="W263">
        <v>2</v>
      </c>
      <c r="X263">
        <v>4.6597536000000001E-5</v>
      </c>
      <c r="Y263">
        <v>0.14285700000000001</v>
      </c>
      <c r="Z263" s="60">
        <v>138.05652799999999</v>
      </c>
      <c r="AA263" t="s">
        <v>347</v>
      </c>
      <c r="AB263" t="s">
        <v>437</v>
      </c>
      <c r="AC263" t="s">
        <v>425</v>
      </c>
      <c r="AD263" t="s">
        <v>27</v>
      </c>
      <c r="AE263">
        <v>111.133</v>
      </c>
      <c r="AF263">
        <v>1.0541007448257309</v>
      </c>
      <c r="AG263">
        <v>117.145378074718</v>
      </c>
      <c r="AH263">
        <v>640.82000000000005</v>
      </c>
      <c r="AI263">
        <v>1</v>
      </c>
      <c r="AJ263">
        <v>75.069101177840764</v>
      </c>
      <c r="AK263">
        <v>0.95889999999999997</v>
      </c>
      <c r="AL263" s="62">
        <v>71.983999999999995</v>
      </c>
      <c r="AM263">
        <v>8.9176000000000002</v>
      </c>
      <c r="AN263">
        <v>9.4000488020579382</v>
      </c>
      <c r="AO263">
        <v>1</v>
      </c>
      <c r="AP263">
        <v>6023.7392733347688</v>
      </c>
      <c r="AQ263">
        <v>0.99097621000820357</v>
      </c>
      <c r="AR263">
        <v>5969.3823000000002</v>
      </c>
      <c r="AS263" s="60">
        <v>824112.19464265439</v>
      </c>
      <c r="AT263" t="s">
        <v>347</v>
      </c>
      <c r="AU263" t="s">
        <v>437</v>
      </c>
      <c r="AV263" t="s">
        <v>425</v>
      </c>
      <c r="AW263" t="s">
        <v>27</v>
      </c>
      <c r="AX263">
        <v>111.133</v>
      </c>
      <c r="AY263">
        <v>1.0541007448257309</v>
      </c>
      <c r="AZ263">
        <v>117.145378074718</v>
      </c>
      <c r="BA263">
        <v>640.82000000000005</v>
      </c>
      <c r="BB263">
        <v>1</v>
      </c>
      <c r="BC263">
        <v>75.069101177840764</v>
      </c>
      <c r="BD263">
        <v>0.95889999999999997</v>
      </c>
      <c r="BE263" s="62">
        <v>71.983999999999995</v>
      </c>
      <c r="BF263">
        <v>8.9176000000000002</v>
      </c>
      <c r="BG263">
        <v>1</v>
      </c>
      <c r="BH263">
        <v>6023.7392733347688</v>
      </c>
      <c r="BI263">
        <v>0.99097621000820357</v>
      </c>
      <c r="BJ263" s="62">
        <v>5969.3823000000002</v>
      </c>
      <c r="BK263" s="60">
        <v>824112.19464265439</v>
      </c>
    </row>
    <row r="264" spans="1:63" x14ac:dyDescent="0.25">
      <c r="A264">
        <v>787</v>
      </c>
      <c r="B264" t="s">
        <v>151</v>
      </c>
      <c r="C264">
        <v>2019</v>
      </c>
      <c r="D264">
        <v>8</v>
      </c>
      <c r="E264" t="s">
        <v>100</v>
      </c>
      <c r="F264" t="s">
        <v>426</v>
      </c>
      <c r="G264" t="s">
        <v>427</v>
      </c>
      <c r="H264" t="s">
        <v>84</v>
      </c>
      <c r="I264" t="s">
        <v>429</v>
      </c>
      <c r="J264" t="s">
        <v>87</v>
      </c>
      <c r="K264">
        <v>-393.21146356999998</v>
      </c>
      <c r="L264" t="s">
        <v>87</v>
      </c>
      <c r="M264" t="s">
        <v>385</v>
      </c>
      <c r="N264">
        <v>0.46576586246523</v>
      </c>
      <c r="O264">
        <v>183.14447646089641</v>
      </c>
      <c r="P264" t="s">
        <v>440</v>
      </c>
      <c r="Q264">
        <v>2</v>
      </c>
      <c r="R264">
        <v>28.410399999999999</v>
      </c>
      <c r="S264">
        <v>5.5E-2</v>
      </c>
      <c r="T264">
        <v>1.5625720000000001</v>
      </c>
      <c r="U264">
        <v>0.98099999999999998</v>
      </c>
      <c r="V264">
        <v>1532.883</v>
      </c>
      <c r="W264">
        <v>2</v>
      </c>
      <c r="X264">
        <v>4.6597536000000001E-5</v>
      </c>
      <c r="Y264">
        <v>0.14285700000000001</v>
      </c>
      <c r="Z264" s="60">
        <v>26.16347</v>
      </c>
      <c r="AA264" t="s">
        <v>347</v>
      </c>
      <c r="AB264" t="s">
        <v>437</v>
      </c>
      <c r="AC264" t="s">
        <v>425</v>
      </c>
      <c r="AD264" t="s">
        <v>27</v>
      </c>
      <c r="AE264">
        <v>111.133</v>
      </c>
      <c r="AF264">
        <v>1.0541007448257309</v>
      </c>
      <c r="AG264">
        <v>117.145378074718</v>
      </c>
      <c r="AH264">
        <v>640.82000000000005</v>
      </c>
      <c r="AI264">
        <v>1</v>
      </c>
      <c r="AJ264">
        <v>75.069101177840764</v>
      </c>
      <c r="AK264">
        <v>0.95889999999999997</v>
      </c>
      <c r="AL264" s="62">
        <v>71.983999999999995</v>
      </c>
      <c r="AM264">
        <v>8.9176000000000002</v>
      </c>
      <c r="AN264">
        <v>9.4000488020579382</v>
      </c>
      <c r="AO264">
        <v>1</v>
      </c>
      <c r="AP264">
        <v>6023.7392733347688</v>
      </c>
      <c r="AQ264">
        <v>0.99097621000820357</v>
      </c>
      <c r="AR264">
        <v>5969.3823000000002</v>
      </c>
      <c r="AS264" s="60">
        <v>156179.754724581</v>
      </c>
      <c r="AT264" t="s">
        <v>347</v>
      </c>
      <c r="AU264" t="s">
        <v>437</v>
      </c>
      <c r="AV264" t="s">
        <v>425</v>
      </c>
      <c r="AW264" t="s">
        <v>27</v>
      </c>
      <c r="AX264">
        <v>111.133</v>
      </c>
      <c r="AY264">
        <v>1.0541007448257309</v>
      </c>
      <c r="AZ264">
        <v>117.145378074718</v>
      </c>
      <c r="BA264">
        <v>640.82000000000005</v>
      </c>
      <c r="BB264">
        <v>1</v>
      </c>
      <c r="BC264">
        <v>75.069101177840764</v>
      </c>
      <c r="BD264">
        <v>0.95889999999999997</v>
      </c>
      <c r="BE264" s="62">
        <v>71.983999999999995</v>
      </c>
      <c r="BF264">
        <v>8.9176000000000002</v>
      </c>
      <c r="BG264">
        <v>1</v>
      </c>
      <c r="BH264">
        <v>6023.7392733347688</v>
      </c>
      <c r="BI264">
        <v>0.99097621000820357</v>
      </c>
      <c r="BJ264" s="62">
        <v>5969.3823000000002</v>
      </c>
      <c r="BK264" s="60">
        <v>156179.754724581</v>
      </c>
    </row>
    <row r="265" spans="1:63" x14ac:dyDescent="0.25">
      <c r="A265">
        <v>787</v>
      </c>
      <c r="B265" t="s">
        <v>151</v>
      </c>
      <c r="C265">
        <v>2019</v>
      </c>
      <c r="D265">
        <v>8</v>
      </c>
      <c r="E265" t="s">
        <v>100</v>
      </c>
      <c r="F265" t="s">
        <v>426</v>
      </c>
      <c r="G265" t="s">
        <v>427</v>
      </c>
      <c r="H265" t="s">
        <v>84</v>
      </c>
      <c r="I265" t="s">
        <v>430</v>
      </c>
      <c r="J265" t="s">
        <v>59</v>
      </c>
      <c r="K265">
        <v>-854.24152365999998</v>
      </c>
      <c r="L265" t="s">
        <v>59</v>
      </c>
      <c r="M265" t="s">
        <v>385</v>
      </c>
      <c r="N265">
        <v>0.54314598235959</v>
      </c>
      <c r="O265">
        <v>463.97785154066372</v>
      </c>
      <c r="P265" t="s">
        <v>440</v>
      </c>
      <c r="Q265">
        <v>2</v>
      </c>
      <c r="R265">
        <v>28.410399999999999</v>
      </c>
      <c r="S265">
        <v>5.5E-2</v>
      </c>
      <c r="T265">
        <v>1.5625720000000001</v>
      </c>
      <c r="U265">
        <v>0.98099999999999998</v>
      </c>
      <c r="V265">
        <v>1532.883</v>
      </c>
      <c r="W265">
        <v>2</v>
      </c>
      <c r="X265">
        <v>4.6597536000000001E-5</v>
      </c>
      <c r="Y265">
        <v>0.14285700000000001</v>
      </c>
      <c r="Z265" s="60">
        <v>66.282483999999997</v>
      </c>
      <c r="AA265" t="s">
        <v>347</v>
      </c>
      <c r="AB265" t="s">
        <v>437</v>
      </c>
      <c r="AC265" t="s">
        <v>425</v>
      </c>
      <c r="AD265" t="s">
        <v>27</v>
      </c>
      <c r="AE265">
        <v>111.133</v>
      </c>
      <c r="AF265">
        <v>1.0541007448257309</v>
      </c>
      <c r="AG265">
        <v>117.145378074718</v>
      </c>
      <c r="AH265">
        <v>640.82000000000005</v>
      </c>
      <c r="AI265">
        <v>1</v>
      </c>
      <c r="AJ265">
        <v>75.069101177840764</v>
      </c>
      <c r="AK265">
        <v>0.95889999999999997</v>
      </c>
      <c r="AL265" s="62">
        <v>71.983999999999995</v>
      </c>
      <c r="AM265">
        <v>8.9176000000000002</v>
      </c>
      <c r="AN265">
        <v>9.4000488020579382</v>
      </c>
      <c r="AO265">
        <v>1</v>
      </c>
      <c r="AP265">
        <v>6023.7392733347688</v>
      </c>
      <c r="AQ265">
        <v>0.99097621000820357</v>
      </c>
      <c r="AR265">
        <v>5969.3823000000002</v>
      </c>
      <c r="AS265" s="60">
        <v>395665.48678963323</v>
      </c>
      <c r="AT265" t="s">
        <v>347</v>
      </c>
      <c r="AU265" t="s">
        <v>437</v>
      </c>
      <c r="AV265" t="s">
        <v>425</v>
      </c>
      <c r="AW265" t="s">
        <v>27</v>
      </c>
      <c r="AX265">
        <v>111.133</v>
      </c>
      <c r="AY265">
        <v>1.0541007448257309</v>
      </c>
      <c r="AZ265">
        <v>117.145378074718</v>
      </c>
      <c r="BA265">
        <v>640.82000000000005</v>
      </c>
      <c r="BB265">
        <v>1</v>
      </c>
      <c r="BC265">
        <v>75.069101177840764</v>
      </c>
      <c r="BD265">
        <v>0.95889999999999997</v>
      </c>
      <c r="BE265" s="62">
        <v>71.983999999999995</v>
      </c>
      <c r="BF265">
        <v>8.9176000000000002</v>
      </c>
      <c r="BG265">
        <v>1</v>
      </c>
      <c r="BH265">
        <v>6023.7392733347688</v>
      </c>
      <c r="BI265">
        <v>0.99097621000820357</v>
      </c>
      <c r="BJ265" s="62">
        <v>5969.3823000000002</v>
      </c>
      <c r="BK265" s="60">
        <v>395665.48678963323</v>
      </c>
    </row>
    <row r="266" spans="1:63" x14ac:dyDescent="0.25">
      <c r="A266">
        <v>805</v>
      </c>
      <c r="B266" t="s">
        <v>154</v>
      </c>
      <c r="C266">
        <v>2019</v>
      </c>
      <c r="D266">
        <v>9</v>
      </c>
      <c r="E266" t="s">
        <v>100</v>
      </c>
      <c r="F266" t="s">
        <v>426</v>
      </c>
      <c r="G266" t="s">
        <v>427</v>
      </c>
      <c r="H266" t="s">
        <v>84</v>
      </c>
      <c r="I266" t="s">
        <v>428</v>
      </c>
      <c r="J266" t="s">
        <v>381</v>
      </c>
      <c r="K266">
        <v>-1531.2176465699999</v>
      </c>
      <c r="L266" t="s">
        <v>381</v>
      </c>
      <c r="M266" t="s">
        <v>384</v>
      </c>
      <c r="N266">
        <v>0.11701058843221999</v>
      </c>
      <c r="O266">
        <v>179.16867784295479</v>
      </c>
      <c r="P266" t="s">
        <v>440</v>
      </c>
      <c r="Q266">
        <v>2</v>
      </c>
      <c r="R266">
        <v>28.410399999999999</v>
      </c>
      <c r="S266">
        <v>4.3999999999999997E-2</v>
      </c>
      <c r="T266">
        <v>1.2500576000000001</v>
      </c>
      <c r="U266">
        <v>1.9E-2</v>
      </c>
      <c r="V266">
        <v>23.751000000000001</v>
      </c>
      <c r="W266">
        <v>2</v>
      </c>
      <c r="X266">
        <v>3.0073831260000001E-3</v>
      </c>
      <c r="Y266">
        <v>0.14285700000000001</v>
      </c>
      <c r="Z266" s="60">
        <v>25.595500000000001</v>
      </c>
      <c r="AA266" t="s">
        <v>347</v>
      </c>
      <c r="AB266" t="s">
        <v>437</v>
      </c>
      <c r="AC266" t="s">
        <v>425</v>
      </c>
      <c r="AD266" t="s">
        <v>81</v>
      </c>
      <c r="AE266">
        <v>111.133</v>
      </c>
      <c r="AF266">
        <v>1.0541007448257309</v>
      </c>
      <c r="AG266">
        <v>117.145378074718</v>
      </c>
      <c r="AH266">
        <v>640.82000000000005</v>
      </c>
      <c r="AI266">
        <v>1</v>
      </c>
      <c r="AJ266">
        <v>75.069101177840764</v>
      </c>
      <c r="AK266">
        <v>0.93830000000000002</v>
      </c>
      <c r="AL266" s="62">
        <v>70.436999999999998</v>
      </c>
      <c r="AM266">
        <v>8.9176000000000002</v>
      </c>
      <c r="AN266">
        <v>9.4000488020579382</v>
      </c>
      <c r="AO266">
        <v>1</v>
      </c>
      <c r="AP266">
        <v>6023.7392733347688</v>
      </c>
      <c r="AQ266">
        <v>1.098016605166052</v>
      </c>
      <c r="AR266">
        <v>6614.1656999999996</v>
      </c>
      <c r="AS266" s="60">
        <v>169292.87817434999</v>
      </c>
      <c r="AT266" t="s">
        <v>347</v>
      </c>
      <c r="AU266" t="s">
        <v>437</v>
      </c>
      <c r="AV266" t="s">
        <v>425</v>
      </c>
      <c r="AW266" t="s">
        <v>81</v>
      </c>
      <c r="AX266">
        <v>111.133</v>
      </c>
      <c r="AY266">
        <v>1.0541007448257309</v>
      </c>
      <c r="AZ266">
        <v>117.145378074718</v>
      </c>
      <c r="BA266">
        <v>640.82000000000005</v>
      </c>
      <c r="BB266">
        <v>1</v>
      </c>
      <c r="BC266">
        <v>75.069101177840764</v>
      </c>
      <c r="BD266">
        <v>0.93830000000000002</v>
      </c>
      <c r="BE266" s="62">
        <v>70.436999999999998</v>
      </c>
      <c r="BF266">
        <v>8.9176000000000002</v>
      </c>
      <c r="BG266">
        <v>1</v>
      </c>
      <c r="BH266">
        <v>6023.7392733347688</v>
      </c>
      <c r="BI266">
        <v>1.098016605166052</v>
      </c>
      <c r="BJ266" s="62">
        <v>6614.1656999999996</v>
      </c>
      <c r="BK266" s="60">
        <v>169292.87817434999</v>
      </c>
    </row>
    <row r="267" spans="1:63" x14ac:dyDescent="0.25">
      <c r="A267">
        <v>805</v>
      </c>
      <c r="B267" t="s">
        <v>154</v>
      </c>
      <c r="C267">
        <v>2019</v>
      </c>
      <c r="D267">
        <v>9</v>
      </c>
      <c r="E267" t="s">
        <v>100</v>
      </c>
      <c r="F267" t="s">
        <v>426</v>
      </c>
      <c r="G267" t="s">
        <v>427</v>
      </c>
      <c r="H267" t="s">
        <v>84</v>
      </c>
      <c r="I267" t="s">
        <v>429</v>
      </c>
      <c r="J267" t="s">
        <v>87</v>
      </c>
      <c r="K267">
        <v>-303.51142240000001</v>
      </c>
      <c r="L267" t="s">
        <v>87</v>
      </c>
      <c r="M267" t="s">
        <v>384</v>
      </c>
      <c r="N267">
        <v>9.7514538341179999E-2</v>
      </c>
      <c r="O267">
        <v>29.596776236610879</v>
      </c>
      <c r="P267" t="s">
        <v>440</v>
      </c>
      <c r="Q267">
        <v>2</v>
      </c>
      <c r="R267">
        <v>28.410399999999999</v>
      </c>
      <c r="S267">
        <v>4.3999999999999997E-2</v>
      </c>
      <c r="T267">
        <v>1.2500576000000001</v>
      </c>
      <c r="U267">
        <v>1.9E-2</v>
      </c>
      <c r="V267">
        <v>23.751000000000001</v>
      </c>
      <c r="W267">
        <v>2</v>
      </c>
      <c r="X267">
        <v>3.0073831260000001E-3</v>
      </c>
      <c r="Y267">
        <v>0.14285700000000001</v>
      </c>
      <c r="Z267" s="60">
        <v>4.2281069999999996</v>
      </c>
      <c r="AA267" t="s">
        <v>347</v>
      </c>
      <c r="AB267" t="s">
        <v>437</v>
      </c>
      <c r="AC267" t="s">
        <v>425</v>
      </c>
      <c r="AD267" t="s">
        <v>81</v>
      </c>
      <c r="AE267">
        <v>111.133</v>
      </c>
      <c r="AF267">
        <v>1.0541007448257309</v>
      </c>
      <c r="AG267">
        <v>117.145378074718</v>
      </c>
      <c r="AH267">
        <v>640.82000000000005</v>
      </c>
      <c r="AI267">
        <v>1</v>
      </c>
      <c r="AJ267">
        <v>75.069101177840764</v>
      </c>
      <c r="AK267">
        <v>0.93830000000000002</v>
      </c>
      <c r="AL267" s="62">
        <v>70.436999999999998</v>
      </c>
      <c r="AM267">
        <v>8.9176000000000002</v>
      </c>
      <c r="AN267">
        <v>9.4000488020579382</v>
      </c>
      <c r="AO267">
        <v>1</v>
      </c>
      <c r="AP267">
        <v>6023.7392733347688</v>
      </c>
      <c r="AQ267">
        <v>1.098016605166052</v>
      </c>
      <c r="AR267">
        <v>6614.1656999999996</v>
      </c>
      <c r="AS267" s="60">
        <v>27965.400295329899</v>
      </c>
      <c r="AT267" t="s">
        <v>347</v>
      </c>
      <c r="AU267" t="s">
        <v>437</v>
      </c>
      <c r="AV267" t="s">
        <v>425</v>
      </c>
      <c r="AW267" t="s">
        <v>81</v>
      </c>
      <c r="AX267">
        <v>111.133</v>
      </c>
      <c r="AY267">
        <v>1.0541007448257309</v>
      </c>
      <c r="AZ267">
        <v>117.145378074718</v>
      </c>
      <c r="BA267">
        <v>640.82000000000005</v>
      </c>
      <c r="BB267">
        <v>1</v>
      </c>
      <c r="BC267">
        <v>75.069101177840764</v>
      </c>
      <c r="BD267">
        <v>0.93830000000000002</v>
      </c>
      <c r="BE267" s="62">
        <v>70.436999999999998</v>
      </c>
      <c r="BF267">
        <v>8.9176000000000002</v>
      </c>
      <c r="BG267">
        <v>1</v>
      </c>
      <c r="BH267">
        <v>6023.7392733347688</v>
      </c>
      <c r="BI267">
        <v>1.098016605166052</v>
      </c>
      <c r="BJ267" s="62">
        <v>6614.1656999999996</v>
      </c>
      <c r="BK267" s="60">
        <v>27965.400295329899</v>
      </c>
    </row>
    <row r="268" spans="1:63" x14ac:dyDescent="0.25">
      <c r="A268">
        <v>805</v>
      </c>
      <c r="B268" t="s">
        <v>154</v>
      </c>
      <c r="C268">
        <v>2019</v>
      </c>
      <c r="D268">
        <v>9</v>
      </c>
      <c r="E268" t="s">
        <v>100</v>
      </c>
      <c r="F268" t="s">
        <v>426</v>
      </c>
      <c r="G268" t="s">
        <v>427</v>
      </c>
      <c r="H268" t="s">
        <v>84</v>
      </c>
      <c r="I268" t="s">
        <v>430</v>
      </c>
      <c r="J268" t="s">
        <v>59</v>
      </c>
      <c r="K268">
        <v>-752.70116994</v>
      </c>
      <c r="L268" t="s">
        <v>59</v>
      </c>
      <c r="M268" t="s">
        <v>384</v>
      </c>
      <c r="N268">
        <v>9.9723560465249994E-2</v>
      </c>
      <c r="O268">
        <v>75.062040632776004</v>
      </c>
      <c r="P268" t="s">
        <v>440</v>
      </c>
      <c r="Q268">
        <v>2</v>
      </c>
      <c r="R268">
        <v>28.410399999999999</v>
      </c>
      <c r="S268">
        <v>4.3999999999999997E-2</v>
      </c>
      <c r="T268">
        <v>1.2500576000000001</v>
      </c>
      <c r="U268">
        <v>1.9E-2</v>
      </c>
      <c r="V268">
        <v>23.751000000000001</v>
      </c>
      <c r="W268">
        <v>2</v>
      </c>
      <c r="X268">
        <v>3.0073831260000001E-3</v>
      </c>
      <c r="Y268">
        <v>0.14285700000000001</v>
      </c>
      <c r="Z268" s="60">
        <v>10.723138000000001</v>
      </c>
      <c r="AA268" t="s">
        <v>347</v>
      </c>
      <c r="AB268" t="s">
        <v>437</v>
      </c>
      <c r="AC268" t="s">
        <v>425</v>
      </c>
      <c r="AD268" t="s">
        <v>81</v>
      </c>
      <c r="AE268">
        <v>111.133</v>
      </c>
      <c r="AF268">
        <v>1.0541007448257309</v>
      </c>
      <c r="AG268">
        <v>117.145378074718</v>
      </c>
      <c r="AH268">
        <v>640.82000000000005</v>
      </c>
      <c r="AI268">
        <v>1</v>
      </c>
      <c r="AJ268">
        <v>75.069101177840764</v>
      </c>
      <c r="AK268">
        <v>0.93830000000000002</v>
      </c>
      <c r="AL268" s="62">
        <v>70.436999999999998</v>
      </c>
      <c r="AM268">
        <v>8.9176000000000002</v>
      </c>
      <c r="AN268">
        <v>9.4000488020579382</v>
      </c>
      <c r="AO268">
        <v>1</v>
      </c>
      <c r="AP268">
        <v>6023.7392733347688</v>
      </c>
      <c r="AQ268">
        <v>1.098016605166052</v>
      </c>
      <c r="AR268">
        <v>6614.1656999999996</v>
      </c>
      <c r="AS268" s="60">
        <v>70924.611555966592</v>
      </c>
      <c r="AT268" t="s">
        <v>347</v>
      </c>
      <c r="AU268" t="s">
        <v>437</v>
      </c>
      <c r="AV268" t="s">
        <v>425</v>
      </c>
      <c r="AW268" t="s">
        <v>81</v>
      </c>
      <c r="AX268">
        <v>111.133</v>
      </c>
      <c r="AY268">
        <v>1.0541007448257309</v>
      </c>
      <c r="AZ268">
        <v>117.145378074718</v>
      </c>
      <c r="BA268">
        <v>640.82000000000005</v>
      </c>
      <c r="BB268">
        <v>1</v>
      </c>
      <c r="BC268">
        <v>75.069101177840764</v>
      </c>
      <c r="BD268">
        <v>0.93830000000000002</v>
      </c>
      <c r="BE268" s="62">
        <v>70.436999999999998</v>
      </c>
      <c r="BF268">
        <v>8.9176000000000002</v>
      </c>
      <c r="BG268">
        <v>1</v>
      </c>
      <c r="BH268">
        <v>6023.7392733347688</v>
      </c>
      <c r="BI268">
        <v>1.098016605166052</v>
      </c>
      <c r="BJ268" s="62">
        <v>6614.1656999999996</v>
      </c>
      <c r="BK268" s="60">
        <v>70924.611555966592</v>
      </c>
    </row>
    <row r="269" spans="1:63" x14ac:dyDescent="0.25">
      <c r="A269">
        <v>807</v>
      </c>
      <c r="B269" t="s">
        <v>154</v>
      </c>
      <c r="C269">
        <v>2019</v>
      </c>
      <c r="D269">
        <v>9</v>
      </c>
      <c r="E269" t="s">
        <v>100</v>
      </c>
      <c r="F269" t="s">
        <v>426</v>
      </c>
      <c r="G269" t="s">
        <v>427</v>
      </c>
      <c r="H269" t="s">
        <v>84</v>
      </c>
      <c r="I269" t="s">
        <v>428</v>
      </c>
      <c r="J269" t="s">
        <v>381</v>
      </c>
      <c r="K269">
        <v>-1531.2176465699999</v>
      </c>
      <c r="L269" t="s">
        <v>381</v>
      </c>
      <c r="M269" t="s">
        <v>385</v>
      </c>
      <c r="N269">
        <v>0.54567226407058</v>
      </c>
      <c r="O269">
        <v>835.54299998867714</v>
      </c>
      <c r="P269" t="s">
        <v>440</v>
      </c>
      <c r="Q269">
        <v>2</v>
      </c>
      <c r="R269">
        <v>28.410399999999999</v>
      </c>
      <c r="S269">
        <v>4.3999999999999997E-2</v>
      </c>
      <c r="T269">
        <v>1.2500576000000001</v>
      </c>
      <c r="U269">
        <v>0.98099999999999998</v>
      </c>
      <c r="V269">
        <v>1226.307</v>
      </c>
      <c r="W269">
        <v>2</v>
      </c>
      <c r="X269">
        <v>5.8246915999999997E-5</v>
      </c>
      <c r="Y269">
        <v>0.14285700000000001</v>
      </c>
      <c r="Z269" s="60">
        <v>119.36316600000001</v>
      </c>
      <c r="AA269" t="s">
        <v>347</v>
      </c>
      <c r="AB269" t="s">
        <v>437</v>
      </c>
      <c r="AC269" t="s">
        <v>425</v>
      </c>
      <c r="AD269" t="s">
        <v>27</v>
      </c>
      <c r="AE269">
        <v>111.133</v>
      </c>
      <c r="AF269">
        <v>1.0541007448257309</v>
      </c>
      <c r="AG269">
        <v>117.145378074718</v>
      </c>
      <c r="AH269">
        <v>640.82000000000005</v>
      </c>
      <c r="AI269">
        <v>1</v>
      </c>
      <c r="AJ269">
        <v>75.069101177840764</v>
      </c>
      <c r="AK269">
        <v>0.95889999999999997</v>
      </c>
      <c r="AL269" s="62">
        <v>71.983999999999995</v>
      </c>
      <c r="AM269">
        <v>8.9176000000000002</v>
      </c>
      <c r="AN269">
        <v>9.4000488020579382</v>
      </c>
      <c r="AO269">
        <v>1</v>
      </c>
      <c r="AP269">
        <v>6023.7392733347688</v>
      </c>
      <c r="AQ269">
        <v>0.99097621000820357</v>
      </c>
      <c r="AR269">
        <v>5969.3823000000002</v>
      </c>
      <c r="AS269" s="60">
        <v>712524.37039236189</v>
      </c>
      <c r="AT269" t="s">
        <v>347</v>
      </c>
      <c r="AU269" t="s">
        <v>437</v>
      </c>
      <c r="AV269" t="s">
        <v>425</v>
      </c>
      <c r="AW269" t="s">
        <v>27</v>
      </c>
      <c r="AX269">
        <v>111.133</v>
      </c>
      <c r="AY269">
        <v>1.0541007448257309</v>
      </c>
      <c r="AZ269">
        <v>117.145378074718</v>
      </c>
      <c r="BA269">
        <v>640.82000000000005</v>
      </c>
      <c r="BB269">
        <v>1</v>
      </c>
      <c r="BC269">
        <v>75.069101177840764</v>
      </c>
      <c r="BD269">
        <v>0.95889999999999997</v>
      </c>
      <c r="BE269" s="62">
        <v>71.983999999999995</v>
      </c>
      <c r="BF269">
        <v>8.9176000000000002</v>
      </c>
      <c r="BG269">
        <v>1</v>
      </c>
      <c r="BH269">
        <v>6023.7392733347688</v>
      </c>
      <c r="BI269">
        <v>0.99097621000820357</v>
      </c>
      <c r="BJ269" s="62">
        <v>5969.3823000000002</v>
      </c>
      <c r="BK269" s="60">
        <v>712524.37039236189</v>
      </c>
    </row>
    <row r="270" spans="1:63" x14ac:dyDescent="0.25">
      <c r="A270">
        <v>807</v>
      </c>
      <c r="B270" t="s">
        <v>154</v>
      </c>
      <c r="C270">
        <v>2019</v>
      </c>
      <c r="D270">
        <v>9</v>
      </c>
      <c r="E270" t="s">
        <v>100</v>
      </c>
      <c r="F270" t="s">
        <v>426</v>
      </c>
      <c r="G270" t="s">
        <v>427</v>
      </c>
      <c r="H270" t="s">
        <v>84</v>
      </c>
      <c r="I270" t="s">
        <v>429</v>
      </c>
      <c r="J270" t="s">
        <v>87</v>
      </c>
      <c r="K270">
        <v>-303.51142240000001</v>
      </c>
      <c r="L270" t="s">
        <v>87</v>
      </c>
      <c r="M270" t="s">
        <v>385</v>
      </c>
      <c r="N270">
        <v>0.46576586246061003</v>
      </c>
      <c r="O270">
        <v>141.36525942078251</v>
      </c>
      <c r="P270" t="s">
        <v>440</v>
      </c>
      <c r="Q270">
        <v>2</v>
      </c>
      <c r="R270">
        <v>28.410399999999999</v>
      </c>
      <c r="S270">
        <v>4.3999999999999997E-2</v>
      </c>
      <c r="T270">
        <v>1.2500576000000001</v>
      </c>
      <c r="U270">
        <v>0.98099999999999998</v>
      </c>
      <c r="V270">
        <v>1226.307</v>
      </c>
      <c r="W270">
        <v>2</v>
      </c>
      <c r="X270">
        <v>5.8246915999999997E-5</v>
      </c>
      <c r="Y270">
        <v>0.14285700000000001</v>
      </c>
      <c r="Z270" s="60">
        <v>20.195017</v>
      </c>
      <c r="AA270" t="s">
        <v>347</v>
      </c>
      <c r="AB270" t="s">
        <v>437</v>
      </c>
      <c r="AC270" t="s">
        <v>425</v>
      </c>
      <c r="AD270" t="s">
        <v>27</v>
      </c>
      <c r="AE270">
        <v>111.133</v>
      </c>
      <c r="AF270">
        <v>1.0541007448257309</v>
      </c>
      <c r="AG270">
        <v>117.145378074718</v>
      </c>
      <c r="AH270">
        <v>640.82000000000005</v>
      </c>
      <c r="AI270">
        <v>1</v>
      </c>
      <c r="AJ270">
        <v>75.069101177840764</v>
      </c>
      <c r="AK270">
        <v>0.95889999999999997</v>
      </c>
      <c r="AL270" s="62">
        <v>71.983999999999995</v>
      </c>
      <c r="AM270">
        <v>8.9176000000000002</v>
      </c>
      <c r="AN270">
        <v>9.4000488020579382</v>
      </c>
      <c r="AO270">
        <v>1</v>
      </c>
      <c r="AP270">
        <v>6023.7392733347688</v>
      </c>
      <c r="AQ270">
        <v>0.99097621000820357</v>
      </c>
      <c r="AR270">
        <v>5969.3823000000002</v>
      </c>
      <c r="AS270" s="60">
        <v>120551.77702799909</v>
      </c>
      <c r="AT270" t="s">
        <v>347</v>
      </c>
      <c r="AU270" t="s">
        <v>437</v>
      </c>
      <c r="AV270" t="s">
        <v>425</v>
      </c>
      <c r="AW270" t="s">
        <v>27</v>
      </c>
      <c r="AX270">
        <v>111.133</v>
      </c>
      <c r="AY270">
        <v>1.0541007448257309</v>
      </c>
      <c r="AZ270">
        <v>117.145378074718</v>
      </c>
      <c r="BA270">
        <v>640.82000000000005</v>
      </c>
      <c r="BB270">
        <v>1</v>
      </c>
      <c r="BC270">
        <v>75.069101177840764</v>
      </c>
      <c r="BD270">
        <v>0.95889999999999997</v>
      </c>
      <c r="BE270" s="62">
        <v>71.983999999999995</v>
      </c>
      <c r="BF270">
        <v>8.9176000000000002</v>
      </c>
      <c r="BG270">
        <v>1</v>
      </c>
      <c r="BH270">
        <v>6023.7392733347688</v>
      </c>
      <c r="BI270">
        <v>0.99097621000820357</v>
      </c>
      <c r="BJ270" s="62">
        <v>5969.3823000000002</v>
      </c>
      <c r="BK270" s="60">
        <v>120551.77702799909</v>
      </c>
    </row>
    <row r="271" spans="1:63" x14ac:dyDescent="0.25">
      <c r="A271">
        <v>807</v>
      </c>
      <c r="B271" t="s">
        <v>154</v>
      </c>
      <c r="C271">
        <v>2019</v>
      </c>
      <c r="D271">
        <v>9</v>
      </c>
      <c r="E271" t="s">
        <v>100</v>
      </c>
      <c r="F271" t="s">
        <v>426</v>
      </c>
      <c r="G271" t="s">
        <v>427</v>
      </c>
      <c r="H271" t="s">
        <v>84</v>
      </c>
      <c r="I271" t="s">
        <v>430</v>
      </c>
      <c r="J271" t="s">
        <v>59</v>
      </c>
      <c r="K271">
        <v>-752.70116994</v>
      </c>
      <c r="L271" t="s">
        <v>59</v>
      </c>
      <c r="M271" t="s">
        <v>385</v>
      </c>
      <c r="N271">
        <v>0.54314598235988998</v>
      </c>
      <c r="O271">
        <v>408.82661637049978</v>
      </c>
      <c r="P271" t="s">
        <v>440</v>
      </c>
      <c r="Q271">
        <v>2</v>
      </c>
      <c r="R271">
        <v>28.410399999999999</v>
      </c>
      <c r="S271">
        <v>4.3999999999999997E-2</v>
      </c>
      <c r="T271">
        <v>1.2500576000000001</v>
      </c>
      <c r="U271">
        <v>0.98099999999999998</v>
      </c>
      <c r="V271">
        <v>1226.307</v>
      </c>
      <c r="W271">
        <v>2</v>
      </c>
      <c r="X271">
        <v>5.8246915999999997E-5</v>
      </c>
      <c r="Y271">
        <v>0.14285700000000001</v>
      </c>
      <c r="Z271" s="60">
        <v>58.403744000000003</v>
      </c>
      <c r="AA271" t="s">
        <v>347</v>
      </c>
      <c r="AB271" t="s">
        <v>437</v>
      </c>
      <c r="AC271" t="s">
        <v>425</v>
      </c>
      <c r="AD271" t="s">
        <v>27</v>
      </c>
      <c r="AE271">
        <v>111.133</v>
      </c>
      <c r="AF271">
        <v>1.0541007448257309</v>
      </c>
      <c r="AG271">
        <v>117.145378074718</v>
      </c>
      <c r="AH271">
        <v>640.82000000000005</v>
      </c>
      <c r="AI271">
        <v>1</v>
      </c>
      <c r="AJ271">
        <v>75.069101177840764</v>
      </c>
      <c r="AK271">
        <v>0.95889999999999997</v>
      </c>
      <c r="AL271" s="62">
        <v>71.983999999999995</v>
      </c>
      <c r="AM271">
        <v>8.9176000000000002</v>
      </c>
      <c r="AN271">
        <v>9.4000488020579382</v>
      </c>
      <c r="AO271">
        <v>1</v>
      </c>
      <c r="AP271">
        <v>6023.7392733347688</v>
      </c>
      <c r="AQ271">
        <v>0.99097621000820357</v>
      </c>
      <c r="AR271">
        <v>5969.3823000000002</v>
      </c>
      <c r="AS271" s="60">
        <v>348634.27568733122</v>
      </c>
      <c r="AT271" t="s">
        <v>347</v>
      </c>
      <c r="AU271" t="s">
        <v>437</v>
      </c>
      <c r="AV271" t="s">
        <v>425</v>
      </c>
      <c r="AW271" t="s">
        <v>27</v>
      </c>
      <c r="AX271">
        <v>111.133</v>
      </c>
      <c r="AY271">
        <v>1.0541007448257309</v>
      </c>
      <c r="AZ271">
        <v>117.145378074718</v>
      </c>
      <c r="BA271">
        <v>640.82000000000005</v>
      </c>
      <c r="BB271">
        <v>1</v>
      </c>
      <c r="BC271">
        <v>75.069101177840764</v>
      </c>
      <c r="BD271">
        <v>0.95889999999999997</v>
      </c>
      <c r="BE271" s="62">
        <v>71.983999999999995</v>
      </c>
      <c r="BF271">
        <v>8.9176000000000002</v>
      </c>
      <c r="BG271">
        <v>1</v>
      </c>
      <c r="BH271">
        <v>6023.7392733347688</v>
      </c>
      <c r="BI271">
        <v>0.99097621000820357</v>
      </c>
      <c r="BJ271" s="62">
        <v>5969.3823000000002</v>
      </c>
      <c r="BK271" s="60">
        <v>348634.27568733122</v>
      </c>
    </row>
    <row r="272" spans="1:63" x14ac:dyDescent="0.25">
      <c r="A272">
        <v>825</v>
      </c>
      <c r="B272" t="s">
        <v>156</v>
      </c>
      <c r="C272">
        <v>2019</v>
      </c>
      <c r="D272">
        <v>10</v>
      </c>
      <c r="E272" t="s">
        <v>100</v>
      </c>
      <c r="F272" t="s">
        <v>426</v>
      </c>
      <c r="G272" t="s">
        <v>427</v>
      </c>
      <c r="H272" t="s">
        <v>84</v>
      </c>
      <c r="I272" t="s">
        <v>428</v>
      </c>
      <c r="J272" t="s">
        <v>381</v>
      </c>
      <c r="K272">
        <v>-2130.6014798900001</v>
      </c>
      <c r="L272" t="s">
        <v>381</v>
      </c>
      <c r="M272" t="s">
        <v>384</v>
      </c>
      <c r="N272">
        <v>0.11701058843211</v>
      </c>
      <c r="O272">
        <v>249.30293287625329</v>
      </c>
      <c r="P272" t="s">
        <v>440</v>
      </c>
      <c r="Q272">
        <v>2</v>
      </c>
      <c r="R272">
        <v>28.410399999999999</v>
      </c>
      <c r="S272">
        <v>5.8999999999999997E-2</v>
      </c>
      <c r="T272">
        <v>1.6762136000000001</v>
      </c>
      <c r="U272">
        <v>1.9E-2</v>
      </c>
      <c r="V272">
        <v>31.847999999999999</v>
      </c>
      <c r="W272">
        <v>2</v>
      </c>
      <c r="X272">
        <v>2.2427911090000001E-3</v>
      </c>
      <c r="Y272">
        <v>0.14285700000000001</v>
      </c>
      <c r="Z272" s="60">
        <v>35.614668999999999</v>
      </c>
      <c r="AA272" t="s">
        <v>347</v>
      </c>
      <c r="AB272" t="s">
        <v>437</v>
      </c>
      <c r="AC272" t="s">
        <v>425</v>
      </c>
      <c r="AD272" t="s">
        <v>81</v>
      </c>
      <c r="AE272">
        <v>111.133</v>
      </c>
      <c r="AF272">
        <v>1.0541007448257309</v>
      </c>
      <c r="AG272">
        <v>117.145378074718</v>
      </c>
      <c r="AH272">
        <v>640.82000000000005</v>
      </c>
      <c r="AI272">
        <v>1</v>
      </c>
      <c r="AJ272">
        <v>75.069101177840764</v>
      </c>
      <c r="AK272">
        <v>0.93830000000000002</v>
      </c>
      <c r="AL272" s="62">
        <v>70.436999999999998</v>
      </c>
      <c r="AM272">
        <v>8.9176000000000002</v>
      </c>
      <c r="AN272">
        <v>9.4000488020579382</v>
      </c>
      <c r="AO272">
        <v>1</v>
      </c>
      <c r="AP272">
        <v>6023.7392733347688</v>
      </c>
      <c r="AQ272">
        <v>1.098016605166052</v>
      </c>
      <c r="AR272">
        <v>6614.1656999999996</v>
      </c>
      <c r="AS272" s="60">
        <v>235561.32211665329</v>
      </c>
      <c r="AT272" t="s">
        <v>347</v>
      </c>
      <c r="AU272" t="s">
        <v>437</v>
      </c>
      <c r="AV272" t="s">
        <v>425</v>
      </c>
      <c r="AW272" t="s">
        <v>81</v>
      </c>
      <c r="AX272">
        <v>111.133</v>
      </c>
      <c r="AY272">
        <v>1.0541007448257309</v>
      </c>
      <c r="AZ272">
        <v>117.145378074718</v>
      </c>
      <c r="BA272">
        <v>640.82000000000005</v>
      </c>
      <c r="BB272">
        <v>1</v>
      </c>
      <c r="BC272">
        <v>75.069101177840764</v>
      </c>
      <c r="BD272">
        <v>0.93830000000000002</v>
      </c>
      <c r="BE272" s="62">
        <v>70.436999999999998</v>
      </c>
      <c r="BF272">
        <v>8.9176000000000002</v>
      </c>
      <c r="BG272">
        <v>1</v>
      </c>
      <c r="BH272">
        <v>6023.7392733347688</v>
      </c>
      <c r="BI272">
        <v>1.098016605166052</v>
      </c>
      <c r="BJ272" s="62">
        <v>6614.1656999999996</v>
      </c>
      <c r="BK272" s="60">
        <v>235561.32211665329</v>
      </c>
    </row>
    <row r="273" spans="1:63" x14ac:dyDescent="0.25">
      <c r="A273">
        <v>825</v>
      </c>
      <c r="B273" t="s">
        <v>156</v>
      </c>
      <c r="C273">
        <v>2019</v>
      </c>
      <c r="D273">
        <v>10</v>
      </c>
      <c r="E273" t="s">
        <v>100</v>
      </c>
      <c r="F273" t="s">
        <v>426</v>
      </c>
      <c r="G273" t="s">
        <v>427</v>
      </c>
      <c r="H273" t="s">
        <v>84</v>
      </c>
      <c r="I273" t="s">
        <v>429</v>
      </c>
      <c r="J273" t="s">
        <v>87</v>
      </c>
      <c r="K273">
        <v>-444.60727349000001</v>
      </c>
      <c r="L273" t="s">
        <v>87</v>
      </c>
      <c r="M273" t="s">
        <v>384</v>
      </c>
      <c r="N273">
        <v>9.7514538340500001E-2</v>
      </c>
      <c r="O273">
        <v>43.355673017205767</v>
      </c>
      <c r="P273" t="s">
        <v>440</v>
      </c>
      <c r="Q273">
        <v>2</v>
      </c>
      <c r="R273">
        <v>28.410399999999999</v>
      </c>
      <c r="S273">
        <v>5.8999999999999997E-2</v>
      </c>
      <c r="T273">
        <v>1.6762136000000001</v>
      </c>
      <c r="U273">
        <v>1.9E-2</v>
      </c>
      <c r="V273">
        <v>31.847999999999999</v>
      </c>
      <c r="W273">
        <v>2</v>
      </c>
      <c r="X273">
        <v>2.2427911090000001E-3</v>
      </c>
      <c r="Y273">
        <v>0.14285700000000001</v>
      </c>
      <c r="Z273" s="60">
        <v>6.1936609999999996</v>
      </c>
      <c r="AA273" t="s">
        <v>347</v>
      </c>
      <c r="AB273" t="s">
        <v>437</v>
      </c>
      <c r="AC273" t="s">
        <v>425</v>
      </c>
      <c r="AD273" t="s">
        <v>81</v>
      </c>
      <c r="AE273">
        <v>111.133</v>
      </c>
      <c r="AF273">
        <v>1.0541007448257309</v>
      </c>
      <c r="AG273">
        <v>117.145378074718</v>
      </c>
      <c r="AH273">
        <v>640.82000000000005</v>
      </c>
      <c r="AI273">
        <v>1</v>
      </c>
      <c r="AJ273">
        <v>75.069101177840764</v>
      </c>
      <c r="AK273">
        <v>0.93830000000000002</v>
      </c>
      <c r="AL273" s="62">
        <v>70.436999999999998</v>
      </c>
      <c r="AM273">
        <v>8.9176000000000002</v>
      </c>
      <c r="AN273">
        <v>9.4000488020579382</v>
      </c>
      <c r="AO273">
        <v>1</v>
      </c>
      <c r="AP273">
        <v>6023.7392733347688</v>
      </c>
      <c r="AQ273">
        <v>1.098016605166052</v>
      </c>
      <c r="AR273">
        <v>6614.1656999999996</v>
      </c>
      <c r="AS273" s="60">
        <v>40965.900143627703</v>
      </c>
      <c r="AT273" t="s">
        <v>347</v>
      </c>
      <c r="AU273" t="s">
        <v>437</v>
      </c>
      <c r="AV273" t="s">
        <v>425</v>
      </c>
      <c r="AW273" t="s">
        <v>81</v>
      </c>
      <c r="AX273">
        <v>111.133</v>
      </c>
      <c r="AY273">
        <v>1.0541007448257309</v>
      </c>
      <c r="AZ273">
        <v>117.145378074718</v>
      </c>
      <c r="BA273">
        <v>640.82000000000005</v>
      </c>
      <c r="BB273">
        <v>1</v>
      </c>
      <c r="BC273">
        <v>75.069101177840764</v>
      </c>
      <c r="BD273">
        <v>0.93830000000000002</v>
      </c>
      <c r="BE273" s="62">
        <v>70.436999999999998</v>
      </c>
      <c r="BF273">
        <v>8.9176000000000002</v>
      </c>
      <c r="BG273">
        <v>1</v>
      </c>
      <c r="BH273">
        <v>6023.7392733347688</v>
      </c>
      <c r="BI273">
        <v>1.098016605166052</v>
      </c>
      <c r="BJ273" s="62">
        <v>6614.1656999999996</v>
      </c>
      <c r="BK273" s="60">
        <v>40965.900143627703</v>
      </c>
    </row>
    <row r="274" spans="1:63" x14ac:dyDescent="0.25">
      <c r="A274">
        <v>825</v>
      </c>
      <c r="B274" t="s">
        <v>156</v>
      </c>
      <c r="C274">
        <v>2019</v>
      </c>
      <c r="D274">
        <v>10</v>
      </c>
      <c r="E274" t="s">
        <v>100</v>
      </c>
      <c r="F274" t="s">
        <v>426</v>
      </c>
      <c r="G274" t="s">
        <v>427</v>
      </c>
      <c r="H274" t="s">
        <v>84</v>
      </c>
      <c r="I274" t="s">
        <v>430</v>
      </c>
      <c r="J274" t="s">
        <v>59</v>
      </c>
      <c r="K274">
        <v>-833.25848082000005</v>
      </c>
      <c r="L274" t="s">
        <v>59</v>
      </c>
      <c r="M274" t="s">
        <v>384</v>
      </c>
      <c r="N274">
        <v>9.9723560464940006E-2</v>
      </c>
      <c r="O274">
        <v>83.09550249497731</v>
      </c>
      <c r="P274" t="s">
        <v>440</v>
      </c>
      <c r="Q274">
        <v>2</v>
      </c>
      <c r="R274">
        <v>28.410399999999999</v>
      </c>
      <c r="S274">
        <v>5.8999999999999997E-2</v>
      </c>
      <c r="T274">
        <v>1.6762136000000001</v>
      </c>
      <c r="U274">
        <v>1.9E-2</v>
      </c>
      <c r="V274">
        <v>31.847999999999999</v>
      </c>
      <c r="W274">
        <v>2</v>
      </c>
      <c r="X274">
        <v>2.2427911090000001E-3</v>
      </c>
      <c r="Y274">
        <v>0.14285700000000001</v>
      </c>
      <c r="Z274" s="60">
        <v>11.870774000000001</v>
      </c>
      <c r="AA274" t="s">
        <v>347</v>
      </c>
      <c r="AB274" t="s">
        <v>437</v>
      </c>
      <c r="AC274" t="s">
        <v>425</v>
      </c>
      <c r="AD274" t="s">
        <v>81</v>
      </c>
      <c r="AE274">
        <v>111.133</v>
      </c>
      <c r="AF274">
        <v>1.0541007448257309</v>
      </c>
      <c r="AG274">
        <v>117.145378074718</v>
      </c>
      <c r="AH274">
        <v>640.82000000000005</v>
      </c>
      <c r="AI274">
        <v>1</v>
      </c>
      <c r="AJ274">
        <v>75.069101177840764</v>
      </c>
      <c r="AK274">
        <v>0.93830000000000002</v>
      </c>
      <c r="AL274" s="62">
        <v>70.436999999999998</v>
      </c>
      <c r="AM274">
        <v>8.9176000000000002</v>
      </c>
      <c r="AN274">
        <v>9.4000488020579382</v>
      </c>
      <c r="AO274">
        <v>1</v>
      </c>
      <c r="AP274">
        <v>6023.7392733347688</v>
      </c>
      <c r="AQ274">
        <v>1.098016605166052</v>
      </c>
      <c r="AR274">
        <v>6614.1656999999996</v>
      </c>
      <c r="AS274" s="60">
        <v>78515.266223251805</v>
      </c>
      <c r="AT274" t="s">
        <v>347</v>
      </c>
      <c r="AU274" t="s">
        <v>437</v>
      </c>
      <c r="AV274" t="s">
        <v>425</v>
      </c>
      <c r="AW274" t="s">
        <v>81</v>
      </c>
      <c r="AX274">
        <v>111.133</v>
      </c>
      <c r="AY274">
        <v>1.0541007448257309</v>
      </c>
      <c r="AZ274">
        <v>117.145378074718</v>
      </c>
      <c r="BA274">
        <v>640.82000000000005</v>
      </c>
      <c r="BB274">
        <v>1</v>
      </c>
      <c r="BC274">
        <v>75.069101177840764</v>
      </c>
      <c r="BD274">
        <v>0.93830000000000002</v>
      </c>
      <c r="BE274" s="62">
        <v>70.436999999999998</v>
      </c>
      <c r="BF274">
        <v>8.9176000000000002</v>
      </c>
      <c r="BG274">
        <v>1</v>
      </c>
      <c r="BH274">
        <v>6023.7392733347688</v>
      </c>
      <c r="BI274">
        <v>1.098016605166052</v>
      </c>
      <c r="BJ274" s="62">
        <v>6614.1656999999996</v>
      </c>
      <c r="BK274" s="60">
        <v>78515.266223251805</v>
      </c>
    </row>
    <row r="275" spans="1:63" x14ac:dyDescent="0.25">
      <c r="A275">
        <v>827</v>
      </c>
      <c r="B275" t="s">
        <v>156</v>
      </c>
      <c r="C275">
        <v>2019</v>
      </c>
      <c r="D275">
        <v>10</v>
      </c>
      <c r="E275" t="s">
        <v>100</v>
      </c>
      <c r="F275" t="s">
        <v>426</v>
      </c>
      <c r="G275" t="s">
        <v>427</v>
      </c>
      <c r="H275" t="s">
        <v>84</v>
      </c>
      <c r="I275" t="s">
        <v>428</v>
      </c>
      <c r="J275" t="s">
        <v>381</v>
      </c>
      <c r="K275">
        <v>-2130.6014798900001</v>
      </c>
      <c r="L275" t="s">
        <v>381</v>
      </c>
      <c r="M275" t="s">
        <v>385</v>
      </c>
      <c r="N275">
        <v>0.54567226407055003</v>
      </c>
      <c r="O275">
        <v>1162.6101333636409</v>
      </c>
      <c r="P275" t="s">
        <v>440</v>
      </c>
      <c r="Q275">
        <v>2</v>
      </c>
      <c r="R275">
        <v>28.410399999999999</v>
      </c>
      <c r="S275">
        <v>5.8999999999999997E-2</v>
      </c>
      <c r="T275">
        <v>1.6762136000000001</v>
      </c>
      <c r="U275">
        <v>0.98099999999999998</v>
      </c>
      <c r="V275">
        <v>1644.366</v>
      </c>
      <c r="W275">
        <v>2</v>
      </c>
      <c r="X275">
        <v>4.3438379000000003E-5</v>
      </c>
      <c r="Y275">
        <v>0.14285700000000001</v>
      </c>
      <c r="Z275" s="60">
        <v>166.086996</v>
      </c>
      <c r="AA275" t="s">
        <v>347</v>
      </c>
      <c r="AB275" t="s">
        <v>437</v>
      </c>
      <c r="AC275" t="s">
        <v>425</v>
      </c>
      <c r="AD275" t="s">
        <v>27</v>
      </c>
      <c r="AE275">
        <v>111.133</v>
      </c>
      <c r="AF275">
        <v>1.0541007448257309</v>
      </c>
      <c r="AG275">
        <v>117.145378074718</v>
      </c>
      <c r="AH275">
        <v>640.82000000000005</v>
      </c>
      <c r="AI275">
        <v>1</v>
      </c>
      <c r="AJ275">
        <v>75.069101177840764</v>
      </c>
      <c r="AK275">
        <v>0.95889999999999997</v>
      </c>
      <c r="AL275" s="62">
        <v>71.983999999999995</v>
      </c>
      <c r="AM275">
        <v>8.9176000000000002</v>
      </c>
      <c r="AN275">
        <v>9.4000488020579382</v>
      </c>
      <c r="AO275">
        <v>1</v>
      </c>
      <c r="AP275">
        <v>6023.7392733347688</v>
      </c>
      <c r="AQ275">
        <v>0.99097621000820357</v>
      </c>
      <c r="AR275">
        <v>5969.3823000000002</v>
      </c>
      <c r="AS275" s="60">
        <v>991436.77418257087</v>
      </c>
      <c r="AT275" t="s">
        <v>347</v>
      </c>
      <c r="AU275" t="s">
        <v>437</v>
      </c>
      <c r="AV275" t="s">
        <v>425</v>
      </c>
      <c r="AW275" t="s">
        <v>27</v>
      </c>
      <c r="AX275">
        <v>111.133</v>
      </c>
      <c r="AY275">
        <v>1.0541007448257309</v>
      </c>
      <c r="AZ275">
        <v>117.145378074718</v>
      </c>
      <c r="BA275">
        <v>640.82000000000005</v>
      </c>
      <c r="BB275">
        <v>1</v>
      </c>
      <c r="BC275">
        <v>75.069101177840764</v>
      </c>
      <c r="BD275">
        <v>0.95889999999999997</v>
      </c>
      <c r="BE275" s="62">
        <v>71.983999999999995</v>
      </c>
      <c r="BF275">
        <v>8.9176000000000002</v>
      </c>
      <c r="BG275">
        <v>1</v>
      </c>
      <c r="BH275">
        <v>6023.7392733347688</v>
      </c>
      <c r="BI275">
        <v>0.99097621000820357</v>
      </c>
      <c r="BJ275" s="62">
        <v>5969.3823000000002</v>
      </c>
      <c r="BK275" s="60">
        <v>991436.77418257087</v>
      </c>
    </row>
    <row r="276" spans="1:63" x14ac:dyDescent="0.25">
      <c r="A276">
        <v>827</v>
      </c>
      <c r="B276" t="s">
        <v>156</v>
      </c>
      <c r="C276">
        <v>2019</v>
      </c>
      <c r="D276">
        <v>10</v>
      </c>
      <c r="E276" t="s">
        <v>100</v>
      </c>
      <c r="F276" t="s">
        <v>426</v>
      </c>
      <c r="G276" t="s">
        <v>427</v>
      </c>
      <c r="H276" t="s">
        <v>84</v>
      </c>
      <c r="I276" t="s">
        <v>429</v>
      </c>
      <c r="J276" t="s">
        <v>87</v>
      </c>
      <c r="K276">
        <v>-444.60727349000001</v>
      </c>
      <c r="L276" t="s">
        <v>87</v>
      </c>
      <c r="M276" t="s">
        <v>385</v>
      </c>
      <c r="N276">
        <v>0.46576586246396001</v>
      </c>
      <c r="O276">
        <v>207.08289019481961</v>
      </c>
      <c r="P276" t="s">
        <v>440</v>
      </c>
      <c r="Q276">
        <v>2</v>
      </c>
      <c r="R276">
        <v>28.410399999999999</v>
      </c>
      <c r="S276">
        <v>5.8999999999999997E-2</v>
      </c>
      <c r="T276">
        <v>1.6762136000000001</v>
      </c>
      <c r="U276">
        <v>0.98099999999999998</v>
      </c>
      <c r="V276">
        <v>1644.366</v>
      </c>
      <c r="W276">
        <v>2</v>
      </c>
      <c r="X276">
        <v>4.3438379000000003E-5</v>
      </c>
      <c r="Y276">
        <v>0.14285700000000001</v>
      </c>
      <c r="Z276" s="60">
        <v>29.58324</v>
      </c>
      <c r="AA276" t="s">
        <v>347</v>
      </c>
      <c r="AB276" t="s">
        <v>437</v>
      </c>
      <c r="AC276" t="s">
        <v>425</v>
      </c>
      <c r="AD276" t="s">
        <v>27</v>
      </c>
      <c r="AE276">
        <v>111.133</v>
      </c>
      <c r="AF276">
        <v>1.0541007448257309</v>
      </c>
      <c r="AG276">
        <v>117.145378074718</v>
      </c>
      <c r="AH276">
        <v>640.82000000000005</v>
      </c>
      <c r="AI276">
        <v>1</v>
      </c>
      <c r="AJ276">
        <v>75.069101177840764</v>
      </c>
      <c r="AK276">
        <v>0.95889999999999997</v>
      </c>
      <c r="AL276" s="62">
        <v>71.983999999999995</v>
      </c>
      <c r="AM276">
        <v>8.9176000000000002</v>
      </c>
      <c r="AN276">
        <v>9.4000488020579382</v>
      </c>
      <c r="AO276">
        <v>1</v>
      </c>
      <c r="AP276">
        <v>6023.7392733347688</v>
      </c>
      <c r="AQ276">
        <v>0.99097621000820357</v>
      </c>
      <c r="AR276">
        <v>5969.3823000000002</v>
      </c>
      <c r="AS276" s="60">
        <v>176593.669232652</v>
      </c>
      <c r="AT276" t="s">
        <v>347</v>
      </c>
      <c r="AU276" t="s">
        <v>437</v>
      </c>
      <c r="AV276" t="s">
        <v>425</v>
      </c>
      <c r="AW276" t="s">
        <v>27</v>
      </c>
      <c r="AX276">
        <v>111.133</v>
      </c>
      <c r="AY276">
        <v>1.0541007448257309</v>
      </c>
      <c r="AZ276">
        <v>117.145378074718</v>
      </c>
      <c r="BA276">
        <v>640.82000000000005</v>
      </c>
      <c r="BB276">
        <v>1</v>
      </c>
      <c r="BC276">
        <v>75.069101177840764</v>
      </c>
      <c r="BD276">
        <v>0.95889999999999997</v>
      </c>
      <c r="BE276" s="62">
        <v>71.983999999999995</v>
      </c>
      <c r="BF276">
        <v>8.9176000000000002</v>
      </c>
      <c r="BG276">
        <v>1</v>
      </c>
      <c r="BH276">
        <v>6023.7392733347688</v>
      </c>
      <c r="BI276">
        <v>0.99097621000820357</v>
      </c>
      <c r="BJ276" s="62">
        <v>5969.3823000000002</v>
      </c>
      <c r="BK276" s="60">
        <v>176593.669232652</v>
      </c>
    </row>
    <row r="277" spans="1:63" x14ac:dyDescent="0.25">
      <c r="A277">
        <v>827</v>
      </c>
      <c r="B277" t="s">
        <v>156</v>
      </c>
      <c r="C277">
        <v>2019</v>
      </c>
      <c r="D277">
        <v>10</v>
      </c>
      <c r="E277" t="s">
        <v>100</v>
      </c>
      <c r="F277" t="s">
        <v>426</v>
      </c>
      <c r="G277" t="s">
        <v>427</v>
      </c>
      <c r="H277" t="s">
        <v>84</v>
      </c>
      <c r="I277" t="s">
        <v>430</v>
      </c>
      <c r="J277" t="s">
        <v>59</v>
      </c>
      <c r="K277">
        <v>-833.25848082000005</v>
      </c>
      <c r="L277" t="s">
        <v>59</v>
      </c>
      <c r="M277" t="s">
        <v>385</v>
      </c>
      <c r="N277">
        <v>0.54314598235954004</v>
      </c>
      <c r="O277">
        <v>452.58099612439679</v>
      </c>
      <c r="P277" t="s">
        <v>440</v>
      </c>
      <c r="Q277">
        <v>2</v>
      </c>
      <c r="R277">
        <v>28.410399999999999</v>
      </c>
      <c r="S277">
        <v>5.8999999999999997E-2</v>
      </c>
      <c r="T277">
        <v>1.6762136000000001</v>
      </c>
      <c r="U277">
        <v>0.98099999999999998</v>
      </c>
      <c r="V277">
        <v>1644.366</v>
      </c>
      <c r="W277">
        <v>2</v>
      </c>
      <c r="X277">
        <v>4.3438379000000003E-5</v>
      </c>
      <c r="Y277">
        <v>0.14285700000000001</v>
      </c>
      <c r="Z277" s="60">
        <v>64.654363000000004</v>
      </c>
      <c r="AA277" t="s">
        <v>347</v>
      </c>
      <c r="AB277" t="s">
        <v>437</v>
      </c>
      <c r="AC277" t="s">
        <v>425</v>
      </c>
      <c r="AD277" t="s">
        <v>27</v>
      </c>
      <c r="AE277">
        <v>111.133</v>
      </c>
      <c r="AF277">
        <v>1.0541007448257309</v>
      </c>
      <c r="AG277">
        <v>117.145378074718</v>
      </c>
      <c r="AH277">
        <v>640.82000000000005</v>
      </c>
      <c r="AI277">
        <v>1</v>
      </c>
      <c r="AJ277">
        <v>75.069101177840764</v>
      </c>
      <c r="AK277">
        <v>0.95889999999999997</v>
      </c>
      <c r="AL277" s="62">
        <v>71.983999999999995</v>
      </c>
      <c r="AM277">
        <v>8.9176000000000002</v>
      </c>
      <c r="AN277">
        <v>9.4000488020579382</v>
      </c>
      <c r="AO277">
        <v>1</v>
      </c>
      <c r="AP277">
        <v>6023.7392733347688</v>
      </c>
      <c r="AQ277">
        <v>0.99097621000820357</v>
      </c>
      <c r="AR277">
        <v>5969.3823000000002</v>
      </c>
      <c r="AS277" s="60">
        <v>385946.61010997492</v>
      </c>
      <c r="AT277" t="s">
        <v>347</v>
      </c>
      <c r="AU277" t="s">
        <v>437</v>
      </c>
      <c r="AV277" t="s">
        <v>425</v>
      </c>
      <c r="AW277" t="s">
        <v>27</v>
      </c>
      <c r="AX277">
        <v>111.133</v>
      </c>
      <c r="AY277">
        <v>1.0541007448257309</v>
      </c>
      <c r="AZ277">
        <v>117.145378074718</v>
      </c>
      <c r="BA277">
        <v>640.82000000000005</v>
      </c>
      <c r="BB277">
        <v>1</v>
      </c>
      <c r="BC277">
        <v>75.069101177840764</v>
      </c>
      <c r="BD277">
        <v>0.95889999999999997</v>
      </c>
      <c r="BE277" s="62">
        <v>71.983999999999995</v>
      </c>
      <c r="BF277">
        <v>8.9176000000000002</v>
      </c>
      <c r="BG277">
        <v>1</v>
      </c>
      <c r="BH277">
        <v>6023.7392733347688</v>
      </c>
      <c r="BI277">
        <v>0.99097621000820357</v>
      </c>
      <c r="BJ277" s="62">
        <v>5969.3823000000002</v>
      </c>
      <c r="BK277" s="60">
        <v>385946.61010997492</v>
      </c>
    </row>
    <row r="278" spans="1:63" x14ac:dyDescent="0.25">
      <c r="A278">
        <v>851</v>
      </c>
      <c r="B278" t="s">
        <v>155</v>
      </c>
      <c r="C278">
        <v>2019</v>
      </c>
      <c r="D278">
        <v>11</v>
      </c>
      <c r="E278" t="s">
        <v>100</v>
      </c>
      <c r="F278" t="s">
        <v>426</v>
      </c>
      <c r="G278" t="s">
        <v>427</v>
      </c>
      <c r="H278" t="s">
        <v>84</v>
      </c>
      <c r="I278" t="s">
        <v>428</v>
      </c>
      <c r="J278" t="s">
        <v>381</v>
      </c>
      <c r="K278">
        <v>-2680.4962290200001</v>
      </c>
      <c r="L278" t="s">
        <v>381</v>
      </c>
      <c r="M278" t="s">
        <v>384</v>
      </c>
      <c r="N278">
        <v>0.11701058843206</v>
      </c>
      <c r="O278">
        <v>313.64644104754808</v>
      </c>
      <c r="P278" t="s">
        <v>440</v>
      </c>
      <c r="Q278">
        <v>2</v>
      </c>
      <c r="R278">
        <v>28.410399999999999</v>
      </c>
      <c r="S278">
        <v>9.2999999999999999E-2</v>
      </c>
      <c r="T278">
        <v>2.6421671999999998</v>
      </c>
      <c r="U278">
        <v>1.9E-2</v>
      </c>
      <c r="V278">
        <v>50.201000000000001</v>
      </c>
      <c r="W278">
        <v>2</v>
      </c>
      <c r="X278">
        <v>1.422847516E-3</v>
      </c>
      <c r="Y278">
        <v>0.14285700000000001</v>
      </c>
      <c r="Z278" s="60">
        <v>44.80659</v>
      </c>
      <c r="AA278" t="s">
        <v>347</v>
      </c>
      <c r="AB278" t="s">
        <v>437</v>
      </c>
      <c r="AC278" t="s">
        <v>425</v>
      </c>
      <c r="AD278" t="s">
        <v>81</v>
      </c>
      <c r="AE278">
        <v>111.133</v>
      </c>
      <c r="AF278">
        <v>1.0541007448257309</v>
      </c>
      <c r="AG278">
        <v>117.145378074718</v>
      </c>
      <c r="AH278">
        <v>640.82000000000005</v>
      </c>
      <c r="AI278">
        <v>1</v>
      </c>
      <c r="AJ278">
        <v>75.069101177840764</v>
      </c>
      <c r="AK278">
        <v>0.93830000000000002</v>
      </c>
      <c r="AL278" s="62">
        <v>70.436999999999998</v>
      </c>
      <c r="AM278">
        <v>8.9176000000000002</v>
      </c>
      <c r="AN278">
        <v>9.4000488020579382</v>
      </c>
      <c r="AO278">
        <v>1</v>
      </c>
      <c r="AP278">
        <v>6023.7392733347688</v>
      </c>
      <c r="AQ278">
        <v>1.098016605166052</v>
      </c>
      <c r="AR278">
        <v>6614.1656999999996</v>
      </c>
      <c r="AS278" s="60">
        <v>296358.21071196301</v>
      </c>
      <c r="AT278" t="s">
        <v>347</v>
      </c>
      <c r="AU278" t="s">
        <v>437</v>
      </c>
      <c r="AV278" t="s">
        <v>425</v>
      </c>
      <c r="AW278" t="s">
        <v>81</v>
      </c>
      <c r="AX278">
        <v>111.133</v>
      </c>
      <c r="AY278">
        <v>1.0541007448257309</v>
      </c>
      <c r="AZ278">
        <v>117.145378074718</v>
      </c>
      <c r="BA278">
        <v>640.82000000000005</v>
      </c>
      <c r="BB278">
        <v>1</v>
      </c>
      <c r="BC278">
        <v>75.069101177840764</v>
      </c>
      <c r="BD278">
        <v>0.93830000000000002</v>
      </c>
      <c r="BE278" s="62">
        <v>70.436999999999998</v>
      </c>
      <c r="BF278">
        <v>8.9176000000000002</v>
      </c>
      <c r="BG278">
        <v>1</v>
      </c>
      <c r="BH278">
        <v>6023.7392733347688</v>
      </c>
      <c r="BI278">
        <v>1.098016605166052</v>
      </c>
      <c r="BJ278" s="62">
        <v>6614.1656999999996</v>
      </c>
      <c r="BK278" s="60">
        <v>296358.21071196301</v>
      </c>
    </row>
    <row r="279" spans="1:63" x14ac:dyDescent="0.25">
      <c r="A279">
        <v>851</v>
      </c>
      <c r="B279" t="s">
        <v>155</v>
      </c>
      <c r="C279">
        <v>2019</v>
      </c>
      <c r="D279">
        <v>11</v>
      </c>
      <c r="E279" t="s">
        <v>100</v>
      </c>
      <c r="F279" t="s">
        <v>426</v>
      </c>
      <c r="G279" t="s">
        <v>427</v>
      </c>
      <c r="H279" t="s">
        <v>84</v>
      </c>
      <c r="I279" t="s">
        <v>429</v>
      </c>
      <c r="J279" t="s">
        <v>87</v>
      </c>
      <c r="K279">
        <v>-962.14798568000003</v>
      </c>
      <c r="L279" t="s">
        <v>87</v>
      </c>
      <c r="M279" t="s">
        <v>384</v>
      </c>
      <c r="N279">
        <v>9.7514538340349996E-2</v>
      </c>
      <c r="O279">
        <v>93.823416638682886</v>
      </c>
      <c r="P279" t="s">
        <v>440</v>
      </c>
      <c r="Q279">
        <v>2</v>
      </c>
      <c r="R279">
        <v>28.410399999999999</v>
      </c>
      <c r="S279">
        <v>9.2999999999999999E-2</v>
      </c>
      <c r="T279">
        <v>2.6421671999999998</v>
      </c>
      <c r="U279">
        <v>1.9E-2</v>
      </c>
      <c r="V279">
        <v>50.201000000000001</v>
      </c>
      <c r="W279">
        <v>2</v>
      </c>
      <c r="X279">
        <v>1.422847516E-3</v>
      </c>
      <c r="Y279">
        <v>0.14285700000000001</v>
      </c>
      <c r="Z279" s="60">
        <v>13.403332000000001</v>
      </c>
      <c r="AA279" t="s">
        <v>347</v>
      </c>
      <c r="AB279" t="s">
        <v>437</v>
      </c>
      <c r="AC279" t="s">
        <v>425</v>
      </c>
      <c r="AD279" t="s">
        <v>81</v>
      </c>
      <c r="AE279">
        <v>111.133</v>
      </c>
      <c r="AF279">
        <v>1.0541007448257309</v>
      </c>
      <c r="AG279">
        <v>117.145378074718</v>
      </c>
      <c r="AH279">
        <v>640.82000000000005</v>
      </c>
      <c r="AI279">
        <v>1</v>
      </c>
      <c r="AJ279">
        <v>75.069101177840764</v>
      </c>
      <c r="AK279">
        <v>0.93830000000000002</v>
      </c>
      <c r="AL279" s="62">
        <v>70.436999999999998</v>
      </c>
      <c r="AM279">
        <v>8.9176000000000002</v>
      </c>
      <c r="AN279">
        <v>9.4000488020579382</v>
      </c>
      <c r="AO279">
        <v>1</v>
      </c>
      <c r="AP279">
        <v>6023.7392733347688</v>
      </c>
      <c r="AQ279">
        <v>1.098016605166052</v>
      </c>
      <c r="AR279">
        <v>6614.1656999999996</v>
      </c>
      <c r="AS279" s="60">
        <v>88651.858780112394</v>
      </c>
      <c r="AT279" t="s">
        <v>347</v>
      </c>
      <c r="AU279" t="s">
        <v>437</v>
      </c>
      <c r="AV279" t="s">
        <v>425</v>
      </c>
      <c r="AW279" t="s">
        <v>81</v>
      </c>
      <c r="AX279">
        <v>111.133</v>
      </c>
      <c r="AY279">
        <v>1.0541007448257309</v>
      </c>
      <c r="AZ279">
        <v>117.145378074718</v>
      </c>
      <c r="BA279">
        <v>640.82000000000005</v>
      </c>
      <c r="BB279">
        <v>1</v>
      </c>
      <c r="BC279">
        <v>75.069101177840764</v>
      </c>
      <c r="BD279">
        <v>0.93830000000000002</v>
      </c>
      <c r="BE279" s="62">
        <v>70.436999999999998</v>
      </c>
      <c r="BF279">
        <v>8.9176000000000002</v>
      </c>
      <c r="BG279">
        <v>1</v>
      </c>
      <c r="BH279">
        <v>6023.7392733347688</v>
      </c>
      <c r="BI279">
        <v>1.098016605166052</v>
      </c>
      <c r="BJ279" s="62">
        <v>6614.1656999999996</v>
      </c>
      <c r="BK279" s="60">
        <v>88651.858780112394</v>
      </c>
    </row>
    <row r="280" spans="1:63" x14ac:dyDescent="0.25">
      <c r="A280">
        <v>851</v>
      </c>
      <c r="B280" t="s">
        <v>155</v>
      </c>
      <c r="C280">
        <v>2019</v>
      </c>
      <c r="D280">
        <v>11</v>
      </c>
      <c r="E280" t="s">
        <v>100</v>
      </c>
      <c r="F280" t="s">
        <v>426</v>
      </c>
      <c r="G280" t="s">
        <v>427</v>
      </c>
      <c r="H280" t="s">
        <v>84</v>
      </c>
      <c r="I280" t="s">
        <v>430</v>
      </c>
      <c r="J280" t="s">
        <v>59</v>
      </c>
      <c r="K280">
        <v>-766.34341703999996</v>
      </c>
      <c r="L280" t="s">
        <v>59</v>
      </c>
      <c r="M280" t="s">
        <v>384</v>
      </c>
      <c r="N280">
        <v>9.972356046519E-2</v>
      </c>
      <c r="O280">
        <v>76.422494086288751</v>
      </c>
      <c r="P280" t="s">
        <v>440</v>
      </c>
      <c r="Q280">
        <v>2</v>
      </c>
      <c r="R280">
        <v>28.410399999999999</v>
      </c>
      <c r="S280">
        <v>9.2999999999999999E-2</v>
      </c>
      <c r="T280">
        <v>2.6421671999999998</v>
      </c>
      <c r="U280">
        <v>1.9E-2</v>
      </c>
      <c r="V280">
        <v>50.201000000000001</v>
      </c>
      <c r="W280">
        <v>2</v>
      </c>
      <c r="X280">
        <v>1.422847516E-3</v>
      </c>
      <c r="Y280">
        <v>0.14285700000000001</v>
      </c>
      <c r="Z280" s="60">
        <v>10.917488000000001</v>
      </c>
      <c r="AA280" t="s">
        <v>347</v>
      </c>
      <c r="AB280" t="s">
        <v>437</v>
      </c>
      <c r="AC280" t="s">
        <v>425</v>
      </c>
      <c r="AD280" t="s">
        <v>81</v>
      </c>
      <c r="AE280">
        <v>111.133</v>
      </c>
      <c r="AF280">
        <v>1.0541007448257309</v>
      </c>
      <c r="AG280">
        <v>117.145378074718</v>
      </c>
      <c r="AH280">
        <v>640.82000000000005</v>
      </c>
      <c r="AI280">
        <v>1</v>
      </c>
      <c r="AJ280">
        <v>75.069101177840764</v>
      </c>
      <c r="AK280">
        <v>0.93830000000000002</v>
      </c>
      <c r="AL280" s="62">
        <v>70.436999999999998</v>
      </c>
      <c r="AM280">
        <v>8.9176000000000002</v>
      </c>
      <c r="AN280">
        <v>9.4000488020579382</v>
      </c>
      <c r="AO280">
        <v>1</v>
      </c>
      <c r="AP280">
        <v>6023.7392733347688</v>
      </c>
      <c r="AQ280">
        <v>1.098016605166052</v>
      </c>
      <c r="AR280">
        <v>6614.1656999999996</v>
      </c>
      <c r="AS280" s="60">
        <v>72210.074659761594</v>
      </c>
      <c r="AT280" t="s">
        <v>347</v>
      </c>
      <c r="AU280" t="s">
        <v>437</v>
      </c>
      <c r="AV280" t="s">
        <v>425</v>
      </c>
      <c r="AW280" t="s">
        <v>81</v>
      </c>
      <c r="AX280">
        <v>111.133</v>
      </c>
      <c r="AY280">
        <v>1.0541007448257309</v>
      </c>
      <c r="AZ280">
        <v>117.145378074718</v>
      </c>
      <c r="BA280">
        <v>640.82000000000005</v>
      </c>
      <c r="BB280">
        <v>1</v>
      </c>
      <c r="BC280">
        <v>75.069101177840764</v>
      </c>
      <c r="BD280">
        <v>0.93830000000000002</v>
      </c>
      <c r="BE280" s="62">
        <v>70.436999999999998</v>
      </c>
      <c r="BF280">
        <v>8.9176000000000002</v>
      </c>
      <c r="BG280">
        <v>1</v>
      </c>
      <c r="BH280">
        <v>6023.7392733347688</v>
      </c>
      <c r="BI280">
        <v>1.098016605166052</v>
      </c>
      <c r="BJ280" s="62">
        <v>6614.1656999999996</v>
      </c>
      <c r="BK280" s="60">
        <v>72210.074659761594</v>
      </c>
    </row>
    <row r="281" spans="1:63" x14ac:dyDescent="0.25">
      <c r="A281">
        <v>853</v>
      </c>
      <c r="B281" t="s">
        <v>155</v>
      </c>
      <c r="C281">
        <v>2019</v>
      </c>
      <c r="D281">
        <v>11</v>
      </c>
      <c r="E281" t="s">
        <v>100</v>
      </c>
      <c r="F281" t="s">
        <v>426</v>
      </c>
      <c r="G281" t="s">
        <v>427</v>
      </c>
      <c r="H281" t="s">
        <v>84</v>
      </c>
      <c r="I281" t="s">
        <v>428</v>
      </c>
      <c r="J281" t="s">
        <v>381</v>
      </c>
      <c r="K281">
        <v>-2680.4962290200001</v>
      </c>
      <c r="L281" t="s">
        <v>381</v>
      </c>
      <c r="M281" t="s">
        <v>385</v>
      </c>
      <c r="N281">
        <v>0.54567226407074998</v>
      </c>
      <c r="O281">
        <v>1462.672446122451</v>
      </c>
      <c r="P281" t="s">
        <v>440</v>
      </c>
      <c r="Q281">
        <v>2</v>
      </c>
      <c r="R281">
        <v>28.410399999999999</v>
      </c>
      <c r="S281">
        <v>9.2999999999999999E-2</v>
      </c>
      <c r="T281">
        <v>2.6421671999999998</v>
      </c>
      <c r="U281">
        <v>0.98099999999999998</v>
      </c>
      <c r="V281">
        <v>2591.9659999999999</v>
      </c>
      <c r="W281">
        <v>2</v>
      </c>
      <c r="X281">
        <v>2.7557682E-5</v>
      </c>
      <c r="Y281">
        <v>0.14285700000000001</v>
      </c>
      <c r="Z281" s="60">
        <v>208.95299800000001</v>
      </c>
      <c r="AA281" t="s">
        <v>347</v>
      </c>
      <c r="AB281" t="s">
        <v>437</v>
      </c>
      <c r="AC281" t="s">
        <v>425</v>
      </c>
      <c r="AD281" t="s">
        <v>27</v>
      </c>
      <c r="AE281">
        <v>111.133</v>
      </c>
      <c r="AF281">
        <v>1.0541007448257309</v>
      </c>
      <c r="AG281">
        <v>117.145378074718</v>
      </c>
      <c r="AH281">
        <v>640.82000000000005</v>
      </c>
      <c r="AI281">
        <v>1</v>
      </c>
      <c r="AJ281">
        <v>75.069101177840764</v>
      </c>
      <c r="AK281">
        <v>0.95889999999999997</v>
      </c>
      <c r="AL281" s="62">
        <v>71.983999999999995</v>
      </c>
      <c r="AM281">
        <v>8.9176000000000002</v>
      </c>
      <c r="AN281">
        <v>9.4000488020579382</v>
      </c>
      <c r="AO281">
        <v>1</v>
      </c>
      <c r="AP281">
        <v>6023.7392733347688</v>
      </c>
      <c r="AQ281">
        <v>0.99097621000820357</v>
      </c>
      <c r="AR281">
        <v>5969.3823000000002</v>
      </c>
      <c r="AS281" s="60">
        <v>1247320.327793136</v>
      </c>
      <c r="AT281" t="s">
        <v>347</v>
      </c>
      <c r="AU281" t="s">
        <v>437</v>
      </c>
      <c r="AV281" t="s">
        <v>425</v>
      </c>
      <c r="AW281" t="s">
        <v>27</v>
      </c>
      <c r="AX281">
        <v>111.133</v>
      </c>
      <c r="AY281">
        <v>1.0541007448257309</v>
      </c>
      <c r="AZ281">
        <v>117.145378074718</v>
      </c>
      <c r="BA281">
        <v>640.82000000000005</v>
      </c>
      <c r="BB281">
        <v>1</v>
      </c>
      <c r="BC281">
        <v>75.069101177840764</v>
      </c>
      <c r="BD281">
        <v>0.95889999999999997</v>
      </c>
      <c r="BE281" s="62">
        <v>71.983999999999995</v>
      </c>
      <c r="BF281">
        <v>8.9176000000000002</v>
      </c>
      <c r="BG281">
        <v>1</v>
      </c>
      <c r="BH281">
        <v>6023.7392733347688</v>
      </c>
      <c r="BI281">
        <v>0.99097621000820357</v>
      </c>
      <c r="BJ281" s="62">
        <v>5969.3823000000002</v>
      </c>
      <c r="BK281" s="60">
        <v>1247320.327793136</v>
      </c>
    </row>
    <row r="282" spans="1:63" x14ac:dyDescent="0.25">
      <c r="A282">
        <v>853</v>
      </c>
      <c r="B282" t="s">
        <v>155</v>
      </c>
      <c r="C282">
        <v>2019</v>
      </c>
      <c r="D282">
        <v>11</v>
      </c>
      <c r="E282" t="s">
        <v>100</v>
      </c>
      <c r="F282" t="s">
        <v>426</v>
      </c>
      <c r="G282" t="s">
        <v>427</v>
      </c>
      <c r="H282" t="s">
        <v>84</v>
      </c>
      <c r="I282" t="s">
        <v>429</v>
      </c>
      <c r="J282" t="s">
        <v>87</v>
      </c>
      <c r="K282">
        <v>-962.14798568000003</v>
      </c>
      <c r="L282" t="s">
        <v>87</v>
      </c>
      <c r="M282" t="s">
        <v>385</v>
      </c>
      <c r="N282">
        <v>0.46576586246427998</v>
      </c>
      <c r="O282">
        <v>448.13568636851488</v>
      </c>
      <c r="P282" t="s">
        <v>440</v>
      </c>
      <c r="Q282">
        <v>2</v>
      </c>
      <c r="R282">
        <v>28.410399999999999</v>
      </c>
      <c r="S282">
        <v>9.2999999999999999E-2</v>
      </c>
      <c r="T282">
        <v>2.6421671999999998</v>
      </c>
      <c r="U282">
        <v>0.98099999999999998</v>
      </c>
      <c r="V282">
        <v>2591.9659999999999</v>
      </c>
      <c r="W282">
        <v>2</v>
      </c>
      <c r="X282">
        <v>2.7557682E-5</v>
      </c>
      <c r="Y282">
        <v>0.14285700000000001</v>
      </c>
      <c r="Z282" s="60">
        <v>64.019319999999993</v>
      </c>
      <c r="AA282" t="s">
        <v>347</v>
      </c>
      <c r="AB282" t="s">
        <v>437</v>
      </c>
      <c r="AC282" t="s">
        <v>425</v>
      </c>
      <c r="AD282" t="s">
        <v>27</v>
      </c>
      <c r="AE282">
        <v>111.133</v>
      </c>
      <c r="AF282">
        <v>1.0541007448257309</v>
      </c>
      <c r="AG282">
        <v>117.145378074718</v>
      </c>
      <c r="AH282">
        <v>640.82000000000005</v>
      </c>
      <c r="AI282">
        <v>1</v>
      </c>
      <c r="AJ282">
        <v>75.069101177840764</v>
      </c>
      <c r="AK282">
        <v>0.95889999999999997</v>
      </c>
      <c r="AL282" s="62">
        <v>71.983999999999995</v>
      </c>
      <c r="AM282">
        <v>8.9176000000000002</v>
      </c>
      <c r="AN282">
        <v>9.4000488020579382</v>
      </c>
      <c r="AO282">
        <v>1</v>
      </c>
      <c r="AP282">
        <v>6023.7392733347688</v>
      </c>
      <c r="AQ282">
        <v>0.99097621000820357</v>
      </c>
      <c r="AR282">
        <v>5969.3823000000002</v>
      </c>
      <c r="AS282" s="60">
        <v>382155.79566603602</v>
      </c>
      <c r="AT282" t="s">
        <v>347</v>
      </c>
      <c r="AU282" t="s">
        <v>437</v>
      </c>
      <c r="AV282" t="s">
        <v>425</v>
      </c>
      <c r="AW282" t="s">
        <v>27</v>
      </c>
      <c r="AX282">
        <v>111.133</v>
      </c>
      <c r="AY282">
        <v>1.0541007448257309</v>
      </c>
      <c r="AZ282">
        <v>117.145378074718</v>
      </c>
      <c r="BA282">
        <v>640.82000000000005</v>
      </c>
      <c r="BB282">
        <v>1</v>
      </c>
      <c r="BC282">
        <v>75.069101177840764</v>
      </c>
      <c r="BD282">
        <v>0.95889999999999997</v>
      </c>
      <c r="BE282" s="62">
        <v>71.983999999999995</v>
      </c>
      <c r="BF282">
        <v>8.9176000000000002</v>
      </c>
      <c r="BG282">
        <v>1</v>
      </c>
      <c r="BH282">
        <v>6023.7392733347688</v>
      </c>
      <c r="BI282">
        <v>0.99097621000820357</v>
      </c>
      <c r="BJ282" s="62">
        <v>5969.3823000000002</v>
      </c>
      <c r="BK282" s="60">
        <v>382155.79566603602</v>
      </c>
    </row>
    <row r="283" spans="1:63" x14ac:dyDescent="0.25">
      <c r="A283">
        <v>853</v>
      </c>
      <c r="B283" t="s">
        <v>155</v>
      </c>
      <c r="C283">
        <v>2019</v>
      </c>
      <c r="D283">
        <v>11</v>
      </c>
      <c r="E283" t="s">
        <v>100</v>
      </c>
      <c r="F283" t="s">
        <v>426</v>
      </c>
      <c r="G283" t="s">
        <v>427</v>
      </c>
      <c r="H283" t="s">
        <v>84</v>
      </c>
      <c r="I283" t="s">
        <v>430</v>
      </c>
      <c r="J283" t="s">
        <v>59</v>
      </c>
      <c r="K283">
        <v>-766.34341703999996</v>
      </c>
      <c r="L283" t="s">
        <v>59</v>
      </c>
      <c r="M283" t="s">
        <v>385</v>
      </c>
      <c r="N283">
        <v>0.54314598235875</v>
      </c>
      <c r="O283">
        <v>416.23634807235197</v>
      </c>
      <c r="P283" t="s">
        <v>440</v>
      </c>
      <c r="Q283">
        <v>2</v>
      </c>
      <c r="R283">
        <v>28.410399999999999</v>
      </c>
      <c r="S283">
        <v>9.2999999999999999E-2</v>
      </c>
      <c r="T283">
        <v>2.6421671999999998</v>
      </c>
      <c r="U283">
        <v>0.98099999999999998</v>
      </c>
      <c r="V283">
        <v>2591.9659999999999</v>
      </c>
      <c r="W283">
        <v>2</v>
      </c>
      <c r="X283">
        <v>2.7557682E-5</v>
      </c>
      <c r="Y283">
        <v>0.14285700000000001</v>
      </c>
      <c r="Z283" s="60">
        <v>59.462276000000003</v>
      </c>
      <c r="AA283" t="s">
        <v>347</v>
      </c>
      <c r="AB283" t="s">
        <v>437</v>
      </c>
      <c r="AC283" t="s">
        <v>425</v>
      </c>
      <c r="AD283" t="s">
        <v>27</v>
      </c>
      <c r="AE283">
        <v>111.133</v>
      </c>
      <c r="AF283">
        <v>1.0541007448257309</v>
      </c>
      <c r="AG283">
        <v>117.145378074718</v>
      </c>
      <c r="AH283">
        <v>640.82000000000005</v>
      </c>
      <c r="AI283">
        <v>1</v>
      </c>
      <c r="AJ283">
        <v>75.069101177840764</v>
      </c>
      <c r="AK283">
        <v>0.95889999999999997</v>
      </c>
      <c r="AL283" s="62">
        <v>71.983999999999995</v>
      </c>
      <c r="AM283">
        <v>8.9176000000000002</v>
      </c>
      <c r="AN283">
        <v>9.4000488020579382</v>
      </c>
      <c r="AO283">
        <v>1</v>
      </c>
      <c r="AP283">
        <v>6023.7392733347688</v>
      </c>
      <c r="AQ283">
        <v>0.99097621000820357</v>
      </c>
      <c r="AR283">
        <v>5969.3823000000002</v>
      </c>
      <c r="AS283" s="60">
        <v>354953.05787211482</v>
      </c>
      <c r="AT283" t="s">
        <v>347</v>
      </c>
      <c r="AU283" t="s">
        <v>437</v>
      </c>
      <c r="AV283" t="s">
        <v>425</v>
      </c>
      <c r="AW283" t="s">
        <v>27</v>
      </c>
      <c r="AX283">
        <v>111.133</v>
      </c>
      <c r="AY283">
        <v>1.0541007448257309</v>
      </c>
      <c r="AZ283">
        <v>117.145378074718</v>
      </c>
      <c r="BA283">
        <v>640.82000000000005</v>
      </c>
      <c r="BB283">
        <v>1</v>
      </c>
      <c r="BC283">
        <v>75.069101177840764</v>
      </c>
      <c r="BD283">
        <v>0.95889999999999997</v>
      </c>
      <c r="BE283" s="62">
        <v>71.983999999999995</v>
      </c>
      <c r="BF283">
        <v>8.9176000000000002</v>
      </c>
      <c r="BG283">
        <v>1</v>
      </c>
      <c r="BH283">
        <v>6023.7392733347688</v>
      </c>
      <c r="BI283">
        <v>0.99097621000820357</v>
      </c>
      <c r="BJ283" s="62">
        <v>5969.3823000000002</v>
      </c>
      <c r="BK283" s="60">
        <v>354953.05787211482</v>
      </c>
    </row>
    <row r="284" spans="1:63" x14ac:dyDescent="0.25">
      <c r="A284">
        <v>871</v>
      </c>
      <c r="B284" t="s">
        <v>148</v>
      </c>
      <c r="C284">
        <v>2019</v>
      </c>
      <c r="D284">
        <v>12</v>
      </c>
      <c r="E284" t="s">
        <v>100</v>
      </c>
      <c r="F284" t="s">
        <v>426</v>
      </c>
      <c r="G284" t="s">
        <v>427</v>
      </c>
      <c r="H284" t="s">
        <v>84</v>
      </c>
      <c r="I284" t="s">
        <v>428</v>
      </c>
      <c r="J284" t="s">
        <v>381</v>
      </c>
      <c r="K284">
        <v>-3149.0804299900001</v>
      </c>
      <c r="L284" t="s">
        <v>381</v>
      </c>
      <c r="M284" t="s">
        <v>384</v>
      </c>
      <c r="N284">
        <v>0.11701058843195</v>
      </c>
      <c r="O284">
        <v>368.47575413266799</v>
      </c>
      <c r="P284" t="s">
        <v>440</v>
      </c>
      <c r="Q284">
        <v>2</v>
      </c>
      <c r="R284">
        <v>28.410399999999999</v>
      </c>
      <c r="S284">
        <v>0.14099999999999999</v>
      </c>
      <c r="T284">
        <v>4.0058664000000004</v>
      </c>
      <c r="U284">
        <v>1.9E-2</v>
      </c>
      <c r="V284">
        <v>76.111000000000004</v>
      </c>
      <c r="W284">
        <v>2</v>
      </c>
      <c r="X284">
        <v>9.38474547E-4</v>
      </c>
      <c r="Y284">
        <v>0.14285600000000001</v>
      </c>
      <c r="Z284" s="60">
        <v>52.638972000000003</v>
      </c>
      <c r="AA284" t="s">
        <v>347</v>
      </c>
      <c r="AB284" t="s">
        <v>437</v>
      </c>
      <c r="AC284" t="s">
        <v>425</v>
      </c>
      <c r="AD284" t="s">
        <v>81</v>
      </c>
      <c r="AE284">
        <v>111.133</v>
      </c>
      <c r="AF284">
        <v>1.0541007448257309</v>
      </c>
      <c r="AG284">
        <v>117.145378074718</v>
      </c>
      <c r="AH284">
        <v>640.82000000000005</v>
      </c>
      <c r="AI284">
        <v>1</v>
      </c>
      <c r="AJ284">
        <v>75.069101177840764</v>
      </c>
      <c r="AK284">
        <v>0.93830000000000002</v>
      </c>
      <c r="AL284" s="62">
        <v>70.436999999999998</v>
      </c>
      <c r="AM284">
        <v>8.9176000000000002</v>
      </c>
      <c r="AN284">
        <v>9.4000488020579382</v>
      </c>
      <c r="AO284">
        <v>1</v>
      </c>
      <c r="AP284">
        <v>6023.7392733347688</v>
      </c>
      <c r="AQ284">
        <v>1.098016605166052</v>
      </c>
      <c r="AR284">
        <v>6614.1656999999996</v>
      </c>
      <c r="AS284" s="60">
        <v>348162.8830856604</v>
      </c>
      <c r="AT284" t="s">
        <v>347</v>
      </c>
      <c r="AU284" t="s">
        <v>437</v>
      </c>
      <c r="AV284" t="s">
        <v>425</v>
      </c>
      <c r="AW284" t="s">
        <v>81</v>
      </c>
      <c r="AX284">
        <v>111.133</v>
      </c>
      <c r="AY284">
        <v>1.0541007448257309</v>
      </c>
      <c r="AZ284">
        <v>117.145378074718</v>
      </c>
      <c r="BA284">
        <v>640.82000000000005</v>
      </c>
      <c r="BB284">
        <v>1</v>
      </c>
      <c r="BC284">
        <v>75.069101177840764</v>
      </c>
      <c r="BD284">
        <v>0.93830000000000002</v>
      </c>
      <c r="BE284" s="62">
        <v>70.436999999999998</v>
      </c>
      <c r="BF284">
        <v>8.9176000000000002</v>
      </c>
      <c r="BG284">
        <v>1</v>
      </c>
      <c r="BH284">
        <v>6023.7392733347688</v>
      </c>
      <c r="BI284">
        <v>1.098016605166052</v>
      </c>
      <c r="BJ284" s="62">
        <v>6614.1656999999996</v>
      </c>
      <c r="BK284" s="60">
        <v>348162.8830856604</v>
      </c>
    </row>
    <row r="285" spans="1:63" x14ac:dyDescent="0.25">
      <c r="A285">
        <v>871</v>
      </c>
      <c r="B285" t="s">
        <v>148</v>
      </c>
      <c r="C285">
        <v>2019</v>
      </c>
      <c r="D285">
        <v>12</v>
      </c>
      <c r="E285" t="s">
        <v>100</v>
      </c>
      <c r="F285" t="s">
        <v>426</v>
      </c>
      <c r="G285" t="s">
        <v>427</v>
      </c>
      <c r="H285" t="s">
        <v>84</v>
      </c>
      <c r="I285" t="s">
        <v>429</v>
      </c>
      <c r="J285" t="s">
        <v>87</v>
      </c>
      <c r="K285">
        <v>-1628.2339241899999</v>
      </c>
      <c r="L285" t="s">
        <v>87</v>
      </c>
      <c r="M285" t="s">
        <v>384</v>
      </c>
      <c r="N285">
        <v>9.7514538340109994E-2</v>
      </c>
      <c r="O285">
        <v>158.77647942709351</v>
      </c>
      <c r="P285" t="s">
        <v>440</v>
      </c>
      <c r="Q285">
        <v>2</v>
      </c>
      <c r="R285">
        <v>28.410399999999999</v>
      </c>
      <c r="S285">
        <v>0.14099999999999999</v>
      </c>
      <c r="T285">
        <v>4.0058664000000004</v>
      </c>
      <c r="U285">
        <v>1.9E-2</v>
      </c>
      <c r="V285">
        <v>76.111000000000004</v>
      </c>
      <c r="W285">
        <v>2</v>
      </c>
      <c r="X285">
        <v>9.38474547E-4</v>
      </c>
      <c r="Y285">
        <v>0.14285600000000001</v>
      </c>
      <c r="Z285" s="60">
        <v>22.682172999999999</v>
      </c>
      <c r="AA285" t="s">
        <v>347</v>
      </c>
      <c r="AB285" t="s">
        <v>437</v>
      </c>
      <c r="AC285" t="s">
        <v>425</v>
      </c>
      <c r="AD285" t="s">
        <v>81</v>
      </c>
      <c r="AE285">
        <v>111.133</v>
      </c>
      <c r="AF285">
        <v>1.0541007448257309</v>
      </c>
      <c r="AG285">
        <v>117.145378074718</v>
      </c>
      <c r="AH285">
        <v>640.82000000000005</v>
      </c>
      <c r="AI285">
        <v>1</v>
      </c>
      <c r="AJ285">
        <v>75.069101177840764</v>
      </c>
      <c r="AK285">
        <v>0.93830000000000002</v>
      </c>
      <c r="AL285" s="62">
        <v>70.436999999999998</v>
      </c>
      <c r="AM285">
        <v>8.9176000000000002</v>
      </c>
      <c r="AN285">
        <v>9.4000488020579382</v>
      </c>
      <c r="AO285">
        <v>1</v>
      </c>
      <c r="AP285">
        <v>6023.7392733347688</v>
      </c>
      <c r="AQ285">
        <v>1.098016605166052</v>
      </c>
      <c r="AR285">
        <v>6614.1656999999996</v>
      </c>
      <c r="AS285" s="60">
        <v>150023.65065806609</v>
      </c>
      <c r="AT285" t="s">
        <v>347</v>
      </c>
      <c r="AU285" t="s">
        <v>437</v>
      </c>
      <c r="AV285" t="s">
        <v>425</v>
      </c>
      <c r="AW285" t="s">
        <v>81</v>
      </c>
      <c r="AX285">
        <v>111.133</v>
      </c>
      <c r="AY285">
        <v>1.0541007448257309</v>
      </c>
      <c r="AZ285">
        <v>117.145378074718</v>
      </c>
      <c r="BA285">
        <v>640.82000000000005</v>
      </c>
      <c r="BB285">
        <v>1</v>
      </c>
      <c r="BC285">
        <v>75.069101177840764</v>
      </c>
      <c r="BD285">
        <v>0.93830000000000002</v>
      </c>
      <c r="BE285" s="62">
        <v>70.436999999999998</v>
      </c>
      <c r="BF285">
        <v>8.9176000000000002</v>
      </c>
      <c r="BG285">
        <v>1</v>
      </c>
      <c r="BH285">
        <v>6023.7392733347688</v>
      </c>
      <c r="BI285">
        <v>1.098016605166052</v>
      </c>
      <c r="BJ285" s="62">
        <v>6614.1656999999996</v>
      </c>
      <c r="BK285" s="60">
        <v>150023.65065806609</v>
      </c>
    </row>
    <row r="286" spans="1:63" x14ac:dyDescent="0.25">
      <c r="A286">
        <v>871</v>
      </c>
      <c r="B286" t="s">
        <v>148</v>
      </c>
      <c r="C286">
        <v>2019</v>
      </c>
      <c r="D286">
        <v>12</v>
      </c>
      <c r="E286" t="s">
        <v>100</v>
      </c>
      <c r="F286" t="s">
        <v>426</v>
      </c>
      <c r="G286" t="s">
        <v>427</v>
      </c>
      <c r="H286" t="s">
        <v>84</v>
      </c>
      <c r="I286" t="s">
        <v>430</v>
      </c>
      <c r="J286" t="s">
        <v>59</v>
      </c>
      <c r="K286">
        <v>-638.12814897999999</v>
      </c>
      <c r="L286" t="s">
        <v>59</v>
      </c>
      <c r="M286" t="s">
        <v>384</v>
      </c>
      <c r="N286">
        <v>9.9723560466120006E-2</v>
      </c>
      <c r="O286">
        <v>63.636411049940257</v>
      </c>
      <c r="P286" t="s">
        <v>440</v>
      </c>
      <c r="Q286">
        <v>2</v>
      </c>
      <c r="R286">
        <v>28.410399999999999</v>
      </c>
      <c r="S286">
        <v>0.14099999999999999</v>
      </c>
      <c r="T286">
        <v>4.0058664000000004</v>
      </c>
      <c r="U286">
        <v>1.9E-2</v>
      </c>
      <c r="V286">
        <v>76.111000000000004</v>
      </c>
      <c r="W286">
        <v>2</v>
      </c>
      <c r="X286">
        <v>9.38474547E-4</v>
      </c>
      <c r="Y286">
        <v>0.14285600000000001</v>
      </c>
      <c r="Z286" s="60">
        <v>9.0908429999999996</v>
      </c>
      <c r="AA286" t="s">
        <v>347</v>
      </c>
      <c r="AB286" t="s">
        <v>437</v>
      </c>
      <c r="AC286" t="s">
        <v>425</v>
      </c>
      <c r="AD286" t="s">
        <v>81</v>
      </c>
      <c r="AE286">
        <v>111.133</v>
      </c>
      <c r="AF286">
        <v>1.0541007448257309</v>
      </c>
      <c r="AG286">
        <v>117.145378074718</v>
      </c>
      <c r="AH286">
        <v>640.82000000000005</v>
      </c>
      <c r="AI286">
        <v>1</v>
      </c>
      <c r="AJ286">
        <v>75.069101177840764</v>
      </c>
      <c r="AK286">
        <v>0.93830000000000002</v>
      </c>
      <c r="AL286" s="62">
        <v>70.436999999999998</v>
      </c>
      <c r="AM286">
        <v>8.9176000000000002</v>
      </c>
      <c r="AN286">
        <v>9.4000488020579382</v>
      </c>
      <c r="AO286">
        <v>1</v>
      </c>
      <c r="AP286">
        <v>6023.7392733347688</v>
      </c>
      <c r="AQ286">
        <v>1.098016605166052</v>
      </c>
      <c r="AR286">
        <v>6614.1656999999996</v>
      </c>
      <c r="AS286" s="60">
        <v>60128.341954685093</v>
      </c>
      <c r="AT286" t="s">
        <v>347</v>
      </c>
      <c r="AU286" t="s">
        <v>437</v>
      </c>
      <c r="AV286" t="s">
        <v>425</v>
      </c>
      <c r="AW286" t="s">
        <v>81</v>
      </c>
      <c r="AX286">
        <v>111.133</v>
      </c>
      <c r="AY286">
        <v>1.0541007448257309</v>
      </c>
      <c r="AZ286">
        <v>117.145378074718</v>
      </c>
      <c r="BA286">
        <v>640.82000000000005</v>
      </c>
      <c r="BB286">
        <v>1</v>
      </c>
      <c r="BC286">
        <v>75.069101177840764</v>
      </c>
      <c r="BD286">
        <v>0.93830000000000002</v>
      </c>
      <c r="BE286" s="62">
        <v>70.436999999999998</v>
      </c>
      <c r="BF286">
        <v>8.9176000000000002</v>
      </c>
      <c r="BG286">
        <v>1</v>
      </c>
      <c r="BH286">
        <v>6023.7392733347688</v>
      </c>
      <c r="BI286">
        <v>1.098016605166052</v>
      </c>
      <c r="BJ286" s="62">
        <v>6614.1656999999996</v>
      </c>
      <c r="BK286" s="60">
        <v>60128.341954685093</v>
      </c>
    </row>
    <row r="287" spans="1:63" x14ac:dyDescent="0.25">
      <c r="A287">
        <v>873</v>
      </c>
      <c r="B287" t="s">
        <v>148</v>
      </c>
      <c r="C287">
        <v>2019</v>
      </c>
      <c r="D287">
        <v>12</v>
      </c>
      <c r="E287" t="s">
        <v>100</v>
      </c>
      <c r="F287" t="s">
        <v>426</v>
      </c>
      <c r="G287" t="s">
        <v>427</v>
      </c>
      <c r="H287" t="s">
        <v>84</v>
      </c>
      <c r="I287" t="s">
        <v>428</v>
      </c>
      <c r="J287" t="s">
        <v>381</v>
      </c>
      <c r="K287">
        <v>-3149.0804299900001</v>
      </c>
      <c r="L287" t="s">
        <v>381</v>
      </c>
      <c r="M287" t="s">
        <v>385</v>
      </c>
      <c r="N287">
        <v>0.54567226407077996</v>
      </c>
      <c r="O287">
        <v>1718.3658479736289</v>
      </c>
      <c r="P287" t="s">
        <v>440</v>
      </c>
      <c r="Q287">
        <v>2</v>
      </c>
      <c r="R287">
        <v>28.410399999999999</v>
      </c>
      <c r="S287">
        <v>0.14099999999999999</v>
      </c>
      <c r="T287">
        <v>4.0058664000000004</v>
      </c>
      <c r="U287">
        <v>0.98099999999999998</v>
      </c>
      <c r="V287">
        <v>3929.7550000000001</v>
      </c>
      <c r="W287">
        <v>2</v>
      </c>
      <c r="X287">
        <v>1.8176344000000001E-5</v>
      </c>
      <c r="Y287">
        <v>0.14285700000000001</v>
      </c>
      <c r="Z287" s="60">
        <v>245.48059000000001</v>
      </c>
      <c r="AA287" t="s">
        <v>347</v>
      </c>
      <c r="AB287" t="s">
        <v>437</v>
      </c>
      <c r="AC287" t="s">
        <v>425</v>
      </c>
      <c r="AD287" t="s">
        <v>27</v>
      </c>
      <c r="AE287">
        <v>111.133</v>
      </c>
      <c r="AF287">
        <v>1.0541007448257309</v>
      </c>
      <c r="AG287">
        <v>117.145378074718</v>
      </c>
      <c r="AH287">
        <v>640.82000000000005</v>
      </c>
      <c r="AI287">
        <v>1</v>
      </c>
      <c r="AJ287">
        <v>75.069101177840764</v>
      </c>
      <c r="AK287">
        <v>0.95889999999999997</v>
      </c>
      <c r="AL287" s="62">
        <v>71.983999999999995</v>
      </c>
      <c r="AM287">
        <v>8.9176000000000002</v>
      </c>
      <c r="AN287">
        <v>9.4000488020579382</v>
      </c>
      <c r="AO287">
        <v>1</v>
      </c>
      <c r="AP287">
        <v>6023.7392733347688</v>
      </c>
      <c r="AQ287">
        <v>0.99097621000820357</v>
      </c>
      <c r="AR287">
        <v>5969.3823000000002</v>
      </c>
      <c r="AS287" s="60">
        <v>1465367.488939557</v>
      </c>
      <c r="AT287" t="s">
        <v>347</v>
      </c>
      <c r="AU287" t="s">
        <v>437</v>
      </c>
      <c r="AV287" t="s">
        <v>425</v>
      </c>
      <c r="AW287" t="s">
        <v>27</v>
      </c>
      <c r="AX287">
        <v>111.133</v>
      </c>
      <c r="AY287">
        <v>1.0541007448257309</v>
      </c>
      <c r="AZ287">
        <v>117.145378074718</v>
      </c>
      <c r="BA287">
        <v>640.82000000000005</v>
      </c>
      <c r="BB287">
        <v>1</v>
      </c>
      <c r="BC287">
        <v>75.069101177840764</v>
      </c>
      <c r="BD287">
        <v>0.95889999999999997</v>
      </c>
      <c r="BE287" s="62">
        <v>71.983999999999995</v>
      </c>
      <c r="BF287">
        <v>8.9176000000000002</v>
      </c>
      <c r="BG287">
        <v>1</v>
      </c>
      <c r="BH287">
        <v>6023.7392733347688</v>
      </c>
      <c r="BI287">
        <v>0.99097621000820357</v>
      </c>
      <c r="BJ287" s="62">
        <v>5969.3823000000002</v>
      </c>
      <c r="BK287" s="60">
        <v>1465367.488939557</v>
      </c>
    </row>
    <row r="288" spans="1:63" x14ac:dyDescent="0.25">
      <c r="A288">
        <v>873</v>
      </c>
      <c r="B288" t="s">
        <v>148</v>
      </c>
      <c r="C288">
        <v>2019</v>
      </c>
      <c r="D288">
        <v>12</v>
      </c>
      <c r="E288" t="s">
        <v>100</v>
      </c>
      <c r="F288" t="s">
        <v>426</v>
      </c>
      <c r="G288" t="s">
        <v>427</v>
      </c>
      <c r="H288" t="s">
        <v>84</v>
      </c>
      <c r="I288" t="s">
        <v>429</v>
      </c>
      <c r="J288" t="s">
        <v>87</v>
      </c>
      <c r="K288">
        <v>-1628.2339241899999</v>
      </c>
      <c r="L288" t="s">
        <v>87</v>
      </c>
      <c r="M288" t="s">
        <v>385</v>
      </c>
      <c r="N288">
        <v>0.46576586246455998</v>
      </c>
      <c r="O288">
        <v>758.37577799441033</v>
      </c>
      <c r="P288" t="s">
        <v>440</v>
      </c>
      <c r="Q288">
        <v>2</v>
      </c>
      <c r="R288">
        <v>28.410399999999999</v>
      </c>
      <c r="S288">
        <v>0.14099999999999999</v>
      </c>
      <c r="T288">
        <v>4.0058664000000004</v>
      </c>
      <c r="U288">
        <v>0.98099999999999998</v>
      </c>
      <c r="V288">
        <v>3929.7550000000001</v>
      </c>
      <c r="W288">
        <v>2</v>
      </c>
      <c r="X288">
        <v>1.8176344000000001E-5</v>
      </c>
      <c r="Y288">
        <v>0.14285700000000001</v>
      </c>
      <c r="Z288" s="60">
        <v>108.33928899999999</v>
      </c>
      <c r="AA288" t="s">
        <v>347</v>
      </c>
      <c r="AB288" t="s">
        <v>437</v>
      </c>
      <c r="AC288" t="s">
        <v>425</v>
      </c>
      <c r="AD288" t="s">
        <v>27</v>
      </c>
      <c r="AE288">
        <v>111.133</v>
      </c>
      <c r="AF288">
        <v>1.0541007448257309</v>
      </c>
      <c r="AG288">
        <v>117.145378074718</v>
      </c>
      <c r="AH288">
        <v>640.82000000000005</v>
      </c>
      <c r="AI288">
        <v>1</v>
      </c>
      <c r="AJ288">
        <v>75.069101177840764</v>
      </c>
      <c r="AK288">
        <v>0.95889999999999997</v>
      </c>
      <c r="AL288" s="62">
        <v>71.983999999999995</v>
      </c>
      <c r="AM288">
        <v>8.9176000000000002</v>
      </c>
      <c r="AN288">
        <v>9.4000488020579382</v>
      </c>
      <c r="AO288">
        <v>1</v>
      </c>
      <c r="AP288">
        <v>6023.7392733347688</v>
      </c>
      <c r="AQ288">
        <v>0.99097621000820357</v>
      </c>
      <c r="AR288">
        <v>5969.3823000000002</v>
      </c>
      <c r="AS288" s="60">
        <v>646718.6341511847</v>
      </c>
      <c r="AT288" t="s">
        <v>347</v>
      </c>
      <c r="AU288" t="s">
        <v>437</v>
      </c>
      <c r="AV288" t="s">
        <v>425</v>
      </c>
      <c r="AW288" t="s">
        <v>27</v>
      </c>
      <c r="AX288">
        <v>111.133</v>
      </c>
      <c r="AY288">
        <v>1.0541007448257309</v>
      </c>
      <c r="AZ288">
        <v>117.145378074718</v>
      </c>
      <c r="BA288">
        <v>640.82000000000005</v>
      </c>
      <c r="BB288">
        <v>1</v>
      </c>
      <c r="BC288">
        <v>75.069101177840764</v>
      </c>
      <c r="BD288">
        <v>0.95889999999999997</v>
      </c>
      <c r="BE288" s="62">
        <v>71.983999999999995</v>
      </c>
      <c r="BF288">
        <v>8.9176000000000002</v>
      </c>
      <c r="BG288">
        <v>1</v>
      </c>
      <c r="BH288">
        <v>6023.7392733347688</v>
      </c>
      <c r="BI288">
        <v>0.99097621000820357</v>
      </c>
      <c r="BJ288" s="62">
        <v>5969.3823000000002</v>
      </c>
      <c r="BK288" s="60">
        <v>646718.6341511847</v>
      </c>
    </row>
    <row r="289" spans="1:63" x14ac:dyDescent="0.25">
      <c r="A289">
        <v>873</v>
      </c>
      <c r="B289" t="s">
        <v>148</v>
      </c>
      <c r="C289">
        <v>2019</v>
      </c>
      <c r="D289">
        <v>12</v>
      </c>
      <c r="E289" t="s">
        <v>100</v>
      </c>
      <c r="F289" t="s">
        <v>426</v>
      </c>
      <c r="G289" t="s">
        <v>427</v>
      </c>
      <c r="H289" t="s">
        <v>84</v>
      </c>
      <c r="I289" t="s">
        <v>430</v>
      </c>
      <c r="J289" t="s">
        <v>59</v>
      </c>
      <c r="K289">
        <v>-638.12814897999999</v>
      </c>
      <c r="L289" t="s">
        <v>59</v>
      </c>
      <c r="M289" t="s">
        <v>385</v>
      </c>
      <c r="N289">
        <v>0.54314598235946998</v>
      </c>
      <c r="O289">
        <v>346.59674034897228</v>
      </c>
      <c r="P289" t="s">
        <v>440</v>
      </c>
      <c r="Q289">
        <v>2</v>
      </c>
      <c r="R289">
        <v>28.410399999999999</v>
      </c>
      <c r="S289">
        <v>0.14099999999999999</v>
      </c>
      <c r="T289">
        <v>4.0058664000000004</v>
      </c>
      <c r="U289">
        <v>0.98099999999999998</v>
      </c>
      <c r="V289">
        <v>3929.7550000000001</v>
      </c>
      <c r="W289">
        <v>2</v>
      </c>
      <c r="X289">
        <v>1.8176344000000001E-5</v>
      </c>
      <c r="Y289">
        <v>0.14285700000000001</v>
      </c>
      <c r="Z289" s="60">
        <v>49.513770999999998</v>
      </c>
      <c r="AA289" t="s">
        <v>347</v>
      </c>
      <c r="AB289" t="s">
        <v>437</v>
      </c>
      <c r="AC289" t="s">
        <v>425</v>
      </c>
      <c r="AD289" t="s">
        <v>27</v>
      </c>
      <c r="AE289">
        <v>111.133</v>
      </c>
      <c r="AF289">
        <v>1.0541007448257309</v>
      </c>
      <c r="AG289">
        <v>117.145378074718</v>
      </c>
      <c r="AH289">
        <v>640.82000000000005</v>
      </c>
      <c r="AI289">
        <v>1</v>
      </c>
      <c r="AJ289">
        <v>75.069101177840764</v>
      </c>
      <c r="AK289">
        <v>0.95889999999999997</v>
      </c>
      <c r="AL289" s="62">
        <v>71.983999999999995</v>
      </c>
      <c r="AM289">
        <v>8.9176000000000002</v>
      </c>
      <c r="AN289">
        <v>9.4000488020579382</v>
      </c>
      <c r="AO289">
        <v>1</v>
      </c>
      <c r="AP289">
        <v>6023.7392733347688</v>
      </c>
      <c r="AQ289">
        <v>0.99097621000820357</v>
      </c>
      <c r="AR289">
        <v>5969.3823000000002</v>
      </c>
      <c r="AS289" s="60">
        <v>295566.62821365328</v>
      </c>
      <c r="AT289" t="s">
        <v>347</v>
      </c>
      <c r="AU289" t="s">
        <v>437</v>
      </c>
      <c r="AV289" t="s">
        <v>425</v>
      </c>
      <c r="AW289" t="s">
        <v>27</v>
      </c>
      <c r="AX289">
        <v>111.133</v>
      </c>
      <c r="AY289">
        <v>1.0541007448257309</v>
      </c>
      <c r="AZ289">
        <v>117.145378074718</v>
      </c>
      <c r="BA289">
        <v>640.82000000000005</v>
      </c>
      <c r="BB289">
        <v>1</v>
      </c>
      <c r="BC289">
        <v>75.069101177840764</v>
      </c>
      <c r="BD289">
        <v>0.95889999999999997</v>
      </c>
      <c r="BE289" s="62">
        <v>71.983999999999995</v>
      </c>
      <c r="BF289">
        <v>8.9176000000000002</v>
      </c>
      <c r="BG289">
        <v>1</v>
      </c>
      <c r="BH289">
        <v>6023.7392733347688</v>
      </c>
      <c r="BI289">
        <v>0.99097621000820357</v>
      </c>
      <c r="BJ289" s="62">
        <v>5969.3823000000002</v>
      </c>
      <c r="BK289" s="60">
        <v>295566.62821365328</v>
      </c>
    </row>
    <row r="290" spans="1:63" x14ac:dyDescent="0.25">
      <c r="A290">
        <v>897</v>
      </c>
      <c r="B290" t="s">
        <v>197</v>
      </c>
      <c r="C290">
        <v>2020</v>
      </c>
      <c r="D290">
        <v>1</v>
      </c>
      <c r="E290" t="s">
        <v>100</v>
      </c>
      <c r="F290" t="s">
        <v>426</v>
      </c>
      <c r="G290" t="s">
        <v>427</v>
      </c>
      <c r="H290" t="s">
        <v>84</v>
      </c>
      <c r="I290" t="s">
        <v>428</v>
      </c>
      <c r="J290" t="s">
        <v>381</v>
      </c>
      <c r="K290">
        <v>-7110.4468122799999</v>
      </c>
      <c r="L290" t="s">
        <v>381</v>
      </c>
      <c r="M290" t="s">
        <v>384</v>
      </c>
      <c r="N290">
        <v>8.2227491443849998E-2</v>
      </c>
      <c r="O290">
        <v>584.67420441870422</v>
      </c>
      <c r="P290" t="s">
        <v>440</v>
      </c>
      <c r="Q290">
        <v>2</v>
      </c>
      <c r="R290">
        <v>47.636589999999998</v>
      </c>
      <c r="S290">
        <v>8.5999999999999993E-2</v>
      </c>
      <c r="T290">
        <v>4.0967466999999997</v>
      </c>
      <c r="U290">
        <v>1.9E-2</v>
      </c>
      <c r="V290">
        <v>77.837999999999994</v>
      </c>
      <c r="W290">
        <v>2</v>
      </c>
      <c r="X290">
        <v>9.1765513399999997E-4</v>
      </c>
      <c r="Y290">
        <v>0.14285700000000001</v>
      </c>
      <c r="Z290" s="60">
        <v>83.524803000000006</v>
      </c>
      <c r="AA290" t="s">
        <v>347</v>
      </c>
      <c r="AB290" t="s">
        <v>437</v>
      </c>
      <c r="AC290" t="s">
        <v>425</v>
      </c>
      <c r="AD290" t="s">
        <v>81</v>
      </c>
      <c r="AE290">
        <v>111.133</v>
      </c>
      <c r="AF290">
        <v>1.0541007448257309</v>
      </c>
      <c r="AG290">
        <v>117.145378074718</v>
      </c>
      <c r="AH290">
        <v>640.82000000000005</v>
      </c>
      <c r="AI290">
        <v>1</v>
      </c>
      <c r="AJ290">
        <v>75.069101177840764</v>
      </c>
      <c r="AK290">
        <v>0.93830000000000002</v>
      </c>
      <c r="AL290" s="62">
        <v>70.436999999999998</v>
      </c>
      <c r="AM290">
        <v>8.9176000000000002</v>
      </c>
      <c r="AN290">
        <v>9.4000488020579382</v>
      </c>
      <c r="AO290">
        <v>1</v>
      </c>
      <c r="AP290">
        <v>6023.7392733347688</v>
      </c>
      <c r="AQ290">
        <v>1.098016605166052</v>
      </c>
      <c r="AR290">
        <v>6614.1656999999996</v>
      </c>
      <c r="AS290" s="60">
        <v>552446.88710185711</v>
      </c>
      <c r="AT290" t="s">
        <v>348</v>
      </c>
      <c r="AU290" t="s">
        <v>438</v>
      </c>
      <c r="AV290" t="s">
        <v>425</v>
      </c>
      <c r="AW290" t="s">
        <v>81</v>
      </c>
      <c r="AX290">
        <v>111.133</v>
      </c>
      <c r="AY290">
        <v>1.0727760310708341</v>
      </c>
      <c r="AZ290">
        <v>119.22081866099499</v>
      </c>
      <c r="BA290">
        <v>694.38</v>
      </c>
      <c r="BB290">
        <v>0.875</v>
      </c>
      <c r="BC290">
        <v>72.436483054094012</v>
      </c>
      <c r="BD290">
        <v>0.93500000000000005</v>
      </c>
      <c r="BE290" s="62">
        <v>67.727999999999994</v>
      </c>
      <c r="BF290">
        <v>8.9176000000000002</v>
      </c>
      <c r="BG290">
        <v>0.91300000000000003</v>
      </c>
      <c r="BH290">
        <v>6064.9193587765631</v>
      </c>
      <c r="BI290">
        <v>1.096171586715867</v>
      </c>
      <c r="BJ290" s="62">
        <v>6648.1922999999997</v>
      </c>
      <c r="BK290" s="60">
        <v>555288.95216361689</v>
      </c>
    </row>
    <row r="291" spans="1:63" x14ac:dyDescent="0.25">
      <c r="A291">
        <v>897</v>
      </c>
      <c r="B291" t="s">
        <v>197</v>
      </c>
      <c r="C291">
        <v>2020</v>
      </c>
      <c r="D291">
        <v>1</v>
      </c>
      <c r="E291" t="s">
        <v>100</v>
      </c>
      <c r="F291" t="s">
        <v>426</v>
      </c>
      <c r="G291" t="s">
        <v>427</v>
      </c>
      <c r="H291" t="s">
        <v>84</v>
      </c>
      <c r="I291" t="s">
        <v>429</v>
      </c>
      <c r="J291" t="s">
        <v>87</v>
      </c>
      <c r="K291">
        <v>-2733.6295059700001</v>
      </c>
      <c r="L291" t="s">
        <v>87</v>
      </c>
      <c r="M291" t="s">
        <v>384</v>
      </c>
      <c r="N291">
        <v>5.4975015900489997E-2</v>
      </c>
      <c r="O291">
        <v>150.28132555674941</v>
      </c>
      <c r="P291" t="s">
        <v>440</v>
      </c>
      <c r="Q291">
        <v>2</v>
      </c>
      <c r="R291">
        <v>47.636589999999998</v>
      </c>
      <c r="S291">
        <v>8.5999999999999993E-2</v>
      </c>
      <c r="T291">
        <v>4.0967466999999997</v>
      </c>
      <c r="U291">
        <v>1.9E-2</v>
      </c>
      <c r="V291">
        <v>77.837999999999994</v>
      </c>
      <c r="W291">
        <v>2</v>
      </c>
      <c r="X291">
        <v>9.1765513399999997E-4</v>
      </c>
      <c r="Y291">
        <v>0.14285700000000001</v>
      </c>
      <c r="Z291" s="60">
        <v>21.468738999999999</v>
      </c>
      <c r="AA291" t="s">
        <v>347</v>
      </c>
      <c r="AB291" t="s">
        <v>437</v>
      </c>
      <c r="AC291" t="s">
        <v>425</v>
      </c>
      <c r="AD291" t="s">
        <v>81</v>
      </c>
      <c r="AE291">
        <v>111.133</v>
      </c>
      <c r="AF291">
        <v>1.0541007448257309</v>
      </c>
      <c r="AG291">
        <v>117.145378074718</v>
      </c>
      <c r="AH291">
        <v>640.82000000000005</v>
      </c>
      <c r="AI291">
        <v>1</v>
      </c>
      <c r="AJ291">
        <v>75.069101177840764</v>
      </c>
      <c r="AK291">
        <v>0.93830000000000002</v>
      </c>
      <c r="AL291" s="62">
        <v>70.436999999999998</v>
      </c>
      <c r="AM291">
        <v>8.9176000000000002</v>
      </c>
      <c r="AN291">
        <v>9.4000488020579382</v>
      </c>
      <c r="AO291">
        <v>1</v>
      </c>
      <c r="AP291">
        <v>6023.7392733347688</v>
      </c>
      <c r="AQ291">
        <v>1.098016605166052</v>
      </c>
      <c r="AR291">
        <v>6614.1656999999996</v>
      </c>
      <c r="AS291" s="60">
        <v>141997.7971160523</v>
      </c>
      <c r="AT291" t="s">
        <v>348</v>
      </c>
      <c r="AU291" t="s">
        <v>438</v>
      </c>
      <c r="AV291" t="s">
        <v>425</v>
      </c>
      <c r="AW291" t="s">
        <v>81</v>
      </c>
      <c r="AX291">
        <v>111.133</v>
      </c>
      <c r="AY291">
        <v>1.0727760310708341</v>
      </c>
      <c r="AZ291">
        <v>119.22081866099499</v>
      </c>
      <c r="BA291">
        <v>694.38</v>
      </c>
      <c r="BB291">
        <v>0.875</v>
      </c>
      <c r="BC291">
        <v>72.436483054094012</v>
      </c>
      <c r="BD291">
        <v>0.93500000000000005</v>
      </c>
      <c r="BE291" s="62">
        <v>67.727999999999994</v>
      </c>
      <c r="BF291">
        <v>8.9176000000000002</v>
      </c>
      <c r="BG291">
        <v>0.91300000000000003</v>
      </c>
      <c r="BH291">
        <v>6064.9193587765631</v>
      </c>
      <c r="BI291">
        <v>1.096171586715867</v>
      </c>
      <c r="BJ291" s="62">
        <v>6648.1922999999997</v>
      </c>
      <c r="BK291" s="60">
        <v>142728.30531050969</v>
      </c>
    </row>
    <row r="292" spans="1:63" x14ac:dyDescent="0.25">
      <c r="A292">
        <v>897</v>
      </c>
      <c r="B292" t="s">
        <v>197</v>
      </c>
      <c r="C292">
        <v>2020</v>
      </c>
      <c r="D292">
        <v>1</v>
      </c>
      <c r="E292" t="s">
        <v>100</v>
      </c>
      <c r="F292" t="s">
        <v>426</v>
      </c>
      <c r="G292" t="s">
        <v>427</v>
      </c>
      <c r="H292" t="s">
        <v>84</v>
      </c>
      <c r="I292" t="s">
        <v>430</v>
      </c>
      <c r="J292" t="s">
        <v>59</v>
      </c>
      <c r="K292">
        <v>-2302.3002981999998</v>
      </c>
      <c r="L292" t="s">
        <v>59</v>
      </c>
      <c r="M292" t="s">
        <v>384</v>
      </c>
      <c r="N292">
        <v>6.0751694611689999E-2</v>
      </c>
      <c r="O292">
        <v>139.86864462064921</v>
      </c>
      <c r="P292" t="s">
        <v>440</v>
      </c>
      <c r="Q292">
        <v>2</v>
      </c>
      <c r="R292">
        <v>47.636589999999998</v>
      </c>
      <c r="S292">
        <v>8.5999999999999993E-2</v>
      </c>
      <c r="T292">
        <v>4.0967466999999997</v>
      </c>
      <c r="U292">
        <v>1.9E-2</v>
      </c>
      <c r="V292">
        <v>77.837999999999994</v>
      </c>
      <c r="W292">
        <v>2</v>
      </c>
      <c r="X292">
        <v>9.1765513399999997E-4</v>
      </c>
      <c r="Y292">
        <v>0.14285700000000001</v>
      </c>
      <c r="Z292" s="60">
        <v>19.981214999999999</v>
      </c>
      <c r="AA292" t="s">
        <v>347</v>
      </c>
      <c r="AB292" t="s">
        <v>437</v>
      </c>
      <c r="AC292" t="s">
        <v>425</v>
      </c>
      <c r="AD292" t="s">
        <v>81</v>
      </c>
      <c r="AE292">
        <v>111.133</v>
      </c>
      <c r="AF292">
        <v>1.0541007448257309</v>
      </c>
      <c r="AG292">
        <v>117.145378074718</v>
      </c>
      <c r="AH292">
        <v>640.82000000000005</v>
      </c>
      <c r="AI292">
        <v>1</v>
      </c>
      <c r="AJ292">
        <v>75.069101177840764</v>
      </c>
      <c r="AK292">
        <v>0.93830000000000002</v>
      </c>
      <c r="AL292" s="62">
        <v>70.436999999999998</v>
      </c>
      <c r="AM292">
        <v>8.9176000000000002</v>
      </c>
      <c r="AN292">
        <v>9.4000488020579382</v>
      </c>
      <c r="AO292">
        <v>1</v>
      </c>
      <c r="AP292">
        <v>6023.7392733347688</v>
      </c>
      <c r="AQ292">
        <v>1.098016605166052</v>
      </c>
      <c r="AR292">
        <v>6614.1656999999996</v>
      </c>
      <c r="AS292" s="60">
        <v>132159.06689732551</v>
      </c>
      <c r="AT292" t="s">
        <v>348</v>
      </c>
      <c r="AU292" t="s">
        <v>438</v>
      </c>
      <c r="AV292" t="s">
        <v>425</v>
      </c>
      <c r="AW292" t="s">
        <v>81</v>
      </c>
      <c r="AX292">
        <v>111.133</v>
      </c>
      <c r="AY292">
        <v>1.0727760310708341</v>
      </c>
      <c r="AZ292">
        <v>119.22081866099499</v>
      </c>
      <c r="BA292">
        <v>694.38</v>
      </c>
      <c r="BB292">
        <v>0.875</v>
      </c>
      <c r="BC292">
        <v>72.436483054094012</v>
      </c>
      <c r="BD292">
        <v>0.93500000000000005</v>
      </c>
      <c r="BE292" s="62">
        <v>67.727999999999994</v>
      </c>
      <c r="BF292">
        <v>8.9176000000000002</v>
      </c>
      <c r="BG292">
        <v>0.91300000000000003</v>
      </c>
      <c r="BH292">
        <v>6064.9193587765631</v>
      </c>
      <c r="BI292">
        <v>1.096171586715867</v>
      </c>
      <c r="BJ292" s="62">
        <v>6648.1922999999997</v>
      </c>
      <c r="BK292" s="60">
        <v>132838.95970764451</v>
      </c>
    </row>
    <row r="293" spans="1:63" x14ac:dyDescent="0.25">
      <c r="A293">
        <v>899</v>
      </c>
      <c r="B293" t="s">
        <v>197</v>
      </c>
      <c r="C293">
        <v>2020</v>
      </c>
      <c r="D293">
        <v>1</v>
      </c>
      <c r="E293" t="s">
        <v>100</v>
      </c>
      <c r="F293" t="s">
        <v>426</v>
      </c>
      <c r="G293" t="s">
        <v>427</v>
      </c>
      <c r="H293" t="s">
        <v>84</v>
      </c>
      <c r="I293" t="s">
        <v>428</v>
      </c>
      <c r="J293" t="s">
        <v>381</v>
      </c>
      <c r="K293">
        <v>-7110.4468122799999</v>
      </c>
      <c r="L293" t="s">
        <v>381</v>
      </c>
      <c r="M293" t="s">
        <v>385</v>
      </c>
      <c r="N293">
        <v>0.46583509407820001</v>
      </c>
      <c r="O293">
        <v>3312.295659736491</v>
      </c>
      <c r="P293" t="s">
        <v>440</v>
      </c>
      <c r="Q293">
        <v>2</v>
      </c>
      <c r="R293">
        <v>47.636589999999998</v>
      </c>
      <c r="S293">
        <v>8.5999999999999993E-2</v>
      </c>
      <c r="T293">
        <v>4.0967466999999997</v>
      </c>
      <c r="U293">
        <v>0.98099999999999998</v>
      </c>
      <c r="V293">
        <v>4018.9090000000001</v>
      </c>
      <c r="W293">
        <v>2</v>
      </c>
      <c r="X293">
        <v>1.7773125999999999E-5</v>
      </c>
      <c r="Y293">
        <v>0.14285700000000001</v>
      </c>
      <c r="Z293" s="60">
        <v>473.18462099999999</v>
      </c>
      <c r="AA293" t="s">
        <v>347</v>
      </c>
      <c r="AB293" t="s">
        <v>437</v>
      </c>
      <c r="AC293" t="s">
        <v>425</v>
      </c>
      <c r="AD293" t="s">
        <v>27</v>
      </c>
      <c r="AE293">
        <v>111.133</v>
      </c>
      <c r="AF293">
        <v>1.0541007448257309</v>
      </c>
      <c r="AG293">
        <v>117.145378074718</v>
      </c>
      <c r="AH293">
        <v>640.82000000000005</v>
      </c>
      <c r="AI293">
        <v>1</v>
      </c>
      <c r="AJ293">
        <v>75.069101177840764</v>
      </c>
      <c r="AK293">
        <v>0.95889999999999997</v>
      </c>
      <c r="AL293" s="62">
        <v>71.983999999999995</v>
      </c>
      <c r="AM293">
        <v>8.9176000000000002</v>
      </c>
      <c r="AN293">
        <v>9.4000488020579382</v>
      </c>
      <c r="AO293">
        <v>1</v>
      </c>
      <c r="AP293">
        <v>6023.7392733347688</v>
      </c>
      <c r="AQ293">
        <v>0.99097621000820357</v>
      </c>
      <c r="AR293">
        <v>5969.3823000000002</v>
      </c>
      <c r="AS293" s="60">
        <v>2824619.9012296079</v>
      </c>
      <c r="AT293" t="s">
        <v>348</v>
      </c>
      <c r="AU293" t="s">
        <v>438</v>
      </c>
      <c r="AV293" t="s">
        <v>425</v>
      </c>
      <c r="AW293" t="s">
        <v>27</v>
      </c>
      <c r="AX293">
        <v>111.133</v>
      </c>
      <c r="AY293">
        <v>1.0727760310708341</v>
      </c>
      <c r="AZ293">
        <v>119.22081866099499</v>
      </c>
      <c r="BA293">
        <v>694.38</v>
      </c>
      <c r="BB293">
        <v>0.875</v>
      </c>
      <c r="BC293">
        <v>72.436483054094012</v>
      </c>
      <c r="BD293">
        <v>0.95369999999999999</v>
      </c>
      <c r="BE293" s="62">
        <v>69.082999999999998</v>
      </c>
      <c r="BF293">
        <v>8.9176000000000002</v>
      </c>
      <c r="BG293">
        <v>0.91300000000000003</v>
      </c>
      <c r="BH293">
        <v>6064.9193587765631</v>
      </c>
      <c r="BI293">
        <v>1.007895816242822</v>
      </c>
      <c r="BJ293" s="62">
        <v>6112.8068000000003</v>
      </c>
      <c r="BK293" s="60">
        <v>2892486.168904223</v>
      </c>
    </row>
    <row r="294" spans="1:63" x14ac:dyDescent="0.25">
      <c r="A294">
        <v>899</v>
      </c>
      <c r="B294" t="s">
        <v>197</v>
      </c>
      <c r="C294">
        <v>2020</v>
      </c>
      <c r="D294">
        <v>1</v>
      </c>
      <c r="E294" t="s">
        <v>100</v>
      </c>
      <c r="F294" t="s">
        <v>426</v>
      </c>
      <c r="G294" t="s">
        <v>427</v>
      </c>
      <c r="H294" t="s">
        <v>84</v>
      </c>
      <c r="I294" t="s">
        <v>429</v>
      </c>
      <c r="J294" t="s">
        <v>87</v>
      </c>
      <c r="K294">
        <v>-2733.6295059700001</v>
      </c>
      <c r="L294" t="s">
        <v>87</v>
      </c>
      <c r="M294" t="s">
        <v>385</v>
      </c>
      <c r="N294">
        <v>0.36091731608875999</v>
      </c>
      <c r="O294">
        <v>986.61422447573534</v>
      </c>
      <c r="P294" t="s">
        <v>440</v>
      </c>
      <c r="Q294">
        <v>2</v>
      </c>
      <c r="R294">
        <v>47.636589999999998</v>
      </c>
      <c r="S294">
        <v>8.5999999999999993E-2</v>
      </c>
      <c r="T294">
        <v>4.0967466999999997</v>
      </c>
      <c r="U294">
        <v>0.98099999999999998</v>
      </c>
      <c r="V294">
        <v>4018.9090000000001</v>
      </c>
      <c r="W294">
        <v>2</v>
      </c>
      <c r="X294">
        <v>1.7773125999999999E-5</v>
      </c>
      <c r="Y294">
        <v>0.14285700000000001</v>
      </c>
      <c r="Z294" s="60">
        <v>140.944748</v>
      </c>
      <c r="AA294" t="s">
        <v>347</v>
      </c>
      <c r="AB294" t="s">
        <v>437</v>
      </c>
      <c r="AC294" t="s">
        <v>425</v>
      </c>
      <c r="AD294" t="s">
        <v>27</v>
      </c>
      <c r="AE294">
        <v>111.133</v>
      </c>
      <c r="AF294">
        <v>1.0541007448257309</v>
      </c>
      <c r="AG294">
        <v>117.145378074718</v>
      </c>
      <c r="AH294">
        <v>640.82000000000005</v>
      </c>
      <c r="AI294">
        <v>1</v>
      </c>
      <c r="AJ294">
        <v>75.069101177840764</v>
      </c>
      <c r="AK294">
        <v>0.95889999999999997</v>
      </c>
      <c r="AL294" s="62">
        <v>71.983999999999995</v>
      </c>
      <c r="AM294">
        <v>8.9176000000000002</v>
      </c>
      <c r="AN294">
        <v>9.4000488020579382</v>
      </c>
      <c r="AO294">
        <v>1</v>
      </c>
      <c r="AP294">
        <v>6023.7392733347688</v>
      </c>
      <c r="AQ294">
        <v>0.99097621000820357</v>
      </c>
      <c r="AR294">
        <v>5969.3823000000002</v>
      </c>
      <c r="AS294" s="60">
        <v>841353.08398916048</v>
      </c>
      <c r="AT294" t="s">
        <v>348</v>
      </c>
      <c r="AU294" t="s">
        <v>438</v>
      </c>
      <c r="AV294" t="s">
        <v>425</v>
      </c>
      <c r="AW294" t="s">
        <v>27</v>
      </c>
      <c r="AX294">
        <v>111.133</v>
      </c>
      <c r="AY294">
        <v>1.0727760310708341</v>
      </c>
      <c r="AZ294">
        <v>119.22081866099499</v>
      </c>
      <c r="BA294">
        <v>694.38</v>
      </c>
      <c r="BB294">
        <v>0.875</v>
      </c>
      <c r="BC294">
        <v>72.436483054094012</v>
      </c>
      <c r="BD294">
        <v>0.95369999999999999</v>
      </c>
      <c r="BE294" s="62">
        <v>69.082999999999998</v>
      </c>
      <c r="BF294">
        <v>8.9176000000000002</v>
      </c>
      <c r="BG294">
        <v>0.91300000000000003</v>
      </c>
      <c r="BH294">
        <v>6064.9193587765631</v>
      </c>
      <c r="BI294">
        <v>1.007895816242822</v>
      </c>
      <c r="BJ294" s="62">
        <v>6112.8068000000003</v>
      </c>
      <c r="BK294" s="60">
        <v>861568.01399868645</v>
      </c>
    </row>
    <row r="295" spans="1:63" x14ac:dyDescent="0.25">
      <c r="A295">
        <v>899</v>
      </c>
      <c r="B295" t="s">
        <v>197</v>
      </c>
      <c r="C295">
        <v>2020</v>
      </c>
      <c r="D295">
        <v>1</v>
      </c>
      <c r="E295" t="s">
        <v>100</v>
      </c>
      <c r="F295" t="s">
        <v>426</v>
      </c>
      <c r="G295" t="s">
        <v>427</v>
      </c>
      <c r="H295" t="s">
        <v>84</v>
      </c>
      <c r="I295" t="s">
        <v>430</v>
      </c>
      <c r="J295" t="s">
        <v>59</v>
      </c>
      <c r="K295">
        <v>-2302.3002981999998</v>
      </c>
      <c r="L295" t="s">
        <v>59</v>
      </c>
      <c r="M295" t="s">
        <v>385</v>
      </c>
      <c r="N295">
        <v>0.45696251572935997</v>
      </c>
      <c r="O295">
        <v>1052.064936229928</v>
      </c>
      <c r="P295" t="s">
        <v>440</v>
      </c>
      <c r="Q295">
        <v>2</v>
      </c>
      <c r="R295">
        <v>47.636589999999998</v>
      </c>
      <c r="S295">
        <v>8.5999999999999993E-2</v>
      </c>
      <c r="T295">
        <v>4.0967466999999997</v>
      </c>
      <c r="U295">
        <v>0.98099999999999998</v>
      </c>
      <c r="V295">
        <v>4018.9090000000001</v>
      </c>
      <c r="W295">
        <v>2</v>
      </c>
      <c r="X295">
        <v>1.7773125999999999E-5</v>
      </c>
      <c r="Y295">
        <v>0.14285700000000001</v>
      </c>
      <c r="Z295" s="60">
        <v>150.29484099999999</v>
      </c>
      <c r="AA295" t="s">
        <v>347</v>
      </c>
      <c r="AB295" t="s">
        <v>437</v>
      </c>
      <c r="AC295" t="s">
        <v>425</v>
      </c>
      <c r="AD295" t="s">
        <v>27</v>
      </c>
      <c r="AE295">
        <v>111.133</v>
      </c>
      <c r="AF295">
        <v>1.0541007448257309</v>
      </c>
      <c r="AG295">
        <v>117.145378074718</v>
      </c>
      <c r="AH295">
        <v>640.82000000000005</v>
      </c>
      <c r="AI295">
        <v>1</v>
      </c>
      <c r="AJ295">
        <v>75.069101177840764</v>
      </c>
      <c r="AK295">
        <v>0.95889999999999997</v>
      </c>
      <c r="AL295" s="62">
        <v>71.983999999999995</v>
      </c>
      <c r="AM295">
        <v>8.9176000000000002</v>
      </c>
      <c r="AN295">
        <v>9.4000488020579382</v>
      </c>
      <c r="AO295">
        <v>1</v>
      </c>
      <c r="AP295">
        <v>6023.7392733347688</v>
      </c>
      <c r="AQ295">
        <v>0.99097621000820357</v>
      </c>
      <c r="AR295">
        <v>5969.3823000000002</v>
      </c>
      <c r="AS295" s="60">
        <v>897167.36364671425</v>
      </c>
      <c r="AT295" t="s">
        <v>348</v>
      </c>
      <c r="AU295" t="s">
        <v>438</v>
      </c>
      <c r="AV295" t="s">
        <v>425</v>
      </c>
      <c r="AW295" t="s">
        <v>27</v>
      </c>
      <c r="AX295">
        <v>111.133</v>
      </c>
      <c r="AY295">
        <v>1.0727760310708341</v>
      </c>
      <c r="AZ295">
        <v>119.22081866099499</v>
      </c>
      <c r="BA295">
        <v>694.38</v>
      </c>
      <c r="BB295">
        <v>0.875</v>
      </c>
      <c r="BC295">
        <v>72.436483054094012</v>
      </c>
      <c r="BD295">
        <v>0.95369999999999999</v>
      </c>
      <c r="BE295" s="62">
        <v>69.082999999999998</v>
      </c>
      <c r="BF295">
        <v>8.9176000000000002</v>
      </c>
      <c r="BG295">
        <v>0.91300000000000003</v>
      </c>
      <c r="BH295">
        <v>6064.9193587765631</v>
      </c>
      <c r="BI295">
        <v>1.007895816242822</v>
      </c>
      <c r="BJ295" s="62">
        <v>6112.8068000000003</v>
      </c>
      <c r="BK295" s="60">
        <v>918723.32606971881</v>
      </c>
    </row>
    <row r="296" spans="1:63" x14ac:dyDescent="0.25">
      <c r="A296">
        <v>923</v>
      </c>
      <c r="B296" t="s">
        <v>201</v>
      </c>
      <c r="C296">
        <v>2020</v>
      </c>
      <c r="D296">
        <v>2</v>
      </c>
      <c r="E296" t="s">
        <v>100</v>
      </c>
      <c r="F296" t="s">
        <v>426</v>
      </c>
      <c r="G296" t="s">
        <v>427</v>
      </c>
      <c r="H296" t="s">
        <v>84</v>
      </c>
      <c r="I296" t="s">
        <v>428</v>
      </c>
      <c r="J296" t="s">
        <v>381</v>
      </c>
      <c r="K296">
        <v>-7084.4769050900004</v>
      </c>
      <c r="L296" t="s">
        <v>381</v>
      </c>
      <c r="M296" t="s">
        <v>384</v>
      </c>
      <c r="N296">
        <v>8.2227491443889994E-2</v>
      </c>
      <c r="O296">
        <v>582.53876409772431</v>
      </c>
      <c r="P296" t="s">
        <v>440</v>
      </c>
      <c r="Q296">
        <v>2</v>
      </c>
      <c r="R296">
        <v>47.636589999999998</v>
      </c>
      <c r="S296">
        <v>0.11799999999999999</v>
      </c>
      <c r="T296">
        <v>5.6211175999999998</v>
      </c>
      <c r="U296">
        <v>1.9E-2</v>
      </c>
      <c r="V296">
        <v>106.801</v>
      </c>
      <c r="W296">
        <v>2</v>
      </c>
      <c r="X296">
        <v>6.6879924499999997E-4</v>
      </c>
      <c r="Y296">
        <v>0.14285700000000001</v>
      </c>
      <c r="Z296" s="60">
        <v>83.219740000000002</v>
      </c>
      <c r="AA296" t="s">
        <v>347</v>
      </c>
      <c r="AB296" t="s">
        <v>437</v>
      </c>
      <c r="AC296" t="s">
        <v>425</v>
      </c>
      <c r="AD296" t="s">
        <v>81</v>
      </c>
      <c r="AE296">
        <v>111.133</v>
      </c>
      <c r="AF296">
        <v>1.0541007448257309</v>
      </c>
      <c r="AG296">
        <v>117.145378074718</v>
      </c>
      <c r="AH296">
        <v>640.82000000000005</v>
      </c>
      <c r="AI296">
        <v>1</v>
      </c>
      <c r="AJ296">
        <v>75.069101177840764</v>
      </c>
      <c r="AK296">
        <v>0.93830000000000002</v>
      </c>
      <c r="AL296" s="62">
        <v>70.436999999999998</v>
      </c>
      <c r="AM296">
        <v>8.9176000000000002</v>
      </c>
      <c r="AN296">
        <v>9.4000488020579382</v>
      </c>
      <c r="AO296">
        <v>1</v>
      </c>
      <c r="AP296">
        <v>6023.7392733347688</v>
      </c>
      <c r="AQ296">
        <v>1.098016605166052</v>
      </c>
      <c r="AR296">
        <v>6614.1656999999996</v>
      </c>
      <c r="AS296" s="60">
        <v>550429.14987091802</v>
      </c>
      <c r="AT296" t="s">
        <v>348</v>
      </c>
      <c r="AU296" t="s">
        <v>438</v>
      </c>
      <c r="AV296" t="s">
        <v>425</v>
      </c>
      <c r="AW296" t="s">
        <v>81</v>
      </c>
      <c r="AX296">
        <v>111.133</v>
      </c>
      <c r="AY296">
        <v>1.0727760310708341</v>
      </c>
      <c r="AZ296">
        <v>119.22081866099499</v>
      </c>
      <c r="BA296">
        <v>694.38</v>
      </c>
      <c r="BB296">
        <v>0.875</v>
      </c>
      <c r="BC296">
        <v>72.436483054094012</v>
      </c>
      <c r="BD296">
        <v>0.93500000000000005</v>
      </c>
      <c r="BE296" s="62">
        <v>67.727999999999994</v>
      </c>
      <c r="BF296">
        <v>8.9176000000000002</v>
      </c>
      <c r="BG296">
        <v>0.91300000000000003</v>
      </c>
      <c r="BH296">
        <v>6064.9193587765631</v>
      </c>
      <c r="BI296">
        <v>1.096171586715867</v>
      </c>
      <c r="BJ296" s="62">
        <v>6648.1922999999997</v>
      </c>
      <c r="BK296" s="60">
        <v>553260.83467600204</v>
      </c>
    </row>
    <row r="297" spans="1:63" x14ac:dyDescent="0.25">
      <c r="A297">
        <v>923</v>
      </c>
      <c r="B297" t="s">
        <v>201</v>
      </c>
      <c r="C297">
        <v>2020</v>
      </c>
      <c r="D297">
        <v>2</v>
      </c>
      <c r="E297" t="s">
        <v>100</v>
      </c>
      <c r="F297" t="s">
        <v>426</v>
      </c>
      <c r="G297" t="s">
        <v>427</v>
      </c>
      <c r="H297" t="s">
        <v>84</v>
      </c>
      <c r="I297" t="s">
        <v>429</v>
      </c>
      <c r="J297" t="s">
        <v>87</v>
      </c>
      <c r="K297">
        <v>-2655.0525418799998</v>
      </c>
      <c r="L297" t="s">
        <v>87</v>
      </c>
      <c r="M297" t="s">
        <v>384</v>
      </c>
      <c r="N297">
        <v>5.4975015899629998E-2</v>
      </c>
      <c r="O297">
        <v>145.96155570420609</v>
      </c>
      <c r="P297" t="s">
        <v>440</v>
      </c>
      <c r="Q297">
        <v>2</v>
      </c>
      <c r="R297">
        <v>47.636589999999998</v>
      </c>
      <c r="S297">
        <v>0.11799999999999999</v>
      </c>
      <c r="T297">
        <v>5.6211175999999998</v>
      </c>
      <c r="U297">
        <v>1.9E-2</v>
      </c>
      <c r="V297">
        <v>106.801</v>
      </c>
      <c r="W297">
        <v>2</v>
      </c>
      <c r="X297">
        <v>6.6879924499999997E-4</v>
      </c>
      <c r="Y297">
        <v>0.14285700000000001</v>
      </c>
      <c r="Z297" s="60">
        <v>20.85163</v>
      </c>
      <c r="AA297" t="s">
        <v>347</v>
      </c>
      <c r="AB297" t="s">
        <v>437</v>
      </c>
      <c r="AC297" t="s">
        <v>425</v>
      </c>
      <c r="AD297" t="s">
        <v>81</v>
      </c>
      <c r="AE297">
        <v>111.133</v>
      </c>
      <c r="AF297">
        <v>1.0541007448257309</v>
      </c>
      <c r="AG297">
        <v>117.145378074718</v>
      </c>
      <c r="AH297">
        <v>640.82000000000005</v>
      </c>
      <c r="AI297">
        <v>1</v>
      </c>
      <c r="AJ297">
        <v>75.069101177840764</v>
      </c>
      <c r="AK297">
        <v>0.93830000000000002</v>
      </c>
      <c r="AL297" s="62">
        <v>70.436999999999998</v>
      </c>
      <c r="AM297">
        <v>8.9176000000000002</v>
      </c>
      <c r="AN297">
        <v>9.4000488020579382</v>
      </c>
      <c r="AO297">
        <v>1</v>
      </c>
      <c r="AP297">
        <v>6023.7392733347688</v>
      </c>
      <c r="AQ297">
        <v>1.098016605166052</v>
      </c>
      <c r="AR297">
        <v>6614.1656999999996</v>
      </c>
      <c r="AS297" s="60">
        <v>137916.13593509101</v>
      </c>
      <c r="AT297" t="s">
        <v>348</v>
      </c>
      <c r="AU297" t="s">
        <v>438</v>
      </c>
      <c r="AV297" t="s">
        <v>425</v>
      </c>
      <c r="AW297" t="s">
        <v>81</v>
      </c>
      <c r="AX297">
        <v>111.133</v>
      </c>
      <c r="AY297">
        <v>1.0727760310708341</v>
      </c>
      <c r="AZ297">
        <v>119.22081866099499</v>
      </c>
      <c r="BA297">
        <v>694.38</v>
      </c>
      <c r="BB297">
        <v>0.875</v>
      </c>
      <c r="BC297">
        <v>72.436483054094012</v>
      </c>
      <c r="BD297">
        <v>0.93500000000000005</v>
      </c>
      <c r="BE297" s="62">
        <v>67.727999999999994</v>
      </c>
      <c r="BF297">
        <v>8.9176000000000002</v>
      </c>
      <c r="BG297">
        <v>0.91300000000000003</v>
      </c>
      <c r="BH297">
        <v>6064.9193587765631</v>
      </c>
      <c r="BI297">
        <v>1.096171586715867</v>
      </c>
      <c r="BJ297" s="62">
        <v>6648.1922999999997</v>
      </c>
      <c r="BK297" s="60">
        <v>138625.646008449</v>
      </c>
    </row>
    <row r="298" spans="1:63" x14ac:dyDescent="0.25">
      <c r="A298">
        <v>923</v>
      </c>
      <c r="B298" t="s">
        <v>201</v>
      </c>
      <c r="C298">
        <v>2020</v>
      </c>
      <c r="D298">
        <v>2</v>
      </c>
      <c r="E298" t="s">
        <v>100</v>
      </c>
      <c r="F298" t="s">
        <v>426</v>
      </c>
      <c r="G298" t="s">
        <v>427</v>
      </c>
      <c r="H298" t="s">
        <v>84</v>
      </c>
      <c r="I298" t="s">
        <v>430</v>
      </c>
      <c r="J298" t="s">
        <v>59</v>
      </c>
      <c r="K298">
        <v>-2168.0051843599999</v>
      </c>
      <c r="L298" t="s">
        <v>59</v>
      </c>
      <c r="M298" t="s">
        <v>384</v>
      </c>
      <c r="N298">
        <v>6.0751694611850003E-2</v>
      </c>
      <c r="O298">
        <v>131.70998887714629</v>
      </c>
      <c r="P298" t="s">
        <v>440</v>
      </c>
      <c r="Q298">
        <v>2</v>
      </c>
      <c r="R298">
        <v>47.636589999999998</v>
      </c>
      <c r="S298">
        <v>0.11799999999999999</v>
      </c>
      <c r="T298">
        <v>5.6211175999999998</v>
      </c>
      <c r="U298">
        <v>1.9E-2</v>
      </c>
      <c r="V298">
        <v>106.801</v>
      </c>
      <c r="W298">
        <v>2</v>
      </c>
      <c r="X298">
        <v>6.6879924499999997E-4</v>
      </c>
      <c r="Y298">
        <v>0.14285700000000001</v>
      </c>
      <c r="Z298" s="60">
        <v>18.815694000000001</v>
      </c>
      <c r="AA298" t="s">
        <v>347</v>
      </c>
      <c r="AB298" t="s">
        <v>437</v>
      </c>
      <c r="AC298" t="s">
        <v>425</v>
      </c>
      <c r="AD298" t="s">
        <v>81</v>
      </c>
      <c r="AE298">
        <v>111.133</v>
      </c>
      <c r="AF298">
        <v>1.0541007448257309</v>
      </c>
      <c r="AG298">
        <v>117.145378074718</v>
      </c>
      <c r="AH298">
        <v>640.82000000000005</v>
      </c>
      <c r="AI298">
        <v>1</v>
      </c>
      <c r="AJ298">
        <v>75.069101177840764</v>
      </c>
      <c r="AK298">
        <v>0.93830000000000002</v>
      </c>
      <c r="AL298" s="62">
        <v>70.436999999999998</v>
      </c>
      <c r="AM298">
        <v>8.9176000000000002</v>
      </c>
      <c r="AN298">
        <v>9.4000488020579382</v>
      </c>
      <c r="AO298">
        <v>1</v>
      </c>
      <c r="AP298">
        <v>6023.7392733347688</v>
      </c>
      <c r="AQ298">
        <v>1.098016605166052</v>
      </c>
      <c r="AR298">
        <v>6614.1656999999996</v>
      </c>
      <c r="AS298" s="60">
        <v>124450.1178764958</v>
      </c>
      <c r="AT298" t="s">
        <v>348</v>
      </c>
      <c r="AU298" t="s">
        <v>438</v>
      </c>
      <c r="AV298" t="s">
        <v>425</v>
      </c>
      <c r="AW298" t="s">
        <v>81</v>
      </c>
      <c r="AX298">
        <v>111.133</v>
      </c>
      <c r="AY298">
        <v>1.0727760310708341</v>
      </c>
      <c r="AZ298">
        <v>119.22081866099499</v>
      </c>
      <c r="BA298">
        <v>694.38</v>
      </c>
      <c r="BB298">
        <v>0.875</v>
      </c>
      <c r="BC298">
        <v>72.436483054094012</v>
      </c>
      <c r="BD298">
        <v>0.93500000000000005</v>
      </c>
      <c r="BE298" s="62">
        <v>67.727999999999994</v>
      </c>
      <c r="BF298">
        <v>8.9176000000000002</v>
      </c>
      <c r="BG298">
        <v>0.91300000000000003</v>
      </c>
      <c r="BH298">
        <v>6064.9193587765631</v>
      </c>
      <c r="BI298">
        <v>1.096171586715867</v>
      </c>
      <c r="BJ298" s="62">
        <v>6648.1922999999997</v>
      </c>
      <c r="BK298" s="60">
        <v>125090.3519699562</v>
      </c>
    </row>
    <row r="299" spans="1:63" x14ac:dyDescent="0.25">
      <c r="A299">
        <v>925</v>
      </c>
      <c r="B299" t="s">
        <v>201</v>
      </c>
      <c r="C299">
        <v>2020</v>
      </c>
      <c r="D299">
        <v>2</v>
      </c>
      <c r="E299" t="s">
        <v>100</v>
      </c>
      <c r="F299" t="s">
        <v>426</v>
      </c>
      <c r="G299" t="s">
        <v>427</v>
      </c>
      <c r="H299" t="s">
        <v>84</v>
      </c>
      <c r="I299" t="s">
        <v>428</v>
      </c>
      <c r="J299" t="s">
        <v>381</v>
      </c>
      <c r="K299">
        <v>-7084.4769050900004</v>
      </c>
      <c r="L299" t="s">
        <v>381</v>
      </c>
      <c r="M299" t="s">
        <v>385</v>
      </c>
      <c r="N299">
        <v>0.46583509407822998</v>
      </c>
      <c r="O299">
        <v>3300.1979655776481</v>
      </c>
      <c r="P299" t="s">
        <v>440</v>
      </c>
      <c r="Q299">
        <v>2</v>
      </c>
      <c r="R299">
        <v>47.636589999999998</v>
      </c>
      <c r="S299">
        <v>0.11799999999999999</v>
      </c>
      <c r="T299">
        <v>5.6211175999999998</v>
      </c>
      <c r="U299">
        <v>0.98099999999999998</v>
      </c>
      <c r="V299">
        <v>5514.3159999999998</v>
      </c>
      <c r="W299">
        <v>2</v>
      </c>
      <c r="X299">
        <v>1.2953295999999999E-5</v>
      </c>
      <c r="Y299">
        <v>0.14285700000000001</v>
      </c>
      <c r="Z299" s="60">
        <v>471.45638100000002</v>
      </c>
      <c r="AA299" t="s">
        <v>347</v>
      </c>
      <c r="AB299" t="s">
        <v>437</v>
      </c>
      <c r="AC299" t="s">
        <v>425</v>
      </c>
      <c r="AD299" t="s">
        <v>27</v>
      </c>
      <c r="AE299">
        <v>111.133</v>
      </c>
      <c r="AF299">
        <v>1.0541007448257309</v>
      </c>
      <c r="AG299">
        <v>117.145378074718</v>
      </c>
      <c r="AH299">
        <v>640.82000000000005</v>
      </c>
      <c r="AI299">
        <v>1</v>
      </c>
      <c r="AJ299">
        <v>75.069101177840764</v>
      </c>
      <c r="AK299">
        <v>0.95889999999999997</v>
      </c>
      <c r="AL299" s="62">
        <v>71.983999999999995</v>
      </c>
      <c r="AM299">
        <v>8.9176000000000002</v>
      </c>
      <c r="AN299">
        <v>9.4000488020579382</v>
      </c>
      <c r="AO299">
        <v>1</v>
      </c>
      <c r="AP299">
        <v>6023.7392733347688</v>
      </c>
      <c r="AQ299">
        <v>0.99097621000820357</v>
      </c>
      <c r="AR299">
        <v>5969.3823000000002</v>
      </c>
      <c r="AS299" s="60">
        <v>2814303.375963456</v>
      </c>
      <c r="AT299" t="s">
        <v>348</v>
      </c>
      <c r="AU299" t="s">
        <v>438</v>
      </c>
      <c r="AV299" t="s">
        <v>425</v>
      </c>
      <c r="AW299" t="s">
        <v>27</v>
      </c>
      <c r="AX299">
        <v>111.133</v>
      </c>
      <c r="AY299">
        <v>1.0727760310708341</v>
      </c>
      <c r="AZ299">
        <v>119.22081866099499</v>
      </c>
      <c r="BA299">
        <v>694.38</v>
      </c>
      <c r="BB299">
        <v>0.875</v>
      </c>
      <c r="BC299">
        <v>72.436483054094012</v>
      </c>
      <c r="BD299">
        <v>0.95369999999999999</v>
      </c>
      <c r="BE299" s="62">
        <v>69.082999999999998</v>
      </c>
      <c r="BF299">
        <v>8.9176000000000002</v>
      </c>
      <c r="BG299">
        <v>0.91300000000000003</v>
      </c>
      <c r="BH299">
        <v>6064.9193587765631</v>
      </c>
      <c r="BI299">
        <v>1.007895816242822</v>
      </c>
      <c r="BJ299" s="62">
        <v>6112.8068000000003</v>
      </c>
      <c r="BK299" s="60">
        <v>2881921.7716801912</v>
      </c>
    </row>
    <row r="300" spans="1:63" x14ac:dyDescent="0.25">
      <c r="A300">
        <v>925</v>
      </c>
      <c r="B300" t="s">
        <v>201</v>
      </c>
      <c r="C300">
        <v>2020</v>
      </c>
      <c r="D300">
        <v>2</v>
      </c>
      <c r="E300" t="s">
        <v>100</v>
      </c>
      <c r="F300" t="s">
        <v>426</v>
      </c>
      <c r="G300" t="s">
        <v>427</v>
      </c>
      <c r="H300" t="s">
        <v>84</v>
      </c>
      <c r="I300" t="s">
        <v>429</v>
      </c>
      <c r="J300" t="s">
        <v>87</v>
      </c>
      <c r="K300">
        <v>-2655.0525418799998</v>
      </c>
      <c r="L300" t="s">
        <v>87</v>
      </c>
      <c r="M300" t="s">
        <v>385</v>
      </c>
      <c r="N300">
        <v>0.36091731608896999</v>
      </c>
      <c r="O300">
        <v>958.25443749052715</v>
      </c>
      <c r="P300" t="s">
        <v>440</v>
      </c>
      <c r="Q300">
        <v>2</v>
      </c>
      <c r="R300">
        <v>47.636589999999998</v>
      </c>
      <c r="S300">
        <v>0.11799999999999999</v>
      </c>
      <c r="T300">
        <v>5.6211175999999998</v>
      </c>
      <c r="U300">
        <v>0.98099999999999998</v>
      </c>
      <c r="V300">
        <v>5514.3159999999998</v>
      </c>
      <c r="W300">
        <v>2</v>
      </c>
      <c r="X300">
        <v>1.2953295999999999E-5</v>
      </c>
      <c r="Y300">
        <v>0.14285700000000001</v>
      </c>
      <c r="Z300" s="60">
        <v>136.89335399999999</v>
      </c>
      <c r="AA300" t="s">
        <v>347</v>
      </c>
      <c r="AB300" t="s">
        <v>437</v>
      </c>
      <c r="AC300" t="s">
        <v>425</v>
      </c>
      <c r="AD300" t="s">
        <v>27</v>
      </c>
      <c r="AE300">
        <v>111.133</v>
      </c>
      <c r="AF300">
        <v>1.0541007448257309</v>
      </c>
      <c r="AG300">
        <v>117.145378074718</v>
      </c>
      <c r="AH300">
        <v>640.82000000000005</v>
      </c>
      <c r="AI300">
        <v>1</v>
      </c>
      <c r="AJ300">
        <v>75.069101177840764</v>
      </c>
      <c r="AK300">
        <v>0.95889999999999997</v>
      </c>
      <c r="AL300" s="62">
        <v>71.983999999999995</v>
      </c>
      <c r="AM300">
        <v>8.9176000000000002</v>
      </c>
      <c r="AN300">
        <v>9.4000488020579382</v>
      </c>
      <c r="AO300">
        <v>1</v>
      </c>
      <c r="AP300">
        <v>6023.7392733347688</v>
      </c>
      <c r="AQ300">
        <v>0.99097621000820357</v>
      </c>
      <c r="AR300">
        <v>5969.3823000000002</v>
      </c>
      <c r="AS300" s="60">
        <v>817168.7643552341</v>
      </c>
      <c r="AT300" t="s">
        <v>348</v>
      </c>
      <c r="AU300" t="s">
        <v>438</v>
      </c>
      <c r="AV300" t="s">
        <v>425</v>
      </c>
      <c r="AW300" t="s">
        <v>27</v>
      </c>
      <c r="AX300">
        <v>111.133</v>
      </c>
      <c r="AY300">
        <v>1.0727760310708341</v>
      </c>
      <c r="AZ300">
        <v>119.22081866099499</v>
      </c>
      <c r="BA300">
        <v>694.38</v>
      </c>
      <c r="BB300">
        <v>0.875</v>
      </c>
      <c r="BC300">
        <v>72.436483054094012</v>
      </c>
      <c r="BD300">
        <v>0.95369999999999999</v>
      </c>
      <c r="BE300" s="62">
        <v>69.082999999999998</v>
      </c>
      <c r="BF300">
        <v>8.9176000000000002</v>
      </c>
      <c r="BG300">
        <v>0.91300000000000003</v>
      </c>
      <c r="BH300">
        <v>6064.9193587765631</v>
      </c>
      <c r="BI300">
        <v>1.007895816242822</v>
      </c>
      <c r="BJ300" s="62">
        <v>6112.8068000000003</v>
      </c>
      <c r="BK300" s="60">
        <v>836802.62520600716</v>
      </c>
    </row>
    <row r="301" spans="1:63" x14ac:dyDescent="0.25">
      <c r="A301">
        <v>925</v>
      </c>
      <c r="B301" t="s">
        <v>201</v>
      </c>
      <c r="C301">
        <v>2020</v>
      </c>
      <c r="D301">
        <v>2</v>
      </c>
      <c r="E301" t="s">
        <v>100</v>
      </c>
      <c r="F301" t="s">
        <v>426</v>
      </c>
      <c r="G301" t="s">
        <v>427</v>
      </c>
      <c r="H301" t="s">
        <v>84</v>
      </c>
      <c r="I301" t="s">
        <v>430</v>
      </c>
      <c r="J301" t="s">
        <v>59</v>
      </c>
      <c r="K301">
        <v>-2168.0051843599999</v>
      </c>
      <c r="L301" t="s">
        <v>59</v>
      </c>
      <c r="M301" t="s">
        <v>385</v>
      </c>
      <c r="N301">
        <v>0.45696251573021002</v>
      </c>
      <c r="O301">
        <v>990.69710316128339</v>
      </c>
      <c r="P301" t="s">
        <v>440</v>
      </c>
      <c r="Q301">
        <v>2</v>
      </c>
      <c r="R301">
        <v>47.636589999999998</v>
      </c>
      <c r="S301">
        <v>0.11799999999999999</v>
      </c>
      <c r="T301">
        <v>5.6211175999999998</v>
      </c>
      <c r="U301">
        <v>0.98099999999999998</v>
      </c>
      <c r="V301">
        <v>5514.3159999999998</v>
      </c>
      <c r="W301">
        <v>2</v>
      </c>
      <c r="X301">
        <v>1.2953295999999999E-5</v>
      </c>
      <c r="Y301">
        <v>0.14285700000000001</v>
      </c>
      <c r="Z301" s="60">
        <v>141.52801600000001</v>
      </c>
      <c r="AA301" t="s">
        <v>347</v>
      </c>
      <c r="AB301" t="s">
        <v>437</v>
      </c>
      <c r="AC301" t="s">
        <v>425</v>
      </c>
      <c r="AD301" t="s">
        <v>27</v>
      </c>
      <c r="AE301">
        <v>111.133</v>
      </c>
      <c r="AF301">
        <v>1.0541007448257309</v>
      </c>
      <c r="AG301">
        <v>117.145378074718</v>
      </c>
      <c r="AH301">
        <v>640.82000000000005</v>
      </c>
      <c r="AI301">
        <v>1</v>
      </c>
      <c r="AJ301">
        <v>75.069101177840764</v>
      </c>
      <c r="AK301">
        <v>0.95889999999999997</v>
      </c>
      <c r="AL301" s="62">
        <v>71.983999999999995</v>
      </c>
      <c r="AM301">
        <v>8.9176000000000002</v>
      </c>
      <c r="AN301">
        <v>9.4000488020579382</v>
      </c>
      <c r="AO301">
        <v>1</v>
      </c>
      <c r="AP301">
        <v>6023.7392733347688</v>
      </c>
      <c r="AQ301">
        <v>0.99097621000820357</v>
      </c>
      <c r="AR301">
        <v>5969.3823000000002</v>
      </c>
      <c r="AS301" s="60">
        <v>844834.83366451692</v>
      </c>
      <c r="AT301" t="s">
        <v>348</v>
      </c>
      <c r="AU301" t="s">
        <v>438</v>
      </c>
      <c r="AV301" t="s">
        <v>425</v>
      </c>
      <c r="AW301" t="s">
        <v>27</v>
      </c>
      <c r="AX301">
        <v>111.133</v>
      </c>
      <c r="AY301">
        <v>1.0727760310708341</v>
      </c>
      <c r="AZ301">
        <v>119.22081866099499</v>
      </c>
      <c r="BA301">
        <v>694.38</v>
      </c>
      <c r="BB301">
        <v>0.875</v>
      </c>
      <c r="BC301">
        <v>72.436483054094012</v>
      </c>
      <c r="BD301">
        <v>0.95369999999999999</v>
      </c>
      <c r="BE301" s="62">
        <v>69.082999999999998</v>
      </c>
      <c r="BF301">
        <v>8.9176000000000002</v>
      </c>
      <c r="BG301">
        <v>0.91300000000000003</v>
      </c>
      <c r="BH301">
        <v>6064.9193587765631</v>
      </c>
      <c r="BI301">
        <v>1.007895816242822</v>
      </c>
      <c r="BJ301" s="62">
        <v>6112.8068000000003</v>
      </c>
      <c r="BK301" s="60">
        <v>865133.4185953089</v>
      </c>
    </row>
    <row r="302" spans="1:63" x14ac:dyDescent="0.25">
      <c r="A302">
        <v>949</v>
      </c>
      <c r="B302" t="s">
        <v>205</v>
      </c>
      <c r="C302">
        <v>2020</v>
      </c>
      <c r="D302">
        <v>3</v>
      </c>
      <c r="E302" t="s">
        <v>100</v>
      </c>
      <c r="F302" t="s">
        <v>426</v>
      </c>
      <c r="G302" t="s">
        <v>427</v>
      </c>
      <c r="H302" t="s">
        <v>84</v>
      </c>
      <c r="I302" t="s">
        <v>428</v>
      </c>
      <c r="J302" t="s">
        <v>381</v>
      </c>
      <c r="K302">
        <v>-6958.63726589</v>
      </c>
      <c r="L302" t="s">
        <v>381</v>
      </c>
      <c r="M302" t="s">
        <v>384</v>
      </c>
      <c r="N302">
        <v>8.2227491443600004E-2</v>
      </c>
      <c r="O302">
        <v>572.19128624008613</v>
      </c>
      <c r="P302" t="s">
        <v>440</v>
      </c>
      <c r="Q302">
        <v>2</v>
      </c>
      <c r="R302">
        <v>47.636589999999998</v>
      </c>
      <c r="S302">
        <v>0.13500000000000001</v>
      </c>
      <c r="T302">
        <v>6.4309396999999997</v>
      </c>
      <c r="U302">
        <v>1.9E-2</v>
      </c>
      <c r="V302">
        <v>122.188</v>
      </c>
      <c r="W302">
        <v>2</v>
      </c>
      <c r="X302">
        <v>5.8457995E-4</v>
      </c>
      <c r="Y302">
        <v>0.14285700000000001</v>
      </c>
      <c r="Z302" s="60">
        <v>81.741530999999995</v>
      </c>
      <c r="AA302" t="s">
        <v>347</v>
      </c>
      <c r="AB302" t="s">
        <v>437</v>
      </c>
      <c r="AC302" t="s">
        <v>425</v>
      </c>
      <c r="AD302" t="s">
        <v>81</v>
      </c>
      <c r="AE302">
        <v>111.133</v>
      </c>
      <c r="AF302">
        <v>1.0541007448257309</v>
      </c>
      <c r="AG302">
        <v>117.145378074718</v>
      </c>
      <c r="AH302">
        <v>640.82000000000005</v>
      </c>
      <c r="AI302">
        <v>1</v>
      </c>
      <c r="AJ302">
        <v>75.069101177840764</v>
      </c>
      <c r="AK302">
        <v>0.93830000000000002</v>
      </c>
      <c r="AL302" s="62">
        <v>70.436999999999998</v>
      </c>
      <c r="AM302">
        <v>8.9176000000000002</v>
      </c>
      <c r="AN302">
        <v>9.4000488020579382</v>
      </c>
      <c r="AO302">
        <v>1</v>
      </c>
      <c r="AP302">
        <v>6023.7392733347688</v>
      </c>
      <c r="AQ302">
        <v>1.098016605166052</v>
      </c>
      <c r="AR302">
        <v>6614.1656999999996</v>
      </c>
      <c r="AS302" s="60">
        <v>540652.0306056866</v>
      </c>
      <c r="AT302" t="s">
        <v>348</v>
      </c>
      <c r="AU302" t="s">
        <v>438</v>
      </c>
      <c r="AV302" t="s">
        <v>425</v>
      </c>
      <c r="AW302" t="s">
        <v>81</v>
      </c>
      <c r="AX302">
        <v>111.133</v>
      </c>
      <c r="AY302">
        <v>1.0727760310708341</v>
      </c>
      <c r="AZ302">
        <v>119.22081866099499</v>
      </c>
      <c r="BA302">
        <v>694.38</v>
      </c>
      <c r="BB302">
        <v>0.875</v>
      </c>
      <c r="BC302">
        <v>72.436483054094012</v>
      </c>
      <c r="BD302">
        <v>0.93500000000000005</v>
      </c>
      <c r="BE302" s="62">
        <v>67.727999999999994</v>
      </c>
      <c r="BF302">
        <v>8.9176000000000002</v>
      </c>
      <c r="BG302">
        <v>0.91300000000000003</v>
      </c>
      <c r="BH302">
        <v>6064.9193587765631</v>
      </c>
      <c r="BI302">
        <v>1.096171586715867</v>
      </c>
      <c r="BJ302" s="62">
        <v>6648.1922999999997</v>
      </c>
      <c r="BK302" s="60">
        <v>543433.41698441119</v>
      </c>
    </row>
    <row r="303" spans="1:63" x14ac:dyDescent="0.25">
      <c r="A303">
        <v>949</v>
      </c>
      <c r="B303" t="s">
        <v>205</v>
      </c>
      <c r="C303">
        <v>2020</v>
      </c>
      <c r="D303">
        <v>3</v>
      </c>
      <c r="E303" t="s">
        <v>100</v>
      </c>
      <c r="F303" t="s">
        <v>426</v>
      </c>
      <c r="G303" t="s">
        <v>427</v>
      </c>
      <c r="H303" t="s">
        <v>84</v>
      </c>
      <c r="I303" t="s">
        <v>429</v>
      </c>
      <c r="J303" t="s">
        <v>87</v>
      </c>
      <c r="K303">
        <v>-2634.2534426900002</v>
      </c>
      <c r="L303" t="s">
        <v>87</v>
      </c>
      <c r="M303" t="s">
        <v>384</v>
      </c>
      <c r="N303">
        <v>5.4975015900139999E-2</v>
      </c>
      <c r="O303">
        <v>144.8181248968813</v>
      </c>
      <c r="P303" t="s">
        <v>440</v>
      </c>
      <c r="Q303">
        <v>2</v>
      </c>
      <c r="R303">
        <v>47.636589999999998</v>
      </c>
      <c r="S303">
        <v>0.13500000000000001</v>
      </c>
      <c r="T303">
        <v>6.4309396999999997</v>
      </c>
      <c r="U303">
        <v>1.9E-2</v>
      </c>
      <c r="V303">
        <v>122.188</v>
      </c>
      <c r="W303">
        <v>2</v>
      </c>
      <c r="X303">
        <v>5.8457995E-4</v>
      </c>
      <c r="Y303">
        <v>0.14285700000000001</v>
      </c>
      <c r="Z303" s="60">
        <v>20.688282999999998</v>
      </c>
      <c r="AA303" t="s">
        <v>347</v>
      </c>
      <c r="AB303" t="s">
        <v>437</v>
      </c>
      <c r="AC303" t="s">
        <v>425</v>
      </c>
      <c r="AD303" t="s">
        <v>81</v>
      </c>
      <c r="AE303">
        <v>111.133</v>
      </c>
      <c r="AF303">
        <v>1.0541007448257309</v>
      </c>
      <c r="AG303">
        <v>117.145378074718</v>
      </c>
      <c r="AH303">
        <v>640.82000000000005</v>
      </c>
      <c r="AI303">
        <v>1</v>
      </c>
      <c r="AJ303">
        <v>75.069101177840764</v>
      </c>
      <c r="AK303">
        <v>0.93830000000000002</v>
      </c>
      <c r="AL303" s="62">
        <v>70.436999999999998</v>
      </c>
      <c r="AM303">
        <v>8.9176000000000002</v>
      </c>
      <c r="AN303">
        <v>9.4000488020579382</v>
      </c>
      <c r="AO303">
        <v>1</v>
      </c>
      <c r="AP303">
        <v>6023.7392733347688</v>
      </c>
      <c r="AQ303">
        <v>1.098016605166052</v>
      </c>
      <c r="AR303">
        <v>6614.1656999999996</v>
      </c>
      <c r="AS303" s="60">
        <v>136835.7318104931</v>
      </c>
      <c r="AT303" t="s">
        <v>348</v>
      </c>
      <c r="AU303" t="s">
        <v>438</v>
      </c>
      <c r="AV303" t="s">
        <v>425</v>
      </c>
      <c r="AW303" t="s">
        <v>81</v>
      </c>
      <c r="AX303">
        <v>111.133</v>
      </c>
      <c r="AY303">
        <v>1.0727760310708341</v>
      </c>
      <c r="AZ303">
        <v>119.22081866099499</v>
      </c>
      <c r="BA303">
        <v>694.38</v>
      </c>
      <c r="BB303">
        <v>0.875</v>
      </c>
      <c r="BC303">
        <v>72.436483054094012</v>
      </c>
      <c r="BD303">
        <v>0.93500000000000005</v>
      </c>
      <c r="BE303" s="62">
        <v>67.727999999999994</v>
      </c>
      <c r="BF303">
        <v>8.9176000000000002</v>
      </c>
      <c r="BG303">
        <v>0.91300000000000003</v>
      </c>
      <c r="BH303">
        <v>6064.9193587765631</v>
      </c>
      <c r="BI303">
        <v>1.096171586715867</v>
      </c>
      <c r="BJ303" s="62">
        <v>6648.1922999999997</v>
      </c>
      <c r="BK303" s="60">
        <v>137539.68374082091</v>
      </c>
    </row>
    <row r="304" spans="1:63" x14ac:dyDescent="0.25">
      <c r="A304">
        <v>949</v>
      </c>
      <c r="B304" t="s">
        <v>205</v>
      </c>
      <c r="C304">
        <v>2020</v>
      </c>
      <c r="D304">
        <v>3</v>
      </c>
      <c r="E304" t="s">
        <v>100</v>
      </c>
      <c r="F304" t="s">
        <v>426</v>
      </c>
      <c r="G304" t="s">
        <v>427</v>
      </c>
      <c r="H304" t="s">
        <v>84</v>
      </c>
      <c r="I304" t="s">
        <v>430</v>
      </c>
      <c r="J304" t="s">
        <v>59</v>
      </c>
      <c r="K304">
        <v>-2164.2694227000002</v>
      </c>
      <c r="L304" t="s">
        <v>59</v>
      </c>
      <c r="M304" t="s">
        <v>384</v>
      </c>
      <c r="N304">
        <v>6.0751694612559998E-2</v>
      </c>
      <c r="O304">
        <v>131.48303502717189</v>
      </c>
      <c r="P304" t="s">
        <v>440</v>
      </c>
      <c r="Q304">
        <v>2</v>
      </c>
      <c r="R304">
        <v>47.636589999999998</v>
      </c>
      <c r="S304">
        <v>0.13500000000000001</v>
      </c>
      <c r="T304">
        <v>6.4309396999999997</v>
      </c>
      <c r="U304">
        <v>1.9E-2</v>
      </c>
      <c r="V304">
        <v>122.188</v>
      </c>
      <c r="W304">
        <v>2</v>
      </c>
      <c r="X304">
        <v>5.8457995E-4</v>
      </c>
      <c r="Y304">
        <v>0.14285700000000001</v>
      </c>
      <c r="Z304" s="60">
        <v>18.783272</v>
      </c>
      <c r="AA304" t="s">
        <v>347</v>
      </c>
      <c r="AB304" t="s">
        <v>437</v>
      </c>
      <c r="AC304" t="s">
        <v>425</v>
      </c>
      <c r="AD304" t="s">
        <v>81</v>
      </c>
      <c r="AE304">
        <v>111.133</v>
      </c>
      <c r="AF304">
        <v>1.0541007448257309</v>
      </c>
      <c r="AG304">
        <v>117.145378074718</v>
      </c>
      <c r="AH304">
        <v>640.82000000000005</v>
      </c>
      <c r="AI304">
        <v>1</v>
      </c>
      <c r="AJ304">
        <v>75.069101177840764</v>
      </c>
      <c r="AK304">
        <v>0.93830000000000002</v>
      </c>
      <c r="AL304" s="62">
        <v>70.436999999999998</v>
      </c>
      <c r="AM304">
        <v>8.9176000000000002</v>
      </c>
      <c r="AN304">
        <v>9.4000488020579382</v>
      </c>
      <c r="AO304">
        <v>1</v>
      </c>
      <c r="AP304">
        <v>6023.7392733347688</v>
      </c>
      <c r="AQ304">
        <v>1.098016605166052</v>
      </c>
      <c r="AR304">
        <v>6614.1656999999996</v>
      </c>
      <c r="AS304" s="60">
        <v>124235.6733961704</v>
      </c>
      <c r="AT304" t="s">
        <v>348</v>
      </c>
      <c r="AU304" t="s">
        <v>438</v>
      </c>
      <c r="AV304" t="s">
        <v>425</v>
      </c>
      <c r="AW304" t="s">
        <v>81</v>
      </c>
      <c r="AX304">
        <v>111.133</v>
      </c>
      <c r="AY304">
        <v>1.0727760310708341</v>
      </c>
      <c r="AZ304">
        <v>119.22081866099499</v>
      </c>
      <c r="BA304">
        <v>694.38</v>
      </c>
      <c r="BB304">
        <v>0.875</v>
      </c>
      <c r="BC304">
        <v>72.436483054094012</v>
      </c>
      <c r="BD304">
        <v>0.93500000000000005</v>
      </c>
      <c r="BE304" s="62">
        <v>67.727999999999994</v>
      </c>
      <c r="BF304">
        <v>8.9176000000000002</v>
      </c>
      <c r="BG304">
        <v>0.91300000000000003</v>
      </c>
      <c r="BH304">
        <v>6064.9193587765631</v>
      </c>
      <c r="BI304">
        <v>1.096171586715867</v>
      </c>
      <c r="BJ304" s="62">
        <v>6648.1922999999997</v>
      </c>
      <c r="BK304" s="60">
        <v>124874.80427920559</v>
      </c>
    </row>
    <row r="305" spans="1:63" x14ac:dyDescent="0.25">
      <c r="A305">
        <v>951</v>
      </c>
      <c r="B305" t="s">
        <v>205</v>
      </c>
      <c r="C305">
        <v>2020</v>
      </c>
      <c r="D305">
        <v>3</v>
      </c>
      <c r="E305" t="s">
        <v>100</v>
      </c>
      <c r="F305" t="s">
        <v>426</v>
      </c>
      <c r="G305" t="s">
        <v>427</v>
      </c>
      <c r="H305" t="s">
        <v>84</v>
      </c>
      <c r="I305" t="s">
        <v>428</v>
      </c>
      <c r="J305" t="s">
        <v>381</v>
      </c>
      <c r="K305">
        <v>-6958.63726589</v>
      </c>
      <c r="L305" t="s">
        <v>381</v>
      </c>
      <c r="M305" t="s">
        <v>385</v>
      </c>
      <c r="N305">
        <v>0.46583509407819002</v>
      </c>
      <c r="O305">
        <v>3241.5774454118668</v>
      </c>
      <c r="P305" t="s">
        <v>440</v>
      </c>
      <c r="Q305">
        <v>2</v>
      </c>
      <c r="R305">
        <v>47.636589999999998</v>
      </c>
      <c r="S305">
        <v>0.13500000000000001</v>
      </c>
      <c r="T305">
        <v>6.4309396999999997</v>
      </c>
      <c r="U305">
        <v>0.98099999999999998</v>
      </c>
      <c r="V305">
        <v>6308.7520000000004</v>
      </c>
      <c r="W305">
        <v>2</v>
      </c>
      <c r="X305">
        <v>1.1322140000000001E-5</v>
      </c>
      <c r="Y305">
        <v>0.14285700000000001</v>
      </c>
      <c r="Z305" s="60">
        <v>463.08202899999998</v>
      </c>
      <c r="AA305" t="s">
        <v>347</v>
      </c>
      <c r="AB305" t="s">
        <v>437</v>
      </c>
      <c r="AC305" t="s">
        <v>425</v>
      </c>
      <c r="AD305" t="s">
        <v>27</v>
      </c>
      <c r="AE305">
        <v>111.133</v>
      </c>
      <c r="AF305">
        <v>1.0541007448257309</v>
      </c>
      <c r="AG305">
        <v>117.145378074718</v>
      </c>
      <c r="AH305">
        <v>640.82000000000005</v>
      </c>
      <c r="AI305">
        <v>1</v>
      </c>
      <c r="AJ305">
        <v>75.069101177840764</v>
      </c>
      <c r="AK305">
        <v>0.95889999999999997</v>
      </c>
      <c r="AL305" s="62">
        <v>71.983999999999995</v>
      </c>
      <c r="AM305">
        <v>8.9176000000000002</v>
      </c>
      <c r="AN305">
        <v>9.4000488020579382</v>
      </c>
      <c r="AO305">
        <v>1</v>
      </c>
      <c r="AP305">
        <v>6023.7392733347688</v>
      </c>
      <c r="AQ305">
        <v>0.99097621000820357</v>
      </c>
      <c r="AR305">
        <v>5969.3823000000002</v>
      </c>
      <c r="AS305" s="60">
        <v>2764313.6673606872</v>
      </c>
      <c r="AT305" t="s">
        <v>348</v>
      </c>
      <c r="AU305" t="s">
        <v>438</v>
      </c>
      <c r="AV305" t="s">
        <v>425</v>
      </c>
      <c r="AW305" t="s">
        <v>27</v>
      </c>
      <c r="AX305">
        <v>111.133</v>
      </c>
      <c r="AY305">
        <v>1.0727760310708341</v>
      </c>
      <c r="AZ305">
        <v>119.22081866099499</v>
      </c>
      <c r="BA305">
        <v>694.38</v>
      </c>
      <c r="BB305">
        <v>0.875</v>
      </c>
      <c r="BC305">
        <v>72.436483054094012</v>
      </c>
      <c r="BD305">
        <v>0.95369999999999999</v>
      </c>
      <c r="BE305" s="62">
        <v>69.082999999999998</v>
      </c>
      <c r="BF305">
        <v>8.9176000000000002</v>
      </c>
      <c r="BG305">
        <v>0.91300000000000003</v>
      </c>
      <c r="BH305">
        <v>6064.9193587765631</v>
      </c>
      <c r="BI305">
        <v>1.007895816242822</v>
      </c>
      <c r="BJ305" s="62">
        <v>6112.8068000000003</v>
      </c>
      <c r="BK305" s="60">
        <v>2830730.9758289969</v>
      </c>
    </row>
    <row r="306" spans="1:63" x14ac:dyDescent="0.25">
      <c r="A306">
        <v>951</v>
      </c>
      <c r="B306" t="s">
        <v>205</v>
      </c>
      <c r="C306">
        <v>2020</v>
      </c>
      <c r="D306">
        <v>3</v>
      </c>
      <c r="E306" t="s">
        <v>100</v>
      </c>
      <c r="F306" t="s">
        <v>426</v>
      </c>
      <c r="G306" t="s">
        <v>427</v>
      </c>
      <c r="H306" t="s">
        <v>84</v>
      </c>
      <c r="I306" t="s">
        <v>429</v>
      </c>
      <c r="J306" t="s">
        <v>87</v>
      </c>
      <c r="K306">
        <v>-2634.2534426900002</v>
      </c>
      <c r="L306" t="s">
        <v>87</v>
      </c>
      <c r="M306" t="s">
        <v>385</v>
      </c>
      <c r="N306">
        <v>0.36091731608909999</v>
      </c>
      <c r="O306">
        <v>950.74768243414655</v>
      </c>
      <c r="P306" t="s">
        <v>440</v>
      </c>
      <c r="Q306">
        <v>2</v>
      </c>
      <c r="R306">
        <v>47.636589999999998</v>
      </c>
      <c r="S306">
        <v>0.13500000000000001</v>
      </c>
      <c r="T306">
        <v>6.4309396999999997</v>
      </c>
      <c r="U306">
        <v>0.98099999999999998</v>
      </c>
      <c r="V306">
        <v>6308.7520000000004</v>
      </c>
      <c r="W306">
        <v>2</v>
      </c>
      <c r="X306">
        <v>1.1322140000000001E-5</v>
      </c>
      <c r="Y306">
        <v>0.14285700000000001</v>
      </c>
      <c r="Z306" s="60">
        <v>135.82096200000001</v>
      </c>
      <c r="AA306" t="s">
        <v>347</v>
      </c>
      <c r="AB306" t="s">
        <v>437</v>
      </c>
      <c r="AC306" t="s">
        <v>425</v>
      </c>
      <c r="AD306" t="s">
        <v>27</v>
      </c>
      <c r="AE306">
        <v>111.133</v>
      </c>
      <c r="AF306">
        <v>1.0541007448257309</v>
      </c>
      <c r="AG306">
        <v>117.145378074718</v>
      </c>
      <c r="AH306">
        <v>640.82000000000005</v>
      </c>
      <c r="AI306">
        <v>1</v>
      </c>
      <c r="AJ306">
        <v>75.069101177840764</v>
      </c>
      <c r="AK306">
        <v>0.95889999999999997</v>
      </c>
      <c r="AL306" s="62">
        <v>71.983999999999995</v>
      </c>
      <c r="AM306">
        <v>8.9176000000000002</v>
      </c>
      <c r="AN306">
        <v>9.4000488020579382</v>
      </c>
      <c r="AO306">
        <v>1</v>
      </c>
      <c r="AP306">
        <v>6023.7392733347688</v>
      </c>
      <c r="AQ306">
        <v>0.99097621000820357</v>
      </c>
      <c r="AR306">
        <v>5969.3823000000002</v>
      </c>
      <c r="AS306" s="60">
        <v>810767.24653177266</v>
      </c>
      <c r="AT306" t="s">
        <v>348</v>
      </c>
      <c r="AU306" t="s">
        <v>438</v>
      </c>
      <c r="AV306" t="s">
        <v>425</v>
      </c>
      <c r="AW306" t="s">
        <v>27</v>
      </c>
      <c r="AX306">
        <v>111.133</v>
      </c>
      <c r="AY306">
        <v>1.0727760310708341</v>
      </c>
      <c r="AZ306">
        <v>119.22081866099499</v>
      </c>
      <c r="BA306">
        <v>694.38</v>
      </c>
      <c r="BB306">
        <v>0.875</v>
      </c>
      <c r="BC306">
        <v>72.436483054094012</v>
      </c>
      <c r="BD306">
        <v>0.95369999999999999</v>
      </c>
      <c r="BE306" s="62">
        <v>69.082999999999998</v>
      </c>
      <c r="BF306">
        <v>8.9176000000000002</v>
      </c>
      <c r="BG306">
        <v>0.91300000000000003</v>
      </c>
      <c r="BH306">
        <v>6064.9193587765631</v>
      </c>
      <c r="BI306">
        <v>1.007895816242822</v>
      </c>
      <c r="BJ306" s="62">
        <v>6112.8068000000003</v>
      </c>
      <c r="BK306" s="60">
        <v>830247.30009614164</v>
      </c>
    </row>
    <row r="307" spans="1:63" x14ac:dyDescent="0.25">
      <c r="A307">
        <v>951</v>
      </c>
      <c r="B307" t="s">
        <v>205</v>
      </c>
      <c r="C307">
        <v>2020</v>
      </c>
      <c r="D307">
        <v>3</v>
      </c>
      <c r="E307" t="s">
        <v>100</v>
      </c>
      <c r="F307" t="s">
        <v>426</v>
      </c>
      <c r="G307" t="s">
        <v>427</v>
      </c>
      <c r="H307" t="s">
        <v>84</v>
      </c>
      <c r="I307" t="s">
        <v>430</v>
      </c>
      <c r="J307" t="s">
        <v>59</v>
      </c>
      <c r="K307">
        <v>-2164.2694227000002</v>
      </c>
      <c r="L307" t="s">
        <v>59</v>
      </c>
      <c r="M307" t="s">
        <v>385</v>
      </c>
      <c r="N307">
        <v>0.45696251572956997</v>
      </c>
      <c r="O307">
        <v>988.99000011357612</v>
      </c>
      <c r="P307" t="s">
        <v>440</v>
      </c>
      <c r="Q307">
        <v>2</v>
      </c>
      <c r="R307">
        <v>47.636589999999998</v>
      </c>
      <c r="S307">
        <v>0.13500000000000001</v>
      </c>
      <c r="T307">
        <v>6.4309396999999997</v>
      </c>
      <c r="U307">
        <v>0.98099999999999998</v>
      </c>
      <c r="V307">
        <v>6308.7520000000004</v>
      </c>
      <c r="W307">
        <v>2</v>
      </c>
      <c r="X307">
        <v>1.1322140000000001E-5</v>
      </c>
      <c r="Y307">
        <v>0.14285700000000001</v>
      </c>
      <c r="Z307" s="60">
        <v>141.284144</v>
      </c>
      <c r="AA307" t="s">
        <v>347</v>
      </c>
      <c r="AB307" t="s">
        <v>437</v>
      </c>
      <c r="AC307" t="s">
        <v>425</v>
      </c>
      <c r="AD307" t="s">
        <v>27</v>
      </c>
      <c r="AE307">
        <v>111.133</v>
      </c>
      <c r="AF307">
        <v>1.0541007448257309</v>
      </c>
      <c r="AG307">
        <v>117.145378074718</v>
      </c>
      <c r="AH307">
        <v>640.82000000000005</v>
      </c>
      <c r="AI307">
        <v>1</v>
      </c>
      <c r="AJ307">
        <v>75.069101177840764</v>
      </c>
      <c r="AK307">
        <v>0.95889999999999997</v>
      </c>
      <c r="AL307" s="62">
        <v>71.983999999999995</v>
      </c>
      <c r="AM307">
        <v>8.9176000000000002</v>
      </c>
      <c r="AN307">
        <v>9.4000488020579382</v>
      </c>
      <c r="AO307">
        <v>1</v>
      </c>
      <c r="AP307">
        <v>6023.7392733347688</v>
      </c>
      <c r="AQ307">
        <v>0.99097621000820357</v>
      </c>
      <c r="AR307">
        <v>5969.3823000000002</v>
      </c>
      <c r="AS307" s="60">
        <v>843379.06846425124</v>
      </c>
      <c r="AT307" t="s">
        <v>348</v>
      </c>
      <c r="AU307" t="s">
        <v>438</v>
      </c>
      <c r="AV307" t="s">
        <v>425</v>
      </c>
      <c r="AW307" t="s">
        <v>27</v>
      </c>
      <c r="AX307">
        <v>111.133</v>
      </c>
      <c r="AY307">
        <v>1.0727760310708341</v>
      </c>
      <c r="AZ307">
        <v>119.22081866099499</v>
      </c>
      <c r="BA307">
        <v>694.38</v>
      </c>
      <c r="BB307">
        <v>0.875</v>
      </c>
      <c r="BC307">
        <v>72.436483054094012</v>
      </c>
      <c r="BD307">
        <v>0.95369999999999999</v>
      </c>
      <c r="BE307" s="62">
        <v>69.082999999999998</v>
      </c>
      <c r="BF307">
        <v>8.9176000000000002</v>
      </c>
      <c r="BG307">
        <v>0.91300000000000003</v>
      </c>
      <c r="BH307">
        <v>6064.9193587765631</v>
      </c>
      <c r="BI307">
        <v>1.007895816242822</v>
      </c>
      <c r="BJ307" s="62">
        <v>6112.8068000000003</v>
      </c>
      <c r="BK307" s="60">
        <v>863642.67617537919</v>
      </c>
    </row>
    <row r="308" spans="1:63" x14ac:dyDescent="0.25">
      <c r="A308">
        <v>975</v>
      </c>
      <c r="B308" t="s">
        <v>209</v>
      </c>
      <c r="C308">
        <v>2020</v>
      </c>
      <c r="D308">
        <v>4</v>
      </c>
      <c r="E308" t="s">
        <v>100</v>
      </c>
      <c r="F308" t="s">
        <v>426</v>
      </c>
      <c r="G308" t="s">
        <v>427</v>
      </c>
      <c r="H308" t="s">
        <v>84</v>
      </c>
      <c r="I308" t="s">
        <v>428</v>
      </c>
      <c r="J308" t="s">
        <v>381</v>
      </c>
      <c r="K308">
        <v>-4791.6486302000003</v>
      </c>
      <c r="L308" t="s">
        <v>381</v>
      </c>
      <c r="M308" t="s">
        <v>384</v>
      </c>
      <c r="N308">
        <v>8.2227491443679995E-2</v>
      </c>
      <c r="O308">
        <v>394.00524674089149</v>
      </c>
      <c r="P308" t="s">
        <v>440</v>
      </c>
      <c r="Q308">
        <v>2</v>
      </c>
      <c r="R308">
        <v>47.636589999999998</v>
      </c>
      <c r="S308">
        <v>9.1999999999999998E-2</v>
      </c>
      <c r="T308">
        <v>4.3825662999999997</v>
      </c>
      <c r="U308">
        <v>1.9E-2</v>
      </c>
      <c r="V308">
        <v>83.269000000000005</v>
      </c>
      <c r="W308">
        <v>2</v>
      </c>
      <c r="X308">
        <v>8.5780728999999996E-4</v>
      </c>
      <c r="Y308">
        <v>0.14285800000000001</v>
      </c>
      <c r="Z308" s="60">
        <v>56.286802000000002</v>
      </c>
      <c r="AA308" t="s">
        <v>347</v>
      </c>
      <c r="AB308" t="s">
        <v>437</v>
      </c>
      <c r="AC308" t="s">
        <v>425</v>
      </c>
      <c r="AD308" t="s">
        <v>81</v>
      </c>
      <c r="AE308">
        <v>111.133</v>
      </c>
      <c r="AF308">
        <v>1.0541007448257309</v>
      </c>
      <c r="AG308">
        <v>117.145378074718</v>
      </c>
      <c r="AH308">
        <v>640.82000000000005</v>
      </c>
      <c r="AI308">
        <v>1</v>
      </c>
      <c r="AJ308">
        <v>75.069101177840764</v>
      </c>
      <c r="AK308">
        <v>0.93830000000000002</v>
      </c>
      <c r="AL308" s="62">
        <v>70.436999999999998</v>
      </c>
      <c r="AM308">
        <v>8.9176000000000002</v>
      </c>
      <c r="AN308">
        <v>9.4000488020579382</v>
      </c>
      <c r="AO308">
        <v>1</v>
      </c>
      <c r="AP308">
        <v>6023.7392733347688</v>
      </c>
      <c r="AQ308">
        <v>1.098016605166052</v>
      </c>
      <c r="AR308">
        <v>6614.1656999999996</v>
      </c>
      <c r="AS308" s="60">
        <v>372290.23515109142</v>
      </c>
      <c r="AT308" t="s">
        <v>348</v>
      </c>
      <c r="AU308" t="s">
        <v>438</v>
      </c>
      <c r="AV308" t="s">
        <v>425</v>
      </c>
      <c r="AW308" t="s">
        <v>81</v>
      </c>
      <c r="AX308">
        <v>111.133</v>
      </c>
      <c r="AY308">
        <v>1.0727760310708341</v>
      </c>
      <c r="AZ308">
        <v>119.22081866099499</v>
      </c>
      <c r="BA308">
        <v>694.38</v>
      </c>
      <c r="BB308">
        <v>0.875</v>
      </c>
      <c r="BC308">
        <v>72.436483054094012</v>
      </c>
      <c r="BD308">
        <v>0.93500000000000005</v>
      </c>
      <c r="BE308" s="62">
        <v>67.727999999999994</v>
      </c>
      <c r="BF308">
        <v>8.9176000000000002</v>
      </c>
      <c r="BG308">
        <v>0.91300000000000003</v>
      </c>
      <c r="BH308">
        <v>6064.9193587765631</v>
      </c>
      <c r="BI308">
        <v>1.096171586715867</v>
      </c>
      <c r="BJ308" s="62">
        <v>6648.1922999999997</v>
      </c>
      <c r="BK308" s="60">
        <v>374205.48364802462</v>
      </c>
    </row>
    <row r="309" spans="1:63" x14ac:dyDescent="0.25">
      <c r="A309">
        <v>975</v>
      </c>
      <c r="B309" t="s">
        <v>209</v>
      </c>
      <c r="C309">
        <v>2020</v>
      </c>
      <c r="D309">
        <v>4</v>
      </c>
      <c r="E309" t="s">
        <v>100</v>
      </c>
      <c r="F309" t="s">
        <v>426</v>
      </c>
      <c r="G309" t="s">
        <v>427</v>
      </c>
      <c r="H309" t="s">
        <v>84</v>
      </c>
      <c r="I309" t="s">
        <v>429</v>
      </c>
      <c r="J309" t="s">
        <v>87</v>
      </c>
      <c r="K309">
        <v>-1342.6734234600001</v>
      </c>
      <c r="L309" t="s">
        <v>87</v>
      </c>
      <c r="M309" t="s">
        <v>384</v>
      </c>
      <c r="N309">
        <v>5.4975015899400001E-2</v>
      </c>
      <c r="O309">
        <v>73.813492802415325</v>
      </c>
      <c r="P309" t="s">
        <v>440</v>
      </c>
      <c r="Q309">
        <v>2</v>
      </c>
      <c r="R309">
        <v>47.636589999999998</v>
      </c>
      <c r="S309">
        <v>9.1999999999999998E-2</v>
      </c>
      <c r="T309">
        <v>4.3825662999999997</v>
      </c>
      <c r="U309">
        <v>1.9E-2</v>
      </c>
      <c r="V309">
        <v>83.269000000000005</v>
      </c>
      <c r="W309">
        <v>2</v>
      </c>
      <c r="X309">
        <v>8.5780728999999996E-4</v>
      </c>
      <c r="Y309">
        <v>0.14285800000000001</v>
      </c>
      <c r="Z309" s="60">
        <v>10.544848</v>
      </c>
      <c r="AA309" t="s">
        <v>347</v>
      </c>
      <c r="AB309" t="s">
        <v>437</v>
      </c>
      <c r="AC309" t="s">
        <v>425</v>
      </c>
      <c r="AD309" t="s">
        <v>81</v>
      </c>
      <c r="AE309">
        <v>111.133</v>
      </c>
      <c r="AF309">
        <v>1.0541007448257309</v>
      </c>
      <c r="AG309">
        <v>117.145378074718</v>
      </c>
      <c r="AH309">
        <v>640.82000000000005</v>
      </c>
      <c r="AI309">
        <v>1</v>
      </c>
      <c r="AJ309">
        <v>75.069101177840764</v>
      </c>
      <c r="AK309">
        <v>0.93830000000000002</v>
      </c>
      <c r="AL309" s="62">
        <v>70.436999999999998</v>
      </c>
      <c r="AM309">
        <v>8.9176000000000002</v>
      </c>
      <c r="AN309">
        <v>9.4000488020579382</v>
      </c>
      <c r="AO309">
        <v>1</v>
      </c>
      <c r="AP309">
        <v>6023.7392733347688</v>
      </c>
      <c r="AQ309">
        <v>1.098016605166052</v>
      </c>
      <c r="AR309">
        <v>6614.1656999999996</v>
      </c>
      <c r="AS309" s="60">
        <v>69745.371953313588</v>
      </c>
      <c r="AT309" t="s">
        <v>348</v>
      </c>
      <c r="AU309" t="s">
        <v>438</v>
      </c>
      <c r="AV309" t="s">
        <v>425</v>
      </c>
      <c r="AW309" t="s">
        <v>81</v>
      </c>
      <c r="AX309">
        <v>111.133</v>
      </c>
      <c r="AY309">
        <v>1.0727760310708341</v>
      </c>
      <c r="AZ309">
        <v>119.22081866099499</v>
      </c>
      <c r="BA309">
        <v>694.38</v>
      </c>
      <c r="BB309">
        <v>0.875</v>
      </c>
      <c r="BC309">
        <v>72.436483054094012</v>
      </c>
      <c r="BD309">
        <v>0.93500000000000005</v>
      </c>
      <c r="BE309" s="62">
        <v>67.727999999999994</v>
      </c>
      <c r="BF309">
        <v>8.9176000000000002</v>
      </c>
      <c r="BG309">
        <v>0.91300000000000003</v>
      </c>
      <c r="BH309">
        <v>6064.9193587765631</v>
      </c>
      <c r="BI309">
        <v>1.096171586715867</v>
      </c>
      <c r="BJ309" s="62">
        <v>6648.1922999999997</v>
      </c>
      <c r="BK309" s="60">
        <v>70104.177278270392</v>
      </c>
    </row>
    <row r="310" spans="1:63" x14ac:dyDescent="0.25">
      <c r="A310">
        <v>975</v>
      </c>
      <c r="B310" t="s">
        <v>209</v>
      </c>
      <c r="C310">
        <v>2020</v>
      </c>
      <c r="D310">
        <v>4</v>
      </c>
      <c r="E310" t="s">
        <v>100</v>
      </c>
      <c r="F310" t="s">
        <v>426</v>
      </c>
      <c r="G310" t="s">
        <v>427</v>
      </c>
      <c r="H310" t="s">
        <v>84</v>
      </c>
      <c r="I310" t="s">
        <v>430</v>
      </c>
      <c r="J310" t="s">
        <v>59</v>
      </c>
      <c r="K310">
        <v>-2206.3209413599998</v>
      </c>
      <c r="L310" t="s">
        <v>59</v>
      </c>
      <c r="M310" t="s">
        <v>384</v>
      </c>
      <c r="N310">
        <v>6.075169461214E-2</v>
      </c>
      <c r="O310">
        <v>134.03773604587201</v>
      </c>
      <c r="P310" t="s">
        <v>440</v>
      </c>
      <c r="Q310">
        <v>2</v>
      </c>
      <c r="R310">
        <v>47.636589999999998</v>
      </c>
      <c r="S310">
        <v>9.1999999999999998E-2</v>
      </c>
      <c r="T310">
        <v>4.3825662999999997</v>
      </c>
      <c r="U310">
        <v>1.9E-2</v>
      </c>
      <c r="V310">
        <v>83.269000000000005</v>
      </c>
      <c r="W310">
        <v>2</v>
      </c>
      <c r="X310">
        <v>8.5780728999999996E-4</v>
      </c>
      <c r="Y310">
        <v>0.14285800000000001</v>
      </c>
      <c r="Z310" s="60">
        <v>19.148363</v>
      </c>
      <c r="AA310" t="s">
        <v>347</v>
      </c>
      <c r="AB310" t="s">
        <v>437</v>
      </c>
      <c r="AC310" t="s">
        <v>425</v>
      </c>
      <c r="AD310" t="s">
        <v>81</v>
      </c>
      <c r="AE310">
        <v>111.133</v>
      </c>
      <c r="AF310">
        <v>1.0541007448257309</v>
      </c>
      <c r="AG310">
        <v>117.145378074718</v>
      </c>
      <c r="AH310">
        <v>640.82000000000005</v>
      </c>
      <c r="AI310">
        <v>1</v>
      </c>
      <c r="AJ310">
        <v>75.069101177840764</v>
      </c>
      <c r="AK310">
        <v>0.93830000000000002</v>
      </c>
      <c r="AL310" s="62">
        <v>70.436999999999998</v>
      </c>
      <c r="AM310">
        <v>8.9176000000000002</v>
      </c>
      <c r="AN310">
        <v>9.4000488020579382</v>
      </c>
      <c r="AO310">
        <v>1</v>
      </c>
      <c r="AP310">
        <v>6023.7392733347688</v>
      </c>
      <c r="AQ310">
        <v>1.098016605166052</v>
      </c>
      <c r="AR310">
        <v>6614.1656999999996</v>
      </c>
      <c r="AS310" s="60">
        <v>126650.4457657491</v>
      </c>
      <c r="AT310" t="s">
        <v>348</v>
      </c>
      <c r="AU310" t="s">
        <v>438</v>
      </c>
      <c r="AV310" t="s">
        <v>425</v>
      </c>
      <c r="AW310" t="s">
        <v>81</v>
      </c>
      <c r="AX310">
        <v>111.133</v>
      </c>
      <c r="AY310">
        <v>1.0727760310708341</v>
      </c>
      <c r="AZ310">
        <v>119.22081866099499</v>
      </c>
      <c r="BA310">
        <v>694.38</v>
      </c>
      <c r="BB310">
        <v>0.875</v>
      </c>
      <c r="BC310">
        <v>72.436483054094012</v>
      </c>
      <c r="BD310">
        <v>0.93500000000000005</v>
      </c>
      <c r="BE310" s="62">
        <v>67.727999999999994</v>
      </c>
      <c r="BF310">
        <v>8.9176000000000002</v>
      </c>
      <c r="BG310">
        <v>0.91300000000000003</v>
      </c>
      <c r="BH310">
        <v>6064.9193587765631</v>
      </c>
      <c r="BI310">
        <v>1.096171586715867</v>
      </c>
      <c r="BJ310" s="62">
        <v>6648.1922999999997</v>
      </c>
      <c r="BK310" s="60">
        <v>127301.9994542049</v>
      </c>
    </row>
    <row r="311" spans="1:63" x14ac:dyDescent="0.25">
      <c r="A311">
        <v>977</v>
      </c>
      <c r="B311" t="s">
        <v>209</v>
      </c>
      <c r="C311">
        <v>2020</v>
      </c>
      <c r="D311">
        <v>4</v>
      </c>
      <c r="E311" t="s">
        <v>100</v>
      </c>
      <c r="F311" t="s">
        <v>426</v>
      </c>
      <c r="G311" t="s">
        <v>427</v>
      </c>
      <c r="H311" t="s">
        <v>84</v>
      </c>
      <c r="I311" t="s">
        <v>428</v>
      </c>
      <c r="J311" t="s">
        <v>381</v>
      </c>
      <c r="K311">
        <v>-4791.6486302000003</v>
      </c>
      <c r="L311" t="s">
        <v>381</v>
      </c>
      <c r="M311" t="s">
        <v>385</v>
      </c>
      <c r="N311">
        <v>0.46583509407815998</v>
      </c>
      <c r="O311">
        <v>2232.1180904387029</v>
      </c>
      <c r="P311" t="s">
        <v>440</v>
      </c>
      <c r="Q311">
        <v>2</v>
      </c>
      <c r="R311">
        <v>47.636589999999998</v>
      </c>
      <c r="S311">
        <v>9.1999999999999998E-2</v>
      </c>
      <c r="T311">
        <v>4.3825662999999997</v>
      </c>
      <c r="U311">
        <v>0.98099999999999998</v>
      </c>
      <c r="V311">
        <v>4299.2979999999998</v>
      </c>
      <c r="W311">
        <v>2</v>
      </c>
      <c r="X311">
        <v>1.6614008999999998E-5</v>
      </c>
      <c r="Y311">
        <v>0.14285700000000001</v>
      </c>
      <c r="Z311" s="60">
        <v>318.873694</v>
      </c>
      <c r="AA311" t="s">
        <v>347</v>
      </c>
      <c r="AB311" t="s">
        <v>437</v>
      </c>
      <c r="AC311" t="s">
        <v>425</v>
      </c>
      <c r="AD311" t="s">
        <v>27</v>
      </c>
      <c r="AE311">
        <v>111.133</v>
      </c>
      <c r="AF311">
        <v>1.0541007448257309</v>
      </c>
      <c r="AG311">
        <v>117.145378074718</v>
      </c>
      <c r="AH311">
        <v>640.82000000000005</v>
      </c>
      <c r="AI311">
        <v>1</v>
      </c>
      <c r="AJ311">
        <v>75.069101177840764</v>
      </c>
      <c r="AK311">
        <v>0.95889999999999997</v>
      </c>
      <c r="AL311" s="62">
        <v>71.983999999999995</v>
      </c>
      <c r="AM311">
        <v>8.9176000000000002</v>
      </c>
      <c r="AN311">
        <v>9.4000488020579382</v>
      </c>
      <c r="AO311">
        <v>1</v>
      </c>
      <c r="AP311">
        <v>6023.7392733347688</v>
      </c>
      <c r="AQ311">
        <v>0.99097621000820357</v>
      </c>
      <c r="AR311">
        <v>5969.3823000000002</v>
      </c>
      <c r="AS311" s="60">
        <v>1903478.9848992161</v>
      </c>
      <c r="AT311" t="s">
        <v>348</v>
      </c>
      <c r="AU311" t="s">
        <v>438</v>
      </c>
      <c r="AV311" t="s">
        <v>425</v>
      </c>
      <c r="AW311" t="s">
        <v>27</v>
      </c>
      <c r="AX311">
        <v>111.133</v>
      </c>
      <c r="AY311">
        <v>1.0727760310708341</v>
      </c>
      <c r="AZ311">
        <v>119.22081866099499</v>
      </c>
      <c r="BA311">
        <v>694.38</v>
      </c>
      <c r="BB311">
        <v>0.875</v>
      </c>
      <c r="BC311">
        <v>72.436483054094012</v>
      </c>
      <c r="BD311">
        <v>0.95369999999999999</v>
      </c>
      <c r="BE311" s="62">
        <v>69.082999999999998</v>
      </c>
      <c r="BF311">
        <v>8.9176000000000002</v>
      </c>
      <c r="BG311">
        <v>0.91300000000000003</v>
      </c>
      <c r="BH311">
        <v>6064.9193587765631</v>
      </c>
      <c r="BI311">
        <v>1.007895816242822</v>
      </c>
      <c r="BJ311" s="62">
        <v>6112.8068000000003</v>
      </c>
      <c r="BK311" s="60">
        <v>1949213.2850243191</v>
      </c>
    </row>
    <row r="312" spans="1:63" x14ac:dyDescent="0.25">
      <c r="A312">
        <v>977</v>
      </c>
      <c r="B312" t="s">
        <v>209</v>
      </c>
      <c r="C312">
        <v>2020</v>
      </c>
      <c r="D312">
        <v>4</v>
      </c>
      <c r="E312" t="s">
        <v>100</v>
      </c>
      <c r="F312" t="s">
        <v>426</v>
      </c>
      <c r="G312" t="s">
        <v>427</v>
      </c>
      <c r="H312" t="s">
        <v>84</v>
      </c>
      <c r="I312" t="s">
        <v>429</v>
      </c>
      <c r="J312" t="s">
        <v>87</v>
      </c>
      <c r="K312">
        <v>-1342.6734234600001</v>
      </c>
      <c r="L312" t="s">
        <v>87</v>
      </c>
      <c r="M312" t="s">
        <v>385</v>
      </c>
      <c r="N312">
        <v>0.36091731609084998</v>
      </c>
      <c r="O312">
        <v>484.59408838169651</v>
      </c>
      <c r="P312" t="s">
        <v>440</v>
      </c>
      <c r="Q312">
        <v>2</v>
      </c>
      <c r="R312">
        <v>47.636589999999998</v>
      </c>
      <c r="S312">
        <v>9.1999999999999998E-2</v>
      </c>
      <c r="T312">
        <v>4.3825662999999997</v>
      </c>
      <c r="U312">
        <v>0.98099999999999998</v>
      </c>
      <c r="V312">
        <v>4299.2979999999998</v>
      </c>
      <c r="W312">
        <v>2</v>
      </c>
      <c r="X312">
        <v>1.6614008999999998E-5</v>
      </c>
      <c r="Y312">
        <v>0.14285700000000001</v>
      </c>
      <c r="Z312" s="60">
        <v>69.227658000000005</v>
      </c>
      <c r="AA312" t="s">
        <v>347</v>
      </c>
      <c r="AB312" t="s">
        <v>437</v>
      </c>
      <c r="AC312" t="s">
        <v>425</v>
      </c>
      <c r="AD312" t="s">
        <v>27</v>
      </c>
      <c r="AE312">
        <v>111.133</v>
      </c>
      <c r="AF312">
        <v>1.0541007448257309</v>
      </c>
      <c r="AG312">
        <v>117.145378074718</v>
      </c>
      <c r="AH312">
        <v>640.82000000000005</v>
      </c>
      <c r="AI312">
        <v>1</v>
      </c>
      <c r="AJ312">
        <v>75.069101177840764</v>
      </c>
      <c r="AK312">
        <v>0.95889999999999997</v>
      </c>
      <c r="AL312" s="62">
        <v>71.983999999999995</v>
      </c>
      <c r="AM312">
        <v>8.9176000000000002</v>
      </c>
      <c r="AN312">
        <v>9.4000488020579382</v>
      </c>
      <c r="AO312">
        <v>1</v>
      </c>
      <c r="AP312">
        <v>6023.7392733347688</v>
      </c>
      <c r="AQ312">
        <v>0.99097621000820357</v>
      </c>
      <c r="AR312">
        <v>5969.3823000000002</v>
      </c>
      <c r="AS312" s="60">
        <v>413246.35633565352</v>
      </c>
      <c r="AT312" t="s">
        <v>348</v>
      </c>
      <c r="AU312" t="s">
        <v>438</v>
      </c>
      <c r="AV312" t="s">
        <v>425</v>
      </c>
      <c r="AW312" t="s">
        <v>27</v>
      </c>
      <c r="AX312">
        <v>111.133</v>
      </c>
      <c r="AY312">
        <v>1.0727760310708341</v>
      </c>
      <c r="AZ312">
        <v>119.22081866099499</v>
      </c>
      <c r="BA312">
        <v>694.38</v>
      </c>
      <c r="BB312">
        <v>0.875</v>
      </c>
      <c r="BC312">
        <v>72.436483054094012</v>
      </c>
      <c r="BD312">
        <v>0.95369999999999999</v>
      </c>
      <c r="BE312" s="62">
        <v>69.082999999999998</v>
      </c>
      <c r="BF312">
        <v>8.9176000000000002</v>
      </c>
      <c r="BG312">
        <v>0.91300000000000003</v>
      </c>
      <c r="BH312">
        <v>6064.9193587765631</v>
      </c>
      <c r="BI312">
        <v>1.007895816242822</v>
      </c>
      <c r="BJ312" s="62">
        <v>6112.8068000000003</v>
      </c>
      <c r="BK312" s="60">
        <v>423175.29857047438</v>
      </c>
    </row>
    <row r="313" spans="1:63" x14ac:dyDescent="0.25">
      <c r="A313">
        <v>977</v>
      </c>
      <c r="B313" t="s">
        <v>209</v>
      </c>
      <c r="C313">
        <v>2020</v>
      </c>
      <c r="D313">
        <v>4</v>
      </c>
      <c r="E313" t="s">
        <v>100</v>
      </c>
      <c r="F313" t="s">
        <v>426</v>
      </c>
      <c r="G313" t="s">
        <v>427</v>
      </c>
      <c r="H313" t="s">
        <v>84</v>
      </c>
      <c r="I313" t="s">
        <v>430</v>
      </c>
      <c r="J313" t="s">
        <v>59</v>
      </c>
      <c r="K313">
        <v>-2206.3209413599998</v>
      </c>
      <c r="L313" t="s">
        <v>59</v>
      </c>
      <c r="M313" t="s">
        <v>385</v>
      </c>
      <c r="N313">
        <v>0.45696251573081997</v>
      </c>
      <c r="O313">
        <v>1008.205967873457</v>
      </c>
      <c r="P313" t="s">
        <v>440</v>
      </c>
      <c r="Q313">
        <v>2</v>
      </c>
      <c r="R313">
        <v>47.636589999999998</v>
      </c>
      <c r="S313">
        <v>9.1999999999999998E-2</v>
      </c>
      <c r="T313">
        <v>4.3825662999999997</v>
      </c>
      <c r="U313">
        <v>0.98099999999999998</v>
      </c>
      <c r="V313">
        <v>4299.2979999999998</v>
      </c>
      <c r="W313">
        <v>2</v>
      </c>
      <c r="X313">
        <v>1.6614008999999998E-5</v>
      </c>
      <c r="Y313">
        <v>0.14285700000000001</v>
      </c>
      <c r="Z313" s="60">
        <v>144.02928</v>
      </c>
      <c r="AA313" t="s">
        <v>347</v>
      </c>
      <c r="AB313" t="s">
        <v>437</v>
      </c>
      <c r="AC313" t="s">
        <v>425</v>
      </c>
      <c r="AD313" t="s">
        <v>27</v>
      </c>
      <c r="AE313">
        <v>111.133</v>
      </c>
      <c r="AF313">
        <v>1.0541007448257309</v>
      </c>
      <c r="AG313">
        <v>117.145378074718</v>
      </c>
      <c r="AH313">
        <v>640.82000000000005</v>
      </c>
      <c r="AI313">
        <v>1</v>
      </c>
      <c r="AJ313">
        <v>75.069101177840764</v>
      </c>
      <c r="AK313">
        <v>0.95889999999999997</v>
      </c>
      <c r="AL313" s="62">
        <v>71.983999999999995</v>
      </c>
      <c r="AM313">
        <v>8.9176000000000002</v>
      </c>
      <c r="AN313">
        <v>9.4000488020579382</v>
      </c>
      <c r="AO313">
        <v>1</v>
      </c>
      <c r="AP313">
        <v>6023.7392733347688</v>
      </c>
      <c r="AQ313">
        <v>0.99097621000820357</v>
      </c>
      <c r="AR313">
        <v>5969.3823000000002</v>
      </c>
      <c r="AS313" s="60">
        <v>859765.834713744</v>
      </c>
      <c r="AT313" t="s">
        <v>348</v>
      </c>
      <c r="AU313" t="s">
        <v>438</v>
      </c>
      <c r="AV313" t="s">
        <v>425</v>
      </c>
      <c r="AW313" t="s">
        <v>27</v>
      </c>
      <c r="AX313">
        <v>111.133</v>
      </c>
      <c r="AY313">
        <v>1.0727760310708341</v>
      </c>
      <c r="AZ313">
        <v>119.22081866099499</v>
      </c>
      <c r="BA313">
        <v>694.38</v>
      </c>
      <c r="BB313">
        <v>0.875</v>
      </c>
      <c r="BC313">
        <v>72.436483054094012</v>
      </c>
      <c r="BD313">
        <v>0.95369999999999999</v>
      </c>
      <c r="BE313" s="62">
        <v>69.082999999999998</v>
      </c>
      <c r="BF313">
        <v>8.9176000000000002</v>
      </c>
      <c r="BG313">
        <v>0.91300000000000003</v>
      </c>
      <c r="BH313">
        <v>6064.9193587765631</v>
      </c>
      <c r="BI313">
        <v>1.007895816242822</v>
      </c>
      <c r="BJ313" s="62">
        <v>6112.8068000000003</v>
      </c>
      <c r="BK313" s="60">
        <v>880423.16218310408</v>
      </c>
    </row>
    <row r="314" spans="1:63" x14ac:dyDescent="0.25">
      <c r="A314">
        <v>1001</v>
      </c>
      <c r="B314" t="s">
        <v>216</v>
      </c>
      <c r="C314">
        <v>2020</v>
      </c>
      <c r="D314">
        <v>5</v>
      </c>
      <c r="E314" t="s">
        <v>100</v>
      </c>
      <c r="F314" t="s">
        <v>426</v>
      </c>
      <c r="G314" t="s">
        <v>427</v>
      </c>
      <c r="H314" t="s">
        <v>84</v>
      </c>
      <c r="I314" t="s">
        <v>428</v>
      </c>
      <c r="J314" t="s">
        <v>381</v>
      </c>
      <c r="K314">
        <v>-5245.06234795</v>
      </c>
      <c r="L314" t="s">
        <v>381</v>
      </c>
      <c r="M314" t="s">
        <v>384</v>
      </c>
      <c r="N314">
        <v>8.2227491443749995E-2</v>
      </c>
      <c r="O314">
        <v>431.28831933799393</v>
      </c>
      <c r="P314" t="s">
        <v>440</v>
      </c>
      <c r="Q314">
        <v>2</v>
      </c>
      <c r="R314">
        <v>47.636589999999998</v>
      </c>
      <c r="S314">
        <v>8.5999999999999993E-2</v>
      </c>
      <c r="T314">
        <v>4.0967466999999997</v>
      </c>
      <c r="U314">
        <v>1.9E-2</v>
      </c>
      <c r="V314">
        <v>77.837999999999994</v>
      </c>
      <c r="W314">
        <v>2</v>
      </c>
      <c r="X314">
        <v>9.1765513399999997E-4</v>
      </c>
      <c r="Y314">
        <v>0.14285700000000001</v>
      </c>
      <c r="Z314" s="60">
        <v>61.612555</v>
      </c>
      <c r="AA314" t="s">
        <v>347</v>
      </c>
      <c r="AB314" t="s">
        <v>437</v>
      </c>
      <c r="AC314" t="s">
        <v>425</v>
      </c>
      <c r="AD314" t="s">
        <v>81</v>
      </c>
      <c r="AE314">
        <v>111.133</v>
      </c>
      <c r="AF314">
        <v>1.0541007448257309</v>
      </c>
      <c r="AG314">
        <v>117.145378074718</v>
      </c>
      <c r="AH314">
        <v>640.82000000000005</v>
      </c>
      <c r="AI314">
        <v>1</v>
      </c>
      <c r="AJ314">
        <v>75.069101177840764</v>
      </c>
      <c r="AK314">
        <v>0.93830000000000002</v>
      </c>
      <c r="AL314" s="62">
        <v>70.436999999999998</v>
      </c>
      <c r="AM314">
        <v>8.9176000000000002</v>
      </c>
      <c r="AN314">
        <v>9.4000488020579382</v>
      </c>
      <c r="AO314">
        <v>1</v>
      </c>
      <c r="AP314">
        <v>6023.7392733347688</v>
      </c>
      <c r="AQ314">
        <v>1.098016605166052</v>
      </c>
      <c r="AR314">
        <v>6614.1656999999996</v>
      </c>
      <c r="AS314" s="60">
        <v>407515.6479703635</v>
      </c>
      <c r="AT314" t="s">
        <v>348</v>
      </c>
      <c r="AU314" t="s">
        <v>438</v>
      </c>
      <c r="AV314" t="s">
        <v>425</v>
      </c>
      <c r="AW314" t="s">
        <v>81</v>
      </c>
      <c r="AX314">
        <v>111.133</v>
      </c>
      <c r="AY314">
        <v>1.0727760310708341</v>
      </c>
      <c r="AZ314">
        <v>119.22081866099499</v>
      </c>
      <c r="BA314">
        <v>694.38</v>
      </c>
      <c r="BB314">
        <v>0.875</v>
      </c>
      <c r="BC314">
        <v>72.436483054094012</v>
      </c>
      <c r="BD314">
        <v>0.93500000000000005</v>
      </c>
      <c r="BE314" s="62">
        <v>67.727999999999994</v>
      </c>
      <c r="BF314">
        <v>8.9176000000000002</v>
      </c>
      <c r="BG314">
        <v>0.91300000000000003</v>
      </c>
      <c r="BH314">
        <v>6064.9193587765631</v>
      </c>
      <c r="BI314">
        <v>1.096171586715867</v>
      </c>
      <c r="BJ314" s="62">
        <v>6648.1922999999997</v>
      </c>
      <c r="BK314" s="60">
        <v>409612.1137343265</v>
      </c>
    </row>
    <row r="315" spans="1:63" x14ac:dyDescent="0.25">
      <c r="A315">
        <v>1001</v>
      </c>
      <c r="B315" t="s">
        <v>216</v>
      </c>
      <c r="C315">
        <v>2020</v>
      </c>
      <c r="D315">
        <v>5</v>
      </c>
      <c r="E315" t="s">
        <v>100</v>
      </c>
      <c r="F315" t="s">
        <v>426</v>
      </c>
      <c r="G315" t="s">
        <v>427</v>
      </c>
      <c r="H315" t="s">
        <v>84</v>
      </c>
      <c r="I315" t="s">
        <v>429</v>
      </c>
      <c r="J315" t="s">
        <v>87</v>
      </c>
      <c r="K315">
        <v>-1345.72417174</v>
      </c>
      <c r="L315" t="s">
        <v>87</v>
      </c>
      <c r="M315" t="s">
        <v>384</v>
      </c>
      <c r="N315">
        <v>5.4975015900980001E-2</v>
      </c>
      <c r="O315">
        <v>73.981207739739645</v>
      </c>
      <c r="P315" t="s">
        <v>440</v>
      </c>
      <c r="Q315">
        <v>2</v>
      </c>
      <c r="R315">
        <v>47.636589999999998</v>
      </c>
      <c r="S315">
        <v>8.5999999999999993E-2</v>
      </c>
      <c r="T315">
        <v>4.0967466999999997</v>
      </c>
      <c r="U315">
        <v>1.9E-2</v>
      </c>
      <c r="V315">
        <v>77.837999999999994</v>
      </c>
      <c r="W315">
        <v>2</v>
      </c>
      <c r="X315">
        <v>9.1765513399999997E-4</v>
      </c>
      <c r="Y315">
        <v>0.14285700000000001</v>
      </c>
      <c r="Z315" s="60">
        <v>10.568733</v>
      </c>
      <c r="AA315" t="s">
        <v>347</v>
      </c>
      <c r="AB315" t="s">
        <v>437</v>
      </c>
      <c r="AC315" t="s">
        <v>425</v>
      </c>
      <c r="AD315" t="s">
        <v>81</v>
      </c>
      <c r="AE315">
        <v>111.133</v>
      </c>
      <c r="AF315">
        <v>1.0541007448257309</v>
      </c>
      <c r="AG315">
        <v>117.145378074718</v>
      </c>
      <c r="AH315">
        <v>640.82000000000005</v>
      </c>
      <c r="AI315">
        <v>1</v>
      </c>
      <c r="AJ315">
        <v>75.069101177840764</v>
      </c>
      <c r="AK315">
        <v>0.93830000000000002</v>
      </c>
      <c r="AL315" s="62">
        <v>70.436999999999998</v>
      </c>
      <c r="AM315">
        <v>8.9176000000000002</v>
      </c>
      <c r="AN315">
        <v>9.4000488020579382</v>
      </c>
      <c r="AO315">
        <v>1</v>
      </c>
      <c r="AP315">
        <v>6023.7392733347688</v>
      </c>
      <c r="AQ315">
        <v>1.098016605166052</v>
      </c>
      <c r="AR315">
        <v>6614.1656999999996</v>
      </c>
      <c r="AS315" s="60">
        <v>69903.351301058094</v>
      </c>
      <c r="AT315" t="s">
        <v>348</v>
      </c>
      <c r="AU315" t="s">
        <v>438</v>
      </c>
      <c r="AV315" t="s">
        <v>425</v>
      </c>
      <c r="AW315" t="s">
        <v>81</v>
      </c>
      <c r="AX315">
        <v>111.133</v>
      </c>
      <c r="AY315">
        <v>1.0727760310708341</v>
      </c>
      <c r="AZ315">
        <v>119.22081866099499</v>
      </c>
      <c r="BA315">
        <v>694.38</v>
      </c>
      <c r="BB315">
        <v>0.875</v>
      </c>
      <c r="BC315">
        <v>72.436483054094012</v>
      </c>
      <c r="BD315">
        <v>0.93500000000000005</v>
      </c>
      <c r="BE315" s="62">
        <v>67.727999999999994</v>
      </c>
      <c r="BF315">
        <v>8.9176000000000002</v>
      </c>
      <c r="BG315">
        <v>0.91300000000000003</v>
      </c>
      <c r="BH315">
        <v>6064.9193587765631</v>
      </c>
      <c r="BI315">
        <v>1.096171586715867</v>
      </c>
      <c r="BJ315" s="62">
        <v>6648.1922999999997</v>
      </c>
      <c r="BK315" s="60">
        <v>70262.969351355903</v>
      </c>
    </row>
    <row r="316" spans="1:63" x14ac:dyDescent="0.25">
      <c r="A316">
        <v>1001</v>
      </c>
      <c r="B316" t="s">
        <v>216</v>
      </c>
      <c r="C316">
        <v>2020</v>
      </c>
      <c r="D316">
        <v>5</v>
      </c>
      <c r="E316" t="s">
        <v>100</v>
      </c>
      <c r="F316" t="s">
        <v>426</v>
      </c>
      <c r="G316" t="s">
        <v>427</v>
      </c>
      <c r="H316" t="s">
        <v>84</v>
      </c>
      <c r="I316" t="s">
        <v>430</v>
      </c>
      <c r="J316" t="s">
        <v>59</v>
      </c>
      <c r="K316">
        <v>-2460.7492706799999</v>
      </c>
      <c r="L316" t="s">
        <v>59</v>
      </c>
      <c r="M316" t="s">
        <v>384</v>
      </c>
      <c r="N316">
        <v>6.0751694611330002E-2</v>
      </c>
      <c r="O316">
        <v>149.49468820740441</v>
      </c>
      <c r="P316" t="s">
        <v>440</v>
      </c>
      <c r="Q316">
        <v>2</v>
      </c>
      <c r="R316">
        <v>47.636589999999998</v>
      </c>
      <c r="S316">
        <v>8.5999999999999993E-2</v>
      </c>
      <c r="T316">
        <v>4.0967466999999997</v>
      </c>
      <c r="U316">
        <v>1.9E-2</v>
      </c>
      <c r="V316">
        <v>77.837999999999994</v>
      </c>
      <c r="W316">
        <v>2</v>
      </c>
      <c r="X316">
        <v>9.1765513399999997E-4</v>
      </c>
      <c r="Y316">
        <v>0.14285700000000001</v>
      </c>
      <c r="Z316" s="60">
        <v>21.356363000000002</v>
      </c>
      <c r="AA316" t="s">
        <v>347</v>
      </c>
      <c r="AB316" t="s">
        <v>437</v>
      </c>
      <c r="AC316" t="s">
        <v>425</v>
      </c>
      <c r="AD316" t="s">
        <v>81</v>
      </c>
      <c r="AE316">
        <v>111.133</v>
      </c>
      <c r="AF316">
        <v>1.0541007448257309</v>
      </c>
      <c r="AG316">
        <v>117.145378074718</v>
      </c>
      <c r="AH316">
        <v>640.82000000000005</v>
      </c>
      <c r="AI316">
        <v>1</v>
      </c>
      <c r="AJ316">
        <v>75.069101177840764</v>
      </c>
      <c r="AK316">
        <v>0.93830000000000002</v>
      </c>
      <c r="AL316" s="62">
        <v>70.436999999999998</v>
      </c>
      <c r="AM316">
        <v>8.9176000000000002</v>
      </c>
      <c r="AN316">
        <v>9.4000488020579382</v>
      </c>
      <c r="AO316">
        <v>1</v>
      </c>
      <c r="AP316">
        <v>6023.7392733347688</v>
      </c>
      <c r="AQ316">
        <v>1.098016605166052</v>
      </c>
      <c r="AR316">
        <v>6614.1656999999996</v>
      </c>
      <c r="AS316" s="60">
        <v>141254.52363134909</v>
      </c>
      <c r="AT316" t="s">
        <v>348</v>
      </c>
      <c r="AU316" t="s">
        <v>438</v>
      </c>
      <c r="AV316" t="s">
        <v>425</v>
      </c>
      <c r="AW316" t="s">
        <v>81</v>
      </c>
      <c r="AX316">
        <v>111.133</v>
      </c>
      <c r="AY316">
        <v>1.0727760310708341</v>
      </c>
      <c r="AZ316">
        <v>119.22081866099499</v>
      </c>
      <c r="BA316">
        <v>694.38</v>
      </c>
      <c r="BB316">
        <v>0.875</v>
      </c>
      <c r="BC316">
        <v>72.436483054094012</v>
      </c>
      <c r="BD316">
        <v>0.93500000000000005</v>
      </c>
      <c r="BE316" s="62">
        <v>67.727999999999994</v>
      </c>
      <c r="BF316">
        <v>8.9176000000000002</v>
      </c>
      <c r="BG316">
        <v>0.91300000000000003</v>
      </c>
      <c r="BH316">
        <v>6064.9193587765631</v>
      </c>
      <c r="BI316">
        <v>1.096171586715867</v>
      </c>
      <c r="BJ316" s="62">
        <v>6648.1922999999997</v>
      </c>
      <c r="BK316" s="60">
        <v>141981.2080526049</v>
      </c>
    </row>
    <row r="317" spans="1:63" x14ac:dyDescent="0.25">
      <c r="A317">
        <v>1003</v>
      </c>
      <c r="B317" t="s">
        <v>216</v>
      </c>
      <c r="C317">
        <v>2020</v>
      </c>
      <c r="D317">
        <v>5</v>
      </c>
      <c r="E317" t="s">
        <v>100</v>
      </c>
      <c r="F317" t="s">
        <v>426</v>
      </c>
      <c r="G317" t="s">
        <v>427</v>
      </c>
      <c r="H317" t="s">
        <v>84</v>
      </c>
      <c r="I317" t="s">
        <v>428</v>
      </c>
      <c r="J317" t="s">
        <v>381</v>
      </c>
      <c r="K317">
        <v>-5245.06234795</v>
      </c>
      <c r="L317" t="s">
        <v>381</v>
      </c>
      <c r="M317" t="s">
        <v>385</v>
      </c>
      <c r="N317">
        <v>0.46583509407830997</v>
      </c>
      <c r="O317">
        <v>2443.3341123038899</v>
      </c>
      <c r="P317" t="s">
        <v>440</v>
      </c>
      <c r="Q317">
        <v>2</v>
      </c>
      <c r="R317">
        <v>47.636589999999998</v>
      </c>
      <c r="S317">
        <v>8.5999999999999993E-2</v>
      </c>
      <c r="T317">
        <v>4.0967466999999997</v>
      </c>
      <c r="U317">
        <v>0.98099999999999998</v>
      </c>
      <c r="V317">
        <v>4018.9090000000001</v>
      </c>
      <c r="W317">
        <v>2</v>
      </c>
      <c r="X317">
        <v>1.7773125999999999E-5</v>
      </c>
      <c r="Y317">
        <v>0.14285700000000001</v>
      </c>
      <c r="Z317" s="60">
        <v>349.04738099999997</v>
      </c>
      <c r="AA317" t="s">
        <v>347</v>
      </c>
      <c r="AB317" t="s">
        <v>437</v>
      </c>
      <c r="AC317" t="s">
        <v>425</v>
      </c>
      <c r="AD317" t="s">
        <v>27</v>
      </c>
      <c r="AE317">
        <v>111.133</v>
      </c>
      <c r="AF317">
        <v>1.0541007448257309</v>
      </c>
      <c r="AG317">
        <v>117.145378074718</v>
      </c>
      <c r="AH317">
        <v>640.82000000000005</v>
      </c>
      <c r="AI317">
        <v>1</v>
      </c>
      <c r="AJ317">
        <v>75.069101177840764</v>
      </c>
      <c r="AK317">
        <v>0.95889999999999997</v>
      </c>
      <c r="AL317" s="62">
        <v>71.983999999999995</v>
      </c>
      <c r="AM317">
        <v>8.9176000000000002</v>
      </c>
      <c r="AN317">
        <v>9.4000488020579382</v>
      </c>
      <c r="AO317">
        <v>1</v>
      </c>
      <c r="AP317">
        <v>6023.7392733347688</v>
      </c>
      <c r="AQ317">
        <v>0.99097621000820357</v>
      </c>
      <c r="AR317">
        <v>5969.3823000000002</v>
      </c>
      <c r="AS317" s="60">
        <v>2083597.2580027559</v>
      </c>
      <c r="AT317" t="s">
        <v>348</v>
      </c>
      <c r="AU317" t="s">
        <v>438</v>
      </c>
      <c r="AV317" t="s">
        <v>425</v>
      </c>
      <c r="AW317" t="s">
        <v>27</v>
      </c>
      <c r="AX317">
        <v>111.133</v>
      </c>
      <c r="AY317">
        <v>1.0727760310708341</v>
      </c>
      <c r="AZ317">
        <v>119.22081866099499</v>
      </c>
      <c r="BA317">
        <v>694.38</v>
      </c>
      <c r="BB317">
        <v>0.875</v>
      </c>
      <c r="BC317">
        <v>72.436483054094012</v>
      </c>
      <c r="BD317">
        <v>0.95369999999999999</v>
      </c>
      <c r="BE317" s="62">
        <v>69.082999999999998</v>
      </c>
      <c r="BF317">
        <v>8.9176000000000002</v>
      </c>
      <c r="BG317">
        <v>0.91300000000000003</v>
      </c>
      <c r="BH317">
        <v>6064.9193587765631</v>
      </c>
      <c r="BI317">
        <v>1.007895816242822</v>
      </c>
      <c r="BJ317" s="62">
        <v>6112.8068000000003</v>
      </c>
      <c r="BK317" s="60">
        <v>2133659.2040989911</v>
      </c>
    </row>
    <row r="318" spans="1:63" x14ac:dyDescent="0.25">
      <c r="A318">
        <v>1003</v>
      </c>
      <c r="B318" t="s">
        <v>216</v>
      </c>
      <c r="C318">
        <v>2020</v>
      </c>
      <c r="D318">
        <v>5</v>
      </c>
      <c r="E318" t="s">
        <v>100</v>
      </c>
      <c r="F318" t="s">
        <v>426</v>
      </c>
      <c r="G318" t="s">
        <v>427</v>
      </c>
      <c r="H318" t="s">
        <v>84</v>
      </c>
      <c r="I318" t="s">
        <v>429</v>
      </c>
      <c r="J318" t="s">
        <v>87</v>
      </c>
      <c r="K318">
        <v>-1345.72417174</v>
      </c>
      <c r="L318" t="s">
        <v>87</v>
      </c>
      <c r="M318" t="s">
        <v>385</v>
      </c>
      <c r="N318">
        <v>0.36091731608972999</v>
      </c>
      <c r="O318">
        <v>485.69515626147569</v>
      </c>
      <c r="P318" t="s">
        <v>440</v>
      </c>
      <c r="Q318">
        <v>2</v>
      </c>
      <c r="R318">
        <v>47.636589999999998</v>
      </c>
      <c r="S318">
        <v>8.5999999999999993E-2</v>
      </c>
      <c r="T318">
        <v>4.0967466999999997</v>
      </c>
      <c r="U318">
        <v>0.98099999999999998</v>
      </c>
      <c r="V318">
        <v>4018.9090000000001</v>
      </c>
      <c r="W318">
        <v>2</v>
      </c>
      <c r="X318">
        <v>1.7773125999999999E-5</v>
      </c>
      <c r="Y318">
        <v>0.14285700000000001</v>
      </c>
      <c r="Z318" s="60">
        <v>69.384952999999996</v>
      </c>
      <c r="AA318" t="s">
        <v>347</v>
      </c>
      <c r="AB318" t="s">
        <v>437</v>
      </c>
      <c r="AC318" t="s">
        <v>425</v>
      </c>
      <c r="AD318" t="s">
        <v>27</v>
      </c>
      <c r="AE318">
        <v>111.133</v>
      </c>
      <c r="AF318">
        <v>1.0541007448257309</v>
      </c>
      <c r="AG318">
        <v>117.145378074718</v>
      </c>
      <c r="AH318">
        <v>640.82000000000005</v>
      </c>
      <c r="AI318">
        <v>1</v>
      </c>
      <c r="AJ318">
        <v>75.069101177840764</v>
      </c>
      <c r="AK318">
        <v>0.95889999999999997</v>
      </c>
      <c r="AL318" s="62">
        <v>71.983999999999995</v>
      </c>
      <c r="AM318">
        <v>8.9176000000000002</v>
      </c>
      <c r="AN318">
        <v>9.4000488020579382</v>
      </c>
      <c r="AO318">
        <v>1</v>
      </c>
      <c r="AP318">
        <v>6023.7392733347688</v>
      </c>
      <c r="AQ318">
        <v>0.99097621000820357</v>
      </c>
      <c r="AR318">
        <v>5969.3823000000002</v>
      </c>
      <c r="AS318" s="60">
        <v>414185.31032453192</v>
      </c>
      <c r="AT318" t="s">
        <v>348</v>
      </c>
      <c r="AU318" t="s">
        <v>438</v>
      </c>
      <c r="AV318" t="s">
        <v>425</v>
      </c>
      <c r="AW318" t="s">
        <v>27</v>
      </c>
      <c r="AX318">
        <v>111.133</v>
      </c>
      <c r="AY318">
        <v>1.0727760310708341</v>
      </c>
      <c r="AZ318">
        <v>119.22081866099499</v>
      </c>
      <c r="BA318">
        <v>694.38</v>
      </c>
      <c r="BB318">
        <v>0.875</v>
      </c>
      <c r="BC318">
        <v>72.436483054094012</v>
      </c>
      <c r="BD318">
        <v>0.95369999999999999</v>
      </c>
      <c r="BE318" s="62">
        <v>69.082999999999998</v>
      </c>
      <c r="BF318">
        <v>8.9176000000000002</v>
      </c>
      <c r="BG318">
        <v>0.91300000000000003</v>
      </c>
      <c r="BH318">
        <v>6064.9193587765631</v>
      </c>
      <c r="BI318">
        <v>1.007895816242822</v>
      </c>
      <c r="BJ318" s="62">
        <v>6112.8068000000003</v>
      </c>
      <c r="BK318" s="60">
        <v>424136.81251608039</v>
      </c>
    </row>
    <row r="319" spans="1:63" x14ac:dyDescent="0.25">
      <c r="A319">
        <v>1003</v>
      </c>
      <c r="B319" t="s">
        <v>216</v>
      </c>
      <c r="C319">
        <v>2020</v>
      </c>
      <c r="D319">
        <v>5</v>
      </c>
      <c r="E319" t="s">
        <v>100</v>
      </c>
      <c r="F319" t="s">
        <v>426</v>
      </c>
      <c r="G319" t="s">
        <v>427</v>
      </c>
      <c r="H319" t="s">
        <v>84</v>
      </c>
      <c r="I319" t="s">
        <v>430</v>
      </c>
      <c r="J319" t="s">
        <v>59</v>
      </c>
      <c r="K319">
        <v>-2460.7492706799999</v>
      </c>
      <c r="L319" t="s">
        <v>59</v>
      </c>
      <c r="M319" t="s">
        <v>385</v>
      </c>
      <c r="N319">
        <v>0.45696251573011998</v>
      </c>
      <c r="O319">
        <v>1124.4701773109909</v>
      </c>
      <c r="P319" t="s">
        <v>440</v>
      </c>
      <c r="Q319">
        <v>2</v>
      </c>
      <c r="R319">
        <v>47.636589999999998</v>
      </c>
      <c r="S319">
        <v>8.5999999999999993E-2</v>
      </c>
      <c r="T319">
        <v>4.0967466999999997</v>
      </c>
      <c r="U319">
        <v>0.98099999999999998</v>
      </c>
      <c r="V319">
        <v>4018.9090000000001</v>
      </c>
      <c r="W319">
        <v>2</v>
      </c>
      <c r="X319">
        <v>1.7773125999999999E-5</v>
      </c>
      <c r="Y319">
        <v>0.14285700000000001</v>
      </c>
      <c r="Z319" s="60">
        <v>160.63843600000001</v>
      </c>
      <c r="AA319" t="s">
        <v>347</v>
      </c>
      <c r="AB319" t="s">
        <v>437</v>
      </c>
      <c r="AC319" t="s">
        <v>425</v>
      </c>
      <c r="AD319" t="s">
        <v>27</v>
      </c>
      <c r="AE319">
        <v>111.133</v>
      </c>
      <c r="AF319">
        <v>1.0541007448257309</v>
      </c>
      <c r="AG319">
        <v>117.145378074718</v>
      </c>
      <c r="AH319">
        <v>640.82000000000005</v>
      </c>
      <c r="AI319">
        <v>1</v>
      </c>
      <c r="AJ319">
        <v>75.069101177840764</v>
      </c>
      <c r="AK319">
        <v>0.95889999999999997</v>
      </c>
      <c r="AL319" s="62">
        <v>71.983999999999995</v>
      </c>
      <c r="AM319">
        <v>8.9176000000000002</v>
      </c>
      <c r="AN319">
        <v>9.4000488020579382</v>
      </c>
      <c r="AO319">
        <v>1</v>
      </c>
      <c r="AP319">
        <v>6023.7392733347688</v>
      </c>
      <c r="AQ319">
        <v>0.99097621000820357</v>
      </c>
      <c r="AR319">
        <v>5969.3823000000002</v>
      </c>
      <c r="AS319" s="60">
        <v>958912.23655808286</v>
      </c>
      <c r="AT319" t="s">
        <v>348</v>
      </c>
      <c r="AU319" t="s">
        <v>438</v>
      </c>
      <c r="AV319" t="s">
        <v>425</v>
      </c>
      <c r="AW319" t="s">
        <v>27</v>
      </c>
      <c r="AX319">
        <v>111.133</v>
      </c>
      <c r="AY319">
        <v>1.0727760310708341</v>
      </c>
      <c r="AZ319">
        <v>119.22081866099499</v>
      </c>
      <c r="BA319">
        <v>694.38</v>
      </c>
      <c r="BB319">
        <v>0.875</v>
      </c>
      <c r="BC319">
        <v>72.436483054094012</v>
      </c>
      <c r="BD319">
        <v>0.95369999999999999</v>
      </c>
      <c r="BE319" s="62">
        <v>69.082999999999998</v>
      </c>
      <c r="BF319">
        <v>8.9176000000000002</v>
      </c>
      <c r="BG319">
        <v>0.91300000000000003</v>
      </c>
      <c r="BH319">
        <v>6064.9193587765631</v>
      </c>
      <c r="BI319">
        <v>1.007895816242822</v>
      </c>
      <c r="BJ319" s="62">
        <v>6112.8068000000003</v>
      </c>
      <c r="BK319" s="60">
        <v>981951.72392216488</v>
      </c>
    </row>
    <row r="320" spans="1:63" x14ac:dyDescent="0.25">
      <c r="A320">
        <v>1027</v>
      </c>
      <c r="B320" t="s">
        <v>223</v>
      </c>
      <c r="C320">
        <v>2020</v>
      </c>
      <c r="D320">
        <v>6</v>
      </c>
      <c r="E320" t="s">
        <v>100</v>
      </c>
      <c r="F320" t="s">
        <v>426</v>
      </c>
      <c r="G320" t="s">
        <v>427</v>
      </c>
      <c r="H320" t="s">
        <v>84</v>
      </c>
      <c r="I320" t="s">
        <v>428</v>
      </c>
      <c r="J320" t="s">
        <v>381</v>
      </c>
      <c r="K320">
        <v>-4275.1870550399999</v>
      </c>
      <c r="L320" t="s">
        <v>381</v>
      </c>
      <c r="M320" t="s">
        <v>384</v>
      </c>
      <c r="N320">
        <v>8.2227491443600004E-2</v>
      </c>
      <c r="O320">
        <v>351.53790698809109</v>
      </c>
      <c r="P320" t="s">
        <v>440</v>
      </c>
      <c r="Q320">
        <v>2</v>
      </c>
      <c r="R320">
        <v>47.636589999999998</v>
      </c>
      <c r="S320">
        <v>7.2999999999999995E-2</v>
      </c>
      <c r="T320">
        <v>3.4774710999999998</v>
      </c>
      <c r="U320">
        <v>1.9E-2</v>
      </c>
      <c r="V320">
        <v>66.072000000000003</v>
      </c>
      <c r="W320">
        <v>2</v>
      </c>
      <c r="X320">
        <v>1.0810729000000001E-3</v>
      </c>
      <c r="Y320">
        <v>0.14285700000000001</v>
      </c>
      <c r="Z320" s="60">
        <v>50.219650999999999</v>
      </c>
      <c r="AA320" t="s">
        <v>347</v>
      </c>
      <c r="AB320" t="s">
        <v>437</v>
      </c>
      <c r="AC320" t="s">
        <v>425</v>
      </c>
      <c r="AD320" t="s">
        <v>81</v>
      </c>
      <c r="AE320">
        <v>111.133</v>
      </c>
      <c r="AF320">
        <v>1.0541007448257309</v>
      </c>
      <c r="AG320">
        <v>117.145378074718</v>
      </c>
      <c r="AH320">
        <v>640.82000000000005</v>
      </c>
      <c r="AI320">
        <v>1</v>
      </c>
      <c r="AJ320">
        <v>75.069101177840764</v>
      </c>
      <c r="AK320">
        <v>0.93830000000000002</v>
      </c>
      <c r="AL320" s="62">
        <v>70.436999999999998</v>
      </c>
      <c r="AM320">
        <v>8.9176000000000002</v>
      </c>
      <c r="AN320">
        <v>9.4000488020579382</v>
      </c>
      <c r="AO320">
        <v>1</v>
      </c>
      <c r="AP320">
        <v>6023.7392733347688</v>
      </c>
      <c r="AQ320">
        <v>1.098016605166052</v>
      </c>
      <c r="AR320">
        <v>6614.1656999999996</v>
      </c>
      <c r="AS320" s="60">
        <v>332161.09311017068</v>
      </c>
      <c r="AT320" t="s">
        <v>348</v>
      </c>
      <c r="AU320" t="s">
        <v>438</v>
      </c>
      <c r="AV320" t="s">
        <v>425</v>
      </c>
      <c r="AW320" t="s">
        <v>81</v>
      </c>
      <c r="AX320">
        <v>111.133</v>
      </c>
      <c r="AY320">
        <v>1.0727760310708341</v>
      </c>
      <c r="AZ320">
        <v>119.22081866099499</v>
      </c>
      <c r="BA320">
        <v>694.38</v>
      </c>
      <c r="BB320">
        <v>0.875</v>
      </c>
      <c r="BC320">
        <v>72.436483054094012</v>
      </c>
      <c r="BD320">
        <v>0.93500000000000005</v>
      </c>
      <c r="BE320" s="62">
        <v>67.727999999999994</v>
      </c>
      <c r="BF320">
        <v>8.9176000000000002</v>
      </c>
      <c r="BG320">
        <v>0.91300000000000003</v>
      </c>
      <c r="BH320">
        <v>6064.9193587765631</v>
      </c>
      <c r="BI320">
        <v>1.096171586715867</v>
      </c>
      <c r="BJ320" s="62">
        <v>6648.1922999999997</v>
      </c>
      <c r="BK320" s="60">
        <v>333869.89708688727</v>
      </c>
    </row>
    <row r="321" spans="1:63" x14ac:dyDescent="0.25">
      <c r="A321">
        <v>1027</v>
      </c>
      <c r="B321" t="s">
        <v>223</v>
      </c>
      <c r="C321">
        <v>2020</v>
      </c>
      <c r="D321">
        <v>6</v>
      </c>
      <c r="E321" t="s">
        <v>100</v>
      </c>
      <c r="F321" t="s">
        <v>426</v>
      </c>
      <c r="G321" t="s">
        <v>427</v>
      </c>
      <c r="H321" t="s">
        <v>84</v>
      </c>
      <c r="I321" t="s">
        <v>429</v>
      </c>
      <c r="J321" t="s">
        <v>87</v>
      </c>
      <c r="K321">
        <v>-795.93641853999998</v>
      </c>
      <c r="L321" t="s">
        <v>87</v>
      </c>
      <c r="M321" t="s">
        <v>384</v>
      </c>
      <c r="N321">
        <v>5.4975015897909998E-2</v>
      </c>
      <c r="O321">
        <v>43.756617262962052</v>
      </c>
      <c r="P321" t="s">
        <v>440</v>
      </c>
      <c r="Q321">
        <v>2</v>
      </c>
      <c r="R321">
        <v>47.636589999999998</v>
      </c>
      <c r="S321">
        <v>7.2999999999999995E-2</v>
      </c>
      <c r="T321">
        <v>3.4774710999999998</v>
      </c>
      <c r="U321">
        <v>1.9E-2</v>
      </c>
      <c r="V321">
        <v>66.072000000000003</v>
      </c>
      <c r="W321">
        <v>2</v>
      </c>
      <c r="X321">
        <v>1.0810729000000001E-3</v>
      </c>
      <c r="Y321">
        <v>0.14285700000000001</v>
      </c>
      <c r="Z321" s="60">
        <v>6.2509389999999998</v>
      </c>
      <c r="AA321" t="s">
        <v>347</v>
      </c>
      <c r="AB321" t="s">
        <v>437</v>
      </c>
      <c r="AC321" t="s">
        <v>425</v>
      </c>
      <c r="AD321" t="s">
        <v>81</v>
      </c>
      <c r="AE321">
        <v>111.133</v>
      </c>
      <c r="AF321">
        <v>1.0541007448257309</v>
      </c>
      <c r="AG321">
        <v>117.145378074718</v>
      </c>
      <c r="AH321">
        <v>640.82000000000005</v>
      </c>
      <c r="AI321">
        <v>1</v>
      </c>
      <c r="AJ321">
        <v>75.069101177840764</v>
      </c>
      <c r="AK321">
        <v>0.93830000000000002</v>
      </c>
      <c r="AL321" s="62">
        <v>70.436999999999998</v>
      </c>
      <c r="AM321">
        <v>8.9176000000000002</v>
      </c>
      <c r="AN321">
        <v>9.4000488020579382</v>
      </c>
      <c r="AO321">
        <v>1</v>
      </c>
      <c r="AP321">
        <v>6023.7392733347688</v>
      </c>
      <c r="AQ321">
        <v>1.098016605166052</v>
      </c>
      <c r="AR321">
        <v>6614.1656999999996</v>
      </c>
      <c r="AS321" s="60">
        <v>41344.746326592292</v>
      </c>
      <c r="AT321" t="s">
        <v>348</v>
      </c>
      <c r="AU321" t="s">
        <v>438</v>
      </c>
      <c r="AV321" t="s">
        <v>425</v>
      </c>
      <c r="AW321" t="s">
        <v>81</v>
      </c>
      <c r="AX321">
        <v>111.133</v>
      </c>
      <c r="AY321">
        <v>1.0727760310708341</v>
      </c>
      <c r="AZ321">
        <v>119.22081866099499</v>
      </c>
      <c r="BA321">
        <v>694.38</v>
      </c>
      <c r="BB321">
        <v>0.875</v>
      </c>
      <c r="BC321">
        <v>72.436483054094012</v>
      </c>
      <c r="BD321">
        <v>0.93500000000000005</v>
      </c>
      <c r="BE321" s="62">
        <v>67.727999999999994</v>
      </c>
      <c r="BF321">
        <v>8.9176000000000002</v>
      </c>
      <c r="BG321">
        <v>0.91300000000000003</v>
      </c>
      <c r="BH321">
        <v>6064.9193587765631</v>
      </c>
      <c r="BI321">
        <v>1.096171586715867</v>
      </c>
      <c r="BJ321" s="62">
        <v>6648.1922999999997</v>
      </c>
      <c r="BK321" s="60">
        <v>41557.4445275697</v>
      </c>
    </row>
    <row r="322" spans="1:63" x14ac:dyDescent="0.25">
      <c r="A322">
        <v>1027</v>
      </c>
      <c r="B322" t="s">
        <v>223</v>
      </c>
      <c r="C322">
        <v>2020</v>
      </c>
      <c r="D322">
        <v>6</v>
      </c>
      <c r="E322" t="s">
        <v>100</v>
      </c>
      <c r="F322" t="s">
        <v>426</v>
      </c>
      <c r="G322" t="s">
        <v>427</v>
      </c>
      <c r="H322" t="s">
        <v>84</v>
      </c>
      <c r="I322" t="s">
        <v>430</v>
      </c>
      <c r="J322" t="s">
        <v>59</v>
      </c>
      <c r="K322">
        <v>-2333.7163181000001</v>
      </c>
      <c r="L322" t="s">
        <v>59</v>
      </c>
      <c r="M322" t="s">
        <v>384</v>
      </c>
      <c r="N322">
        <v>6.0751694611959998E-2</v>
      </c>
      <c r="O322">
        <v>141.77722106815889</v>
      </c>
      <c r="P322" t="s">
        <v>440</v>
      </c>
      <c r="Q322">
        <v>2</v>
      </c>
      <c r="R322">
        <v>47.636589999999998</v>
      </c>
      <c r="S322">
        <v>7.2999999999999995E-2</v>
      </c>
      <c r="T322">
        <v>3.4774710999999998</v>
      </c>
      <c r="U322">
        <v>1.9E-2</v>
      </c>
      <c r="V322">
        <v>66.072000000000003</v>
      </c>
      <c r="W322">
        <v>2</v>
      </c>
      <c r="X322">
        <v>1.0810729000000001E-3</v>
      </c>
      <c r="Y322">
        <v>0.14285700000000001</v>
      </c>
      <c r="Z322" s="60">
        <v>20.253868000000001</v>
      </c>
      <c r="AA322" t="s">
        <v>347</v>
      </c>
      <c r="AB322" t="s">
        <v>437</v>
      </c>
      <c r="AC322" t="s">
        <v>425</v>
      </c>
      <c r="AD322" t="s">
        <v>81</v>
      </c>
      <c r="AE322">
        <v>111.133</v>
      </c>
      <c r="AF322">
        <v>1.0541007448257309</v>
      </c>
      <c r="AG322">
        <v>117.145378074718</v>
      </c>
      <c r="AH322">
        <v>640.82000000000005</v>
      </c>
      <c r="AI322">
        <v>1</v>
      </c>
      <c r="AJ322">
        <v>75.069101177840764</v>
      </c>
      <c r="AK322">
        <v>0.93830000000000002</v>
      </c>
      <c r="AL322" s="62">
        <v>70.436999999999998</v>
      </c>
      <c r="AM322">
        <v>8.9176000000000002</v>
      </c>
      <c r="AN322">
        <v>9.4000488020579382</v>
      </c>
      <c r="AO322">
        <v>1</v>
      </c>
      <c r="AP322">
        <v>6023.7392733347688</v>
      </c>
      <c r="AQ322">
        <v>1.098016605166052</v>
      </c>
      <c r="AR322">
        <v>6614.1656999999996</v>
      </c>
      <c r="AS322" s="60">
        <v>133962.43901792759</v>
      </c>
      <c r="AT322" t="s">
        <v>348</v>
      </c>
      <c r="AU322" t="s">
        <v>438</v>
      </c>
      <c r="AV322" t="s">
        <v>425</v>
      </c>
      <c r="AW322" t="s">
        <v>81</v>
      </c>
      <c r="AX322">
        <v>111.133</v>
      </c>
      <c r="AY322">
        <v>1.0727760310708341</v>
      </c>
      <c r="AZ322">
        <v>119.22081866099499</v>
      </c>
      <c r="BA322">
        <v>694.38</v>
      </c>
      <c r="BB322">
        <v>0.875</v>
      </c>
      <c r="BC322">
        <v>72.436483054094012</v>
      </c>
      <c r="BD322">
        <v>0.93500000000000005</v>
      </c>
      <c r="BE322" s="62">
        <v>67.727999999999994</v>
      </c>
      <c r="BF322">
        <v>8.9176000000000002</v>
      </c>
      <c r="BG322">
        <v>0.91300000000000003</v>
      </c>
      <c r="BH322">
        <v>6064.9193587765631</v>
      </c>
      <c r="BI322">
        <v>1.096171586715867</v>
      </c>
      <c r="BJ322" s="62">
        <v>6648.1922999999997</v>
      </c>
      <c r="BK322" s="60">
        <v>134651.60928281641</v>
      </c>
    </row>
    <row r="323" spans="1:63" x14ac:dyDescent="0.25">
      <c r="A323">
        <v>1029</v>
      </c>
      <c r="B323" t="s">
        <v>223</v>
      </c>
      <c r="C323">
        <v>2020</v>
      </c>
      <c r="D323">
        <v>6</v>
      </c>
      <c r="E323" t="s">
        <v>100</v>
      </c>
      <c r="F323" t="s">
        <v>426</v>
      </c>
      <c r="G323" t="s">
        <v>427</v>
      </c>
      <c r="H323" t="s">
        <v>84</v>
      </c>
      <c r="I323" t="s">
        <v>428</v>
      </c>
      <c r="J323" t="s">
        <v>381</v>
      </c>
      <c r="K323">
        <v>-4275.1870550399999</v>
      </c>
      <c r="L323" t="s">
        <v>381</v>
      </c>
      <c r="M323" t="s">
        <v>385</v>
      </c>
      <c r="N323">
        <v>0.46583509407811002</v>
      </c>
      <c r="O323">
        <v>1991.5321639860761</v>
      </c>
      <c r="P323" t="s">
        <v>440</v>
      </c>
      <c r="Q323">
        <v>2</v>
      </c>
      <c r="R323">
        <v>47.636589999999998</v>
      </c>
      <c r="S323">
        <v>7.2999999999999995E-2</v>
      </c>
      <c r="T323">
        <v>3.4774710999999998</v>
      </c>
      <c r="U323">
        <v>0.98099999999999998</v>
      </c>
      <c r="V323">
        <v>3411.3989999999999</v>
      </c>
      <c r="W323">
        <v>2</v>
      </c>
      <c r="X323">
        <v>2.0938204E-5</v>
      </c>
      <c r="Y323">
        <v>0.14285700000000001</v>
      </c>
      <c r="Z323" s="60">
        <v>284.50430999999998</v>
      </c>
      <c r="AA323" t="s">
        <v>347</v>
      </c>
      <c r="AB323" t="s">
        <v>437</v>
      </c>
      <c r="AC323" t="s">
        <v>425</v>
      </c>
      <c r="AD323" t="s">
        <v>27</v>
      </c>
      <c r="AE323">
        <v>111.133</v>
      </c>
      <c r="AF323">
        <v>1.0541007448257309</v>
      </c>
      <c r="AG323">
        <v>117.145378074718</v>
      </c>
      <c r="AH323">
        <v>640.82000000000005</v>
      </c>
      <c r="AI323">
        <v>1</v>
      </c>
      <c r="AJ323">
        <v>75.069101177840764</v>
      </c>
      <c r="AK323">
        <v>0.95889999999999997</v>
      </c>
      <c r="AL323" s="62">
        <v>71.983999999999995</v>
      </c>
      <c r="AM323">
        <v>8.9176000000000002</v>
      </c>
      <c r="AN323">
        <v>9.4000488020579382</v>
      </c>
      <c r="AO323">
        <v>1</v>
      </c>
      <c r="AP323">
        <v>6023.7392733347688</v>
      </c>
      <c r="AQ323">
        <v>0.99097621000820357</v>
      </c>
      <c r="AR323">
        <v>5969.3823000000002</v>
      </c>
      <c r="AS323" s="60">
        <v>1698314.9923877129</v>
      </c>
      <c r="AT323" t="s">
        <v>348</v>
      </c>
      <c r="AU323" t="s">
        <v>438</v>
      </c>
      <c r="AV323" t="s">
        <v>425</v>
      </c>
      <c r="AW323" t="s">
        <v>27</v>
      </c>
      <c r="AX323">
        <v>111.133</v>
      </c>
      <c r="AY323">
        <v>1.0727760310708341</v>
      </c>
      <c r="AZ323">
        <v>119.22081866099499</v>
      </c>
      <c r="BA323">
        <v>694.38</v>
      </c>
      <c r="BB323">
        <v>0.875</v>
      </c>
      <c r="BC323">
        <v>72.436483054094012</v>
      </c>
      <c r="BD323">
        <v>0.95369999999999999</v>
      </c>
      <c r="BE323" s="62">
        <v>69.082999999999998</v>
      </c>
      <c r="BF323">
        <v>8.9176000000000002</v>
      </c>
      <c r="BG323">
        <v>0.91300000000000003</v>
      </c>
      <c r="BH323">
        <v>6064.9193587765631</v>
      </c>
      <c r="BI323">
        <v>1.007895816242822</v>
      </c>
      <c r="BJ323" s="62">
        <v>6112.8068000000003</v>
      </c>
      <c r="BK323" s="60">
        <v>1739119.8807973079</v>
      </c>
    </row>
    <row r="324" spans="1:63" x14ac:dyDescent="0.25">
      <c r="A324">
        <v>1029</v>
      </c>
      <c r="B324" t="s">
        <v>223</v>
      </c>
      <c r="C324">
        <v>2020</v>
      </c>
      <c r="D324">
        <v>6</v>
      </c>
      <c r="E324" t="s">
        <v>100</v>
      </c>
      <c r="F324" t="s">
        <v>426</v>
      </c>
      <c r="G324" t="s">
        <v>427</v>
      </c>
      <c r="H324" t="s">
        <v>84</v>
      </c>
      <c r="I324" t="s">
        <v>429</v>
      </c>
      <c r="J324" t="s">
        <v>87</v>
      </c>
      <c r="K324">
        <v>-795.93641853999998</v>
      </c>
      <c r="L324" t="s">
        <v>87</v>
      </c>
      <c r="M324" t="s">
        <v>385</v>
      </c>
      <c r="N324">
        <v>0.36091731609031003</v>
      </c>
      <c r="O324">
        <v>287.26723595799052</v>
      </c>
      <c r="P324" t="s">
        <v>440</v>
      </c>
      <c r="Q324">
        <v>2</v>
      </c>
      <c r="R324">
        <v>47.636589999999998</v>
      </c>
      <c r="S324">
        <v>7.2999999999999995E-2</v>
      </c>
      <c r="T324">
        <v>3.4774710999999998</v>
      </c>
      <c r="U324">
        <v>0.98099999999999998</v>
      </c>
      <c r="V324">
        <v>3411.3989999999999</v>
      </c>
      <c r="W324">
        <v>2</v>
      </c>
      <c r="X324">
        <v>2.0938204E-5</v>
      </c>
      <c r="Y324">
        <v>0.14285700000000001</v>
      </c>
      <c r="Z324" s="60">
        <v>41.038136000000002</v>
      </c>
      <c r="AA324" t="s">
        <v>347</v>
      </c>
      <c r="AB324" t="s">
        <v>437</v>
      </c>
      <c r="AC324" t="s">
        <v>425</v>
      </c>
      <c r="AD324" t="s">
        <v>27</v>
      </c>
      <c r="AE324">
        <v>111.133</v>
      </c>
      <c r="AF324">
        <v>1.0541007448257309</v>
      </c>
      <c r="AG324">
        <v>117.145378074718</v>
      </c>
      <c r="AH324">
        <v>640.82000000000005</v>
      </c>
      <c r="AI324">
        <v>1</v>
      </c>
      <c r="AJ324">
        <v>75.069101177840764</v>
      </c>
      <c r="AK324">
        <v>0.95889999999999997</v>
      </c>
      <c r="AL324" s="62">
        <v>71.983999999999995</v>
      </c>
      <c r="AM324">
        <v>8.9176000000000002</v>
      </c>
      <c r="AN324">
        <v>9.4000488020579382</v>
      </c>
      <c r="AO324">
        <v>1</v>
      </c>
      <c r="AP324">
        <v>6023.7392733347688</v>
      </c>
      <c r="AQ324">
        <v>0.99097621000820357</v>
      </c>
      <c r="AR324">
        <v>5969.3823000000002</v>
      </c>
      <c r="AS324" s="60">
        <v>244972.32266339281</v>
      </c>
      <c r="AT324" t="s">
        <v>348</v>
      </c>
      <c r="AU324" t="s">
        <v>438</v>
      </c>
      <c r="AV324" t="s">
        <v>425</v>
      </c>
      <c r="AW324" t="s">
        <v>27</v>
      </c>
      <c r="AX324">
        <v>111.133</v>
      </c>
      <c r="AY324">
        <v>1.0727760310708341</v>
      </c>
      <c r="AZ324">
        <v>119.22081866099499</v>
      </c>
      <c r="BA324">
        <v>694.38</v>
      </c>
      <c r="BB324">
        <v>0.875</v>
      </c>
      <c r="BC324">
        <v>72.436483054094012</v>
      </c>
      <c r="BD324">
        <v>0.95369999999999999</v>
      </c>
      <c r="BE324" s="62">
        <v>69.082999999999998</v>
      </c>
      <c r="BF324">
        <v>8.9176000000000002</v>
      </c>
      <c r="BG324">
        <v>0.91300000000000003</v>
      </c>
      <c r="BH324">
        <v>6064.9193587765631</v>
      </c>
      <c r="BI324">
        <v>1.007895816242822</v>
      </c>
      <c r="BJ324" s="62">
        <v>6112.8068000000003</v>
      </c>
      <c r="BK324" s="60">
        <v>250858.1968001248</v>
      </c>
    </row>
    <row r="325" spans="1:63" x14ac:dyDescent="0.25">
      <c r="A325">
        <v>1029</v>
      </c>
      <c r="B325" t="s">
        <v>223</v>
      </c>
      <c r="C325">
        <v>2020</v>
      </c>
      <c r="D325">
        <v>6</v>
      </c>
      <c r="E325" t="s">
        <v>100</v>
      </c>
      <c r="F325" t="s">
        <v>426</v>
      </c>
      <c r="G325" t="s">
        <v>427</v>
      </c>
      <c r="H325" t="s">
        <v>84</v>
      </c>
      <c r="I325" t="s">
        <v>430</v>
      </c>
      <c r="J325" t="s">
        <v>59</v>
      </c>
      <c r="K325">
        <v>-2333.7163181000001</v>
      </c>
      <c r="L325" t="s">
        <v>59</v>
      </c>
      <c r="M325" t="s">
        <v>385</v>
      </c>
      <c r="N325">
        <v>0.45696251572993002</v>
      </c>
      <c r="O325">
        <v>1066.420879718966</v>
      </c>
      <c r="P325" t="s">
        <v>440</v>
      </c>
      <c r="Q325">
        <v>2</v>
      </c>
      <c r="R325">
        <v>47.636589999999998</v>
      </c>
      <c r="S325">
        <v>7.2999999999999995E-2</v>
      </c>
      <c r="T325">
        <v>3.4774710999999998</v>
      </c>
      <c r="U325">
        <v>0.98099999999999998</v>
      </c>
      <c r="V325">
        <v>3411.3989999999999</v>
      </c>
      <c r="W325">
        <v>2</v>
      </c>
      <c r="X325">
        <v>2.0938204E-5</v>
      </c>
      <c r="Y325">
        <v>0.14285700000000001</v>
      </c>
      <c r="Z325" s="60">
        <v>152.345688</v>
      </c>
      <c r="AA325" t="s">
        <v>347</v>
      </c>
      <c r="AB325" t="s">
        <v>437</v>
      </c>
      <c r="AC325" t="s">
        <v>425</v>
      </c>
      <c r="AD325" t="s">
        <v>27</v>
      </c>
      <c r="AE325">
        <v>111.133</v>
      </c>
      <c r="AF325">
        <v>1.0541007448257309</v>
      </c>
      <c r="AG325">
        <v>117.145378074718</v>
      </c>
      <c r="AH325">
        <v>640.82000000000005</v>
      </c>
      <c r="AI325">
        <v>1</v>
      </c>
      <c r="AJ325">
        <v>75.069101177840764</v>
      </c>
      <c r="AK325">
        <v>0.95889999999999997</v>
      </c>
      <c r="AL325" s="62">
        <v>71.983999999999995</v>
      </c>
      <c r="AM325">
        <v>8.9176000000000002</v>
      </c>
      <c r="AN325">
        <v>9.4000488020579382</v>
      </c>
      <c r="AO325">
        <v>1</v>
      </c>
      <c r="AP325">
        <v>6023.7392733347688</v>
      </c>
      <c r="AQ325">
        <v>0.99097621000820357</v>
      </c>
      <c r="AR325">
        <v>5969.3823000000002</v>
      </c>
      <c r="AS325" s="60">
        <v>909409.6534285224</v>
      </c>
      <c r="AT325" t="s">
        <v>348</v>
      </c>
      <c r="AU325" t="s">
        <v>438</v>
      </c>
      <c r="AV325" t="s">
        <v>425</v>
      </c>
      <c r="AW325" t="s">
        <v>27</v>
      </c>
      <c r="AX325">
        <v>111.133</v>
      </c>
      <c r="AY325">
        <v>1.0727760310708341</v>
      </c>
      <c r="AZ325">
        <v>119.22081866099499</v>
      </c>
      <c r="BA325">
        <v>694.38</v>
      </c>
      <c r="BB325">
        <v>0.875</v>
      </c>
      <c r="BC325">
        <v>72.436483054094012</v>
      </c>
      <c r="BD325">
        <v>0.95369999999999999</v>
      </c>
      <c r="BE325" s="62">
        <v>69.082999999999998</v>
      </c>
      <c r="BF325">
        <v>8.9176000000000002</v>
      </c>
      <c r="BG325">
        <v>0.91300000000000003</v>
      </c>
      <c r="BH325">
        <v>6064.9193587765631</v>
      </c>
      <c r="BI325">
        <v>1.007895816242822</v>
      </c>
      <c r="BJ325" s="62">
        <v>6112.8068000000003</v>
      </c>
      <c r="BK325" s="60">
        <v>931259.75755707838</v>
      </c>
    </row>
    <row r="326" spans="1:63" x14ac:dyDescent="0.25">
      <c r="A326">
        <v>1053</v>
      </c>
      <c r="B326" t="s">
        <v>230</v>
      </c>
      <c r="C326">
        <v>2020</v>
      </c>
      <c r="D326">
        <v>7</v>
      </c>
      <c r="E326" t="s">
        <v>100</v>
      </c>
      <c r="F326" t="s">
        <v>426</v>
      </c>
      <c r="G326" t="s">
        <v>427</v>
      </c>
      <c r="H326" t="s">
        <v>84</v>
      </c>
      <c r="I326" t="s">
        <v>428</v>
      </c>
      <c r="J326" t="s">
        <v>381</v>
      </c>
      <c r="K326">
        <v>-4441.3899390400002</v>
      </c>
      <c r="L326" t="s">
        <v>381</v>
      </c>
      <c r="M326" t="s">
        <v>384</v>
      </c>
      <c r="N326">
        <v>8.1690224049839999E-2</v>
      </c>
      <c r="O326">
        <v>362.81813921288278</v>
      </c>
      <c r="P326" t="s">
        <v>440</v>
      </c>
      <c r="Q326">
        <v>2</v>
      </c>
      <c r="R326">
        <v>47.636589999999998</v>
      </c>
      <c r="S326">
        <v>6.6000000000000003E-2</v>
      </c>
      <c r="T326">
        <v>3.1440149000000002</v>
      </c>
      <c r="U326">
        <v>1.9E-2</v>
      </c>
      <c r="V326">
        <v>59.735999999999997</v>
      </c>
      <c r="W326">
        <v>2</v>
      </c>
      <c r="X326">
        <v>1.1957331460000001E-3</v>
      </c>
      <c r="Y326">
        <v>0.14285700000000001</v>
      </c>
      <c r="Z326" s="60">
        <v>51.831111</v>
      </c>
      <c r="AA326" t="s">
        <v>347</v>
      </c>
      <c r="AB326" t="s">
        <v>437</v>
      </c>
      <c r="AC326" t="s">
        <v>425</v>
      </c>
      <c r="AD326" t="s">
        <v>81</v>
      </c>
      <c r="AE326">
        <v>111.133</v>
      </c>
      <c r="AF326">
        <v>1.0541007448257309</v>
      </c>
      <c r="AG326">
        <v>117.145378074718</v>
      </c>
      <c r="AH326">
        <v>640.82000000000005</v>
      </c>
      <c r="AI326">
        <v>1</v>
      </c>
      <c r="AJ326">
        <v>75.069101177840764</v>
      </c>
      <c r="AK326">
        <v>0.93830000000000002</v>
      </c>
      <c r="AL326" s="62">
        <v>70.436999999999998</v>
      </c>
      <c r="AM326">
        <v>8.9176000000000002</v>
      </c>
      <c r="AN326">
        <v>9.4000488020579382</v>
      </c>
      <c r="AO326">
        <v>1</v>
      </c>
      <c r="AP326">
        <v>6023.7392733347688</v>
      </c>
      <c r="AQ326">
        <v>1.098016605166052</v>
      </c>
      <c r="AR326">
        <v>6614.1656999999996</v>
      </c>
      <c r="AS326" s="60">
        <v>342819.55656909267</v>
      </c>
      <c r="AT326" t="s">
        <v>349</v>
      </c>
      <c r="AU326" t="s">
        <v>439</v>
      </c>
      <c r="AV326" t="s">
        <v>425</v>
      </c>
      <c r="AW326" t="s">
        <v>81</v>
      </c>
      <c r="AX326">
        <v>111.133</v>
      </c>
      <c r="AY326">
        <v>1.080821157758461</v>
      </c>
      <c r="AZ326">
        <v>120.1148977251711</v>
      </c>
      <c r="BA326">
        <v>779.31</v>
      </c>
      <c r="BB326">
        <v>0.879</v>
      </c>
      <c r="BC326">
        <v>82.280325291712501</v>
      </c>
      <c r="BD326">
        <v>0.93120000000000003</v>
      </c>
      <c r="BE326" s="62">
        <v>76.619</v>
      </c>
      <c r="BF326">
        <v>8.9176000000000002</v>
      </c>
      <c r="BG326">
        <v>0.80400000000000005</v>
      </c>
      <c r="BH326">
        <v>6039.0430235999738</v>
      </c>
      <c r="BI326">
        <v>1.1187730627306269</v>
      </c>
      <c r="BJ326" s="62">
        <v>6756.3186999999998</v>
      </c>
      <c r="BK326" s="60">
        <v>350187.5044910757</v>
      </c>
    </row>
    <row r="327" spans="1:63" x14ac:dyDescent="0.25">
      <c r="A327">
        <v>1053</v>
      </c>
      <c r="B327" t="s">
        <v>230</v>
      </c>
      <c r="C327">
        <v>2020</v>
      </c>
      <c r="D327">
        <v>7</v>
      </c>
      <c r="E327" t="s">
        <v>100</v>
      </c>
      <c r="F327" t="s">
        <v>426</v>
      </c>
      <c r="G327" t="s">
        <v>427</v>
      </c>
      <c r="H327" t="s">
        <v>84</v>
      </c>
      <c r="I327" t="s">
        <v>429</v>
      </c>
      <c r="J327" t="s">
        <v>87</v>
      </c>
      <c r="K327">
        <v>-832.63126098999999</v>
      </c>
      <c r="L327" t="s">
        <v>87</v>
      </c>
      <c r="M327" t="s">
        <v>384</v>
      </c>
      <c r="N327">
        <v>5.2173184005399997E-2</v>
      </c>
      <c r="O327">
        <v>43.441023988279497</v>
      </c>
      <c r="P327" t="s">
        <v>440</v>
      </c>
      <c r="Q327">
        <v>2</v>
      </c>
      <c r="R327">
        <v>47.636589999999998</v>
      </c>
      <c r="S327">
        <v>6.6000000000000003E-2</v>
      </c>
      <c r="T327">
        <v>3.1440149000000002</v>
      </c>
      <c r="U327">
        <v>1.9E-2</v>
      </c>
      <c r="V327">
        <v>59.735999999999997</v>
      </c>
      <c r="W327">
        <v>2</v>
      </c>
      <c r="X327">
        <v>1.1957331460000001E-3</v>
      </c>
      <c r="Y327">
        <v>0.14285700000000001</v>
      </c>
      <c r="Z327" s="60">
        <v>6.2058540000000004</v>
      </c>
      <c r="AA327" t="s">
        <v>347</v>
      </c>
      <c r="AB327" t="s">
        <v>437</v>
      </c>
      <c r="AC327" t="s">
        <v>425</v>
      </c>
      <c r="AD327" t="s">
        <v>81</v>
      </c>
      <c r="AE327">
        <v>111.133</v>
      </c>
      <c r="AF327">
        <v>1.0541007448257309</v>
      </c>
      <c r="AG327">
        <v>117.145378074718</v>
      </c>
      <c r="AH327">
        <v>640.82000000000005</v>
      </c>
      <c r="AI327">
        <v>1</v>
      </c>
      <c r="AJ327">
        <v>75.069101177840764</v>
      </c>
      <c r="AK327">
        <v>0.93830000000000002</v>
      </c>
      <c r="AL327" s="62">
        <v>70.436999999999998</v>
      </c>
      <c r="AM327">
        <v>8.9176000000000002</v>
      </c>
      <c r="AN327">
        <v>9.4000488020579382</v>
      </c>
      <c r="AO327">
        <v>1</v>
      </c>
      <c r="AP327">
        <v>6023.7392733347688</v>
      </c>
      <c r="AQ327">
        <v>1.098016605166052</v>
      </c>
      <c r="AR327">
        <v>6614.1656999999996</v>
      </c>
      <c r="AS327" s="60">
        <v>41046.546666007802</v>
      </c>
      <c r="AT327" t="s">
        <v>349</v>
      </c>
      <c r="AU327" t="s">
        <v>439</v>
      </c>
      <c r="AV327" t="s">
        <v>425</v>
      </c>
      <c r="AW327" t="s">
        <v>81</v>
      </c>
      <c r="AX327">
        <v>111.133</v>
      </c>
      <c r="AY327">
        <v>1.080821157758461</v>
      </c>
      <c r="AZ327">
        <v>120.1148977251711</v>
      </c>
      <c r="BA327">
        <v>779.31</v>
      </c>
      <c r="BB327">
        <v>0.879</v>
      </c>
      <c r="BC327">
        <v>82.280325291712501</v>
      </c>
      <c r="BD327">
        <v>0.93120000000000003</v>
      </c>
      <c r="BE327" s="62">
        <v>76.619</v>
      </c>
      <c r="BF327">
        <v>8.9176000000000002</v>
      </c>
      <c r="BG327">
        <v>0.80400000000000005</v>
      </c>
      <c r="BH327">
        <v>6039.0430235999738</v>
      </c>
      <c r="BI327">
        <v>1.1187730627306269</v>
      </c>
      <c r="BJ327" s="62">
        <v>6756.3186999999998</v>
      </c>
      <c r="BK327" s="60">
        <v>41928.727429669801</v>
      </c>
    </row>
    <row r="328" spans="1:63" x14ac:dyDescent="0.25">
      <c r="A328">
        <v>1053</v>
      </c>
      <c r="B328" t="s">
        <v>230</v>
      </c>
      <c r="C328">
        <v>2020</v>
      </c>
      <c r="D328">
        <v>7</v>
      </c>
      <c r="E328" t="s">
        <v>100</v>
      </c>
      <c r="F328" t="s">
        <v>426</v>
      </c>
      <c r="G328" t="s">
        <v>427</v>
      </c>
      <c r="H328" t="s">
        <v>84</v>
      </c>
      <c r="I328" t="s">
        <v>430</v>
      </c>
      <c r="J328" t="s">
        <v>59</v>
      </c>
      <c r="K328">
        <v>-2551.2444336100002</v>
      </c>
      <c r="L328" t="s">
        <v>59</v>
      </c>
      <c r="M328" t="s">
        <v>384</v>
      </c>
      <c r="N328">
        <v>3.3878542232840002E-2</v>
      </c>
      <c r="O328">
        <v>86.432442290354345</v>
      </c>
      <c r="P328" t="s">
        <v>440</v>
      </c>
      <c r="Q328">
        <v>2</v>
      </c>
      <c r="R328">
        <v>47.636589999999998</v>
      </c>
      <c r="S328">
        <v>6.6000000000000003E-2</v>
      </c>
      <c r="T328">
        <v>3.1440149000000002</v>
      </c>
      <c r="U328">
        <v>1.9E-2</v>
      </c>
      <c r="V328">
        <v>59.735999999999997</v>
      </c>
      <c r="W328">
        <v>2</v>
      </c>
      <c r="X328">
        <v>1.1957331460000001E-3</v>
      </c>
      <c r="Y328">
        <v>0.14285700000000001</v>
      </c>
      <c r="Z328" s="60">
        <v>12.347479</v>
      </c>
      <c r="AA328" t="s">
        <v>347</v>
      </c>
      <c r="AB328" t="s">
        <v>437</v>
      </c>
      <c r="AC328" t="s">
        <v>425</v>
      </c>
      <c r="AD328" t="s">
        <v>81</v>
      </c>
      <c r="AE328">
        <v>111.133</v>
      </c>
      <c r="AF328">
        <v>1.0541007448257309</v>
      </c>
      <c r="AG328">
        <v>117.145378074718</v>
      </c>
      <c r="AH328">
        <v>640.82000000000005</v>
      </c>
      <c r="AI328">
        <v>1</v>
      </c>
      <c r="AJ328">
        <v>75.069101177840764</v>
      </c>
      <c r="AK328">
        <v>0.93830000000000002</v>
      </c>
      <c r="AL328" s="62">
        <v>70.436999999999998</v>
      </c>
      <c r="AM328">
        <v>8.9176000000000002</v>
      </c>
      <c r="AN328">
        <v>9.4000488020579382</v>
      </c>
      <c r="AO328">
        <v>1</v>
      </c>
      <c r="AP328">
        <v>6023.7392733347688</v>
      </c>
      <c r="AQ328">
        <v>1.098016605166052</v>
      </c>
      <c r="AR328">
        <v>6614.1656999999996</v>
      </c>
      <c r="AS328" s="60">
        <v>81668.272083270291</v>
      </c>
      <c r="AT328" t="s">
        <v>349</v>
      </c>
      <c r="AU328" t="s">
        <v>439</v>
      </c>
      <c r="AV328" t="s">
        <v>425</v>
      </c>
      <c r="AW328" t="s">
        <v>81</v>
      </c>
      <c r="AX328">
        <v>111.133</v>
      </c>
      <c r="AY328">
        <v>1.080821157758461</v>
      </c>
      <c r="AZ328">
        <v>120.1148977251711</v>
      </c>
      <c r="BA328">
        <v>779.31</v>
      </c>
      <c r="BB328">
        <v>0.879</v>
      </c>
      <c r="BC328">
        <v>82.280325291712501</v>
      </c>
      <c r="BD328">
        <v>0.93120000000000003</v>
      </c>
      <c r="BE328" s="62">
        <v>76.619</v>
      </c>
      <c r="BF328">
        <v>8.9176000000000002</v>
      </c>
      <c r="BG328">
        <v>0.80400000000000005</v>
      </c>
      <c r="BH328">
        <v>6039.0430235999738</v>
      </c>
      <c r="BI328">
        <v>1.1187730627306269</v>
      </c>
      <c r="BJ328" s="62">
        <v>6756.3186999999998</v>
      </c>
      <c r="BK328" s="60">
        <v>83423.503265557301</v>
      </c>
    </row>
    <row r="329" spans="1:63" x14ac:dyDescent="0.25">
      <c r="A329">
        <v>1055</v>
      </c>
      <c r="B329" t="s">
        <v>230</v>
      </c>
      <c r="C329">
        <v>2020</v>
      </c>
      <c r="D329">
        <v>7</v>
      </c>
      <c r="E329" t="s">
        <v>100</v>
      </c>
      <c r="F329" t="s">
        <v>426</v>
      </c>
      <c r="G329" t="s">
        <v>427</v>
      </c>
      <c r="H329" t="s">
        <v>84</v>
      </c>
      <c r="I329" t="s">
        <v>428</v>
      </c>
      <c r="J329" t="s">
        <v>381</v>
      </c>
      <c r="K329">
        <v>-4441.3899390400002</v>
      </c>
      <c r="L329" t="s">
        <v>381</v>
      </c>
      <c r="M329" t="s">
        <v>385</v>
      </c>
      <c r="N329">
        <v>0.53433255212611996</v>
      </c>
      <c r="O329">
        <v>2373.1792211145162</v>
      </c>
      <c r="P329" t="s">
        <v>440</v>
      </c>
      <c r="Q329">
        <v>2</v>
      </c>
      <c r="R329">
        <v>47.636589999999998</v>
      </c>
      <c r="S329">
        <v>6.6000000000000003E-2</v>
      </c>
      <c r="T329">
        <v>3.1440149000000002</v>
      </c>
      <c r="U329">
        <v>0.98099999999999998</v>
      </c>
      <c r="V329">
        <v>3084.279</v>
      </c>
      <c r="W329">
        <v>2</v>
      </c>
      <c r="X329">
        <v>2.3158922E-5</v>
      </c>
      <c r="Y329">
        <v>0.14285700000000001</v>
      </c>
      <c r="Z329" s="60">
        <v>339.02526399999999</v>
      </c>
      <c r="AA329" t="s">
        <v>347</v>
      </c>
      <c r="AB329" t="s">
        <v>437</v>
      </c>
      <c r="AC329" t="s">
        <v>425</v>
      </c>
      <c r="AD329" t="s">
        <v>27</v>
      </c>
      <c r="AE329">
        <v>111.133</v>
      </c>
      <c r="AF329">
        <v>1.0541007448257309</v>
      </c>
      <c r="AG329">
        <v>117.145378074718</v>
      </c>
      <c r="AH329">
        <v>640.82000000000005</v>
      </c>
      <c r="AI329">
        <v>1</v>
      </c>
      <c r="AJ329">
        <v>75.069101177840764</v>
      </c>
      <c r="AK329">
        <v>0.95889999999999997</v>
      </c>
      <c r="AL329" s="62">
        <v>71.983999999999995</v>
      </c>
      <c r="AM329">
        <v>8.9176000000000002</v>
      </c>
      <c r="AN329">
        <v>9.4000488020579382</v>
      </c>
      <c r="AO329">
        <v>1</v>
      </c>
      <c r="AP329">
        <v>6023.7392733347688</v>
      </c>
      <c r="AQ329">
        <v>0.99097621000820357</v>
      </c>
      <c r="AR329">
        <v>5969.3823000000002</v>
      </c>
      <c r="AS329" s="60">
        <v>2023771.4101744271</v>
      </c>
      <c r="AT329" t="s">
        <v>349</v>
      </c>
      <c r="AU329" t="s">
        <v>439</v>
      </c>
      <c r="AV329" t="s">
        <v>425</v>
      </c>
      <c r="AW329" t="s">
        <v>27</v>
      </c>
      <c r="AX329">
        <v>111.133</v>
      </c>
      <c r="AY329">
        <v>1.080821157758461</v>
      </c>
      <c r="AZ329">
        <v>120.1148977251711</v>
      </c>
      <c r="BA329">
        <v>779.31</v>
      </c>
      <c r="BB329">
        <v>0.879</v>
      </c>
      <c r="BC329">
        <v>82.280325291712501</v>
      </c>
      <c r="BD329">
        <v>0.93269999999999997</v>
      </c>
      <c r="BE329" s="62">
        <v>76.742999999999995</v>
      </c>
      <c r="BF329">
        <v>8.9176000000000002</v>
      </c>
      <c r="BG329">
        <v>0.80400000000000005</v>
      </c>
      <c r="BH329">
        <v>6039.0430235999738</v>
      </c>
      <c r="BI329">
        <v>1.016406890894175</v>
      </c>
      <c r="BJ329" s="62">
        <v>6138.1248999999998</v>
      </c>
      <c r="BK329" s="60">
        <v>2080979.414687474</v>
      </c>
    </row>
    <row r="330" spans="1:63" x14ac:dyDescent="0.25">
      <c r="A330">
        <v>1055</v>
      </c>
      <c r="B330" t="s">
        <v>230</v>
      </c>
      <c r="C330">
        <v>2020</v>
      </c>
      <c r="D330">
        <v>7</v>
      </c>
      <c r="E330" t="s">
        <v>100</v>
      </c>
      <c r="F330" t="s">
        <v>426</v>
      </c>
      <c r="G330" t="s">
        <v>427</v>
      </c>
      <c r="H330" t="s">
        <v>84</v>
      </c>
      <c r="I330" t="s">
        <v>429</v>
      </c>
      <c r="J330" t="s">
        <v>87</v>
      </c>
      <c r="K330">
        <v>-832.63126098999999</v>
      </c>
      <c r="L330" t="s">
        <v>87</v>
      </c>
      <c r="M330" t="s">
        <v>385</v>
      </c>
      <c r="N330">
        <v>0.48201182829095002</v>
      </c>
      <c r="O330">
        <v>401.33811640198911</v>
      </c>
      <c r="P330" t="s">
        <v>440</v>
      </c>
      <c r="Q330">
        <v>2</v>
      </c>
      <c r="R330">
        <v>47.636589999999998</v>
      </c>
      <c r="S330">
        <v>6.6000000000000003E-2</v>
      </c>
      <c r="T330">
        <v>3.1440149000000002</v>
      </c>
      <c r="U330">
        <v>0.98099999999999998</v>
      </c>
      <c r="V330">
        <v>3084.279</v>
      </c>
      <c r="W330">
        <v>2</v>
      </c>
      <c r="X330">
        <v>2.3158922E-5</v>
      </c>
      <c r="Y330">
        <v>0.14285700000000001</v>
      </c>
      <c r="Z330" s="60">
        <v>57.333959</v>
      </c>
      <c r="AA330" t="s">
        <v>347</v>
      </c>
      <c r="AB330" t="s">
        <v>437</v>
      </c>
      <c r="AC330" t="s">
        <v>425</v>
      </c>
      <c r="AD330" t="s">
        <v>27</v>
      </c>
      <c r="AE330">
        <v>111.133</v>
      </c>
      <c r="AF330">
        <v>1.0541007448257309</v>
      </c>
      <c r="AG330">
        <v>117.145378074718</v>
      </c>
      <c r="AH330">
        <v>640.82000000000005</v>
      </c>
      <c r="AI330">
        <v>1</v>
      </c>
      <c r="AJ330">
        <v>75.069101177840764</v>
      </c>
      <c r="AK330">
        <v>0.95889999999999997</v>
      </c>
      <c r="AL330" s="62">
        <v>71.983999999999995</v>
      </c>
      <c r="AM330">
        <v>8.9176000000000002</v>
      </c>
      <c r="AN330">
        <v>9.4000488020579382</v>
      </c>
      <c r="AO330">
        <v>1</v>
      </c>
      <c r="AP330">
        <v>6023.7392733347688</v>
      </c>
      <c r="AQ330">
        <v>0.99097621000820357</v>
      </c>
      <c r="AR330">
        <v>5969.3823000000002</v>
      </c>
      <c r="AS330" s="60">
        <v>342248.32004352572</v>
      </c>
      <c r="AT330" t="s">
        <v>349</v>
      </c>
      <c r="AU330" t="s">
        <v>439</v>
      </c>
      <c r="AV330" t="s">
        <v>425</v>
      </c>
      <c r="AW330" t="s">
        <v>27</v>
      </c>
      <c r="AX330">
        <v>111.133</v>
      </c>
      <c r="AY330">
        <v>1.080821157758461</v>
      </c>
      <c r="AZ330">
        <v>120.1148977251711</v>
      </c>
      <c r="BA330">
        <v>779.31</v>
      </c>
      <c r="BB330">
        <v>0.879</v>
      </c>
      <c r="BC330">
        <v>82.280325291712501</v>
      </c>
      <c r="BD330">
        <v>0.93269999999999997</v>
      </c>
      <c r="BE330" s="62">
        <v>76.742999999999995</v>
      </c>
      <c r="BF330">
        <v>8.9176000000000002</v>
      </c>
      <c r="BG330">
        <v>0.80400000000000005</v>
      </c>
      <c r="BH330">
        <v>6039.0430235999738</v>
      </c>
      <c r="BI330">
        <v>1.016406890894175</v>
      </c>
      <c r="BJ330" s="62">
        <v>6138.1248999999998</v>
      </c>
      <c r="BK330" s="60">
        <v>351923.00135347911</v>
      </c>
    </row>
    <row r="331" spans="1:63" x14ac:dyDescent="0.25">
      <c r="A331">
        <v>1055</v>
      </c>
      <c r="B331" t="s">
        <v>230</v>
      </c>
      <c r="C331">
        <v>2020</v>
      </c>
      <c r="D331">
        <v>7</v>
      </c>
      <c r="E331" t="s">
        <v>100</v>
      </c>
      <c r="F331" t="s">
        <v>426</v>
      </c>
      <c r="G331" t="s">
        <v>427</v>
      </c>
      <c r="H331" t="s">
        <v>84</v>
      </c>
      <c r="I331" t="s">
        <v>430</v>
      </c>
      <c r="J331" t="s">
        <v>59</v>
      </c>
      <c r="K331">
        <v>-2551.2444336100002</v>
      </c>
      <c r="L331" t="s">
        <v>59</v>
      </c>
      <c r="M331" t="s">
        <v>385</v>
      </c>
      <c r="N331">
        <v>0.55635923938887</v>
      </c>
      <c r="O331">
        <v>1419.4084125783479</v>
      </c>
      <c r="P331" t="s">
        <v>440</v>
      </c>
      <c r="Q331">
        <v>2</v>
      </c>
      <c r="R331">
        <v>47.636589999999998</v>
      </c>
      <c r="S331">
        <v>6.6000000000000003E-2</v>
      </c>
      <c r="T331">
        <v>3.1440149000000002</v>
      </c>
      <c r="U331">
        <v>0.98099999999999998</v>
      </c>
      <c r="V331">
        <v>3084.279</v>
      </c>
      <c r="W331">
        <v>2</v>
      </c>
      <c r="X331">
        <v>2.3158922E-5</v>
      </c>
      <c r="Y331">
        <v>0.14285700000000001</v>
      </c>
      <c r="Z331" s="60">
        <v>202.77242799999999</v>
      </c>
      <c r="AA331" t="s">
        <v>347</v>
      </c>
      <c r="AB331" t="s">
        <v>437</v>
      </c>
      <c r="AC331" t="s">
        <v>425</v>
      </c>
      <c r="AD331" t="s">
        <v>27</v>
      </c>
      <c r="AE331">
        <v>111.133</v>
      </c>
      <c r="AF331">
        <v>1.0541007448257309</v>
      </c>
      <c r="AG331">
        <v>117.145378074718</v>
      </c>
      <c r="AH331">
        <v>640.82000000000005</v>
      </c>
      <c r="AI331">
        <v>1</v>
      </c>
      <c r="AJ331">
        <v>75.069101177840764</v>
      </c>
      <c r="AK331">
        <v>0.95889999999999997</v>
      </c>
      <c r="AL331" s="62">
        <v>71.983999999999995</v>
      </c>
      <c r="AM331">
        <v>8.9176000000000002</v>
      </c>
      <c r="AN331">
        <v>9.4000488020579382</v>
      </c>
      <c r="AO331">
        <v>1</v>
      </c>
      <c r="AP331">
        <v>6023.7392733347688</v>
      </c>
      <c r="AQ331">
        <v>0.99097621000820357</v>
      </c>
      <c r="AR331">
        <v>5969.3823000000002</v>
      </c>
      <c r="AS331" s="60">
        <v>1210426.1426312239</v>
      </c>
      <c r="AT331" t="s">
        <v>349</v>
      </c>
      <c r="AU331" t="s">
        <v>439</v>
      </c>
      <c r="AV331" t="s">
        <v>425</v>
      </c>
      <c r="AW331" t="s">
        <v>27</v>
      </c>
      <c r="AX331">
        <v>111.133</v>
      </c>
      <c r="AY331">
        <v>1.080821157758461</v>
      </c>
      <c r="AZ331">
        <v>120.1148977251711</v>
      </c>
      <c r="BA331">
        <v>779.31</v>
      </c>
      <c r="BB331">
        <v>0.879</v>
      </c>
      <c r="BC331">
        <v>82.280325291712501</v>
      </c>
      <c r="BD331">
        <v>0.93269999999999997</v>
      </c>
      <c r="BE331" s="62">
        <v>76.742999999999995</v>
      </c>
      <c r="BF331">
        <v>8.9176000000000002</v>
      </c>
      <c r="BG331">
        <v>0.80400000000000005</v>
      </c>
      <c r="BH331">
        <v>6039.0430235999738</v>
      </c>
      <c r="BI331">
        <v>1.016406890894175</v>
      </c>
      <c r="BJ331" s="62">
        <v>6138.1248999999998</v>
      </c>
      <c r="BK331" s="60">
        <v>1244642.4893402569</v>
      </c>
    </row>
    <row r="332" spans="1:63" x14ac:dyDescent="0.25">
      <c r="A332">
        <v>1079</v>
      </c>
      <c r="B332" t="s">
        <v>237</v>
      </c>
      <c r="C332">
        <v>2020</v>
      </c>
      <c r="D332">
        <v>8</v>
      </c>
      <c r="E332" t="s">
        <v>100</v>
      </c>
      <c r="F332" t="s">
        <v>426</v>
      </c>
      <c r="G332" t="s">
        <v>427</v>
      </c>
      <c r="H332" t="s">
        <v>84</v>
      </c>
      <c r="I332" t="s">
        <v>428</v>
      </c>
      <c r="J332" t="s">
        <v>381</v>
      </c>
      <c r="K332">
        <v>-4467.9596279999996</v>
      </c>
      <c r="L332" t="s">
        <v>381</v>
      </c>
      <c r="M332" t="s">
        <v>384</v>
      </c>
      <c r="N332">
        <v>8.1690224049839999E-2</v>
      </c>
      <c r="O332">
        <v>364.9886230569598</v>
      </c>
      <c r="P332" t="s">
        <v>440</v>
      </c>
      <c r="Q332">
        <v>2</v>
      </c>
      <c r="R332">
        <v>47.636589999999998</v>
      </c>
      <c r="S332">
        <v>5.6000000000000001E-2</v>
      </c>
      <c r="T332">
        <v>2.6676489999999999</v>
      </c>
      <c r="U332">
        <v>1.9E-2</v>
      </c>
      <c r="V332">
        <v>50.685000000000002</v>
      </c>
      <c r="W332">
        <v>2</v>
      </c>
      <c r="X332">
        <v>1.4092565609999999E-3</v>
      </c>
      <c r="Y332">
        <v>0.14285600000000001</v>
      </c>
      <c r="Z332" s="60">
        <v>52.140815000000003</v>
      </c>
      <c r="AA332" t="s">
        <v>347</v>
      </c>
      <c r="AB332" t="s">
        <v>437</v>
      </c>
      <c r="AC332" t="s">
        <v>425</v>
      </c>
      <c r="AD332" t="s">
        <v>81</v>
      </c>
      <c r="AE332">
        <v>111.133</v>
      </c>
      <c r="AF332">
        <v>1.0541007448257309</v>
      </c>
      <c r="AG332">
        <v>117.145378074718</v>
      </c>
      <c r="AH332">
        <v>640.82000000000005</v>
      </c>
      <c r="AI332">
        <v>1</v>
      </c>
      <c r="AJ332">
        <v>75.069101177840764</v>
      </c>
      <c r="AK332">
        <v>0.93830000000000002</v>
      </c>
      <c r="AL332" s="62">
        <v>70.436999999999998</v>
      </c>
      <c r="AM332">
        <v>8.9176000000000002</v>
      </c>
      <c r="AN332">
        <v>9.4000488020579382</v>
      </c>
      <c r="AO332">
        <v>1</v>
      </c>
      <c r="AP332">
        <v>6023.7392733347688</v>
      </c>
      <c r="AQ332">
        <v>1.098016605166052</v>
      </c>
      <c r="AR332">
        <v>6614.1656999999996</v>
      </c>
      <c r="AS332" s="60">
        <v>344867.99014304549</v>
      </c>
      <c r="AT332" t="s">
        <v>349</v>
      </c>
      <c r="AU332" t="s">
        <v>439</v>
      </c>
      <c r="AV332" t="s">
        <v>425</v>
      </c>
      <c r="AW332" t="s">
        <v>81</v>
      </c>
      <c r="AX332">
        <v>111.133</v>
      </c>
      <c r="AY332">
        <v>1.080821157758461</v>
      </c>
      <c r="AZ332">
        <v>120.1148977251711</v>
      </c>
      <c r="BA332">
        <v>779.31</v>
      </c>
      <c r="BB332">
        <v>0.879</v>
      </c>
      <c r="BC332">
        <v>82.280325291712501</v>
      </c>
      <c r="BD332">
        <v>0.93120000000000003</v>
      </c>
      <c r="BE332" s="62">
        <v>76.619</v>
      </c>
      <c r="BF332">
        <v>8.9176000000000002</v>
      </c>
      <c r="BG332">
        <v>0.80400000000000005</v>
      </c>
      <c r="BH332">
        <v>6039.0430235999738</v>
      </c>
      <c r="BI332">
        <v>1.1187730627306269</v>
      </c>
      <c r="BJ332" s="62">
        <v>6756.3186999999998</v>
      </c>
      <c r="BK332" s="60">
        <v>352279.96341774048</v>
      </c>
    </row>
    <row r="333" spans="1:63" x14ac:dyDescent="0.25">
      <c r="A333">
        <v>1079</v>
      </c>
      <c r="B333" t="s">
        <v>237</v>
      </c>
      <c r="C333">
        <v>2020</v>
      </c>
      <c r="D333">
        <v>8</v>
      </c>
      <c r="E333" t="s">
        <v>100</v>
      </c>
      <c r="F333" t="s">
        <v>426</v>
      </c>
      <c r="G333" t="s">
        <v>427</v>
      </c>
      <c r="H333" t="s">
        <v>84</v>
      </c>
      <c r="I333" t="s">
        <v>429</v>
      </c>
      <c r="J333" t="s">
        <v>87</v>
      </c>
      <c r="K333">
        <v>-671.05509757000004</v>
      </c>
      <c r="L333" t="s">
        <v>87</v>
      </c>
      <c r="M333" t="s">
        <v>384</v>
      </c>
      <c r="N333">
        <v>5.2173184005399997E-2</v>
      </c>
      <c r="O333">
        <v>35.011081083281262</v>
      </c>
      <c r="P333" t="s">
        <v>440</v>
      </c>
      <c r="Q333">
        <v>2</v>
      </c>
      <c r="R333">
        <v>47.636589999999998</v>
      </c>
      <c r="S333">
        <v>5.6000000000000001E-2</v>
      </c>
      <c r="T333">
        <v>2.6676489999999999</v>
      </c>
      <c r="U333">
        <v>1.9E-2</v>
      </c>
      <c r="V333">
        <v>50.685000000000002</v>
      </c>
      <c r="W333">
        <v>2</v>
      </c>
      <c r="X333">
        <v>1.4092565609999999E-3</v>
      </c>
      <c r="Y333">
        <v>0.14285600000000001</v>
      </c>
      <c r="Z333" s="60">
        <v>5.0015429999999999</v>
      </c>
      <c r="AA333" t="s">
        <v>347</v>
      </c>
      <c r="AB333" t="s">
        <v>437</v>
      </c>
      <c r="AC333" t="s">
        <v>425</v>
      </c>
      <c r="AD333" t="s">
        <v>81</v>
      </c>
      <c r="AE333">
        <v>111.133</v>
      </c>
      <c r="AF333">
        <v>1.0541007448257309</v>
      </c>
      <c r="AG333">
        <v>117.145378074718</v>
      </c>
      <c r="AH333">
        <v>640.82000000000005</v>
      </c>
      <c r="AI333">
        <v>1</v>
      </c>
      <c r="AJ333">
        <v>75.069101177840764</v>
      </c>
      <c r="AK333">
        <v>0.93830000000000002</v>
      </c>
      <c r="AL333" s="62">
        <v>70.436999999999998</v>
      </c>
      <c r="AM333">
        <v>8.9176000000000002</v>
      </c>
      <c r="AN333">
        <v>9.4000488020579382</v>
      </c>
      <c r="AO333">
        <v>1</v>
      </c>
      <c r="AP333">
        <v>6023.7392733347688</v>
      </c>
      <c r="AQ333">
        <v>1.098016605166052</v>
      </c>
      <c r="AR333">
        <v>6614.1656999999996</v>
      </c>
      <c r="AS333" s="60">
        <v>33081.034157675087</v>
      </c>
      <c r="AT333" t="s">
        <v>349</v>
      </c>
      <c r="AU333" t="s">
        <v>439</v>
      </c>
      <c r="AV333" t="s">
        <v>425</v>
      </c>
      <c r="AW333" t="s">
        <v>81</v>
      </c>
      <c r="AX333">
        <v>111.133</v>
      </c>
      <c r="AY333">
        <v>1.080821157758461</v>
      </c>
      <c r="AZ333">
        <v>120.1148977251711</v>
      </c>
      <c r="BA333">
        <v>779.31</v>
      </c>
      <c r="BB333">
        <v>0.879</v>
      </c>
      <c r="BC333">
        <v>82.280325291712501</v>
      </c>
      <c r="BD333">
        <v>0.93120000000000003</v>
      </c>
      <c r="BE333" s="62">
        <v>76.619</v>
      </c>
      <c r="BF333">
        <v>8.9176000000000002</v>
      </c>
      <c r="BG333">
        <v>0.80400000000000005</v>
      </c>
      <c r="BH333">
        <v>6039.0430235999738</v>
      </c>
      <c r="BI333">
        <v>1.1187730627306269</v>
      </c>
      <c r="BJ333" s="62">
        <v>6756.3186999999998</v>
      </c>
      <c r="BK333" s="60">
        <v>33792.0184997541</v>
      </c>
    </row>
    <row r="334" spans="1:63" x14ac:dyDescent="0.25">
      <c r="A334">
        <v>1079</v>
      </c>
      <c r="B334" t="s">
        <v>237</v>
      </c>
      <c r="C334">
        <v>2020</v>
      </c>
      <c r="D334">
        <v>8</v>
      </c>
      <c r="E334" t="s">
        <v>100</v>
      </c>
      <c r="F334" t="s">
        <v>426</v>
      </c>
      <c r="G334" t="s">
        <v>427</v>
      </c>
      <c r="H334" t="s">
        <v>84</v>
      </c>
      <c r="I334" t="s">
        <v>430</v>
      </c>
      <c r="J334" t="s">
        <v>59</v>
      </c>
      <c r="K334">
        <v>-1959.8993626900001</v>
      </c>
      <c r="L334" t="s">
        <v>59</v>
      </c>
      <c r="M334" t="s">
        <v>384</v>
      </c>
      <c r="N334">
        <v>3.3878542232840002E-2</v>
      </c>
      <c r="O334">
        <v>66.398533331009361</v>
      </c>
      <c r="P334" t="s">
        <v>440</v>
      </c>
      <c r="Q334">
        <v>2</v>
      </c>
      <c r="R334">
        <v>47.636589999999998</v>
      </c>
      <c r="S334">
        <v>5.6000000000000001E-2</v>
      </c>
      <c r="T334">
        <v>2.6676489999999999</v>
      </c>
      <c r="U334">
        <v>1.9E-2</v>
      </c>
      <c r="V334">
        <v>50.685000000000002</v>
      </c>
      <c r="W334">
        <v>2</v>
      </c>
      <c r="X334">
        <v>1.4092565609999999E-3</v>
      </c>
      <c r="Y334">
        <v>0.14285600000000001</v>
      </c>
      <c r="Z334" s="60">
        <v>9.4854289999999999</v>
      </c>
      <c r="AA334" t="s">
        <v>347</v>
      </c>
      <c r="AB334" t="s">
        <v>437</v>
      </c>
      <c r="AC334" t="s">
        <v>425</v>
      </c>
      <c r="AD334" t="s">
        <v>81</v>
      </c>
      <c r="AE334">
        <v>111.133</v>
      </c>
      <c r="AF334">
        <v>1.0541007448257309</v>
      </c>
      <c r="AG334">
        <v>117.145378074718</v>
      </c>
      <c r="AH334">
        <v>640.82000000000005</v>
      </c>
      <c r="AI334">
        <v>1</v>
      </c>
      <c r="AJ334">
        <v>75.069101177840764</v>
      </c>
      <c r="AK334">
        <v>0.93830000000000002</v>
      </c>
      <c r="AL334" s="62">
        <v>70.436999999999998</v>
      </c>
      <c r="AM334">
        <v>8.9176000000000002</v>
      </c>
      <c r="AN334">
        <v>9.4000488020579382</v>
      </c>
      <c r="AO334">
        <v>1</v>
      </c>
      <c r="AP334">
        <v>6023.7392733347688</v>
      </c>
      <c r="AQ334">
        <v>1.098016605166052</v>
      </c>
      <c r="AR334">
        <v>6614.1656999999996</v>
      </c>
      <c r="AS334" s="60">
        <v>62738.199141585297</v>
      </c>
      <c r="AT334" t="s">
        <v>349</v>
      </c>
      <c r="AU334" t="s">
        <v>439</v>
      </c>
      <c r="AV334" t="s">
        <v>425</v>
      </c>
      <c r="AW334" t="s">
        <v>81</v>
      </c>
      <c r="AX334">
        <v>111.133</v>
      </c>
      <c r="AY334">
        <v>1.080821157758461</v>
      </c>
      <c r="AZ334">
        <v>120.1148977251711</v>
      </c>
      <c r="BA334">
        <v>779.31</v>
      </c>
      <c r="BB334">
        <v>0.879</v>
      </c>
      <c r="BC334">
        <v>82.280325291712501</v>
      </c>
      <c r="BD334">
        <v>0.93120000000000003</v>
      </c>
      <c r="BE334" s="62">
        <v>76.619</v>
      </c>
      <c r="BF334">
        <v>8.9176000000000002</v>
      </c>
      <c r="BG334">
        <v>0.80400000000000005</v>
      </c>
      <c r="BH334">
        <v>6039.0430235999738</v>
      </c>
      <c r="BI334">
        <v>1.1187730627306269</v>
      </c>
      <c r="BJ334" s="62">
        <v>6756.3186999999998</v>
      </c>
      <c r="BK334" s="60">
        <v>64086.581330222303</v>
      </c>
    </row>
    <row r="335" spans="1:63" x14ac:dyDescent="0.25">
      <c r="A335">
        <v>1081</v>
      </c>
      <c r="B335" t="s">
        <v>237</v>
      </c>
      <c r="C335">
        <v>2020</v>
      </c>
      <c r="D335">
        <v>8</v>
      </c>
      <c r="E335" t="s">
        <v>100</v>
      </c>
      <c r="F335" t="s">
        <v>426</v>
      </c>
      <c r="G335" t="s">
        <v>427</v>
      </c>
      <c r="H335" t="s">
        <v>84</v>
      </c>
      <c r="I335" t="s">
        <v>428</v>
      </c>
      <c r="J335" t="s">
        <v>381</v>
      </c>
      <c r="K335">
        <v>-4467.9596279999996</v>
      </c>
      <c r="L335" t="s">
        <v>381</v>
      </c>
      <c r="M335" t="s">
        <v>385</v>
      </c>
      <c r="N335">
        <v>0.53433255212611996</v>
      </c>
      <c r="O335">
        <v>2387.37627082571</v>
      </c>
      <c r="P335" t="s">
        <v>440</v>
      </c>
      <c r="Q335">
        <v>2</v>
      </c>
      <c r="R335">
        <v>47.636589999999998</v>
      </c>
      <c r="S335">
        <v>5.6000000000000001E-2</v>
      </c>
      <c r="T335">
        <v>2.6676489999999999</v>
      </c>
      <c r="U335">
        <v>0.98099999999999998</v>
      </c>
      <c r="V335">
        <v>2616.9639999999999</v>
      </c>
      <c r="W335">
        <v>2</v>
      </c>
      <c r="X335">
        <v>2.7294442999999998E-5</v>
      </c>
      <c r="Y335">
        <v>0.14285700000000001</v>
      </c>
      <c r="Z335" s="60">
        <v>341.05341199999998</v>
      </c>
      <c r="AA335" t="s">
        <v>347</v>
      </c>
      <c r="AB335" t="s">
        <v>437</v>
      </c>
      <c r="AC335" t="s">
        <v>425</v>
      </c>
      <c r="AD335" t="s">
        <v>27</v>
      </c>
      <c r="AE335">
        <v>111.133</v>
      </c>
      <c r="AF335">
        <v>1.0541007448257309</v>
      </c>
      <c r="AG335">
        <v>117.145378074718</v>
      </c>
      <c r="AH335">
        <v>640.82000000000005</v>
      </c>
      <c r="AI335">
        <v>1</v>
      </c>
      <c r="AJ335">
        <v>75.069101177840764</v>
      </c>
      <c r="AK335">
        <v>0.95889999999999997</v>
      </c>
      <c r="AL335" s="62">
        <v>71.983999999999995</v>
      </c>
      <c r="AM335">
        <v>8.9176000000000002</v>
      </c>
      <c r="AN335">
        <v>9.4000488020579382</v>
      </c>
      <c r="AO335">
        <v>1</v>
      </c>
      <c r="AP335">
        <v>6023.7392733347688</v>
      </c>
      <c r="AQ335">
        <v>0.99097621000820357</v>
      </c>
      <c r="AR335">
        <v>5969.3823000000002</v>
      </c>
      <c r="AS335" s="60">
        <v>2035878.2009474081</v>
      </c>
      <c r="AT335" t="s">
        <v>349</v>
      </c>
      <c r="AU335" t="s">
        <v>439</v>
      </c>
      <c r="AV335" t="s">
        <v>425</v>
      </c>
      <c r="AW335" t="s">
        <v>27</v>
      </c>
      <c r="AX335">
        <v>111.133</v>
      </c>
      <c r="AY335">
        <v>1.080821157758461</v>
      </c>
      <c r="AZ335">
        <v>120.1148977251711</v>
      </c>
      <c r="BA335">
        <v>779.31</v>
      </c>
      <c r="BB335">
        <v>0.879</v>
      </c>
      <c r="BC335">
        <v>82.280325291712501</v>
      </c>
      <c r="BD335">
        <v>0.93269999999999997</v>
      </c>
      <c r="BE335" s="62">
        <v>76.742999999999995</v>
      </c>
      <c r="BF335">
        <v>8.9176000000000002</v>
      </c>
      <c r="BG335">
        <v>0.80400000000000005</v>
      </c>
      <c r="BH335">
        <v>6039.0430235999738</v>
      </c>
      <c r="BI335">
        <v>1.016406890894175</v>
      </c>
      <c r="BJ335" s="62">
        <v>6138.1248999999998</v>
      </c>
      <c r="BK335" s="60">
        <v>2093428.440427158</v>
      </c>
    </row>
    <row r="336" spans="1:63" x14ac:dyDescent="0.25">
      <c r="A336">
        <v>1081</v>
      </c>
      <c r="B336" t="s">
        <v>237</v>
      </c>
      <c r="C336">
        <v>2020</v>
      </c>
      <c r="D336">
        <v>8</v>
      </c>
      <c r="E336" t="s">
        <v>100</v>
      </c>
      <c r="F336" t="s">
        <v>426</v>
      </c>
      <c r="G336" t="s">
        <v>427</v>
      </c>
      <c r="H336" t="s">
        <v>84</v>
      </c>
      <c r="I336" t="s">
        <v>429</v>
      </c>
      <c r="J336" t="s">
        <v>87</v>
      </c>
      <c r="K336">
        <v>-671.05509757000004</v>
      </c>
      <c r="L336" t="s">
        <v>87</v>
      </c>
      <c r="M336" t="s">
        <v>385</v>
      </c>
      <c r="N336">
        <v>0.48201182829095002</v>
      </c>
      <c r="O336">
        <v>323.45649446367747</v>
      </c>
      <c r="P336" t="s">
        <v>440</v>
      </c>
      <c r="Q336">
        <v>2</v>
      </c>
      <c r="R336">
        <v>47.636589999999998</v>
      </c>
      <c r="S336">
        <v>5.6000000000000001E-2</v>
      </c>
      <c r="T336">
        <v>2.6676489999999999</v>
      </c>
      <c r="U336">
        <v>0.98099999999999998</v>
      </c>
      <c r="V336">
        <v>2616.9639999999999</v>
      </c>
      <c r="W336">
        <v>2</v>
      </c>
      <c r="X336">
        <v>2.7294442999999998E-5</v>
      </c>
      <c r="Y336">
        <v>0.14285700000000001</v>
      </c>
      <c r="Z336" s="60">
        <v>46.208024000000002</v>
      </c>
      <c r="AA336" t="s">
        <v>347</v>
      </c>
      <c r="AB336" t="s">
        <v>437</v>
      </c>
      <c r="AC336" t="s">
        <v>425</v>
      </c>
      <c r="AD336" t="s">
        <v>27</v>
      </c>
      <c r="AE336">
        <v>111.133</v>
      </c>
      <c r="AF336">
        <v>1.0541007448257309</v>
      </c>
      <c r="AG336">
        <v>117.145378074718</v>
      </c>
      <c r="AH336">
        <v>640.82000000000005</v>
      </c>
      <c r="AI336">
        <v>1</v>
      </c>
      <c r="AJ336">
        <v>75.069101177840764</v>
      </c>
      <c r="AK336">
        <v>0.95889999999999997</v>
      </c>
      <c r="AL336" s="62">
        <v>71.983999999999995</v>
      </c>
      <c r="AM336">
        <v>8.9176000000000002</v>
      </c>
      <c r="AN336">
        <v>9.4000488020579382</v>
      </c>
      <c r="AO336">
        <v>1</v>
      </c>
      <c r="AP336">
        <v>6023.7392733347688</v>
      </c>
      <c r="AQ336">
        <v>0.99097621000820357</v>
      </c>
      <c r="AR336">
        <v>5969.3823000000002</v>
      </c>
      <c r="AS336" s="60">
        <v>275833.36058357521</v>
      </c>
      <c r="AT336" t="s">
        <v>349</v>
      </c>
      <c r="AU336" t="s">
        <v>439</v>
      </c>
      <c r="AV336" t="s">
        <v>425</v>
      </c>
      <c r="AW336" t="s">
        <v>27</v>
      </c>
      <c r="AX336">
        <v>111.133</v>
      </c>
      <c r="AY336">
        <v>1.080821157758461</v>
      </c>
      <c r="AZ336">
        <v>120.1148977251711</v>
      </c>
      <c r="BA336">
        <v>779.31</v>
      </c>
      <c r="BB336">
        <v>0.879</v>
      </c>
      <c r="BC336">
        <v>82.280325291712501</v>
      </c>
      <c r="BD336">
        <v>0.93269999999999997</v>
      </c>
      <c r="BE336" s="62">
        <v>76.742999999999995</v>
      </c>
      <c r="BF336">
        <v>8.9176000000000002</v>
      </c>
      <c r="BG336">
        <v>0.80400000000000005</v>
      </c>
      <c r="BH336">
        <v>6039.0430235999738</v>
      </c>
      <c r="BI336">
        <v>1.016406890894175</v>
      </c>
      <c r="BJ336" s="62">
        <v>6138.1248999999998</v>
      </c>
      <c r="BK336" s="60">
        <v>283630.62269419758</v>
      </c>
    </row>
    <row r="337" spans="1:63" x14ac:dyDescent="0.25">
      <c r="A337">
        <v>1081</v>
      </c>
      <c r="B337" t="s">
        <v>237</v>
      </c>
      <c r="C337">
        <v>2020</v>
      </c>
      <c r="D337">
        <v>8</v>
      </c>
      <c r="E337" t="s">
        <v>100</v>
      </c>
      <c r="F337" t="s">
        <v>426</v>
      </c>
      <c r="G337" t="s">
        <v>427</v>
      </c>
      <c r="H337" t="s">
        <v>84</v>
      </c>
      <c r="I337" t="s">
        <v>430</v>
      </c>
      <c r="J337" t="s">
        <v>59</v>
      </c>
      <c r="K337">
        <v>-1959.8993626900001</v>
      </c>
      <c r="L337" t="s">
        <v>59</v>
      </c>
      <c r="M337" t="s">
        <v>385</v>
      </c>
      <c r="N337">
        <v>0.55635923938887</v>
      </c>
      <c r="O337">
        <v>1090.4081187049389</v>
      </c>
      <c r="P337" t="s">
        <v>440</v>
      </c>
      <c r="Q337">
        <v>2</v>
      </c>
      <c r="R337">
        <v>47.636589999999998</v>
      </c>
      <c r="S337">
        <v>5.6000000000000001E-2</v>
      </c>
      <c r="T337">
        <v>2.6676489999999999</v>
      </c>
      <c r="U337">
        <v>0.98099999999999998</v>
      </c>
      <c r="V337">
        <v>2616.9639999999999</v>
      </c>
      <c r="W337">
        <v>2</v>
      </c>
      <c r="X337">
        <v>2.7294442999999998E-5</v>
      </c>
      <c r="Y337">
        <v>0.14285700000000001</v>
      </c>
      <c r="Z337" s="60">
        <v>155.77243300000001</v>
      </c>
      <c r="AA337" t="s">
        <v>347</v>
      </c>
      <c r="AB337" t="s">
        <v>437</v>
      </c>
      <c r="AC337" t="s">
        <v>425</v>
      </c>
      <c r="AD337" t="s">
        <v>27</v>
      </c>
      <c r="AE337">
        <v>111.133</v>
      </c>
      <c r="AF337">
        <v>1.0541007448257309</v>
      </c>
      <c r="AG337">
        <v>117.145378074718</v>
      </c>
      <c r="AH337">
        <v>640.82000000000005</v>
      </c>
      <c r="AI337">
        <v>1</v>
      </c>
      <c r="AJ337">
        <v>75.069101177840764</v>
      </c>
      <c r="AK337">
        <v>0.95889999999999997</v>
      </c>
      <c r="AL337" s="62">
        <v>71.983999999999995</v>
      </c>
      <c r="AM337">
        <v>8.9176000000000002</v>
      </c>
      <c r="AN337">
        <v>9.4000488020579382</v>
      </c>
      <c r="AO337">
        <v>1</v>
      </c>
      <c r="AP337">
        <v>6023.7392733347688</v>
      </c>
      <c r="AQ337">
        <v>0.99097621000820357</v>
      </c>
      <c r="AR337">
        <v>5969.3823000000002</v>
      </c>
      <c r="AS337" s="60">
        <v>929865.20437813597</v>
      </c>
      <c r="AT337" t="s">
        <v>349</v>
      </c>
      <c r="AU337" t="s">
        <v>439</v>
      </c>
      <c r="AV337" t="s">
        <v>425</v>
      </c>
      <c r="AW337" t="s">
        <v>27</v>
      </c>
      <c r="AX337">
        <v>111.133</v>
      </c>
      <c r="AY337">
        <v>1.080821157758461</v>
      </c>
      <c r="AZ337">
        <v>120.1148977251711</v>
      </c>
      <c r="BA337">
        <v>779.31</v>
      </c>
      <c r="BB337">
        <v>0.879</v>
      </c>
      <c r="BC337">
        <v>82.280325291712501</v>
      </c>
      <c r="BD337">
        <v>0.93269999999999997</v>
      </c>
      <c r="BE337" s="62">
        <v>76.742999999999995</v>
      </c>
      <c r="BF337">
        <v>8.9176000000000002</v>
      </c>
      <c r="BG337">
        <v>0.80400000000000005</v>
      </c>
      <c r="BH337">
        <v>6039.0430235999738</v>
      </c>
      <c r="BI337">
        <v>1.016406890894175</v>
      </c>
      <c r="BJ337" s="62">
        <v>6138.1248999999998</v>
      </c>
      <c r="BK337" s="60">
        <v>956150.64973088168</v>
      </c>
    </row>
    <row r="338" spans="1:63" x14ac:dyDescent="0.25">
      <c r="A338">
        <v>1105</v>
      </c>
      <c r="B338" t="s">
        <v>244</v>
      </c>
      <c r="C338">
        <v>2020</v>
      </c>
      <c r="D338">
        <v>9</v>
      </c>
      <c r="E338" t="s">
        <v>100</v>
      </c>
      <c r="F338" t="s">
        <v>426</v>
      </c>
      <c r="G338" t="s">
        <v>427</v>
      </c>
      <c r="H338" t="s">
        <v>84</v>
      </c>
      <c r="I338" t="s">
        <v>428</v>
      </c>
      <c r="J338" t="s">
        <v>381</v>
      </c>
      <c r="K338">
        <v>-3800.6351391399999</v>
      </c>
      <c r="L338" t="s">
        <v>381</v>
      </c>
      <c r="M338" t="s">
        <v>384</v>
      </c>
      <c r="N338">
        <v>8.1690224049839999E-2</v>
      </c>
      <c r="O338">
        <v>310.47473604804139</v>
      </c>
      <c r="P338" t="s">
        <v>440</v>
      </c>
      <c r="Q338">
        <v>2</v>
      </c>
      <c r="R338">
        <v>47.636589999999998</v>
      </c>
      <c r="S338">
        <v>4.7E-2</v>
      </c>
      <c r="T338">
        <v>2.2389196999999998</v>
      </c>
      <c r="U338">
        <v>1.9E-2</v>
      </c>
      <c r="V338">
        <v>42.539000000000001</v>
      </c>
      <c r="W338">
        <v>2</v>
      </c>
      <c r="X338">
        <v>1.6791145019999999E-3</v>
      </c>
      <c r="Y338">
        <v>0.14285600000000001</v>
      </c>
      <c r="Z338" s="60">
        <v>44.353178999999997</v>
      </c>
      <c r="AA338" t="s">
        <v>347</v>
      </c>
      <c r="AB338" t="s">
        <v>437</v>
      </c>
      <c r="AC338" t="s">
        <v>425</v>
      </c>
      <c r="AD338" t="s">
        <v>81</v>
      </c>
      <c r="AE338">
        <v>111.133</v>
      </c>
      <c r="AF338">
        <v>1.0541007448257309</v>
      </c>
      <c r="AG338">
        <v>117.145378074718</v>
      </c>
      <c r="AH338">
        <v>640.82000000000005</v>
      </c>
      <c r="AI338">
        <v>1</v>
      </c>
      <c r="AJ338">
        <v>75.069101177840764</v>
      </c>
      <c r="AK338">
        <v>0.93830000000000002</v>
      </c>
      <c r="AL338" s="62">
        <v>70.436999999999998</v>
      </c>
      <c r="AM338">
        <v>8.9176000000000002</v>
      </c>
      <c r="AN338">
        <v>9.4000488020579382</v>
      </c>
      <c r="AO338">
        <v>1</v>
      </c>
      <c r="AP338">
        <v>6023.7392733347688</v>
      </c>
      <c r="AQ338">
        <v>1.098016605166052</v>
      </c>
      <c r="AR338">
        <v>6614.1656999999996</v>
      </c>
      <c r="AS338" s="60">
        <v>293359.27522776031</v>
      </c>
      <c r="AT338" t="s">
        <v>349</v>
      </c>
      <c r="AU338" t="s">
        <v>439</v>
      </c>
      <c r="AV338" t="s">
        <v>425</v>
      </c>
      <c r="AW338" t="s">
        <v>81</v>
      </c>
      <c r="AX338">
        <v>111.133</v>
      </c>
      <c r="AY338">
        <v>1.080821157758461</v>
      </c>
      <c r="AZ338">
        <v>120.1148977251711</v>
      </c>
      <c r="BA338">
        <v>779.31</v>
      </c>
      <c r="BB338">
        <v>0.879</v>
      </c>
      <c r="BC338">
        <v>82.280325291712501</v>
      </c>
      <c r="BD338">
        <v>0.93120000000000003</v>
      </c>
      <c r="BE338" s="62">
        <v>76.619</v>
      </c>
      <c r="BF338">
        <v>8.9176000000000002</v>
      </c>
      <c r="BG338">
        <v>0.80400000000000005</v>
      </c>
      <c r="BH338">
        <v>6039.0430235999738</v>
      </c>
      <c r="BI338">
        <v>1.1187730627306269</v>
      </c>
      <c r="BJ338" s="62">
        <v>6756.3186999999998</v>
      </c>
      <c r="BK338" s="60">
        <v>299664.21268214728</v>
      </c>
    </row>
    <row r="339" spans="1:63" x14ac:dyDescent="0.25">
      <c r="A339">
        <v>1105</v>
      </c>
      <c r="B339" t="s">
        <v>244</v>
      </c>
      <c r="C339">
        <v>2020</v>
      </c>
      <c r="D339">
        <v>9</v>
      </c>
      <c r="E339" t="s">
        <v>100</v>
      </c>
      <c r="F339" t="s">
        <v>426</v>
      </c>
      <c r="G339" t="s">
        <v>427</v>
      </c>
      <c r="H339" t="s">
        <v>84</v>
      </c>
      <c r="I339" t="s">
        <v>429</v>
      </c>
      <c r="J339" t="s">
        <v>87</v>
      </c>
      <c r="K339">
        <v>-714.69357404000004</v>
      </c>
      <c r="L339" t="s">
        <v>87</v>
      </c>
      <c r="M339" t="s">
        <v>384</v>
      </c>
      <c r="N339">
        <v>5.2173184005399997E-2</v>
      </c>
      <c r="O339">
        <v>37.287839345865891</v>
      </c>
      <c r="P339" t="s">
        <v>440</v>
      </c>
      <c r="Q339">
        <v>2</v>
      </c>
      <c r="R339">
        <v>47.636589999999998</v>
      </c>
      <c r="S339">
        <v>4.7E-2</v>
      </c>
      <c r="T339">
        <v>2.2389196999999998</v>
      </c>
      <c r="U339">
        <v>1.9E-2</v>
      </c>
      <c r="V339">
        <v>42.539000000000001</v>
      </c>
      <c r="W339">
        <v>2</v>
      </c>
      <c r="X339">
        <v>1.6791145019999999E-3</v>
      </c>
      <c r="Y339">
        <v>0.14285600000000001</v>
      </c>
      <c r="Z339" s="60">
        <v>5.3267920000000002</v>
      </c>
      <c r="AA339" t="s">
        <v>347</v>
      </c>
      <c r="AB339" t="s">
        <v>437</v>
      </c>
      <c r="AC339" t="s">
        <v>425</v>
      </c>
      <c r="AD339" t="s">
        <v>81</v>
      </c>
      <c r="AE339">
        <v>111.133</v>
      </c>
      <c r="AF339">
        <v>1.0541007448257309</v>
      </c>
      <c r="AG339">
        <v>117.145378074718</v>
      </c>
      <c r="AH339">
        <v>640.82000000000005</v>
      </c>
      <c r="AI339">
        <v>1</v>
      </c>
      <c r="AJ339">
        <v>75.069101177840764</v>
      </c>
      <c r="AK339">
        <v>0.93830000000000002</v>
      </c>
      <c r="AL339" s="62">
        <v>70.436999999999998</v>
      </c>
      <c r="AM339">
        <v>8.9176000000000002</v>
      </c>
      <c r="AN339">
        <v>9.4000488020579382</v>
      </c>
      <c r="AO339">
        <v>1</v>
      </c>
      <c r="AP339">
        <v>6023.7392733347688</v>
      </c>
      <c r="AQ339">
        <v>1.098016605166052</v>
      </c>
      <c r="AR339">
        <v>6614.1656999999996</v>
      </c>
      <c r="AS339" s="60">
        <v>35232.2849374344</v>
      </c>
      <c r="AT339" t="s">
        <v>349</v>
      </c>
      <c r="AU339" t="s">
        <v>439</v>
      </c>
      <c r="AV339" t="s">
        <v>425</v>
      </c>
      <c r="AW339" t="s">
        <v>81</v>
      </c>
      <c r="AX339">
        <v>111.133</v>
      </c>
      <c r="AY339">
        <v>1.080821157758461</v>
      </c>
      <c r="AZ339">
        <v>120.1148977251711</v>
      </c>
      <c r="BA339">
        <v>779.31</v>
      </c>
      <c r="BB339">
        <v>0.879</v>
      </c>
      <c r="BC339">
        <v>82.280325291712501</v>
      </c>
      <c r="BD339">
        <v>0.93120000000000003</v>
      </c>
      <c r="BE339" s="62">
        <v>76.619</v>
      </c>
      <c r="BF339">
        <v>8.9176000000000002</v>
      </c>
      <c r="BG339">
        <v>0.80400000000000005</v>
      </c>
      <c r="BH339">
        <v>6039.0430235999738</v>
      </c>
      <c r="BI339">
        <v>1.1187730627306269</v>
      </c>
      <c r="BJ339" s="62">
        <v>6756.3186999999998</v>
      </c>
      <c r="BK339" s="60">
        <v>35989.5044006104</v>
      </c>
    </row>
    <row r="340" spans="1:63" x14ac:dyDescent="0.25">
      <c r="A340">
        <v>1105</v>
      </c>
      <c r="B340" t="s">
        <v>244</v>
      </c>
      <c r="C340">
        <v>2020</v>
      </c>
      <c r="D340">
        <v>9</v>
      </c>
      <c r="E340" t="s">
        <v>100</v>
      </c>
      <c r="F340" t="s">
        <v>426</v>
      </c>
      <c r="G340" t="s">
        <v>427</v>
      </c>
      <c r="H340" t="s">
        <v>84</v>
      </c>
      <c r="I340" t="s">
        <v>430</v>
      </c>
      <c r="J340" t="s">
        <v>59</v>
      </c>
      <c r="K340">
        <v>-1910.23438975</v>
      </c>
      <c r="L340" t="s">
        <v>59</v>
      </c>
      <c r="M340" t="s">
        <v>384</v>
      </c>
      <c r="N340">
        <v>3.3878542232840002E-2</v>
      </c>
      <c r="O340">
        <v>64.715956447768718</v>
      </c>
      <c r="P340" t="s">
        <v>440</v>
      </c>
      <c r="Q340">
        <v>2</v>
      </c>
      <c r="R340">
        <v>47.636589999999998</v>
      </c>
      <c r="S340">
        <v>4.7E-2</v>
      </c>
      <c r="T340">
        <v>2.2389196999999998</v>
      </c>
      <c r="U340">
        <v>1.9E-2</v>
      </c>
      <c r="V340">
        <v>42.539000000000001</v>
      </c>
      <c r="W340">
        <v>2</v>
      </c>
      <c r="X340">
        <v>1.6791145019999999E-3</v>
      </c>
      <c r="Y340">
        <v>0.14285600000000001</v>
      </c>
      <c r="Z340" s="60">
        <v>9.245063</v>
      </c>
      <c r="AA340" t="s">
        <v>347</v>
      </c>
      <c r="AB340" t="s">
        <v>437</v>
      </c>
      <c r="AC340" t="s">
        <v>425</v>
      </c>
      <c r="AD340" t="s">
        <v>81</v>
      </c>
      <c r="AE340">
        <v>111.133</v>
      </c>
      <c r="AF340">
        <v>1.0541007448257309</v>
      </c>
      <c r="AG340">
        <v>117.145378074718</v>
      </c>
      <c r="AH340">
        <v>640.82000000000005</v>
      </c>
      <c r="AI340">
        <v>1</v>
      </c>
      <c r="AJ340">
        <v>75.069101177840764</v>
      </c>
      <c r="AK340">
        <v>0.93830000000000002</v>
      </c>
      <c r="AL340" s="62">
        <v>70.436999999999998</v>
      </c>
      <c r="AM340">
        <v>8.9176000000000002</v>
      </c>
      <c r="AN340">
        <v>9.4000488020579382</v>
      </c>
      <c r="AO340">
        <v>1</v>
      </c>
      <c r="AP340">
        <v>6023.7392733347688</v>
      </c>
      <c r="AQ340">
        <v>1.098016605166052</v>
      </c>
      <c r="AR340">
        <v>6614.1656999999996</v>
      </c>
      <c r="AS340" s="60">
        <v>61148.378588939093</v>
      </c>
      <c r="AT340" t="s">
        <v>349</v>
      </c>
      <c r="AU340" t="s">
        <v>439</v>
      </c>
      <c r="AV340" t="s">
        <v>425</v>
      </c>
      <c r="AW340" t="s">
        <v>81</v>
      </c>
      <c r="AX340">
        <v>111.133</v>
      </c>
      <c r="AY340">
        <v>1.080821157758461</v>
      </c>
      <c r="AZ340">
        <v>120.1148977251711</v>
      </c>
      <c r="BA340">
        <v>779.31</v>
      </c>
      <c r="BB340">
        <v>0.879</v>
      </c>
      <c r="BC340">
        <v>82.280325291712501</v>
      </c>
      <c r="BD340">
        <v>0.93120000000000003</v>
      </c>
      <c r="BE340" s="62">
        <v>76.619</v>
      </c>
      <c r="BF340">
        <v>8.9176000000000002</v>
      </c>
      <c r="BG340">
        <v>0.80400000000000005</v>
      </c>
      <c r="BH340">
        <v>6039.0430235999738</v>
      </c>
      <c r="BI340">
        <v>1.1187730627306269</v>
      </c>
      <c r="BJ340" s="62">
        <v>6756.3186999999998</v>
      </c>
      <c r="BK340" s="60">
        <v>62462.592029578103</v>
      </c>
    </row>
    <row r="341" spans="1:63" x14ac:dyDescent="0.25">
      <c r="A341">
        <v>1107</v>
      </c>
      <c r="B341" t="s">
        <v>244</v>
      </c>
      <c r="C341">
        <v>2020</v>
      </c>
      <c r="D341">
        <v>9</v>
      </c>
      <c r="E341" t="s">
        <v>100</v>
      </c>
      <c r="F341" t="s">
        <v>426</v>
      </c>
      <c r="G341" t="s">
        <v>427</v>
      </c>
      <c r="H341" t="s">
        <v>84</v>
      </c>
      <c r="I341" t="s">
        <v>428</v>
      </c>
      <c r="J341" t="s">
        <v>381</v>
      </c>
      <c r="K341">
        <v>-3800.6351391399999</v>
      </c>
      <c r="L341" t="s">
        <v>381</v>
      </c>
      <c r="M341" t="s">
        <v>385</v>
      </c>
      <c r="N341">
        <v>0.53433255212611996</v>
      </c>
      <c r="O341">
        <v>2030.8030735968871</v>
      </c>
      <c r="P341" t="s">
        <v>440</v>
      </c>
      <c r="Q341">
        <v>2</v>
      </c>
      <c r="R341">
        <v>47.636589999999998</v>
      </c>
      <c r="S341">
        <v>4.7E-2</v>
      </c>
      <c r="T341">
        <v>2.2389196999999998</v>
      </c>
      <c r="U341">
        <v>0.98099999999999998</v>
      </c>
      <c r="V341">
        <v>2196.38</v>
      </c>
      <c r="W341">
        <v>2</v>
      </c>
      <c r="X341">
        <v>3.2521039999999999E-5</v>
      </c>
      <c r="Y341">
        <v>0.14285700000000001</v>
      </c>
      <c r="Z341" s="60">
        <v>290.11443500000001</v>
      </c>
      <c r="AA341" t="s">
        <v>347</v>
      </c>
      <c r="AB341" t="s">
        <v>437</v>
      </c>
      <c r="AC341" t="s">
        <v>425</v>
      </c>
      <c r="AD341" t="s">
        <v>27</v>
      </c>
      <c r="AE341">
        <v>111.133</v>
      </c>
      <c r="AF341">
        <v>1.0541007448257309</v>
      </c>
      <c r="AG341">
        <v>117.145378074718</v>
      </c>
      <c r="AH341">
        <v>640.82000000000005</v>
      </c>
      <c r="AI341">
        <v>1</v>
      </c>
      <c r="AJ341">
        <v>75.069101177840764</v>
      </c>
      <c r="AK341">
        <v>0.95889999999999997</v>
      </c>
      <c r="AL341" s="62">
        <v>71.983999999999995</v>
      </c>
      <c r="AM341">
        <v>8.9176000000000002</v>
      </c>
      <c r="AN341">
        <v>9.4000488020579382</v>
      </c>
      <c r="AO341">
        <v>1</v>
      </c>
      <c r="AP341">
        <v>6023.7392733347688</v>
      </c>
      <c r="AQ341">
        <v>0.99097621000820357</v>
      </c>
      <c r="AR341">
        <v>5969.3823000000002</v>
      </c>
      <c r="AS341" s="60">
        <v>1731803.973263501</v>
      </c>
      <c r="AT341" t="s">
        <v>349</v>
      </c>
      <c r="AU341" t="s">
        <v>439</v>
      </c>
      <c r="AV341" t="s">
        <v>425</v>
      </c>
      <c r="AW341" t="s">
        <v>27</v>
      </c>
      <c r="AX341">
        <v>111.133</v>
      </c>
      <c r="AY341">
        <v>1.080821157758461</v>
      </c>
      <c r="AZ341">
        <v>120.1148977251711</v>
      </c>
      <c r="BA341">
        <v>779.31</v>
      </c>
      <c r="BB341">
        <v>0.879</v>
      </c>
      <c r="BC341">
        <v>82.280325291712501</v>
      </c>
      <c r="BD341">
        <v>0.93269999999999997</v>
      </c>
      <c r="BE341" s="62">
        <v>76.742999999999995</v>
      </c>
      <c r="BF341">
        <v>8.9176000000000002</v>
      </c>
      <c r="BG341">
        <v>0.80400000000000005</v>
      </c>
      <c r="BH341">
        <v>6039.0430235999738</v>
      </c>
      <c r="BI341">
        <v>1.016406890894175</v>
      </c>
      <c r="BJ341" s="62">
        <v>6138.1248999999998</v>
      </c>
      <c r="BK341" s="60">
        <v>1780758.637322932</v>
      </c>
    </row>
    <row r="342" spans="1:63" x14ac:dyDescent="0.25">
      <c r="A342">
        <v>1107</v>
      </c>
      <c r="B342" t="s">
        <v>244</v>
      </c>
      <c r="C342">
        <v>2020</v>
      </c>
      <c r="D342">
        <v>9</v>
      </c>
      <c r="E342" t="s">
        <v>100</v>
      </c>
      <c r="F342" t="s">
        <v>426</v>
      </c>
      <c r="G342" t="s">
        <v>427</v>
      </c>
      <c r="H342" t="s">
        <v>84</v>
      </c>
      <c r="I342" t="s">
        <v>429</v>
      </c>
      <c r="J342" t="s">
        <v>87</v>
      </c>
      <c r="K342">
        <v>-714.69357404000004</v>
      </c>
      <c r="L342" t="s">
        <v>87</v>
      </c>
      <c r="M342" t="s">
        <v>385</v>
      </c>
      <c r="N342">
        <v>0.48201182829095002</v>
      </c>
      <c r="O342">
        <v>344.49075629081392</v>
      </c>
      <c r="P342" t="s">
        <v>440</v>
      </c>
      <c r="Q342">
        <v>2</v>
      </c>
      <c r="R342">
        <v>47.636589999999998</v>
      </c>
      <c r="S342">
        <v>4.7E-2</v>
      </c>
      <c r="T342">
        <v>2.2389196999999998</v>
      </c>
      <c r="U342">
        <v>0.98099999999999998</v>
      </c>
      <c r="V342">
        <v>2196.38</v>
      </c>
      <c r="W342">
        <v>2</v>
      </c>
      <c r="X342">
        <v>3.2521039999999999E-5</v>
      </c>
      <c r="Y342">
        <v>0.14285700000000001</v>
      </c>
      <c r="Z342" s="60">
        <v>49.212916</v>
      </c>
      <c r="AA342" t="s">
        <v>347</v>
      </c>
      <c r="AB342" t="s">
        <v>437</v>
      </c>
      <c r="AC342" t="s">
        <v>425</v>
      </c>
      <c r="AD342" t="s">
        <v>27</v>
      </c>
      <c r="AE342">
        <v>111.133</v>
      </c>
      <c r="AF342">
        <v>1.0541007448257309</v>
      </c>
      <c r="AG342">
        <v>117.145378074718</v>
      </c>
      <c r="AH342">
        <v>640.82000000000005</v>
      </c>
      <c r="AI342">
        <v>1</v>
      </c>
      <c r="AJ342">
        <v>75.069101177840764</v>
      </c>
      <c r="AK342">
        <v>0.95889999999999997</v>
      </c>
      <c r="AL342" s="62">
        <v>71.983999999999995</v>
      </c>
      <c r="AM342">
        <v>8.9176000000000002</v>
      </c>
      <c r="AN342">
        <v>9.4000488020579382</v>
      </c>
      <c r="AO342">
        <v>1</v>
      </c>
      <c r="AP342">
        <v>6023.7392733347688</v>
      </c>
      <c r="AQ342">
        <v>0.99097621000820357</v>
      </c>
      <c r="AR342">
        <v>5969.3823000000002</v>
      </c>
      <c r="AS342" s="60">
        <v>293770.70970178681</v>
      </c>
      <c r="AT342" t="s">
        <v>349</v>
      </c>
      <c r="AU342" t="s">
        <v>439</v>
      </c>
      <c r="AV342" t="s">
        <v>425</v>
      </c>
      <c r="AW342" t="s">
        <v>27</v>
      </c>
      <c r="AX342">
        <v>111.133</v>
      </c>
      <c r="AY342">
        <v>1.080821157758461</v>
      </c>
      <c r="AZ342">
        <v>120.1148977251711</v>
      </c>
      <c r="BA342">
        <v>779.31</v>
      </c>
      <c r="BB342">
        <v>0.879</v>
      </c>
      <c r="BC342">
        <v>82.280325291712501</v>
      </c>
      <c r="BD342">
        <v>0.93269999999999997</v>
      </c>
      <c r="BE342" s="62">
        <v>76.742999999999995</v>
      </c>
      <c r="BF342">
        <v>8.9176000000000002</v>
      </c>
      <c r="BG342">
        <v>0.80400000000000005</v>
      </c>
      <c r="BH342">
        <v>6039.0430235999738</v>
      </c>
      <c r="BI342">
        <v>1.016406890894175</v>
      </c>
      <c r="BJ342" s="62">
        <v>6138.1248999999998</v>
      </c>
      <c r="BK342" s="60">
        <v>302075.02510120842</v>
      </c>
    </row>
    <row r="343" spans="1:63" x14ac:dyDescent="0.25">
      <c r="A343">
        <v>1107</v>
      </c>
      <c r="B343" t="s">
        <v>244</v>
      </c>
      <c r="C343">
        <v>2020</v>
      </c>
      <c r="D343">
        <v>9</v>
      </c>
      <c r="E343" t="s">
        <v>100</v>
      </c>
      <c r="F343" t="s">
        <v>426</v>
      </c>
      <c r="G343" t="s">
        <v>427</v>
      </c>
      <c r="H343" t="s">
        <v>84</v>
      </c>
      <c r="I343" t="s">
        <v>430</v>
      </c>
      <c r="J343" t="s">
        <v>59</v>
      </c>
      <c r="K343">
        <v>-1910.23438975</v>
      </c>
      <c r="L343" t="s">
        <v>59</v>
      </c>
      <c r="M343" t="s">
        <v>385</v>
      </c>
      <c r="N343">
        <v>0.55635923938887</v>
      </c>
      <c r="O343">
        <v>1062.7765521357719</v>
      </c>
      <c r="P343" t="s">
        <v>440</v>
      </c>
      <c r="Q343">
        <v>2</v>
      </c>
      <c r="R343">
        <v>47.636589999999998</v>
      </c>
      <c r="S343">
        <v>4.7E-2</v>
      </c>
      <c r="T343">
        <v>2.2389196999999998</v>
      </c>
      <c r="U343">
        <v>0.98099999999999998</v>
      </c>
      <c r="V343">
        <v>2196.38</v>
      </c>
      <c r="W343">
        <v>2</v>
      </c>
      <c r="X343">
        <v>3.2521039999999999E-5</v>
      </c>
      <c r="Y343">
        <v>0.14285700000000001</v>
      </c>
      <c r="Z343" s="60">
        <v>151.82507000000001</v>
      </c>
      <c r="AA343" t="s">
        <v>347</v>
      </c>
      <c r="AB343" t="s">
        <v>437</v>
      </c>
      <c r="AC343" t="s">
        <v>425</v>
      </c>
      <c r="AD343" t="s">
        <v>27</v>
      </c>
      <c r="AE343">
        <v>111.133</v>
      </c>
      <c r="AF343">
        <v>1.0541007448257309</v>
      </c>
      <c r="AG343">
        <v>117.145378074718</v>
      </c>
      <c r="AH343">
        <v>640.82000000000005</v>
      </c>
      <c r="AI343">
        <v>1</v>
      </c>
      <c r="AJ343">
        <v>75.069101177840764</v>
      </c>
      <c r="AK343">
        <v>0.95889999999999997</v>
      </c>
      <c r="AL343" s="62">
        <v>71.983999999999995</v>
      </c>
      <c r="AM343">
        <v>8.9176000000000002</v>
      </c>
      <c r="AN343">
        <v>9.4000488020579382</v>
      </c>
      <c r="AO343">
        <v>1</v>
      </c>
      <c r="AP343">
        <v>6023.7392733347688</v>
      </c>
      <c r="AQ343">
        <v>0.99097621000820357</v>
      </c>
      <c r="AR343">
        <v>5969.3823000000002</v>
      </c>
      <c r="AS343" s="60">
        <v>906301.88555426104</v>
      </c>
      <c r="AT343" t="s">
        <v>349</v>
      </c>
      <c r="AU343" t="s">
        <v>439</v>
      </c>
      <c r="AV343" t="s">
        <v>425</v>
      </c>
      <c r="AW343" t="s">
        <v>27</v>
      </c>
      <c r="AX343">
        <v>111.133</v>
      </c>
      <c r="AY343">
        <v>1.080821157758461</v>
      </c>
      <c r="AZ343">
        <v>120.1148977251711</v>
      </c>
      <c r="BA343">
        <v>779.31</v>
      </c>
      <c r="BB343">
        <v>0.879</v>
      </c>
      <c r="BC343">
        <v>82.280325291712501</v>
      </c>
      <c r="BD343">
        <v>0.93269999999999997</v>
      </c>
      <c r="BE343" s="62">
        <v>76.742999999999995</v>
      </c>
      <c r="BF343">
        <v>8.9176000000000002</v>
      </c>
      <c r="BG343">
        <v>0.80400000000000005</v>
      </c>
      <c r="BH343">
        <v>6039.0430235999738</v>
      </c>
      <c r="BI343">
        <v>1.016406890894175</v>
      </c>
      <c r="BJ343" s="62">
        <v>6138.1248999999998</v>
      </c>
      <c r="BK343" s="60">
        <v>931921.24261124304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E74B-F0A7-4944-9825-10ABD69EE07F}">
  <sheetPr>
    <tabColor rgb="FF0070C0"/>
  </sheetPr>
  <dimension ref="A1:BC785"/>
  <sheetViews>
    <sheetView workbookViewId="0"/>
  </sheetViews>
  <sheetFormatPr baseColWidth="10" defaultColWidth="9.140625" defaultRowHeight="15" x14ac:dyDescent="0.25"/>
  <cols>
    <col min="1" max="1" width="7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8.5703125" bestFit="1" customWidth="1"/>
    <col min="6" max="6" width="11.42578125" bestFit="1" customWidth="1"/>
    <col min="7" max="7" width="12.5703125" bestFit="1" customWidth="1"/>
    <col min="8" max="8" width="8" bestFit="1" customWidth="1"/>
    <col min="9" max="9" width="6.140625" bestFit="1" customWidth="1"/>
    <col min="10" max="10" width="21.28515625" bestFit="1" customWidth="1"/>
    <col min="11" max="11" width="16.140625" bestFit="1" customWidth="1"/>
    <col min="12" max="12" width="12.42578125" bestFit="1" customWidth="1"/>
    <col min="13" max="13" width="23.85546875" bestFit="1" customWidth="1"/>
    <col min="14" max="14" width="16.140625" bestFit="1" customWidth="1"/>
    <col min="15" max="15" width="10" bestFit="1" customWidth="1"/>
    <col min="16" max="16" width="13.140625" bestFit="1" customWidth="1"/>
    <col min="17" max="17" width="9" bestFit="1" customWidth="1"/>
    <col min="18" max="18" width="38" style="60" bestFit="1" customWidth="1"/>
    <col min="19" max="19" width="21.28515625" bestFit="1" customWidth="1"/>
    <col min="20" max="20" width="23.42578125" bestFit="1" customWidth="1"/>
    <col min="21" max="21" width="23.7109375" bestFit="1" customWidth="1"/>
    <col min="22" max="22" width="15.85546875" bestFit="1" customWidth="1"/>
    <col min="23" max="23" width="33.28515625" bestFit="1" customWidth="1"/>
    <col min="24" max="24" width="13" bestFit="1" customWidth="1"/>
    <col min="25" max="25" width="34" bestFit="1" customWidth="1"/>
    <col min="26" max="26" width="18.85546875" bestFit="1" customWidth="1"/>
    <col min="27" max="27" width="21.28515625" bestFit="1" customWidth="1"/>
    <col min="28" max="28" width="45" bestFit="1" customWidth="1"/>
    <col min="29" max="29" width="12" bestFit="1" customWidth="1"/>
    <col min="30" max="30" width="33.140625" style="62" bestFit="1" customWidth="1"/>
    <col min="31" max="31" width="29.5703125" bestFit="1" customWidth="1"/>
    <col min="32" max="32" width="38.140625" bestFit="1" customWidth="1"/>
    <col min="33" max="33" width="22.42578125" bestFit="1" customWidth="1"/>
    <col min="34" max="34" width="50" bestFit="1" customWidth="1"/>
    <col min="35" max="35" width="13.140625" bestFit="1" customWidth="1"/>
    <col min="36" max="36" width="38.140625" style="62" bestFit="1" customWidth="1"/>
    <col min="37" max="37" width="48.85546875" style="60" bestFit="1" customWidth="1"/>
    <col min="38" max="38" width="26.42578125" bestFit="1" customWidth="1"/>
    <col min="39" max="39" width="23.28515625" bestFit="1" customWidth="1"/>
    <col min="40" max="40" width="23.5703125" bestFit="1" customWidth="1"/>
    <col min="41" max="41" width="15.85546875" bestFit="1" customWidth="1"/>
    <col min="42" max="42" width="32.140625" bestFit="1" customWidth="1"/>
    <col min="43" max="43" width="12.85546875" bestFit="1" customWidth="1"/>
    <col min="44" max="44" width="33.85546875" bestFit="1" customWidth="1"/>
    <col min="45" max="45" width="24" bestFit="1" customWidth="1"/>
    <col min="46" max="46" width="21" bestFit="1" customWidth="1"/>
    <col min="47" max="47" width="44.85546875" bestFit="1" customWidth="1"/>
    <col min="48" max="48" width="12" bestFit="1" customWidth="1"/>
    <col min="49" max="49" width="33" style="62" bestFit="1" customWidth="1"/>
    <col min="50" max="50" width="29.42578125" bestFit="1" customWidth="1"/>
    <col min="51" max="51" width="22.28515625" bestFit="1" customWidth="1"/>
    <col min="52" max="52" width="49.85546875" bestFit="1" customWidth="1"/>
    <col min="53" max="53" width="13" bestFit="1" customWidth="1"/>
    <col min="54" max="54" width="38" style="62" bestFit="1" customWidth="1"/>
    <col min="55" max="55" width="48.7109375" style="60" bestFit="1" customWidth="1"/>
  </cols>
  <sheetData>
    <row r="1" spans="1:55" x14ac:dyDescent="0.25">
      <c r="A1" s="37" t="s">
        <v>31</v>
      </c>
      <c r="B1" s="37" t="s">
        <v>1</v>
      </c>
      <c r="C1" s="37" t="s">
        <v>2</v>
      </c>
      <c r="D1" s="37" t="s">
        <v>3</v>
      </c>
      <c r="E1" s="37" t="s">
        <v>43</v>
      </c>
      <c r="F1" s="37" t="s">
        <v>441</v>
      </c>
      <c r="G1" s="37" t="s">
        <v>364</v>
      </c>
      <c r="H1" s="37" t="s">
        <v>442</v>
      </c>
      <c r="I1" s="37" t="s">
        <v>363</v>
      </c>
      <c r="J1" s="37" t="s">
        <v>443</v>
      </c>
      <c r="K1" s="37" t="s">
        <v>444</v>
      </c>
      <c r="L1" s="37" t="s">
        <v>368</v>
      </c>
      <c r="M1" s="37" t="s">
        <v>445</v>
      </c>
      <c r="N1" s="37" t="s">
        <v>446</v>
      </c>
      <c r="O1" s="37" t="s">
        <v>447</v>
      </c>
      <c r="P1" s="37" t="s">
        <v>378</v>
      </c>
      <c r="Q1" s="37" t="s">
        <v>379</v>
      </c>
      <c r="R1" s="59" t="s">
        <v>448</v>
      </c>
      <c r="S1" s="37" t="s">
        <v>386</v>
      </c>
      <c r="T1" s="37" t="s">
        <v>387</v>
      </c>
      <c r="U1" s="37" t="s">
        <v>388</v>
      </c>
      <c r="V1" s="37" t="s">
        <v>389</v>
      </c>
      <c r="W1" s="37" t="s">
        <v>390</v>
      </c>
      <c r="X1" s="37" t="s">
        <v>391</v>
      </c>
      <c r="Y1" s="37" t="s">
        <v>392</v>
      </c>
      <c r="Z1" s="37" t="s">
        <v>393</v>
      </c>
      <c r="AA1" s="37" t="s">
        <v>394</v>
      </c>
      <c r="AB1" s="37" t="s">
        <v>395</v>
      </c>
      <c r="AC1" s="37" t="s">
        <v>396</v>
      </c>
      <c r="AD1" s="61" t="s">
        <v>397</v>
      </c>
      <c r="AE1" s="37" t="s">
        <v>398</v>
      </c>
      <c r="AF1" s="37" t="s">
        <v>399</v>
      </c>
      <c r="AG1" s="37" t="s">
        <v>400</v>
      </c>
      <c r="AH1" s="37" t="s">
        <v>401</v>
      </c>
      <c r="AI1" s="37" t="s">
        <v>402</v>
      </c>
      <c r="AJ1" s="61" t="s">
        <v>403</v>
      </c>
      <c r="AK1" s="59" t="s">
        <v>404</v>
      </c>
      <c r="AL1" s="37" t="s">
        <v>405</v>
      </c>
      <c r="AM1" s="37" t="s">
        <v>406</v>
      </c>
      <c r="AN1" s="37" t="s">
        <v>407</v>
      </c>
      <c r="AO1" s="37" t="s">
        <v>408</v>
      </c>
      <c r="AP1" s="37" t="s">
        <v>409</v>
      </c>
      <c r="AQ1" s="37" t="s">
        <v>410</v>
      </c>
      <c r="AR1" s="37" t="s">
        <v>411</v>
      </c>
      <c r="AS1" s="37" t="s">
        <v>412</v>
      </c>
      <c r="AT1" s="37" t="s">
        <v>413</v>
      </c>
      <c r="AU1" s="37" t="s">
        <v>414</v>
      </c>
      <c r="AV1" s="37" t="s">
        <v>415</v>
      </c>
      <c r="AW1" s="61" t="s">
        <v>416</v>
      </c>
      <c r="AX1" s="37" t="s">
        <v>417</v>
      </c>
      <c r="AY1" s="37" t="s">
        <v>418</v>
      </c>
      <c r="AZ1" s="37" t="s">
        <v>419</v>
      </c>
      <c r="BA1" s="37" t="s">
        <v>420</v>
      </c>
      <c r="BB1" s="61" t="s">
        <v>421</v>
      </c>
      <c r="BC1" s="59" t="s">
        <v>422</v>
      </c>
    </row>
    <row r="2" spans="1:55" x14ac:dyDescent="0.25">
      <c r="A2">
        <v>2521</v>
      </c>
      <c r="B2" t="s">
        <v>99</v>
      </c>
      <c r="C2">
        <v>2016</v>
      </c>
      <c r="D2">
        <v>4</v>
      </c>
      <c r="E2" t="s">
        <v>51</v>
      </c>
      <c r="F2" t="s">
        <v>449</v>
      </c>
      <c r="G2" t="s">
        <v>84</v>
      </c>
      <c r="H2" t="s">
        <v>381</v>
      </c>
      <c r="I2" t="s">
        <v>427</v>
      </c>
      <c r="J2">
        <v>-4.6399156000000001</v>
      </c>
      <c r="K2" t="s">
        <v>440</v>
      </c>
      <c r="L2" t="s">
        <v>450</v>
      </c>
      <c r="M2">
        <v>0.15011157993331001</v>
      </c>
      <c r="N2">
        <v>0.69650506109988286</v>
      </c>
      <c r="O2">
        <v>31615.94</v>
      </c>
      <c r="P2">
        <v>1.5814806999999999E-5</v>
      </c>
      <c r="Q2">
        <v>1</v>
      </c>
      <c r="R2" s="60">
        <v>0.69650506109988286</v>
      </c>
      <c r="S2" t="s">
        <v>423</v>
      </c>
      <c r="T2" t="s">
        <v>424</v>
      </c>
      <c r="U2" t="s">
        <v>425</v>
      </c>
      <c r="V2" t="s">
        <v>26</v>
      </c>
      <c r="W2">
        <v>111.133</v>
      </c>
      <c r="X2">
        <v>0.99656169611782708</v>
      </c>
      <c r="Y2">
        <v>110.7508909746625</v>
      </c>
      <c r="Z2">
        <v>691.73</v>
      </c>
      <c r="AA2">
        <v>1</v>
      </c>
      <c r="AB2">
        <v>76.609713813903269</v>
      </c>
      <c r="AC2">
        <v>1.0244</v>
      </c>
      <c r="AD2" s="62">
        <v>78.478999999999999</v>
      </c>
      <c r="AE2">
        <v>8.9176000000000002</v>
      </c>
      <c r="AF2">
        <v>8.8869385813003348</v>
      </c>
      <c r="AG2">
        <v>1</v>
      </c>
      <c r="AH2">
        <v>6147.3620248428806</v>
      </c>
      <c r="AI2">
        <v>1.0034718777899021</v>
      </c>
      <c r="AJ2" s="62">
        <v>6168.7048999999997</v>
      </c>
      <c r="AK2" s="60">
        <v>4296.5341832816466</v>
      </c>
      <c r="AL2" t="s">
        <v>423</v>
      </c>
      <c r="AM2" t="s">
        <v>424</v>
      </c>
      <c r="AN2" t="s">
        <v>425</v>
      </c>
      <c r="AO2" t="s">
        <v>26</v>
      </c>
      <c r="AP2">
        <v>111.133</v>
      </c>
      <c r="AQ2">
        <v>0.99656169611782708</v>
      </c>
      <c r="AR2">
        <v>110.7508909746625</v>
      </c>
      <c r="AS2">
        <v>691.73</v>
      </c>
      <c r="AT2">
        <v>1</v>
      </c>
      <c r="AU2">
        <v>76.609713813903269</v>
      </c>
      <c r="AV2">
        <v>1.0244</v>
      </c>
      <c r="AW2" s="62">
        <v>78.478999999999999</v>
      </c>
      <c r="AX2">
        <v>8.9176000000000002</v>
      </c>
      <c r="AY2">
        <v>1</v>
      </c>
      <c r="AZ2">
        <v>6147.3620248428806</v>
      </c>
      <c r="BA2">
        <v>1.0034718777899021</v>
      </c>
      <c r="BB2" s="62">
        <v>6168.7048999999997</v>
      </c>
      <c r="BC2" s="60">
        <v>4296.5341832816466</v>
      </c>
    </row>
    <row r="3" spans="1:55" x14ac:dyDescent="0.25">
      <c r="A3">
        <v>2522</v>
      </c>
      <c r="B3" t="s">
        <v>99</v>
      </c>
      <c r="C3">
        <v>2016</v>
      </c>
      <c r="D3">
        <v>4</v>
      </c>
      <c r="E3" t="s">
        <v>51</v>
      </c>
      <c r="F3" t="s">
        <v>449</v>
      </c>
      <c r="G3" t="s">
        <v>84</v>
      </c>
      <c r="H3" t="s">
        <v>381</v>
      </c>
      <c r="I3" t="s">
        <v>427</v>
      </c>
      <c r="J3">
        <v>-4.6399156000000001</v>
      </c>
      <c r="K3" t="s">
        <v>440</v>
      </c>
      <c r="L3" t="s">
        <v>384</v>
      </c>
      <c r="M3">
        <v>4.5811354346740003E-2</v>
      </c>
      <c r="N3">
        <v>0.21256081757663339</v>
      </c>
      <c r="O3">
        <v>31615.94</v>
      </c>
      <c r="P3">
        <v>1.5814806999999999E-5</v>
      </c>
      <c r="Q3">
        <v>1</v>
      </c>
      <c r="R3" s="60">
        <v>0.21256081757663339</v>
      </c>
      <c r="S3" t="s">
        <v>423</v>
      </c>
      <c r="T3" t="s">
        <v>424</v>
      </c>
      <c r="U3" t="s">
        <v>425</v>
      </c>
      <c r="V3" t="s">
        <v>81</v>
      </c>
      <c r="W3">
        <v>111.133</v>
      </c>
      <c r="X3">
        <v>0.99656169611782708</v>
      </c>
      <c r="Y3">
        <v>110.7508909746625</v>
      </c>
      <c r="Z3">
        <v>691.73</v>
      </c>
      <c r="AA3">
        <v>1</v>
      </c>
      <c r="AB3">
        <v>76.609713813903269</v>
      </c>
      <c r="AC3">
        <v>0.89239999999999997</v>
      </c>
      <c r="AD3" s="62">
        <v>68.367000000000004</v>
      </c>
      <c r="AE3">
        <v>8.9176000000000002</v>
      </c>
      <c r="AF3">
        <v>8.8869385813003348</v>
      </c>
      <c r="AG3">
        <v>1</v>
      </c>
      <c r="AH3">
        <v>6147.3620248428806</v>
      </c>
      <c r="AI3">
        <v>0.98143450184501846</v>
      </c>
      <c r="AJ3" s="62">
        <v>6033.2331999999997</v>
      </c>
      <c r="AK3" s="60">
        <v>1282.428981622488</v>
      </c>
      <c r="AL3" t="s">
        <v>423</v>
      </c>
      <c r="AM3" t="s">
        <v>424</v>
      </c>
      <c r="AN3" t="s">
        <v>425</v>
      </c>
      <c r="AO3" t="s">
        <v>81</v>
      </c>
      <c r="AP3">
        <v>111.133</v>
      </c>
      <c r="AQ3">
        <v>0.99656169611782708</v>
      </c>
      <c r="AR3">
        <v>110.7508909746625</v>
      </c>
      <c r="AS3">
        <v>691.73</v>
      </c>
      <c r="AT3">
        <v>1</v>
      </c>
      <c r="AU3">
        <v>76.609713813903269</v>
      </c>
      <c r="AV3">
        <v>0.89239999999999997</v>
      </c>
      <c r="AW3" s="62">
        <v>68.367000000000004</v>
      </c>
      <c r="AX3">
        <v>8.9176000000000002</v>
      </c>
      <c r="AY3">
        <v>1</v>
      </c>
      <c r="AZ3">
        <v>6147.3620248428806</v>
      </c>
      <c r="BA3">
        <v>0.98143450184501846</v>
      </c>
      <c r="BB3" s="62">
        <v>6033.2331999999997</v>
      </c>
      <c r="BC3" s="60">
        <v>1282.428981622488</v>
      </c>
    </row>
    <row r="4" spans="1:55" x14ac:dyDescent="0.25">
      <c r="A4">
        <v>2523</v>
      </c>
      <c r="B4" t="s">
        <v>99</v>
      </c>
      <c r="C4">
        <v>2016</v>
      </c>
      <c r="D4">
        <v>4</v>
      </c>
      <c r="E4" t="s">
        <v>51</v>
      </c>
      <c r="F4" t="s">
        <v>449</v>
      </c>
      <c r="G4" t="s">
        <v>84</v>
      </c>
      <c r="H4" t="s">
        <v>381</v>
      </c>
      <c r="I4" t="s">
        <v>427</v>
      </c>
      <c r="J4">
        <v>-4.6399156000000001</v>
      </c>
      <c r="K4" t="s">
        <v>440</v>
      </c>
      <c r="L4" t="s">
        <v>385</v>
      </c>
      <c r="M4">
        <v>0.43232641346992001</v>
      </c>
      <c r="N4">
        <v>2.0059580690759309</v>
      </c>
      <c r="O4">
        <v>31615.94</v>
      </c>
      <c r="P4">
        <v>1.5814806999999999E-5</v>
      </c>
      <c r="Q4">
        <v>1</v>
      </c>
      <c r="R4" s="60">
        <v>2.0059580690759309</v>
      </c>
      <c r="S4" t="s">
        <v>423</v>
      </c>
      <c r="T4" t="s">
        <v>424</v>
      </c>
      <c r="U4" t="s">
        <v>425</v>
      </c>
      <c r="V4" t="s">
        <v>27</v>
      </c>
      <c r="W4">
        <v>111.133</v>
      </c>
      <c r="X4">
        <v>0.99656169611782708</v>
      </c>
      <c r="Y4">
        <v>110.7508909746625</v>
      </c>
      <c r="Z4">
        <v>691.73</v>
      </c>
      <c r="AA4">
        <v>1</v>
      </c>
      <c r="AB4">
        <v>76.609713813903269</v>
      </c>
      <c r="AC4">
        <v>1.008</v>
      </c>
      <c r="AD4" s="62">
        <v>77.222999999999999</v>
      </c>
      <c r="AE4">
        <v>8.9176000000000002</v>
      </c>
      <c r="AF4">
        <v>8.8869385813003348</v>
      </c>
      <c r="AG4">
        <v>1</v>
      </c>
      <c r="AH4">
        <v>6147.3620248428806</v>
      </c>
      <c r="AI4">
        <v>1.01312551271534</v>
      </c>
      <c r="AJ4" s="62">
        <v>6228.0492999999997</v>
      </c>
      <c r="AK4" s="60">
        <v>12493.205747937711</v>
      </c>
      <c r="AL4" t="s">
        <v>423</v>
      </c>
      <c r="AM4" t="s">
        <v>424</v>
      </c>
      <c r="AN4" t="s">
        <v>425</v>
      </c>
      <c r="AO4" t="s">
        <v>27</v>
      </c>
      <c r="AP4">
        <v>111.133</v>
      </c>
      <c r="AQ4">
        <v>0.99656169611782708</v>
      </c>
      <c r="AR4">
        <v>110.7508909746625</v>
      </c>
      <c r="AS4">
        <v>691.73</v>
      </c>
      <c r="AT4">
        <v>1</v>
      </c>
      <c r="AU4">
        <v>76.609713813903269</v>
      </c>
      <c r="AV4">
        <v>1.008</v>
      </c>
      <c r="AW4" s="62">
        <v>77.222999999999999</v>
      </c>
      <c r="AX4">
        <v>8.9176000000000002</v>
      </c>
      <c r="AY4">
        <v>1</v>
      </c>
      <c r="AZ4">
        <v>6147.3620248428806</v>
      </c>
      <c r="BA4">
        <v>1.01312551271534</v>
      </c>
      <c r="BB4" s="62">
        <v>6228.0492999999997</v>
      </c>
      <c r="BC4" s="60">
        <v>12493.205747937711</v>
      </c>
    </row>
    <row r="5" spans="1:55" x14ac:dyDescent="0.25">
      <c r="A5">
        <v>2524</v>
      </c>
      <c r="B5" t="s">
        <v>99</v>
      </c>
      <c r="C5">
        <v>2016</v>
      </c>
      <c r="D5">
        <v>4</v>
      </c>
      <c r="E5" t="s">
        <v>51</v>
      </c>
      <c r="F5" t="s">
        <v>449</v>
      </c>
      <c r="G5" t="s">
        <v>84</v>
      </c>
      <c r="H5" t="s">
        <v>381</v>
      </c>
      <c r="I5" t="s">
        <v>427</v>
      </c>
      <c r="J5">
        <v>-4.6399156000000001</v>
      </c>
      <c r="K5" t="s">
        <v>440</v>
      </c>
      <c r="L5" t="s">
        <v>451</v>
      </c>
      <c r="M5">
        <v>1.6825115802299999E-3</v>
      </c>
      <c r="N5">
        <v>7.8067117241054033E-3</v>
      </c>
      <c r="O5">
        <v>31615.94</v>
      </c>
      <c r="P5">
        <v>1.5814806999999999E-5</v>
      </c>
      <c r="Q5">
        <v>1</v>
      </c>
      <c r="R5" s="60">
        <v>7.8067117241054033E-3</v>
      </c>
      <c r="S5" t="s">
        <v>423</v>
      </c>
      <c r="T5" t="s">
        <v>424</v>
      </c>
      <c r="U5" t="s">
        <v>425</v>
      </c>
      <c r="V5" t="s">
        <v>91</v>
      </c>
      <c r="W5">
        <v>111.133</v>
      </c>
      <c r="X5">
        <v>0.99656169611782708</v>
      </c>
      <c r="Y5">
        <v>110.7508909746625</v>
      </c>
      <c r="Z5">
        <v>691.73</v>
      </c>
      <c r="AA5">
        <v>1</v>
      </c>
      <c r="AB5">
        <v>76.609713813903269</v>
      </c>
      <c r="AC5">
        <v>1.0368999999999999</v>
      </c>
      <c r="AD5" s="62">
        <v>79.436999999999998</v>
      </c>
      <c r="AE5">
        <v>8.9176000000000002</v>
      </c>
      <c r="AF5">
        <v>8.8869385813003348</v>
      </c>
      <c r="AG5">
        <v>1</v>
      </c>
      <c r="AH5">
        <v>6147.3620248428806</v>
      </c>
      <c r="AI5">
        <v>0.98272159312768448</v>
      </c>
      <c r="AJ5" s="62">
        <v>6041.1454000000003</v>
      </c>
      <c r="AK5" s="60">
        <v>47.161480621205428</v>
      </c>
      <c r="AL5" t="s">
        <v>423</v>
      </c>
      <c r="AM5" t="s">
        <v>424</v>
      </c>
      <c r="AN5" t="s">
        <v>425</v>
      </c>
      <c r="AO5" t="s">
        <v>91</v>
      </c>
      <c r="AP5">
        <v>111.133</v>
      </c>
      <c r="AQ5">
        <v>0.99656169611782708</v>
      </c>
      <c r="AR5">
        <v>110.7508909746625</v>
      </c>
      <c r="AS5">
        <v>691.73</v>
      </c>
      <c r="AT5">
        <v>1</v>
      </c>
      <c r="AU5">
        <v>76.609713813903269</v>
      </c>
      <c r="AV5">
        <v>1.0368999999999999</v>
      </c>
      <c r="AW5" s="62">
        <v>79.436999999999998</v>
      </c>
      <c r="AX5">
        <v>8.9176000000000002</v>
      </c>
      <c r="AY5">
        <v>1</v>
      </c>
      <c r="AZ5">
        <v>6147.3620248428806</v>
      </c>
      <c r="BA5">
        <v>0.98272159312768448</v>
      </c>
      <c r="BB5" s="62">
        <v>6041.1454000000003</v>
      </c>
      <c r="BC5" s="60">
        <v>47.161480621205428</v>
      </c>
    </row>
    <row r="6" spans="1:55" x14ac:dyDescent="0.25">
      <c r="A6">
        <v>2525</v>
      </c>
      <c r="B6" t="s">
        <v>99</v>
      </c>
      <c r="C6">
        <v>2016</v>
      </c>
      <c r="D6">
        <v>4</v>
      </c>
      <c r="E6" t="s">
        <v>51</v>
      </c>
      <c r="F6" t="s">
        <v>449</v>
      </c>
      <c r="G6" t="s">
        <v>84</v>
      </c>
      <c r="H6" t="s">
        <v>381</v>
      </c>
      <c r="I6" t="s">
        <v>427</v>
      </c>
      <c r="J6">
        <v>-4.6399156000000001</v>
      </c>
      <c r="K6" t="s">
        <v>440</v>
      </c>
      <c r="L6" t="s">
        <v>452</v>
      </c>
      <c r="M6">
        <v>1.53682162831E-3</v>
      </c>
      <c r="N6">
        <v>7.1307226437908782E-3</v>
      </c>
      <c r="O6">
        <v>31615.94</v>
      </c>
      <c r="P6">
        <v>1.5814806999999999E-5</v>
      </c>
      <c r="Q6">
        <v>1</v>
      </c>
      <c r="R6" s="60">
        <v>7.1307226437908782E-3</v>
      </c>
      <c r="S6" t="s">
        <v>423</v>
      </c>
      <c r="T6" t="s">
        <v>424</v>
      </c>
      <c r="U6" t="s">
        <v>425</v>
      </c>
      <c r="V6" t="s">
        <v>28</v>
      </c>
      <c r="W6">
        <v>111.133</v>
      </c>
      <c r="X6">
        <v>0.99656169611782708</v>
      </c>
      <c r="Y6">
        <v>110.7508909746625</v>
      </c>
      <c r="Z6">
        <v>691.73</v>
      </c>
      <c r="AA6">
        <v>1</v>
      </c>
      <c r="AB6">
        <v>76.609713813903269</v>
      </c>
      <c r="AC6">
        <v>1.0342</v>
      </c>
      <c r="AD6" s="62">
        <v>79.23</v>
      </c>
      <c r="AE6">
        <v>8.9176000000000002</v>
      </c>
      <c r="AF6">
        <v>8.8869385813003348</v>
      </c>
      <c r="AG6">
        <v>1</v>
      </c>
      <c r="AH6">
        <v>6147.3620248428806</v>
      </c>
      <c r="AI6">
        <v>0.98050797401063194</v>
      </c>
      <c r="AJ6" s="62">
        <v>6027.5375000000004</v>
      </c>
      <c r="AK6" s="60">
        <v>42.980698137548657</v>
      </c>
      <c r="AL6" t="s">
        <v>423</v>
      </c>
      <c r="AM6" t="s">
        <v>424</v>
      </c>
      <c r="AN6" t="s">
        <v>425</v>
      </c>
      <c r="AO6" t="s">
        <v>28</v>
      </c>
      <c r="AP6">
        <v>111.133</v>
      </c>
      <c r="AQ6">
        <v>0.99656169611782708</v>
      </c>
      <c r="AR6">
        <v>110.7508909746625</v>
      </c>
      <c r="AS6">
        <v>691.73</v>
      </c>
      <c r="AT6">
        <v>1</v>
      </c>
      <c r="AU6">
        <v>76.609713813903269</v>
      </c>
      <c r="AV6">
        <v>1.0342</v>
      </c>
      <c r="AW6" s="62">
        <v>79.23</v>
      </c>
      <c r="AX6">
        <v>8.9176000000000002</v>
      </c>
      <c r="AY6">
        <v>1</v>
      </c>
      <c r="AZ6">
        <v>6147.3620248428806</v>
      </c>
      <c r="BA6">
        <v>0.98050797401063194</v>
      </c>
      <c r="BB6" s="62">
        <v>6027.5375000000004</v>
      </c>
      <c r="BC6" s="60">
        <v>42.980698137548657</v>
      </c>
    </row>
    <row r="7" spans="1:55" x14ac:dyDescent="0.25">
      <c r="A7">
        <v>2526</v>
      </c>
      <c r="B7" t="s">
        <v>99</v>
      </c>
      <c r="C7">
        <v>2016</v>
      </c>
      <c r="D7">
        <v>4</v>
      </c>
      <c r="E7" t="s">
        <v>51</v>
      </c>
      <c r="F7" t="s">
        <v>449</v>
      </c>
      <c r="G7" t="s">
        <v>84</v>
      </c>
      <c r="H7" t="s">
        <v>87</v>
      </c>
      <c r="I7" t="s">
        <v>427</v>
      </c>
      <c r="J7">
        <v>-0.9543722</v>
      </c>
      <c r="K7" t="s">
        <v>440</v>
      </c>
      <c r="L7" t="s">
        <v>450</v>
      </c>
      <c r="M7">
        <v>0.26601384014995</v>
      </c>
      <c r="N7">
        <v>0.25387621335978872</v>
      </c>
      <c r="O7">
        <v>31615.94</v>
      </c>
      <c r="P7">
        <v>1.5814806999999999E-5</v>
      </c>
      <c r="Q7">
        <v>1</v>
      </c>
      <c r="R7" s="60">
        <v>0.25387621335978872</v>
      </c>
      <c r="S7" t="s">
        <v>423</v>
      </c>
      <c r="T7" t="s">
        <v>424</v>
      </c>
      <c r="U7" t="s">
        <v>425</v>
      </c>
      <c r="V7" t="s">
        <v>26</v>
      </c>
      <c r="W7">
        <v>111.133</v>
      </c>
      <c r="X7">
        <v>0.99656169611782708</v>
      </c>
      <c r="Y7">
        <v>110.7508909746625</v>
      </c>
      <c r="Z7">
        <v>691.73</v>
      </c>
      <c r="AA7">
        <v>1</v>
      </c>
      <c r="AB7">
        <v>76.609713813903269</v>
      </c>
      <c r="AC7">
        <v>1.0244</v>
      </c>
      <c r="AD7" s="62">
        <v>78.478999999999999</v>
      </c>
      <c r="AE7">
        <v>8.9176000000000002</v>
      </c>
      <c r="AF7">
        <v>8.8869385813003348</v>
      </c>
      <c r="AG7">
        <v>1</v>
      </c>
      <c r="AH7">
        <v>6147.3620248428806</v>
      </c>
      <c r="AI7">
        <v>1.0034718777899021</v>
      </c>
      <c r="AJ7" s="62">
        <v>6168.7048999999997</v>
      </c>
      <c r="AK7" s="60">
        <v>1566.087441345974</v>
      </c>
      <c r="AL7" t="s">
        <v>423</v>
      </c>
      <c r="AM7" t="s">
        <v>424</v>
      </c>
      <c r="AN7" t="s">
        <v>425</v>
      </c>
      <c r="AO7" t="s">
        <v>26</v>
      </c>
      <c r="AP7">
        <v>111.133</v>
      </c>
      <c r="AQ7">
        <v>0.99656169611782708</v>
      </c>
      <c r="AR7">
        <v>110.7508909746625</v>
      </c>
      <c r="AS7">
        <v>691.73</v>
      </c>
      <c r="AT7">
        <v>1</v>
      </c>
      <c r="AU7">
        <v>76.609713813903269</v>
      </c>
      <c r="AV7">
        <v>1.0244</v>
      </c>
      <c r="AW7" s="62">
        <v>78.478999999999999</v>
      </c>
      <c r="AX7">
        <v>8.9176000000000002</v>
      </c>
      <c r="AY7">
        <v>1</v>
      </c>
      <c r="AZ7">
        <v>6147.3620248428806</v>
      </c>
      <c r="BA7">
        <v>1.0034718777899021</v>
      </c>
      <c r="BB7" s="62">
        <v>6168.7048999999997</v>
      </c>
      <c r="BC7" s="60">
        <v>1566.087441345974</v>
      </c>
    </row>
    <row r="8" spans="1:55" x14ac:dyDescent="0.25">
      <c r="A8">
        <v>2527</v>
      </c>
      <c r="B8" t="s">
        <v>99</v>
      </c>
      <c r="C8">
        <v>2016</v>
      </c>
      <c r="D8">
        <v>4</v>
      </c>
      <c r="E8" t="s">
        <v>51</v>
      </c>
      <c r="F8" t="s">
        <v>449</v>
      </c>
      <c r="G8" t="s">
        <v>84</v>
      </c>
      <c r="H8" t="s">
        <v>87</v>
      </c>
      <c r="I8" t="s">
        <v>427</v>
      </c>
      <c r="J8">
        <v>-0.9543722</v>
      </c>
      <c r="K8" t="s">
        <v>440</v>
      </c>
      <c r="L8" t="s">
        <v>384</v>
      </c>
      <c r="M8">
        <v>3.9509559941419997E-2</v>
      </c>
      <c r="N8">
        <v>3.7706825568869513E-2</v>
      </c>
      <c r="O8">
        <v>31615.94</v>
      </c>
      <c r="P8">
        <v>1.5814806999999999E-5</v>
      </c>
      <c r="Q8">
        <v>1</v>
      </c>
      <c r="R8" s="60">
        <v>3.7706825568869513E-2</v>
      </c>
      <c r="S8" t="s">
        <v>423</v>
      </c>
      <c r="T8" t="s">
        <v>424</v>
      </c>
      <c r="U8" t="s">
        <v>425</v>
      </c>
      <c r="V8" t="s">
        <v>81</v>
      </c>
      <c r="W8">
        <v>111.133</v>
      </c>
      <c r="X8">
        <v>0.99656169611782708</v>
      </c>
      <c r="Y8">
        <v>110.7508909746625</v>
      </c>
      <c r="Z8">
        <v>691.73</v>
      </c>
      <c r="AA8">
        <v>1</v>
      </c>
      <c r="AB8">
        <v>76.609713813903269</v>
      </c>
      <c r="AC8">
        <v>0.89239999999999997</v>
      </c>
      <c r="AD8" s="62">
        <v>68.367000000000004</v>
      </c>
      <c r="AE8">
        <v>8.9176000000000002</v>
      </c>
      <c r="AF8">
        <v>8.8869385813003348</v>
      </c>
      <c r="AG8">
        <v>1</v>
      </c>
      <c r="AH8">
        <v>6147.3620248428806</v>
      </c>
      <c r="AI8">
        <v>0.98143450184501846</v>
      </c>
      <c r="AJ8" s="62">
        <v>6033.2331999999997</v>
      </c>
      <c r="AK8" s="60">
        <v>227.4940718887124</v>
      </c>
      <c r="AL8" t="s">
        <v>423</v>
      </c>
      <c r="AM8" t="s">
        <v>424</v>
      </c>
      <c r="AN8" t="s">
        <v>425</v>
      </c>
      <c r="AO8" t="s">
        <v>81</v>
      </c>
      <c r="AP8">
        <v>111.133</v>
      </c>
      <c r="AQ8">
        <v>0.99656169611782708</v>
      </c>
      <c r="AR8">
        <v>110.7508909746625</v>
      </c>
      <c r="AS8">
        <v>691.73</v>
      </c>
      <c r="AT8">
        <v>1</v>
      </c>
      <c r="AU8">
        <v>76.609713813903269</v>
      </c>
      <c r="AV8">
        <v>0.89239999999999997</v>
      </c>
      <c r="AW8" s="62">
        <v>68.367000000000004</v>
      </c>
      <c r="AX8">
        <v>8.9176000000000002</v>
      </c>
      <c r="AY8">
        <v>1</v>
      </c>
      <c r="AZ8">
        <v>6147.3620248428806</v>
      </c>
      <c r="BA8">
        <v>0.98143450184501846</v>
      </c>
      <c r="BB8" s="62">
        <v>6033.2331999999997</v>
      </c>
      <c r="BC8" s="60">
        <v>227.4940718887124</v>
      </c>
    </row>
    <row r="9" spans="1:55" x14ac:dyDescent="0.25">
      <c r="A9">
        <v>2528</v>
      </c>
      <c r="B9" t="s">
        <v>99</v>
      </c>
      <c r="C9">
        <v>2016</v>
      </c>
      <c r="D9">
        <v>4</v>
      </c>
      <c r="E9" t="s">
        <v>51</v>
      </c>
      <c r="F9" t="s">
        <v>449</v>
      </c>
      <c r="G9" t="s">
        <v>84</v>
      </c>
      <c r="H9" t="s">
        <v>87</v>
      </c>
      <c r="I9" t="s">
        <v>427</v>
      </c>
      <c r="J9">
        <v>-0.9543722</v>
      </c>
      <c r="K9" t="s">
        <v>440</v>
      </c>
      <c r="L9" t="s">
        <v>385</v>
      </c>
      <c r="M9">
        <v>0.39737542925016001</v>
      </c>
      <c r="N9">
        <v>0.37924406190062732</v>
      </c>
      <c r="O9">
        <v>31615.94</v>
      </c>
      <c r="P9">
        <v>1.5814806999999999E-5</v>
      </c>
      <c r="Q9">
        <v>1</v>
      </c>
      <c r="R9" s="60">
        <v>0.37924406190062732</v>
      </c>
      <c r="S9" t="s">
        <v>423</v>
      </c>
      <c r="T9" t="s">
        <v>424</v>
      </c>
      <c r="U9" t="s">
        <v>425</v>
      </c>
      <c r="V9" t="s">
        <v>27</v>
      </c>
      <c r="W9">
        <v>111.133</v>
      </c>
      <c r="X9">
        <v>0.99656169611782708</v>
      </c>
      <c r="Y9">
        <v>110.7508909746625</v>
      </c>
      <c r="Z9">
        <v>691.73</v>
      </c>
      <c r="AA9">
        <v>1</v>
      </c>
      <c r="AB9">
        <v>76.609713813903269</v>
      </c>
      <c r="AC9">
        <v>1.008</v>
      </c>
      <c r="AD9" s="62">
        <v>77.222999999999999</v>
      </c>
      <c r="AE9">
        <v>8.9176000000000002</v>
      </c>
      <c r="AF9">
        <v>8.8869385813003348</v>
      </c>
      <c r="AG9">
        <v>1</v>
      </c>
      <c r="AH9">
        <v>6147.3620248428806</v>
      </c>
      <c r="AI9">
        <v>1.01312551271534</v>
      </c>
      <c r="AJ9" s="62">
        <v>6228.0492999999997</v>
      </c>
      <c r="AK9" s="60">
        <v>2361.950714249358</v>
      </c>
      <c r="AL9" t="s">
        <v>423</v>
      </c>
      <c r="AM9" t="s">
        <v>424</v>
      </c>
      <c r="AN9" t="s">
        <v>425</v>
      </c>
      <c r="AO9" t="s">
        <v>27</v>
      </c>
      <c r="AP9">
        <v>111.133</v>
      </c>
      <c r="AQ9">
        <v>0.99656169611782708</v>
      </c>
      <c r="AR9">
        <v>110.7508909746625</v>
      </c>
      <c r="AS9">
        <v>691.73</v>
      </c>
      <c r="AT9">
        <v>1</v>
      </c>
      <c r="AU9">
        <v>76.609713813903269</v>
      </c>
      <c r="AV9">
        <v>1.008</v>
      </c>
      <c r="AW9" s="62">
        <v>77.222999999999999</v>
      </c>
      <c r="AX9">
        <v>8.9176000000000002</v>
      </c>
      <c r="AY9">
        <v>1</v>
      </c>
      <c r="AZ9">
        <v>6147.3620248428806</v>
      </c>
      <c r="BA9">
        <v>1.01312551271534</v>
      </c>
      <c r="BB9" s="62">
        <v>6228.0492999999997</v>
      </c>
      <c r="BC9" s="60">
        <v>2361.950714249358</v>
      </c>
    </row>
    <row r="10" spans="1:55" x14ac:dyDescent="0.25">
      <c r="A10">
        <v>2529</v>
      </c>
      <c r="B10" t="s">
        <v>99</v>
      </c>
      <c r="C10">
        <v>2016</v>
      </c>
      <c r="D10">
        <v>4</v>
      </c>
      <c r="E10" t="s">
        <v>51</v>
      </c>
      <c r="F10" t="s">
        <v>449</v>
      </c>
      <c r="G10" t="s">
        <v>84</v>
      </c>
      <c r="H10" t="s">
        <v>87</v>
      </c>
      <c r="I10" t="s">
        <v>427</v>
      </c>
      <c r="J10">
        <v>-0.9543722</v>
      </c>
      <c r="K10" t="s">
        <v>440</v>
      </c>
      <c r="L10" t="s">
        <v>452</v>
      </c>
      <c r="M10">
        <v>8.4248020759000004E-4</v>
      </c>
      <c r="N10">
        <v>8.0403968760780315E-4</v>
      </c>
      <c r="O10">
        <v>31615.94</v>
      </c>
      <c r="P10">
        <v>1.5814806999999999E-5</v>
      </c>
      <c r="Q10">
        <v>1</v>
      </c>
      <c r="R10" s="60">
        <v>8.0403968760780315E-4</v>
      </c>
      <c r="S10" t="s">
        <v>423</v>
      </c>
      <c r="T10" t="s">
        <v>424</v>
      </c>
      <c r="U10" t="s">
        <v>425</v>
      </c>
      <c r="V10" t="s">
        <v>28</v>
      </c>
      <c r="W10">
        <v>111.133</v>
      </c>
      <c r="X10">
        <v>0.99656169611782708</v>
      </c>
      <c r="Y10">
        <v>110.7508909746625</v>
      </c>
      <c r="Z10">
        <v>691.73</v>
      </c>
      <c r="AA10">
        <v>1</v>
      </c>
      <c r="AB10">
        <v>76.609713813903269</v>
      </c>
      <c r="AC10">
        <v>1.0342</v>
      </c>
      <c r="AD10" s="62">
        <v>79.23</v>
      </c>
      <c r="AE10">
        <v>8.9176000000000002</v>
      </c>
      <c r="AF10">
        <v>8.8869385813003348</v>
      </c>
      <c r="AG10">
        <v>1</v>
      </c>
      <c r="AH10">
        <v>6147.3620248428806</v>
      </c>
      <c r="AI10">
        <v>0.98050797401063194</v>
      </c>
      <c r="AJ10" s="62">
        <v>6027.5375000000004</v>
      </c>
      <c r="AK10" s="60">
        <v>4.8463793685443193</v>
      </c>
      <c r="AL10" t="s">
        <v>423</v>
      </c>
      <c r="AM10" t="s">
        <v>424</v>
      </c>
      <c r="AN10" t="s">
        <v>425</v>
      </c>
      <c r="AO10" t="s">
        <v>28</v>
      </c>
      <c r="AP10">
        <v>111.133</v>
      </c>
      <c r="AQ10">
        <v>0.99656169611782708</v>
      </c>
      <c r="AR10">
        <v>110.7508909746625</v>
      </c>
      <c r="AS10">
        <v>691.73</v>
      </c>
      <c r="AT10">
        <v>1</v>
      </c>
      <c r="AU10">
        <v>76.609713813903269</v>
      </c>
      <c r="AV10">
        <v>1.0342</v>
      </c>
      <c r="AW10" s="62">
        <v>79.23</v>
      </c>
      <c r="AX10">
        <v>8.9176000000000002</v>
      </c>
      <c r="AY10">
        <v>1</v>
      </c>
      <c r="AZ10">
        <v>6147.3620248428806</v>
      </c>
      <c r="BA10">
        <v>0.98050797401063194</v>
      </c>
      <c r="BB10" s="62">
        <v>6027.5375000000004</v>
      </c>
      <c r="BC10" s="60">
        <v>4.8463793685443193</v>
      </c>
    </row>
    <row r="11" spans="1:55" x14ac:dyDescent="0.25">
      <c r="A11">
        <v>2530</v>
      </c>
      <c r="B11" t="s">
        <v>99</v>
      </c>
      <c r="C11">
        <v>2016</v>
      </c>
      <c r="D11">
        <v>4</v>
      </c>
      <c r="E11" t="s">
        <v>51</v>
      </c>
      <c r="F11" t="s">
        <v>449</v>
      </c>
      <c r="G11" t="s">
        <v>84</v>
      </c>
      <c r="H11" t="s">
        <v>59</v>
      </c>
      <c r="I11" t="s">
        <v>427</v>
      </c>
      <c r="J11">
        <v>-2.7798718999999998</v>
      </c>
      <c r="K11" t="s">
        <v>440</v>
      </c>
      <c r="L11" t="s">
        <v>450</v>
      </c>
      <c r="M11">
        <v>0.15931709696460999</v>
      </c>
      <c r="N11">
        <v>0.44288112039006822</v>
      </c>
      <c r="O11">
        <v>31615.94</v>
      </c>
      <c r="P11">
        <v>1.5814806999999999E-5</v>
      </c>
      <c r="Q11">
        <v>1</v>
      </c>
      <c r="R11" s="60">
        <v>0.44288112039006822</v>
      </c>
      <c r="S11" t="s">
        <v>423</v>
      </c>
      <c r="T11" t="s">
        <v>424</v>
      </c>
      <c r="U11" t="s">
        <v>425</v>
      </c>
      <c r="V11" t="s">
        <v>26</v>
      </c>
      <c r="W11">
        <v>111.133</v>
      </c>
      <c r="X11">
        <v>0.99656169611782708</v>
      </c>
      <c r="Y11">
        <v>110.7508909746625</v>
      </c>
      <c r="Z11">
        <v>691.73</v>
      </c>
      <c r="AA11">
        <v>1</v>
      </c>
      <c r="AB11">
        <v>76.609713813903269</v>
      </c>
      <c r="AC11">
        <v>1.0244</v>
      </c>
      <c r="AD11" s="62">
        <v>78.478999999999999</v>
      </c>
      <c r="AE11">
        <v>8.9176000000000002</v>
      </c>
      <c r="AF11">
        <v>8.8869385813003348</v>
      </c>
      <c r="AG11">
        <v>1</v>
      </c>
      <c r="AH11">
        <v>6147.3620248428806</v>
      </c>
      <c r="AI11">
        <v>1.0034718777899021</v>
      </c>
      <c r="AJ11" s="62">
        <v>6168.7048999999997</v>
      </c>
      <c r="AK11" s="60">
        <v>2732.0029374677042</v>
      </c>
      <c r="AL11" t="s">
        <v>423</v>
      </c>
      <c r="AM11" t="s">
        <v>424</v>
      </c>
      <c r="AN11" t="s">
        <v>425</v>
      </c>
      <c r="AO11" t="s">
        <v>26</v>
      </c>
      <c r="AP11">
        <v>111.133</v>
      </c>
      <c r="AQ11">
        <v>0.99656169611782708</v>
      </c>
      <c r="AR11">
        <v>110.7508909746625</v>
      </c>
      <c r="AS11">
        <v>691.73</v>
      </c>
      <c r="AT11">
        <v>1</v>
      </c>
      <c r="AU11">
        <v>76.609713813903269</v>
      </c>
      <c r="AV11">
        <v>1.0244</v>
      </c>
      <c r="AW11" s="62">
        <v>78.478999999999999</v>
      </c>
      <c r="AX11">
        <v>8.9176000000000002</v>
      </c>
      <c r="AY11">
        <v>1</v>
      </c>
      <c r="AZ11">
        <v>6147.3620248428806</v>
      </c>
      <c r="BA11">
        <v>1.0034718777899021</v>
      </c>
      <c r="BB11" s="62">
        <v>6168.7048999999997</v>
      </c>
      <c r="BC11" s="60">
        <v>2732.0029374677042</v>
      </c>
    </row>
    <row r="12" spans="1:55" x14ac:dyDescent="0.25">
      <c r="A12">
        <v>2531</v>
      </c>
      <c r="B12" t="s">
        <v>99</v>
      </c>
      <c r="C12">
        <v>2016</v>
      </c>
      <c r="D12">
        <v>4</v>
      </c>
      <c r="E12" t="s">
        <v>51</v>
      </c>
      <c r="F12" t="s">
        <v>449</v>
      </c>
      <c r="G12" t="s">
        <v>84</v>
      </c>
      <c r="H12" t="s">
        <v>59</v>
      </c>
      <c r="I12" t="s">
        <v>427</v>
      </c>
      <c r="J12">
        <v>-2.7798718999999998</v>
      </c>
      <c r="K12" t="s">
        <v>440</v>
      </c>
      <c r="L12" t="s">
        <v>384</v>
      </c>
      <c r="M12">
        <v>4.1785183859599999E-2</v>
      </c>
      <c r="N12">
        <v>0.11615745827678151</v>
      </c>
      <c r="O12">
        <v>31615.94</v>
      </c>
      <c r="P12">
        <v>1.5814806999999999E-5</v>
      </c>
      <c r="Q12">
        <v>1</v>
      </c>
      <c r="R12" s="60">
        <v>0.11615745827678151</v>
      </c>
      <c r="S12" t="s">
        <v>423</v>
      </c>
      <c r="T12" t="s">
        <v>424</v>
      </c>
      <c r="U12" t="s">
        <v>425</v>
      </c>
      <c r="V12" t="s">
        <v>81</v>
      </c>
      <c r="W12">
        <v>111.133</v>
      </c>
      <c r="X12">
        <v>0.99656169611782708</v>
      </c>
      <c r="Y12">
        <v>110.7508909746625</v>
      </c>
      <c r="Z12">
        <v>691.73</v>
      </c>
      <c r="AA12">
        <v>1</v>
      </c>
      <c r="AB12">
        <v>76.609713813903269</v>
      </c>
      <c r="AC12">
        <v>0.89239999999999997</v>
      </c>
      <c r="AD12" s="62">
        <v>68.367000000000004</v>
      </c>
      <c r="AE12">
        <v>8.9176000000000002</v>
      </c>
      <c r="AF12">
        <v>8.8869385813003348</v>
      </c>
      <c r="AG12">
        <v>1</v>
      </c>
      <c r="AH12">
        <v>6147.3620248428806</v>
      </c>
      <c r="AI12">
        <v>0.98143450184501846</v>
      </c>
      <c r="AJ12" s="62">
        <v>6033.2331999999997</v>
      </c>
      <c r="AK12" s="60">
        <v>700.80503370309305</v>
      </c>
      <c r="AL12" t="s">
        <v>423</v>
      </c>
      <c r="AM12" t="s">
        <v>424</v>
      </c>
      <c r="AN12" t="s">
        <v>425</v>
      </c>
      <c r="AO12" t="s">
        <v>81</v>
      </c>
      <c r="AP12">
        <v>111.133</v>
      </c>
      <c r="AQ12">
        <v>0.99656169611782708</v>
      </c>
      <c r="AR12">
        <v>110.7508909746625</v>
      </c>
      <c r="AS12">
        <v>691.73</v>
      </c>
      <c r="AT12">
        <v>1</v>
      </c>
      <c r="AU12">
        <v>76.609713813903269</v>
      </c>
      <c r="AV12">
        <v>0.89239999999999997</v>
      </c>
      <c r="AW12" s="62">
        <v>68.367000000000004</v>
      </c>
      <c r="AX12">
        <v>8.9176000000000002</v>
      </c>
      <c r="AY12">
        <v>1</v>
      </c>
      <c r="AZ12">
        <v>6147.3620248428806</v>
      </c>
      <c r="BA12">
        <v>0.98143450184501846</v>
      </c>
      <c r="BB12" s="62">
        <v>6033.2331999999997</v>
      </c>
      <c r="BC12" s="60">
        <v>700.80503370309305</v>
      </c>
    </row>
    <row r="13" spans="1:55" x14ac:dyDescent="0.25">
      <c r="A13">
        <v>2532</v>
      </c>
      <c r="B13" t="s">
        <v>99</v>
      </c>
      <c r="C13">
        <v>2016</v>
      </c>
      <c r="D13">
        <v>4</v>
      </c>
      <c r="E13" t="s">
        <v>51</v>
      </c>
      <c r="F13" t="s">
        <v>449</v>
      </c>
      <c r="G13" t="s">
        <v>84</v>
      </c>
      <c r="H13" t="s">
        <v>59</v>
      </c>
      <c r="I13" t="s">
        <v>427</v>
      </c>
      <c r="J13">
        <v>-2.7798718999999998</v>
      </c>
      <c r="K13" t="s">
        <v>440</v>
      </c>
      <c r="L13" t="s">
        <v>385</v>
      </c>
      <c r="M13">
        <v>0.43497567483749999</v>
      </c>
      <c r="N13">
        <v>1.209176653885746</v>
      </c>
      <c r="O13">
        <v>31615.94</v>
      </c>
      <c r="P13">
        <v>1.5814806999999999E-5</v>
      </c>
      <c r="Q13">
        <v>1</v>
      </c>
      <c r="R13" s="60">
        <v>1.209176653885746</v>
      </c>
      <c r="S13" t="s">
        <v>423</v>
      </c>
      <c r="T13" t="s">
        <v>424</v>
      </c>
      <c r="U13" t="s">
        <v>425</v>
      </c>
      <c r="V13" t="s">
        <v>27</v>
      </c>
      <c r="W13">
        <v>111.133</v>
      </c>
      <c r="X13">
        <v>0.99656169611782708</v>
      </c>
      <c r="Y13">
        <v>110.7508909746625</v>
      </c>
      <c r="Z13">
        <v>691.73</v>
      </c>
      <c r="AA13">
        <v>1</v>
      </c>
      <c r="AB13">
        <v>76.609713813903269</v>
      </c>
      <c r="AC13">
        <v>1.008</v>
      </c>
      <c r="AD13" s="62">
        <v>77.222999999999999</v>
      </c>
      <c r="AE13">
        <v>8.9176000000000002</v>
      </c>
      <c r="AF13">
        <v>8.8869385813003348</v>
      </c>
      <c r="AG13">
        <v>1</v>
      </c>
      <c r="AH13">
        <v>6147.3620248428806</v>
      </c>
      <c r="AI13">
        <v>1.01312551271534</v>
      </c>
      <c r="AJ13" s="62">
        <v>6228.0492999999997</v>
      </c>
      <c r="AK13" s="60">
        <v>7530.8118128094611</v>
      </c>
      <c r="AL13" t="s">
        <v>423</v>
      </c>
      <c r="AM13" t="s">
        <v>424</v>
      </c>
      <c r="AN13" t="s">
        <v>425</v>
      </c>
      <c r="AO13" t="s">
        <v>27</v>
      </c>
      <c r="AP13">
        <v>111.133</v>
      </c>
      <c r="AQ13">
        <v>0.99656169611782708</v>
      </c>
      <c r="AR13">
        <v>110.7508909746625</v>
      </c>
      <c r="AS13">
        <v>691.73</v>
      </c>
      <c r="AT13">
        <v>1</v>
      </c>
      <c r="AU13">
        <v>76.609713813903269</v>
      </c>
      <c r="AV13">
        <v>1.008</v>
      </c>
      <c r="AW13" s="62">
        <v>77.222999999999999</v>
      </c>
      <c r="AX13">
        <v>8.9176000000000002</v>
      </c>
      <c r="AY13">
        <v>1</v>
      </c>
      <c r="AZ13">
        <v>6147.3620248428806</v>
      </c>
      <c r="BA13">
        <v>1.01312551271534</v>
      </c>
      <c r="BB13" s="62">
        <v>6228.0492999999997</v>
      </c>
      <c r="BC13" s="60">
        <v>7530.8118128094611</v>
      </c>
    </row>
    <row r="14" spans="1:55" x14ac:dyDescent="0.25">
      <c r="A14">
        <v>2533</v>
      </c>
      <c r="B14" t="s">
        <v>99</v>
      </c>
      <c r="C14">
        <v>2016</v>
      </c>
      <c r="D14">
        <v>4</v>
      </c>
      <c r="E14" t="s">
        <v>51</v>
      </c>
      <c r="F14" t="s">
        <v>449</v>
      </c>
      <c r="G14" t="s">
        <v>84</v>
      </c>
      <c r="H14" t="s">
        <v>59</v>
      </c>
      <c r="I14" t="s">
        <v>427</v>
      </c>
      <c r="J14">
        <v>-2.7798718999999998</v>
      </c>
      <c r="K14" t="s">
        <v>440</v>
      </c>
      <c r="L14" t="s">
        <v>451</v>
      </c>
      <c r="M14">
        <v>1.7625750762999999E-3</v>
      </c>
      <c r="N14">
        <v>4.8997329190397908E-3</v>
      </c>
      <c r="O14">
        <v>31615.94</v>
      </c>
      <c r="P14">
        <v>1.5814806999999999E-5</v>
      </c>
      <c r="Q14">
        <v>1</v>
      </c>
      <c r="R14" s="60">
        <v>4.8997329190397908E-3</v>
      </c>
      <c r="S14" t="s">
        <v>423</v>
      </c>
      <c r="T14" t="s">
        <v>424</v>
      </c>
      <c r="U14" t="s">
        <v>425</v>
      </c>
      <c r="V14" t="s">
        <v>91</v>
      </c>
      <c r="W14">
        <v>111.133</v>
      </c>
      <c r="X14">
        <v>0.99656169611782708</v>
      </c>
      <c r="Y14">
        <v>110.7508909746625</v>
      </c>
      <c r="Z14">
        <v>691.73</v>
      </c>
      <c r="AA14">
        <v>1</v>
      </c>
      <c r="AB14">
        <v>76.609713813903269</v>
      </c>
      <c r="AC14">
        <v>1.0368999999999999</v>
      </c>
      <c r="AD14" s="62">
        <v>79.436999999999998</v>
      </c>
      <c r="AE14">
        <v>8.9176000000000002</v>
      </c>
      <c r="AF14">
        <v>8.8869385813003348</v>
      </c>
      <c r="AG14">
        <v>1</v>
      </c>
      <c r="AH14">
        <v>6147.3620248428806</v>
      </c>
      <c r="AI14">
        <v>0.98272159312768448</v>
      </c>
      <c r="AJ14" s="62">
        <v>6041.1454000000003</v>
      </c>
      <c r="AK14" s="60">
        <v>29.599998985085811</v>
      </c>
      <c r="AL14" t="s">
        <v>423</v>
      </c>
      <c r="AM14" t="s">
        <v>424</v>
      </c>
      <c r="AN14" t="s">
        <v>425</v>
      </c>
      <c r="AO14" t="s">
        <v>91</v>
      </c>
      <c r="AP14">
        <v>111.133</v>
      </c>
      <c r="AQ14">
        <v>0.99656169611782708</v>
      </c>
      <c r="AR14">
        <v>110.7508909746625</v>
      </c>
      <c r="AS14">
        <v>691.73</v>
      </c>
      <c r="AT14">
        <v>1</v>
      </c>
      <c r="AU14">
        <v>76.609713813903269</v>
      </c>
      <c r="AV14">
        <v>1.0368999999999999</v>
      </c>
      <c r="AW14" s="62">
        <v>79.436999999999998</v>
      </c>
      <c r="AX14">
        <v>8.9176000000000002</v>
      </c>
      <c r="AY14">
        <v>1</v>
      </c>
      <c r="AZ14">
        <v>6147.3620248428806</v>
      </c>
      <c r="BA14">
        <v>0.98272159312768448</v>
      </c>
      <c r="BB14" s="62">
        <v>6041.1454000000003</v>
      </c>
      <c r="BC14" s="60">
        <v>29.599998985085811</v>
      </c>
    </row>
    <row r="15" spans="1:55" x14ac:dyDescent="0.25">
      <c r="A15">
        <v>2534</v>
      </c>
      <c r="B15" t="s">
        <v>99</v>
      </c>
      <c r="C15">
        <v>2016</v>
      </c>
      <c r="D15">
        <v>4</v>
      </c>
      <c r="E15" t="s">
        <v>51</v>
      </c>
      <c r="F15" t="s">
        <v>449</v>
      </c>
      <c r="G15" t="s">
        <v>84</v>
      </c>
      <c r="H15" t="s">
        <v>59</v>
      </c>
      <c r="I15" t="s">
        <v>427</v>
      </c>
      <c r="J15">
        <v>-2.7798718999999998</v>
      </c>
      <c r="K15" t="s">
        <v>440</v>
      </c>
      <c r="L15" t="s">
        <v>452</v>
      </c>
      <c r="M15">
        <v>1.4858046103299999E-3</v>
      </c>
      <c r="N15">
        <v>4.1303464790715593E-3</v>
      </c>
      <c r="O15">
        <v>31615.94</v>
      </c>
      <c r="P15">
        <v>1.5814806999999999E-5</v>
      </c>
      <c r="Q15">
        <v>1</v>
      </c>
      <c r="R15" s="60">
        <v>4.1303464790715593E-3</v>
      </c>
      <c r="S15" t="s">
        <v>423</v>
      </c>
      <c r="T15" t="s">
        <v>424</v>
      </c>
      <c r="U15" t="s">
        <v>425</v>
      </c>
      <c r="V15" t="s">
        <v>28</v>
      </c>
      <c r="W15">
        <v>111.133</v>
      </c>
      <c r="X15">
        <v>0.99656169611782708</v>
      </c>
      <c r="Y15">
        <v>110.7508909746625</v>
      </c>
      <c r="Z15">
        <v>691.73</v>
      </c>
      <c r="AA15">
        <v>1</v>
      </c>
      <c r="AB15">
        <v>76.609713813903269</v>
      </c>
      <c r="AC15">
        <v>1.0342</v>
      </c>
      <c r="AD15" s="62">
        <v>79.23</v>
      </c>
      <c r="AE15">
        <v>8.9176000000000002</v>
      </c>
      <c r="AF15">
        <v>8.8869385813003348</v>
      </c>
      <c r="AG15">
        <v>1</v>
      </c>
      <c r="AH15">
        <v>6147.3620248428806</v>
      </c>
      <c r="AI15">
        <v>0.98050797401063194</v>
      </c>
      <c r="AJ15" s="62">
        <v>6027.5375000000004</v>
      </c>
      <c r="AK15" s="60">
        <v>24.89581829059679</v>
      </c>
      <c r="AL15" t="s">
        <v>423</v>
      </c>
      <c r="AM15" t="s">
        <v>424</v>
      </c>
      <c r="AN15" t="s">
        <v>425</v>
      </c>
      <c r="AO15" t="s">
        <v>28</v>
      </c>
      <c r="AP15">
        <v>111.133</v>
      </c>
      <c r="AQ15">
        <v>0.99656169611782708</v>
      </c>
      <c r="AR15">
        <v>110.7508909746625</v>
      </c>
      <c r="AS15">
        <v>691.73</v>
      </c>
      <c r="AT15">
        <v>1</v>
      </c>
      <c r="AU15">
        <v>76.609713813903269</v>
      </c>
      <c r="AV15">
        <v>1.0342</v>
      </c>
      <c r="AW15" s="62">
        <v>79.23</v>
      </c>
      <c r="AX15">
        <v>8.9176000000000002</v>
      </c>
      <c r="AY15">
        <v>1</v>
      </c>
      <c r="AZ15">
        <v>6147.3620248428806</v>
      </c>
      <c r="BA15">
        <v>0.98050797401063194</v>
      </c>
      <c r="BB15" s="62">
        <v>6027.5375000000004</v>
      </c>
      <c r="BC15" s="60">
        <v>24.89581829059679</v>
      </c>
    </row>
    <row r="16" spans="1:55" x14ac:dyDescent="0.25">
      <c r="A16">
        <v>3693</v>
      </c>
      <c r="B16" t="s">
        <v>134</v>
      </c>
      <c r="C16">
        <v>2016</v>
      </c>
      <c r="D16">
        <v>5</v>
      </c>
      <c r="E16" t="s">
        <v>51</v>
      </c>
      <c r="F16" t="s">
        <v>449</v>
      </c>
      <c r="G16" t="s">
        <v>84</v>
      </c>
      <c r="H16" t="s">
        <v>381</v>
      </c>
      <c r="I16" t="s">
        <v>427</v>
      </c>
      <c r="J16">
        <v>-4.6399156000000001</v>
      </c>
      <c r="K16" t="s">
        <v>440</v>
      </c>
      <c r="L16" t="s">
        <v>450</v>
      </c>
      <c r="M16">
        <v>0.15011157993331001</v>
      </c>
      <c r="N16">
        <v>0.69650506109988286</v>
      </c>
      <c r="O16">
        <v>31615.94</v>
      </c>
      <c r="P16">
        <v>1.5814806999999999E-5</v>
      </c>
      <c r="Q16">
        <v>1</v>
      </c>
      <c r="R16" s="60">
        <v>0.69650506109988286</v>
      </c>
      <c r="S16" t="s">
        <v>431</v>
      </c>
      <c r="T16" t="s">
        <v>424</v>
      </c>
      <c r="U16" t="s">
        <v>425</v>
      </c>
      <c r="V16" t="s">
        <v>26</v>
      </c>
      <c r="W16">
        <v>111.133</v>
      </c>
      <c r="X16">
        <v>0.99656169611782708</v>
      </c>
      <c r="Y16">
        <v>110.7508909746625</v>
      </c>
      <c r="Z16">
        <v>691.73</v>
      </c>
      <c r="AA16">
        <v>1</v>
      </c>
      <c r="AB16">
        <v>76.609713813903269</v>
      </c>
      <c r="AC16">
        <v>1.0244</v>
      </c>
      <c r="AD16" s="62">
        <v>78.478999999999999</v>
      </c>
      <c r="AE16">
        <v>8.9176000000000002</v>
      </c>
      <c r="AF16">
        <v>8.8869385813003348</v>
      </c>
      <c r="AG16">
        <v>1</v>
      </c>
      <c r="AH16">
        <v>6147.3620248428806</v>
      </c>
      <c r="AI16">
        <v>1.0034718777899021</v>
      </c>
      <c r="AJ16" s="62">
        <v>6168.7048999999997</v>
      </c>
      <c r="AK16" s="60">
        <v>4296.5341832816466</v>
      </c>
      <c r="AL16" t="s">
        <v>423</v>
      </c>
      <c r="AM16" t="s">
        <v>424</v>
      </c>
      <c r="AN16" t="s">
        <v>425</v>
      </c>
      <c r="AO16" t="s">
        <v>26</v>
      </c>
      <c r="AP16">
        <v>111.133</v>
      </c>
      <c r="AQ16">
        <v>0.99656169611782708</v>
      </c>
      <c r="AR16">
        <v>110.7508909746625</v>
      </c>
      <c r="AS16">
        <v>691.73</v>
      </c>
      <c r="AT16">
        <v>1</v>
      </c>
      <c r="AU16">
        <v>76.609713813903269</v>
      </c>
      <c r="AV16">
        <v>1.0244</v>
      </c>
      <c r="AW16" s="62">
        <v>78.478999999999999</v>
      </c>
      <c r="AX16">
        <v>8.9176000000000002</v>
      </c>
      <c r="AY16">
        <v>1</v>
      </c>
      <c r="AZ16">
        <v>6147.3620248428806</v>
      </c>
      <c r="BA16">
        <v>1.0034718777899021</v>
      </c>
      <c r="BB16" s="62">
        <v>6168.7048999999997</v>
      </c>
      <c r="BC16" s="60">
        <v>4296.5341832816466</v>
      </c>
    </row>
    <row r="17" spans="1:55" x14ac:dyDescent="0.25">
      <c r="A17">
        <v>3694</v>
      </c>
      <c r="B17" t="s">
        <v>134</v>
      </c>
      <c r="C17">
        <v>2016</v>
      </c>
      <c r="D17">
        <v>5</v>
      </c>
      <c r="E17" t="s">
        <v>51</v>
      </c>
      <c r="F17" t="s">
        <v>449</v>
      </c>
      <c r="G17" t="s">
        <v>84</v>
      </c>
      <c r="H17" t="s">
        <v>381</v>
      </c>
      <c r="I17" t="s">
        <v>427</v>
      </c>
      <c r="J17">
        <v>-4.6399156000000001</v>
      </c>
      <c r="K17" t="s">
        <v>440</v>
      </c>
      <c r="L17" t="s">
        <v>384</v>
      </c>
      <c r="M17">
        <v>4.5811354346740003E-2</v>
      </c>
      <c r="N17">
        <v>0.21256081757663339</v>
      </c>
      <c r="O17">
        <v>31615.94</v>
      </c>
      <c r="P17">
        <v>1.5814806999999999E-5</v>
      </c>
      <c r="Q17">
        <v>1</v>
      </c>
      <c r="R17" s="60">
        <v>0.21256081757663339</v>
      </c>
      <c r="S17" t="s">
        <v>431</v>
      </c>
      <c r="T17" t="s">
        <v>424</v>
      </c>
      <c r="U17" t="s">
        <v>425</v>
      </c>
      <c r="V17" t="s">
        <v>81</v>
      </c>
      <c r="W17">
        <v>111.133</v>
      </c>
      <c r="X17">
        <v>0.99656169611782708</v>
      </c>
      <c r="Y17">
        <v>110.7508909746625</v>
      </c>
      <c r="Z17">
        <v>691.73</v>
      </c>
      <c r="AA17">
        <v>1</v>
      </c>
      <c r="AB17">
        <v>76.609713813903269</v>
      </c>
      <c r="AC17">
        <v>0.89239999999999997</v>
      </c>
      <c r="AD17" s="62">
        <v>68.367000000000004</v>
      </c>
      <c r="AE17">
        <v>8.9176000000000002</v>
      </c>
      <c r="AF17">
        <v>8.8869385813003348</v>
      </c>
      <c r="AG17">
        <v>1</v>
      </c>
      <c r="AH17">
        <v>6147.3620248428806</v>
      </c>
      <c r="AI17">
        <v>0.98143450184501846</v>
      </c>
      <c r="AJ17" s="62">
        <v>6033.2331999999997</v>
      </c>
      <c r="AK17" s="60">
        <v>1282.428981622488</v>
      </c>
      <c r="AL17" t="s">
        <v>423</v>
      </c>
      <c r="AM17" t="s">
        <v>424</v>
      </c>
      <c r="AN17" t="s">
        <v>425</v>
      </c>
      <c r="AO17" t="s">
        <v>81</v>
      </c>
      <c r="AP17">
        <v>111.133</v>
      </c>
      <c r="AQ17">
        <v>0.99656169611782708</v>
      </c>
      <c r="AR17">
        <v>110.7508909746625</v>
      </c>
      <c r="AS17">
        <v>691.73</v>
      </c>
      <c r="AT17">
        <v>1</v>
      </c>
      <c r="AU17">
        <v>76.609713813903269</v>
      </c>
      <c r="AV17">
        <v>0.89239999999999997</v>
      </c>
      <c r="AW17" s="62">
        <v>68.367000000000004</v>
      </c>
      <c r="AX17">
        <v>8.9176000000000002</v>
      </c>
      <c r="AY17">
        <v>1</v>
      </c>
      <c r="AZ17">
        <v>6147.3620248428806</v>
      </c>
      <c r="BA17">
        <v>0.98143450184501846</v>
      </c>
      <c r="BB17" s="62">
        <v>6033.2331999999997</v>
      </c>
      <c r="BC17" s="60">
        <v>1282.428981622488</v>
      </c>
    </row>
    <row r="18" spans="1:55" x14ac:dyDescent="0.25">
      <c r="A18">
        <v>3695</v>
      </c>
      <c r="B18" t="s">
        <v>134</v>
      </c>
      <c r="C18">
        <v>2016</v>
      </c>
      <c r="D18">
        <v>5</v>
      </c>
      <c r="E18" t="s">
        <v>51</v>
      </c>
      <c r="F18" t="s">
        <v>449</v>
      </c>
      <c r="G18" t="s">
        <v>84</v>
      </c>
      <c r="H18" t="s">
        <v>381</v>
      </c>
      <c r="I18" t="s">
        <v>427</v>
      </c>
      <c r="J18">
        <v>-4.6399156000000001</v>
      </c>
      <c r="K18" t="s">
        <v>440</v>
      </c>
      <c r="L18" t="s">
        <v>385</v>
      </c>
      <c r="M18">
        <v>0.43232641346992001</v>
      </c>
      <c r="N18">
        <v>2.0059580690759309</v>
      </c>
      <c r="O18">
        <v>31615.94</v>
      </c>
      <c r="P18">
        <v>1.5814806999999999E-5</v>
      </c>
      <c r="Q18">
        <v>1</v>
      </c>
      <c r="R18" s="60">
        <v>2.0059580690759309</v>
      </c>
      <c r="S18" t="s">
        <v>431</v>
      </c>
      <c r="T18" t="s">
        <v>424</v>
      </c>
      <c r="U18" t="s">
        <v>425</v>
      </c>
      <c r="V18" t="s">
        <v>27</v>
      </c>
      <c r="W18">
        <v>111.133</v>
      </c>
      <c r="X18">
        <v>0.99656169611782708</v>
      </c>
      <c r="Y18">
        <v>110.7508909746625</v>
      </c>
      <c r="Z18">
        <v>691.73</v>
      </c>
      <c r="AA18">
        <v>1</v>
      </c>
      <c r="AB18">
        <v>76.609713813903269</v>
      </c>
      <c r="AC18">
        <v>1.008</v>
      </c>
      <c r="AD18" s="62">
        <v>77.222999999999999</v>
      </c>
      <c r="AE18">
        <v>8.9176000000000002</v>
      </c>
      <c r="AF18">
        <v>8.8869385813003348</v>
      </c>
      <c r="AG18">
        <v>1</v>
      </c>
      <c r="AH18">
        <v>6147.3620248428806</v>
      </c>
      <c r="AI18">
        <v>1.01312551271534</v>
      </c>
      <c r="AJ18" s="62">
        <v>6228.0492999999997</v>
      </c>
      <c r="AK18" s="60">
        <v>12493.205747937711</v>
      </c>
      <c r="AL18" t="s">
        <v>423</v>
      </c>
      <c r="AM18" t="s">
        <v>424</v>
      </c>
      <c r="AN18" t="s">
        <v>425</v>
      </c>
      <c r="AO18" t="s">
        <v>27</v>
      </c>
      <c r="AP18">
        <v>111.133</v>
      </c>
      <c r="AQ18">
        <v>0.99656169611782708</v>
      </c>
      <c r="AR18">
        <v>110.7508909746625</v>
      </c>
      <c r="AS18">
        <v>691.73</v>
      </c>
      <c r="AT18">
        <v>1</v>
      </c>
      <c r="AU18">
        <v>76.609713813903269</v>
      </c>
      <c r="AV18">
        <v>1.008</v>
      </c>
      <c r="AW18" s="62">
        <v>77.222999999999999</v>
      </c>
      <c r="AX18">
        <v>8.9176000000000002</v>
      </c>
      <c r="AY18">
        <v>1</v>
      </c>
      <c r="AZ18">
        <v>6147.3620248428806</v>
      </c>
      <c r="BA18">
        <v>1.01312551271534</v>
      </c>
      <c r="BB18" s="62">
        <v>6228.0492999999997</v>
      </c>
      <c r="BC18" s="60">
        <v>12493.205747937711</v>
      </c>
    </row>
    <row r="19" spans="1:55" x14ac:dyDescent="0.25">
      <c r="A19">
        <v>3696</v>
      </c>
      <c r="B19" t="s">
        <v>134</v>
      </c>
      <c r="C19">
        <v>2016</v>
      </c>
      <c r="D19">
        <v>5</v>
      </c>
      <c r="E19" t="s">
        <v>51</v>
      </c>
      <c r="F19" t="s">
        <v>449</v>
      </c>
      <c r="G19" t="s">
        <v>84</v>
      </c>
      <c r="H19" t="s">
        <v>381</v>
      </c>
      <c r="I19" t="s">
        <v>427</v>
      </c>
      <c r="J19">
        <v>-4.6399156000000001</v>
      </c>
      <c r="K19" t="s">
        <v>440</v>
      </c>
      <c r="L19" t="s">
        <v>451</v>
      </c>
      <c r="M19">
        <v>1.6825115802299999E-3</v>
      </c>
      <c r="N19">
        <v>7.8067117241054033E-3</v>
      </c>
      <c r="O19">
        <v>31615.94</v>
      </c>
      <c r="P19">
        <v>1.5814806999999999E-5</v>
      </c>
      <c r="Q19">
        <v>1</v>
      </c>
      <c r="R19" s="60">
        <v>7.8067117241054033E-3</v>
      </c>
      <c r="S19" t="s">
        <v>431</v>
      </c>
      <c r="T19" t="s">
        <v>424</v>
      </c>
      <c r="U19" t="s">
        <v>425</v>
      </c>
      <c r="V19" t="s">
        <v>91</v>
      </c>
      <c r="W19">
        <v>111.133</v>
      </c>
      <c r="X19">
        <v>0.99656169611782708</v>
      </c>
      <c r="Y19">
        <v>110.7508909746625</v>
      </c>
      <c r="Z19">
        <v>691.73</v>
      </c>
      <c r="AA19">
        <v>1</v>
      </c>
      <c r="AB19">
        <v>76.609713813903269</v>
      </c>
      <c r="AC19">
        <v>1.0368999999999999</v>
      </c>
      <c r="AD19" s="62">
        <v>79.436999999999998</v>
      </c>
      <c r="AE19">
        <v>8.9176000000000002</v>
      </c>
      <c r="AF19">
        <v>8.8869385813003348</v>
      </c>
      <c r="AG19">
        <v>1</v>
      </c>
      <c r="AH19">
        <v>6147.3620248428806</v>
      </c>
      <c r="AI19">
        <v>0.98272159312768448</v>
      </c>
      <c r="AJ19" s="62">
        <v>6041.1454000000003</v>
      </c>
      <c r="AK19" s="60">
        <v>47.161480621205428</v>
      </c>
      <c r="AL19" t="s">
        <v>423</v>
      </c>
      <c r="AM19" t="s">
        <v>424</v>
      </c>
      <c r="AN19" t="s">
        <v>425</v>
      </c>
      <c r="AO19" t="s">
        <v>91</v>
      </c>
      <c r="AP19">
        <v>111.133</v>
      </c>
      <c r="AQ19">
        <v>0.99656169611782708</v>
      </c>
      <c r="AR19">
        <v>110.7508909746625</v>
      </c>
      <c r="AS19">
        <v>691.73</v>
      </c>
      <c r="AT19">
        <v>1</v>
      </c>
      <c r="AU19">
        <v>76.609713813903269</v>
      </c>
      <c r="AV19">
        <v>1.0368999999999999</v>
      </c>
      <c r="AW19" s="62">
        <v>79.436999999999998</v>
      </c>
      <c r="AX19">
        <v>8.9176000000000002</v>
      </c>
      <c r="AY19">
        <v>1</v>
      </c>
      <c r="AZ19">
        <v>6147.3620248428806</v>
      </c>
      <c r="BA19">
        <v>0.98272159312768448</v>
      </c>
      <c r="BB19" s="62">
        <v>6041.1454000000003</v>
      </c>
      <c r="BC19" s="60">
        <v>47.161480621205428</v>
      </c>
    </row>
    <row r="20" spans="1:55" x14ac:dyDescent="0.25">
      <c r="A20">
        <v>3697</v>
      </c>
      <c r="B20" t="s">
        <v>134</v>
      </c>
      <c r="C20">
        <v>2016</v>
      </c>
      <c r="D20">
        <v>5</v>
      </c>
      <c r="E20" t="s">
        <v>51</v>
      </c>
      <c r="F20" t="s">
        <v>449</v>
      </c>
      <c r="G20" t="s">
        <v>84</v>
      </c>
      <c r="H20" t="s">
        <v>381</v>
      </c>
      <c r="I20" t="s">
        <v>427</v>
      </c>
      <c r="J20">
        <v>-4.6399156000000001</v>
      </c>
      <c r="K20" t="s">
        <v>440</v>
      </c>
      <c r="L20" t="s">
        <v>452</v>
      </c>
      <c r="M20">
        <v>1.53682162831E-3</v>
      </c>
      <c r="N20">
        <v>7.1307226437908782E-3</v>
      </c>
      <c r="O20">
        <v>31615.94</v>
      </c>
      <c r="P20">
        <v>1.5814806999999999E-5</v>
      </c>
      <c r="Q20">
        <v>1</v>
      </c>
      <c r="R20" s="60">
        <v>7.1307226437908782E-3</v>
      </c>
      <c r="S20" t="s">
        <v>431</v>
      </c>
      <c r="T20" t="s">
        <v>424</v>
      </c>
      <c r="U20" t="s">
        <v>425</v>
      </c>
      <c r="V20" t="s">
        <v>28</v>
      </c>
      <c r="W20">
        <v>111.133</v>
      </c>
      <c r="X20">
        <v>0.99656169611782708</v>
      </c>
      <c r="Y20">
        <v>110.7508909746625</v>
      </c>
      <c r="Z20">
        <v>691.73</v>
      </c>
      <c r="AA20">
        <v>1</v>
      </c>
      <c r="AB20">
        <v>76.609713813903269</v>
      </c>
      <c r="AC20">
        <v>1.0342</v>
      </c>
      <c r="AD20" s="62">
        <v>79.23</v>
      </c>
      <c r="AE20">
        <v>8.9176000000000002</v>
      </c>
      <c r="AF20">
        <v>8.8869385813003348</v>
      </c>
      <c r="AG20">
        <v>1</v>
      </c>
      <c r="AH20">
        <v>6147.3620248428806</v>
      </c>
      <c r="AI20">
        <v>0.98050797401063194</v>
      </c>
      <c r="AJ20" s="62">
        <v>6027.5375000000004</v>
      </c>
      <c r="AK20" s="60">
        <v>42.980698137548657</v>
      </c>
      <c r="AL20" t="s">
        <v>423</v>
      </c>
      <c r="AM20" t="s">
        <v>424</v>
      </c>
      <c r="AN20" t="s">
        <v>425</v>
      </c>
      <c r="AO20" t="s">
        <v>28</v>
      </c>
      <c r="AP20">
        <v>111.133</v>
      </c>
      <c r="AQ20">
        <v>0.99656169611782708</v>
      </c>
      <c r="AR20">
        <v>110.7508909746625</v>
      </c>
      <c r="AS20">
        <v>691.73</v>
      </c>
      <c r="AT20">
        <v>1</v>
      </c>
      <c r="AU20">
        <v>76.609713813903269</v>
      </c>
      <c r="AV20">
        <v>1.0342</v>
      </c>
      <c r="AW20" s="62">
        <v>79.23</v>
      </c>
      <c r="AX20">
        <v>8.9176000000000002</v>
      </c>
      <c r="AY20">
        <v>1</v>
      </c>
      <c r="AZ20">
        <v>6147.3620248428806</v>
      </c>
      <c r="BA20">
        <v>0.98050797401063194</v>
      </c>
      <c r="BB20" s="62">
        <v>6027.5375000000004</v>
      </c>
      <c r="BC20" s="60">
        <v>42.980698137548657</v>
      </c>
    </row>
    <row r="21" spans="1:55" x14ac:dyDescent="0.25">
      <c r="A21">
        <v>3698</v>
      </c>
      <c r="B21" t="s">
        <v>134</v>
      </c>
      <c r="C21">
        <v>2016</v>
      </c>
      <c r="D21">
        <v>5</v>
      </c>
      <c r="E21" t="s">
        <v>51</v>
      </c>
      <c r="F21" t="s">
        <v>449</v>
      </c>
      <c r="G21" t="s">
        <v>84</v>
      </c>
      <c r="H21" t="s">
        <v>87</v>
      </c>
      <c r="I21" t="s">
        <v>427</v>
      </c>
      <c r="J21">
        <v>-0.9543722</v>
      </c>
      <c r="K21" t="s">
        <v>440</v>
      </c>
      <c r="L21" t="s">
        <v>450</v>
      </c>
      <c r="M21">
        <v>0.26601384014995</v>
      </c>
      <c r="N21">
        <v>0.25387621335978872</v>
      </c>
      <c r="O21">
        <v>31615.94</v>
      </c>
      <c r="P21">
        <v>1.5814806999999999E-5</v>
      </c>
      <c r="Q21">
        <v>1</v>
      </c>
      <c r="R21" s="60">
        <v>0.25387621335978872</v>
      </c>
      <c r="S21" t="s">
        <v>431</v>
      </c>
      <c r="T21" t="s">
        <v>424</v>
      </c>
      <c r="U21" t="s">
        <v>425</v>
      </c>
      <c r="V21" t="s">
        <v>26</v>
      </c>
      <c r="W21">
        <v>111.133</v>
      </c>
      <c r="X21">
        <v>0.99656169611782708</v>
      </c>
      <c r="Y21">
        <v>110.7508909746625</v>
      </c>
      <c r="Z21">
        <v>691.73</v>
      </c>
      <c r="AA21">
        <v>1</v>
      </c>
      <c r="AB21">
        <v>76.609713813903269</v>
      </c>
      <c r="AC21">
        <v>1.0244</v>
      </c>
      <c r="AD21" s="62">
        <v>78.478999999999999</v>
      </c>
      <c r="AE21">
        <v>8.9176000000000002</v>
      </c>
      <c r="AF21">
        <v>8.8869385813003348</v>
      </c>
      <c r="AG21">
        <v>1</v>
      </c>
      <c r="AH21">
        <v>6147.3620248428806</v>
      </c>
      <c r="AI21">
        <v>1.0034718777899021</v>
      </c>
      <c r="AJ21" s="62">
        <v>6168.7048999999997</v>
      </c>
      <c r="AK21" s="60">
        <v>1566.087441345974</v>
      </c>
      <c r="AL21" t="s">
        <v>423</v>
      </c>
      <c r="AM21" t="s">
        <v>424</v>
      </c>
      <c r="AN21" t="s">
        <v>425</v>
      </c>
      <c r="AO21" t="s">
        <v>26</v>
      </c>
      <c r="AP21">
        <v>111.133</v>
      </c>
      <c r="AQ21">
        <v>0.99656169611782708</v>
      </c>
      <c r="AR21">
        <v>110.7508909746625</v>
      </c>
      <c r="AS21">
        <v>691.73</v>
      </c>
      <c r="AT21">
        <v>1</v>
      </c>
      <c r="AU21">
        <v>76.609713813903269</v>
      </c>
      <c r="AV21">
        <v>1.0244</v>
      </c>
      <c r="AW21" s="62">
        <v>78.478999999999999</v>
      </c>
      <c r="AX21">
        <v>8.9176000000000002</v>
      </c>
      <c r="AY21">
        <v>1</v>
      </c>
      <c r="AZ21">
        <v>6147.3620248428806</v>
      </c>
      <c r="BA21">
        <v>1.0034718777899021</v>
      </c>
      <c r="BB21" s="62">
        <v>6168.7048999999997</v>
      </c>
      <c r="BC21" s="60">
        <v>1566.087441345974</v>
      </c>
    </row>
    <row r="22" spans="1:55" x14ac:dyDescent="0.25">
      <c r="A22">
        <v>3699</v>
      </c>
      <c r="B22" t="s">
        <v>134</v>
      </c>
      <c r="C22">
        <v>2016</v>
      </c>
      <c r="D22">
        <v>5</v>
      </c>
      <c r="E22" t="s">
        <v>51</v>
      </c>
      <c r="F22" t="s">
        <v>449</v>
      </c>
      <c r="G22" t="s">
        <v>84</v>
      </c>
      <c r="H22" t="s">
        <v>87</v>
      </c>
      <c r="I22" t="s">
        <v>427</v>
      </c>
      <c r="J22">
        <v>-0.9543722</v>
      </c>
      <c r="K22" t="s">
        <v>440</v>
      </c>
      <c r="L22" t="s">
        <v>384</v>
      </c>
      <c r="M22">
        <v>3.9509559941419997E-2</v>
      </c>
      <c r="N22">
        <v>3.7706825568869513E-2</v>
      </c>
      <c r="O22">
        <v>31615.94</v>
      </c>
      <c r="P22">
        <v>1.5814806999999999E-5</v>
      </c>
      <c r="Q22">
        <v>1</v>
      </c>
      <c r="R22" s="60">
        <v>3.7706825568869513E-2</v>
      </c>
      <c r="S22" t="s">
        <v>431</v>
      </c>
      <c r="T22" t="s">
        <v>424</v>
      </c>
      <c r="U22" t="s">
        <v>425</v>
      </c>
      <c r="V22" t="s">
        <v>81</v>
      </c>
      <c r="W22">
        <v>111.133</v>
      </c>
      <c r="X22">
        <v>0.99656169611782708</v>
      </c>
      <c r="Y22">
        <v>110.7508909746625</v>
      </c>
      <c r="Z22">
        <v>691.73</v>
      </c>
      <c r="AA22">
        <v>1</v>
      </c>
      <c r="AB22">
        <v>76.609713813903269</v>
      </c>
      <c r="AC22">
        <v>0.89239999999999997</v>
      </c>
      <c r="AD22" s="62">
        <v>68.367000000000004</v>
      </c>
      <c r="AE22">
        <v>8.9176000000000002</v>
      </c>
      <c r="AF22">
        <v>8.8869385813003348</v>
      </c>
      <c r="AG22">
        <v>1</v>
      </c>
      <c r="AH22">
        <v>6147.3620248428806</v>
      </c>
      <c r="AI22">
        <v>0.98143450184501846</v>
      </c>
      <c r="AJ22" s="62">
        <v>6033.2331999999997</v>
      </c>
      <c r="AK22" s="60">
        <v>227.4940718887124</v>
      </c>
      <c r="AL22" t="s">
        <v>423</v>
      </c>
      <c r="AM22" t="s">
        <v>424</v>
      </c>
      <c r="AN22" t="s">
        <v>425</v>
      </c>
      <c r="AO22" t="s">
        <v>81</v>
      </c>
      <c r="AP22">
        <v>111.133</v>
      </c>
      <c r="AQ22">
        <v>0.99656169611782708</v>
      </c>
      <c r="AR22">
        <v>110.7508909746625</v>
      </c>
      <c r="AS22">
        <v>691.73</v>
      </c>
      <c r="AT22">
        <v>1</v>
      </c>
      <c r="AU22">
        <v>76.609713813903269</v>
      </c>
      <c r="AV22">
        <v>0.89239999999999997</v>
      </c>
      <c r="AW22" s="62">
        <v>68.367000000000004</v>
      </c>
      <c r="AX22">
        <v>8.9176000000000002</v>
      </c>
      <c r="AY22">
        <v>1</v>
      </c>
      <c r="AZ22">
        <v>6147.3620248428806</v>
      </c>
      <c r="BA22">
        <v>0.98143450184501846</v>
      </c>
      <c r="BB22" s="62">
        <v>6033.2331999999997</v>
      </c>
      <c r="BC22" s="60">
        <v>227.4940718887124</v>
      </c>
    </row>
    <row r="23" spans="1:55" x14ac:dyDescent="0.25">
      <c r="A23">
        <v>3700</v>
      </c>
      <c r="B23" t="s">
        <v>134</v>
      </c>
      <c r="C23">
        <v>2016</v>
      </c>
      <c r="D23">
        <v>5</v>
      </c>
      <c r="E23" t="s">
        <v>51</v>
      </c>
      <c r="F23" t="s">
        <v>449</v>
      </c>
      <c r="G23" t="s">
        <v>84</v>
      </c>
      <c r="H23" t="s">
        <v>87</v>
      </c>
      <c r="I23" t="s">
        <v>427</v>
      </c>
      <c r="J23">
        <v>-0.9543722</v>
      </c>
      <c r="K23" t="s">
        <v>440</v>
      </c>
      <c r="L23" t="s">
        <v>385</v>
      </c>
      <c r="M23">
        <v>0.39737542925016001</v>
      </c>
      <c r="N23">
        <v>0.37924406190062732</v>
      </c>
      <c r="O23">
        <v>31615.94</v>
      </c>
      <c r="P23">
        <v>1.5814806999999999E-5</v>
      </c>
      <c r="Q23">
        <v>1</v>
      </c>
      <c r="R23" s="60">
        <v>0.37924406190062732</v>
      </c>
      <c r="S23" t="s">
        <v>431</v>
      </c>
      <c r="T23" t="s">
        <v>424</v>
      </c>
      <c r="U23" t="s">
        <v>425</v>
      </c>
      <c r="V23" t="s">
        <v>27</v>
      </c>
      <c r="W23">
        <v>111.133</v>
      </c>
      <c r="X23">
        <v>0.99656169611782708</v>
      </c>
      <c r="Y23">
        <v>110.7508909746625</v>
      </c>
      <c r="Z23">
        <v>691.73</v>
      </c>
      <c r="AA23">
        <v>1</v>
      </c>
      <c r="AB23">
        <v>76.609713813903269</v>
      </c>
      <c r="AC23">
        <v>1.008</v>
      </c>
      <c r="AD23" s="62">
        <v>77.222999999999999</v>
      </c>
      <c r="AE23">
        <v>8.9176000000000002</v>
      </c>
      <c r="AF23">
        <v>8.8869385813003348</v>
      </c>
      <c r="AG23">
        <v>1</v>
      </c>
      <c r="AH23">
        <v>6147.3620248428806</v>
      </c>
      <c r="AI23">
        <v>1.01312551271534</v>
      </c>
      <c r="AJ23" s="62">
        <v>6228.0492999999997</v>
      </c>
      <c r="AK23" s="60">
        <v>2361.950714249358</v>
      </c>
      <c r="AL23" t="s">
        <v>423</v>
      </c>
      <c r="AM23" t="s">
        <v>424</v>
      </c>
      <c r="AN23" t="s">
        <v>425</v>
      </c>
      <c r="AO23" t="s">
        <v>27</v>
      </c>
      <c r="AP23">
        <v>111.133</v>
      </c>
      <c r="AQ23">
        <v>0.99656169611782708</v>
      </c>
      <c r="AR23">
        <v>110.7508909746625</v>
      </c>
      <c r="AS23">
        <v>691.73</v>
      </c>
      <c r="AT23">
        <v>1</v>
      </c>
      <c r="AU23">
        <v>76.609713813903269</v>
      </c>
      <c r="AV23">
        <v>1.008</v>
      </c>
      <c r="AW23" s="62">
        <v>77.222999999999999</v>
      </c>
      <c r="AX23">
        <v>8.9176000000000002</v>
      </c>
      <c r="AY23">
        <v>1</v>
      </c>
      <c r="AZ23">
        <v>6147.3620248428806</v>
      </c>
      <c r="BA23">
        <v>1.01312551271534</v>
      </c>
      <c r="BB23" s="62">
        <v>6228.0492999999997</v>
      </c>
      <c r="BC23" s="60">
        <v>2361.950714249358</v>
      </c>
    </row>
    <row r="24" spans="1:55" x14ac:dyDescent="0.25">
      <c r="A24">
        <v>3701</v>
      </c>
      <c r="B24" t="s">
        <v>134</v>
      </c>
      <c r="C24">
        <v>2016</v>
      </c>
      <c r="D24">
        <v>5</v>
      </c>
      <c r="E24" t="s">
        <v>51</v>
      </c>
      <c r="F24" t="s">
        <v>449</v>
      </c>
      <c r="G24" t="s">
        <v>84</v>
      </c>
      <c r="H24" t="s">
        <v>87</v>
      </c>
      <c r="I24" t="s">
        <v>427</v>
      </c>
      <c r="J24">
        <v>-0.9543722</v>
      </c>
      <c r="K24" t="s">
        <v>440</v>
      </c>
      <c r="L24" t="s">
        <v>452</v>
      </c>
      <c r="M24">
        <v>8.4248020759000004E-4</v>
      </c>
      <c r="N24">
        <v>8.0403968760780315E-4</v>
      </c>
      <c r="O24">
        <v>31615.94</v>
      </c>
      <c r="P24">
        <v>1.5814806999999999E-5</v>
      </c>
      <c r="Q24">
        <v>1</v>
      </c>
      <c r="R24" s="60">
        <v>8.0403968760780315E-4</v>
      </c>
      <c r="S24" t="s">
        <v>431</v>
      </c>
      <c r="T24" t="s">
        <v>424</v>
      </c>
      <c r="U24" t="s">
        <v>425</v>
      </c>
      <c r="V24" t="s">
        <v>28</v>
      </c>
      <c r="W24">
        <v>111.133</v>
      </c>
      <c r="X24">
        <v>0.99656169611782708</v>
      </c>
      <c r="Y24">
        <v>110.7508909746625</v>
      </c>
      <c r="Z24">
        <v>691.73</v>
      </c>
      <c r="AA24">
        <v>1</v>
      </c>
      <c r="AB24">
        <v>76.609713813903269</v>
      </c>
      <c r="AC24">
        <v>1.0342</v>
      </c>
      <c r="AD24" s="62">
        <v>79.23</v>
      </c>
      <c r="AE24">
        <v>8.9176000000000002</v>
      </c>
      <c r="AF24">
        <v>8.8869385813003348</v>
      </c>
      <c r="AG24">
        <v>1</v>
      </c>
      <c r="AH24">
        <v>6147.3620248428806</v>
      </c>
      <c r="AI24">
        <v>0.98050797401063194</v>
      </c>
      <c r="AJ24" s="62">
        <v>6027.5375000000004</v>
      </c>
      <c r="AK24" s="60">
        <v>4.8463793685443193</v>
      </c>
      <c r="AL24" t="s">
        <v>423</v>
      </c>
      <c r="AM24" t="s">
        <v>424</v>
      </c>
      <c r="AN24" t="s">
        <v>425</v>
      </c>
      <c r="AO24" t="s">
        <v>28</v>
      </c>
      <c r="AP24">
        <v>111.133</v>
      </c>
      <c r="AQ24">
        <v>0.99656169611782708</v>
      </c>
      <c r="AR24">
        <v>110.7508909746625</v>
      </c>
      <c r="AS24">
        <v>691.73</v>
      </c>
      <c r="AT24">
        <v>1</v>
      </c>
      <c r="AU24">
        <v>76.609713813903269</v>
      </c>
      <c r="AV24">
        <v>1.0342</v>
      </c>
      <c r="AW24" s="62">
        <v>79.23</v>
      </c>
      <c r="AX24">
        <v>8.9176000000000002</v>
      </c>
      <c r="AY24">
        <v>1</v>
      </c>
      <c r="AZ24">
        <v>6147.3620248428806</v>
      </c>
      <c r="BA24">
        <v>0.98050797401063194</v>
      </c>
      <c r="BB24" s="62">
        <v>6027.5375000000004</v>
      </c>
      <c r="BC24" s="60">
        <v>4.8463793685443193</v>
      </c>
    </row>
    <row r="25" spans="1:55" x14ac:dyDescent="0.25">
      <c r="A25">
        <v>3702</v>
      </c>
      <c r="B25" t="s">
        <v>134</v>
      </c>
      <c r="C25">
        <v>2016</v>
      </c>
      <c r="D25">
        <v>5</v>
      </c>
      <c r="E25" t="s">
        <v>51</v>
      </c>
      <c r="F25" t="s">
        <v>449</v>
      </c>
      <c r="G25" t="s">
        <v>84</v>
      </c>
      <c r="H25" t="s">
        <v>59</v>
      </c>
      <c r="I25" t="s">
        <v>427</v>
      </c>
      <c r="J25">
        <v>-2.7798718999999998</v>
      </c>
      <c r="K25" t="s">
        <v>440</v>
      </c>
      <c r="L25" t="s">
        <v>450</v>
      </c>
      <c r="M25">
        <v>0.15931709696460999</v>
      </c>
      <c r="N25">
        <v>0.44288112039006822</v>
      </c>
      <c r="O25">
        <v>31615.94</v>
      </c>
      <c r="P25">
        <v>1.5814806999999999E-5</v>
      </c>
      <c r="Q25">
        <v>1</v>
      </c>
      <c r="R25" s="60">
        <v>0.44288112039006822</v>
      </c>
      <c r="S25" t="s">
        <v>431</v>
      </c>
      <c r="T25" t="s">
        <v>424</v>
      </c>
      <c r="U25" t="s">
        <v>425</v>
      </c>
      <c r="V25" t="s">
        <v>26</v>
      </c>
      <c r="W25">
        <v>111.133</v>
      </c>
      <c r="X25">
        <v>0.99656169611782708</v>
      </c>
      <c r="Y25">
        <v>110.7508909746625</v>
      </c>
      <c r="Z25">
        <v>691.73</v>
      </c>
      <c r="AA25">
        <v>1</v>
      </c>
      <c r="AB25">
        <v>76.609713813903269</v>
      </c>
      <c r="AC25">
        <v>1.0244</v>
      </c>
      <c r="AD25" s="62">
        <v>78.478999999999999</v>
      </c>
      <c r="AE25">
        <v>8.9176000000000002</v>
      </c>
      <c r="AF25">
        <v>8.8869385813003348</v>
      </c>
      <c r="AG25">
        <v>1</v>
      </c>
      <c r="AH25">
        <v>6147.3620248428806</v>
      </c>
      <c r="AI25">
        <v>1.0034718777899021</v>
      </c>
      <c r="AJ25" s="62">
        <v>6168.7048999999997</v>
      </c>
      <c r="AK25" s="60">
        <v>2732.0029374677042</v>
      </c>
      <c r="AL25" t="s">
        <v>423</v>
      </c>
      <c r="AM25" t="s">
        <v>424</v>
      </c>
      <c r="AN25" t="s">
        <v>425</v>
      </c>
      <c r="AO25" t="s">
        <v>26</v>
      </c>
      <c r="AP25">
        <v>111.133</v>
      </c>
      <c r="AQ25">
        <v>0.99656169611782708</v>
      </c>
      <c r="AR25">
        <v>110.7508909746625</v>
      </c>
      <c r="AS25">
        <v>691.73</v>
      </c>
      <c r="AT25">
        <v>1</v>
      </c>
      <c r="AU25">
        <v>76.609713813903269</v>
      </c>
      <c r="AV25">
        <v>1.0244</v>
      </c>
      <c r="AW25" s="62">
        <v>78.478999999999999</v>
      </c>
      <c r="AX25">
        <v>8.9176000000000002</v>
      </c>
      <c r="AY25">
        <v>1</v>
      </c>
      <c r="AZ25">
        <v>6147.3620248428806</v>
      </c>
      <c r="BA25">
        <v>1.0034718777899021</v>
      </c>
      <c r="BB25" s="62">
        <v>6168.7048999999997</v>
      </c>
      <c r="BC25" s="60">
        <v>2732.0029374677042</v>
      </c>
    </row>
    <row r="26" spans="1:55" x14ac:dyDescent="0.25">
      <c r="A26">
        <v>3703</v>
      </c>
      <c r="B26" t="s">
        <v>134</v>
      </c>
      <c r="C26">
        <v>2016</v>
      </c>
      <c r="D26">
        <v>5</v>
      </c>
      <c r="E26" t="s">
        <v>51</v>
      </c>
      <c r="F26" t="s">
        <v>449</v>
      </c>
      <c r="G26" t="s">
        <v>84</v>
      </c>
      <c r="H26" t="s">
        <v>59</v>
      </c>
      <c r="I26" t="s">
        <v>427</v>
      </c>
      <c r="J26">
        <v>-2.7798718999999998</v>
      </c>
      <c r="K26" t="s">
        <v>440</v>
      </c>
      <c r="L26" t="s">
        <v>384</v>
      </c>
      <c r="M26">
        <v>4.1785183859599999E-2</v>
      </c>
      <c r="N26">
        <v>0.11615745827678151</v>
      </c>
      <c r="O26">
        <v>31615.94</v>
      </c>
      <c r="P26">
        <v>1.5814806999999999E-5</v>
      </c>
      <c r="Q26">
        <v>1</v>
      </c>
      <c r="R26" s="60">
        <v>0.11615745827678151</v>
      </c>
      <c r="S26" t="s">
        <v>431</v>
      </c>
      <c r="T26" t="s">
        <v>424</v>
      </c>
      <c r="U26" t="s">
        <v>425</v>
      </c>
      <c r="V26" t="s">
        <v>81</v>
      </c>
      <c r="W26">
        <v>111.133</v>
      </c>
      <c r="X26">
        <v>0.99656169611782708</v>
      </c>
      <c r="Y26">
        <v>110.7508909746625</v>
      </c>
      <c r="Z26">
        <v>691.73</v>
      </c>
      <c r="AA26">
        <v>1</v>
      </c>
      <c r="AB26">
        <v>76.609713813903269</v>
      </c>
      <c r="AC26">
        <v>0.89239999999999997</v>
      </c>
      <c r="AD26" s="62">
        <v>68.367000000000004</v>
      </c>
      <c r="AE26">
        <v>8.9176000000000002</v>
      </c>
      <c r="AF26">
        <v>8.8869385813003348</v>
      </c>
      <c r="AG26">
        <v>1</v>
      </c>
      <c r="AH26">
        <v>6147.3620248428806</v>
      </c>
      <c r="AI26">
        <v>0.98143450184501846</v>
      </c>
      <c r="AJ26" s="62">
        <v>6033.2331999999997</v>
      </c>
      <c r="AK26" s="60">
        <v>700.80503370309305</v>
      </c>
      <c r="AL26" t="s">
        <v>423</v>
      </c>
      <c r="AM26" t="s">
        <v>424</v>
      </c>
      <c r="AN26" t="s">
        <v>425</v>
      </c>
      <c r="AO26" t="s">
        <v>81</v>
      </c>
      <c r="AP26">
        <v>111.133</v>
      </c>
      <c r="AQ26">
        <v>0.99656169611782708</v>
      </c>
      <c r="AR26">
        <v>110.7508909746625</v>
      </c>
      <c r="AS26">
        <v>691.73</v>
      </c>
      <c r="AT26">
        <v>1</v>
      </c>
      <c r="AU26">
        <v>76.609713813903269</v>
      </c>
      <c r="AV26">
        <v>0.89239999999999997</v>
      </c>
      <c r="AW26" s="62">
        <v>68.367000000000004</v>
      </c>
      <c r="AX26">
        <v>8.9176000000000002</v>
      </c>
      <c r="AY26">
        <v>1</v>
      </c>
      <c r="AZ26">
        <v>6147.3620248428806</v>
      </c>
      <c r="BA26">
        <v>0.98143450184501846</v>
      </c>
      <c r="BB26" s="62">
        <v>6033.2331999999997</v>
      </c>
      <c r="BC26" s="60">
        <v>700.80503370309305</v>
      </c>
    </row>
    <row r="27" spans="1:55" x14ac:dyDescent="0.25">
      <c r="A27">
        <v>3704</v>
      </c>
      <c r="B27" t="s">
        <v>134</v>
      </c>
      <c r="C27">
        <v>2016</v>
      </c>
      <c r="D27">
        <v>5</v>
      </c>
      <c r="E27" t="s">
        <v>51</v>
      </c>
      <c r="F27" t="s">
        <v>449</v>
      </c>
      <c r="G27" t="s">
        <v>84</v>
      </c>
      <c r="H27" t="s">
        <v>59</v>
      </c>
      <c r="I27" t="s">
        <v>427</v>
      </c>
      <c r="J27">
        <v>-2.7798718999999998</v>
      </c>
      <c r="K27" t="s">
        <v>440</v>
      </c>
      <c r="L27" t="s">
        <v>385</v>
      </c>
      <c r="M27">
        <v>0.43497567483749999</v>
      </c>
      <c r="N27">
        <v>1.209176653885746</v>
      </c>
      <c r="O27">
        <v>31615.94</v>
      </c>
      <c r="P27">
        <v>1.5814806999999999E-5</v>
      </c>
      <c r="Q27">
        <v>1</v>
      </c>
      <c r="R27" s="60">
        <v>1.209176653885746</v>
      </c>
      <c r="S27" t="s">
        <v>431</v>
      </c>
      <c r="T27" t="s">
        <v>424</v>
      </c>
      <c r="U27" t="s">
        <v>425</v>
      </c>
      <c r="V27" t="s">
        <v>27</v>
      </c>
      <c r="W27">
        <v>111.133</v>
      </c>
      <c r="X27">
        <v>0.99656169611782708</v>
      </c>
      <c r="Y27">
        <v>110.7508909746625</v>
      </c>
      <c r="Z27">
        <v>691.73</v>
      </c>
      <c r="AA27">
        <v>1</v>
      </c>
      <c r="AB27">
        <v>76.609713813903269</v>
      </c>
      <c r="AC27">
        <v>1.008</v>
      </c>
      <c r="AD27" s="62">
        <v>77.222999999999999</v>
      </c>
      <c r="AE27">
        <v>8.9176000000000002</v>
      </c>
      <c r="AF27">
        <v>8.8869385813003348</v>
      </c>
      <c r="AG27">
        <v>1</v>
      </c>
      <c r="AH27">
        <v>6147.3620248428806</v>
      </c>
      <c r="AI27">
        <v>1.01312551271534</v>
      </c>
      <c r="AJ27" s="62">
        <v>6228.0492999999997</v>
      </c>
      <c r="AK27" s="60">
        <v>7530.8118128094611</v>
      </c>
      <c r="AL27" t="s">
        <v>423</v>
      </c>
      <c r="AM27" t="s">
        <v>424</v>
      </c>
      <c r="AN27" t="s">
        <v>425</v>
      </c>
      <c r="AO27" t="s">
        <v>27</v>
      </c>
      <c r="AP27">
        <v>111.133</v>
      </c>
      <c r="AQ27">
        <v>0.99656169611782708</v>
      </c>
      <c r="AR27">
        <v>110.7508909746625</v>
      </c>
      <c r="AS27">
        <v>691.73</v>
      </c>
      <c r="AT27">
        <v>1</v>
      </c>
      <c r="AU27">
        <v>76.609713813903269</v>
      </c>
      <c r="AV27">
        <v>1.008</v>
      </c>
      <c r="AW27" s="62">
        <v>77.222999999999999</v>
      </c>
      <c r="AX27">
        <v>8.9176000000000002</v>
      </c>
      <c r="AY27">
        <v>1</v>
      </c>
      <c r="AZ27">
        <v>6147.3620248428806</v>
      </c>
      <c r="BA27">
        <v>1.01312551271534</v>
      </c>
      <c r="BB27" s="62">
        <v>6228.0492999999997</v>
      </c>
      <c r="BC27" s="60">
        <v>7530.8118128094611</v>
      </c>
    </row>
    <row r="28" spans="1:55" x14ac:dyDescent="0.25">
      <c r="A28">
        <v>3705</v>
      </c>
      <c r="B28" t="s">
        <v>134</v>
      </c>
      <c r="C28">
        <v>2016</v>
      </c>
      <c r="D28">
        <v>5</v>
      </c>
      <c r="E28" t="s">
        <v>51</v>
      </c>
      <c r="F28" t="s">
        <v>449</v>
      </c>
      <c r="G28" t="s">
        <v>84</v>
      </c>
      <c r="H28" t="s">
        <v>59</v>
      </c>
      <c r="I28" t="s">
        <v>427</v>
      </c>
      <c r="J28">
        <v>-2.7798718999999998</v>
      </c>
      <c r="K28" t="s">
        <v>440</v>
      </c>
      <c r="L28" t="s">
        <v>451</v>
      </c>
      <c r="M28">
        <v>1.7625750762999999E-3</v>
      </c>
      <c r="N28">
        <v>4.8997329190397908E-3</v>
      </c>
      <c r="O28">
        <v>31615.94</v>
      </c>
      <c r="P28">
        <v>1.5814806999999999E-5</v>
      </c>
      <c r="Q28">
        <v>1</v>
      </c>
      <c r="R28" s="60">
        <v>4.8997329190397908E-3</v>
      </c>
      <c r="S28" t="s">
        <v>431</v>
      </c>
      <c r="T28" t="s">
        <v>424</v>
      </c>
      <c r="U28" t="s">
        <v>425</v>
      </c>
      <c r="V28" t="s">
        <v>91</v>
      </c>
      <c r="W28">
        <v>111.133</v>
      </c>
      <c r="X28">
        <v>0.99656169611782708</v>
      </c>
      <c r="Y28">
        <v>110.7508909746625</v>
      </c>
      <c r="Z28">
        <v>691.73</v>
      </c>
      <c r="AA28">
        <v>1</v>
      </c>
      <c r="AB28">
        <v>76.609713813903269</v>
      </c>
      <c r="AC28">
        <v>1.0368999999999999</v>
      </c>
      <c r="AD28" s="62">
        <v>79.436999999999998</v>
      </c>
      <c r="AE28">
        <v>8.9176000000000002</v>
      </c>
      <c r="AF28">
        <v>8.8869385813003348</v>
      </c>
      <c r="AG28">
        <v>1</v>
      </c>
      <c r="AH28">
        <v>6147.3620248428806</v>
      </c>
      <c r="AI28">
        <v>0.98272159312768448</v>
      </c>
      <c r="AJ28" s="62">
        <v>6041.1454000000003</v>
      </c>
      <c r="AK28" s="60">
        <v>29.599998985085811</v>
      </c>
      <c r="AL28" t="s">
        <v>423</v>
      </c>
      <c r="AM28" t="s">
        <v>424</v>
      </c>
      <c r="AN28" t="s">
        <v>425</v>
      </c>
      <c r="AO28" t="s">
        <v>91</v>
      </c>
      <c r="AP28">
        <v>111.133</v>
      </c>
      <c r="AQ28">
        <v>0.99656169611782708</v>
      </c>
      <c r="AR28">
        <v>110.7508909746625</v>
      </c>
      <c r="AS28">
        <v>691.73</v>
      </c>
      <c r="AT28">
        <v>1</v>
      </c>
      <c r="AU28">
        <v>76.609713813903269</v>
      </c>
      <c r="AV28">
        <v>1.0368999999999999</v>
      </c>
      <c r="AW28" s="62">
        <v>79.436999999999998</v>
      </c>
      <c r="AX28">
        <v>8.9176000000000002</v>
      </c>
      <c r="AY28">
        <v>1</v>
      </c>
      <c r="AZ28">
        <v>6147.3620248428806</v>
      </c>
      <c r="BA28">
        <v>0.98272159312768448</v>
      </c>
      <c r="BB28" s="62">
        <v>6041.1454000000003</v>
      </c>
      <c r="BC28" s="60">
        <v>29.599998985085811</v>
      </c>
    </row>
    <row r="29" spans="1:55" x14ac:dyDescent="0.25">
      <c r="A29">
        <v>3706</v>
      </c>
      <c r="B29" t="s">
        <v>134</v>
      </c>
      <c r="C29">
        <v>2016</v>
      </c>
      <c r="D29">
        <v>5</v>
      </c>
      <c r="E29" t="s">
        <v>51</v>
      </c>
      <c r="F29" t="s">
        <v>449</v>
      </c>
      <c r="G29" t="s">
        <v>84</v>
      </c>
      <c r="H29" t="s">
        <v>59</v>
      </c>
      <c r="I29" t="s">
        <v>427</v>
      </c>
      <c r="J29">
        <v>-2.7798718999999998</v>
      </c>
      <c r="K29" t="s">
        <v>440</v>
      </c>
      <c r="L29" t="s">
        <v>452</v>
      </c>
      <c r="M29">
        <v>1.4858046103299999E-3</v>
      </c>
      <c r="N29">
        <v>4.1303464790715593E-3</v>
      </c>
      <c r="O29">
        <v>31615.94</v>
      </c>
      <c r="P29">
        <v>1.5814806999999999E-5</v>
      </c>
      <c r="Q29">
        <v>1</v>
      </c>
      <c r="R29" s="60">
        <v>4.1303464790715593E-3</v>
      </c>
      <c r="S29" t="s">
        <v>431</v>
      </c>
      <c r="T29" t="s">
        <v>424</v>
      </c>
      <c r="U29" t="s">
        <v>425</v>
      </c>
      <c r="V29" t="s">
        <v>28</v>
      </c>
      <c r="W29">
        <v>111.133</v>
      </c>
      <c r="X29">
        <v>0.99656169611782708</v>
      </c>
      <c r="Y29">
        <v>110.7508909746625</v>
      </c>
      <c r="Z29">
        <v>691.73</v>
      </c>
      <c r="AA29">
        <v>1</v>
      </c>
      <c r="AB29">
        <v>76.609713813903269</v>
      </c>
      <c r="AC29">
        <v>1.0342</v>
      </c>
      <c r="AD29" s="62">
        <v>79.23</v>
      </c>
      <c r="AE29">
        <v>8.9176000000000002</v>
      </c>
      <c r="AF29">
        <v>8.8869385813003348</v>
      </c>
      <c r="AG29">
        <v>1</v>
      </c>
      <c r="AH29">
        <v>6147.3620248428806</v>
      </c>
      <c r="AI29">
        <v>0.98050797401063194</v>
      </c>
      <c r="AJ29" s="62">
        <v>6027.5375000000004</v>
      </c>
      <c r="AK29" s="60">
        <v>24.89581829059679</v>
      </c>
      <c r="AL29" t="s">
        <v>423</v>
      </c>
      <c r="AM29" t="s">
        <v>424</v>
      </c>
      <c r="AN29" t="s">
        <v>425</v>
      </c>
      <c r="AO29" t="s">
        <v>28</v>
      </c>
      <c r="AP29">
        <v>111.133</v>
      </c>
      <c r="AQ29">
        <v>0.99656169611782708</v>
      </c>
      <c r="AR29">
        <v>110.7508909746625</v>
      </c>
      <c r="AS29">
        <v>691.73</v>
      </c>
      <c r="AT29">
        <v>1</v>
      </c>
      <c r="AU29">
        <v>76.609713813903269</v>
      </c>
      <c r="AV29">
        <v>1.0342</v>
      </c>
      <c r="AW29" s="62">
        <v>79.23</v>
      </c>
      <c r="AX29">
        <v>8.9176000000000002</v>
      </c>
      <c r="AY29">
        <v>1</v>
      </c>
      <c r="AZ29">
        <v>6147.3620248428806</v>
      </c>
      <c r="BA29">
        <v>0.98050797401063194</v>
      </c>
      <c r="BB29" s="62">
        <v>6027.5375000000004</v>
      </c>
      <c r="BC29" s="60">
        <v>24.89581829059679</v>
      </c>
    </row>
    <row r="30" spans="1:55" x14ac:dyDescent="0.25">
      <c r="A30">
        <v>4866</v>
      </c>
      <c r="B30" t="s">
        <v>136</v>
      </c>
      <c r="C30">
        <v>2016</v>
      </c>
      <c r="D30">
        <v>6</v>
      </c>
      <c r="E30" t="s">
        <v>51</v>
      </c>
      <c r="F30" t="s">
        <v>449</v>
      </c>
      <c r="G30" t="s">
        <v>84</v>
      </c>
      <c r="H30" t="s">
        <v>381</v>
      </c>
      <c r="I30" t="s">
        <v>427</v>
      </c>
      <c r="J30">
        <v>-4.6404793099999999</v>
      </c>
      <c r="K30" t="s">
        <v>440</v>
      </c>
      <c r="L30" t="s">
        <v>450</v>
      </c>
      <c r="M30">
        <v>0.15011157993331001</v>
      </c>
      <c r="N30">
        <v>0.69658968083759387</v>
      </c>
      <c r="O30">
        <v>31615.94</v>
      </c>
      <c r="P30">
        <v>1.5814806999999999E-5</v>
      </c>
      <c r="Q30">
        <v>1</v>
      </c>
      <c r="R30" s="60">
        <v>0.69658968083759387</v>
      </c>
      <c r="S30" t="s">
        <v>432</v>
      </c>
      <c r="T30" t="s">
        <v>424</v>
      </c>
      <c r="U30" t="s">
        <v>425</v>
      </c>
      <c r="V30" t="s">
        <v>26</v>
      </c>
      <c r="W30">
        <v>111.133</v>
      </c>
      <c r="X30">
        <v>0.99656169611782708</v>
      </c>
      <c r="Y30">
        <v>110.7508909746625</v>
      </c>
      <c r="Z30">
        <v>691.73</v>
      </c>
      <c r="AA30">
        <v>1</v>
      </c>
      <c r="AB30">
        <v>76.609713813903269</v>
      </c>
      <c r="AC30">
        <v>1.0244</v>
      </c>
      <c r="AD30" s="62">
        <v>78.478999999999999</v>
      </c>
      <c r="AE30">
        <v>8.9176000000000002</v>
      </c>
      <c r="AF30">
        <v>8.8869385813003348</v>
      </c>
      <c r="AG30">
        <v>1</v>
      </c>
      <c r="AH30">
        <v>6147.3620248428806</v>
      </c>
      <c r="AI30">
        <v>1.0034718777899021</v>
      </c>
      <c r="AJ30" s="62">
        <v>6168.7048999999997</v>
      </c>
      <c r="AK30" s="60">
        <v>4297.056177472301</v>
      </c>
      <c r="AL30" t="s">
        <v>423</v>
      </c>
      <c r="AM30" t="s">
        <v>424</v>
      </c>
      <c r="AN30" t="s">
        <v>425</v>
      </c>
      <c r="AO30" t="s">
        <v>26</v>
      </c>
      <c r="AP30">
        <v>111.133</v>
      </c>
      <c r="AQ30">
        <v>0.99656169611782708</v>
      </c>
      <c r="AR30">
        <v>110.7508909746625</v>
      </c>
      <c r="AS30">
        <v>691.73</v>
      </c>
      <c r="AT30">
        <v>1</v>
      </c>
      <c r="AU30">
        <v>76.609713813903269</v>
      </c>
      <c r="AV30">
        <v>1.0244</v>
      </c>
      <c r="AW30" s="62">
        <v>78.478999999999999</v>
      </c>
      <c r="AX30">
        <v>8.9176000000000002</v>
      </c>
      <c r="AY30">
        <v>1</v>
      </c>
      <c r="AZ30">
        <v>6147.3620248428806</v>
      </c>
      <c r="BA30">
        <v>1.0034718777899021</v>
      </c>
      <c r="BB30" s="62">
        <v>6168.7048999999997</v>
      </c>
      <c r="BC30" s="60">
        <v>4297.056177472301</v>
      </c>
    </row>
    <row r="31" spans="1:55" x14ac:dyDescent="0.25">
      <c r="A31">
        <v>4867</v>
      </c>
      <c r="B31" t="s">
        <v>136</v>
      </c>
      <c r="C31">
        <v>2016</v>
      </c>
      <c r="D31">
        <v>6</v>
      </c>
      <c r="E31" t="s">
        <v>51</v>
      </c>
      <c r="F31" t="s">
        <v>449</v>
      </c>
      <c r="G31" t="s">
        <v>84</v>
      </c>
      <c r="H31" t="s">
        <v>381</v>
      </c>
      <c r="I31" t="s">
        <v>427</v>
      </c>
      <c r="J31">
        <v>-4.6404793099999999</v>
      </c>
      <c r="K31" t="s">
        <v>440</v>
      </c>
      <c r="L31" t="s">
        <v>384</v>
      </c>
      <c r="M31">
        <v>4.5811354346740003E-2</v>
      </c>
      <c r="N31">
        <v>0.21258664199864491</v>
      </c>
      <c r="O31">
        <v>31615.94</v>
      </c>
      <c r="P31">
        <v>1.5814806999999999E-5</v>
      </c>
      <c r="Q31">
        <v>1</v>
      </c>
      <c r="R31" s="60">
        <v>0.21258664199864491</v>
      </c>
      <c r="S31" t="s">
        <v>432</v>
      </c>
      <c r="T31" t="s">
        <v>424</v>
      </c>
      <c r="U31" t="s">
        <v>425</v>
      </c>
      <c r="V31" t="s">
        <v>81</v>
      </c>
      <c r="W31">
        <v>111.133</v>
      </c>
      <c r="X31">
        <v>0.99656169611782708</v>
      </c>
      <c r="Y31">
        <v>110.7508909746625</v>
      </c>
      <c r="Z31">
        <v>691.73</v>
      </c>
      <c r="AA31">
        <v>1</v>
      </c>
      <c r="AB31">
        <v>76.609713813903269</v>
      </c>
      <c r="AC31">
        <v>0.89239999999999997</v>
      </c>
      <c r="AD31" s="62">
        <v>68.367000000000004</v>
      </c>
      <c r="AE31">
        <v>8.9176000000000002</v>
      </c>
      <c r="AF31">
        <v>8.8869385813003348</v>
      </c>
      <c r="AG31">
        <v>1</v>
      </c>
      <c r="AH31">
        <v>6147.3620248428806</v>
      </c>
      <c r="AI31">
        <v>0.98143450184501846</v>
      </c>
      <c r="AJ31" s="62">
        <v>6033.2331999999997</v>
      </c>
      <c r="AK31" s="60">
        <v>1282.5847863827389</v>
      </c>
      <c r="AL31" t="s">
        <v>423</v>
      </c>
      <c r="AM31" t="s">
        <v>424</v>
      </c>
      <c r="AN31" t="s">
        <v>425</v>
      </c>
      <c r="AO31" t="s">
        <v>81</v>
      </c>
      <c r="AP31">
        <v>111.133</v>
      </c>
      <c r="AQ31">
        <v>0.99656169611782708</v>
      </c>
      <c r="AR31">
        <v>110.7508909746625</v>
      </c>
      <c r="AS31">
        <v>691.73</v>
      </c>
      <c r="AT31">
        <v>1</v>
      </c>
      <c r="AU31">
        <v>76.609713813903269</v>
      </c>
      <c r="AV31">
        <v>0.89239999999999997</v>
      </c>
      <c r="AW31" s="62">
        <v>68.367000000000004</v>
      </c>
      <c r="AX31">
        <v>8.9176000000000002</v>
      </c>
      <c r="AY31">
        <v>1</v>
      </c>
      <c r="AZ31">
        <v>6147.3620248428806</v>
      </c>
      <c r="BA31">
        <v>0.98143450184501846</v>
      </c>
      <c r="BB31" s="62">
        <v>6033.2331999999997</v>
      </c>
      <c r="BC31" s="60">
        <v>1282.5847863827389</v>
      </c>
    </row>
    <row r="32" spans="1:55" x14ac:dyDescent="0.25">
      <c r="A32">
        <v>4868</v>
      </c>
      <c r="B32" t="s">
        <v>136</v>
      </c>
      <c r="C32">
        <v>2016</v>
      </c>
      <c r="D32">
        <v>6</v>
      </c>
      <c r="E32" t="s">
        <v>51</v>
      </c>
      <c r="F32" t="s">
        <v>449</v>
      </c>
      <c r="G32" t="s">
        <v>84</v>
      </c>
      <c r="H32" t="s">
        <v>381</v>
      </c>
      <c r="I32" t="s">
        <v>427</v>
      </c>
      <c r="J32">
        <v>-4.6404793099999999</v>
      </c>
      <c r="K32" t="s">
        <v>440</v>
      </c>
      <c r="L32" t="s">
        <v>385</v>
      </c>
      <c r="M32">
        <v>0.43232641346992001</v>
      </c>
      <c r="N32">
        <v>2.0062017767747622</v>
      </c>
      <c r="O32">
        <v>31615.94</v>
      </c>
      <c r="P32">
        <v>1.5814806999999999E-5</v>
      </c>
      <c r="Q32">
        <v>1</v>
      </c>
      <c r="R32" s="60">
        <v>2.0062017767747622</v>
      </c>
      <c r="S32" t="s">
        <v>432</v>
      </c>
      <c r="T32" t="s">
        <v>424</v>
      </c>
      <c r="U32" t="s">
        <v>425</v>
      </c>
      <c r="V32" t="s">
        <v>27</v>
      </c>
      <c r="W32">
        <v>111.133</v>
      </c>
      <c r="X32">
        <v>0.99656169611782708</v>
      </c>
      <c r="Y32">
        <v>110.7508909746625</v>
      </c>
      <c r="Z32">
        <v>691.73</v>
      </c>
      <c r="AA32">
        <v>1</v>
      </c>
      <c r="AB32">
        <v>76.609713813903269</v>
      </c>
      <c r="AC32">
        <v>1.008</v>
      </c>
      <c r="AD32" s="62">
        <v>77.222999999999999</v>
      </c>
      <c r="AE32">
        <v>8.9176000000000002</v>
      </c>
      <c r="AF32">
        <v>8.8869385813003348</v>
      </c>
      <c r="AG32">
        <v>1</v>
      </c>
      <c r="AH32">
        <v>6147.3620248428806</v>
      </c>
      <c r="AI32">
        <v>1.01312551271534</v>
      </c>
      <c r="AJ32" s="62">
        <v>6228.0492999999997</v>
      </c>
      <c r="AK32" s="60">
        <v>12494.72357150081</v>
      </c>
      <c r="AL32" t="s">
        <v>423</v>
      </c>
      <c r="AM32" t="s">
        <v>424</v>
      </c>
      <c r="AN32" t="s">
        <v>425</v>
      </c>
      <c r="AO32" t="s">
        <v>27</v>
      </c>
      <c r="AP32">
        <v>111.133</v>
      </c>
      <c r="AQ32">
        <v>0.99656169611782708</v>
      </c>
      <c r="AR32">
        <v>110.7508909746625</v>
      </c>
      <c r="AS32">
        <v>691.73</v>
      </c>
      <c r="AT32">
        <v>1</v>
      </c>
      <c r="AU32">
        <v>76.609713813903269</v>
      </c>
      <c r="AV32">
        <v>1.008</v>
      </c>
      <c r="AW32" s="62">
        <v>77.222999999999999</v>
      </c>
      <c r="AX32">
        <v>8.9176000000000002</v>
      </c>
      <c r="AY32">
        <v>1</v>
      </c>
      <c r="AZ32">
        <v>6147.3620248428806</v>
      </c>
      <c r="BA32">
        <v>1.01312551271534</v>
      </c>
      <c r="BB32" s="62">
        <v>6228.0492999999997</v>
      </c>
      <c r="BC32" s="60">
        <v>12494.72357150081</v>
      </c>
    </row>
    <row r="33" spans="1:55" x14ac:dyDescent="0.25">
      <c r="A33">
        <v>4869</v>
      </c>
      <c r="B33" t="s">
        <v>136</v>
      </c>
      <c r="C33">
        <v>2016</v>
      </c>
      <c r="D33">
        <v>6</v>
      </c>
      <c r="E33" t="s">
        <v>51</v>
      </c>
      <c r="F33" t="s">
        <v>449</v>
      </c>
      <c r="G33" t="s">
        <v>84</v>
      </c>
      <c r="H33" t="s">
        <v>381</v>
      </c>
      <c r="I33" t="s">
        <v>427</v>
      </c>
      <c r="J33">
        <v>-4.6404793099999999</v>
      </c>
      <c r="K33" t="s">
        <v>440</v>
      </c>
      <c r="L33" t="s">
        <v>451</v>
      </c>
      <c r="M33">
        <v>1.6825115802299999E-3</v>
      </c>
      <c r="N33">
        <v>7.8076601765077963E-3</v>
      </c>
      <c r="O33">
        <v>31615.94</v>
      </c>
      <c r="P33">
        <v>1.5814806999999999E-5</v>
      </c>
      <c r="Q33">
        <v>1</v>
      </c>
      <c r="R33" s="60">
        <v>7.8076601765077963E-3</v>
      </c>
      <c r="S33" t="s">
        <v>432</v>
      </c>
      <c r="T33" t="s">
        <v>424</v>
      </c>
      <c r="U33" t="s">
        <v>425</v>
      </c>
      <c r="V33" t="s">
        <v>91</v>
      </c>
      <c r="W33">
        <v>111.133</v>
      </c>
      <c r="X33">
        <v>0.99656169611782708</v>
      </c>
      <c r="Y33">
        <v>110.7508909746625</v>
      </c>
      <c r="Z33">
        <v>691.73</v>
      </c>
      <c r="AA33">
        <v>1</v>
      </c>
      <c r="AB33">
        <v>76.609713813903269</v>
      </c>
      <c r="AC33">
        <v>1.0368999999999999</v>
      </c>
      <c r="AD33" s="62">
        <v>79.436999999999998</v>
      </c>
      <c r="AE33">
        <v>8.9176000000000002</v>
      </c>
      <c r="AF33">
        <v>8.8869385813003348</v>
      </c>
      <c r="AG33">
        <v>1</v>
      </c>
      <c r="AH33">
        <v>6147.3620248428806</v>
      </c>
      <c r="AI33">
        <v>0.98272159312768448</v>
      </c>
      <c r="AJ33" s="62">
        <v>6041.1454000000003</v>
      </c>
      <c r="AK33" s="60">
        <v>47.167210360073263</v>
      </c>
      <c r="AL33" t="s">
        <v>423</v>
      </c>
      <c r="AM33" t="s">
        <v>424</v>
      </c>
      <c r="AN33" t="s">
        <v>425</v>
      </c>
      <c r="AO33" t="s">
        <v>91</v>
      </c>
      <c r="AP33">
        <v>111.133</v>
      </c>
      <c r="AQ33">
        <v>0.99656169611782708</v>
      </c>
      <c r="AR33">
        <v>110.7508909746625</v>
      </c>
      <c r="AS33">
        <v>691.73</v>
      </c>
      <c r="AT33">
        <v>1</v>
      </c>
      <c r="AU33">
        <v>76.609713813903269</v>
      </c>
      <c r="AV33">
        <v>1.0368999999999999</v>
      </c>
      <c r="AW33" s="62">
        <v>79.436999999999998</v>
      </c>
      <c r="AX33">
        <v>8.9176000000000002</v>
      </c>
      <c r="AY33">
        <v>1</v>
      </c>
      <c r="AZ33">
        <v>6147.3620248428806</v>
      </c>
      <c r="BA33">
        <v>0.98272159312768448</v>
      </c>
      <c r="BB33" s="62">
        <v>6041.1454000000003</v>
      </c>
      <c r="BC33" s="60">
        <v>47.167210360073263</v>
      </c>
    </row>
    <row r="34" spans="1:55" x14ac:dyDescent="0.25">
      <c r="A34">
        <v>4870</v>
      </c>
      <c r="B34" t="s">
        <v>136</v>
      </c>
      <c r="C34">
        <v>2016</v>
      </c>
      <c r="D34">
        <v>6</v>
      </c>
      <c r="E34" t="s">
        <v>51</v>
      </c>
      <c r="F34" t="s">
        <v>449</v>
      </c>
      <c r="G34" t="s">
        <v>84</v>
      </c>
      <c r="H34" t="s">
        <v>381</v>
      </c>
      <c r="I34" t="s">
        <v>427</v>
      </c>
      <c r="J34">
        <v>-4.6404793099999999</v>
      </c>
      <c r="K34" t="s">
        <v>440</v>
      </c>
      <c r="L34" t="s">
        <v>452</v>
      </c>
      <c r="M34">
        <v>1.53682162831E-3</v>
      </c>
      <c r="N34">
        <v>7.1315889689814727E-3</v>
      </c>
      <c r="O34">
        <v>31615.94</v>
      </c>
      <c r="P34">
        <v>1.5814806999999999E-5</v>
      </c>
      <c r="Q34">
        <v>1</v>
      </c>
      <c r="R34" s="60">
        <v>7.1315889689814727E-3</v>
      </c>
      <c r="S34" t="s">
        <v>432</v>
      </c>
      <c r="T34" t="s">
        <v>424</v>
      </c>
      <c r="U34" t="s">
        <v>425</v>
      </c>
      <c r="V34" t="s">
        <v>28</v>
      </c>
      <c r="W34">
        <v>111.133</v>
      </c>
      <c r="X34">
        <v>0.99656169611782708</v>
      </c>
      <c r="Y34">
        <v>110.7508909746625</v>
      </c>
      <c r="Z34">
        <v>691.73</v>
      </c>
      <c r="AA34">
        <v>1</v>
      </c>
      <c r="AB34">
        <v>76.609713813903269</v>
      </c>
      <c r="AC34">
        <v>1.0342</v>
      </c>
      <c r="AD34" s="62">
        <v>79.23</v>
      </c>
      <c r="AE34">
        <v>8.9176000000000002</v>
      </c>
      <c r="AF34">
        <v>8.8869385813003348</v>
      </c>
      <c r="AG34">
        <v>1</v>
      </c>
      <c r="AH34">
        <v>6147.3620248428806</v>
      </c>
      <c r="AI34">
        <v>0.98050797401063194</v>
      </c>
      <c r="AJ34" s="62">
        <v>6027.5375000000004</v>
      </c>
      <c r="AK34" s="60">
        <v>42.985919945122163</v>
      </c>
      <c r="AL34" t="s">
        <v>423</v>
      </c>
      <c r="AM34" t="s">
        <v>424</v>
      </c>
      <c r="AN34" t="s">
        <v>425</v>
      </c>
      <c r="AO34" t="s">
        <v>28</v>
      </c>
      <c r="AP34">
        <v>111.133</v>
      </c>
      <c r="AQ34">
        <v>0.99656169611782708</v>
      </c>
      <c r="AR34">
        <v>110.7508909746625</v>
      </c>
      <c r="AS34">
        <v>691.73</v>
      </c>
      <c r="AT34">
        <v>1</v>
      </c>
      <c r="AU34">
        <v>76.609713813903269</v>
      </c>
      <c r="AV34">
        <v>1.0342</v>
      </c>
      <c r="AW34" s="62">
        <v>79.23</v>
      </c>
      <c r="AX34">
        <v>8.9176000000000002</v>
      </c>
      <c r="AY34">
        <v>1</v>
      </c>
      <c r="AZ34">
        <v>6147.3620248428806</v>
      </c>
      <c r="BA34">
        <v>0.98050797401063194</v>
      </c>
      <c r="BB34" s="62">
        <v>6027.5375000000004</v>
      </c>
      <c r="BC34" s="60">
        <v>42.985919945122163</v>
      </c>
    </row>
    <row r="35" spans="1:55" x14ac:dyDescent="0.25">
      <c r="A35">
        <v>4871</v>
      </c>
      <c r="B35" t="s">
        <v>136</v>
      </c>
      <c r="C35">
        <v>2016</v>
      </c>
      <c r="D35">
        <v>6</v>
      </c>
      <c r="E35" t="s">
        <v>51</v>
      </c>
      <c r="F35" t="s">
        <v>449</v>
      </c>
      <c r="G35" t="s">
        <v>84</v>
      </c>
      <c r="H35" t="s">
        <v>87</v>
      </c>
      <c r="I35" t="s">
        <v>427</v>
      </c>
      <c r="J35">
        <v>-0.95448814999999998</v>
      </c>
      <c r="K35" t="s">
        <v>440</v>
      </c>
      <c r="L35" t="s">
        <v>450</v>
      </c>
      <c r="M35">
        <v>0.26601384014995</v>
      </c>
      <c r="N35">
        <v>0.25390705726859192</v>
      </c>
      <c r="O35">
        <v>31615.94</v>
      </c>
      <c r="P35">
        <v>1.5814806999999999E-5</v>
      </c>
      <c r="Q35">
        <v>1</v>
      </c>
      <c r="R35" s="60">
        <v>0.25390705726859192</v>
      </c>
      <c r="S35" t="s">
        <v>432</v>
      </c>
      <c r="T35" t="s">
        <v>424</v>
      </c>
      <c r="U35" t="s">
        <v>425</v>
      </c>
      <c r="V35" t="s">
        <v>26</v>
      </c>
      <c r="W35">
        <v>111.133</v>
      </c>
      <c r="X35">
        <v>0.99656169611782708</v>
      </c>
      <c r="Y35">
        <v>110.7508909746625</v>
      </c>
      <c r="Z35">
        <v>691.73</v>
      </c>
      <c r="AA35">
        <v>1</v>
      </c>
      <c r="AB35">
        <v>76.609713813903269</v>
      </c>
      <c r="AC35">
        <v>1.0244</v>
      </c>
      <c r="AD35" s="62">
        <v>78.478999999999999</v>
      </c>
      <c r="AE35">
        <v>8.9176000000000002</v>
      </c>
      <c r="AF35">
        <v>8.8869385813003348</v>
      </c>
      <c r="AG35">
        <v>1</v>
      </c>
      <c r="AH35">
        <v>6147.3620248428806</v>
      </c>
      <c r="AI35">
        <v>1.0034718777899021</v>
      </c>
      <c r="AJ35" s="62">
        <v>6168.7048999999997</v>
      </c>
      <c r="AK35" s="60">
        <v>1566.277708317343</v>
      </c>
      <c r="AL35" t="s">
        <v>423</v>
      </c>
      <c r="AM35" t="s">
        <v>424</v>
      </c>
      <c r="AN35" t="s">
        <v>425</v>
      </c>
      <c r="AO35" t="s">
        <v>26</v>
      </c>
      <c r="AP35">
        <v>111.133</v>
      </c>
      <c r="AQ35">
        <v>0.99656169611782708</v>
      </c>
      <c r="AR35">
        <v>110.7508909746625</v>
      </c>
      <c r="AS35">
        <v>691.73</v>
      </c>
      <c r="AT35">
        <v>1</v>
      </c>
      <c r="AU35">
        <v>76.609713813903269</v>
      </c>
      <c r="AV35">
        <v>1.0244</v>
      </c>
      <c r="AW35" s="62">
        <v>78.478999999999999</v>
      </c>
      <c r="AX35">
        <v>8.9176000000000002</v>
      </c>
      <c r="AY35">
        <v>1</v>
      </c>
      <c r="AZ35">
        <v>6147.3620248428806</v>
      </c>
      <c r="BA35">
        <v>1.0034718777899021</v>
      </c>
      <c r="BB35" s="62">
        <v>6168.7048999999997</v>
      </c>
      <c r="BC35" s="60">
        <v>1566.277708317343</v>
      </c>
    </row>
    <row r="36" spans="1:55" x14ac:dyDescent="0.25">
      <c r="A36">
        <v>4872</v>
      </c>
      <c r="B36" t="s">
        <v>136</v>
      </c>
      <c r="C36">
        <v>2016</v>
      </c>
      <c r="D36">
        <v>6</v>
      </c>
      <c r="E36" t="s">
        <v>51</v>
      </c>
      <c r="F36" t="s">
        <v>449</v>
      </c>
      <c r="G36" t="s">
        <v>84</v>
      </c>
      <c r="H36" t="s">
        <v>87</v>
      </c>
      <c r="I36" t="s">
        <v>427</v>
      </c>
      <c r="J36">
        <v>-0.95448814999999998</v>
      </c>
      <c r="K36" t="s">
        <v>440</v>
      </c>
      <c r="L36" t="s">
        <v>384</v>
      </c>
      <c r="M36">
        <v>3.9509559941419997E-2</v>
      </c>
      <c r="N36">
        <v>3.7711406643534673E-2</v>
      </c>
      <c r="O36">
        <v>31615.94</v>
      </c>
      <c r="P36">
        <v>1.5814806999999999E-5</v>
      </c>
      <c r="Q36">
        <v>1</v>
      </c>
      <c r="R36" s="60">
        <v>3.7711406643534673E-2</v>
      </c>
      <c r="S36" t="s">
        <v>432</v>
      </c>
      <c r="T36" t="s">
        <v>424</v>
      </c>
      <c r="U36" t="s">
        <v>425</v>
      </c>
      <c r="V36" t="s">
        <v>81</v>
      </c>
      <c r="W36">
        <v>111.133</v>
      </c>
      <c r="X36">
        <v>0.99656169611782708</v>
      </c>
      <c r="Y36">
        <v>110.7508909746625</v>
      </c>
      <c r="Z36">
        <v>691.73</v>
      </c>
      <c r="AA36">
        <v>1</v>
      </c>
      <c r="AB36">
        <v>76.609713813903269</v>
      </c>
      <c r="AC36">
        <v>0.89239999999999997</v>
      </c>
      <c r="AD36" s="62">
        <v>68.367000000000004</v>
      </c>
      <c r="AE36">
        <v>8.9176000000000002</v>
      </c>
      <c r="AF36">
        <v>8.8869385813003348</v>
      </c>
      <c r="AG36">
        <v>1</v>
      </c>
      <c r="AH36">
        <v>6147.3620248428806</v>
      </c>
      <c r="AI36">
        <v>0.98143450184501846</v>
      </c>
      <c r="AJ36" s="62">
        <v>6033.2331999999997</v>
      </c>
      <c r="AK36" s="60">
        <v>227.52171058047389</v>
      </c>
      <c r="AL36" t="s">
        <v>423</v>
      </c>
      <c r="AM36" t="s">
        <v>424</v>
      </c>
      <c r="AN36" t="s">
        <v>425</v>
      </c>
      <c r="AO36" t="s">
        <v>81</v>
      </c>
      <c r="AP36">
        <v>111.133</v>
      </c>
      <c r="AQ36">
        <v>0.99656169611782708</v>
      </c>
      <c r="AR36">
        <v>110.7508909746625</v>
      </c>
      <c r="AS36">
        <v>691.73</v>
      </c>
      <c r="AT36">
        <v>1</v>
      </c>
      <c r="AU36">
        <v>76.609713813903269</v>
      </c>
      <c r="AV36">
        <v>0.89239999999999997</v>
      </c>
      <c r="AW36" s="62">
        <v>68.367000000000004</v>
      </c>
      <c r="AX36">
        <v>8.9176000000000002</v>
      </c>
      <c r="AY36">
        <v>1</v>
      </c>
      <c r="AZ36">
        <v>6147.3620248428806</v>
      </c>
      <c r="BA36">
        <v>0.98143450184501846</v>
      </c>
      <c r="BB36" s="62">
        <v>6033.2331999999997</v>
      </c>
      <c r="BC36" s="60">
        <v>227.52171058047389</v>
      </c>
    </row>
    <row r="37" spans="1:55" x14ac:dyDescent="0.25">
      <c r="A37">
        <v>4873</v>
      </c>
      <c r="B37" t="s">
        <v>136</v>
      </c>
      <c r="C37">
        <v>2016</v>
      </c>
      <c r="D37">
        <v>6</v>
      </c>
      <c r="E37" t="s">
        <v>51</v>
      </c>
      <c r="F37" t="s">
        <v>449</v>
      </c>
      <c r="G37" t="s">
        <v>84</v>
      </c>
      <c r="H37" t="s">
        <v>87</v>
      </c>
      <c r="I37" t="s">
        <v>427</v>
      </c>
      <c r="J37">
        <v>-0.95448814999999998</v>
      </c>
      <c r="K37" t="s">
        <v>440</v>
      </c>
      <c r="L37" t="s">
        <v>385</v>
      </c>
      <c r="M37">
        <v>0.39737542925016001</v>
      </c>
      <c r="N37">
        <v>0.37929013699015479</v>
      </c>
      <c r="O37">
        <v>31615.94</v>
      </c>
      <c r="P37">
        <v>1.5814806999999999E-5</v>
      </c>
      <c r="Q37">
        <v>1</v>
      </c>
      <c r="R37" s="60">
        <v>0.37929013699015479</v>
      </c>
      <c r="S37" t="s">
        <v>432</v>
      </c>
      <c r="T37" t="s">
        <v>424</v>
      </c>
      <c r="U37" t="s">
        <v>425</v>
      </c>
      <c r="V37" t="s">
        <v>27</v>
      </c>
      <c r="W37">
        <v>111.133</v>
      </c>
      <c r="X37">
        <v>0.99656169611782708</v>
      </c>
      <c r="Y37">
        <v>110.7508909746625</v>
      </c>
      <c r="Z37">
        <v>691.73</v>
      </c>
      <c r="AA37">
        <v>1</v>
      </c>
      <c r="AB37">
        <v>76.609713813903269</v>
      </c>
      <c r="AC37">
        <v>1.008</v>
      </c>
      <c r="AD37" s="62">
        <v>77.222999999999999</v>
      </c>
      <c r="AE37">
        <v>8.9176000000000002</v>
      </c>
      <c r="AF37">
        <v>8.8869385813003348</v>
      </c>
      <c r="AG37">
        <v>1</v>
      </c>
      <c r="AH37">
        <v>6147.3620248428806</v>
      </c>
      <c r="AI37">
        <v>1.01312551271534</v>
      </c>
      <c r="AJ37" s="62">
        <v>6228.0492999999997</v>
      </c>
      <c r="AK37" s="60">
        <v>2362.2376721784381</v>
      </c>
      <c r="AL37" t="s">
        <v>423</v>
      </c>
      <c r="AM37" t="s">
        <v>424</v>
      </c>
      <c r="AN37" t="s">
        <v>425</v>
      </c>
      <c r="AO37" t="s">
        <v>27</v>
      </c>
      <c r="AP37">
        <v>111.133</v>
      </c>
      <c r="AQ37">
        <v>0.99656169611782708</v>
      </c>
      <c r="AR37">
        <v>110.7508909746625</v>
      </c>
      <c r="AS37">
        <v>691.73</v>
      </c>
      <c r="AT37">
        <v>1</v>
      </c>
      <c r="AU37">
        <v>76.609713813903269</v>
      </c>
      <c r="AV37">
        <v>1.008</v>
      </c>
      <c r="AW37" s="62">
        <v>77.222999999999999</v>
      </c>
      <c r="AX37">
        <v>8.9176000000000002</v>
      </c>
      <c r="AY37">
        <v>1</v>
      </c>
      <c r="AZ37">
        <v>6147.3620248428806</v>
      </c>
      <c r="BA37">
        <v>1.01312551271534</v>
      </c>
      <c r="BB37" s="62">
        <v>6228.0492999999997</v>
      </c>
      <c r="BC37" s="60">
        <v>2362.2376721784381</v>
      </c>
    </row>
    <row r="38" spans="1:55" x14ac:dyDescent="0.25">
      <c r="A38">
        <v>4874</v>
      </c>
      <c r="B38" t="s">
        <v>136</v>
      </c>
      <c r="C38">
        <v>2016</v>
      </c>
      <c r="D38">
        <v>6</v>
      </c>
      <c r="E38" t="s">
        <v>51</v>
      </c>
      <c r="F38" t="s">
        <v>449</v>
      </c>
      <c r="G38" t="s">
        <v>84</v>
      </c>
      <c r="H38" t="s">
        <v>87</v>
      </c>
      <c r="I38" t="s">
        <v>427</v>
      </c>
      <c r="J38">
        <v>-0.95448814999999998</v>
      </c>
      <c r="K38" t="s">
        <v>440</v>
      </c>
      <c r="L38" t="s">
        <v>452</v>
      </c>
      <c r="M38">
        <v>8.4248020759000004E-4</v>
      </c>
      <c r="N38">
        <v>8.0413737193383975E-4</v>
      </c>
      <c r="O38">
        <v>31615.94</v>
      </c>
      <c r="P38">
        <v>1.5814806999999999E-5</v>
      </c>
      <c r="Q38">
        <v>1</v>
      </c>
      <c r="R38" s="60">
        <v>8.0413737193383975E-4</v>
      </c>
      <c r="S38" t="s">
        <v>432</v>
      </c>
      <c r="T38" t="s">
        <v>424</v>
      </c>
      <c r="U38" t="s">
        <v>425</v>
      </c>
      <c r="V38" t="s">
        <v>28</v>
      </c>
      <c r="W38">
        <v>111.133</v>
      </c>
      <c r="X38">
        <v>0.99656169611782708</v>
      </c>
      <c r="Y38">
        <v>110.7508909746625</v>
      </c>
      <c r="Z38">
        <v>691.73</v>
      </c>
      <c r="AA38">
        <v>1</v>
      </c>
      <c r="AB38">
        <v>76.609713813903269</v>
      </c>
      <c r="AC38">
        <v>1.0342</v>
      </c>
      <c r="AD38" s="62">
        <v>79.23</v>
      </c>
      <c r="AE38">
        <v>8.9176000000000002</v>
      </c>
      <c r="AF38">
        <v>8.8869385813003348</v>
      </c>
      <c r="AG38">
        <v>1</v>
      </c>
      <c r="AH38">
        <v>6147.3620248428806</v>
      </c>
      <c r="AI38">
        <v>0.98050797401063194</v>
      </c>
      <c r="AJ38" s="62">
        <v>6027.5375000000004</v>
      </c>
      <c r="AK38" s="60">
        <v>4.846968164482667</v>
      </c>
      <c r="AL38" t="s">
        <v>423</v>
      </c>
      <c r="AM38" t="s">
        <v>424</v>
      </c>
      <c r="AN38" t="s">
        <v>425</v>
      </c>
      <c r="AO38" t="s">
        <v>28</v>
      </c>
      <c r="AP38">
        <v>111.133</v>
      </c>
      <c r="AQ38">
        <v>0.99656169611782708</v>
      </c>
      <c r="AR38">
        <v>110.7508909746625</v>
      </c>
      <c r="AS38">
        <v>691.73</v>
      </c>
      <c r="AT38">
        <v>1</v>
      </c>
      <c r="AU38">
        <v>76.609713813903269</v>
      </c>
      <c r="AV38">
        <v>1.0342</v>
      </c>
      <c r="AW38" s="62">
        <v>79.23</v>
      </c>
      <c r="AX38">
        <v>8.9176000000000002</v>
      </c>
      <c r="AY38">
        <v>1</v>
      </c>
      <c r="AZ38">
        <v>6147.3620248428806</v>
      </c>
      <c r="BA38">
        <v>0.98050797401063194</v>
      </c>
      <c r="BB38" s="62">
        <v>6027.5375000000004</v>
      </c>
      <c r="BC38" s="60">
        <v>4.846968164482667</v>
      </c>
    </row>
    <row r="39" spans="1:55" x14ac:dyDescent="0.25">
      <c r="A39">
        <v>4875</v>
      </c>
      <c r="B39" t="s">
        <v>136</v>
      </c>
      <c r="C39">
        <v>2016</v>
      </c>
      <c r="D39">
        <v>6</v>
      </c>
      <c r="E39" t="s">
        <v>51</v>
      </c>
      <c r="F39" t="s">
        <v>449</v>
      </c>
      <c r="G39" t="s">
        <v>84</v>
      </c>
      <c r="H39" t="s">
        <v>59</v>
      </c>
      <c r="I39" t="s">
        <v>427</v>
      </c>
      <c r="J39">
        <v>-2.7802096299999999</v>
      </c>
      <c r="K39" t="s">
        <v>440</v>
      </c>
      <c r="L39" t="s">
        <v>450</v>
      </c>
      <c r="M39">
        <v>0.15931709696460999</v>
      </c>
      <c r="N39">
        <v>0.44293492686806479</v>
      </c>
      <c r="O39">
        <v>31615.94</v>
      </c>
      <c r="P39">
        <v>1.5814806999999999E-5</v>
      </c>
      <c r="Q39">
        <v>1</v>
      </c>
      <c r="R39" s="60">
        <v>0.44293492686806479</v>
      </c>
      <c r="S39" t="s">
        <v>432</v>
      </c>
      <c r="T39" t="s">
        <v>424</v>
      </c>
      <c r="U39" t="s">
        <v>425</v>
      </c>
      <c r="V39" t="s">
        <v>26</v>
      </c>
      <c r="W39">
        <v>111.133</v>
      </c>
      <c r="X39">
        <v>0.99656169611782708</v>
      </c>
      <c r="Y39">
        <v>110.7508909746625</v>
      </c>
      <c r="Z39">
        <v>691.73</v>
      </c>
      <c r="AA39">
        <v>1</v>
      </c>
      <c r="AB39">
        <v>76.609713813903269</v>
      </c>
      <c r="AC39">
        <v>1.0244</v>
      </c>
      <c r="AD39" s="62">
        <v>78.478999999999999</v>
      </c>
      <c r="AE39">
        <v>8.9176000000000002</v>
      </c>
      <c r="AF39">
        <v>8.8869385813003348</v>
      </c>
      <c r="AG39">
        <v>1</v>
      </c>
      <c r="AH39">
        <v>6147.3620248428806</v>
      </c>
      <c r="AI39">
        <v>1.0034718777899021</v>
      </c>
      <c r="AJ39" s="62">
        <v>6168.7048999999997</v>
      </c>
      <c r="AK39" s="60">
        <v>2732.3348537521729</v>
      </c>
      <c r="AL39" t="s">
        <v>423</v>
      </c>
      <c r="AM39" t="s">
        <v>424</v>
      </c>
      <c r="AN39" t="s">
        <v>425</v>
      </c>
      <c r="AO39" t="s">
        <v>26</v>
      </c>
      <c r="AP39">
        <v>111.133</v>
      </c>
      <c r="AQ39">
        <v>0.99656169611782708</v>
      </c>
      <c r="AR39">
        <v>110.7508909746625</v>
      </c>
      <c r="AS39">
        <v>691.73</v>
      </c>
      <c r="AT39">
        <v>1</v>
      </c>
      <c r="AU39">
        <v>76.609713813903269</v>
      </c>
      <c r="AV39">
        <v>1.0244</v>
      </c>
      <c r="AW39" s="62">
        <v>78.478999999999999</v>
      </c>
      <c r="AX39">
        <v>8.9176000000000002</v>
      </c>
      <c r="AY39">
        <v>1</v>
      </c>
      <c r="AZ39">
        <v>6147.3620248428806</v>
      </c>
      <c r="BA39">
        <v>1.0034718777899021</v>
      </c>
      <c r="BB39" s="62">
        <v>6168.7048999999997</v>
      </c>
      <c r="BC39" s="60">
        <v>2732.3348537521729</v>
      </c>
    </row>
    <row r="40" spans="1:55" x14ac:dyDescent="0.25">
      <c r="A40">
        <v>4876</v>
      </c>
      <c r="B40" t="s">
        <v>136</v>
      </c>
      <c r="C40">
        <v>2016</v>
      </c>
      <c r="D40">
        <v>6</v>
      </c>
      <c r="E40" t="s">
        <v>51</v>
      </c>
      <c r="F40" t="s">
        <v>449</v>
      </c>
      <c r="G40" t="s">
        <v>84</v>
      </c>
      <c r="H40" t="s">
        <v>59</v>
      </c>
      <c r="I40" t="s">
        <v>427</v>
      </c>
      <c r="J40">
        <v>-2.7802096299999999</v>
      </c>
      <c r="K40" t="s">
        <v>440</v>
      </c>
      <c r="L40" t="s">
        <v>384</v>
      </c>
      <c r="M40">
        <v>4.1785183859599999E-2</v>
      </c>
      <c r="N40">
        <v>0.1161715704695013</v>
      </c>
      <c r="O40">
        <v>31615.94</v>
      </c>
      <c r="P40">
        <v>1.5814806999999999E-5</v>
      </c>
      <c r="Q40">
        <v>1</v>
      </c>
      <c r="R40" s="60">
        <v>0.1161715704695013</v>
      </c>
      <c r="S40" t="s">
        <v>432</v>
      </c>
      <c r="T40" t="s">
        <v>424</v>
      </c>
      <c r="U40" t="s">
        <v>425</v>
      </c>
      <c r="V40" t="s">
        <v>81</v>
      </c>
      <c r="W40">
        <v>111.133</v>
      </c>
      <c r="X40">
        <v>0.99656169611782708</v>
      </c>
      <c r="Y40">
        <v>110.7508909746625</v>
      </c>
      <c r="Z40">
        <v>691.73</v>
      </c>
      <c r="AA40">
        <v>1</v>
      </c>
      <c r="AB40">
        <v>76.609713813903269</v>
      </c>
      <c r="AC40">
        <v>0.89239999999999997</v>
      </c>
      <c r="AD40" s="62">
        <v>68.367000000000004</v>
      </c>
      <c r="AE40">
        <v>8.9176000000000002</v>
      </c>
      <c r="AF40">
        <v>8.8869385813003348</v>
      </c>
      <c r="AG40">
        <v>1</v>
      </c>
      <c r="AH40">
        <v>6147.3620248428806</v>
      </c>
      <c r="AI40">
        <v>0.98143450184501846</v>
      </c>
      <c r="AJ40" s="62">
        <v>6033.2331999999997</v>
      </c>
      <c r="AK40" s="60">
        <v>700.89017585273507</v>
      </c>
      <c r="AL40" t="s">
        <v>423</v>
      </c>
      <c r="AM40" t="s">
        <v>424</v>
      </c>
      <c r="AN40" t="s">
        <v>425</v>
      </c>
      <c r="AO40" t="s">
        <v>81</v>
      </c>
      <c r="AP40">
        <v>111.133</v>
      </c>
      <c r="AQ40">
        <v>0.99656169611782708</v>
      </c>
      <c r="AR40">
        <v>110.7508909746625</v>
      </c>
      <c r="AS40">
        <v>691.73</v>
      </c>
      <c r="AT40">
        <v>1</v>
      </c>
      <c r="AU40">
        <v>76.609713813903269</v>
      </c>
      <c r="AV40">
        <v>0.89239999999999997</v>
      </c>
      <c r="AW40" s="62">
        <v>68.367000000000004</v>
      </c>
      <c r="AX40">
        <v>8.9176000000000002</v>
      </c>
      <c r="AY40">
        <v>1</v>
      </c>
      <c r="AZ40">
        <v>6147.3620248428806</v>
      </c>
      <c r="BA40">
        <v>0.98143450184501846</v>
      </c>
      <c r="BB40" s="62">
        <v>6033.2331999999997</v>
      </c>
      <c r="BC40" s="60">
        <v>700.89017585273507</v>
      </c>
    </row>
    <row r="41" spans="1:55" x14ac:dyDescent="0.25">
      <c r="A41">
        <v>4877</v>
      </c>
      <c r="B41" t="s">
        <v>136</v>
      </c>
      <c r="C41">
        <v>2016</v>
      </c>
      <c r="D41">
        <v>6</v>
      </c>
      <c r="E41" t="s">
        <v>51</v>
      </c>
      <c r="F41" t="s">
        <v>449</v>
      </c>
      <c r="G41" t="s">
        <v>84</v>
      </c>
      <c r="H41" t="s">
        <v>59</v>
      </c>
      <c r="I41" t="s">
        <v>427</v>
      </c>
      <c r="J41">
        <v>-2.7802096299999999</v>
      </c>
      <c r="K41" t="s">
        <v>440</v>
      </c>
      <c r="L41" t="s">
        <v>385</v>
      </c>
      <c r="M41">
        <v>0.43497567483749999</v>
      </c>
      <c r="N41">
        <v>1.2093235590799969</v>
      </c>
      <c r="O41">
        <v>31615.94</v>
      </c>
      <c r="P41">
        <v>1.5814806999999999E-5</v>
      </c>
      <c r="Q41">
        <v>1</v>
      </c>
      <c r="R41" s="60">
        <v>1.2093235590799969</v>
      </c>
      <c r="S41" t="s">
        <v>432</v>
      </c>
      <c r="T41" t="s">
        <v>424</v>
      </c>
      <c r="U41" t="s">
        <v>425</v>
      </c>
      <c r="V41" t="s">
        <v>27</v>
      </c>
      <c r="W41">
        <v>111.133</v>
      </c>
      <c r="X41">
        <v>0.99656169611782708</v>
      </c>
      <c r="Y41">
        <v>110.7508909746625</v>
      </c>
      <c r="Z41">
        <v>691.73</v>
      </c>
      <c r="AA41">
        <v>1</v>
      </c>
      <c r="AB41">
        <v>76.609713813903269</v>
      </c>
      <c r="AC41">
        <v>1.008</v>
      </c>
      <c r="AD41" s="62">
        <v>77.222999999999999</v>
      </c>
      <c r="AE41">
        <v>8.9176000000000002</v>
      </c>
      <c r="AF41">
        <v>8.8869385813003348</v>
      </c>
      <c r="AG41">
        <v>1</v>
      </c>
      <c r="AH41">
        <v>6147.3620248428806</v>
      </c>
      <c r="AI41">
        <v>1.01312551271534</v>
      </c>
      <c r="AJ41" s="62">
        <v>6228.0492999999997</v>
      </c>
      <c r="AK41" s="60">
        <v>7531.7267456016853</v>
      </c>
      <c r="AL41" t="s">
        <v>423</v>
      </c>
      <c r="AM41" t="s">
        <v>424</v>
      </c>
      <c r="AN41" t="s">
        <v>425</v>
      </c>
      <c r="AO41" t="s">
        <v>27</v>
      </c>
      <c r="AP41">
        <v>111.133</v>
      </c>
      <c r="AQ41">
        <v>0.99656169611782708</v>
      </c>
      <c r="AR41">
        <v>110.7508909746625</v>
      </c>
      <c r="AS41">
        <v>691.73</v>
      </c>
      <c r="AT41">
        <v>1</v>
      </c>
      <c r="AU41">
        <v>76.609713813903269</v>
      </c>
      <c r="AV41">
        <v>1.008</v>
      </c>
      <c r="AW41" s="62">
        <v>77.222999999999999</v>
      </c>
      <c r="AX41">
        <v>8.9176000000000002</v>
      </c>
      <c r="AY41">
        <v>1</v>
      </c>
      <c r="AZ41">
        <v>6147.3620248428806</v>
      </c>
      <c r="BA41">
        <v>1.01312551271534</v>
      </c>
      <c r="BB41" s="62">
        <v>6228.0492999999997</v>
      </c>
      <c r="BC41" s="60">
        <v>7531.7267456016853</v>
      </c>
    </row>
    <row r="42" spans="1:55" x14ac:dyDescent="0.25">
      <c r="A42">
        <v>4878</v>
      </c>
      <c r="B42" t="s">
        <v>136</v>
      </c>
      <c r="C42">
        <v>2016</v>
      </c>
      <c r="D42">
        <v>6</v>
      </c>
      <c r="E42" t="s">
        <v>51</v>
      </c>
      <c r="F42" t="s">
        <v>449</v>
      </c>
      <c r="G42" t="s">
        <v>84</v>
      </c>
      <c r="H42" t="s">
        <v>59</v>
      </c>
      <c r="I42" t="s">
        <v>427</v>
      </c>
      <c r="J42">
        <v>-2.7802096299999999</v>
      </c>
      <c r="K42" t="s">
        <v>440</v>
      </c>
      <c r="L42" t="s">
        <v>451</v>
      </c>
      <c r="M42">
        <v>1.7625750762999999E-3</v>
      </c>
      <c r="N42">
        <v>4.9003281970034698E-3</v>
      </c>
      <c r="O42">
        <v>31615.94</v>
      </c>
      <c r="P42">
        <v>1.5814806999999999E-5</v>
      </c>
      <c r="Q42">
        <v>1</v>
      </c>
      <c r="R42" s="60">
        <v>4.9003281970034698E-3</v>
      </c>
      <c r="S42" t="s">
        <v>432</v>
      </c>
      <c r="T42" t="s">
        <v>424</v>
      </c>
      <c r="U42" t="s">
        <v>425</v>
      </c>
      <c r="V42" t="s">
        <v>91</v>
      </c>
      <c r="W42">
        <v>111.133</v>
      </c>
      <c r="X42">
        <v>0.99656169611782708</v>
      </c>
      <c r="Y42">
        <v>110.7508909746625</v>
      </c>
      <c r="Z42">
        <v>691.73</v>
      </c>
      <c r="AA42">
        <v>1</v>
      </c>
      <c r="AB42">
        <v>76.609713813903269</v>
      </c>
      <c r="AC42">
        <v>1.0368999999999999</v>
      </c>
      <c r="AD42" s="62">
        <v>79.436999999999998</v>
      </c>
      <c r="AE42">
        <v>8.9176000000000002</v>
      </c>
      <c r="AF42">
        <v>8.8869385813003348</v>
      </c>
      <c r="AG42">
        <v>1</v>
      </c>
      <c r="AH42">
        <v>6147.3620248428806</v>
      </c>
      <c r="AI42">
        <v>0.98272159312768448</v>
      </c>
      <c r="AJ42" s="62">
        <v>6041.1454000000003</v>
      </c>
      <c r="AK42" s="60">
        <v>29.60359514581781</v>
      </c>
      <c r="AL42" t="s">
        <v>423</v>
      </c>
      <c r="AM42" t="s">
        <v>424</v>
      </c>
      <c r="AN42" t="s">
        <v>425</v>
      </c>
      <c r="AO42" t="s">
        <v>91</v>
      </c>
      <c r="AP42">
        <v>111.133</v>
      </c>
      <c r="AQ42">
        <v>0.99656169611782708</v>
      </c>
      <c r="AR42">
        <v>110.7508909746625</v>
      </c>
      <c r="AS42">
        <v>691.73</v>
      </c>
      <c r="AT42">
        <v>1</v>
      </c>
      <c r="AU42">
        <v>76.609713813903269</v>
      </c>
      <c r="AV42">
        <v>1.0368999999999999</v>
      </c>
      <c r="AW42" s="62">
        <v>79.436999999999998</v>
      </c>
      <c r="AX42">
        <v>8.9176000000000002</v>
      </c>
      <c r="AY42">
        <v>1</v>
      </c>
      <c r="AZ42">
        <v>6147.3620248428806</v>
      </c>
      <c r="BA42">
        <v>0.98272159312768448</v>
      </c>
      <c r="BB42" s="62">
        <v>6041.1454000000003</v>
      </c>
      <c r="BC42" s="60">
        <v>29.60359514581781</v>
      </c>
    </row>
    <row r="43" spans="1:55" x14ac:dyDescent="0.25">
      <c r="A43">
        <v>4879</v>
      </c>
      <c r="B43" t="s">
        <v>136</v>
      </c>
      <c r="C43">
        <v>2016</v>
      </c>
      <c r="D43">
        <v>6</v>
      </c>
      <c r="E43" t="s">
        <v>51</v>
      </c>
      <c r="F43" t="s">
        <v>449</v>
      </c>
      <c r="G43" t="s">
        <v>84</v>
      </c>
      <c r="H43" t="s">
        <v>59</v>
      </c>
      <c r="I43" t="s">
        <v>427</v>
      </c>
      <c r="J43">
        <v>-2.7802096299999999</v>
      </c>
      <c r="K43" t="s">
        <v>440</v>
      </c>
      <c r="L43" t="s">
        <v>452</v>
      </c>
      <c r="M43">
        <v>1.4858046103299999E-3</v>
      </c>
      <c r="N43">
        <v>4.1308482827988194E-3</v>
      </c>
      <c r="O43">
        <v>31615.94</v>
      </c>
      <c r="P43">
        <v>1.5814806999999999E-5</v>
      </c>
      <c r="Q43">
        <v>1</v>
      </c>
      <c r="R43" s="60">
        <v>4.1308482827988194E-3</v>
      </c>
      <c r="S43" t="s">
        <v>432</v>
      </c>
      <c r="T43" t="s">
        <v>424</v>
      </c>
      <c r="U43" t="s">
        <v>425</v>
      </c>
      <c r="V43" t="s">
        <v>28</v>
      </c>
      <c r="W43">
        <v>111.133</v>
      </c>
      <c r="X43">
        <v>0.99656169611782708</v>
      </c>
      <c r="Y43">
        <v>110.7508909746625</v>
      </c>
      <c r="Z43">
        <v>691.73</v>
      </c>
      <c r="AA43">
        <v>1</v>
      </c>
      <c r="AB43">
        <v>76.609713813903269</v>
      </c>
      <c r="AC43">
        <v>1.0342</v>
      </c>
      <c r="AD43" s="62">
        <v>79.23</v>
      </c>
      <c r="AE43">
        <v>8.9176000000000002</v>
      </c>
      <c r="AF43">
        <v>8.8869385813003348</v>
      </c>
      <c r="AG43">
        <v>1</v>
      </c>
      <c r="AH43">
        <v>6147.3620248428806</v>
      </c>
      <c r="AI43">
        <v>0.98050797401063194</v>
      </c>
      <c r="AJ43" s="62">
        <v>6027.5375000000004</v>
      </c>
      <c r="AK43" s="60">
        <v>24.898842931380489</v>
      </c>
      <c r="AL43" t="s">
        <v>423</v>
      </c>
      <c r="AM43" t="s">
        <v>424</v>
      </c>
      <c r="AN43" t="s">
        <v>425</v>
      </c>
      <c r="AO43" t="s">
        <v>28</v>
      </c>
      <c r="AP43">
        <v>111.133</v>
      </c>
      <c r="AQ43">
        <v>0.99656169611782708</v>
      </c>
      <c r="AR43">
        <v>110.7508909746625</v>
      </c>
      <c r="AS43">
        <v>691.73</v>
      </c>
      <c r="AT43">
        <v>1</v>
      </c>
      <c r="AU43">
        <v>76.609713813903269</v>
      </c>
      <c r="AV43">
        <v>1.0342</v>
      </c>
      <c r="AW43" s="62">
        <v>79.23</v>
      </c>
      <c r="AX43">
        <v>8.9176000000000002</v>
      </c>
      <c r="AY43">
        <v>1</v>
      </c>
      <c r="AZ43">
        <v>6147.3620248428806</v>
      </c>
      <c r="BA43">
        <v>0.98050797401063194</v>
      </c>
      <c r="BB43" s="62">
        <v>6027.5375000000004</v>
      </c>
      <c r="BC43" s="60">
        <v>24.898842931380489</v>
      </c>
    </row>
    <row r="44" spans="1:55" x14ac:dyDescent="0.25">
      <c r="A44">
        <v>6039</v>
      </c>
      <c r="B44" t="s">
        <v>135</v>
      </c>
      <c r="C44">
        <v>2016</v>
      </c>
      <c r="D44">
        <v>7</v>
      </c>
      <c r="E44" t="s">
        <v>51</v>
      </c>
      <c r="F44" t="s">
        <v>449</v>
      </c>
      <c r="G44" t="s">
        <v>84</v>
      </c>
      <c r="H44" t="s">
        <v>381</v>
      </c>
      <c r="I44" t="s">
        <v>427</v>
      </c>
      <c r="J44">
        <v>-9.6591745299999996</v>
      </c>
      <c r="K44" t="s">
        <v>440</v>
      </c>
      <c r="L44" t="s">
        <v>450</v>
      </c>
      <c r="M44">
        <v>0.15011157993331001</v>
      </c>
      <c r="N44">
        <v>1.4499539490444191</v>
      </c>
      <c r="O44">
        <v>31615.94</v>
      </c>
      <c r="P44">
        <v>1.5814806999999999E-5</v>
      </c>
      <c r="Q44">
        <v>1</v>
      </c>
      <c r="R44" s="60">
        <v>1.4499539490444191</v>
      </c>
      <c r="S44" t="s">
        <v>333</v>
      </c>
      <c r="T44" t="s">
        <v>433</v>
      </c>
      <c r="U44" t="s">
        <v>425</v>
      </c>
      <c r="V44" t="s">
        <v>26</v>
      </c>
      <c r="W44">
        <v>111.133</v>
      </c>
      <c r="X44">
        <v>0.99656169611782708</v>
      </c>
      <c r="Y44">
        <v>110.7508909746625</v>
      </c>
      <c r="Z44">
        <v>682.07</v>
      </c>
      <c r="AA44">
        <v>1</v>
      </c>
      <c r="AB44">
        <v>75.539860207088026</v>
      </c>
      <c r="AC44">
        <v>1.0178</v>
      </c>
      <c r="AD44" s="62">
        <v>76.884</v>
      </c>
      <c r="AE44">
        <v>8.9176000000000002</v>
      </c>
      <c r="AF44">
        <v>8.8869385813003348</v>
      </c>
      <c r="AG44">
        <v>1</v>
      </c>
      <c r="AH44">
        <v>6061.5141981475199</v>
      </c>
      <c r="AI44">
        <v>1.0020831266739409</v>
      </c>
      <c r="AJ44" s="62">
        <v>6074.1410999999998</v>
      </c>
      <c r="AK44" s="60">
        <v>8807.2248749980099</v>
      </c>
      <c r="AL44" t="s">
        <v>336</v>
      </c>
      <c r="AM44" t="s">
        <v>433</v>
      </c>
      <c r="AN44" t="s">
        <v>425</v>
      </c>
      <c r="AO44" t="s">
        <v>26</v>
      </c>
      <c r="AP44">
        <v>111.133</v>
      </c>
      <c r="AQ44">
        <v>0.99819678194932504</v>
      </c>
      <c r="AR44">
        <v>110.9326029683743</v>
      </c>
      <c r="AS44">
        <v>682.07</v>
      </c>
      <c r="AT44">
        <v>1</v>
      </c>
      <c r="AU44">
        <v>75.663800506639092</v>
      </c>
      <c r="AV44">
        <v>1.0178</v>
      </c>
      <c r="AW44" s="62">
        <v>77.010999999999996</v>
      </c>
      <c r="AX44">
        <v>8.9176000000000002</v>
      </c>
      <c r="AY44">
        <v>1</v>
      </c>
      <c r="AZ44">
        <v>6071.4594890626977</v>
      </c>
      <c r="BA44">
        <v>1.0020831266739409</v>
      </c>
      <c r="BB44" s="62">
        <v>6084.1071000000002</v>
      </c>
      <c r="BC44" s="60">
        <v>8821.675116054188</v>
      </c>
    </row>
    <row r="45" spans="1:55" x14ac:dyDescent="0.25">
      <c r="A45">
        <v>6040</v>
      </c>
      <c r="B45" t="s">
        <v>135</v>
      </c>
      <c r="C45">
        <v>2016</v>
      </c>
      <c r="D45">
        <v>7</v>
      </c>
      <c r="E45" t="s">
        <v>51</v>
      </c>
      <c r="F45" t="s">
        <v>449</v>
      </c>
      <c r="G45" t="s">
        <v>84</v>
      </c>
      <c r="H45" t="s">
        <v>381</v>
      </c>
      <c r="I45" t="s">
        <v>427</v>
      </c>
      <c r="J45">
        <v>-9.6591745299999996</v>
      </c>
      <c r="K45" t="s">
        <v>440</v>
      </c>
      <c r="L45" t="s">
        <v>384</v>
      </c>
      <c r="M45">
        <v>4.5811354346740003E-2</v>
      </c>
      <c r="N45">
        <v>0.442499866936576</v>
      </c>
      <c r="O45">
        <v>31615.94</v>
      </c>
      <c r="P45">
        <v>1.5814806999999999E-5</v>
      </c>
      <c r="Q45">
        <v>1</v>
      </c>
      <c r="R45" s="60">
        <v>0.442499866936576</v>
      </c>
      <c r="S45" t="s">
        <v>333</v>
      </c>
      <c r="T45" t="s">
        <v>433</v>
      </c>
      <c r="U45" t="s">
        <v>425</v>
      </c>
      <c r="V45" t="s">
        <v>81</v>
      </c>
      <c r="W45">
        <v>111.133</v>
      </c>
      <c r="X45">
        <v>0.99656169611782708</v>
      </c>
      <c r="Y45">
        <v>110.7508909746625</v>
      </c>
      <c r="Z45">
        <v>682.07</v>
      </c>
      <c r="AA45">
        <v>1</v>
      </c>
      <c r="AB45">
        <v>75.539860207088026</v>
      </c>
      <c r="AC45">
        <v>0.92979999999999996</v>
      </c>
      <c r="AD45" s="62">
        <v>70.236999999999995</v>
      </c>
      <c r="AE45">
        <v>8.9176000000000002</v>
      </c>
      <c r="AF45">
        <v>8.8869385813003348</v>
      </c>
      <c r="AG45">
        <v>1</v>
      </c>
      <c r="AH45">
        <v>6061.5141981475199</v>
      </c>
      <c r="AI45">
        <v>1.0375922509225091</v>
      </c>
      <c r="AJ45" s="62">
        <v>6289.3801999999996</v>
      </c>
      <c r="AK45" s="60">
        <v>2783.049901613535</v>
      </c>
      <c r="AL45" t="s">
        <v>336</v>
      </c>
      <c r="AM45" t="s">
        <v>433</v>
      </c>
      <c r="AN45" t="s">
        <v>425</v>
      </c>
      <c r="AO45" t="s">
        <v>81</v>
      </c>
      <c r="AP45">
        <v>111.133</v>
      </c>
      <c r="AQ45">
        <v>0.99819678194932504</v>
      </c>
      <c r="AR45">
        <v>110.9326029683743</v>
      </c>
      <c r="AS45">
        <v>682.07</v>
      </c>
      <c r="AT45">
        <v>1</v>
      </c>
      <c r="AU45">
        <v>75.663800506639092</v>
      </c>
      <c r="AV45">
        <v>0.92979999999999996</v>
      </c>
      <c r="AW45" s="62">
        <v>70.352000000000004</v>
      </c>
      <c r="AX45">
        <v>8.9176000000000002</v>
      </c>
      <c r="AY45">
        <v>1</v>
      </c>
      <c r="AZ45">
        <v>6071.4594890626977</v>
      </c>
      <c r="BA45">
        <v>1.0375922509225091</v>
      </c>
      <c r="BB45" s="62">
        <v>6299.6993000000002</v>
      </c>
      <c r="BC45" s="60">
        <v>2787.6161019904412</v>
      </c>
    </row>
    <row r="46" spans="1:55" x14ac:dyDescent="0.25">
      <c r="A46">
        <v>6041</v>
      </c>
      <c r="B46" t="s">
        <v>135</v>
      </c>
      <c r="C46">
        <v>2016</v>
      </c>
      <c r="D46">
        <v>7</v>
      </c>
      <c r="E46" t="s">
        <v>51</v>
      </c>
      <c r="F46" t="s">
        <v>449</v>
      </c>
      <c r="G46" t="s">
        <v>84</v>
      </c>
      <c r="H46" t="s">
        <v>381</v>
      </c>
      <c r="I46" t="s">
        <v>427</v>
      </c>
      <c r="J46">
        <v>-9.6591745299999996</v>
      </c>
      <c r="K46" t="s">
        <v>440</v>
      </c>
      <c r="L46" t="s">
        <v>385</v>
      </c>
      <c r="M46">
        <v>0.43232641346992001</v>
      </c>
      <c r="N46">
        <v>4.175916280179135</v>
      </c>
      <c r="O46">
        <v>31615.94</v>
      </c>
      <c r="P46">
        <v>1.5814806999999999E-5</v>
      </c>
      <c r="Q46">
        <v>1</v>
      </c>
      <c r="R46" s="60">
        <v>4.175916280179135</v>
      </c>
      <c r="S46" t="s">
        <v>333</v>
      </c>
      <c r="T46" t="s">
        <v>433</v>
      </c>
      <c r="U46" t="s">
        <v>425</v>
      </c>
      <c r="V46" t="s">
        <v>27</v>
      </c>
      <c r="W46">
        <v>111.133</v>
      </c>
      <c r="X46">
        <v>0.99656169611782708</v>
      </c>
      <c r="Y46">
        <v>110.7508909746625</v>
      </c>
      <c r="Z46">
        <v>682.07</v>
      </c>
      <c r="AA46">
        <v>1</v>
      </c>
      <c r="AB46">
        <v>75.539860207088026</v>
      </c>
      <c r="AC46">
        <v>0.99739999999999995</v>
      </c>
      <c r="AD46" s="62">
        <v>75.343000000000004</v>
      </c>
      <c r="AE46">
        <v>8.9176000000000002</v>
      </c>
      <c r="AF46">
        <v>8.8869385813003348</v>
      </c>
      <c r="AG46">
        <v>1</v>
      </c>
      <c r="AH46">
        <v>6061.5141981475199</v>
      </c>
      <c r="AI46">
        <v>1.0108695652173909</v>
      </c>
      <c r="AJ46" s="62">
        <v>6127.4002</v>
      </c>
      <c r="AK46" s="60">
        <v>25587.510250352891</v>
      </c>
      <c r="AL46" t="s">
        <v>336</v>
      </c>
      <c r="AM46" t="s">
        <v>433</v>
      </c>
      <c r="AN46" t="s">
        <v>425</v>
      </c>
      <c r="AO46" t="s">
        <v>27</v>
      </c>
      <c r="AP46">
        <v>111.133</v>
      </c>
      <c r="AQ46">
        <v>0.99819678194932504</v>
      </c>
      <c r="AR46">
        <v>110.9326029683743</v>
      </c>
      <c r="AS46">
        <v>682.07</v>
      </c>
      <c r="AT46">
        <v>1</v>
      </c>
      <c r="AU46">
        <v>75.663800506639092</v>
      </c>
      <c r="AV46">
        <v>0.99739999999999995</v>
      </c>
      <c r="AW46" s="62">
        <v>75.466999999999999</v>
      </c>
      <c r="AX46">
        <v>8.9176000000000002</v>
      </c>
      <c r="AY46">
        <v>1</v>
      </c>
      <c r="AZ46">
        <v>6071.4594890626977</v>
      </c>
      <c r="BA46">
        <v>1.0108695652173909</v>
      </c>
      <c r="BB46" s="62">
        <v>6137.4535999999998</v>
      </c>
      <c r="BC46" s="60">
        <v>25629.492407084039</v>
      </c>
    </row>
    <row r="47" spans="1:55" x14ac:dyDescent="0.25">
      <c r="A47">
        <v>6042</v>
      </c>
      <c r="B47" t="s">
        <v>135</v>
      </c>
      <c r="C47">
        <v>2016</v>
      </c>
      <c r="D47">
        <v>7</v>
      </c>
      <c r="E47" t="s">
        <v>51</v>
      </c>
      <c r="F47" t="s">
        <v>449</v>
      </c>
      <c r="G47" t="s">
        <v>84</v>
      </c>
      <c r="H47" t="s">
        <v>381</v>
      </c>
      <c r="I47" t="s">
        <v>427</v>
      </c>
      <c r="J47">
        <v>-9.6591745299999996</v>
      </c>
      <c r="K47" t="s">
        <v>440</v>
      </c>
      <c r="L47" t="s">
        <v>451</v>
      </c>
      <c r="M47">
        <v>1.6825115802299999E-3</v>
      </c>
      <c r="N47">
        <v>1.6251672996522169E-2</v>
      </c>
      <c r="O47">
        <v>31615.94</v>
      </c>
      <c r="P47">
        <v>1.5814806999999999E-5</v>
      </c>
      <c r="Q47">
        <v>1</v>
      </c>
      <c r="R47" s="60">
        <v>1.6251672996522169E-2</v>
      </c>
      <c r="S47" t="s">
        <v>333</v>
      </c>
      <c r="T47" t="s">
        <v>433</v>
      </c>
      <c r="U47" t="s">
        <v>425</v>
      </c>
      <c r="V47" t="s">
        <v>91</v>
      </c>
      <c r="W47">
        <v>111.133</v>
      </c>
      <c r="X47">
        <v>0.99656169611782708</v>
      </c>
      <c r="Y47">
        <v>110.7508909746625</v>
      </c>
      <c r="Z47">
        <v>682.07</v>
      </c>
      <c r="AA47">
        <v>1</v>
      </c>
      <c r="AB47">
        <v>75.539860207088026</v>
      </c>
      <c r="AC47">
        <v>1.0269999999999999</v>
      </c>
      <c r="AD47" s="62">
        <v>77.578999999999994</v>
      </c>
      <c r="AE47">
        <v>8.9176000000000002</v>
      </c>
      <c r="AF47">
        <v>8.8869385813003348</v>
      </c>
      <c r="AG47">
        <v>1</v>
      </c>
      <c r="AH47">
        <v>6061.5141981475199</v>
      </c>
      <c r="AI47">
        <v>0.98496680983990625</v>
      </c>
      <c r="AJ47" s="62">
        <v>5970.3903</v>
      </c>
      <c r="AK47" s="60">
        <v>97.028830817207904</v>
      </c>
      <c r="AL47" t="s">
        <v>336</v>
      </c>
      <c r="AM47" t="s">
        <v>433</v>
      </c>
      <c r="AN47" t="s">
        <v>425</v>
      </c>
      <c r="AO47" t="s">
        <v>91</v>
      </c>
      <c r="AP47">
        <v>111.133</v>
      </c>
      <c r="AQ47">
        <v>0.99819678194932504</v>
      </c>
      <c r="AR47">
        <v>110.9326029683743</v>
      </c>
      <c r="AS47">
        <v>682.07</v>
      </c>
      <c r="AT47">
        <v>1</v>
      </c>
      <c r="AU47">
        <v>75.663800506639092</v>
      </c>
      <c r="AV47">
        <v>1.0269999999999999</v>
      </c>
      <c r="AW47" s="62">
        <v>77.706999999999994</v>
      </c>
      <c r="AX47">
        <v>8.9176000000000002</v>
      </c>
      <c r="AY47">
        <v>1</v>
      </c>
      <c r="AZ47">
        <v>6071.4594890626977</v>
      </c>
      <c r="BA47">
        <v>0.98496680983990625</v>
      </c>
      <c r="BB47" s="62">
        <v>5980.1860999999999</v>
      </c>
      <c r="BC47" s="60">
        <v>97.188028955547239</v>
      </c>
    </row>
    <row r="48" spans="1:55" x14ac:dyDescent="0.25">
      <c r="A48">
        <v>6043</v>
      </c>
      <c r="B48" t="s">
        <v>135</v>
      </c>
      <c r="C48">
        <v>2016</v>
      </c>
      <c r="D48">
        <v>7</v>
      </c>
      <c r="E48" t="s">
        <v>51</v>
      </c>
      <c r="F48" t="s">
        <v>449</v>
      </c>
      <c r="G48" t="s">
        <v>84</v>
      </c>
      <c r="H48" t="s">
        <v>381</v>
      </c>
      <c r="I48" t="s">
        <v>427</v>
      </c>
      <c r="J48">
        <v>-9.6591745299999996</v>
      </c>
      <c r="K48" t="s">
        <v>440</v>
      </c>
      <c r="L48" t="s">
        <v>452</v>
      </c>
      <c r="M48">
        <v>1.53682162831E-3</v>
      </c>
      <c r="N48">
        <v>1.484442832415016E-2</v>
      </c>
      <c r="O48">
        <v>31615.94</v>
      </c>
      <c r="P48">
        <v>1.5814806999999999E-5</v>
      </c>
      <c r="Q48">
        <v>1</v>
      </c>
      <c r="R48" s="60">
        <v>1.484442832415016E-2</v>
      </c>
      <c r="S48" t="s">
        <v>333</v>
      </c>
      <c r="T48" t="s">
        <v>433</v>
      </c>
      <c r="U48" t="s">
        <v>425</v>
      </c>
      <c r="V48" t="s">
        <v>28</v>
      </c>
      <c r="W48">
        <v>111.133</v>
      </c>
      <c r="X48">
        <v>0.99656169611782708</v>
      </c>
      <c r="Y48">
        <v>110.7508909746625</v>
      </c>
      <c r="Z48">
        <v>682.07</v>
      </c>
      <c r="AA48">
        <v>1</v>
      </c>
      <c r="AB48">
        <v>75.539860207088026</v>
      </c>
      <c r="AC48">
        <v>1.0196000000000001</v>
      </c>
      <c r="AD48" s="62">
        <v>77.02</v>
      </c>
      <c r="AE48">
        <v>8.9176000000000002</v>
      </c>
      <c r="AF48">
        <v>8.8869385813003348</v>
      </c>
      <c r="AG48">
        <v>1</v>
      </c>
      <c r="AH48">
        <v>6061.5141981475199</v>
      </c>
      <c r="AI48">
        <v>0.97991730655640863</v>
      </c>
      <c r="AJ48" s="62">
        <v>5939.7826999999997</v>
      </c>
      <c r="AK48" s="60">
        <v>88.172678551177142</v>
      </c>
      <c r="AL48" t="s">
        <v>336</v>
      </c>
      <c r="AM48" t="s">
        <v>433</v>
      </c>
      <c r="AN48" t="s">
        <v>425</v>
      </c>
      <c r="AO48" t="s">
        <v>28</v>
      </c>
      <c r="AP48">
        <v>111.133</v>
      </c>
      <c r="AQ48">
        <v>0.99819678194932504</v>
      </c>
      <c r="AR48">
        <v>110.9326029683743</v>
      </c>
      <c r="AS48">
        <v>682.07</v>
      </c>
      <c r="AT48">
        <v>1</v>
      </c>
      <c r="AU48">
        <v>75.663800506639092</v>
      </c>
      <c r="AV48">
        <v>1.0196000000000001</v>
      </c>
      <c r="AW48" s="62">
        <v>77.147000000000006</v>
      </c>
      <c r="AX48">
        <v>8.9176000000000002</v>
      </c>
      <c r="AY48">
        <v>1</v>
      </c>
      <c r="AZ48">
        <v>6071.4594890626977</v>
      </c>
      <c r="BA48">
        <v>0.97991730655640863</v>
      </c>
      <c r="BB48" s="62">
        <v>5949.5281999999997</v>
      </c>
      <c r="BC48" s="60">
        <v>88.317344927410147</v>
      </c>
    </row>
    <row r="49" spans="1:55" x14ac:dyDescent="0.25">
      <c r="A49">
        <v>6044</v>
      </c>
      <c r="B49" t="s">
        <v>135</v>
      </c>
      <c r="C49">
        <v>2016</v>
      </c>
      <c r="D49">
        <v>7</v>
      </c>
      <c r="E49" t="s">
        <v>51</v>
      </c>
      <c r="F49" t="s">
        <v>449</v>
      </c>
      <c r="G49" t="s">
        <v>84</v>
      </c>
      <c r="H49" t="s">
        <v>87</v>
      </c>
      <c r="I49" t="s">
        <v>427</v>
      </c>
      <c r="J49">
        <v>-1.98677054</v>
      </c>
      <c r="K49" t="s">
        <v>440</v>
      </c>
      <c r="L49" t="s">
        <v>450</v>
      </c>
      <c r="M49">
        <v>0.26601384014995</v>
      </c>
      <c r="N49">
        <v>0.52850846129986706</v>
      </c>
      <c r="O49">
        <v>31615.94</v>
      </c>
      <c r="P49">
        <v>1.5814806999999999E-5</v>
      </c>
      <c r="Q49">
        <v>1</v>
      </c>
      <c r="R49" s="60">
        <v>0.52850846129986706</v>
      </c>
      <c r="S49" t="s">
        <v>333</v>
      </c>
      <c r="T49" t="s">
        <v>433</v>
      </c>
      <c r="U49" t="s">
        <v>425</v>
      </c>
      <c r="V49" t="s">
        <v>26</v>
      </c>
      <c r="W49">
        <v>111.133</v>
      </c>
      <c r="X49">
        <v>0.99656169611782708</v>
      </c>
      <c r="Y49">
        <v>110.7508909746625</v>
      </c>
      <c r="Z49">
        <v>682.07</v>
      </c>
      <c r="AA49">
        <v>1</v>
      </c>
      <c r="AB49">
        <v>75.539860207088026</v>
      </c>
      <c r="AC49">
        <v>1.0178</v>
      </c>
      <c r="AD49" s="62">
        <v>76.884</v>
      </c>
      <c r="AE49">
        <v>8.9176000000000002</v>
      </c>
      <c r="AF49">
        <v>8.8869385813003348</v>
      </c>
      <c r="AG49">
        <v>1</v>
      </c>
      <c r="AH49">
        <v>6061.5141981475199</v>
      </c>
      <c r="AI49">
        <v>1.0020831266739409</v>
      </c>
      <c r="AJ49" s="62">
        <v>6074.1410999999998</v>
      </c>
      <c r="AK49" s="60">
        <v>3210.2349664792819</v>
      </c>
      <c r="AL49" t="s">
        <v>336</v>
      </c>
      <c r="AM49" t="s">
        <v>433</v>
      </c>
      <c r="AN49" t="s">
        <v>425</v>
      </c>
      <c r="AO49" t="s">
        <v>26</v>
      </c>
      <c r="AP49">
        <v>111.133</v>
      </c>
      <c r="AQ49">
        <v>0.99819678194932504</v>
      </c>
      <c r="AR49">
        <v>110.9326029683743</v>
      </c>
      <c r="AS49">
        <v>682.07</v>
      </c>
      <c r="AT49">
        <v>1</v>
      </c>
      <c r="AU49">
        <v>75.663800506639092</v>
      </c>
      <c r="AV49">
        <v>1.0178</v>
      </c>
      <c r="AW49" s="62">
        <v>77.010999999999996</v>
      </c>
      <c r="AX49">
        <v>8.9176000000000002</v>
      </c>
      <c r="AY49">
        <v>1</v>
      </c>
      <c r="AZ49">
        <v>6071.4594890626977</v>
      </c>
      <c r="BA49">
        <v>1.0020831266739409</v>
      </c>
      <c r="BB49" s="62">
        <v>6084.1071000000002</v>
      </c>
      <c r="BC49" s="60">
        <v>3215.5020818045959</v>
      </c>
    </row>
    <row r="50" spans="1:55" x14ac:dyDescent="0.25">
      <c r="A50">
        <v>6045</v>
      </c>
      <c r="B50" t="s">
        <v>135</v>
      </c>
      <c r="C50">
        <v>2016</v>
      </c>
      <c r="D50">
        <v>7</v>
      </c>
      <c r="E50" t="s">
        <v>51</v>
      </c>
      <c r="F50" t="s">
        <v>449</v>
      </c>
      <c r="G50" t="s">
        <v>84</v>
      </c>
      <c r="H50" t="s">
        <v>87</v>
      </c>
      <c r="I50" t="s">
        <v>427</v>
      </c>
      <c r="J50">
        <v>-1.98677054</v>
      </c>
      <c r="K50" t="s">
        <v>440</v>
      </c>
      <c r="L50" t="s">
        <v>384</v>
      </c>
      <c r="M50">
        <v>3.9509559941419997E-2</v>
      </c>
      <c r="N50">
        <v>7.8496429807953627E-2</v>
      </c>
      <c r="O50">
        <v>31615.94</v>
      </c>
      <c r="P50">
        <v>1.5814806999999999E-5</v>
      </c>
      <c r="Q50">
        <v>1</v>
      </c>
      <c r="R50" s="60">
        <v>7.8496429807953627E-2</v>
      </c>
      <c r="S50" t="s">
        <v>333</v>
      </c>
      <c r="T50" t="s">
        <v>433</v>
      </c>
      <c r="U50" t="s">
        <v>425</v>
      </c>
      <c r="V50" t="s">
        <v>81</v>
      </c>
      <c r="W50">
        <v>111.133</v>
      </c>
      <c r="X50">
        <v>0.99656169611782708</v>
      </c>
      <c r="Y50">
        <v>110.7508909746625</v>
      </c>
      <c r="Z50">
        <v>682.07</v>
      </c>
      <c r="AA50">
        <v>1</v>
      </c>
      <c r="AB50">
        <v>75.539860207088026</v>
      </c>
      <c r="AC50">
        <v>0.92979999999999996</v>
      </c>
      <c r="AD50" s="62">
        <v>70.236999999999995</v>
      </c>
      <c r="AE50">
        <v>8.9176000000000002</v>
      </c>
      <c r="AF50">
        <v>8.8869385813003348</v>
      </c>
      <c r="AG50">
        <v>1</v>
      </c>
      <c r="AH50">
        <v>6061.5141981475199</v>
      </c>
      <c r="AI50">
        <v>1.0375922509225091</v>
      </c>
      <c r="AJ50" s="62">
        <v>6289.3801999999996</v>
      </c>
      <c r="AK50" s="60">
        <v>493.69389140483332</v>
      </c>
      <c r="AL50" t="s">
        <v>336</v>
      </c>
      <c r="AM50" t="s">
        <v>433</v>
      </c>
      <c r="AN50" t="s">
        <v>425</v>
      </c>
      <c r="AO50" t="s">
        <v>81</v>
      </c>
      <c r="AP50">
        <v>111.133</v>
      </c>
      <c r="AQ50">
        <v>0.99819678194932504</v>
      </c>
      <c r="AR50">
        <v>110.9326029683743</v>
      </c>
      <c r="AS50">
        <v>682.07</v>
      </c>
      <c r="AT50">
        <v>1</v>
      </c>
      <c r="AU50">
        <v>75.663800506639092</v>
      </c>
      <c r="AV50">
        <v>0.92979999999999996</v>
      </c>
      <c r="AW50" s="62">
        <v>70.352000000000004</v>
      </c>
      <c r="AX50">
        <v>8.9176000000000002</v>
      </c>
      <c r="AY50">
        <v>1</v>
      </c>
      <c r="AZ50">
        <v>6071.4594890626977</v>
      </c>
      <c r="BA50">
        <v>1.0375922509225091</v>
      </c>
      <c r="BB50" s="62">
        <v>6299.6993000000002</v>
      </c>
      <c r="BC50" s="60">
        <v>494.5039039136646</v>
      </c>
    </row>
    <row r="51" spans="1:55" x14ac:dyDescent="0.25">
      <c r="A51">
        <v>6046</v>
      </c>
      <c r="B51" t="s">
        <v>135</v>
      </c>
      <c r="C51">
        <v>2016</v>
      </c>
      <c r="D51">
        <v>7</v>
      </c>
      <c r="E51" t="s">
        <v>51</v>
      </c>
      <c r="F51" t="s">
        <v>449</v>
      </c>
      <c r="G51" t="s">
        <v>84</v>
      </c>
      <c r="H51" t="s">
        <v>87</v>
      </c>
      <c r="I51" t="s">
        <v>427</v>
      </c>
      <c r="J51">
        <v>-1.98677054</v>
      </c>
      <c r="K51" t="s">
        <v>440</v>
      </c>
      <c r="L51" t="s">
        <v>385</v>
      </c>
      <c r="M51">
        <v>0.39737542925016001</v>
      </c>
      <c r="N51">
        <v>0.78949379683775722</v>
      </c>
      <c r="O51">
        <v>31615.94</v>
      </c>
      <c r="P51">
        <v>1.5814806999999999E-5</v>
      </c>
      <c r="Q51">
        <v>1</v>
      </c>
      <c r="R51" s="60">
        <v>0.78949379683775722</v>
      </c>
      <c r="S51" t="s">
        <v>333</v>
      </c>
      <c r="T51" t="s">
        <v>433</v>
      </c>
      <c r="U51" t="s">
        <v>425</v>
      </c>
      <c r="V51" t="s">
        <v>27</v>
      </c>
      <c r="W51">
        <v>111.133</v>
      </c>
      <c r="X51">
        <v>0.99656169611782708</v>
      </c>
      <c r="Y51">
        <v>110.7508909746625</v>
      </c>
      <c r="Z51">
        <v>682.07</v>
      </c>
      <c r="AA51">
        <v>1</v>
      </c>
      <c r="AB51">
        <v>75.539860207088026</v>
      </c>
      <c r="AC51">
        <v>0.99739999999999995</v>
      </c>
      <c r="AD51" s="62">
        <v>75.343000000000004</v>
      </c>
      <c r="AE51">
        <v>8.9176000000000002</v>
      </c>
      <c r="AF51">
        <v>8.8869385813003348</v>
      </c>
      <c r="AG51">
        <v>1</v>
      </c>
      <c r="AH51">
        <v>6061.5141981475199</v>
      </c>
      <c r="AI51">
        <v>1.0108695652173909</v>
      </c>
      <c r="AJ51" s="62">
        <v>6127.4002</v>
      </c>
      <c r="AK51" s="60">
        <v>4837.5444486424331</v>
      </c>
      <c r="AL51" t="s">
        <v>336</v>
      </c>
      <c r="AM51" t="s">
        <v>433</v>
      </c>
      <c r="AN51" t="s">
        <v>425</v>
      </c>
      <c r="AO51" t="s">
        <v>27</v>
      </c>
      <c r="AP51">
        <v>111.133</v>
      </c>
      <c r="AQ51">
        <v>0.99819678194932504</v>
      </c>
      <c r="AR51">
        <v>110.9326029683743</v>
      </c>
      <c r="AS51">
        <v>682.07</v>
      </c>
      <c r="AT51">
        <v>1</v>
      </c>
      <c r="AU51">
        <v>75.663800506639092</v>
      </c>
      <c r="AV51">
        <v>0.99739999999999995</v>
      </c>
      <c r="AW51" s="62">
        <v>75.466999999999999</v>
      </c>
      <c r="AX51">
        <v>8.9176000000000002</v>
      </c>
      <c r="AY51">
        <v>1</v>
      </c>
      <c r="AZ51">
        <v>6071.4594890626977</v>
      </c>
      <c r="BA51">
        <v>1.0108695652173909</v>
      </c>
      <c r="BB51" s="62">
        <v>6137.4535999999998</v>
      </c>
      <c r="BC51" s="60">
        <v>4845.4815455795606</v>
      </c>
    </row>
    <row r="52" spans="1:55" x14ac:dyDescent="0.25">
      <c r="A52">
        <v>6047</v>
      </c>
      <c r="B52" t="s">
        <v>135</v>
      </c>
      <c r="C52">
        <v>2016</v>
      </c>
      <c r="D52">
        <v>7</v>
      </c>
      <c r="E52" t="s">
        <v>51</v>
      </c>
      <c r="F52" t="s">
        <v>449</v>
      </c>
      <c r="G52" t="s">
        <v>84</v>
      </c>
      <c r="H52" t="s">
        <v>87</v>
      </c>
      <c r="I52" t="s">
        <v>427</v>
      </c>
      <c r="J52">
        <v>-1.98677054</v>
      </c>
      <c r="K52" t="s">
        <v>440</v>
      </c>
      <c r="L52" t="s">
        <v>452</v>
      </c>
      <c r="M52">
        <v>8.4248020759000004E-4</v>
      </c>
      <c r="N52">
        <v>1.6738148584223851E-3</v>
      </c>
      <c r="O52">
        <v>31615.94</v>
      </c>
      <c r="P52">
        <v>1.5814806999999999E-5</v>
      </c>
      <c r="Q52">
        <v>1</v>
      </c>
      <c r="R52" s="60">
        <v>1.6738148584223851E-3</v>
      </c>
      <c r="S52" t="s">
        <v>333</v>
      </c>
      <c r="T52" t="s">
        <v>433</v>
      </c>
      <c r="U52" t="s">
        <v>425</v>
      </c>
      <c r="V52" t="s">
        <v>28</v>
      </c>
      <c r="W52">
        <v>111.133</v>
      </c>
      <c r="X52">
        <v>0.99656169611782708</v>
      </c>
      <c r="Y52">
        <v>110.7508909746625</v>
      </c>
      <c r="Z52">
        <v>682.07</v>
      </c>
      <c r="AA52">
        <v>1</v>
      </c>
      <c r="AB52">
        <v>75.539860207088026</v>
      </c>
      <c r="AC52">
        <v>1.0196000000000001</v>
      </c>
      <c r="AD52" s="62">
        <v>77.02</v>
      </c>
      <c r="AE52">
        <v>8.9176000000000002</v>
      </c>
      <c r="AF52">
        <v>8.8869385813003348</v>
      </c>
      <c r="AG52">
        <v>1</v>
      </c>
      <c r="AH52">
        <v>6061.5141981475199</v>
      </c>
      <c r="AI52">
        <v>0.97991730655640863</v>
      </c>
      <c r="AJ52" s="62">
        <v>5939.7826999999997</v>
      </c>
      <c r="AK52" s="60">
        <v>9.9420965390602305</v>
      </c>
      <c r="AL52" t="s">
        <v>336</v>
      </c>
      <c r="AM52" t="s">
        <v>433</v>
      </c>
      <c r="AN52" t="s">
        <v>425</v>
      </c>
      <c r="AO52" t="s">
        <v>28</v>
      </c>
      <c r="AP52">
        <v>111.133</v>
      </c>
      <c r="AQ52">
        <v>0.99819678194932504</v>
      </c>
      <c r="AR52">
        <v>110.9326029683743</v>
      </c>
      <c r="AS52">
        <v>682.07</v>
      </c>
      <c r="AT52">
        <v>1</v>
      </c>
      <c r="AU52">
        <v>75.663800506639092</v>
      </c>
      <c r="AV52">
        <v>1.0196000000000001</v>
      </c>
      <c r="AW52" s="62">
        <v>77.147000000000006</v>
      </c>
      <c r="AX52">
        <v>8.9176000000000002</v>
      </c>
      <c r="AY52">
        <v>1</v>
      </c>
      <c r="AZ52">
        <v>6071.4594890626977</v>
      </c>
      <c r="BA52">
        <v>0.97991730655640863</v>
      </c>
      <c r="BB52" s="62">
        <v>5949.5281999999997</v>
      </c>
      <c r="BC52" s="60">
        <v>9.9584087017629859</v>
      </c>
    </row>
    <row r="53" spans="1:55" x14ac:dyDescent="0.25">
      <c r="A53">
        <v>6048</v>
      </c>
      <c r="B53" t="s">
        <v>135</v>
      </c>
      <c r="C53">
        <v>2016</v>
      </c>
      <c r="D53">
        <v>7</v>
      </c>
      <c r="E53" t="s">
        <v>51</v>
      </c>
      <c r="F53" t="s">
        <v>449</v>
      </c>
      <c r="G53" t="s">
        <v>84</v>
      </c>
      <c r="H53" t="s">
        <v>59</v>
      </c>
      <c r="I53" t="s">
        <v>427</v>
      </c>
      <c r="J53">
        <v>-5.7870164300000004</v>
      </c>
      <c r="K53" t="s">
        <v>440</v>
      </c>
      <c r="L53" t="s">
        <v>450</v>
      </c>
      <c r="M53">
        <v>0.15931709696460999</v>
      </c>
      <c r="N53">
        <v>0.92197065797732514</v>
      </c>
      <c r="O53">
        <v>31615.94</v>
      </c>
      <c r="P53">
        <v>1.5814806999999999E-5</v>
      </c>
      <c r="Q53">
        <v>1</v>
      </c>
      <c r="R53" s="60">
        <v>0.92197065797732514</v>
      </c>
      <c r="S53" t="s">
        <v>333</v>
      </c>
      <c r="T53" t="s">
        <v>433</v>
      </c>
      <c r="U53" t="s">
        <v>425</v>
      </c>
      <c r="V53" t="s">
        <v>26</v>
      </c>
      <c r="W53">
        <v>111.133</v>
      </c>
      <c r="X53">
        <v>0.99656169611782708</v>
      </c>
      <c r="Y53">
        <v>110.7508909746625</v>
      </c>
      <c r="Z53">
        <v>682.07</v>
      </c>
      <c r="AA53">
        <v>1</v>
      </c>
      <c r="AB53">
        <v>75.539860207088026</v>
      </c>
      <c r="AC53">
        <v>1.0178</v>
      </c>
      <c r="AD53" s="62">
        <v>76.884</v>
      </c>
      <c r="AE53">
        <v>8.9176000000000002</v>
      </c>
      <c r="AF53">
        <v>8.8869385813003348</v>
      </c>
      <c r="AG53">
        <v>1</v>
      </c>
      <c r="AH53">
        <v>6061.5141981475199</v>
      </c>
      <c r="AI53">
        <v>1.0020831266739409</v>
      </c>
      <c r="AJ53" s="62">
        <v>6074.1410999999998</v>
      </c>
      <c r="AK53" s="60">
        <v>5600.1798666141131</v>
      </c>
      <c r="AL53" t="s">
        <v>336</v>
      </c>
      <c r="AM53" t="s">
        <v>433</v>
      </c>
      <c r="AN53" t="s">
        <v>425</v>
      </c>
      <c r="AO53" t="s">
        <v>26</v>
      </c>
      <c r="AP53">
        <v>111.133</v>
      </c>
      <c r="AQ53">
        <v>0.99819678194932504</v>
      </c>
      <c r="AR53">
        <v>110.9326029683743</v>
      </c>
      <c r="AS53">
        <v>682.07</v>
      </c>
      <c r="AT53">
        <v>1</v>
      </c>
      <c r="AU53">
        <v>75.663800506639092</v>
      </c>
      <c r="AV53">
        <v>1.0178</v>
      </c>
      <c r="AW53" s="62">
        <v>77.010999999999996</v>
      </c>
      <c r="AX53">
        <v>8.9176000000000002</v>
      </c>
      <c r="AY53">
        <v>1</v>
      </c>
      <c r="AZ53">
        <v>6071.4594890626977</v>
      </c>
      <c r="BA53">
        <v>1.0020831266739409</v>
      </c>
      <c r="BB53" s="62">
        <v>6084.1071000000002</v>
      </c>
      <c r="BC53" s="60">
        <v>5609.3682261915164</v>
      </c>
    </row>
    <row r="54" spans="1:55" x14ac:dyDescent="0.25">
      <c r="A54">
        <v>6049</v>
      </c>
      <c r="B54" t="s">
        <v>135</v>
      </c>
      <c r="C54">
        <v>2016</v>
      </c>
      <c r="D54">
        <v>7</v>
      </c>
      <c r="E54" t="s">
        <v>51</v>
      </c>
      <c r="F54" t="s">
        <v>449</v>
      </c>
      <c r="G54" t="s">
        <v>84</v>
      </c>
      <c r="H54" t="s">
        <v>59</v>
      </c>
      <c r="I54" t="s">
        <v>427</v>
      </c>
      <c r="J54">
        <v>-5.7870164300000004</v>
      </c>
      <c r="K54" t="s">
        <v>440</v>
      </c>
      <c r="L54" t="s">
        <v>384</v>
      </c>
      <c r="M54">
        <v>4.1785183859599999E-2</v>
      </c>
      <c r="N54">
        <v>0.24181154559511359</v>
      </c>
      <c r="O54">
        <v>31615.94</v>
      </c>
      <c r="P54">
        <v>1.5814806999999999E-5</v>
      </c>
      <c r="Q54">
        <v>1</v>
      </c>
      <c r="R54" s="60">
        <v>0.24181154559511359</v>
      </c>
      <c r="S54" t="s">
        <v>333</v>
      </c>
      <c r="T54" t="s">
        <v>433</v>
      </c>
      <c r="U54" t="s">
        <v>425</v>
      </c>
      <c r="V54" t="s">
        <v>81</v>
      </c>
      <c r="W54">
        <v>111.133</v>
      </c>
      <c r="X54">
        <v>0.99656169611782708</v>
      </c>
      <c r="Y54">
        <v>110.7508909746625</v>
      </c>
      <c r="Z54">
        <v>682.07</v>
      </c>
      <c r="AA54">
        <v>1</v>
      </c>
      <c r="AB54">
        <v>75.539860207088026</v>
      </c>
      <c r="AC54">
        <v>0.92979999999999996</v>
      </c>
      <c r="AD54" s="62">
        <v>70.236999999999995</v>
      </c>
      <c r="AE54">
        <v>8.9176000000000002</v>
      </c>
      <c r="AF54">
        <v>8.8869385813003348</v>
      </c>
      <c r="AG54">
        <v>1</v>
      </c>
      <c r="AH54">
        <v>6061.5141981475199</v>
      </c>
      <c r="AI54">
        <v>1.0375922509225091</v>
      </c>
      <c r="AJ54" s="62">
        <v>6289.3801999999996</v>
      </c>
      <c r="AK54" s="60">
        <v>1520.8447469973039</v>
      </c>
      <c r="AL54" t="s">
        <v>336</v>
      </c>
      <c r="AM54" t="s">
        <v>433</v>
      </c>
      <c r="AN54" t="s">
        <v>425</v>
      </c>
      <c r="AO54" t="s">
        <v>81</v>
      </c>
      <c r="AP54">
        <v>111.133</v>
      </c>
      <c r="AQ54">
        <v>0.99819678194932504</v>
      </c>
      <c r="AR54">
        <v>110.9326029683743</v>
      </c>
      <c r="AS54">
        <v>682.07</v>
      </c>
      <c r="AT54">
        <v>1</v>
      </c>
      <c r="AU54">
        <v>75.663800506639092</v>
      </c>
      <c r="AV54">
        <v>0.92979999999999996</v>
      </c>
      <c r="AW54" s="62">
        <v>70.352000000000004</v>
      </c>
      <c r="AX54">
        <v>8.9176000000000002</v>
      </c>
      <c r="AY54">
        <v>1</v>
      </c>
      <c r="AZ54">
        <v>6071.4594890626977</v>
      </c>
      <c r="BA54">
        <v>1.0375922509225091</v>
      </c>
      <c r="BB54" s="62">
        <v>6299.6993000000002</v>
      </c>
      <c r="BC54" s="60">
        <v>1523.340024517455</v>
      </c>
    </row>
    <row r="55" spans="1:55" x14ac:dyDescent="0.25">
      <c r="A55">
        <v>6050</v>
      </c>
      <c r="B55" t="s">
        <v>135</v>
      </c>
      <c r="C55">
        <v>2016</v>
      </c>
      <c r="D55">
        <v>7</v>
      </c>
      <c r="E55" t="s">
        <v>51</v>
      </c>
      <c r="F55" t="s">
        <v>449</v>
      </c>
      <c r="G55" t="s">
        <v>84</v>
      </c>
      <c r="H55" t="s">
        <v>59</v>
      </c>
      <c r="I55" t="s">
        <v>427</v>
      </c>
      <c r="J55">
        <v>-5.7870164300000004</v>
      </c>
      <c r="K55" t="s">
        <v>440</v>
      </c>
      <c r="L55" t="s">
        <v>385</v>
      </c>
      <c r="M55">
        <v>0.43497567483749999</v>
      </c>
      <c r="N55">
        <v>2.5172113776536169</v>
      </c>
      <c r="O55">
        <v>31615.94</v>
      </c>
      <c r="P55">
        <v>1.5814806999999999E-5</v>
      </c>
      <c r="Q55">
        <v>1</v>
      </c>
      <c r="R55" s="60">
        <v>2.5172113776536169</v>
      </c>
      <c r="S55" t="s">
        <v>333</v>
      </c>
      <c r="T55" t="s">
        <v>433</v>
      </c>
      <c r="U55" t="s">
        <v>425</v>
      </c>
      <c r="V55" t="s">
        <v>27</v>
      </c>
      <c r="W55">
        <v>111.133</v>
      </c>
      <c r="X55">
        <v>0.99656169611782708</v>
      </c>
      <c r="Y55">
        <v>110.7508909746625</v>
      </c>
      <c r="Z55">
        <v>682.07</v>
      </c>
      <c r="AA55">
        <v>1</v>
      </c>
      <c r="AB55">
        <v>75.539860207088026</v>
      </c>
      <c r="AC55">
        <v>0.99739999999999995</v>
      </c>
      <c r="AD55" s="62">
        <v>75.343000000000004</v>
      </c>
      <c r="AE55">
        <v>8.9176000000000002</v>
      </c>
      <c r="AF55">
        <v>8.8869385813003348</v>
      </c>
      <c r="AG55">
        <v>1</v>
      </c>
      <c r="AH55">
        <v>6061.5141981475199</v>
      </c>
      <c r="AI55">
        <v>1.0108695652173909</v>
      </c>
      <c r="AJ55" s="62">
        <v>6127.4002</v>
      </c>
      <c r="AK55" s="60">
        <v>15423.96149887705</v>
      </c>
      <c r="AL55" t="s">
        <v>336</v>
      </c>
      <c r="AM55" t="s">
        <v>433</v>
      </c>
      <c r="AN55" t="s">
        <v>425</v>
      </c>
      <c r="AO55" t="s">
        <v>27</v>
      </c>
      <c r="AP55">
        <v>111.133</v>
      </c>
      <c r="AQ55">
        <v>0.99819678194932504</v>
      </c>
      <c r="AR55">
        <v>110.9326029683743</v>
      </c>
      <c r="AS55">
        <v>682.07</v>
      </c>
      <c r="AT55">
        <v>1</v>
      </c>
      <c r="AU55">
        <v>75.663800506639092</v>
      </c>
      <c r="AV55">
        <v>0.99739999999999995</v>
      </c>
      <c r="AW55" s="62">
        <v>75.466999999999999</v>
      </c>
      <c r="AX55">
        <v>8.9176000000000002</v>
      </c>
      <c r="AY55">
        <v>1</v>
      </c>
      <c r="AZ55">
        <v>6071.4594890626977</v>
      </c>
      <c r="BA55">
        <v>1.0108695652173909</v>
      </c>
      <c r="BB55" s="62">
        <v>6137.4535999999998</v>
      </c>
      <c r="BC55" s="60">
        <v>15449.26803174115</v>
      </c>
    </row>
    <row r="56" spans="1:55" x14ac:dyDescent="0.25">
      <c r="A56">
        <v>6051</v>
      </c>
      <c r="B56" t="s">
        <v>135</v>
      </c>
      <c r="C56">
        <v>2016</v>
      </c>
      <c r="D56">
        <v>7</v>
      </c>
      <c r="E56" t="s">
        <v>51</v>
      </c>
      <c r="F56" t="s">
        <v>449</v>
      </c>
      <c r="G56" t="s">
        <v>84</v>
      </c>
      <c r="H56" t="s">
        <v>59</v>
      </c>
      <c r="I56" t="s">
        <v>427</v>
      </c>
      <c r="J56">
        <v>-5.7870164300000004</v>
      </c>
      <c r="K56" t="s">
        <v>440</v>
      </c>
      <c r="L56" t="s">
        <v>451</v>
      </c>
      <c r="M56">
        <v>1.7625750762999999E-3</v>
      </c>
      <c r="N56">
        <v>1.0200050928568729E-2</v>
      </c>
      <c r="O56">
        <v>31615.94</v>
      </c>
      <c r="P56">
        <v>1.5814806999999999E-5</v>
      </c>
      <c r="Q56">
        <v>1</v>
      </c>
      <c r="R56" s="60">
        <v>1.0200050928568729E-2</v>
      </c>
      <c r="S56" t="s">
        <v>333</v>
      </c>
      <c r="T56" t="s">
        <v>433</v>
      </c>
      <c r="U56" t="s">
        <v>425</v>
      </c>
      <c r="V56" t="s">
        <v>91</v>
      </c>
      <c r="W56">
        <v>111.133</v>
      </c>
      <c r="X56">
        <v>0.99656169611782708</v>
      </c>
      <c r="Y56">
        <v>110.7508909746625</v>
      </c>
      <c r="Z56">
        <v>682.07</v>
      </c>
      <c r="AA56">
        <v>1</v>
      </c>
      <c r="AB56">
        <v>75.539860207088026</v>
      </c>
      <c r="AC56">
        <v>1.0269999999999999</v>
      </c>
      <c r="AD56" s="62">
        <v>77.578999999999994</v>
      </c>
      <c r="AE56">
        <v>8.9176000000000002</v>
      </c>
      <c r="AF56">
        <v>8.8869385813003348</v>
      </c>
      <c r="AG56">
        <v>1</v>
      </c>
      <c r="AH56">
        <v>6061.5141981475199</v>
      </c>
      <c r="AI56">
        <v>0.98496680983990625</v>
      </c>
      <c r="AJ56" s="62">
        <v>5970.3903</v>
      </c>
      <c r="AK56" s="60">
        <v>60.898285123432757</v>
      </c>
      <c r="AL56" t="s">
        <v>336</v>
      </c>
      <c r="AM56" t="s">
        <v>433</v>
      </c>
      <c r="AN56" t="s">
        <v>425</v>
      </c>
      <c r="AO56" t="s">
        <v>91</v>
      </c>
      <c r="AP56">
        <v>111.133</v>
      </c>
      <c r="AQ56">
        <v>0.99819678194932504</v>
      </c>
      <c r="AR56">
        <v>110.9326029683743</v>
      </c>
      <c r="AS56">
        <v>682.07</v>
      </c>
      <c r="AT56">
        <v>1</v>
      </c>
      <c r="AU56">
        <v>75.663800506639092</v>
      </c>
      <c r="AV56">
        <v>1.0269999999999999</v>
      </c>
      <c r="AW56" s="62">
        <v>77.706999999999994</v>
      </c>
      <c r="AX56">
        <v>8.9176000000000002</v>
      </c>
      <c r="AY56">
        <v>1</v>
      </c>
      <c r="AZ56">
        <v>6071.4594890626977</v>
      </c>
      <c r="BA56">
        <v>0.98496680983990625</v>
      </c>
      <c r="BB56" s="62">
        <v>5980.1860999999999</v>
      </c>
      <c r="BC56" s="60">
        <v>60.998202782318828</v>
      </c>
    </row>
    <row r="57" spans="1:55" x14ac:dyDescent="0.25">
      <c r="A57">
        <v>6052</v>
      </c>
      <c r="B57" t="s">
        <v>135</v>
      </c>
      <c r="C57">
        <v>2016</v>
      </c>
      <c r="D57">
        <v>7</v>
      </c>
      <c r="E57" t="s">
        <v>51</v>
      </c>
      <c r="F57" t="s">
        <v>449</v>
      </c>
      <c r="G57" t="s">
        <v>84</v>
      </c>
      <c r="H57" t="s">
        <v>59</v>
      </c>
      <c r="I57" t="s">
        <v>427</v>
      </c>
      <c r="J57">
        <v>-5.7870164300000004</v>
      </c>
      <c r="K57" t="s">
        <v>440</v>
      </c>
      <c r="L57" t="s">
        <v>452</v>
      </c>
      <c r="M57">
        <v>1.4858046103299999E-3</v>
      </c>
      <c r="N57">
        <v>8.5983756942043053E-3</v>
      </c>
      <c r="O57">
        <v>31615.94</v>
      </c>
      <c r="P57">
        <v>1.5814806999999999E-5</v>
      </c>
      <c r="Q57">
        <v>1</v>
      </c>
      <c r="R57" s="60">
        <v>8.5983756942043053E-3</v>
      </c>
      <c r="S57" t="s">
        <v>333</v>
      </c>
      <c r="T57" t="s">
        <v>433</v>
      </c>
      <c r="U57" t="s">
        <v>425</v>
      </c>
      <c r="V57" t="s">
        <v>28</v>
      </c>
      <c r="W57">
        <v>111.133</v>
      </c>
      <c r="X57">
        <v>0.99656169611782708</v>
      </c>
      <c r="Y57">
        <v>110.7508909746625</v>
      </c>
      <c r="Z57">
        <v>682.07</v>
      </c>
      <c r="AA57">
        <v>1</v>
      </c>
      <c r="AB57">
        <v>75.539860207088026</v>
      </c>
      <c r="AC57">
        <v>1.0196000000000001</v>
      </c>
      <c r="AD57" s="62">
        <v>77.02</v>
      </c>
      <c r="AE57">
        <v>8.9176000000000002</v>
      </c>
      <c r="AF57">
        <v>8.8869385813003348</v>
      </c>
      <c r="AG57">
        <v>1</v>
      </c>
      <c r="AH57">
        <v>6061.5141981475199</v>
      </c>
      <c r="AI57">
        <v>0.97991730655640863</v>
      </c>
      <c r="AJ57" s="62">
        <v>5939.7826999999997</v>
      </c>
      <c r="AK57" s="60">
        <v>51.072483196535217</v>
      </c>
      <c r="AL57" t="s">
        <v>336</v>
      </c>
      <c r="AM57" t="s">
        <v>433</v>
      </c>
      <c r="AN57" t="s">
        <v>425</v>
      </c>
      <c r="AO57" t="s">
        <v>28</v>
      </c>
      <c r="AP57">
        <v>111.133</v>
      </c>
      <c r="AQ57">
        <v>0.99819678194932504</v>
      </c>
      <c r="AR57">
        <v>110.9326029683743</v>
      </c>
      <c r="AS57">
        <v>682.07</v>
      </c>
      <c r="AT57">
        <v>1</v>
      </c>
      <c r="AU57">
        <v>75.663800506639092</v>
      </c>
      <c r="AV57">
        <v>1.0196000000000001</v>
      </c>
      <c r="AW57" s="62">
        <v>77.147000000000006</v>
      </c>
      <c r="AX57">
        <v>8.9176000000000002</v>
      </c>
      <c r="AY57">
        <v>1</v>
      </c>
      <c r="AZ57">
        <v>6071.4594890626977</v>
      </c>
      <c r="BA57">
        <v>0.97991730655640863</v>
      </c>
      <c r="BB57" s="62">
        <v>5949.5281999999997</v>
      </c>
      <c r="BC57" s="60">
        <v>51.156278666863088</v>
      </c>
    </row>
    <row r="58" spans="1:55" x14ac:dyDescent="0.25">
      <c r="A58">
        <v>7212</v>
      </c>
      <c r="B58" t="s">
        <v>129</v>
      </c>
      <c r="C58">
        <v>2016</v>
      </c>
      <c r="D58">
        <v>8</v>
      </c>
      <c r="E58" t="s">
        <v>51</v>
      </c>
      <c r="F58" t="s">
        <v>449</v>
      </c>
      <c r="G58" t="s">
        <v>84</v>
      </c>
      <c r="H58" t="s">
        <v>381</v>
      </c>
      <c r="I58" t="s">
        <v>427</v>
      </c>
      <c r="J58">
        <v>-4.5379333700000002</v>
      </c>
      <c r="K58" t="s">
        <v>440</v>
      </c>
      <c r="L58" t="s">
        <v>450</v>
      </c>
      <c r="M58">
        <v>0.15011157993331001</v>
      </c>
      <c r="N58">
        <v>0.68119634822077169</v>
      </c>
      <c r="O58">
        <v>31615.94</v>
      </c>
      <c r="P58">
        <v>1.5814806999999999E-5</v>
      </c>
      <c r="Q58">
        <v>1</v>
      </c>
      <c r="R58" s="60">
        <v>0.68119634822077169</v>
      </c>
      <c r="S58" t="s">
        <v>336</v>
      </c>
      <c r="T58" t="s">
        <v>433</v>
      </c>
      <c r="U58" t="s">
        <v>425</v>
      </c>
      <c r="V58" t="s">
        <v>26</v>
      </c>
      <c r="W58">
        <v>111.133</v>
      </c>
      <c r="X58">
        <v>0.99819678194932504</v>
      </c>
      <c r="Y58">
        <v>110.9326029683743</v>
      </c>
      <c r="Z58">
        <v>682.07</v>
      </c>
      <c r="AA58">
        <v>1</v>
      </c>
      <c r="AB58">
        <v>75.663800506639092</v>
      </c>
      <c r="AC58">
        <v>1.0178</v>
      </c>
      <c r="AD58" s="62">
        <v>77.010999999999996</v>
      </c>
      <c r="AE58">
        <v>8.9176000000000002</v>
      </c>
      <c r="AF58">
        <v>8.9015196227113016</v>
      </c>
      <c r="AG58">
        <v>1</v>
      </c>
      <c r="AH58">
        <v>6071.4594890626977</v>
      </c>
      <c r="AI58">
        <v>1.0020831266739409</v>
      </c>
      <c r="AJ58" s="62">
        <v>6084.1071000000002</v>
      </c>
      <c r="AK58" s="60">
        <v>4144.4715387040696</v>
      </c>
      <c r="AL58" t="s">
        <v>336</v>
      </c>
      <c r="AM58" t="s">
        <v>433</v>
      </c>
      <c r="AN58" t="s">
        <v>425</v>
      </c>
      <c r="AO58" t="s">
        <v>26</v>
      </c>
      <c r="AP58">
        <v>111.133</v>
      </c>
      <c r="AQ58">
        <v>0.99819678194932504</v>
      </c>
      <c r="AR58">
        <v>110.9326029683743</v>
      </c>
      <c r="AS58">
        <v>682.07</v>
      </c>
      <c r="AT58">
        <v>1</v>
      </c>
      <c r="AU58">
        <v>75.663800506639092</v>
      </c>
      <c r="AV58">
        <v>1.0178</v>
      </c>
      <c r="AW58" s="62">
        <v>77.010999999999996</v>
      </c>
      <c r="AX58">
        <v>8.9176000000000002</v>
      </c>
      <c r="AY58">
        <v>1</v>
      </c>
      <c r="AZ58">
        <v>6071.4594890626977</v>
      </c>
      <c r="BA58">
        <v>1.0020831266739409</v>
      </c>
      <c r="BB58" s="62">
        <v>6084.1071000000002</v>
      </c>
      <c r="BC58" s="60">
        <v>4144.4715387040696</v>
      </c>
    </row>
    <row r="59" spans="1:55" x14ac:dyDescent="0.25">
      <c r="A59">
        <v>7213</v>
      </c>
      <c r="B59" t="s">
        <v>129</v>
      </c>
      <c r="C59">
        <v>2016</v>
      </c>
      <c r="D59">
        <v>8</v>
      </c>
      <c r="E59" t="s">
        <v>51</v>
      </c>
      <c r="F59" t="s">
        <v>449</v>
      </c>
      <c r="G59" t="s">
        <v>84</v>
      </c>
      <c r="H59" t="s">
        <v>381</v>
      </c>
      <c r="I59" t="s">
        <v>427</v>
      </c>
      <c r="J59">
        <v>-4.5379333700000002</v>
      </c>
      <c r="K59" t="s">
        <v>440</v>
      </c>
      <c r="L59" t="s">
        <v>384</v>
      </c>
      <c r="M59">
        <v>4.5811354346740003E-2</v>
      </c>
      <c r="N59">
        <v>0.20788887374252649</v>
      </c>
      <c r="O59">
        <v>31615.94</v>
      </c>
      <c r="P59">
        <v>1.5814806999999999E-5</v>
      </c>
      <c r="Q59">
        <v>1</v>
      </c>
      <c r="R59" s="60">
        <v>0.20788887374252649</v>
      </c>
      <c r="S59" t="s">
        <v>336</v>
      </c>
      <c r="T59" t="s">
        <v>433</v>
      </c>
      <c r="U59" t="s">
        <v>425</v>
      </c>
      <c r="V59" t="s">
        <v>81</v>
      </c>
      <c r="W59">
        <v>111.133</v>
      </c>
      <c r="X59">
        <v>0.99819678194932504</v>
      </c>
      <c r="Y59">
        <v>110.9326029683743</v>
      </c>
      <c r="Z59">
        <v>682.07</v>
      </c>
      <c r="AA59">
        <v>1</v>
      </c>
      <c r="AB59">
        <v>75.663800506639092</v>
      </c>
      <c r="AC59">
        <v>0.92979999999999996</v>
      </c>
      <c r="AD59" s="62">
        <v>70.352000000000004</v>
      </c>
      <c r="AE59">
        <v>8.9176000000000002</v>
      </c>
      <c r="AF59">
        <v>8.9015196227113016</v>
      </c>
      <c r="AG59">
        <v>1</v>
      </c>
      <c r="AH59">
        <v>6071.4594890626977</v>
      </c>
      <c r="AI59">
        <v>1.0375922509225091</v>
      </c>
      <c r="AJ59" s="62">
        <v>6299.6993000000002</v>
      </c>
      <c r="AK59" s="60">
        <v>1309.637392393583</v>
      </c>
      <c r="AL59" t="s">
        <v>336</v>
      </c>
      <c r="AM59" t="s">
        <v>433</v>
      </c>
      <c r="AN59" t="s">
        <v>425</v>
      </c>
      <c r="AO59" t="s">
        <v>81</v>
      </c>
      <c r="AP59">
        <v>111.133</v>
      </c>
      <c r="AQ59">
        <v>0.99819678194932504</v>
      </c>
      <c r="AR59">
        <v>110.9326029683743</v>
      </c>
      <c r="AS59">
        <v>682.07</v>
      </c>
      <c r="AT59">
        <v>1</v>
      </c>
      <c r="AU59">
        <v>75.663800506639092</v>
      </c>
      <c r="AV59">
        <v>0.92979999999999996</v>
      </c>
      <c r="AW59" s="62">
        <v>70.352000000000004</v>
      </c>
      <c r="AX59">
        <v>8.9176000000000002</v>
      </c>
      <c r="AY59">
        <v>1</v>
      </c>
      <c r="AZ59">
        <v>6071.4594890626977</v>
      </c>
      <c r="BA59">
        <v>1.0375922509225091</v>
      </c>
      <c r="BB59" s="62">
        <v>6299.6993000000002</v>
      </c>
      <c r="BC59" s="60">
        <v>1309.637392393583</v>
      </c>
    </row>
    <row r="60" spans="1:55" x14ac:dyDescent="0.25">
      <c r="A60">
        <v>7214</v>
      </c>
      <c r="B60" t="s">
        <v>129</v>
      </c>
      <c r="C60">
        <v>2016</v>
      </c>
      <c r="D60">
        <v>8</v>
      </c>
      <c r="E60" t="s">
        <v>51</v>
      </c>
      <c r="F60" t="s">
        <v>449</v>
      </c>
      <c r="G60" t="s">
        <v>84</v>
      </c>
      <c r="H60" t="s">
        <v>381</v>
      </c>
      <c r="I60" t="s">
        <v>427</v>
      </c>
      <c r="J60">
        <v>-4.5379333700000002</v>
      </c>
      <c r="K60" t="s">
        <v>440</v>
      </c>
      <c r="L60" t="s">
        <v>385</v>
      </c>
      <c r="M60">
        <v>0.43232641346992001</v>
      </c>
      <c r="N60">
        <v>1.9618684596213689</v>
      </c>
      <c r="O60">
        <v>31615.94</v>
      </c>
      <c r="P60">
        <v>1.5814806999999999E-5</v>
      </c>
      <c r="Q60">
        <v>1</v>
      </c>
      <c r="R60" s="60">
        <v>1.9618684596213689</v>
      </c>
      <c r="S60" t="s">
        <v>336</v>
      </c>
      <c r="T60" t="s">
        <v>433</v>
      </c>
      <c r="U60" t="s">
        <v>425</v>
      </c>
      <c r="V60" t="s">
        <v>27</v>
      </c>
      <c r="W60">
        <v>111.133</v>
      </c>
      <c r="X60">
        <v>0.99819678194932504</v>
      </c>
      <c r="Y60">
        <v>110.9326029683743</v>
      </c>
      <c r="Z60">
        <v>682.07</v>
      </c>
      <c r="AA60">
        <v>1</v>
      </c>
      <c r="AB60">
        <v>75.663800506639092</v>
      </c>
      <c r="AC60">
        <v>0.99739999999999995</v>
      </c>
      <c r="AD60" s="62">
        <v>75.466999999999999</v>
      </c>
      <c r="AE60">
        <v>8.9176000000000002</v>
      </c>
      <c r="AF60">
        <v>8.9015196227113016</v>
      </c>
      <c r="AG60">
        <v>1</v>
      </c>
      <c r="AH60">
        <v>6071.4594890626977</v>
      </c>
      <c r="AI60">
        <v>1.0108695652173909</v>
      </c>
      <c r="AJ60" s="62">
        <v>6137.4535999999998</v>
      </c>
      <c r="AK60" s="60">
        <v>12040.87664022963</v>
      </c>
      <c r="AL60" t="s">
        <v>336</v>
      </c>
      <c r="AM60" t="s">
        <v>433</v>
      </c>
      <c r="AN60" t="s">
        <v>425</v>
      </c>
      <c r="AO60" t="s">
        <v>27</v>
      </c>
      <c r="AP60">
        <v>111.133</v>
      </c>
      <c r="AQ60">
        <v>0.99819678194932504</v>
      </c>
      <c r="AR60">
        <v>110.9326029683743</v>
      </c>
      <c r="AS60">
        <v>682.07</v>
      </c>
      <c r="AT60">
        <v>1</v>
      </c>
      <c r="AU60">
        <v>75.663800506639092</v>
      </c>
      <c r="AV60">
        <v>0.99739999999999995</v>
      </c>
      <c r="AW60" s="62">
        <v>75.466999999999999</v>
      </c>
      <c r="AX60">
        <v>8.9176000000000002</v>
      </c>
      <c r="AY60">
        <v>1</v>
      </c>
      <c r="AZ60">
        <v>6071.4594890626977</v>
      </c>
      <c r="BA60">
        <v>1.0108695652173909</v>
      </c>
      <c r="BB60" s="62">
        <v>6137.4535999999998</v>
      </c>
      <c r="BC60" s="60">
        <v>12040.87664022963</v>
      </c>
    </row>
    <row r="61" spans="1:55" x14ac:dyDescent="0.25">
      <c r="A61">
        <v>7215</v>
      </c>
      <c r="B61" t="s">
        <v>129</v>
      </c>
      <c r="C61">
        <v>2016</v>
      </c>
      <c r="D61">
        <v>8</v>
      </c>
      <c r="E61" t="s">
        <v>51</v>
      </c>
      <c r="F61" t="s">
        <v>449</v>
      </c>
      <c r="G61" t="s">
        <v>84</v>
      </c>
      <c r="H61" t="s">
        <v>381</v>
      </c>
      <c r="I61" t="s">
        <v>427</v>
      </c>
      <c r="J61">
        <v>-4.5379333700000002</v>
      </c>
      <c r="K61" t="s">
        <v>440</v>
      </c>
      <c r="L61" t="s">
        <v>451</v>
      </c>
      <c r="M61">
        <v>1.6825115802299999E-3</v>
      </c>
      <c r="N61">
        <v>7.6351254500220591E-3</v>
      </c>
      <c r="O61">
        <v>31615.94</v>
      </c>
      <c r="P61">
        <v>1.5814806999999999E-5</v>
      </c>
      <c r="Q61">
        <v>1</v>
      </c>
      <c r="R61" s="60">
        <v>7.6351254500220591E-3</v>
      </c>
      <c r="S61" t="s">
        <v>336</v>
      </c>
      <c r="T61" t="s">
        <v>433</v>
      </c>
      <c r="U61" t="s">
        <v>425</v>
      </c>
      <c r="V61" t="s">
        <v>91</v>
      </c>
      <c r="W61">
        <v>111.133</v>
      </c>
      <c r="X61">
        <v>0.99819678194932504</v>
      </c>
      <c r="Y61">
        <v>110.9326029683743</v>
      </c>
      <c r="Z61">
        <v>682.07</v>
      </c>
      <c r="AA61">
        <v>1</v>
      </c>
      <c r="AB61">
        <v>75.663800506639092</v>
      </c>
      <c r="AC61">
        <v>1.0269999999999999</v>
      </c>
      <c r="AD61" s="62">
        <v>77.706999999999994</v>
      </c>
      <c r="AE61">
        <v>8.9176000000000002</v>
      </c>
      <c r="AF61">
        <v>8.9015196227113016</v>
      </c>
      <c r="AG61">
        <v>1</v>
      </c>
      <c r="AH61">
        <v>6071.4594890626977</v>
      </c>
      <c r="AI61">
        <v>0.98496680983990625</v>
      </c>
      <c r="AJ61" s="62">
        <v>5980.1860999999999</v>
      </c>
      <c r="AK61" s="60">
        <v>45.659471087978162</v>
      </c>
      <c r="AL61" t="s">
        <v>336</v>
      </c>
      <c r="AM61" t="s">
        <v>433</v>
      </c>
      <c r="AN61" t="s">
        <v>425</v>
      </c>
      <c r="AO61" t="s">
        <v>91</v>
      </c>
      <c r="AP61">
        <v>111.133</v>
      </c>
      <c r="AQ61">
        <v>0.99819678194932504</v>
      </c>
      <c r="AR61">
        <v>110.9326029683743</v>
      </c>
      <c r="AS61">
        <v>682.07</v>
      </c>
      <c r="AT61">
        <v>1</v>
      </c>
      <c r="AU61">
        <v>75.663800506639092</v>
      </c>
      <c r="AV61">
        <v>1.0269999999999999</v>
      </c>
      <c r="AW61" s="62">
        <v>77.706999999999994</v>
      </c>
      <c r="AX61">
        <v>8.9176000000000002</v>
      </c>
      <c r="AY61">
        <v>1</v>
      </c>
      <c r="AZ61">
        <v>6071.4594890626977</v>
      </c>
      <c r="BA61">
        <v>0.98496680983990625</v>
      </c>
      <c r="BB61" s="62">
        <v>5980.1860999999999</v>
      </c>
      <c r="BC61" s="60">
        <v>45.659471087978162</v>
      </c>
    </row>
    <row r="62" spans="1:55" x14ac:dyDescent="0.25">
      <c r="A62">
        <v>7216</v>
      </c>
      <c r="B62" t="s">
        <v>129</v>
      </c>
      <c r="C62">
        <v>2016</v>
      </c>
      <c r="D62">
        <v>8</v>
      </c>
      <c r="E62" t="s">
        <v>51</v>
      </c>
      <c r="F62" t="s">
        <v>449</v>
      </c>
      <c r="G62" t="s">
        <v>84</v>
      </c>
      <c r="H62" t="s">
        <v>381</v>
      </c>
      <c r="I62" t="s">
        <v>427</v>
      </c>
      <c r="J62">
        <v>-4.5379333700000002</v>
      </c>
      <c r="K62" t="s">
        <v>440</v>
      </c>
      <c r="L62" t="s">
        <v>452</v>
      </c>
      <c r="M62">
        <v>1.53682162831E-3</v>
      </c>
      <c r="N62">
        <v>6.9739941551249258E-3</v>
      </c>
      <c r="O62">
        <v>31615.94</v>
      </c>
      <c r="P62">
        <v>1.5814806999999999E-5</v>
      </c>
      <c r="Q62">
        <v>1</v>
      </c>
      <c r="R62" s="60">
        <v>6.9739941551249258E-3</v>
      </c>
      <c r="S62" t="s">
        <v>336</v>
      </c>
      <c r="T62" t="s">
        <v>433</v>
      </c>
      <c r="U62" t="s">
        <v>425</v>
      </c>
      <c r="V62" t="s">
        <v>28</v>
      </c>
      <c r="W62">
        <v>111.133</v>
      </c>
      <c r="X62">
        <v>0.99819678194932504</v>
      </c>
      <c r="Y62">
        <v>110.9326029683743</v>
      </c>
      <c r="Z62">
        <v>682.07</v>
      </c>
      <c r="AA62">
        <v>1</v>
      </c>
      <c r="AB62">
        <v>75.663800506639092</v>
      </c>
      <c r="AC62">
        <v>1.0196000000000001</v>
      </c>
      <c r="AD62" s="62">
        <v>77.147000000000006</v>
      </c>
      <c r="AE62">
        <v>8.9176000000000002</v>
      </c>
      <c r="AF62">
        <v>8.9015196227113016</v>
      </c>
      <c r="AG62">
        <v>1</v>
      </c>
      <c r="AH62">
        <v>6071.4594890626977</v>
      </c>
      <c r="AI62">
        <v>0.97991730655640863</v>
      </c>
      <c r="AJ62" s="62">
        <v>5949.5281999999997</v>
      </c>
      <c r="AK62" s="60">
        <v>41.491974892550921</v>
      </c>
      <c r="AL62" t="s">
        <v>336</v>
      </c>
      <c r="AM62" t="s">
        <v>433</v>
      </c>
      <c r="AN62" t="s">
        <v>425</v>
      </c>
      <c r="AO62" t="s">
        <v>28</v>
      </c>
      <c r="AP62">
        <v>111.133</v>
      </c>
      <c r="AQ62">
        <v>0.99819678194932504</v>
      </c>
      <c r="AR62">
        <v>110.9326029683743</v>
      </c>
      <c r="AS62">
        <v>682.07</v>
      </c>
      <c r="AT62">
        <v>1</v>
      </c>
      <c r="AU62">
        <v>75.663800506639092</v>
      </c>
      <c r="AV62">
        <v>1.0196000000000001</v>
      </c>
      <c r="AW62" s="62">
        <v>77.147000000000006</v>
      </c>
      <c r="AX62">
        <v>8.9176000000000002</v>
      </c>
      <c r="AY62">
        <v>1</v>
      </c>
      <c r="AZ62">
        <v>6071.4594890626977</v>
      </c>
      <c r="BA62">
        <v>0.97991730655640863</v>
      </c>
      <c r="BB62" s="62">
        <v>5949.5281999999997</v>
      </c>
      <c r="BC62" s="60">
        <v>41.491974892550921</v>
      </c>
    </row>
    <row r="63" spans="1:55" x14ac:dyDescent="0.25">
      <c r="A63">
        <v>7217</v>
      </c>
      <c r="B63" t="s">
        <v>129</v>
      </c>
      <c r="C63">
        <v>2016</v>
      </c>
      <c r="D63">
        <v>8</v>
      </c>
      <c r="E63" t="s">
        <v>51</v>
      </c>
      <c r="F63" t="s">
        <v>449</v>
      </c>
      <c r="G63" t="s">
        <v>84</v>
      </c>
      <c r="H63" t="s">
        <v>87</v>
      </c>
      <c r="I63" t="s">
        <v>427</v>
      </c>
      <c r="J63">
        <v>-0.93339574000000003</v>
      </c>
      <c r="K63" t="s">
        <v>440</v>
      </c>
      <c r="L63" t="s">
        <v>450</v>
      </c>
      <c r="M63">
        <v>0.26601384014995</v>
      </c>
      <c r="N63">
        <v>0.24829618490884869</v>
      </c>
      <c r="O63">
        <v>31615.94</v>
      </c>
      <c r="P63">
        <v>1.5814806999999999E-5</v>
      </c>
      <c r="Q63">
        <v>1</v>
      </c>
      <c r="R63" s="60">
        <v>0.24829618490884869</v>
      </c>
      <c r="S63" t="s">
        <v>336</v>
      </c>
      <c r="T63" t="s">
        <v>433</v>
      </c>
      <c r="U63" t="s">
        <v>425</v>
      </c>
      <c r="V63" t="s">
        <v>26</v>
      </c>
      <c r="W63">
        <v>111.133</v>
      </c>
      <c r="X63">
        <v>0.99819678194932504</v>
      </c>
      <c r="Y63">
        <v>110.9326029683743</v>
      </c>
      <c r="Z63">
        <v>682.07</v>
      </c>
      <c r="AA63">
        <v>1</v>
      </c>
      <c r="AB63">
        <v>75.663800506639092</v>
      </c>
      <c r="AC63">
        <v>1.0178</v>
      </c>
      <c r="AD63" s="62">
        <v>77.010999999999996</v>
      </c>
      <c r="AE63">
        <v>8.9176000000000002</v>
      </c>
      <c r="AF63">
        <v>8.9015196227113016</v>
      </c>
      <c r="AG63">
        <v>1</v>
      </c>
      <c r="AH63">
        <v>6071.4594890626977</v>
      </c>
      <c r="AI63">
        <v>1.0020831266739409</v>
      </c>
      <c r="AJ63" s="62">
        <v>6084.1071000000002</v>
      </c>
      <c r="AK63" s="60">
        <v>1510.6605815068399</v>
      </c>
      <c r="AL63" t="s">
        <v>336</v>
      </c>
      <c r="AM63" t="s">
        <v>433</v>
      </c>
      <c r="AN63" t="s">
        <v>425</v>
      </c>
      <c r="AO63" t="s">
        <v>26</v>
      </c>
      <c r="AP63">
        <v>111.133</v>
      </c>
      <c r="AQ63">
        <v>0.99819678194932504</v>
      </c>
      <c r="AR63">
        <v>110.9326029683743</v>
      </c>
      <c r="AS63">
        <v>682.07</v>
      </c>
      <c r="AT63">
        <v>1</v>
      </c>
      <c r="AU63">
        <v>75.663800506639092</v>
      </c>
      <c r="AV63">
        <v>1.0178</v>
      </c>
      <c r="AW63" s="62">
        <v>77.010999999999996</v>
      </c>
      <c r="AX63">
        <v>8.9176000000000002</v>
      </c>
      <c r="AY63">
        <v>1</v>
      </c>
      <c r="AZ63">
        <v>6071.4594890626977</v>
      </c>
      <c r="BA63">
        <v>1.0020831266739409</v>
      </c>
      <c r="BB63" s="62">
        <v>6084.1071000000002</v>
      </c>
      <c r="BC63" s="60">
        <v>1510.6605815068399</v>
      </c>
    </row>
    <row r="64" spans="1:55" x14ac:dyDescent="0.25">
      <c r="A64">
        <v>7218</v>
      </c>
      <c r="B64" t="s">
        <v>129</v>
      </c>
      <c r="C64">
        <v>2016</v>
      </c>
      <c r="D64">
        <v>8</v>
      </c>
      <c r="E64" t="s">
        <v>51</v>
      </c>
      <c r="F64" t="s">
        <v>449</v>
      </c>
      <c r="G64" t="s">
        <v>84</v>
      </c>
      <c r="H64" t="s">
        <v>87</v>
      </c>
      <c r="I64" t="s">
        <v>427</v>
      </c>
      <c r="J64">
        <v>-0.93339574000000003</v>
      </c>
      <c r="K64" t="s">
        <v>440</v>
      </c>
      <c r="L64" t="s">
        <v>384</v>
      </c>
      <c r="M64">
        <v>3.9509559941419997E-2</v>
      </c>
      <c r="N64">
        <v>3.6878054898768421E-2</v>
      </c>
      <c r="O64">
        <v>31615.94</v>
      </c>
      <c r="P64">
        <v>1.5814806999999999E-5</v>
      </c>
      <c r="Q64">
        <v>1</v>
      </c>
      <c r="R64" s="60">
        <v>3.6878054898768421E-2</v>
      </c>
      <c r="S64" t="s">
        <v>336</v>
      </c>
      <c r="T64" t="s">
        <v>433</v>
      </c>
      <c r="U64" t="s">
        <v>425</v>
      </c>
      <c r="V64" t="s">
        <v>81</v>
      </c>
      <c r="W64">
        <v>111.133</v>
      </c>
      <c r="X64">
        <v>0.99819678194932504</v>
      </c>
      <c r="Y64">
        <v>110.9326029683743</v>
      </c>
      <c r="Z64">
        <v>682.07</v>
      </c>
      <c r="AA64">
        <v>1</v>
      </c>
      <c r="AB64">
        <v>75.663800506639092</v>
      </c>
      <c r="AC64">
        <v>0.92979999999999996</v>
      </c>
      <c r="AD64" s="62">
        <v>70.352000000000004</v>
      </c>
      <c r="AE64">
        <v>8.9176000000000002</v>
      </c>
      <c r="AF64">
        <v>8.9015196227113016</v>
      </c>
      <c r="AG64">
        <v>1</v>
      </c>
      <c r="AH64">
        <v>6071.4594890626977</v>
      </c>
      <c r="AI64">
        <v>1.0375922509225091</v>
      </c>
      <c r="AJ64" s="62">
        <v>6299.6993000000002</v>
      </c>
      <c r="AK64" s="60">
        <v>232.32065663113301</v>
      </c>
      <c r="AL64" t="s">
        <v>336</v>
      </c>
      <c r="AM64" t="s">
        <v>433</v>
      </c>
      <c r="AN64" t="s">
        <v>425</v>
      </c>
      <c r="AO64" t="s">
        <v>81</v>
      </c>
      <c r="AP64">
        <v>111.133</v>
      </c>
      <c r="AQ64">
        <v>0.99819678194932504</v>
      </c>
      <c r="AR64">
        <v>110.9326029683743</v>
      </c>
      <c r="AS64">
        <v>682.07</v>
      </c>
      <c r="AT64">
        <v>1</v>
      </c>
      <c r="AU64">
        <v>75.663800506639092</v>
      </c>
      <c r="AV64">
        <v>0.92979999999999996</v>
      </c>
      <c r="AW64" s="62">
        <v>70.352000000000004</v>
      </c>
      <c r="AX64">
        <v>8.9176000000000002</v>
      </c>
      <c r="AY64">
        <v>1</v>
      </c>
      <c r="AZ64">
        <v>6071.4594890626977</v>
      </c>
      <c r="BA64">
        <v>1.0375922509225091</v>
      </c>
      <c r="BB64" s="62">
        <v>6299.6993000000002</v>
      </c>
      <c r="BC64" s="60">
        <v>232.32065663113301</v>
      </c>
    </row>
    <row r="65" spans="1:55" x14ac:dyDescent="0.25">
      <c r="A65">
        <v>7219</v>
      </c>
      <c r="B65" t="s">
        <v>129</v>
      </c>
      <c r="C65">
        <v>2016</v>
      </c>
      <c r="D65">
        <v>8</v>
      </c>
      <c r="E65" t="s">
        <v>51</v>
      </c>
      <c r="F65" t="s">
        <v>449</v>
      </c>
      <c r="G65" t="s">
        <v>84</v>
      </c>
      <c r="H65" t="s">
        <v>87</v>
      </c>
      <c r="I65" t="s">
        <v>427</v>
      </c>
      <c r="J65">
        <v>-0.93339574000000003</v>
      </c>
      <c r="K65" t="s">
        <v>440</v>
      </c>
      <c r="L65" t="s">
        <v>385</v>
      </c>
      <c r="M65">
        <v>0.39737542925016001</v>
      </c>
      <c r="N65">
        <v>0.37090853244219602</v>
      </c>
      <c r="O65">
        <v>31615.94</v>
      </c>
      <c r="P65">
        <v>1.5814806999999999E-5</v>
      </c>
      <c r="Q65">
        <v>1</v>
      </c>
      <c r="R65" s="60">
        <v>0.37090853244219602</v>
      </c>
      <c r="S65" t="s">
        <v>336</v>
      </c>
      <c r="T65" t="s">
        <v>433</v>
      </c>
      <c r="U65" t="s">
        <v>425</v>
      </c>
      <c r="V65" t="s">
        <v>27</v>
      </c>
      <c r="W65">
        <v>111.133</v>
      </c>
      <c r="X65">
        <v>0.99819678194932504</v>
      </c>
      <c r="Y65">
        <v>110.9326029683743</v>
      </c>
      <c r="Z65">
        <v>682.07</v>
      </c>
      <c r="AA65">
        <v>1</v>
      </c>
      <c r="AB65">
        <v>75.663800506639092</v>
      </c>
      <c r="AC65">
        <v>0.99739999999999995</v>
      </c>
      <c r="AD65" s="62">
        <v>75.466999999999999</v>
      </c>
      <c r="AE65">
        <v>8.9176000000000002</v>
      </c>
      <c r="AF65">
        <v>8.9015196227113016</v>
      </c>
      <c r="AG65">
        <v>1</v>
      </c>
      <c r="AH65">
        <v>6071.4594890626977</v>
      </c>
      <c r="AI65">
        <v>1.0108695652173909</v>
      </c>
      <c r="AJ65" s="62">
        <v>6137.4535999999998</v>
      </c>
      <c r="AK65" s="60">
        <v>2276.4339077080731</v>
      </c>
      <c r="AL65" t="s">
        <v>336</v>
      </c>
      <c r="AM65" t="s">
        <v>433</v>
      </c>
      <c r="AN65" t="s">
        <v>425</v>
      </c>
      <c r="AO65" t="s">
        <v>27</v>
      </c>
      <c r="AP65">
        <v>111.133</v>
      </c>
      <c r="AQ65">
        <v>0.99819678194932504</v>
      </c>
      <c r="AR65">
        <v>110.9326029683743</v>
      </c>
      <c r="AS65">
        <v>682.07</v>
      </c>
      <c r="AT65">
        <v>1</v>
      </c>
      <c r="AU65">
        <v>75.663800506639092</v>
      </c>
      <c r="AV65">
        <v>0.99739999999999995</v>
      </c>
      <c r="AW65" s="62">
        <v>75.466999999999999</v>
      </c>
      <c r="AX65">
        <v>8.9176000000000002</v>
      </c>
      <c r="AY65">
        <v>1</v>
      </c>
      <c r="AZ65">
        <v>6071.4594890626977</v>
      </c>
      <c r="BA65">
        <v>1.0108695652173909</v>
      </c>
      <c r="BB65" s="62">
        <v>6137.4535999999998</v>
      </c>
      <c r="BC65" s="60">
        <v>2276.4339077080731</v>
      </c>
    </row>
    <row r="66" spans="1:55" x14ac:dyDescent="0.25">
      <c r="A66">
        <v>7220</v>
      </c>
      <c r="B66" t="s">
        <v>129</v>
      </c>
      <c r="C66">
        <v>2016</v>
      </c>
      <c r="D66">
        <v>8</v>
      </c>
      <c r="E66" t="s">
        <v>51</v>
      </c>
      <c r="F66" t="s">
        <v>449</v>
      </c>
      <c r="G66" t="s">
        <v>84</v>
      </c>
      <c r="H66" t="s">
        <v>87</v>
      </c>
      <c r="I66" t="s">
        <v>427</v>
      </c>
      <c r="J66">
        <v>-0.93339574000000003</v>
      </c>
      <c r="K66" t="s">
        <v>440</v>
      </c>
      <c r="L66" t="s">
        <v>452</v>
      </c>
      <c r="M66">
        <v>8.4248020759000004E-4</v>
      </c>
      <c r="N66">
        <v>7.8636743594955863E-4</v>
      </c>
      <c r="O66">
        <v>31615.94</v>
      </c>
      <c r="P66">
        <v>1.5814806999999999E-5</v>
      </c>
      <c r="Q66">
        <v>1</v>
      </c>
      <c r="R66" s="60">
        <v>7.8636743594955863E-4</v>
      </c>
      <c r="S66" t="s">
        <v>336</v>
      </c>
      <c r="T66" t="s">
        <v>433</v>
      </c>
      <c r="U66" t="s">
        <v>425</v>
      </c>
      <c r="V66" t="s">
        <v>28</v>
      </c>
      <c r="W66">
        <v>111.133</v>
      </c>
      <c r="X66">
        <v>0.99819678194932504</v>
      </c>
      <c r="Y66">
        <v>110.9326029683743</v>
      </c>
      <c r="Z66">
        <v>682.07</v>
      </c>
      <c r="AA66">
        <v>1</v>
      </c>
      <c r="AB66">
        <v>75.663800506639092</v>
      </c>
      <c r="AC66">
        <v>1.0196000000000001</v>
      </c>
      <c r="AD66" s="62">
        <v>77.147000000000006</v>
      </c>
      <c r="AE66">
        <v>8.9176000000000002</v>
      </c>
      <c r="AF66">
        <v>8.9015196227113016</v>
      </c>
      <c r="AG66">
        <v>1</v>
      </c>
      <c r="AH66">
        <v>6071.4594890626977</v>
      </c>
      <c r="AI66">
        <v>0.97991730655640863</v>
      </c>
      <c r="AJ66" s="62">
        <v>5949.5281999999997</v>
      </c>
      <c r="AK66" s="60">
        <v>4.6785152357435926</v>
      </c>
      <c r="AL66" t="s">
        <v>336</v>
      </c>
      <c r="AM66" t="s">
        <v>433</v>
      </c>
      <c r="AN66" t="s">
        <v>425</v>
      </c>
      <c r="AO66" t="s">
        <v>28</v>
      </c>
      <c r="AP66">
        <v>111.133</v>
      </c>
      <c r="AQ66">
        <v>0.99819678194932504</v>
      </c>
      <c r="AR66">
        <v>110.9326029683743</v>
      </c>
      <c r="AS66">
        <v>682.07</v>
      </c>
      <c r="AT66">
        <v>1</v>
      </c>
      <c r="AU66">
        <v>75.663800506639092</v>
      </c>
      <c r="AV66">
        <v>1.0196000000000001</v>
      </c>
      <c r="AW66" s="62">
        <v>77.147000000000006</v>
      </c>
      <c r="AX66">
        <v>8.9176000000000002</v>
      </c>
      <c r="AY66">
        <v>1</v>
      </c>
      <c r="AZ66">
        <v>6071.4594890626977</v>
      </c>
      <c r="BA66">
        <v>0.97991730655640863</v>
      </c>
      <c r="BB66" s="62">
        <v>5949.5281999999997</v>
      </c>
      <c r="BC66" s="60">
        <v>4.6785152357435926</v>
      </c>
    </row>
    <row r="67" spans="1:55" x14ac:dyDescent="0.25">
      <c r="A67">
        <v>7221</v>
      </c>
      <c r="B67" t="s">
        <v>129</v>
      </c>
      <c r="C67">
        <v>2016</v>
      </c>
      <c r="D67">
        <v>8</v>
      </c>
      <c r="E67" t="s">
        <v>51</v>
      </c>
      <c r="F67" t="s">
        <v>449</v>
      </c>
      <c r="G67" t="s">
        <v>84</v>
      </c>
      <c r="H67" t="s">
        <v>59</v>
      </c>
      <c r="I67" t="s">
        <v>427</v>
      </c>
      <c r="J67">
        <v>-2.7187721800000002</v>
      </c>
      <c r="K67" t="s">
        <v>440</v>
      </c>
      <c r="L67" t="s">
        <v>450</v>
      </c>
      <c r="M67">
        <v>0.15931709696460999</v>
      </c>
      <c r="N67">
        <v>0.43314689117869087</v>
      </c>
      <c r="O67">
        <v>31615.94</v>
      </c>
      <c r="P67">
        <v>1.5814806999999999E-5</v>
      </c>
      <c r="Q67">
        <v>1</v>
      </c>
      <c r="R67" s="60">
        <v>0.43314689117869087</v>
      </c>
      <c r="S67" t="s">
        <v>336</v>
      </c>
      <c r="T67" t="s">
        <v>433</v>
      </c>
      <c r="U67" t="s">
        <v>425</v>
      </c>
      <c r="V67" t="s">
        <v>26</v>
      </c>
      <c r="W67">
        <v>111.133</v>
      </c>
      <c r="X67">
        <v>0.99819678194932504</v>
      </c>
      <c r="Y67">
        <v>110.9326029683743</v>
      </c>
      <c r="Z67">
        <v>682.07</v>
      </c>
      <c r="AA67">
        <v>1</v>
      </c>
      <c r="AB67">
        <v>75.663800506639092</v>
      </c>
      <c r="AC67">
        <v>1.0178</v>
      </c>
      <c r="AD67" s="62">
        <v>77.010999999999996</v>
      </c>
      <c r="AE67">
        <v>8.9176000000000002</v>
      </c>
      <c r="AF67">
        <v>8.9015196227113016</v>
      </c>
      <c r="AG67">
        <v>1</v>
      </c>
      <c r="AH67">
        <v>6071.4594890626977</v>
      </c>
      <c r="AI67">
        <v>1.0020831266739409</v>
      </c>
      <c r="AJ67" s="62">
        <v>6084.1071000000002</v>
      </c>
      <c r="AK67" s="60">
        <v>2635.3120759632011</v>
      </c>
      <c r="AL67" t="s">
        <v>336</v>
      </c>
      <c r="AM67" t="s">
        <v>433</v>
      </c>
      <c r="AN67" t="s">
        <v>425</v>
      </c>
      <c r="AO67" t="s">
        <v>26</v>
      </c>
      <c r="AP67">
        <v>111.133</v>
      </c>
      <c r="AQ67">
        <v>0.99819678194932504</v>
      </c>
      <c r="AR67">
        <v>110.9326029683743</v>
      </c>
      <c r="AS67">
        <v>682.07</v>
      </c>
      <c r="AT67">
        <v>1</v>
      </c>
      <c r="AU67">
        <v>75.663800506639092</v>
      </c>
      <c r="AV67">
        <v>1.0178</v>
      </c>
      <c r="AW67" s="62">
        <v>77.010999999999996</v>
      </c>
      <c r="AX67">
        <v>8.9176000000000002</v>
      </c>
      <c r="AY67">
        <v>1</v>
      </c>
      <c r="AZ67">
        <v>6071.4594890626977</v>
      </c>
      <c r="BA67">
        <v>1.0020831266739409</v>
      </c>
      <c r="BB67" s="62">
        <v>6084.1071000000002</v>
      </c>
      <c r="BC67" s="60">
        <v>2635.3120759632011</v>
      </c>
    </row>
    <row r="68" spans="1:55" x14ac:dyDescent="0.25">
      <c r="A68">
        <v>7222</v>
      </c>
      <c r="B68" t="s">
        <v>129</v>
      </c>
      <c r="C68">
        <v>2016</v>
      </c>
      <c r="D68">
        <v>8</v>
      </c>
      <c r="E68" t="s">
        <v>51</v>
      </c>
      <c r="F68" t="s">
        <v>449</v>
      </c>
      <c r="G68" t="s">
        <v>84</v>
      </c>
      <c r="H68" t="s">
        <v>59</v>
      </c>
      <c r="I68" t="s">
        <v>427</v>
      </c>
      <c r="J68">
        <v>-2.7187721800000002</v>
      </c>
      <c r="K68" t="s">
        <v>440</v>
      </c>
      <c r="L68" t="s">
        <v>384</v>
      </c>
      <c r="M68">
        <v>4.1785183859599999E-2</v>
      </c>
      <c r="N68">
        <v>0.1136043954537799</v>
      </c>
      <c r="O68">
        <v>31615.94</v>
      </c>
      <c r="P68">
        <v>1.5814806999999999E-5</v>
      </c>
      <c r="Q68">
        <v>1</v>
      </c>
      <c r="R68" s="60">
        <v>0.1136043954537799</v>
      </c>
      <c r="S68" t="s">
        <v>336</v>
      </c>
      <c r="T68" t="s">
        <v>433</v>
      </c>
      <c r="U68" t="s">
        <v>425</v>
      </c>
      <c r="V68" t="s">
        <v>81</v>
      </c>
      <c r="W68">
        <v>111.133</v>
      </c>
      <c r="X68">
        <v>0.99819678194932504</v>
      </c>
      <c r="Y68">
        <v>110.9326029683743</v>
      </c>
      <c r="Z68">
        <v>682.07</v>
      </c>
      <c r="AA68">
        <v>1</v>
      </c>
      <c r="AB68">
        <v>75.663800506639092</v>
      </c>
      <c r="AC68">
        <v>0.92979999999999996</v>
      </c>
      <c r="AD68" s="62">
        <v>70.352000000000004</v>
      </c>
      <c r="AE68">
        <v>8.9176000000000002</v>
      </c>
      <c r="AF68">
        <v>8.9015196227113016</v>
      </c>
      <c r="AG68">
        <v>1</v>
      </c>
      <c r="AH68">
        <v>6071.4594890626977</v>
      </c>
      <c r="AI68">
        <v>1.0375922509225091</v>
      </c>
      <c r="AJ68" s="62">
        <v>6299.6993000000002</v>
      </c>
      <c r="AK68" s="60">
        <v>715.6735305171004</v>
      </c>
      <c r="AL68" t="s">
        <v>336</v>
      </c>
      <c r="AM68" t="s">
        <v>433</v>
      </c>
      <c r="AN68" t="s">
        <v>425</v>
      </c>
      <c r="AO68" t="s">
        <v>81</v>
      </c>
      <c r="AP68">
        <v>111.133</v>
      </c>
      <c r="AQ68">
        <v>0.99819678194932504</v>
      </c>
      <c r="AR68">
        <v>110.9326029683743</v>
      </c>
      <c r="AS68">
        <v>682.07</v>
      </c>
      <c r="AT68">
        <v>1</v>
      </c>
      <c r="AU68">
        <v>75.663800506639092</v>
      </c>
      <c r="AV68">
        <v>0.92979999999999996</v>
      </c>
      <c r="AW68" s="62">
        <v>70.352000000000004</v>
      </c>
      <c r="AX68">
        <v>8.9176000000000002</v>
      </c>
      <c r="AY68">
        <v>1</v>
      </c>
      <c r="AZ68">
        <v>6071.4594890626977</v>
      </c>
      <c r="BA68">
        <v>1.0375922509225091</v>
      </c>
      <c r="BB68" s="62">
        <v>6299.6993000000002</v>
      </c>
      <c r="BC68" s="60">
        <v>715.6735305171004</v>
      </c>
    </row>
    <row r="69" spans="1:55" x14ac:dyDescent="0.25">
      <c r="A69">
        <v>7223</v>
      </c>
      <c r="B69" t="s">
        <v>129</v>
      </c>
      <c r="C69">
        <v>2016</v>
      </c>
      <c r="D69">
        <v>8</v>
      </c>
      <c r="E69" t="s">
        <v>51</v>
      </c>
      <c r="F69" t="s">
        <v>449</v>
      </c>
      <c r="G69" t="s">
        <v>84</v>
      </c>
      <c r="H69" t="s">
        <v>59</v>
      </c>
      <c r="I69" t="s">
        <v>427</v>
      </c>
      <c r="J69">
        <v>-2.7187721800000002</v>
      </c>
      <c r="K69" t="s">
        <v>440</v>
      </c>
      <c r="L69" t="s">
        <v>385</v>
      </c>
      <c r="M69">
        <v>0.43497567483749999</v>
      </c>
      <c r="N69">
        <v>1.1825997641425039</v>
      </c>
      <c r="O69">
        <v>31615.94</v>
      </c>
      <c r="P69">
        <v>1.5814806999999999E-5</v>
      </c>
      <c r="Q69">
        <v>1</v>
      </c>
      <c r="R69" s="60">
        <v>1.1825997641425039</v>
      </c>
      <c r="S69" t="s">
        <v>336</v>
      </c>
      <c r="T69" t="s">
        <v>433</v>
      </c>
      <c r="U69" t="s">
        <v>425</v>
      </c>
      <c r="V69" t="s">
        <v>27</v>
      </c>
      <c r="W69">
        <v>111.133</v>
      </c>
      <c r="X69">
        <v>0.99819678194932504</v>
      </c>
      <c r="Y69">
        <v>110.9326029683743</v>
      </c>
      <c r="Z69">
        <v>682.07</v>
      </c>
      <c r="AA69">
        <v>1</v>
      </c>
      <c r="AB69">
        <v>75.663800506639092</v>
      </c>
      <c r="AC69">
        <v>0.99739999999999995</v>
      </c>
      <c r="AD69" s="62">
        <v>75.466999999999999</v>
      </c>
      <c r="AE69">
        <v>8.9176000000000002</v>
      </c>
      <c r="AF69">
        <v>8.9015196227113016</v>
      </c>
      <c r="AG69">
        <v>1</v>
      </c>
      <c r="AH69">
        <v>6071.4594890626977</v>
      </c>
      <c r="AI69">
        <v>1.0108695652173909</v>
      </c>
      <c r="AJ69" s="62">
        <v>6137.4535999999998</v>
      </c>
      <c r="AK69" s="60">
        <v>7258.1511797955627</v>
      </c>
      <c r="AL69" t="s">
        <v>336</v>
      </c>
      <c r="AM69" t="s">
        <v>433</v>
      </c>
      <c r="AN69" t="s">
        <v>425</v>
      </c>
      <c r="AO69" t="s">
        <v>27</v>
      </c>
      <c r="AP69">
        <v>111.133</v>
      </c>
      <c r="AQ69">
        <v>0.99819678194932504</v>
      </c>
      <c r="AR69">
        <v>110.9326029683743</v>
      </c>
      <c r="AS69">
        <v>682.07</v>
      </c>
      <c r="AT69">
        <v>1</v>
      </c>
      <c r="AU69">
        <v>75.663800506639092</v>
      </c>
      <c r="AV69">
        <v>0.99739999999999995</v>
      </c>
      <c r="AW69" s="62">
        <v>75.466999999999999</v>
      </c>
      <c r="AX69">
        <v>8.9176000000000002</v>
      </c>
      <c r="AY69">
        <v>1</v>
      </c>
      <c r="AZ69">
        <v>6071.4594890626977</v>
      </c>
      <c r="BA69">
        <v>1.0108695652173909</v>
      </c>
      <c r="BB69" s="62">
        <v>6137.4535999999998</v>
      </c>
      <c r="BC69" s="60">
        <v>7258.1511797955627</v>
      </c>
    </row>
    <row r="70" spans="1:55" x14ac:dyDescent="0.25">
      <c r="A70">
        <v>7224</v>
      </c>
      <c r="B70" t="s">
        <v>129</v>
      </c>
      <c r="C70">
        <v>2016</v>
      </c>
      <c r="D70">
        <v>8</v>
      </c>
      <c r="E70" t="s">
        <v>51</v>
      </c>
      <c r="F70" t="s">
        <v>449</v>
      </c>
      <c r="G70" t="s">
        <v>84</v>
      </c>
      <c r="H70" t="s">
        <v>59</v>
      </c>
      <c r="I70" t="s">
        <v>427</v>
      </c>
      <c r="J70">
        <v>-2.7187721800000002</v>
      </c>
      <c r="K70" t="s">
        <v>440</v>
      </c>
      <c r="L70" t="s">
        <v>451</v>
      </c>
      <c r="M70">
        <v>1.7625750762999999E-3</v>
      </c>
      <c r="N70">
        <v>4.7920400842979159E-3</v>
      </c>
      <c r="O70">
        <v>31615.94</v>
      </c>
      <c r="P70">
        <v>1.5814806999999999E-5</v>
      </c>
      <c r="Q70">
        <v>1</v>
      </c>
      <c r="R70" s="60">
        <v>4.7920400842979159E-3</v>
      </c>
      <c r="S70" t="s">
        <v>336</v>
      </c>
      <c r="T70" t="s">
        <v>433</v>
      </c>
      <c r="U70" t="s">
        <v>425</v>
      </c>
      <c r="V70" t="s">
        <v>91</v>
      </c>
      <c r="W70">
        <v>111.133</v>
      </c>
      <c r="X70">
        <v>0.99819678194932504</v>
      </c>
      <c r="Y70">
        <v>110.9326029683743</v>
      </c>
      <c r="Z70">
        <v>682.07</v>
      </c>
      <c r="AA70">
        <v>1</v>
      </c>
      <c r="AB70">
        <v>75.663800506639092</v>
      </c>
      <c r="AC70">
        <v>1.0269999999999999</v>
      </c>
      <c r="AD70" s="62">
        <v>77.706999999999994</v>
      </c>
      <c r="AE70">
        <v>8.9176000000000002</v>
      </c>
      <c r="AF70">
        <v>8.9015196227113016</v>
      </c>
      <c r="AG70">
        <v>1</v>
      </c>
      <c r="AH70">
        <v>6071.4594890626977</v>
      </c>
      <c r="AI70">
        <v>0.98496680983990625</v>
      </c>
      <c r="AJ70" s="62">
        <v>5980.1860999999999</v>
      </c>
      <c r="AK70" s="60">
        <v>28.657291502761229</v>
      </c>
      <c r="AL70" t="s">
        <v>336</v>
      </c>
      <c r="AM70" t="s">
        <v>433</v>
      </c>
      <c r="AN70" t="s">
        <v>425</v>
      </c>
      <c r="AO70" t="s">
        <v>91</v>
      </c>
      <c r="AP70">
        <v>111.133</v>
      </c>
      <c r="AQ70">
        <v>0.99819678194932504</v>
      </c>
      <c r="AR70">
        <v>110.9326029683743</v>
      </c>
      <c r="AS70">
        <v>682.07</v>
      </c>
      <c r="AT70">
        <v>1</v>
      </c>
      <c r="AU70">
        <v>75.663800506639092</v>
      </c>
      <c r="AV70">
        <v>1.0269999999999999</v>
      </c>
      <c r="AW70" s="62">
        <v>77.706999999999994</v>
      </c>
      <c r="AX70">
        <v>8.9176000000000002</v>
      </c>
      <c r="AY70">
        <v>1</v>
      </c>
      <c r="AZ70">
        <v>6071.4594890626977</v>
      </c>
      <c r="BA70">
        <v>0.98496680983990625</v>
      </c>
      <c r="BB70" s="62">
        <v>5980.1860999999999</v>
      </c>
      <c r="BC70" s="60">
        <v>28.657291502761229</v>
      </c>
    </row>
    <row r="71" spans="1:55" x14ac:dyDescent="0.25">
      <c r="A71">
        <v>7225</v>
      </c>
      <c r="B71" t="s">
        <v>129</v>
      </c>
      <c r="C71">
        <v>2016</v>
      </c>
      <c r="D71">
        <v>8</v>
      </c>
      <c r="E71" t="s">
        <v>51</v>
      </c>
      <c r="F71" t="s">
        <v>449</v>
      </c>
      <c r="G71" t="s">
        <v>84</v>
      </c>
      <c r="H71" t="s">
        <v>59</v>
      </c>
      <c r="I71" t="s">
        <v>427</v>
      </c>
      <c r="J71">
        <v>-2.7187721800000002</v>
      </c>
      <c r="K71" t="s">
        <v>440</v>
      </c>
      <c r="L71" t="s">
        <v>452</v>
      </c>
      <c r="M71">
        <v>1.4858046103299999E-3</v>
      </c>
      <c r="N71">
        <v>4.039564240907339E-3</v>
      </c>
      <c r="O71">
        <v>31615.94</v>
      </c>
      <c r="P71">
        <v>1.5814806999999999E-5</v>
      </c>
      <c r="Q71">
        <v>1</v>
      </c>
      <c r="R71" s="60">
        <v>4.039564240907339E-3</v>
      </c>
      <c r="S71" t="s">
        <v>336</v>
      </c>
      <c r="T71" t="s">
        <v>433</v>
      </c>
      <c r="U71" t="s">
        <v>425</v>
      </c>
      <c r="V71" t="s">
        <v>28</v>
      </c>
      <c r="W71">
        <v>111.133</v>
      </c>
      <c r="X71">
        <v>0.99819678194932504</v>
      </c>
      <c r="Y71">
        <v>110.9326029683743</v>
      </c>
      <c r="Z71">
        <v>682.07</v>
      </c>
      <c r="AA71">
        <v>1</v>
      </c>
      <c r="AB71">
        <v>75.663800506639092</v>
      </c>
      <c r="AC71">
        <v>1.0196000000000001</v>
      </c>
      <c r="AD71" s="62">
        <v>77.147000000000006</v>
      </c>
      <c r="AE71">
        <v>8.9176000000000002</v>
      </c>
      <c r="AF71">
        <v>8.9015196227113016</v>
      </c>
      <c r="AG71">
        <v>1</v>
      </c>
      <c r="AH71">
        <v>6071.4594890626977</v>
      </c>
      <c r="AI71">
        <v>0.97991730655640863</v>
      </c>
      <c r="AJ71" s="62">
        <v>5949.5281999999997</v>
      </c>
      <c r="AK71" s="60">
        <v>24.03350136698981</v>
      </c>
      <c r="AL71" t="s">
        <v>336</v>
      </c>
      <c r="AM71" t="s">
        <v>433</v>
      </c>
      <c r="AN71" t="s">
        <v>425</v>
      </c>
      <c r="AO71" t="s">
        <v>28</v>
      </c>
      <c r="AP71">
        <v>111.133</v>
      </c>
      <c r="AQ71">
        <v>0.99819678194932504</v>
      </c>
      <c r="AR71">
        <v>110.9326029683743</v>
      </c>
      <c r="AS71">
        <v>682.07</v>
      </c>
      <c r="AT71">
        <v>1</v>
      </c>
      <c r="AU71">
        <v>75.663800506639092</v>
      </c>
      <c r="AV71">
        <v>1.0196000000000001</v>
      </c>
      <c r="AW71" s="62">
        <v>77.147000000000006</v>
      </c>
      <c r="AX71">
        <v>8.9176000000000002</v>
      </c>
      <c r="AY71">
        <v>1</v>
      </c>
      <c r="AZ71">
        <v>6071.4594890626977</v>
      </c>
      <c r="BA71">
        <v>0.97991730655640863</v>
      </c>
      <c r="BB71" s="62">
        <v>5949.5281999999997</v>
      </c>
      <c r="BC71" s="60">
        <v>24.03350136698981</v>
      </c>
    </row>
    <row r="72" spans="1:55" x14ac:dyDescent="0.25">
      <c r="A72">
        <v>8385</v>
      </c>
      <c r="B72" t="s">
        <v>131</v>
      </c>
      <c r="C72">
        <v>2016</v>
      </c>
      <c r="D72">
        <v>9</v>
      </c>
      <c r="E72" t="s">
        <v>51</v>
      </c>
      <c r="F72" t="s">
        <v>449</v>
      </c>
      <c r="G72" t="s">
        <v>84</v>
      </c>
      <c r="H72" t="s">
        <v>381</v>
      </c>
      <c r="I72" t="s">
        <v>427</v>
      </c>
      <c r="J72">
        <v>-4.5379333700000002</v>
      </c>
      <c r="K72" t="s">
        <v>440</v>
      </c>
      <c r="L72" t="s">
        <v>450</v>
      </c>
      <c r="M72">
        <v>0.15011157993331001</v>
      </c>
      <c r="N72">
        <v>0.68119634822077169</v>
      </c>
      <c r="O72">
        <v>31615.94</v>
      </c>
      <c r="P72">
        <v>1.5814806999999999E-5</v>
      </c>
      <c r="Q72">
        <v>1</v>
      </c>
      <c r="R72" s="60">
        <v>0.68119634822077169</v>
      </c>
      <c r="S72" t="s">
        <v>336</v>
      </c>
      <c r="T72" t="s">
        <v>433</v>
      </c>
      <c r="U72" t="s">
        <v>425</v>
      </c>
      <c r="V72" t="s">
        <v>26</v>
      </c>
      <c r="W72">
        <v>111.133</v>
      </c>
      <c r="X72">
        <v>0.99819678194932504</v>
      </c>
      <c r="Y72">
        <v>110.9326029683743</v>
      </c>
      <c r="Z72">
        <v>682.07</v>
      </c>
      <c r="AA72">
        <v>1</v>
      </c>
      <c r="AB72">
        <v>75.663800506639092</v>
      </c>
      <c r="AC72">
        <v>1.0178</v>
      </c>
      <c r="AD72" s="62">
        <v>77.010999999999996</v>
      </c>
      <c r="AE72">
        <v>8.9176000000000002</v>
      </c>
      <c r="AF72">
        <v>8.9015196227113016</v>
      </c>
      <c r="AG72">
        <v>1</v>
      </c>
      <c r="AH72">
        <v>6071.4594890626977</v>
      </c>
      <c r="AI72">
        <v>1.0020831266739409</v>
      </c>
      <c r="AJ72" s="62">
        <v>6084.1071000000002</v>
      </c>
      <c r="AK72" s="60">
        <v>4144.4715387040696</v>
      </c>
      <c r="AL72" t="s">
        <v>336</v>
      </c>
      <c r="AM72" t="s">
        <v>433</v>
      </c>
      <c r="AN72" t="s">
        <v>425</v>
      </c>
      <c r="AO72" t="s">
        <v>26</v>
      </c>
      <c r="AP72">
        <v>111.133</v>
      </c>
      <c r="AQ72">
        <v>0.99819678194932504</v>
      </c>
      <c r="AR72">
        <v>110.9326029683743</v>
      </c>
      <c r="AS72">
        <v>682.07</v>
      </c>
      <c r="AT72">
        <v>1</v>
      </c>
      <c r="AU72">
        <v>75.663800506639092</v>
      </c>
      <c r="AV72">
        <v>1.0178</v>
      </c>
      <c r="AW72" s="62">
        <v>77.010999999999996</v>
      </c>
      <c r="AX72">
        <v>8.9176000000000002</v>
      </c>
      <c r="AY72">
        <v>1</v>
      </c>
      <c r="AZ72">
        <v>6071.4594890626977</v>
      </c>
      <c r="BA72">
        <v>1.0020831266739409</v>
      </c>
      <c r="BB72" s="62">
        <v>6084.1071000000002</v>
      </c>
      <c r="BC72" s="60">
        <v>4144.4715387040696</v>
      </c>
    </row>
    <row r="73" spans="1:55" x14ac:dyDescent="0.25">
      <c r="A73">
        <v>8386</v>
      </c>
      <c r="B73" t="s">
        <v>131</v>
      </c>
      <c r="C73">
        <v>2016</v>
      </c>
      <c r="D73">
        <v>9</v>
      </c>
      <c r="E73" t="s">
        <v>51</v>
      </c>
      <c r="F73" t="s">
        <v>449</v>
      </c>
      <c r="G73" t="s">
        <v>84</v>
      </c>
      <c r="H73" t="s">
        <v>381</v>
      </c>
      <c r="I73" t="s">
        <v>427</v>
      </c>
      <c r="J73">
        <v>-4.5379333700000002</v>
      </c>
      <c r="K73" t="s">
        <v>440</v>
      </c>
      <c r="L73" t="s">
        <v>384</v>
      </c>
      <c r="M73">
        <v>4.5811354346740003E-2</v>
      </c>
      <c r="N73">
        <v>0.20788887374252649</v>
      </c>
      <c r="O73">
        <v>31615.94</v>
      </c>
      <c r="P73">
        <v>1.5814806999999999E-5</v>
      </c>
      <c r="Q73">
        <v>1</v>
      </c>
      <c r="R73" s="60">
        <v>0.20788887374252649</v>
      </c>
      <c r="S73" t="s">
        <v>336</v>
      </c>
      <c r="T73" t="s">
        <v>433</v>
      </c>
      <c r="U73" t="s">
        <v>425</v>
      </c>
      <c r="V73" t="s">
        <v>81</v>
      </c>
      <c r="W73">
        <v>111.133</v>
      </c>
      <c r="X73">
        <v>0.99819678194932504</v>
      </c>
      <c r="Y73">
        <v>110.9326029683743</v>
      </c>
      <c r="Z73">
        <v>682.07</v>
      </c>
      <c r="AA73">
        <v>1</v>
      </c>
      <c r="AB73">
        <v>75.663800506639092</v>
      </c>
      <c r="AC73">
        <v>0.92979999999999996</v>
      </c>
      <c r="AD73" s="62">
        <v>70.352000000000004</v>
      </c>
      <c r="AE73">
        <v>8.9176000000000002</v>
      </c>
      <c r="AF73">
        <v>8.9015196227113016</v>
      </c>
      <c r="AG73">
        <v>1</v>
      </c>
      <c r="AH73">
        <v>6071.4594890626977</v>
      </c>
      <c r="AI73">
        <v>1.0375922509225091</v>
      </c>
      <c r="AJ73" s="62">
        <v>6299.6993000000002</v>
      </c>
      <c r="AK73" s="60">
        <v>1309.637392393583</v>
      </c>
      <c r="AL73" t="s">
        <v>336</v>
      </c>
      <c r="AM73" t="s">
        <v>433</v>
      </c>
      <c r="AN73" t="s">
        <v>425</v>
      </c>
      <c r="AO73" t="s">
        <v>81</v>
      </c>
      <c r="AP73">
        <v>111.133</v>
      </c>
      <c r="AQ73">
        <v>0.99819678194932504</v>
      </c>
      <c r="AR73">
        <v>110.9326029683743</v>
      </c>
      <c r="AS73">
        <v>682.07</v>
      </c>
      <c r="AT73">
        <v>1</v>
      </c>
      <c r="AU73">
        <v>75.663800506639092</v>
      </c>
      <c r="AV73">
        <v>0.92979999999999996</v>
      </c>
      <c r="AW73" s="62">
        <v>70.352000000000004</v>
      </c>
      <c r="AX73">
        <v>8.9176000000000002</v>
      </c>
      <c r="AY73">
        <v>1</v>
      </c>
      <c r="AZ73">
        <v>6071.4594890626977</v>
      </c>
      <c r="BA73">
        <v>1.0375922509225091</v>
      </c>
      <c r="BB73" s="62">
        <v>6299.6993000000002</v>
      </c>
      <c r="BC73" s="60">
        <v>1309.637392393583</v>
      </c>
    </row>
    <row r="74" spans="1:55" x14ac:dyDescent="0.25">
      <c r="A74">
        <v>8387</v>
      </c>
      <c r="B74" t="s">
        <v>131</v>
      </c>
      <c r="C74">
        <v>2016</v>
      </c>
      <c r="D74">
        <v>9</v>
      </c>
      <c r="E74" t="s">
        <v>51</v>
      </c>
      <c r="F74" t="s">
        <v>449</v>
      </c>
      <c r="G74" t="s">
        <v>84</v>
      </c>
      <c r="H74" t="s">
        <v>381</v>
      </c>
      <c r="I74" t="s">
        <v>427</v>
      </c>
      <c r="J74">
        <v>-4.5379333700000002</v>
      </c>
      <c r="K74" t="s">
        <v>440</v>
      </c>
      <c r="L74" t="s">
        <v>385</v>
      </c>
      <c r="M74">
        <v>0.43232641346992001</v>
      </c>
      <c r="N74">
        <v>1.9618684596213689</v>
      </c>
      <c r="O74">
        <v>31615.94</v>
      </c>
      <c r="P74">
        <v>1.5814806999999999E-5</v>
      </c>
      <c r="Q74">
        <v>1</v>
      </c>
      <c r="R74" s="60">
        <v>1.9618684596213689</v>
      </c>
      <c r="S74" t="s">
        <v>336</v>
      </c>
      <c r="T74" t="s">
        <v>433</v>
      </c>
      <c r="U74" t="s">
        <v>425</v>
      </c>
      <c r="V74" t="s">
        <v>27</v>
      </c>
      <c r="W74">
        <v>111.133</v>
      </c>
      <c r="X74">
        <v>0.99819678194932504</v>
      </c>
      <c r="Y74">
        <v>110.9326029683743</v>
      </c>
      <c r="Z74">
        <v>682.07</v>
      </c>
      <c r="AA74">
        <v>1</v>
      </c>
      <c r="AB74">
        <v>75.663800506639092</v>
      </c>
      <c r="AC74">
        <v>0.99739999999999995</v>
      </c>
      <c r="AD74" s="62">
        <v>75.466999999999999</v>
      </c>
      <c r="AE74">
        <v>8.9176000000000002</v>
      </c>
      <c r="AF74">
        <v>8.9015196227113016</v>
      </c>
      <c r="AG74">
        <v>1</v>
      </c>
      <c r="AH74">
        <v>6071.4594890626977</v>
      </c>
      <c r="AI74">
        <v>1.0108695652173909</v>
      </c>
      <c r="AJ74" s="62">
        <v>6137.4535999999998</v>
      </c>
      <c r="AK74" s="60">
        <v>12040.87664022963</v>
      </c>
      <c r="AL74" t="s">
        <v>336</v>
      </c>
      <c r="AM74" t="s">
        <v>433</v>
      </c>
      <c r="AN74" t="s">
        <v>425</v>
      </c>
      <c r="AO74" t="s">
        <v>27</v>
      </c>
      <c r="AP74">
        <v>111.133</v>
      </c>
      <c r="AQ74">
        <v>0.99819678194932504</v>
      </c>
      <c r="AR74">
        <v>110.9326029683743</v>
      </c>
      <c r="AS74">
        <v>682.07</v>
      </c>
      <c r="AT74">
        <v>1</v>
      </c>
      <c r="AU74">
        <v>75.663800506639092</v>
      </c>
      <c r="AV74">
        <v>0.99739999999999995</v>
      </c>
      <c r="AW74" s="62">
        <v>75.466999999999999</v>
      </c>
      <c r="AX74">
        <v>8.9176000000000002</v>
      </c>
      <c r="AY74">
        <v>1</v>
      </c>
      <c r="AZ74">
        <v>6071.4594890626977</v>
      </c>
      <c r="BA74">
        <v>1.0108695652173909</v>
      </c>
      <c r="BB74" s="62">
        <v>6137.4535999999998</v>
      </c>
      <c r="BC74" s="60">
        <v>12040.87664022963</v>
      </c>
    </row>
    <row r="75" spans="1:55" x14ac:dyDescent="0.25">
      <c r="A75">
        <v>8388</v>
      </c>
      <c r="B75" t="s">
        <v>131</v>
      </c>
      <c r="C75">
        <v>2016</v>
      </c>
      <c r="D75">
        <v>9</v>
      </c>
      <c r="E75" t="s">
        <v>51</v>
      </c>
      <c r="F75" t="s">
        <v>449</v>
      </c>
      <c r="G75" t="s">
        <v>84</v>
      </c>
      <c r="H75" t="s">
        <v>381</v>
      </c>
      <c r="I75" t="s">
        <v>427</v>
      </c>
      <c r="J75">
        <v>-4.5379333700000002</v>
      </c>
      <c r="K75" t="s">
        <v>440</v>
      </c>
      <c r="L75" t="s">
        <v>451</v>
      </c>
      <c r="M75">
        <v>1.6825115802299999E-3</v>
      </c>
      <c r="N75">
        <v>7.6351254500220591E-3</v>
      </c>
      <c r="O75">
        <v>31615.94</v>
      </c>
      <c r="P75">
        <v>1.5814806999999999E-5</v>
      </c>
      <c r="Q75">
        <v>1</v>
      </c>
      <c r="R75" s="60">
        <v>7.6351254500220591E-3</v>
      </c>
      <c r="S75" t="s">
        <v>336</v>
      </c>
      <c r="T75" t="s">
        <v>433</v>
      </c>
      <c r="U75" t="s">
        <v>425</v>
      </c>
      <c r="V75" t="s">
        <v>91</v>
      </c>
      <c r="W75">
        <v>111.133</v>
      </c>
      <c r="X75">
        <v>0.99819678194932504</v>
      </c>
      <c r="Y75">
        <v>110.9326029683743</v>
      </c>
      <c r="Z75">
        <v>682.07</v>
      </c>
      <c r="AA75">
        <v>1</v>
      </c>
      <c r="AB75">
        <v>75.663800506639092</v>
      </c>
      <c r="AC75">
        <v>1.0269999999999999</v>
      </c>
      <c r="AD75" s="62">
        <v>77.706999999999994</v>
      </c>
      <c r="AE75">
        <v>8.9176000000000002</v>
      </c>
      <c r="AF75">
        <v>8.9015196227113016</v>
      </c>
      <c r="AG75">
        <v>1</v>
      </c>
      <c r="AH75">
        <v>6071.4594890626977</v>
      </c>
      <c r="AI75">
        <v>0.98496680983990625</v>
      </c>
      <c r="AJ75" s="62">
        <v>5980.1860999999999</v>
      </c>
      <c r="AK75" s="60">
        <v>45.659471087978162</v>
      </c>
      <c r="AL75" t="s">
        <v>336</v>
      </c>
      <c r="AM75" t="s">
        <v>433</v>
      </c>
      <c r="AN75" t="s">
        <v>425</v>
      </c>
      <c r="AO75" t="s">
        <v>91</v>
      </c>
      <c r="AP75">
        <v>111.133</v>
      </c>
      <c r="AQ75">
        <v>0.99819678194932504</v>
      </c>
      <c r="AR75">
        <v>110.9326029683743</v>
      </c>
      <c r="AS75">
        <v>682.07</v>
      </c>
      <c r="AT75">
        <v>1</v>
      </c>
      <c r="AU75">
        <v>75.663800506639092</v>
      </c>
      <c r="AV75">
        <v>1.0269999999999999</v>
      </c>
      <c r="AW75" s="62">
        <v>77.706999999999994</v>
      </c>
      <c r="AX75">
        <v>8.9176000000000002</v>
      </c>
      <c r="AY75">
        <v>1</v>
      </c>
      <c r="AZ75">
        <v>6071.4594890626977</v>
      </c>
      <c r="BA75">
        <v>0.98496680983990625</v>
      </c>
      <c r="BB75" s="62">
        <v>5980.1860999999999</v>
      </c>
      <c r="BC75" s="60">
        <v>45.659471087978162</v>
      </c>
    </row>
    <row r="76" spans="1:55" x14ac:dyDescent="0.25">
      <c r="A76">
        <v>8389</v>
      </c>
      <c r="B76" t="s">
        <v>131</v>
      </c>
      <c r="C76">
        <v>2016</v>
      </c>
      <c r="D76">
        <v>9</v>
      </c>
      <c r="E76" t="s">
        <v>51</v>
      </c>
      <c r="F76" t="s">
        <v>449</v>
      </c>
      <c r="G76" t="s">
        <v>84</v>
      </c>
      <c r="H76" t="s">
        <v>381</v>
      </c>
      <c r="I76" t="s">
        <v>427</v>
      </c>
      <c r="J76">
        <v>-4.5379333700000002</v>
      </c>
      <c r="K76" t="s">
        <v>440</v>
      </c>
      <c r="L76" t="s">
        <v>452</v>
      </c>
      <c r="M76">
        <v>1.53682162831E-3</v>
      </c>
      <c r="N76">
        <v>6.9739941551249258E-3</v>
      </c>
      <c r="O76">
        <v>31615.94</v>
      </c>
      <c r="P76">
        <v>1.5814806999999999E-5</v>
      </c>
      <c r="Q76">
        <v>1</v>
      </c>
      <c r="R76" s="60">
        <v>6.9739941551249258E-3</v>
      </c>
      <c r="S76" t="s">
        <v>336</v>
      </c>
      <c r="T76" t="s">
        <v>433</v>
      </c>
      <c r="U76" t="s">
        <v>425</v>
      </c>
      <c r="V76" t="s">
        <v>28</v>
      </c>
      <c r="W76">
        <v>111.133</v>
      </c>
      <c r="X76">
        <v>0.99819678194932504</v>
      </c>
      <c r="Y76">
        <v>110.9326029683743</v>
      </c>
      <c r="Z76">
        <v>682.07</v>
      </c>
      <c r="AA76">
        <v>1</v>
      </c>
      <c r="AB76">
        <v>75.663800506639092</v>
      </c>
      <c r="AC76">
        <v>1.0196000000000001</v>
      </c>
      <c r="AD76" s="62">
        <v>77.147000000000006</v>
      </c>
      <c r="AE76">
        <v>8.9176000000000002</v>
      </c>
      <c r="AF76">
        <v>8.9015196227113016</v>
      </c>
      <c r="AG76">
        <v>1</v>
      </c>
      <c r="AH76">
        <v>6071.4594890626977</v>
      </c>
      <c r="AI76">
        <v>0.97991730655640863</v>
      </c>
      <c r="AJ76" s="62">
        <v>5949.5281999999997</v>
      </c>
      <c r="AK76" s="60">
        <v>41.491974892550921</v>
      </c>
      <c r="AL76" t="s">
        <v>336</v>
      </c>
      <c r="AM76" t="s">
        <v>433</v>
      </c>
      <c r="AN76" t="s">
        <v>425</v>
      </c>
      <c r="AO76" t="s">
        <v>28</v>
      </c>
      <c r="AP76">
        <v>111.133</v>
      </c>
      <c r="AQ76">
        <v>0.99819678194932504</v>
      </c>
      <c r="AR76">
        <v>110.9326029683743</v>
      </c>
      <c r="AS76">
        <v>682.07</v>
      </c>
      <c r="AT76">
        <v>1</v>
      </c>
      <c r="AU76">
        <v>75.663800506639092</v>
      </c>
      <c r="AV76">
        <v>1.0196000000000001</v>
      </c>
      <c r="AW76" s="62">
        <v>77.147000000000006</v>
      </c>
      <c r="AX76">
        <v>8.9176000000000002</v>
      </c>
      <c r="AY76">
        <v>1</v>
      </c>
      <c r="AZ76">
        <v>6071.4594890626977</v>
      </c>
      <c r="BA76">
        <v>0.97991730655640863</v>
      </c>
      <c r="BB76" s="62">
        <v>5949.5281999999997</v>
      </c>
      <c r="BC76" s="60">
        <v>41.491974892550921</v>
      </c>
    </row>
    <row r="77" spans="1:55" x14ac:dyDescent="0.25">
      <c r="A77">
        <v>8390</v>
      </c>
      <c r="B77" t="s">
        <v>131</v>
      </c>
      <c r="C77">
        <v>2016</v>
      </c>
      <c r="D77">
        <v>9</v>
      </c>
      <c r="E77" t="s">
        <v>51</v>
      </c>
      <c r="F77" t="s">
        <v>449</v>
      </c>
      <c r="G77" t="s">
        <v>84</v>
      </c>
      <c r="H77" t="s">
        <v>87</v>
      </c>
      <c r="I77" t="s">
        <v>427</v>
      </c>
      <c r="J77">
        <v>-0.93339574000000003</v>
      </c>
      <c r="K77" t="s">
        <v>440</v>
      </c>
      <c r="L77" t="s">
        <v>450</v>
      </c>
      <c r="M77">
        <v>0.26601384014995</v>
      </c>
      <c r="N77">
        <v>0.24829618490884869</v>
      </c>
      <c r="O77">
        <v>31615.94</v>
      </c>
      <c r="P77">
        <v>1.5814806999999999E-5</v>
      </c>
      <c r="Q77">
        <v>1</v>
      </c>
      <c r="R77" s="60">
        <v>0.24829618490884869</v>
      </c>
      <c r="S77" t="s">
        <v>336</v>
      </c>
      <c r="T77" t="s">
        <v>433</v>
      </c>
      <c r="U77" t="s">
        <v>425</v>
      </c>
      <c r="V77" t="s">
        <v>26</v>
      </c>
      <c r="W77">
        <v>111.133</v>
      </c>
      <c r="X77">
        <v>0.99819678194932504</v>
      </c>
      <c r="Y77">
        <v>110.9326029683743</v>
      </c>
      <c r="Z77">
        <v>682.07</v>
      </c>
      <c r="AA77">
        <v>1</v>
      </c>
      <c r="AB77">
        <v>75.663800506639092</v>
      </c>
      <c r="AC77">
        <v>1.0178</v>
      </c>
      <c r="AD77" s="62">
        <v>77.010999999999996</v>
      </c>
      <c r="AE77">
        <v>8.9176000000000002</v>
      </c>
      <c r="AF77">
        <v>8.9015196227113016</v>
      </c>
      <c r="AG77">
        <v>1</v>
      </c>
      <c r="AH77">
        <v>6071.4594890626977</v>
      </c>
      <c r="AI77">
        <v>1.0020831266739409</v>
      </c>
      <c r="AJ77" s="62">
        <v>6084.1071000000002</v>
      </c>
      <c r="AK77" s="60">
        <v>1510.6605815068399</v>
      </c>
      <c r="AL77" t="s">
        <v>336</v>
      </c>
      <c r="AM77" t="s">
        <v>433</v>
      </c>
      <c r="AN77" t="s">
        <v>425</v>
      </c>
      <c r="AO77" t="s">
        <v>26</v>
      </c>
      <c r="AP77">
        <v>111.133</v>
      </c>
      <c r="AQ77">
        <v>0.99819678194932504</v>
      </c>
      <c r="AR77">
        <v>110.9326029683743</v>
      </c>
      <c r="AS77">
        <v>682.07</v>
      </c>
      <c r="AT77">
        <v>1</v>
      </c>
      <c r="AU77">
        <v>75.663800506639092</v>
      </c>
      <c r="AV77">
        <v>1.0178</v>
      </c>
      <c r="AW77" s="62">
        <v>77.010999999999996</v>
      </c>
      <c r="AX77">
        <v>8.9176000000000002</v>
      </c>
      <c r="AY77">
        <v>1</v>
      </c>
      <c r="AZ77">
        <v>6071.4594890626977</v>
      </c>
      <c r="BA77">
        <v>1.0020831266739409</v>
      </c>
      <c r="BB77" s="62">
        <v>6084.1071000000002</v>
      </c>
      <c r="BC77" s="60">
        <v>1510.6605815068399</v>
      </c>
    </row>
    <row r="78" spans="1:55" x14ac:dyDescent="0.25">
      <c r="A78">
        <v>8391</v>
      </c>
      <c r="B78" t="s">
        <v>131</v>
      </c>
      <c r="C78">
        <v>2016</v>
      </c>
      <c r="D78">
        <v>9</v>
      </c>
      <c r="E78" t="s">
        <v>51</v>
      </c>
      <c r="F78" t="s">
        <v>449</v>
      </c>
      <c r="G78" t="s">
        <v>84</v>
      </c>
      <c r="H78" t="s">
        <v>87</v>
      </c>
      <c r="I78" t="s">
        <v>427</v>
      </c>
      <c r="J78">
        <v>-0.93339574000000003</v>
      </c>
      <c r="K78" t="s">
        <v>440</v>
      </c>
      <c r="L78" t="s">
        <v>384</v>
      </c>
      <c r="M78">
        <v>3.9509559941419997E-2</v>
      </c>
      <c r="N78">
        <v>3.6878054898768421E-2</v>
      </c>
      <c r="O78">
        <v>31615.94</v>
      </c>
      <c r="P78">
        <v>1.5814806999999999E-5</v>
      </c>
      <c r="Q78">
        <v>1</v>
      </c>
      <c r="R78" s="60">
        <v>3.6878054898768421E-2</v>
      </c>
      <c r="S78" t="s">
        <v>336</v>
      </c>
      <c r="T78" t="s">
        <v>433</v>
      </c>
      <c r="U78" t="s">
        <v>425</v>
      </c>
      <c r="V78" t="s">
        <v>81</v>
      </c>
      <c r="W78">
        <v>111.133</v>
      </c>
      <c r="X78">
        <v>0.99819678194932504</v>
      </c>
      <c r="Y78">
        <v>110.9326029683743</v>
      </c>
      <c r="Z78">
        <v>682.07</v>
      </c>
      <c r="AA78">
        <v>1</v>
      </c>
      <c r="AB78">
        <v>75.663800506639092</v>
      </c>
      <c r="AC78">
        <v>0.92979999999999996</v>
      </c>
      <c r="AD78" s="62">
        <v>70.352000000000004</v>
      </c>
      <c r="AE78">
        <v>8.9176000000000002</v>
      </c>
      <c r="AF78">
        <v>8.9015196227113016</v>
      </c>
      <c r="AG78">
        <v>1</v>
      </c>
      <c r="AH78">
        <v>6071.4594890626977</v>
      </c>
      <c r="AI78">
        <v>1.0375922509225091</v>
      </c>
      <c r="AJ78" s="62">
        <v>6299.6993000000002</v>
      </c>
      <c r="AK78" s="60">
        <v>232.32065663113301</v>
      </c>
      <c r="AL78" t="s">
        <v>336</v>
      </c>
      <c r="AM78" t="s">
        <v>433</v>
      </c>
      <c r="AN78" t="s">
        <v>425</v>
      </c>
      <c r="AO78" t="s">
        <v>81</v>
      </c>
      <c r="AP78">
        <v>111.133</v>
      </c>
      <c r="AQ78">
        <v>0.99819678194932504</v>
      </c>
      <c r="AR78">
        <v>110.9326029683743</v>
      </c>
      <c r="AS78">
        <v>682.07</v>
      </c>
      <c r="AT78">
        <v>1</v>
      </c>
      <c r="AU78">
        <v>75.663800506639092</v>
      </c>
      <c r="AV78">
        <v>0.92979999999999996</v>
      </c>
      <c r="AW78" s="62">
        <v>70.352000000000004</v>
      </c>
      <c r="AX78">
        <v>8.9176000000000002</v>
      </c>
      <c r="AY78">
        <v>1</v>
      </c>
      <c r="AZ78">
        <v>6071.4594890626977</v>
      </c>
      <c r="BA78">
        <v>1.0375922509225091</v>
      </c>
      <c r="BB78" s="62">
        <v>6299.6993000000002</v>
      </c>
      <c r="BC78" s="60">
        <v>232.32065663113301</v>
      </c>
    </row>
    <row r="79" spans="1:55" x14ac:dyDescent="0.25">
      <c r="A79">
        <v>8392</v>
      </c>
      <c r="B79" t="s">
        <v>131</v>
      </c>
      <c r="C79">
        <v>2016</v>
      </c>
      <c r="D79">
        <v>9</v>
      </c>
      <c r="E79" t="s">
        <v>51</v>
      </c>
      <c r="F79" t="s">
        <v>449</v>
      </c>
      <c r="G79" t="s">
        <v>84</v>
      </c>
      <c r="H79" t="s">
        <v>87</v>
      </c>
      <c r="I79" t="s">
        <v>427</v>
      </c>
      <c r="J79">
        <v>-0.93339574000000003</v>
      </c>
      <c r="K79" t="s">
        <v>440</v>
      </c>
      <c r="L79" t="s">
        <v>385</v>
      </c>
      <c r="M79">
        <v>0.39737542925016001</v>
      </c>
      <c r="N79">
        <v>0.37090853244219602</v>
      </c>
      <c r="O79">
        <v>31615.94</v>
      </c>
      <c r="P79">
        <v>1.5814806999999999E-5</v>
      </c>
      <c r="Q79">
        <v>1</v>
      </c>
      <c r="R79" s="60">
        <v>0.37090853244219602</v>
      </c>
      <c r="S79" t="s">
        <v>336</v>
      </c>
      <c r="T79" t="s">
        <v>433</v>
      </c>
      <c r="U79" t="s">
        <v>425</v>
      </c>
      <c r="V79" t="s">
        <v>27</v>
      </c>
      <c r="W79">
        <v>111.133</v>
      </c>
      <c r="X79">
        <v>0.99819678194932504</v>
      </c>
      <c r="Y79">
        <v>110.9326029683743</v>
      </c>
      <c r="Z79">
        <v>682.07</v>
      </c>
      <c r="AA79">
        <v>1</v>
      </c>
      <c r="AB79">
        <v>75.663800506639092</v>
      </c>
      <c r="AC79">
        <v>0.99739999999999995</v>
      </c>
      <c r="AD79" s="62">
        <v>75.466999999999999</v>
      </c>
      <c r="AE79">
        <v>8.9176000000000002</v>
      </c>
      <c r="AF79">
        <v>8.9015196227113016</v>
      </c>
      <c r="AG79">
        <v>1</v>
      </c>
      <c r="AH79">
        <v>6071.4594890626977</v>
      </c>
      <c r="AI79">
        <v>1.0108695652173909</v>
      </c>
      <c r="AJ79" s="62">
        <v>6137.4535999999998</v>
      </c>
      <c r="AK79" s="60">
        <v>2276.4339077080731</v>
      </c>
      <c r="AL79" t="s">
        <v>336</v>
      </c>
      <c r="AM79" t="s">
        <v>433</v>
      </c>
      <c r="AN79" t="s">
        <v>425</v>
      </c>
      <c r="AO79" t="s">
        <v>27</v>
      </c>
      <c r="AP79">
        <v>111.133</v>
      </c>
      <c r="AQ79">
        <v>0.99819678194932504</v>
      </c>
      <c r="AR79">
        <v>110.9326029683743</v>
      </c>
      <c r="AS79">
        <v>682.07</v>
      </c>
      <c r="AT79">
        <v>1</v>
      </c>
      <c r="AU79">
        <v>75.663800506639092</v>
      </c>
      <c r="AV79">
        <v>0.99739999999999995</v>
      </c>
      <c r="AW79" s="62">
        <v>75.466999999999999</v>
      </c>
      <c r="AX79">
        <v>8.9176000000000002</v>
      </c>
      <c r="AY79">
        <v>1</v>
      </c>
      <c r="AZ79">
        <v>6071.4594890626977</v>
      </c>
      <c r="BA79">
        <v>1.0108695652173909</v>
      </c>
      <c r="BB79" s="62">
        <v>6137.4535999999998</v>
      </c>
      <c r="BC79" s="60">
        <v>2276.4339077080731</v>
      </c>
    </row>
    <row r="80" spans="1:55" x14ac:dyDescent="0.25">
      <c r="A80">
        <v>8393</v>
      </c>
      <c r="B80" t="s">
        <v>131</v>
      </c>
      <c r="C80">
        <v>2016</v>
      </c>
      <c r="D80">
        <v>9</v>
      </c>
      <c r="E80" t="s">
        <v>51</v>
      </c>
      <c r="F80" t="s">
        <v>449</v>
      </c>
      <c r="G80" t="s">
        <v>84</v>
      </c>
      <c r="H80" t="s">
        <v>87</v>
      </c>
      <c r="I80" t="s">
        <v>427</v>
      </c>
      <c r="J80">
        <v>-0.93339574000000003</v>
      </c>
      <c r="K80" t="s">
        <v>440</v>
      </c>
      <c r="L80" t="s">
        <v>452</v>
      </c>
      <c r="M80">
        <v>8.4248020759000004E-4</v>
      </c>
      <c r="N80">
        <v>7.8636743594955863E-4</v>
      </c>
      <c r="O80">
        <v>31615.94</v>
      </c>
      <c r="P80">
        <v>1.5814806999999999E-5</v>
      </c>
      <c r="Q80">
        <v>1</v>
      </c>
      <c r="R80" s="60">
        <v>7.8636743594955863E-4</v>
      </c>
      <c r="S80" t="s">
        <v>336</v>
      </c>
      <c r="T80" t="s">
        <v>433</v>
      </c>
      <c r="U80" t="s">
        <v>425</v>
      </c>
      <c r="V80" t="s">
        <v>28</v>
      </c>
      <c r="W80">
        <v>111.133</v>
      </c>
      <c r="X80">
        <v>0.99819678194932504</v>
      </c>
      <c r="Y80">
        <v>110.9326029683743</v>
      </c>
      <c r="Z80">
        <v>682.07</v>
      </c>
      <c r="AA80">
        <v>1</v>
      </c>
      <c r="AB80">
        <v>75.663800506639092</v>
      </c>
      <c r="AC80">
        <v>1.0196000000000001</v>
      </c>
      <c r="AD80" s="62">
        <v>77.147000000000006</v>
      </c>
      <c r="AE80">
        <v>8.9176000000000002</v>
      </c>
      <c r="AF80">
        <v>8.9015196227113016</v>
      </c>
      <c r="AG80">
        <v>1</v>
      </c>
      <c r="AH80">
        <v>6071.4594890626977</v>
      </c>
      <c r="AI80">
        <v>0.97991730655640863</v>
      </c>
      <c r="AJ80" s="62">
        <v>5949.5281999999997</v>
      </c>
      <c r="AK80" s="60">
        <v>4.6785152357435926</v>
      </c>
      <c r="AL80" t="s">
        <v>336</v>
      </c>
      <c r="AM80" t="s">
        <v>433</v>
      </c>
      <c r="AN80" t="s">
        <v>425</v>
      </c>
      <c r="AO80" t="s">
        <v>28</v>
      </c>
      <c r="AP80">
        <v>111.133</v>
      </c>
      <c r="AQ80">
        <v>0.99819678194932504</v>
      </c>
      <c r="AR80">
        <v>110.9326029683743</v>
      </c>
      <c r="AS80">
        <v>682.07</v>
      </c>
      <c r="AT80">
        <v>1</v>
      </c>
      <c r="AU80">
        <v>75.663800506639092</v>
      </c>
      <c r="AV80">
        <v>1.0196000000000001</v>
      </c>
      <c r="AW80" s="62">
        <v>77.147000000000006</v>
      </c>
      <c r="AX80">
        <v>8.9176000000000002</v>
      </c>
      <c r="AY80">
        <v>1</v>
      </c>
      <c r="AZ80">
        <v>6071.4594890626977</v>
      </c>
      <c r="BA80">
        <v>0.97991730655640863</v>
      </c>
      <c r="BB80" s="62">
        <v>5949.5281999999997</v>
      </c>
      <c r="BC80" s="60">
        <v>4.6785152357435926</v>
      </c>
    </row>
    <row r="81" spans="1:55" x14ac:dyDescent="0.25">
      <c r="A81">
        <v>8394</v>
      </c>
      <c r="B81" t="s">
        <v>131</v>
      </c>
      <c r="C81">
        <v>2016</v>
      </c>
      <c r="D81">
        <v>9</v>
      </c>
      <c r="E81" t="s">
        <v>51</v>
      </c>
      <c r="F81" t="s">
        <v>449</v>
      </c>
      <c r="G81" t="s">
        <v>84</v>
      </c>
      <c r="H81" t="s">
        <v>59</v>
      </c>
      <c r="I81" t="s">
        <v>427</v>
      </c>
      <c r="J81">
        <v>-2.7187721800000002</v>
      </c>
      <c r="K81" t="s">
        <v>440</v>
      </c>
      <c r="L81" t="s">
        <v>450</v>
      </c>
      <c r="M81">
        <v>0.15931709696460999</v>
      </c>
      <c r="N81">
        <v>0.43314689117869087</v>
      </c>
      <c r="O81">
        <v>31615.94</v>
      </c>
      <c r="P81">
        <v>1.5814806999999999E-5</v>
      </c>
      <c r="Q81">
        <v>1</v>
      </c>
      <c r="R81" s="60">
        <v>0.43314689117869087</v>
      </c>
      <c r="S81" t="s">
        <v>336</v>
      </c>
      <c r="T81" t="s">
        <v>433</v>
      </c>
      <c r="U81" t="s">
        <v>425</v>
      </c>
      <c r="V81" t="s">
        <v>26</v>
      </c>
      <c r="W81">
        <v>111.133</v>
      </c>
      <c r="X81">
        <v>0.99819678194932504</v>
      </c>
      <c r="Y81">
        <v>110.9326029683743</v>
      </c>
      <c r="Z81">
        <v>682.07</v>
      </c>
      <c r="AA81">
        <v>1</v>
      </c>
      <c r="AB81">
        <v>75.663800506639092</v>
      </c>
      <c r="AC81">
        <v>1.0178</v>
      </c>
      <c r="AD81" s="62">
        <v>77.010999999999996</v>
      </c>
      <c r="AE81">
        <v>8.9176000000000002</v>
      </c>
      <c r="AF81">
        <v>8.9015196227113016</v>
      </c>
      <c r="AG81">
        <v>1</v>
      </c>
      <c r="AH81">
        <v>6071.4594890626977</v>
      </c>
      <c r="AI81">
        <v>1.0020831266739409</v>
      </c>
      <c r="AJ81" s="62">
        <v>6084.1071000000002</v>
      </c>
      <c r="AK81" s="60">
        <v>2635.3120759632011</v>
      </c>
      <c r="AL81" t="s">
        <v>336</v>
      </c>
      <c r="AM81" t="s">
        <v>433</v>
      </c>
      <c r="AN81" t="s">
        <v>425</v>
      </c>
      <c r="AO81" t="s">
        <v>26</v>
      </c>
      <c r="AP81">
        <v>111.133</v>
      </c>
      <c r="AQ81">
        <v>0.99819678194932504</v>
      </c>
      <c r="AR81">
        <v>110.9326029683743</v>
      </c>
      <c r="AS81">
        <v>682.07</v>
      </c>
      <c r="AT81">
        <v>1</v>
      </c>
      <c r="AU81">
        <v>75.663800506639092</v>
      </c>
      <c r="AV81">
        <v>1.0178</v>
      </c>
      <c r="AW81" s="62">
        <v>77.010999999999996</v>
      </c>
      <c r="AX81">
        <v>8.9176000000000002</v>
      </c>
      <c r="AY81">
        <v>1</v>
      </c>
      <c r="AZ81">
        <v>6071.4594890626977</v>
      </c>
      <c r="BA81">
        <v>1.0020831266739409</v>
      </c>
      <c r="BB81" s="62">
        <v>6084.1071000000002</v>
      </c>
      <c r="BC81" s="60">
        <v>2635.3120759632011</v>
      </c>
    </row>
    <row r="82" spans="1:55" x14ac:dyDescent="0.25">
      <c r="A82">
        <v>8395</v>
      </c>
      <c r="B82" t="s">
        <v>131</v>
      </c>
      <c r="C82">
        <v>2016</v>
      </c>
      <c r="D82">
        <v>9</v>
      </c>
      <c r="E82" t="s">
        <v>51</v>
      </c>
      <c r="F82" t="s">
        <v>449</v>
      </c>
      <c r="G82" t="s">
        <v>84</v>
      </c>
      <c r="H82" t="s">
        <v>59</v>
      </c>
      <c r="I82" t="s">
        <v>427</v>
      </c>
      <c r="J82">
        <v>-2.7187721800000002</v>
      </c>
      <c r="K82" t="s">
        <v>440</v>
      </c>
      <c r="L82" t="s">
        <v>384</v>
      </c>
      <c r="M82">
        <v>4.1785183859599999E-2</v>
      </c>
      <c r="N82">
        <v>0.1136043954537799</v>
      </c>
      <c r="O82">
        <v>31615.94</v>
      </c>
      <c r="P82">
        <v>1.5814806999999999E-5</v>
      </c>
      <c r="Q82">
        <v>1</v>
      </c>
      <c r="R82" s="60">
        <v>0.1136043954537799</v>
      </c>
      <c r="S82" t="s">
        <v>336</v>
      </c>
      <c r="T82" t="s">
        <v>433</v>
      </c>
      <c r="U82" t="s">
        <v>425</v>
      </c>
      <c r="V82" t="s">
        <v>81</v>
      </c>
      <c r="W82">
        <v>111.133</v>
      </c>
      <c r="X82">
        <v>0.99819678194932504</v>
      </c>
      <c r="Y82">
        <v>110.9326029683743</v>
      </c>
      <c r="Z82">
        <v>682.07</v>
      </c>
      <c r="AA82">
        <v>1</v>
      </c>
      <c r="AB82">
        <v>75.663800506639092</v>
      </c>
      <c r="AC82">
        <v>0.92979999999999996</v>
      </c>
      <c r="AD82" s="62">
        <v>70.352000000000004</v>
      </c>
      <c r="AE82">
        <v>8.9176000000000002</v>
      </c>
      <c r="AF82">
        <v>8.9015196227113016</v>
      </c>
      <c r="AG82">
        <v>1</v>
      </c>
      <c r="AH82">
        <v>6071.4594890626977</v>
      </c>
      <c r="AI82">
        <v>1.0375922509225091</v>
      </c>
      <c r="AJ82" s="62">
        <v>6299.6993000000002</v>
      </c>
      <c r="AK82" s="60">
        <v>715.6735305171004</v>
      </c>
      <c r="AL82" t="s">
        <v>336</v>
      </c>
      <c r="AM82" t="s">
        <v>433</v>
      </c>
      <c r="AN82" t="s">
        <v>425</v>
      </c>
      <c r="AO82" t="s">
        <v>81</v>
      </c>
      <c r="AP82">
        <v>111.133</v>
      </c>
      <c r="AQ82">
        <v>0.99819678194932504</v>
      </c>
      <c r="AR82">
        <v>110.9326029683743</v>
      </c>
      <c r="AS82">
        <v>682.07</v>
      </c>
      <c r="AT82">
        <v>1</v>
      </c>
      <c r="AU82">
        <v>75.663800506639092</v>
      </c>
      <c r="AV82">
        <v>0.92979999999999996</v>
      </c>
      <c r="AW82" s="62">
        <v>70.352000000000004</v>
      </c>
      <c r="AX82">
        <v>8.9176000000000002</v>
      </c>
      <c r="AY82">
        <v>1</v>
      </c>
      <c r="AZ82">
        <v>6071.4594890626977</v>
      </c>
      <c r="BA82">
        <v>1.0375922509225091</v>
      </c>
      <c r="BB82" s="62">
        <v>6299.6993000000002</v>
      </c>
      <c r="BC82" s="60">
        <v>715.6735305171004</v>
      </c>
    </row>
    <row r="83" spans="1:55" x14ac:dyDescent="0.25">
      <c r="A83">
        <v>8396</v>
      </c>
      <c r="B83" t="s">
        <v>131</v>
      </c>
      <c r="C83">
        <v>2016</v>
      </c>
      <c r="D83">
        <v>9</v>
      </c>
      <c r="E83" t="s">
        <v>51</v>
      </c>
      <c r="F83" t="s">
        <v>449</v>
      </c>
      <c r="G83" t="s">
        <v>84</v>
      </c>
      <c r="H83" t="s">
        <v>59</v>
      </c>
      <c r="I83" t="s">
        <v>427</v>
      </c>
      <c r="J83">
        <v>-2.7187721800000002</v>
      </c>
      <c r="K83" t="s">
        <v>440</v>
      </c>
      <c r="L83" t="s">
        <v>385</v>
      </c>
      <c r="M83">
        <v>0.43497567483749999</v>
      </c>
      <c r="N83">
        <v>1.1825997641425039</v>
      </c>
      <c r="O83">
        <v>31615.94</v>
      </c>
      <c r="P83">
        <v>1.5814806999999999E-5</v>
      </c>
      <c r="Q83">
        <v>1</v>
      </c>
      <c r="R83" s="60">
        <v>1.1825997641425039</v>
      </c>
      <c r="S83" t="s">
        <v>336</v>
      </c>
      <c r="T83" t="s">
        <v>433</v>
      </c>
      <c r="U83" t="s">
        <v>425</v>
      </c>
      <c r="V83" t="s">
        <v>27</v>
      </c>
      <c r="W83">
        <v>111.133</v>
      </c>
      <c r="X83">
        <v>0.99819678194932504</v>
      </c>
      <c r="Y83">
        <v>110.9326029683743</v>
      </c>
      <c r="Z83">
        <v>682.07</v>
      </c>
      <c r="AA83">
        <v>1</v>
      </c>
      <c r="AB83">
        <v>75.663800506639092</v>
      </c>
      <c r="AC83">
        <v>0.99739999999999995</v>
      </c>
      <c r="AD83" s="62">
        <v>75.466999999999999</v>
      </c>
      <c r="AE83">
        <v>8.9176000000000002</v>
      </c>
      <c r="AF83">
        <v>8.9015196227113016</v>
      </c>
      <c r="AG83">
        <v>1</v>
      </c>
      <c r="AH83">
        <v>6071.4594890626977</v>
      </c>
      <c r="AI83">
        <v>1.0108695652173909</v>
      </c>
      <c r="AJ83" s="62">
        <v>6137.4535999999998</v>
      </c>
      <c r="AK83" s="60">
        <v>7258.1511797955627</v>
      </c>
      <c r="AL83" t="s">
        <v>336</v>
      </c>
      <c r="AM83" t="s">
        <v>433</v>
      </c>
      <c r="AN83" t="s">
        <v>425</v>
      </c>
      <c r="AO83" t="s">
        <v>27</v>
      </c>
      <c r="AP83">
        <v>111.133</v>
      </c>
      <c r="AQ83">
        <v>0.99819678194932504</v>
      </c>
      <c r="AR83">
        <v>110.9326029683743</v>
      </c>
      <c r="AS83">
        <v>682.07</v>
      </c>
      <c r="AT83">
        <v>1</v>
      </c>
      <c r="AU83">
        <v>75.663800506639092</v>
      </c>
      <c r="AV83">
        <v>0.99739999999999995</v>
      </c>
      <c r="AW83" s="62">
        <v>75.466999999999999</v>
      </c>
      <c r="AX83">
        <v>8.9176000000000002</v>
      </c>
      <c r="AY83">
        <v>1</v>
      </c>
      <c r="AZ83">
        <v>6071.4594890626977</v>
      </c>
      <c r="BA83">
        <v>1.0108695652173909</v>
      </c>
      <c r="BB83" s="62">
        <v>6137.4535999999998</v>
      </c>
      <c r="BC83" s="60">
        <v>7258.1511797955627</v>
      </c>
    </row>
    <row r="84" spans="1:55" x14ac:dyDescent="0.25">
      <c r="A84">
        <v>8397</v>
      </c>
      <c r="B84" t="s">
        <v>131</v>
      </c>
      <c r="C84">
        <v>2016</v>
      </c>
      <c r="D84">
        <v>9</v>
      </c>
      <c r="E84" t="s">
        <v>51</v>
      </c>
      <c r="F84" t="s">
        <v>449</v>
      </c>
      <c r="G84" t="s">
        <v>84</v>
      </c>
      <c r="H84" t="s">
        <v>59</v>
      </c>
      <c r="I84" t="s">
        <v>427</v>
      </c>
      <c r="J84">
        <v>-2.7187721800000002</v>
      </c>
      <c r="K84" t="s">
        <v>440</v>
      </c>
      <c r="L84" t="s">
        <v>451</v>
      </c>
      <c r="M84">
        <v>1.7625750762999999E-3</v>
      </c>
      <c r="N84">
        <v>4.7920400842979159E-3</v>
      </c>
      <c r="O84">
        <v>31615.94</v>
      </c>
      <c r="P84">
        <v>1.5814806999999999E-5</v>
      </c>
      <c r="Q84">
        <v>1</v>
      </c>
      <c r="R84" s="60">
        <v>4.7920400842979159E-3</v>
      </c>
      <c r="S84" t="s">
        <v>336</v>
      </c>
      <c r="T84" t="s">
        <v>433</v>
      </c>
      <c r="U84" t="s">
        <v>425</v>
      </c>
      <c r="V84" t="s">
        <v>91</v>
      </c>
      <c r="W84">
        <v>111.133</v>
      </c>
      <c r="X84">
        <v>0.99819678194932504</v>
      </c>
      <c r="Y84">
        <v>110.9326029683743</v>
      </c>
      <c r="Z84">
        <v>682.07</v>
      </c>
      <c r="AA84">
        <v>1</v>
      </c>
      <c r="AB84">
        <v>75.663800506639092</v>
      </c>
      <c r="AC84">
        <v>1.0269999999999999</v>
      </c>
      <c r="AD84" s="62">
        <v>77.706999999999994</v>
      </c>
      <c r="AE84">
        <v>8.9176000000000002</v>
      </c>
      <c r="AF84">
        <v>8.9015196227113016</v>
      </c>
      <c r="AG84">
        <v>1</v>
      </c>
      <c r="AH84">
        <v>6071.4594890626977</v>
      </c>
      <c r="AI84">
        <v>0.98496680983990625</v>
      </c>
      <c r="AJ84" s="62">
        <v>5980.1860999999999</v>
      </c>
      <c r="AK84" s="60">
        <v>28.657291502761229</v>
      </c>
      <c r="AL84" t="s">
        <v>336</v>
      </c>
      <c r="AM84" t="s">
        <v>433</v>
      </c>
      <c r="AN84" t="s">
        <v>425</v>
      </c>
      <c r="AO84" t="s">
        <v>91</v>
      </c>
      <c r="AP84">
        <v>111.133</v>
      </c>
      <c r="AQ84">
        <v>0.99819678194932504</v>
      </c>
      <c r="AR84">
        <v>110.9326029683743</v>
      </c>
      <c r="AS84">
        <v>682.07</v>
      </c>
      <c r="AT84">
        <v>1</v>
      </c>
      <c r="AU84">
        <v>75.663800506639092</v>
      </c>
      <c r="AV84">
        <v>1.0269999999999999</v>
      </c>
      <c r="AW84" s="62">
        <v>77.706999999999994</v>
      </c>
      <c r="AX84">
        <v>8.9176000000000002</v>
      </c>
      <c r="AY84">
        <v>1</v>
      </c>
      <c r="AZ84">
        <v>6071.4594890626977</v>
      </c>
      <c r="BA84">
        <v>0.98496680983990625</v>
      </c>
      <c r="BB84" s="62">
        <v>5980.1860999999999</v>
      </c>
      <c r="BC84" s="60">
        <v>28.657291502761229</v>
      </c>
    </row>
    <row r="85" spans="1:55" x14ac:dyDescent="0.25">
      <c r="A85">
        <v>8398</v>
      </c>
      <c r="B85" t="s">
        <v>131</v>
      </c>
      <c r="C85">
        <v>2016</v>
      </c>
      <c r="D85">
        <v>9</v>
      </c>
      <c r="E85" t="s">
        <v>51</v>
      </c>
      <c r="F85" t="s">
        <v>449</v>
      </c>
      <c r="G85" t="s">
        <v>84</v>
      </c>
      <c r="H85" t="s">
        <v>59</v>
      </c>
      <c r="I85" t="s">
        <v>427</v>
      </c>
      <c r="J85">
        <v>-2.7187721800000002</v>
      </c>
      <c r="K85" t="s">
        <v>440</v>
      </c>
      <c r="L85" t="s">
        <v>452</v>
      </c>
      <c r="M85">
        <v>1.4858046103299999E-3</v>
      </c>
      <c r="N85">
        <v>4.039564240907339E-3</v>
      </c>
      <c r="O85">
        <v>31615.94</v>
      </c>
      <c r="P85">
        <v>1.5814806999999999E-5</v>
      </c>
      <c r="Q85">
        <v>1</v>
      </c>
      <c r="R85" s="60">
        <v>4.039564240907339E-3</v>
      </c>
      <c r="S85" t="s">
        <v>336</v>
      </c>
      <c r="T85" t="s">
        <v>433</v>
      </c>
      <c r="U85" t="s">
        <v>425</v>
      </c>
      <c r="V85" t="s">
        <v>28</v>
      </c>
      <c r="W85">
        <v>111.133</v>
      </c>
      <c r="X85">
        <v>0.99819678194932504</v>
      </c>
      <c r="Y85">
        <v>110.9326029683743</v>
      </c>
      <c r="Z85">
        <v>682.07</v>
      </c>
      <c r="AA85">
        <v>1</v>
      </c>
      <c r="AB85">
        <v>75.663800506639092</v>
      </c>
      <c r="AC85">
        <v>1.0196000000000001</v>
      </c>
      <c r="AD85" s="62">
        <v>77.147000000000006</v>
      </c>
      <c r="AE85">
        <v>8.9176000000000002</v>
      </c>
      <c r="AF85">
        <v>8.9015196227113016</v>
      </c>
      <c r="AG85">
        <v>1</v>
      </c>
      <c r="AH85">
        <v>6071.4594890626977</v>
      </c>
      <c r="AI85">
        <v>0.97991730655640863</v>
      </c>
      <c r="AJ85" s="62">
        <v>5949.5281999999997</v>
      </c>
      <c r="AK85" s="60">
        <v>24.03350136698981</v>
      </c>
      <c r="AL85" t="s">
        <v>336</v>
      </c>
      <c r="AM85" t="s">
        <v>433</v>
      </c>
      <c r="AN85" t="s">
        <v>425</v>
      </c>
      <c r="AO85" t="s">
        <v>28</v>
      </c>
      <c r="AP85">
        <v>111.133</v>
      </c>
      <c r="AQ85">
        <v>0.99819678194932504</v>
      </c>
      <c r="AR85">
        <v>110.9326029683743</v>
      </c>
      <c r="AS85">
        <v>682.07</v>
      </c>
      <c r="AT85">
        <v>1</v>
      </c>
      <c r="AU85">
        <v>75.663800506639092</v>
      </c>
      <c r="AV85">
        <v>1.0196000000000001</v>
      </c>
      <c r="AW85" s="62">
        <v>77.147000000000006</v>
      </c>
      <c r="AX85">
        <v>8.9176000000000002</v>
      </c>
      <c r="AY85">
        <v>1</v>
      </c>
      <c r="AZ85">
        <v>6071.4594890626977</v>
      </c>
      <c r="BA85">
        <v>0.97991730655640863</v>
      </c>
      <c r="BB85" s="62">
        <v>5949.5281999999997</v>
      </c>
      <c r="BC85" s="60">
        <v>24.03350136698981</v>
      </c>
    </row>
    <row r="86" spans="1:55" x14ac:dyDescent="0.25">
      <c r="A86">
        <v>9558</v>
      </c>
      <c r="B86" t="s">
        <v>133</v>
      </c>
      <c r="C86">
        <v>2016</v>
      </c>
      <c r="D86">
        <v>10</v>
      </c>
      <c r="E86" t="s">
        <v>51</v>
      </c>
      <c r="F86" t="s">
        <v>449</v>
      </c>
      <c r="G86" t="s">
        <v>84</v>
      </c>
      <c r="H86" t="s">
        <v>381</v>
      </c>
      <c r="I86" t="s">
        <v>427</v>
      </c>
      <c r="J86">
        <v>-4.5384725799999996</v>
      </c>
      <c r="K86" t="s">
        <v>440</v>
      </c>
      <c r="L86" t="s">
        <v>450</v>
      </c>
      <c r="M86">
        <v>0.15011157993331001</v>
      </c>
      <c r="N86">
        <v>0.68127728885150152</v>
      </c>
      <c r="O86">
        <v>31615.94</v>
      </c>
      <c r="P86">
        <v>1.5814806999999999E-5</v>
      </c>
      <c r="Q86">
        <v>1</v>
      </c>
      <c r="R86" s="60">
        <v>0.68127728885150152</v>
      </c>
      <c r="S86" t="s">
        <v>336</v>
      </c>
      <c r="T86" t="s">
        <v>433</v>
      </c>
      <c r="U86" t="s">
        <v>425</v>
      </c>
      <c r="V86" t="s">
        <v>26</v>
      </c>
      <c r="W86">
        <v>111.133</v>
      </c>
      <c r="X86">
        <v>0.99819678194932504</v>
      </c>
      <c r="Y86">
        <v>110.9326029683743</v>
      </c>
      <c r="Z86">
        <v>682.07</v>
      </c>
      <c r="AA86">
        <v>1</v>
      </c>
      <c r="AB86">
        <v>75.663800506639092</v>
      </c>
      <c r="AC86">
        <v>1.0178</v>
      </c>
      <c r="AD86" s="62">
        <v>77.010999999999996</v>
      </c>
      <c r="AE86">
        <v>8.9176000000000002</v>
      </c>
      <c r="AF86">
        <v>8.9015196227113016</v>
      </c>
      <c r="AG86">
        <v>1</v>
      </c>
      <c r="AH86">
        <v>6071.4594890626977</v>
      </c>
      <c r="AI86">
        <v>1.0020831266739409</v>
      </c>
      <c r="AJ86" s="62">
        <v>6084.1071000000002</v>
      </c>
      <c r="AK86" s="60">
        <v>4144.9639901701712</v>
      </c>
      <c r="AL86" t="s">
        <v>336</v>
      </c>
      <c r="AM86" t="s">
        <v>433</v>
      </c>
      <c r="AN86" t="s">
        <v>425</v>
      </c>
      <c r="AO86" t="s">
        <v>26</v>
      </c>
      <c r="AP86">
        <v>111.133</v>
      </c>
      <c r="AQ86">
        <v>0.99819678194932504</v>
      </c>
      <c r="AR86">
        <v>110.9326029683743</v>
      </c>
      <c r="AS86">
        <v>682.07</v>
      </c>
      <c r="AT86">
        <v>1</v>
      </c>
      <c r="AU86">
        <v>75.663800506639092</v>
      </c>
      <c r="AV86">
        <v>1.0178</v>
      </c>
      <c r="AW86" s="62">
        <v>77.010999999999996</v>
      </c>
      <c r="AX86">
        <v>8.9176000000000002</v>
      </c>
      <c r="AY86">
        <v>1</v>
      </c>
      <c r="AZ86">
        <v>6071.4594890626977</v>
      </c>
      <c r="BA86">
        <v>1.0020831266739409</v>
      </c>
      <c r="BB86" s="62">
        <v>6084.1071000000002</v>
      </c>
      <c r="BC86" s="60">
        <v>4144.9639901701712</v>
      </c>
    </row>
    <row r="87" spans="1:55" x14ac:dyDescent="0.25">
      <c r="A87">
        <v>9559</v>
      </c>
      <c r="B87" t="s">
        <v>133</v>
      </c>
      <c r="C87">
        <v>2016</v>
      </c>
      <c r="D87">
        <v>10</v>
      </c>
      <c r="E87" t="s">
        <v>51</v>
      </c>
      <c r="F87" t="s">
        <v>449</v>
      </c>
      <c r="G87" t="s">
        <v>84</v>
      </c>
      <c r="H87" t="s">
        <v>381</v>
      </c>
      <c r="I87" t="s">
        <v>427</v>
      </c>
      <c r="J87">
        <v>-4.5384725799999996</v>
      </c>
      <c r="K87" t="s">
        <v>440</v>
      </c>
      <c r="L87" t="s">
        <v>384</v>
      </c>
      <c r="M87">
        <v>4.5811354346740003E-2</v>
      </c>
      <c r="N87">
        <v>0.20791357536725841</v>
      </c>
      <c r="O87">
        <v>31615.94</v>
      </c>
      <c r="P87">
        <v>1.5814806999999999E-5</v>
      </c>
      <c r="Q87">
        <v>1</v>
      </c>
      <c r="R87" s="60">
        <v>0.20791357536725841</v>
      </c>
      <c r="S87" t="s">
        <v>336</v>
      </c>
      <c r="T87" t="s">
        <v>433</v>
      </c>
      <c r="U87" t="s">
        <v>425</v>
      </c>
      <c r="V87" t="s">
        <v>81</v>
      </c>
      <c r="W87">
        <v>111.133</v>
      </c>
      <c r="X87">
        <v>0.99819678194932504</v>
      </c>
      <c r="Y87">
        <v>110.9326029683743</v>
      </c>
      <c r="Z87">
        <v>682.07</v>
      </c>
      <c r="AA87">
        <v>1</v>
      </c>
      <c r="AB87">
        <v>75.663800506639092</v>
      </c>
      <c r="AC87">
        <v>0.92979999999999996</v>
      </c>
      <c r="AD87" s="62">
        <v>70.352000000000004</v>
      </c>
      <c r="AE87">
        <v>8.9176000000000002</v>
      </c>
      <c r="AF87">
        <v>8.9015196227113016</v>
      </c>
      <c r="AG87">
        <v>1</v>
      </c>
      <c r="AH87">
        <v>6071.4594890626977</v>
      </c>
      <c r="AI87">
        <v>1.0375922509225091</v>
      </c>
      <c r="AJ87" s="62">
        <v>6299.6993000000002</v>
      </c>
      <c r="AK87" s="60">
        <v>1309.793005201615</v>
      </c>
      <c r="AL87" t="s">
        <v>336</v>
      </c>
      <c r="AM87" t="s">
        <v>433</v>
      </c>
      <c r="AN87" t="s">
        <v>425</v>
      </c>
      <c r="AO87" t="s">
        <v>81</v>
      </c>
      <c r="AP87">
        <v>111.133</v>
      </c>
      <c r="AQ87">
        <v>0.99819678194932504</v>
      </c>
      <c r="AR87">
        <v>110.9326029683743</v>
      </c>
      <c r="AS87">
        <v>682.07</v>
      </c>
      <c r="AT87">
        <v>1</v>
      </c>
      <c r="AU87">
        <v>75.663800506639092</v>
      </c>
      <c r="AV87">
        <v>0.92979999999999996</v>
      </c>
      <c r="AW87" s="62">
        <v>70.352000000000004</v>
      </c>
      <c r="AX87">
        <v>8.9176000000000002</v>
      </c>
      <c r="AY87">
        <v>1</v>
      </c>
      <c r="AZ87">
        <v>6071.4594890626977</v>
      </c>
      <c r="BA87">
        <v>1.0375922509225091</v>
      </c>
      <c r="BB87" s="62">
        <v>6299.6993000000002</v>
      </c>
      <c r="BC87" s="60">
        <v>1309.793005201615</v>
      </c>
    </row>
    <row r="88" spans="1:55" x14ac:dyDescent="0.25">
      <c r="A88">
        <v>9560</v>
      </c>
      <c r="B88" t="s">
        <v>133</v>
      </c>
      <c r="C88">
        <v>2016</v>
      </c>
      <c r="D88">
        <v>10</v>
      </c>
      <c r="E88" t="s">
        <v>51</v>
      </c>
      <c r="F88" t="s">
        <v>449</v>
      </c>
      <c r="G88" t="s">
        <v>84</v>
      </c>
      <c r="H88" t="s">
        <v>381</v>
      </c>
      <c r="I88" t="s">
        <v>427</v>
      </c>
      <c r="J88">
        <v>-4.5384725799999996</v>
      </c>
      <c r="K88" t="s">
        <v>440</v>
      </c>
      <c r="L88" t="s">
        <v>385</v>
      </c>
      <c r="M88">
        <v>0.43232641346992001</v>
      </c>
      <c r="N88">
        <v>1.9621015713679979</v>
      </c>
      <c r="O88">
        <v>31615.94</v>
      </c>
      <c r="P88">
        <v>1.5814806999999999E-5</v>
      </c>
      <c r="Q88">
        <v>1</v>
      </c>
      <c r="R88" s="60">
        <v>1.9621015713679979</v>
      </c>
      <c r="S88" t="s">
        <v>336</v>
      </c>
      <c r="T88" t="s">
        <v>433</v>
      </c>
      <c r="U88" t="s">
        <v>425</v>
      </c>
      <c r="V88" t="s">
        <v>27</v>
      </c>
      <c r="W88">
        <v>111.133</v>
      </c>
      <c r="X88">
        <v>0.99819678194932504</v>
      </c>
      <c r="Y88">
        <v>110.9326029683743</v>
      </c>
      <c r="Z88">
        <v>682.07</v>
      </c>
      <c r="AA88">
        <v>1</v>
      </c>
      <c r="AB88">
        <v>75.663800506639092</v>
      </c>
      <c r="AC88">
        <v>0.99739999999999995</v>
      </c>
      <c r="AD88" s="62">
        <v>75.466999999999999</v>
      </c>
      <c r="AE88">
        <v>8.9176000000000002</v>
      </c>
      <c r="AF88">
        <v>8.9015196227113016</v>
      </c>
      <c r="AG88">
        <v>1</v>
      </c>
      <c r="AH88">
        <v>6071.4594890626977</v>
      </c>
      <c r="AI88">
        <v>1.0108695652173909</v>
      </c>
      <c r="AJ88" s="62">
        <v>6137.4535999999998</v>
      </c>
      <c r="AK88" s="60">
        <v>12042.307352758169</v>
      </c>
      <c r="AL88" t="s">
        <v>336</v>
      </c>
      <c r="AM88" t="s">
        <v>433</v>
      </c>
      <c r="AN88" t="s">
        <v>425</v>
      </c>
      <c r="AO88" t="s">
        <v>27</v>
      </c>
      <c r="AP88">
        <v>111.133</v>
      </c>
      <c r="AQ88">
        <v>0.99819678194932504</v>
      </c>
      <c r="AR88">
        <v>110.9326029683743</v>
      </c>
      <c r="AS88">
        <v>682.07</v>
      </c>
      <c r="AT88">
        <v>1</v>
      </c>
      <c r="AU88">
        <v>75.663800506639092</v>
      </c>
      <c r="AV88">
        <v>0.99739999999999995</v>
      </c>
      <c r="AW88" s="62">
        <v>75.466999999999999</v>
      </c>
      <c r="AX88">
        <v>8.9176000000000002</v>
      </c>
      <c r="AY88">
        <v>1</v>
      </c>
      <c r="AZ88">
        <v>6071.4594890626977</v>
      </c>
      <c r="BA88">
        <v>1.0108695652173909</v>
      </c>
      <c r="BB88" s="62">
        <v>6137.4535999999998</v>
      </c>
      <c r="BC88" s="60">
        <v>12042.307352758169</v>
      </c>
    </row>
    <row r="89" spans="1:55" x14ac:dyDescent="0.25">
      <c r="A89">
        <v>9561</v>
      </c>
      <c r="B89" t="s">
        <v>133</v>
      </c>
      <c r="C89">
        <v>2016</v>
      </c>
      <c r="D89">
        <v>10</v>
      </c>
      <c r="E89" t="s">
        <v>51</v>
      </c>
      <c r="F89" t="s">
        <v>449</v>
      </c>
      <c r="G89" t="s">
        <v>84</v>
      </c>
      <c r="H89" t="s">
        <v>381</v>
      </c>
      <c r="I89" t="s">
        <v>427</v>
      </c>
      <c r="J89">
        <v>-4.5384725799999996</v>
      </c>
      <c r="K89" t="s">
        <v>440</v>
      </c>
      <c r="L89" t="s">
        <v>451</v>
      </c>
      <c r="M89">
        <v>1.6825115802299999E-3</v>
      </c>
      <c r="N89">
        <v>7.6360326654985374E-3</v>
      </c>
      <c r="O89">
        <v>31615.94</v>
      </c>
      <c r="P89">
        <v>1.5814806999999999E-5</v>
      </c>
      <c r="Q89">
        <v>1</v>
      </c>
      <c r="R89" s="60">
        <v>7.6360326654985374E-3</v>
      </c>
      <c r="S89" t="s">
        <v>336</v>
      </c>
      <c r="T89" t="s">
        <v>433</v>
      </c>
      <c r="U89" t="s">
        <v>425</v>
      </c>
      <c r="V89" t="s">
        <v>91</v>
      </c>
      <c r="W89">
        <v>111.133</v>
      </c>
      <c r="X89">
        <v>0.99819678194932504</v>
      </c>
      <c r="Y89">
        <v>110.9326029683743</v>
      </c>
      <c r="Z89">
        <v>682.07</v>
      </c>
      <c r="AA89">
        <v>1</v>
      </c>
      <c r="AB89">
        <v>75.663800506639092</v>
      </c>
      <c r="AC89">
        <v>1.0269999999999999</v>
      </c>
      <c r="AD89" s="62">
        <v>77.706999999999994</v>
      </c>
      <c r="AE89">
        <v>8.9176000000000002</v>
      </c>
      <c r="AF89">
        <v>8.9015196227113016</v>
      </c>
      <c r="AG89">
        <v>1</v>
      </c>
      <c r="AH89">
        <v>6071.4594890626977</v>
      </c>
      <c r="AI89">
        <v>0.98496680983990625</v>
      </c>
      <c r="AJ89" s="62">
        <v>5980.1860999999999</v>
      </c>
      <c r="AK89" s="60">
        <v>45.664896405360302</v>
      </c>
      <c r="AL89" t="s">
        <v>336</v>
      </c>
      <c r="AM89" t="s">
        <v>433</v>
      </c>
      <c r="AN89" t="s">
        <v>425</v>
      </c>
      <c r="AO89" t="s">
        <v>91</v>
      </c>
      <c r="AP89">
        <v>111.133</v>
      </c>
      <c r="AQ89">
        <v>0.99819678194932504</v>
      </c>
      <c r="AR89">
        <v>110.9326029683743</v>
      </c>
      <c r="AS89">
        <v>682.07</v>
      </c>
      <c r="AT89">
        <v>1</v>
      </c>
      <c r="AU89">
        <v>75.663800506639092</v>
      </c>
      <c r="AV89">
        <v>1.0269999999999999</v>
      </c>
      <c r="AW89" s="62">
        <v>77.706999999999994</v>
      </c>
      <c r="AX89">
        <v>8.9176000000000002</v>
      </c>
      <c r="AY89">
        <v>1</v>
      </c>
      <c r="AZ89">
        <v>6071.4594890626977</v>
      </c>
      <c r="BA89">
        <v>0.98496680983990625</v>
      </c>
      <c r="BB89" s="62">
        <v>5980.1860999999999</v>
      </c>
      <c r="BC89" s="60">
        <v>45.664896405360302</v>
      </c>
    </row>
    <row r="90" spans="1:55" x14ac:dyDescent="0.25">
      <c r="A90">
        <v>9562</v>
      </c>
      <c r="B90" t="s">
        <v>133</v>
      </c>
      <c r="C90">
        <v>2016</v>
      </c>
      <c r="D90">
        <v>10</v>
      </c>
      <c r="E90" t="s">
        <v>51</v>
      </c>
      <c r="F90" t="s">
        <v>449</v>
      </c>
      <c r="G90" t="s">
        <v>84</v>
      </c>
      <c r="H90" t="s">
        <v>381</v>
      </c>
      <c r="I90" t="s">
        <v>427</v>
      </c>
      <c r="J90">
        <v>-4.5384725799999996</v>
      </c>
      <c r="K90" t="s">
        <v>440</v>
      </c>
      <c r="L90" t="s">
        <v>452</v>
      </c>
      <c r="M90">
        <v>1.53682162831E-3</v>
      </c>
      <c r="N90">
        <v>6.9748228141262494E-3</v>
      </c>
      <c r="O90">
        <v>31615.94</v>
      </c>
      <c r="P90">
        <v>1.5814806999999999E-5</v>
      </c>
      <c r="Q90">
        <v>1</v>
      </c>
      <c r="R90" s="60">
        <v>6.9748228141262494E-3</v>
      </c>
      <c r="S90" t="s">
        <v>336</v>
      </c>
      <c r="T90" t="s">
        <v>433</v>
      </c>
      <c r="U90" t="s">
        <v>425</v>
      </c>
      <c r="V90" t="s">
        <v>28</v>
      </c>
      <c r="W90">
        <v>111.133</v>
      </c>
      <c r="X90">
        <v>0.99819678194932504</v>
      </c>
      <c r="Y90">
        <v>110.9326029683743</v>
      </c>
      <c r="Z90">
        <v>682.07</v>
      </c>
      <c r="AA90">
        <v>1</v>
      </c>
      <c r="AB90">
        <v>75.663800506639092</v>
      </c>
      <c r="AC90">
        <v>1.0196000000000001</v>
      </c>
      <c r="AD90" s="62">
        <v>77.147000000000006</v>
      </c>
      <c r="AE90">
        <v>8.9176000000000002</v>
      </c>
      <c r="AF90">
        <v>8.9015196227113016</v>
      </c>
      <c r="AG90">
        <v>1</v>
      </c>
      <c r="AH90">
        <v>6071.4594890626977</v>
      </c>
      <c r="AI90">
        <v>0.97991730655640863</v>
      </c>
      <c r="AJ90" s="62">
        <v>5949.5281999999997</v>
      </c>
      <c r="AK90" s="60">
        <v>41.496905022647468</v>
      </c>
      <c r="AL90" t="s">
        <v>336</v>
      </c>
      <c r="AM90" t="s">
        <v>433</v>
      </c>
      <c r="AN90" t="s">
        <v>425</v>
      </c>
      <c r="AO90" t="s">
        <v>28</v>
      </c>
      <c r="AP90">
        <v>111.133</v>
      </c>
      <c r="AQ90">
        <v>0.99819678194932504</v>
      </c>
      <c r="AR90">
        <v>110.9326029683743</v>
      </c>
      <c r="AS90">
        <v>682.07</v>
      </c>
      <c r="AT90">
        <v>1</v>
      </c>
      <c r="AU90">
        <v>75.663800506639092</v>
      </c>
      <c r="AV90">
        <v>1.0196000000000001</v>
      </c>
      <c r="AW90" s="62">
        <v>77.147000000000006</v>
      </c>
      <c r="AX90">
        <v>8.9176000000000002</v>
      </c>
      <c r="AY90">
        <v>1</v>
      </c>
      <c r="AZ90">
        <v>6071.4594890626977</v>
      </c>
      <c r="BA90">
        <v>0.97991730655640863</v>
      </c>
      <c r="BB90" s="62">
        <v>5949.5281999999997</v>
      </c>
      <c r="BC90" s="60">
        <v>41.496905022647468</v>
      </c>
    </row>
    <row r="91" spans="1:55" x14ac:dyDescent="0.25">
      <c r="A91">
        <v>9563</v>
      </c>
      <c r="B91" t="s">
        <v>133</v>
      </c>
      <c r="C91">
        <v>2016</v>
      </c>
      <c r="D91">
        <v>10</v>
      </c>
      <c r="E91" t="s">
        <v>51</v>
      </c>
      <c r="F91" t="s">
        <v>449</v>
      </c>
      <c r="G91" t="s">
        <v>84</v>
      </c>
      <c r="H91" t="s">
        <v>87</v>
      </c>
      <c r="I91" t="s">
        <v>427</v>
      </c>
      <c r="J91">
        <v>-0.93350664999999999</v>
      </c>
      <c r="K91" t="s">
        <v>440</v>
      </c>
      <c r="L91" t="s">
        <v>450</v>
      </c>
      <c r="M91">
        <v>0.26601384014995</v>
      </c>
      <c r="N91">
        <v>0.24832568778253089</v>
      </c>
      <c r="O91">
        <v>31615.94</v>
      </c>
      <c r="P91">
        <v>1.5814806999999999E-5</v>
      </c>
      <c r="Q91">
        <v>1</v>
      </c>
      <c r="R91" s="60">
        <v>0.24832568778253089</v>
      </c>
      <c r="S91" t="s">
        <v>336</v>
      </c>
      <c r="T91" t="s">
        <v>433</v>
      </c>
      <c r="U91" t="s">
        <v>425</v>
      </c>
      <c r="V91" t="s">
        <v>26</v>
      </c>
      <c r="W91">
        <v>111.133</v>
      </c>
      <c r="X91">
        <v>0.99819678194932504</v>
      </c>
      <c r="Y91">
        <v>110.9326029683743</v>
      </c>
      <c r="Z91">
        <v>682.07</v>
      </c>
      <c r="AA91">
        <v>1</v>
      </c>
      <c r="AB91">
        <v>75.663800506639092</v>
      </c>
      <c r="AC91">
        <v>1.0178</v>
      </c>
      <c r="AD91" s="62">
        <v>77.010999999999996</v>
      </c>
      <c r="AE91">
        <v>8.9176000000000002</v>
      </c>
      <c r="AF91">
        <v>8.9015196227113016</v>
      </c>
      <c r="AG91">
        <v>1</v>
      </c>
      <c r="AH91">
        <v>6071.4594890626977</v>
      </c>
      <c r="AI91">
        <v>1.0020831266739409</v>
      </c>
      <c r="AJ91" s="62">
        <v>6084.1071000000002</v>
      </c>
      <c r="AK91" s="60">
        <v>1510.84008015008</v>
      </c>
      <c r="AL91" t="s">
        <v>336</v>
      </c>
      <c r="AM91" t="s">
        <v>433</v>
      </c>
      <c r="AN91" t="s">
        <v>425</v>
      </c>
      <c r="AO91" t="s">
        <v>26</v>
      </c>
      <c r="AP91">
        <v>111.133</v>
      </c>
      <c r="AQ91">
        <v>0.99819678194932504</v>
      </c>
      <c r="AR91">
        <v>110.9326029683743</v>
      </c>
      <c r="AS91">
        <v>682.07</v>
      </c>
      <c r="AT91">
        <v>1</v>
      </c>
      <c r="AU91">
        <v>75.663800506639092</v>
      </c>
      <c r="AV91">
        <v>1.0178</v>
      </c>
      <c r="AW91" s="62">
        <v>77.010999999999996</v>
      </c>
      <c r="AX91">
        <v>8.9176000000000002</v>
      </c>
      <c r="AY91">
        <v>1</v>
      </c>
      <c r="AZ91">
        <v>6071.4594890626977</v>
      </c>
      <c r="BA91">
        <v>1.0020831266739409</v>
      </c>
      <c r="BB91" s="62">
        <v>6084.1071000000002</v>
      </c>
      <c r="BC91" s="60">
        <v>1510.84008015008</v>
      </c>
    </row>
    <row r="92" spans="1:55" x14ac:dyDescent="0.25">
      <c r="A92">
        <v>9564</v>
      </c>
      <c r="B92" t="s">
        <v>133</v>
      </c>
      <c r="C92">
        <v>2016</v>
      </c>
      <c r="D92">
        <v>10</v>
      </c>
      <c r="E92" t="s">
        <v>51</v>
      </c>
      <c r="F92" t="s">
        <v>449</v>
      </c>
      <c r="G92" t="s">
        <v>84</v>
      </c>
      <c r="H92" t="s">
        <v>87</v>
      </c>
      <c r="I92" t="s">
        <v>427</v>
      </c>
      <c r="J92">
        <v>-0.93350664999999999</v>
      </c>
      <c r="K92" t="s">
        <v>440</v>
      </c>
      <c r="L92" t="s">
        <v>384</v>
      </c>
      <c r="M92">
        <v>3.9509559941419997E-2</v>
      </c>
      <c r="N92">
        <v>3.688243679692655E-2</v>
      </c>
      <c r="O92">
        <v>31615.94</v>
      </c>
      <c r="P92">
        <v>1.5814806999999999E-5</v>
      </c>
      <c r="Q92">
        <v>1</v>
      </c>
      <c r="R92" s="60">
        <v>3.688243679692655E-2</v>
      </c>
      <c r="S92" t="s">
        <v>336</v>
      </c>
      <c r="T92" t="s">
        <v>433</v>
      </c>
      <c r="U92" t="s">
        <v>425</v>
      </c>
      <c r="V92" t="s">
        <v>81</v>
      </c>
      <c r="W92">
        <v>111.133</v>
      </c>
      <c r="X92">
        <v>0.99819678194932504</v>
      </c>
      <c r="Y92">
        <v>110.9326029683743</v>
      </c>
      <c r="Z92">
        <v>682.07</v>
      </c>
      <c r="AA92">
        <v>1</v>
      </c>
      <c r="AB92">
        <v>75.663800506639092</v>
      </c>
      <c r="AC92">
        <v>0.92979999999999996</v>
      </c>
      <c r="AD92" s="62">
        <v>70.352000000000004</v>
      </c>
      <c r="AE92">
        <v>8.9176000000000002</v>
      </c>
      <c r="AF92">
        <v>8.9015196227113016</v>
      </c>
      <c r="AG92">
        <v>1</v>
      </c>
      <c r="AH92">
        <v>6071.4594890626977</v>
      </c>
      <c r="AI92">
        <v>1.0375922509225091</v>
      </c>
      <c r="AJ92" s="62">
        <v>6299.6993000000002</v>
      </c>
      <c r="AK92" s="60">
        <v>232.3482612718924</v>
      </c>
      <c r="AL92" t="s">
        <v>336</v>
      </c>
      <c r="AM92" t="s">
        <v>433</v>
      </c>
      <c r="AN92" t="s">
        <v>425</v>
      </c>
      <c r="AO92" t="s">
        <v>81</v>
      </c>
      <c r="AP92">
        <v>111.133</v>
      </c>
      <c r="AQ92">
        <v>0.99819678194932504</v>
      </c>
      <c r="AR92">
        <v>110.9326029683743</v>
      </c>
      <c r="AS92">
        <v>682.07</v>
      </c>
      <c r="AT92">
        <v>1</v>
      </c>
      <c r="AU92">
        <v>75.663800506639092</v>
      </c>
      <c r="AV92">
        <v>0.92979999999999996</v>
      </c>
      <c r="AW92" s="62">
        <v>70.352000000000004</v>
      </c>
      <c r="AX92">
        <v>8.9176000000000002</v>
      </c>
      <c r="AY92">
        <v>1</v>
      </c>
      <c r="AZ92">
        <v>6071.4594890626977</v>
      </c>
      <c r="BA92">
        <v>1.0375922509225091</v>
      </c>
      <c r="BB92" s="62">
        <v>6299.6993000000002</v>
      </c>
      <c r="BC92" s="60">
        <v>232.3482612718924</v>
      </c>
    </row>
    <row r="93" spans="1:55" x14ac:dyDescent="0.25">
      <c r="A93">
        <v>9565</v>
      </c>
      <c r="B93" t="s">
        <v>133</v>
      </c>
      <c r="C93">
        <v>2016</v>
      </c>
      <c r="D93">
        <v>10</v>
      </c>
      <c r="E93" t="s">
        <v>51</v>
      </c>
      <c r="F93" t="s">
        <v>449</v>
      </c>
      <c r="G93" t="s">
        <v>84</v>
      </c>
      <c r="H93" t="s">
        <v>87</v>
      </c>
      <c r="I93" t="s">
        <v>427</v>
      </c>
      <c r="J93">
        <v>-0.93350664999999999</v>
      </c>
      <c r="K93" t="s">
        <v>440</v>
      </c>
      <c r="L93" t="s">
        <v>385</v>
      </c>
      <c r="M93">
        <v>0.39737542925016001</v>
      </c>
      <c r="N93">
        <v>0.37095260427352228</v>
      </c>
      <c r="O93">
        <v>31615.94</v>
      </c>
      <c r="P93">
        <v>1.5814806999999999E-5</v>
      </c>
      <c r="Q93">
        <v>1</v>
      </c>
      <c r="R93" s="60">
        <v>0.37095260427352228</v>
      </c>
      <c r="S93" t="s">
        <v>336</v>
      </c>
      <c r="T93" t="s">
        <v>433</v>
      </c>
      <c r="U93" t="s">
        <v>425</v>
      </c>
      <c r="V93" t="s">
        <v>27</v>
      </c>
      <c r="W93">
        <v>111.133</v>
      </c>
      <c r="X93">
        <v>0.99819678194932504</v>
      </c>
      <c r="Y93">
        <v>110.9326029683743</v>
      </c>
      <c r="Z93">
        <v>682.07</v>
      </c>
      <c r="AA93">
        <v>1</v>
      </c>
      <c r="AB93">
        <v>75.663800506639092</v>
      </c>
      <c r="AC93">
        <v>0.99739999999999995</v>
      </c>
      <c r="AD93" s="62">
        <v>75.466999999999999</v>
      </c>
      <c r="AE93">
        <v>8.9176000000000002</v>
      </c>
      <c r="AF93">
        <v>8.9015196227113016</v>
      </c>
      <c r="AG93">
        <v>1</v>
      </c>
      <c r="AH93">
        <v>6071.4594890626977</v>
      </c>
      <c r="AI93">
        <v>1.0108695652173909</v>
      </c>
      <c r="AJ93" s="62">
        <v>6137.4535999999998</v>
      </c>
      <c r="AK93" s="60">
        <v>2276.7043965279049</v>
      </c>
      <c r="AL93" t="s">
        <v>336</v>
      </c>
      <c r="AM93" t="s">
        <v>433</v>
      </c>
      <c r="AN93" t="s">
        <v>425</v>
      </c>
      <c r="AO93" t="s">
        <v>27</v>
      </c>
      <c r="AP93">
        <v>111.133</v>
      </c>
      <c r="AQ93">
        <v>0.99819678194932504</v>
      </c>
      <c r="AR93">
        <v>110.9326029683743</v>
      </c>
      <c r="AS93">
        <v>682.07</v>
      </c>
      <c r="AT93">
        <v>1</v>
      </c>
      <c r="AU93">
        <v>75.663800506639092</v>
      </c>
      <c r="AV93">
        <v>0.99739999999999995</v>
      </c>
      <c r="AW93" s="62">
        <v>75.466999999999999</v>
      </c>
      <c r="AX93">
        <v>8.9176000000000002</v>
      </c>
      <c r="AY93">
        <v>1</v>
      </c>
      <c r="AZ93">
        <v>6071.4594890626977</v>
      </c>
      <c r="BA93">
        <v>1.0108695652173909</v>
      </c>
      <c r="BB93" s="62">
        <v>6137.4535999999998</v>
      </c>
      <c r="BC93" s="60">
        <v>2276.7043965279049</v>
      </c>
    </row>
    <row r="94" spans="1:55" x14ac:dyDescent="0.25">
      <c r="A94">
        <v>9566</v>
      </c>
      <c r="B94" t="s">
        <v>133</v>
      </c>
      <c r="C94">
        <v>2016</v>
      </c>
      <c r="D94">
        <v>10</v>
      </c>
      <c r="E94" t="s">
        <v>51</v>
      </c>
      <c r="F94" t="s">
        <v>449</v>
      </c>
      <c r="G94" t="s">
        <v>84</v>
      </c>
      <c r="H94" t="s">
        <v>87</v>
      </c>
      <c r="I94" t="s">
        <v>427</v>
      </c>
      <c r="J94">
        <v>-0.93350664999999999</v>
      </c>
      <c r="K94" t="s">
        <v>440</v>
      </c>
      <c r="L94" t="s">
        <v>452</v>
      </c>
      <c r="M94">
        <v>8.4248020759000004E-4</v>
      </c>
      <c r="N94">
        <v>7.8646087314489493E-4</v>
      </c>
      <c r="O94">
        <v>31615.94</v>
      </c>
      <c r="P94">
        <v>1.5814806999999999E-5</v>
      </c>
      <c r="Q94">
        <v>1</v>
      </c>
      <c r="R94" s="60">
        <v>7.8646087314489493E-4</v>
      </c>
      <c r="S94" t="s">
        <v>336</v>
      </c>
      <c r="T94" t="s">
        <v>433</v>
      </c>
      <c r="U94" t="s">
        <v>425</v>
      </c>
      <c r="V94" t="s">
        <v>28</v>
      </c>
      <c r="W94">
        <v>111.133</v>
      </c>
      <c r="X94">
        <v>0.99819678194932504</v>
      </c>
      <c r="Y94">
        <v>110.9326029683743</v>
      </c>
      <c r="Z94">
        <v>682.07</v>
      </c>
      <c r="AA94">
        <v>1</v>
      </c>
      <c r="AB94">
        <v>75.663800506639092</v>
      </c>
      <c r="AC94">
        <v>1.0196000000000001</v>
      </c>
      <c r="AD94" s="62">
        <v>77.147000000000006</v>
      </c>
      <c r="AE94">
        <v>8.9176000000000002</v>
      </c>
      <c r="AF94">
        <v>8.9015196227113016</v>
      </c>
      <c r="AG94">
        <v>1</v>
      </c>
      <c r="AH94">
        <v>6071.4594890626977</v>
      </c>
      <c r="AI94">
        <v>0.97991730655640863</v>
      </c>
      <c r="AJ94" s="62">
        <v>5949.5281999999997</v>
      </c>
      <c r="AK94" s="60">
        <v>4.679071142972175</v>
      </c>
      <c r="AL94" t="s">
        <v>336</v>
      </c>
      <c r="AM94" t="s">
        <v>433</v>
      </c>
      <c r="AN94" t="s">
        <v>425</v>
      </c>
      <c r="AO94" t="s">
        <v>28</v>
      </c>
      <c r="AP94">
        <v>111.133</v>
      </c>
      <c r="AQ94">
        <v>0.99819678194932504</v>
      </c>
      <c r="AR94">
        <v>110.9326029683743</v>
      </c>
      <c r="AS94">
        <v>682.07</v>
      </c>
      <c r="AT94">
        <v>1</v>
      </c>
      <c r="AU94">
        <v>75.663800506639092</v>
      </c>
      <c r="AV94">
        <v>1.0196000000000001</v>
      </c>
      <c r="AW94" s="62">
        <v>77.147000000000006</v>
      </c>
      <c r="AX94">
        <v>8.9176000000000002</v>
      </c>
      <c r="AY94">
        <v>1</v>
      </c>
      <c r="AZ94">
        <v>6071.4594890626977</v>
      </c>
      <c r="BA94">
        <v>0.97991730655640863</v>
      </c>
      <c r="BB94" s="62">
        <v>5949.5281999999997</v>
      </c>
      <c r="BC94" s="60">
        <v>4.679071142972175</v>
      </c>
    </row>
    <row r="95" spans="1:55" x14ac:dyDescent="0.25">
      <c r="A95">
        <v>9567</v>
      </c>
      <c r="B95" t="s">
        <v>133</v>
      </c>
      <c r="C95">
        <v>2016</v>
      </c>
      <c r="D95">
        <v>10</v>
      </c>
      <c r="E95" t="s">
        <v>51</v>
      </c>
      <c r="F95" t="s">
        <v>449</v>
      </c>
      <c r="G95" t="s">
        <v>84</v>
      </c>
      <c r="H95" t="s">
        <v>59</v>
      </c>
      <c r="I95" t="s">
        <v>427</v>
      </c>
      <c r="J95">
        <v>-2.7190952300000002</v>
      </c>
      <c r="K95" t="s">
        <v>440</v>
      </c>
      <c r="L95" t="s">
        <v>450</v>
      </c>
      <c r="M95">
        <v>0.15931709696460999</v>
      </c>
      <c r="N95">
        <v>0.43319835825226249</v>
      </c>
      <c r="O95">
        <v>31615.94</v>
      </c>
      <c r="P95">
        <v>1.5814806999999999E-5</v>
      </c>
      <c r="Q95">
        <v>1</v>
      </c>
      <c r="R95" s="60">
        <v>0.43319835825226249</v>
      </c>
      <c r="S95" t="s">
        <v>336</v>
      </c>
      <c r="T95" t="s">
        <v>433</v>
      </c>
      <c r="U95" t="s">
        <v>425</v>
      </c>
      <c r="V95" t="s">
        <v>26</v>
      </c>
      <c r="W95">
        <v>111.133</v>
      </c>
      <c r="X95">
        <v>0.99819678194932504</v>
      </c>
      <c r="Y95">
        <v>110.9326029683743</v>
      </c>
      <c r="Z95">
        <v>682.07</v>
      </c>
      <c r="AA95">
        <v>1</v>
      </c>
      <c r="AB95">
        <v>75.663800506639092</v>
      </c>
      <c r="AC95">
        <v>1.0178</v>
      </c>
      <c r="AD95" s="62">
        <v>77.010999999999996</v>
      </c>
      <c r="AE95">
        <v>8.9176000000000002</v>
      </c>
      <c r="AF95">
        <v>8.9015196227113016</v>
      </c>
      <c r="AG95">
        <v>1</v>
      </c>
      <c r="AH95">
        <v>6071.4594890626977</v>
      </c>
      <c r="AI95">
        <v>1.0020831266739409</v>
      </c>
      <c r="AJ95" s="62">
        <v>6084.1071000000002</v>
      </c>
      <c r="AK95" s="60">
        <v>2635.6252071509339</v>
      </c>
      <c r="AL95" t="s">
        <v>336</v>
      </c>
      <c r="AM95" t="s">
        <v>433</v>
      </c>
      <c r="AN95" t="s">
        <v>425</v>
      </c>
      <c r="AO95" t="s">
        <v>26</v>
      </c>
      <c r="AP95">
        <v>111.133</v>
      </c>
      <c r="AQ95">
        <v>0.99819678194932504</v>
      </c>
      <c r="AR95">
        <v>110.9326029683743</v>
      </c>
      <c r="AS95">
        <v>682.07</v>
      </c>
      <c r="AT95">
        <v>1</v>
      </c>
      <c r="AU95">
        <v>75.663800506639092</v>
      </c>
      <c r="AV95">
        <v>1.0178</v>
      </c>
      <c r="AW95" s="62">
        <v>77.010999999999996</v>
      </c>
      <c r="AX95">
        <v>8.9176000000000002</v>
      </c>
      <c r="AY95">
        <v>1</v>
      </c>
      <c r="AZ95">
        <v>6071.4594890626977</v>
      </c>
      <c r="BA95">
        <v>1.0020831266739409</v>
      </c>
      <c r="BB95" s="62">
        <v>6084.1071000000002</v>
      </c>
      <c r="BC95" s="60">
        <v>2635.6252071509339</v>
      </c>
    </row>
    <row r="96" spans="1:55" x14ac:dyDescent="0.25">
      <c r="A96">
        <v>9568</v>
      </c>
      <c r="B96" t="s">
        <v>133</v>
      </c>
      <c r="C96">
        <v>2016</v>
      </c>
      <c r="D96">
        <v>10</v>
      </c>
      <c r="E96" t="s">
        <v>51</v>
      </c>
      <c r="F96" t="s">
        <v>449</v>
      </c>
      <c r="G96" t="s">
        <v>84</v>
      </c>
      <c r="H96" t="s">
        <v>59</v>
      </c>
      <c r="I96" t="s">
        <v>427</v>
      </c>
      <c r="J96">
        <v>-2.7190952300000002</v>
      </c>
      <c r="K96" t="s">
        <v>440</v>
      </c>
      <c r="L96" t="s">
        <v>384</v>
      </c>
      <c r="M96">
        <v>4.1785183859599999E-2</v>
      </c>
      <c r="N96">
        <v>0.1136178940749127</v>
      </c>
      <c r="O96">
        <v>31615.94</v>
      </c>
      <c r="P96">
        <v>1.5814806999999999E-5</v>
      </c>
      <c r="Q96">
        <v>1</v>
      </c>
      <c r="R96" s="60">
        <v>0.1136178940749127</v>
      </c>
      <c r="S96" t="s">
        <v>336</v>
      </c>
      <c r="T96" t="s">
        <v>433</v>
      </c>
      <c r="U96" t="s">
        <v>425</v>
      </c>
      <c r="V96" t="s">
        <v>81</v>
      </c>
      <c r="W96">
        <v>111.133</v>
      </c>
      <c r="X96">
        <v>0.99819678194932504</v>
      </c>
      <c r="Y96">
        <v>110.9326029683743</v>
      </c>
      <c r="Z96">
        <v>682.07</v>
      </c>
      <c r="AA96">
        <v>1</v>
      </c>
      <c r="AB96">
        <v>75.663800506639092</v>
      </c>
      <c r="AC96">
        <v>0.92979999999999996</v>
      </c>
      <c r="AD96" s="62">
        <v>70.352000000000004</v>
      </c>
      <c r="AE96">
        <v>8.9176000000000002</v>
      </c>
      <c r="AF96">
        <v>8.9015196227113016</v>
      </c>
      <c r="AG96">
        <v>1</v>
      </c>
      <c r="AH96">
        <v>6071.4594890626977</v>
      </c>
      <c r="AI96">
        <v>1.0375922509225091</v>
      </c>
      <c r="AJ96" s="62">
        <v>6299.6993000000002</v>
      </c>
      <c r="AK96" s="60">
        <v>715.75856777120191</v>
      </c>
      <c r="AL96" t="s">
        <v>336</v>
      </c>
      <c r="AM96" t="s">
        <v>433</v>
      </c>
      <c r="AN96" t="s">
        <v>425</v>
      </c>
      <c r="AO96" t="s">
        <v>81</v>
      </c>
      <c r="AP96">
        <v>111.133</v>
      </c>
      <c r="AQ96">
        <v>0.99819678194932504</v>
      </c>
      <c r="AR96">
        <v>110.9326029683743</v>
      </c>
      <c r="AS96">
        <v>682.07</v>
      </c>
      <c r="AT96">
        <v>1</v>
      </c>
      <c r="AU96">
        <v>75.663800506639092</v>
      </c>
      <c r="AV96">
        <v>0.92979999999999996</v>
      </c>
      <c r="AW96" s="62">
        <v>70.352000000000004</v>
      </c>
      <c r="AX96">
        <v>8.9176000000000002</v>
      </c>
      <c r="AY96">
        <v>1</v>
      </c>
      <c r="AZ96">
        <v>6071.4594890626977</v>
      </c>
      <c r="BA96">
        <v>1.0375922509225091</v>
      </c>
      <c r="BB96" s="62">
        <v>6299.6993000000002</v>
      </c>
      <c r="BC96" s="60">
        <v>715.75856777120191</v>
      </c>
    </row>
    <row r="97" spans="1:55" x14ac:dyDescent="0.25">
      <c r="A97">
        <v>9569</v>
      </c>
      <c r="B97" t="s">
        <v>133</v>
      </c>
      <c r="C97">
        <v>2016</v>
      </c>
      <c r="D97">
        <v>10</v>
      </c>
      <c r="E97" t="s">
        <v>51</v>
      </c>
      <c r="F97" t="s">
        <v>449</v>
      </c>
      <c r="G97" t="s">
        <v>84</v>
      </c>
      <c r="H97" t="s">
        <v>59</v>
      </c>
      <c r="I97" t="s">
        <v>427</v>
      </c>
      <c r="J97">
        <v>-2.7190952300000002</v>
      </c>
      <c r="K97" t="s">
        <v>440</v>
      </c>
      <c r="L97" t="s">
        <v>385</v>
      </c>
      <c r="M97">
        <v>0.43497567483749999</v>
      </c>
      <c r="N97">
        <v>1.1827402821753159</v>
      </c>
      <c r="O97">
        <v>31615.94</v>
      </c>
      <c r="P97">
        <v>1.5814806999999999E-5</v>
      </c>
      <c r="Q97">
        <v>1</v>
      </c>
      <c r="R97" s="60">
        <v>1.1827402821753159</v>
      </c>
      <c r="S97" t="s">
        <v>336</v>
      </c>
      <c r="T97" t="s">
        <v>433</v>
      </c>
      <c r="U97" t="s">
        <v>425</v>
      </c>
      <c r="V97" t="s">
        <v>27</v>
      </c>
      <c r="W97">
        <v>111.133</v>
      </c>
      <c r="X97">
        <v>0.99819678194932504</v>
      </c>
      <c r="Y97">
        <v>110.9326029683743</v>
      </c>
      <c r="Z97">
        <v>682.07</v>
      </c>
      <c r="AA97">
        <v>1</v>
      </c>
      <c r="AB97">
        <v>75.663800506639092</v>
      </c>
      <c r="AC97">
        <v>0.99739999999999995</v>
      </c>
      <c r="AD97" s="62">
        <v>75.466999999999999</v>
      </c>
      <c r="AE97">
        <v>8.9176000000000002</v>
      </c>
      <c r="AF97">
        <v>8.9015196227113016</v>
      </c>
      <c r="AG97">
        <v>1</v>
      </c>
      <c r="AH97">
        <v>6071.4594890626977</v>
      </c>
      <c r="AI97">
        <v>1.0108695652173909</v>
      </c>
      <c r="AJ97" s="62">
        <v>6137.4535999999998</v>
      </c>
      <c r="AK97" s="60">
        <v>7259.013602701908</v>
      </c>
      <c r="AL97" t="s">
        <v>336</v>
      </c>
      <c r="AM97" t="s">
        <v>433</v>
      </c>
      <c r="AN97" t="s">
        <v>425</v>
      </c>
      <c r="AO97" t="s">
        <v>27</v>
      </c>
      <c r="AP97">
        <v>111.133</v>
      </c>
      <c r="AQ97">
        <v>0.99819678194932504</v>
      </c>
      <c r="AR97">
        <v>110.9326029683743</v>
      </c>
      <c r="AS97">
        <v>682.07</v>
      </c>
      <c r="AT97">
        <v>1</v>
      </c>
      <c r="AU97">
        <v>75.663800506639092</v>
      </c>
      <c r="AV97">
        <v>0.99739999999999995</v>
      </c>
      <c r="AW97" s="62">
        <v>75.466999999999999</v>
      </c>
      <c r="AX97">
        <v>8.9176000000000002</v>
      </c>
      <c r="AY97">
        <v>1</v>
      </c>
      <c r="AZ97">
        <v>6071.4594890626977</v>
      </c>
      <c r="BA97">
        <v>1.0108695652173909</v>
      </c>
      <c r="BB97" s="62">
        <v>6137.4535999999998</v>
      </c>
      <c r="BC97" s="60">
        <v>7259.013602701908</v>
      </c>
    </row>
    <row r="98" spans="1:55" x14ac:dyDescent="0.25">
      <c r="A98">
        <v>9570</v>
      </c>
      <c r="B98" t="s">
        <v>133</v>
      </c>
      <c r="C98">
        <v>2016</v>
      </c>
      <c r="D98">
        <v>10</v>
      </c>
      <c r="E98" t="s">
        <v>51</v>
      </c>
      <c r="F98" t="s">
        <v>449</v>
      </c>
      <c r="G98" t="s">
        <v>84</v>
      </c>
      <c r="H98" t="s">
        <v>59</v>
      </c>
      <c r="I98" t="s">
        <v>427</v>
      </c>
      <c r="J98">
        <v>-2.7190952300000002</v>
      </c>
      <c r="K98" t="s">
        <v>440</v>
      </c>
      <c r="L98" t="s">
        <v>451</v>
      </c>
      <c r="M98">
        <v>1.7625750762999999E-3</v>
      </c>
      <c r="N98">
        <v>4.7926094806957651E-3</v>
      </c>
      <c r="O98">
        <v>31615.94</v>
      </c>
      <c r="P98">
        <v>1.5814806999999999E-5</v>
      </c>
      <c r="Q98">
        <v>1</v>
      </c>
      <c r="R98" s="60">
        <v>4.7926094806957651E-3</v>
      </c>
      <c r="S98" t="s">
        <v>336</v>
      </c>
      <c r="T98" t="s">
        <v>433</v>
      </c>
      <c r="U98" t="s">
        <v>425</v>
      </c>
      <c r="V98" t="s">
        <v>91</v>
      </c>
      <c r="W98">
        <v>111.133</v>
      </c>
      <c r="X98">
        <v>0.99819678194932504</v>
      </c>
      <c r="Y98">
        <v>110.9326029683743</v>
      </c>
      <c r="Z98">
        <v>682.07</v>
      </c>
      <c r="AA98">
        <v>1</v>
      </c>
      <c r="AB98">
        <v>75.663800506639092</v>
      </c>
      <c r="AC98">
        <v>1.0269999999999999</v>
      </c>
      <c r="AD98" s="62">
        <v>77.706999999999994</v>
      </c>
      <c r="AE98">
        <v>8.9176000000000002</v>
      </c>
      <c r="AF98">
        <v>8.9015196227113016</v>
      </c>
      <c r="AG98">
        <v>1</v>
      </c>
      <c r="AH98">
        <v>6071.4594890626977</v>
      </c>
      <c r="AI98">
        <v>0.98496680983990625</v>
      </c>
      <c r="AJ98" s="62">
        <v>5980.1860999999999</v>
      </c>
      <c r="AK98" s="60">
        <v>28.66069659918503</v>
      </c>
      <c r="AL98" t="s">
        <v>336</v>
      </c>
      <c r="AM98" t="s">
        <v>433</v>
      </c>
      <c r="AN98" t="s">
        <v>425</v>
      </c>
      <c r="AO98" t="s">
        <v>91</v>
      </c>
      <c r="AP98">
        <v>111.133</v>
      </c>
      <c r="AQ98">
        <v>0.99819678194932504</v>
      </c>
      <c r="AR98">
        <v>110.9326029683743</v>
      </c>
      <c r="AS98">
        <v>682.07</v>
      </c>
      <c r="AT98">
        <v>1</v>
      </c>
      <c r="AU98">
        <v>75.663800506639092</v>
      </c>
      <c r="AV98">
        <v>1.0269999999999999</v>
      </c>
      <c r="AW98" s="62">
        <v>77.706999999999994</v>
      </c>
      <c r="AX98">
        <v>8.9176000000000002</v>
      </c>
      <c r="AY98">
        <v>1</v>
      </c>
      <c r="AZ98">
        <v>6071.4594890626977</v>
      </c>
      <c r="BA98">
        <v>0.98496680983990625</v>
      </c>
      <c r="BB98" s="62">
        <v>5980.1860999999999</v>
      </c>
      <c r="BC98" s="60">
        <v>28.66069659918503</v>
      </c>
    </row>
    <row r="99" spans="1:55" x14ac:dyDescent="0.25">
      <c r="A99">
        <v>9571</v>
      </c>
      <c r="B99" t="s">
        <v>133</v>
      </c>
      <c r="C99">
        <v>2016</v>
      </c>
      <c r="D99">
        <v>10</v>
      </c>
      <c r="E99" t="s">
        <v>51</v>
      </c>
      <c r="F99" t="s">
        <v>449</v>
      </c>
      <c r="G99" t="s">
        <v>84</v>
      </c>
      <c r="H99" t="s">
        <v>59</v>
      </c>
      <c r="I99" t="s">
        <v>427</v>
      </c>
      <c r="J99">
        <v>-2.7190952300000002</v>
      </c>
      <c r="K99" t="s">
        <v>440</v>
      </c>
      <c r="L99" t="s">
        <v>452</v>
      </c>
      <c r="M99">
        <v>1.4858046103299999E-3</v>
      </c>
      <c r="N99">
        <v>4.0400442271526947E-3</v>
      </c>
      <c r="O99">
        <v>31615.94</v>
      </c>
      <c r="P99">
        <v>1.5814806999999999E-5</v>
      </c>
      <c r="Q99">
        <v>1</v>
      </c>
      <c r="R99" s="60">
        <v>4.0400442271526947E-3</v>
      </c>
      <c r="S99" t="s">
        <v>336</v>
      </c>
      <c r="T99" t="s">
        <v>433</v>
      </c>
      <c r="U99" t="s">
        <v>425</v>
      </c>
      <c r="V99" t="s">
        <v>28</v>
      </c>
      <c r="W99">
        <v>111.133</v>
      </c>
      <c r="X99">
        <v>0.99819678194932504</v>
      </c>
      <c r="Y99">
        <v>110.9326029683743</v>
      </c>
      <c r="Z99">
        <v>682.07</v>
      </c>
      <c r="AA99">
        <v>1</v>
      </c>
      <c r="AB99">
        <v>75.663800506639092</v>
      </c>
      <c r="AC99">
        <v>1.0196000000000001</v>
      </c>
      <c r="AD99" s="62">
        <v>77.147000000000006</v>
      </c>
      <c r="AE99">
        <v>8.9176000000000002</v>
      </c>
      <c r="AF99">
        <v>8.9015196227113016</v>
      </c>
      <c r="AG99">
        <v>1</v>
      </c>
      <c r="AH99">
        <v>6071.4594890626977</v>
      </c>
      <c r="AI99">
        <v>0.97991730655640863</v>
      </c>
      <c r="AJ99" s="62">
        <v>5949.5281999999997</v>
      </c>
      <c r="AK99" s="60">
        <v>24.036357058692161</v>
      </c>
      <c r="AL99" t="s">
        <v>336</v>
      </c>
      <c r="AM99" t="s">
        <v>433</v>
      </c>
      <c r="AN99" t="s">
        <v>425</v>
      </c>
      <c r="AO99" t="s">
        <v>28</v>
      </c>
      <c r="AP99">
        <v>111.133</v>
      </c>
      <c r="AQ99">
        <v>0.99819678194932504</v>
      </c>
      <c r="AR99">
        <v>110.9326029683743</v>
      </c>
      <c r="AS99">
        <v>682.07</v>
      </c>
      <c r="AT99">
        <v>1</v>
      </c>
      <c r="AU99">
        <v>75.663800506639092</v>
      </c>
      <c r="AV99">
        <v>1.0196000000000001</v>
      </c>
      <c r="AW99" s="62">
        <v>77.147000000000006</v>
      </c>
      <c r="AX99">
        <v>8.9176000000000002</v>
      </c>
      <c r="AY99">
        <v>1</v>
      </c>
      <c r="AZ99">
        <v>6071.4594890626977</v>
      </c>
      <c r="BA99">
        <v>0.97991730655640863</v>
      </c>
      <c r="BB99" s="62">
        <v>5949.5281999999997</v>
      </c>
      <c r="BC99" s="60">
        <v>24.036357058692161</v>
      </c>
    </row>
    <row r="100" spans="1:55" x14ac:dyDescent="0.25">
      <c r="A100">
        <v>11869</v>
      </c>
      <c r="B100" t="s">
        <v>132</v>
      </c>
      <c r="C100">
        <v>2016</v>
      </c>
      <c r="D100">
        <v>12</v>
      </c>
      <c r="E100" t="s">
        <v>51</v>
      </c>
      <c r="F100" t="s">
        <v>449</v>
      </c>
      <c r="G100" t="s">
        <v>84</v>
      </c>
      <c r="H100" t="s">
        <v>381</v>
      </c>
      <c r="I100" t="s">
        <v>427</v>
      </c>
      <c r="J100">
        <v>-6.24336717</v>
      </c>
      <c r="K100" t="s">
        <v>440</v>
      </c>
      <c r="L100" t="s">
        <v>450</v>
      </c>
      <c r="M100">
        <v>0.15011157993331001</v>
      </c>
      <c r="N100">
        <v>0.93720171024602639</v>
      </c>
      <c r="O100">
        <v>31615.94</v>
      </c>
      <c r="P100">
        <v>1.5814806999999999E-5</v>
      </c>
      <c r="Q100">
        <v>1</v>
      </c>
      <c r="R100" s="60">
        <v>0.93720171024602639</v>
      </c>
      <c r="S100" t="s">
        <v>336</v>
      </c>
      <c r="T100" t="s">
        <v>433</v>
      </c>
      <c r="U100" t="s">
        <v>425</v>
      </c>
      <c r="V100" t="s">
        <v>26</v>
      </c>
      <c r="W100">
        <v>111.133</v>
      </c>
      <c r="X100">
        <v>0.99819678194932504</v>
      </c>
      <c r="Y100">
        <v>110.9326029683743</v>
      </c>
      <c r="Z100">
        <v>682.07</v>
      </c>
      <c r="AA100">
        <v>1</v>
      </c>
      <c r="AB100">
        <v>75.663800506639092</v>
      </c>
      <c r="AC100">
        <v>1.0178</v>
      </c>
      <c r="AD100" s="62">
        <v>77.010999999999996</v>
      </c>
      <c r="AE100">
        <v>8.9176000000000002</v>
      </c>
      <c r="AF100">
        <v>8.9015196227113016</v>
      </c>
      <c r="AG100">
        <v>1</v>
      </c>
      <c r="AH100">
        <v>6071.4594890626977</v>
      </c>
      <c r="AI100">
        <v>1.0020831266739409</v>
      </c>
      <c r="AJ100" s="62">
        <v>6084.1071000000002</v>
      </c>
      <c r="AK100" s="60">
        <v>5702.035579439992</v>
      </c>
      <c r="AL100" t="s">
        <v>336</v>
      </c>
      <c r="AM100" t="s">
        <v>433</v>
      </c>
      <c r="AN100" t="s">
        <v>425</v>
      </c>
      <c r="AO100" t="s">
        <v>26</v>
      </c>
      <c r="AP100">
        <v>111.133</v>
      </c>
      <c r="AQ100">
        <v>0.99819678194932504</v>
      </c>
      <c r="AR100">
        <v>110.9326029683743</v>
      </c>
      <c r="AS100">
        <v>682.07</v>
      </c>
      <c r="AT100">
        <v>1</v>
      </c>
      <c r="AU100">
        <v>75.663800506639092</v>
      </c>
      <c r="AV100">
        <v>1.0178</v>
      </c>
      <c r="AW100" s="62">
        <v>77.010999999999996</v>
      </c>
      <c r="AX100">
        <v>8.9176000000000002</v>
      </c>
      <c r="AY100">
        <v>1</v>
      </c>
      <c r="AZ100">
        <v>6071.4594890626977</v>
      </c>
      <c r="BA100">
        <v>1.0020831266739409</v>
      </c>
      <c r="BB100" s="62">
        <v>6084.1071000000002</v>
      </c>
      <c r="BC100" s="60">
        <v>5702.035579439992</v>
      </c>
    </row>
    <row r="101" spans="1:55" x14ac:dyDescent="0.25">
      <c r="A101">
        <v>11870</v>
      </c>
      <c r="B101" t="s">
        <v>132</v>
      </c>
      <c r="C101">
        <v>2016</v>
      </c>
      <c r="D101">
        <v>12</v>
      </c>
      <c r="E101" t="s">
        <v>51</v>
      </c>
      <c r="F101" t="s">
        <v>449</v>
      </c>
      <c r="G101" t="s">
        <v>84</v>
      </c>
      <c r="H101" t="s">
        <v>381</v>
      </c>
      <c r="I101" t="s">
        <v>427</v>
      </c>
      <c r="J101">
        <v>-6.24336717</v>
      </c>
      <c r="K101" t="s">
        <v>440</v>
      </c>
      <c r="L101" t="s">
        <v>384</v>
      </c>
      <c r="M101">
        <v>4.5811354346740003E-2</v>
      </c>
      <c r="N101">
        <v>0.2860171058190577</v>
      </c>
      <c r="O101">
        <v>31615.94</v>
      </c>
      <c r="P101">
        <v>1.5814806999999999E-5</v>
      </c>
      <c r="Q101">
        <v>1</v>
      </c>
      <c r="R101" s="60">
        <v>0.2860171058190577</v>
      </c>
      <c r="S101" t="s">
        <v>336</v>
      </c>
      <c r="T101" t="s">
        <v>433</v>
      </c>
      <c r="U101" t="s">
        <v>425</v>
      </c>
      <c r="V101" t="s">
        <v>81</v>
      </c>
      <c r="W101">
        <v>111.133</v>
      </c>
      <c r="X101">
        <v>0.99819678194932504</v>
      </c>
      <c r="Y101">
        <v>110.9326029683743</v>
      </c>
      <c r="Z101">
        <v>682.07</v>
      </c>
      <c r="AA101">
        <v>1</v>
      </c>
      <c r="AB101">
        <v>75.663800506639092</v>
      </c>
      <c r="AC101">
        <v>0.92979999999999996</v>
      </c>
      <c r="AD101" s="62">
        <v>70.352000000000004</v>
      </c>
      <c r="AE101">
        <v>8.9176000000000002</v>
      </c>
      <c r="AF101">
        <v>8.9015196227113016</v>
      </c>
      <c r="AG101">
        <v>1</v>
      </c>
      <c r="AH101">
        <v>6071.4594890626977</v>
      </c>
      <c r="AI101">
        <v>1.0375922509225091</v>
      </c>
      <c r="AJ101" s="62">
        <v>6299.6993000000002</v>
      </c>
      <c r="AK101" s="60">
        <v>1801.821761316344</v>
      </c>
      <c r="AL101" t="s">
        <v>336</v>
      </c>
      <c r="AM101" t="s">
        <v>433</v>
      </c>
      <c r="AN101" t="s">
        <v>425</v>
      </c>
      <c r="AO101" t="s">
        <v>81</v>
      </c>
      <c r="AP101">
        <v>111.133</v>
      </c>
      <c r="AQ101">
        <v>0.99819678194932504</v>
      </c>
      <c r="AR101">
        <v>110.9326029683743</v>
      </c>
      <c r="AS101">
        <v>682.07</v>
      </c>
      <c r="AT101">
        <v>1</v>
      </c>
      <c r="AU101">
        <v>75.663800506639092</v>
      </c>
      <c r="AV101">
        <v>0.92979999999999996</v>
      </c>
      <c r="AW101" s="62">
        <v>70.352000000000004</v>
      </c>
      <c r="AX101">
        <v>8.9176000000000002</v>
      </c>
      <c r="AY101">
        <v>1</v>
      </c>
      <c r="AZ101">
        <v>6071.4594890626977</v>
      </c>
      <c r="BA101">
        <v>1.0375922509225091</v>
      </c>
      <c r="BB101" s="62">
        <v>6299.6993000000002</v>
      </c>
      <c r="BC101" s="60">
        <v>1801.821761316344</v>
      </c>
    </row>
    <row r="102" spans="1:55" x14ac:dyDescent="0.25">
      <c r="A102">
        <v>11871</v>
      </c>
      <c r="B102" t="s">
        <v>132</v>
      </c>
      <c r="C102">
        <v>2016</v>
      </c>
      <c r="D102">
        <v>12</v>
      </c>
      <c r="E102" t="s">
        <v>51</v>
      </c>
      <c r="F102" t="s">
        <v>449</v>
      </c>
      <c r="G102" t="s">
        <v>84</v>
      </c>
      <c r="H102" t="s">
        <v>381</v>
      </c>
      <c r="I102" t="s">
        <v>427</v>
      </c>
      <c r="J102">
        <v>-6.24336717</v>
      </c>
      <c r="K102" t="s">
        <v>440</v>
      </c>
      <c r="L102" t="s">
        <v>385</v>
      </c>
      <c r="M102">
        <v>0.43232641346992001</v>
      </c>
      <c r="N102">
        <v>2.6991725373122279</v>
      </c>
      <c r="O102">
        <v>31615.94</v>
      </c>
      <c r="P102">
        <v>1.5814806999999999E-5</v>
      </c>
      <c r="Q102">
        <v>1</v>
      </c>
      <c r="R102" s="60">
        <v>2.6991725373122279</v>
      </c>
      <c r="S102" t="s">
        <v>336</v>
      </c>
      <c r="T102" t="s">
        <v>433</v>
      </c>
      <c r="U102" t="s">
        <v>425</v>
      </c>
      <c r="V102" t="s">
        <v>27</v>
      </c>
      <c r="W102">
        <v>111.133</v>
      </c>
      <c r="X102">
        <v>0.99819678194932504</v>
      </c>
      <c r="Y102">
        <v>110.9326029683743</v>
      </c>
      <c r="Z102">
        <v>682.07</v>
      </c>
      <c r="AA102">
        <v>1</v>
      </c>
      <c r="AB102">
        <v>75.663800506639092</v>
      </c>
      <c r="AC102">
        <v>0.99739999999999995</v>
      </c>
      <c r="AD102" s="62">
        <v>75.466999999999999</v>
      </c>
      <c r="AE102">
        <v>8.9176000000000002</v>
      </c>
      <c r="AF102">
        <v>8.9015196227113016</v>
      </c>
      <c r="AG102">
        <v>1</v>
      </c>
      <c r="AH102">
        <v>6071.4594890626977</v>
      </c>
      <c r="AI102">
        <v>1.0108695652173909</v>
      </c>
      <c r="AJ102" s="62">
        <v>6137.4535999999998</v>
      </c>
      <c r="AK102" s="60">
        <v>16566.046206148068</v>
      </c>
      <c r="AL102" t="s">
        <v>336</v>
      </c>
      <c r="AM102" t="s">
        <v>433</v>
      </c>
      <c r="AN102" t="s">
        <v>425</v>
      </c>
      <c r="AO102" t="s">
        <v>27</v>
      </c>
      <c r="AP102">
        <v>111.133</v>
      </c>
      <c r="AQ102">
        <v>0.99819678194932504</v>
      </c>
      <c r="AR102">
        <v>110.9326029683743</v>
      </c>
      <c r="AS102">
        <v>682.07</v>
      </c>
      <c r="AT102">
        <v>1</v>
      </c>
      <c r="AU102">
        <v>75.663800506639092</v>
      </c>
      <c r="AV102">
        <v>0.99739999999999995</v>
      </c>
      <c r="AW102" s="62">
        <v>75.466999999999999</v>
      </c>
      <c r="AX102">
        <v>8.9176000000000002</v>
      </c>
      <c r="AY102">
        <v>1</v>
      </c>
      <c r="AZ102">
        <v>6071.4594890626977</v>
      </c>
      <c r="BA102">
        <v>1.0108695652173909</v>
      </c>
      <c r="BB102" s="62">
        <v>6137.4535999999998</v>
      </c>
      <c r="BC102" s="60">
        <v>16566.046206148068</v>
      </c>
    </row>
    <row r="103" spans="1:55" x14ac:dyDescent="0.25">
      <c r="A103">
        <v>11872</v>
      </c>
      <c r="B103" t="s">
        <v>132</v>
      </c>
      <c r="C103">
        <v>2016</v>
      </c>
      <c r="D103">
        <v>12</v>
      </c>
      <c r="E103" t="s">
        <v>51</v>
      </c>
      <c r="F103" t="s">
        <v>449</v>
      </c>
      <c r="G103" t="s">
        <v>84</v>
      </c>
      <c r="H103" t="s">
        <v>381</v>
      </c>
      <c r="I103" t="s">
        <v>427</v>
      </c>
      <c r="J103">
        <v>-6.24336717</v>
      </c>
      <c r="K103" t="s">
        <v>440</v>
      </c>
      <c r="L103" t="s">
        <v>451</v>
      </c>
      <c r="M103">
        <v>1.6825115802299999E-3</v>
      </c>
      <c r="N103">
        <v>1.0504537565994889E-2</v>
      </c>
      <c r="O103">
        <v>31615.94</v>
      </c>
      <c r="P103">
        <v>1.5814806999999999E-5</v>
      </c>
      <c r="Q103">
        <v>1</v>
      </c>
      <c r="R103" s="60">
        <v>1.0504537565994889E-2</v>
      </c>
      <c r="S103" t="s">
        <v>336</v>
      </c>
      <c r="T103" t="s">
        <v>433</v>
      </c>
      <c r="U103" t="s">
        <v>425</v>
      </c>
      <c r="V103" t="s">
        <v>91</v>
      </c>
      <c r="W103">
        <v>111.133</v>
      </c>
      <c r="X103">
        <v>0.99819678194932504</v>
      </c>
      <c r="Y103">
        <v>110.9326029683743</v>
      </c>
      <c r="Z103">
        <v>682.07</v>
      </c>
      <c r="AA103">
        <v>1</v>
      </c>
      <c r="AB103">
        <v>75.663800506639092</v>
      </c>
      <c r="AC103">
        <v>1.0269999999999999</v>
      </c>
      <c r="AD103" s="62">
        <v>77.706999999999994</v>
      </c>
      <c r="AE103">
        <v>8.9176000000000002</v>
      </c>
      <c r="AF103">
        <v>8.9015196227113016</v>
      </c>
      <c r="AG103">
        <v>1</v>
      </c>
      <c r="AH103">
        <v>6071.4594890626977</v>
      </c>
      <c r="AI103">
        <v>0.98496680983990625</v>
      </c>
      <c r="AJ103" s="62">
        <v>5980.1860999999999</v>
      </c>
      <c r="AK103" s="60">
        <v>62.819089539090498</v>
      </c>
      <c r="AL103" t="s">
        <v>336</v>
      </c>
      <c r="AM103" t="s">
        <v>433</v>
      </c>
      <c r="AN103" t="s">
        <v>425</v>
      </c>
      <c r="AO103" t="s">
        <v>91</v>
      </c>
      <c r="AP103">
        <v>111.133</v>
      </c>
      <c r="AQ103">
        <v>0.99819678194932504</v>
      </c>
      <c r="AR103">
        <v>110.9326029683743</v>
      </c>
      <c r="AS103">
        <v>682.07</v>
      </c>
      <c r="AT103">
        <v>1</v>
      </c>
      <c r="AU103">
        <v>75.663800506639092</v>
      </c>
      <c r="AV103">
        <v>1.0269999999999999</v>
      </c>
      <c r="AW103" s="62">
        <v>77.706999999999994</v>
      </c>
      <c r="AX103">
        <v>8.9176000000000002</v>
      </c>
      <c r="AY103">
        <v>1</v>
      </c>
      <c r="AZ103">
        <v>6071.4594890626977</v>
      </c>
      <c r="BA103">
        <v>0.98496680983990625</v>
      </c>
      <c r="BB103" s="62">
        <v>5980.1860999999999</v>
      </c>
      <c r="BC103" s="60">
        <v>62.819089539090498</v>
      </c>
    </row>
    <row r="104" spans="1:55" x14ac:dyDescent="0.25">
      <c r="A104">
        <v>11873</v>
      </c>
      <c r="B104" t="s">
        <v>132</v>
      </c>
      <c r="C104">
        <v>2016</v>
      </c>
      <c r="D104">
        <v>12</v>
      </c>
      <c r="E104" t="s">
        <v>51</v>
      </c>
      <c r="F104" t="s">
        <v>449</v>
      </c>
      <c r="G104" t="s">
        <v>84</v>
      </c>
      <c r="H104" t="s">
        <v>381</v>
      </c>
      <c r="I104" t="s">
        <v>427</v>
      </c>
      <c r="J104">
        <v>-6.24336717</v>
      </c>
      <c r="K104" t="s">
        <v>440</v>
      </c>
      <c r="L104" t="s">
        <v>452</v>
      </c>
      <c r="M104">
        <v>1.53682162831E-3</v>
      </c>
      <c r="N104">
        <v>9.5949417029325898E-3</v>
      </c>
      <c r="O104">
        <v>31615.94</v>
      </c>
      <c r="P104">
        <v>1.5814806999999999E-5</v>
      </c>
      <c r="Q104">
        <v>1</v>
      </c>
      <c r="R104" s="60">
        <v>9.5949417029325898E-3</v>
      </c>
      <c r="S104" t="s">
        <v>336</v>
      </c>
      <c r="T104" t="s">
        <v>433</v>
      </c>
      <c r="U104" t="s">
        <v>425</v>
      </c>
      <c r="V104" t="s">
        <v>28</v>
      </c>
      <c r="W104">
        <v>111.133</v>
      </c>
      <c r="X104">
        <v>0.99819678194932504</v>
      </c>
      <c r="Y104">
        <v>110.9326029683743</v>
      </c>
      <c r="Z104">
        <v>682.07</v>
      </c>
      <c r="AA104">
        <v>1</v>
      </c>
      <c r="AB104">
        <v>75.663800506639092</v>
      </c>
      <c r="AC104">
        <v>1.0196000000000001</v>
      </c>
      <c r="AD104" s="62">
        <v>77.147000000000006</v>
      </c>
      <c r="AE104">
        <v>8.9176000000000002</v>
      </c>
      <c r="AF104">
        <v>8.9015196227113016</v>
      </c>
      <c r="AG104">
        <v>1</v>
      </c>
      <c r="AH104">
        <v>6071.4594890626977</v>
      </c>
      <c r="AI104">
        <v>0.97991730655640863</v>
      </c>
      <c r="AJ104" s="62">
        <v>5949.5281999999997</v>
      </c>
      <c r="AK104" s="60">
        <v>57.085376238953472</v>
      </c>
      <c r="AL104" t="s">
        <v>336</v>
      </c>
      <c r="AM104" t="s">
        <v>433</v>
      </c>
      <c r="AN104" t="s">
        <v>425</v>
      </c>
      <c r="AO104" t="s">
        <v>28</v>
      </c>
      <c r="AP104">
        <v>111.133</v>
      </c>
      <c r="AQ104">
        <v>0.99819678194932504</v>
      </c>
      <c r="AR104">
        <v>110.9326029683743</v>
      </c>
      <c r="AS104">
        <v>682.07</v>
      </c>
      <c r="AT104">
        <v>1</v>
      </c>
      <c r="AU104">
        <v>75.663800506639092</v>
      </c>
      <c r="AV104">
        <v>1.0196000000000001</v>
      </c>
      <c r="AW104" s="62">
        <v>77.147000000000006</v>
      </c>
      <c r="AX104">
        <v>8.9176000000000002</v>
      </c>
      <c r="AY104">
        <v>1</v>
      </c>
      <c r="AZ104">
        <v>6071.4594890626977</v>
      </c>
      <c r="BA104">
        <v>0.97991730655640863</v>
      </c>
      <c r="BB104" s="62">
        <v>5949.5281999999997</v>
      </c>
      <c r="BC104" s="60">
        <v>57.085376238953472</v>
      </c>
    </row>
    <row r="105" spans="1:55" x14ac:dyDescent="0.25">
      <c r="A105">
        <v>11874</v>
      </c>
      <c r="B105" t="s">
        <v>132</v>
      </c>
      <c r="C105">
        <v>2016</v>
      </c>
      <c r="D105">
        <v>12</v>
      </c>
      <c r="E105" t="s">
        <v>51</v>
      </c>
      <c r="F105" t="s">
        <v>449</v>
      </c>
      <c r="G105" t="s">
        <v>84</v>
      </c>
      <c r="H105" t="s">
        <v>87</v>
      </c>
      <c r="I105" t="s">
        <v>427</v>
      </c>
      <c r="J105">
        <v>-1.28418199</v>
      </c>
      <c r="K105" t="s">
        <v>440</v>
      </c>
      <c r="L105" t="s">
        <v>450</v>
      </c>
      <c r="M105">
        <v>0.26601384014995</v>
      </c>
      <c r="N105">
        <v>0.34161018295523632</v>
      </c>
      <c r="O105">
        <v>31615.94</v>
      </c>
      <c r="P105">
        <v>1.5814806999999999E-5</v>
      </c>
      <c r="Q105">
        <v>1</v>
      </c>
      <c r="R105" s="60">
        <v>0.34161018295523632</v>
      </c>
      <c r="S105" t="s">
        <v>336</v>
      </c>
      <c r="T105" t="s">
        <v>433</v>
      </c>
      <c r="U105" t="s">
        <v>425</v>
      </c>
      <c r="V105" t="s">
        <v>26</v>
      </c>
      <c r="W105">
        <v>111.133</v>
      </c>
      <c r="X105">
        <v>0.99819678194932504</v>
      </c>
      <c r="Y105">
        <v>110.9326029683743</v>
      </c>
      <c r="Z105">
        <v>682.07</v>
      </c>
      <c r="AA105">
        <v>1</v>
      </c>
      <c r="AB105">
        <v>75.663800506639092</v>
      </c>
      <c r="AC105">
        <v>1.0178</v>
      </c>
      <c r="AD105" s="62">
        <v>77.010999999999996</v>
      </c>
      <c r="AE105">
        <v>8.9176000000000002</v>
      </c>
      <c r="AF105">
        <v>8.9015196227113016</v>
      </c>
      <c r="AG105">
        <v>1</v>
      </c>
      <c r="AH105">
        <v>6071.4594890626977</v>
      </c>
      <c r="AI105">
        <v>1.0020831266739409</v>
      </c>
      <c r="AJ105" s="62">
        <v>6084.1071000000002</v>
      </c>
      <c r="AK105" s="60">
        <v>2078.3929395502519</v>
      </c>
      <c r="AL105" t="s">
        <v>336</v>
      </c>
      <c r="AM105" t="s">
        <v>433</v>
      </c>
      <c r="AN105" t="s">
        <v>425</v>
      </c>
      <c r="AO105" t="s">
        <v>26</v>
      </c>
      <c r="AP105">
        <v>111.133</v>
      </c>
      <c r="AQ105">
        <v>0.99819678194932504</v>
      </c>
      <c r="AR105">
        <v>110.9326029683743</v>
      </c>
      <c r="AS105">
        <v>682.07</v>
      </c>
      <c r="AT105">
        <v>1</v>
      </c>
      <c r="AU105">
        <v>75.663800506639092</v>
      </c>
      <c r="AV105">
        <v>1.0178</v>
      </c>
      <c r="AW105" s="62">
        <v>77.010999999999996</v>
      </c>
      <c r="AX105">
        <v>8.9176000000000002</v>
      </c>
      <c r="AY105">
        <v>1</v>
      </c>
      <c r="AZ105">
        <v>6071.4594890626977</v>
      </c>
      <c r="BA105">
        <v>1.0020831266739409</v>
      </c>
      <c r="BB105" s="62">
        <v>6084.1071000000002</v>
      </c>
      <c r="BC105" s="60">
        <v>2078.3929395502519</v>
      </c>
    </row>
    <row r="106" spans="1:55" x14ac:dyDescent="0.25">
      <c r="A106">
        <v>11875</v>
      </c>
      <c r="B106" t="s">
        <v>132</v>
      </c>
      <c r="C106">
        <v>2016</v>
      </c>
      <c r="D106">
        <v>12</v>
      </c>
      <c r="E106" t="s">
        <v>51</v>
      </c>
      <c r="F106" t="s">
        <v>449</v>
      </c>
      <c r="G106" t="s">
        <v>84</v>
      </c>
      <c r="H106" t="s">
        <v>87</v>
      </c>
      <c r="I106" t="s">
        <v>427</v>
      </c>
      <c r="J106">
        <v>-1.28418199</v>
      </c>
      <c r="K106" t="s">
        <v>440</v>
      </c>
      <c r="L106" t="s">
        <v>384</v>
      </c>
      <c r="M106">
        <v>3.9509559941419997E-2</v>
      </c>
      <c r="N106">
        <v>5.0737465360679267E-2</v>
      </c>
      <c r="O106">
        <v>31615.94</v>
      </c>
      <c r="P106">
        <v>1.5814806999999999E-5</v>
      </c>
      <c r="Q106">
        <v>1</v>
      </c>
      <c r="R106" s="60">
        <v>5.0737465360679267E-2</v>
      </c>
      <c r="S106" t="s">
        <v>336</v>
      </c>
      <c r="T106" t="s">
        <v>433</v>
      </c>
      <c r="U106" t="s">
        <v>425</v>
      </c>
      <c r="V106" t="s">
        <v>81</v>
      </c>
      <c r="W106">
        <v>111.133</v>
      </c>
      <c r="X106">
        <v>0.99819678194932504</v>
      </c>
      <c r="Y106">
        <v>110.9326029683743</v>
      </c>
      <c r="Z106">
        <v>682.07</v>
      </c>
      <c r="AA106">
        <v>1</v>
      </c>
      <c r="AB106">
        <v>75.663800506639092</v>
      </c>
      <c r="AC106">
        <v>0.92979999999999996</v>
      </c>
      <c r="AD106" s="62">
        <v>70.352000000000004</v>
      </c>
      <c r="AE106">
        <v>8.9176000000000002</v>
      </c>
      <c r="AF106">
        <v>8.9015196227113016</v>
      </c>
      <c r="AG106">
        <v>1</v>
      </c>
      <c r="AH106">
        <v>6071.4594890626977</v>
      </c>
      <c r="AI106">
        <v>1.0375922509225091</v>
      </c>
      <c r="AJ106" s="62">
        <v>6299.6993000000002</v>
      </c>
      <c r="AK106" s="60">
        <v>319.63077501644551</v>
      </c>
      <c r="AL106" t="s">
        <v>336</v>
      </c>
      <c r="AM106" t="s">
        <v>433</v>
      </c>
      <c r="AN106" t="s">
        <v>425</v>
      </c>
      <c r="AO106" t="s">
        <v>81</v>
      </c>
      <c r="AP106">
        <v>111.133</v>
      </c>
      <c r="AQ106">
        <v>0.99819678194932504</v>
      </c>
      <c r="AR106">
        <v>110.9326029683743</v>
      </c>
      <c r="AS106">
        <v>682.07</v>
      </c>
      <c r="AT106">
        <v>1</v>
      </c>
      <c r="AU106">
        <v>75.663800506639092</v>
      </c>
      <c r="AV106">
        <v>0.92979999999999996</v>
      </c>
      <c r="AW106" s="62">
        <v>70.352000000000004</v>
      </c>
      <c r="AX106">
        <v>8.9176000000000002</v>
      </c>
      <c r="AY106">
        <v>1</v>
      </c>
      <c r="AZ106">
        <v>6071.4594890626977</v>
      </c>
      <c r="BA106">
        <v>1.0375922509225091</v>
      </c>
      <c r="BB106" s="62">
        <v>6299.6993000000002</v>
      </c>
      <c r="BC106" s="60">
        <v>319.63077501644551</v>
      </c>
    </row>
    <row r="107" spans="1:55" x14ac:dyDescent="0.25">
      <c r="A107">
        <v>11876</v>
      </c>
      <c r="B107" t="s">
        <v>132</v>
      </c>
      <c r="C107">
        <v>2016</v>
      </c>
      <c r="D107">
        <v>12</v>
      </c>
      <c r="E107" t="s">
        <v>51</v>
      </c>
      <c r="F107" t="s">
        <v>449</v>
      </c>
      <c r="G107" t="s">
        <v>84</v>
      </c>
      <c r="H107" t="s">
        <v>87</v>
      </c>
      <c r="I107" t="s">
        <v>427</v>
      </c>
      <c r="J107">
        <v>-1.28418199</v>
      </c>
      <c r="K107" t="s">
        <v>440</v>
      </c>
      <c r="L107" t="s">
        <v>385</v>
      </c>
      <c r="M107">
        <v>0.39737542925016001</v>
      </c>
      <c r="N107">
        <v>0.51030237002534495</v>
      </c>
      <c r="O107">
        <v>31615.94</v>
      </c>
      <c r="P107">
        <v>1.5814806999999999E-5</v>
      </c>
      <c r="Q107">
        <v>1</v>
      </c>
      <c r="R107" s="60">
        <v>0.51030237002534495</v>
      </c>
      <c r="S107" t="s">
        <v>336</v>
      </c>
      <c r="T107" t="s">
        <v>433</v>
      </c>
      <c r="U107" t="s">
        <v>425</v>
      </c>
      <c r="V107" t="s">
        <v>27</v>
      </c>
      <c r="W107">
        <v>111.133</v>
      </c>
      <c r="X107">
        <v>0.99819678194932504</v>
      </c>
      <c r="Y107">
        <v>110.9326029683743</v>
      </c>
      <c r="Z107">
        <v>682.07</v>
      </c>
      <c r="AA107">
        <v>1</v>
      </c>
      <c r="AB107">
        <v>75.663800506639092</v>
      </c>
      <c r="AC107">
        <v>0.99739999999999995</v>
      </c>
      <c r="AD107" s="62">
        <v>75.466999999999999</v>
      </c>
      <c r="AE107">
        <v>8.9176000000000002</v>
      </c>
      <c r="AF107">
        <v>8.9015196227113016</v>
      </c>
      <c r="AG107">
        <v>1</v>
      </c>
      <c r="AH107">
        <v>6071.4594890626977</v>
      </c>
      <c r="AI107">
        <v>1.0108695652173909</v>
      </c>
      <c r="AJ107" s="62">
        <v>6137.4535999999998</v>
      </c>
      <c r="AK107" s="60">
        <v>3131.957118000586</v>
      </c>
      <c r="AL107" t="s">
        <v>336</v>
      </c>
      <c r="AM107" t="s">
        <v>433</v>
      </c>
      <c r="AN107" t="s">
        <v>425</v>
      </c>
      <c r="AO107" t="s">
        <v>27</v>
      </c>
      <c r="AP107">
        <v>111.133</v>
      </c>
      <c r="AQ107">
        <v>0.99819678194932504</v>
      </c>
      <c r="AR107">
        <v>110.9326029683743</v>
      </c>
      <c r="AS107">
        <v>682.07</v>
      </c>
      <c r="AT107">
        <v>1</v>
      </c>
      <c r="AU107">
        <v>75.663800506639092</v>
      </c>
      <c r="AV107">
        <v>0.99739999999999995</v>
      </c>
      <c r="AW107" s="62">
        <v>75.466999999999999</v>
      </c>
      <c r="AX107">
        <v>8.9176000000000002</v>
      </c>
      <c r="AY107">
        <v>1</v>
      </c>
      <c r="AZ107">
        <v>6071.4594890626977</v>
      </c>
      <c r="BA107">
        <v>1.0108695652173909</v>
      </c>
      <c r="BB107" s="62">
        <v>6137.4535999999998</v>
      </c>
      <c r="BC107" s="60">
        <v>3131.957118000586</v>
      </c>
    </row>
    <row r="108" spans="1:55" x14ac:dyDescent="0.25">
      <c r="A108">
        <v>11877</v>
      </c>
      <c r="B108" t="s">
        <v>132</v>
      </c>
      <c r="C108">
        <v>2016</v>
      </c>
      <c r="D108">
        <v>12</v>
      </c>
      <c r="E108" t="s">
        <v>51</v>
      </c>
      <c r="F108" t="s">
        <v>449</v>
      </c>
      <c r="G108" t="s">
        <v>84</v>
      </c>
      <c r="H108" t="s">
        <v>87</v>
      </c>
      <c r="I108" t="s">
        <v>427</v>
      </c>
      <c r="J108">
        <v>-1.28418199</v>
      </c>
      <c r="K108" t="s">
        <v>440</v>
      </c>
      <c r="L108" t="s">
        <v>452</v>
      </c>
      <c r="M108">
        <v>8.4248020759000004E-4</v>
      </c>
      <c r="N108">
        <v>1.08189791060779E-3</v>
      </c>
      <c r="O108">
        <v>31615.94</v>
      </c>
      <c r="P108">
        <v>1.5814806999999999E-5</v>
      </c>
      <c r="Q108">
        <v>1</v>
      </c>
      <c r="R108" s="60">
        <v>1.08189791060779E-3</v>
      </c>
      <c r="S108" t="s">
        <v>336</v>
      </c>
      <c r="T108" t="s">
        <v>433</v>
      </c>
      <c r="U108" t="s">
        <v>425</v>
      </c>
      <c r="V108" t="s">
        <v>28</v>
      </c>
      <c r="W108">
        <v>111.133</v>
      </c>
      <c r="X108">
        <v>0.99819678194932504</v>
      </c>
      <c r="Y108">
        <v>110.9326029683743</v>
      </c>
      <c r="Z108">
        <v>682.07</v>
      </c>
      <c r="AA108">
        <v>1</v>
      </c>
      <c r="AB108">
        <v>75.663800506639092</v>
      </c>
      <c r="AC108">
        <v>1.0196000000000001</v>
      </c>
      <c r="AD108" s="62">
        <v>77.147000000000006</v>
      </c>
      <c r="AE108">
        <v>8.9176000000000002</v>
      </c>
      <c r="AF108">
        <v>8.9015196227113016</v>
      </c>
      <c r="AG108">
        <v>1</v>
      </c>
      <c r="AH108">
        <v>6071.4594890626977</v>
      </c>
      <c r="AI108">
        <v>0.97991730655640863</v>
      </c>
      <c r="AJ108" s="62">
        <v>5949.5281999999997</v>
      </c>
      <c r="AK108" s="60">
        <v>6.4367821286821227</v>
      </c>
      <c r="AL108" t="s">
        <v>336</v>
      </c>
      <c r="AM108" t="s">
        <v>433</v>
      </c>
      <c r="AN108" t="s">
        <v>425</v>
      </c>
      <c r="AO108" t="s">
        <v>28</v>
      </c>
      <c r="AP108">
        <v>111.133</v>
      </c>
      <c r="AQ108">
        <v>0.99819678194932504</v>
      </c>
      <c r="AR108">
        <v>110.9326029683743</v>
      </c>
      <c r="AS108">
        <v>682.07</v>
      </c>
      <c r="AT108">
        <v>1</v>
      </c>
      <c r="AU108">
        <v>75.663800506639092</v>
      </c>
      <c r="AV108">
        <v>1.0196000000000001</v>
      </c>
      <c r="AW108" s="62">
        <v>77.147000000000006</v>
      </c>
      <c r="AX108">
        <v>8.9176000000000002</v>
      </c>
      <c r="AY108">
        <v>1</v>
      </c>
      <c r="AZ108">
        <v>6071.4594890626977</v>
      </c>
      <c r="BA108">
        <v>0.97991730655640863</v>
      </c>
      <c r="BB108" s="62">
        <v>5949.5281999999997</v>
      </c>
      <c r="BC108" s="60">
        <v>6.4367821286821227</v>
      </c>
    </row>
    <row r="109" spans="1:55" x14ac:dyDescent="0.25">
      <c r="A109">
        <v>11878</v>
      </c>
      <c r="B109" t="s">
        <v>132</v>
      </c>
      <c r="C109">
        <v>2016</v>
      </c>
      <c r="D109">
        <v>12</v>
      </c>
      <c r="E109" t="s">
        <v>51</v>
      </c>
      <c r="F109" t="s">
        <v>449</v>
      </c>
      <c r="G109" t="s">
        <v>84</v>
      </c>
      <c r="H109" t="s">
        <v>59</v>
      </c>
      <c r="I109" t="s">
        <v>427</v>
      </c>
      <c r="J109">
        <v>-3.7405337599999999</v>
      </c>
      <c r="K109" t="s">
        <v>440</v>
      </c>
      <c r="L109" t="s">
        <v>450</v>
      </c>
      <c r="M109">
        <v>0.15931709696460999</v>
      </c>
      <c r="N109">
        <v>0.59593097975453913</v>
      </c>
      <c r="O109">
        <v>31615.94</v>
      </c>
      <c r="P109">
        <v>1.5814806999999999E-5</v>
      </c>
      <c r="Q109">
        <v>1</v>
      </c>
      <c r="R109" s="60">
        <v>0.59593097975453913</v>
      </c>
      <c r="S109" t="s">
        <v>336</v>
      </c>
      <c r="T109" t="s">
        <v>433</v>
      </c>
      <c r="U109" t="s">
        <v>425</v>
      </c>
      <c r="V109" t="s">
        <v>26</v>
      </c>
      <c r="W109">
        <v>111.133</v>
      </c>
      <c r="X109">
        <v>0.99819678194932504</v>
      </c>
      <c r="Y109">
        <v>110.9326029683743</v>
      </c>
      <c r="Z109">
        <v>682.07</v>
      </c>
      <c r="AA109">
        <v>1</v>
      </c>
      <c r="AB109">
        <v>75.663800506639092</v>
      </c>
      <c r="AC109">
        <v>1.0178</v>
      </c>
      <c r="AD109" s="62">
        <v>77.010999999999996</v>
      </c>
      <c r="AE109">
        <v>8.9176000000000002</v>
      </c>
      <c r="AF109">
        <v>8.9015196227113016</v>
      </c>
      <c r="AG109">
        <v>1</v>
      </c>
      <c r="AH109">
        <v>6071.4594890626977</v>
      </c>
      <c r="AI109">
        <v>1.0020831266739409</v>
      </c>
      <c r="AJ109" s="62">
        <v>6084.1071000000002</v>
      </c>
      <c r="AK109" s="60">
        <v>3625.7079050345478</v>
      </c>
      <c r="AL109" t="s">
        <v>336</v>
      </c>
      <c r="AM109" t="s">
        <v>433</v>
      </c>
      <c r="AN109" t="s">
        <v>425</v>
      </c>
      <c r="AO109" t="s">
        <v>26</v>
      </c>
      <c r="AP109">
        <v>111.133</v>
      </c>
      <c r="AQ109">
        <v>0.99819678194932504</v>
      </c>
      <c r="AR109">
        <v>110.9326029683743</v>
      </c>
      <c r="AS109">
        <v>682.07</v>
      </c>
      <c r="AT109">
        <v>1</v>
      </c>
      <c r="AU109">
        <v>75.663800506639092</v>
      </c>
      <c r="AV109">
        <v>1.0178</v>
      </c>
      <c r="AW109" s="62">
        <v>77.010999999999996</v>
      </c>
      <c r="AX109">
        <v>8.9176000000000002</v>
      </c>
      <c r="AY109">
        <v>1</v>
      </c>
      <c r="AZ109">
        <v>6071.4594890626977</v>
      </c>
      <c r="BA109">
        <v>1.0020831266739409</v>
      </c>
      <c r="BB109" s="62">
        <v>6084.1071000000002</v>
      </c>
      <c r="BC109" s="60">
        <v>3625.7079050345478</v>
      </c>
    </row>
    <row r="110" spans="1:55" x14ac:dyDescent="0.25">
      <c r="A110">
        <v>11879</v>
      </c>
      <c r="B110" t="s">
        <v>132</v>
      </c>
      <c r="C110">
        <v>2016</v>
      </c>
      <c r="D110">
        <v>12</v>
      </c>
      <c r="E110" t="s">
        <v>51</v>
      </c>
      <c r="F110" t="s">
        <v>449</v>
      </c>
      <c r="G110" t="s">
        <v>84</v>
      </c>
      <c r="H110" t="s">
        <v>59</v>
      </c>
      <c r="I110" t="s">
        <v>427</v>
      </c>
      <c r="J110">
        <v>-3.7405337599999999</v>
      </c>
      <c r="K110" t="s">
        <v>440</v>
      </c>
      <c r="L110" t="s">
        <v>384</v>
      </c>
      <c r="M110">
        <v>4.1785183859599999E-2</v>
      </c>
      <c r="N110">
        <v>0.15629889089810869</v>
      </c>
      <c r="O110">
        <v>31615.94</v>
      </c>
      <c r="P110">
        <v>1.5814806999999999E-5</v>
      </c>
      <c r="Q110">
        <v>1</v>
      </c>
      <c r="R110" s="60">
        <v>0.15629889089810869</v>
      </c>
      <c r="S110" t="s">
        <v>336</v>
      </c>
      <c r="T110" t="s">
        <v>433</v>
      </c>
      <c r="U110" t="s">
        <v>425</v>
      </c>
      <c r="V110" t="s">
        <v>81</v>
      </c>
      <c r="W110">
        <v>111.133</v>
      </c>
      <c r="X110">
        <v>0.99819678194932504</v>
      </c>
      <c r="Y110">
        <v>110.9326029683743</v>
      </c>
      <c r="Z110">
        <v>682.07</v>
      </c>
      <c r="AA110">
        <v>1</v>
      </c>
      <c r="AB110">
        <v>75.663800506639092</v>
      </c>
      <c r="AC110">
        <v>0.92979999999999996</v>
      </c>
      <c r="AD110" s="62">
        <v>70.352000000000004</v>
      </c>
      <c r="AE110">
        <v>8.9176000000000002</v>
      </c>
      <c r="AF110">
        <v>8.9015196227113016</v>
      </c>
      <c r="AG110">
        <v>1</v>
      </c>
      <c r="AH110">
        <v>6071.4594890626977</v>
      </c>
      <c r="AI110">
        <v>1.0375922509225091</v>
      </c>
      <c r="AJ110" s="62">
        <v>6299.6993000000002</v>
      </c>
      <c r="AK110" s="60">
        <v>984.63601358159178</v>
      </c>
      <c r="AL110" t="s">
        <v>336</v>
      </c>
      <c r="AM110" t="s">
        <v>433</v>
      </c>
      <c r="AN110" t="s">
        <v>425</v>
      </c>
      <c r="AO110" t="s">
        <v>81</v>
      </c>
      <c r="AP110">
        <v>111.133</v>
      </c>
      <c r="AQ110">
        <v>0.99819678194932504</v>
      </c>
      <c r="AR110">
        <v>110.9326029683743</v>
      </c>
      <c r="AS110">
        <v>682.07</v>
      </c>
      <c r="AT110">
        <v>1</v>
      </c>
      <c r="AU110">
        <v>75.663800506639092</v>
      </c>
      <c r="AV110">
        <v>0.92979999999999996</v>
      </c>
      <c r="AW110" s="62">
        <v>70.352000000000004</v>
      </c>
      <c r="AX110">
        <v>8.9176000000000002</v>
      </c>
      <c r="AY110">
        <v>1</v>
      </c>
      <c r="AZ110">
        <v>6071.4594890626977</v>
      </c>
      <c r="BA110">
        <v>1.0375922509225091</v>
      </c>
      <c r="BB110" s="62">
        <v>6299.6993000000002</v>
      </c>
      <c r="BC110" s="60">
        <v>984.63601358159178</v>
      </c>
    </row>
    <row r="111" spans="1:55" x14ac:dyDescent="0.25">
      <c r="A111">
        <v>11880</v>
      </c>
      <c r="B111" t="s">
        <v>132</v>
      </c>
      <c r="C111">
        <v>2016</v>
      </c>
      <c r="D111">
        <v>12</v>
      </c>
      <c r="E111" t="s">
        <v>51</v>
      </c>
      <c r="F111" t="s">
        <v>449</v>
      </c>
      <c r="G111" t="s">
        <v>84</v>
      </c>
      <c r="H111" t="s">
        <v>59</v>
      </c>
      <c r="I111" t="s">
        <v>427</v>
      </c>
      <c r="J111">
        <v>-3.7405337599999999</v>
      </c>
      <c r="K111" t="s">
        <v>440</v>
      </c>
      <c r="L111" t="s">
        <v>385</v>
      </c>
      <c r="M111">
        <v>0.43497567483749999</v>
      </c>
      <c r="N111">
        <v>1.6270411965445499</v>
      </c>
      <c r="O111">
        <v>31615.94</v>
      </c>
      <c r="P111">
        <v>1.5814806999999999E-5</v>
      </c>
      <c r="Q111">
        <v>1</v>
      </c>
      <c r="R111" s="60">
        <v>1.6270411965445499</v>
      </c>
      <c r="S111" t="s">
        <v>336</v>
      </c>
      <c r="T111" t="s">
        <v>433</v>
      </c>
      <c r="U111" t="s">
        <v>425</v>
      </c>
      <c r="V111" t="s">
        <v>27</v>
      </c>
      <c r="W111">
        <v>111.133</v>
      </c>
      <c r="X111">
        <v>0.99819678194932504</v>
      </c>
      <c r="Y111">
        <v>110.9326029683743</v>
      </c>
      <c r="Z111">
        <v>682.07</v>
      </c>
      <c r="AA111">
        <v>1</v>
      </c>
      <c r="AB111">
        <v>75.663800506639092</v>
      </c>
      <c r="AC111">
        <v>0.99739999999999995</v>
      </c>
      <c r="AD111" s="62">
        <v>75.466999999999999</v>
      </c>
      <c r="AE111">
        <v>8.9176000000000002</v>
      </c>
      <c r="AF111">
        <v>8.9015196227113016</v>
      </c>
      <c r="AG111">
        <v>1</v>
      </c>
      <c r="AH111">
        <v>6071.4594890626977</v>
      </c>
      <c r="AI111">
        <v>1.0108695652173909</v>
      </c>
      <c r="AJ111" s="62">
        <v>6137.4535999999998</v>
      </c>
      <c r="AK111" s="60">
        <v>9985.8898490806569</v>
      </c>
      <c r="AL111" t="s">
        <v>336</v>
      </c>
      <c r="AM111" t="s">
        <v>433</v>
      </c>
      <c r="AN111" t="s">
        <v>425</v>
      </c>
      <c r="AO111" t="s">
        <v>27</v>
      </c>
      <c r="AP111">
        <v>111.133</v>
      </c>
      <c r="AQ111">
        <v>0.99819678194932504</v>
      </c>
      <c r="AR111">
        <v>110.9326029683743</v>
      </c>
      <c r="AS111">
        <v>682.07</v>
      </c>
      <c r="AT111">
        <v>1</v>
      </c>
      <c r="AU111">
        <v>75.663800506639092</v>
      </c>
      <c r="AV111">
        <v>0.99739999999999995</v>
      </c>
      <c r="AW111" s="62">
        <v>75.466999999999999</v>
      </c>
      <c r="AX111">
        <v>8.9176000000000002</v>
      </c>
      <c r="AY111">
        <v>1</v>
      </c>
      <c r="AZ111">
        <v>6071.4594890626977</v>
      </c>
      <c r="BA111">
        <v>1.0108695652173909</v>
      </c>
      <c r="BB111" s="62">
        <v>6137.4535999999998</v>
      </c>
      <c r="BC111" s="60">
        <v>9985.8898490806569</v>
      </c>
    </row>
    <row r="112" spans="1:55" x14ac:dyDescent="0.25">
      <c r="A112">
        <v>11881</v>
      </c>
      <c r="B112" t="s">
        <v>132</v>
      </c>
      <c r="C112">
        <v>2016</v>
      </c>
      <c r="D112">
        <v>12</v>
      </c>
      <c r="E112" t="s">
        <v>51</v>
      </c>
      <c r="F112" t="s">
        <v>449</v>
      </c>
      <c r="G112" t="s">
        <v>84</v>
      </c>
      <c r="H112" t="s">
        <v>59</v>
      </c>
      <c r="I112" t="s">
        <v>427</v>
      </c>
      <c r="J112">
        <v>-3.7405337599999999</v>
      </c>
      <c r="K112" t="s">
        <v>440</v>
      </c>
      <c r="L112" t="s">
        <v>451</v>
      </c>
      <c r="M112">
        <v>1.7625750762999999E-3</v>
      </c>
      <c r="N112">
        <v>6.5929715775810034E-3</v>
      </c>
      <c r="O112">
        <v>31615.94</v>
      </c>
      <c r="P112">
        <v>1.5814806999999999E-5</v>
      </c>
      <c r="Q112">
        <v>1</v>
      </c>
      <c r="R112" s="60">
        <v>6.5929715775810034E-3</v>
      </c>
      <c r="S112" t="s">
        <v>336</v>
      </c>
      <c r="T112" t="s">
        <v>433</v>
      </c>
      <c r="U112" t="s">
        <v>425</v>
      </c>
      <c r="V112" t="s">
        <v>91</v>
      </c>
      <c r="W112">
        <v>111.133</v>
      </c>
      <c r="X112">
        <v>0.99819678194932504</v>
      </c>
      <c r="Y112">
        <v>110.9326029683743</v>
      </c>
      <c r="Z112">
        <v>682.07</v>
      </c>
      <c r="AA112">
        <v>1</v>
      </c>
      <c r="AB112">
        <v>75.663800506639092</v>
      </c>
      <c r="AC112">
        <v>1.0269999999999999</v>
      </c>
      <c r="AD112" s="62">
        <v>77.706999999999994</v>
      </c>
      <c r="AE112">
        <v>8.9176000000000002</v>
      </c>
      <c r="AF112">
        <v>8.9015196227113016</v>
      </c>
      <c r="AG112">
        <v>1</v>
      </c>
      <c r="AH112">
        <v>6071.4594890626977</v>
      </c>
      <c r="AI112">
        <v>0.98496680983990625</v>
      </c>
      <c r="AJ112" s="62">
        <v>5980.1860999999999</v>
      </c>
      <c r="AK112" s="60">
        <v>39.427196985944988</v>
      </c>
      <c r="AL112" t="s">
        <v>336</v>
      </c>
      <c r="AM112" t="s">
        <v>433</v>
      </c>
      <c r="AN112" t="s">
        <v>425</v>
      </c>
      <c r="AO112" t="s">
        <v>91</v>
      </c>
      <c r="AP112">
        <v>111.133</v>
      </c>
      <c r="AQ112">
        <v>0.99819678194932504</v>
      </c>
      <c r="AR112">
        <v>110.9326029683743</v>
      </c>
      <c r="AS112">
        <v>682.07</v>
      </c>
      <c r="AT112">
        <v>1</v>
      </c>
      <c r="AU112">
        <v>75.663800506639092</v>
      </c>
      <c r="AV112">
        <v>1.0269999999999999</v>
      </c>
      <c r="AW112" s="62">
        <v>77.706999999999994</v>
      </c>
      <c r="AX112">
        <v>8.9176000000000002</v>
      </c>
      <c r="AY112">
        <v>1</v>
      </c>
      <c r="AZ112">
        <v>6071.4594890626977</v>
      </c>
      <c r="BA112">
        <v>0.98496680983990625</v>
      </c>
      <c r="BB112" s="62">
        <v>5980.1860999999999</v>
      </c>
      <c r="BC112" s="60">
        <v>39.427196985944988</v>
      </c>
    </row>
    <row r="113" spans="1:55" x14ac:dyDescent="0.25">
      <c r="A113">
        <v>11882</v>
      </c>
      <c r="B113" t="s">
        <v>132</v>
      </c>
      <c r="C113">
        <v>2016</v>
      </c>
      <c r="D113">
        <v>12</v>
      </c>
      <c r="E113" t="s">
        <v>51</v>
      </c>
      <c r="F113" t="s">
        <v>449</v>
      </c>
      <c r="G113" t="s">
        <v>84</v>
      </c>
      <c r="H113" t="s">
        <v>59</v>
      </c>
      <c r="I113" t="s">
        <v>427</v>
      </c>
      <c r="J113">
        <v>-3.7405337599999999</v>
      </c>
      <c r="K113" t="s">
        <v>440</v>
      </c>
      <c r="L113" t="s">
        <v>452</v>
      </c>
      <c r="M113">
        <v>1.4858046103299999E-3</v>
      </c>
      <c r="N113">
        <v>5.5577023058263177E-3</v>
      </c>
      <c r="O113">
        <v>31615.94</v>
      </c>
      <c r="P113">
        <v>1.5814806999999999E-5</v>
      </c>
      <c r="Q113">
        <v>1</v>
      </c>
      <c r="R113" s="60">
        <v>5.5577023058263177E-3</v>
      </c>
      <c r="S113" t="s">
        <v>336</v>
      </c>
      <c r="T113" t="s">
        <v>433</v>
      </c>
      <c r="U113" t="s">
        <v>425</v>
      </c>
      <c r="V113" t="s">
        <v>28</v>
      </c>
      <c r="W113">
        <v>111.133</v>
      </c>
      <c r="X113">
        <v>0.99819678194932504</v>
      </c>
      <c r="Y113">
        <v>110.9326029683743</v>
      </c>
      <c r="Z113">
        <v>682.07</v>
      </c>
      <c r="AA113">
        <v>1</v>
      </c>
      <c r="AB113">
        <v>75.663800506639092</v>
      </c>
      <c r="AC113">
        <v>1.0196000000000001</v>
      </c>
      <c r="AD113" s="62">
        <v>77.147000000000006</v>
      </c>
      <c r="AE113">
        <v>8.9176000000000002</v>
      </c>
      <c r="AF113">
        <v>8.9015196227113016</v>
      </c>
      <c r="AG113">
        <v>1</v>
      </c>
      <c r="AH113">
        <v>6071.4594890626977</v>
      </c>
      <c r="AI113">
        <v>0.97991730655640863</v>
      </c>
      <c r="AJ113" s="62">
        <v>5949.5281999999997</v>
      </c>
      <c r="AK113" s="60">
        <v>33.065706595718702</v>
      </c>
      <c r="AL113" t="s">
        <v>336</v>
      </c>
      <c r="AM113" t="s">
        <v>433</v>
      </c>
      <c r="AN113" t="s">
        <v>425</v>
      </c>
      <c r="AO113" t="s">
        <v>28</v>
      </c>
      <c r="AP113">
        <v>111.133</v>
      </c>
      <c r="AQ113">
        <v>0.99819678194932504</v>
      </c>
      <c r="AR113">
        <v>110.9326029683743</v>
      </c>
      <c r="AS113">
        <v>682.07</v>
      </c>
      <c r="AT113">
        <v>1</v>
      </c>
      <c r="AU113">
        <v>75.663800506639092</v>
      </c>
      <c r="AV113">
        <v>1.0196000000000001</v>
      </c>
      <c r="AW113" s="62">
        <v>77.147000000000006</v>
      </c>
      <c r="AX113">
        <v>8.9176000000000002</v>
      </c>
      <c r="AY113">
        <v>1</v>
      </c>
      <c r="AZ113">
        <v>6071.4594890626977</v>
      </c>
      <c r="BA113">
        <v>0.97991730655640863</v>
      </c>
      <c r="BB113" s="62">
        <v>5949.5281999999997</v>
      </c>
      <c r="BC113" s="60">
        <v>33.065706595718702</v>
      </c>
    </row>
    <row r="114" spans="1:55" x14ac:dyDescent="0.25">
      <c r="A114">
        <v>12231</v>
      </c>
      <c r="B114" t="s">
        <v>122</v>
      </c>
      <c r="C114">
        <v>2017</v>
      </c>
      <c r="D114">
        <v>1</v>
      </c>
      <c r="E114" t="s">
        <v>51</v>
      </c>
      <c r="F114" t="s">
        <v>449</v>
      </c>
      <c r="G114" t="s">
        <v>84</v>
      </c>
      <c r="H114" t="s">
        <v>381</v>
      </c>
      <c r="I114" t="s">
        <v>427</v>
      </c>
      <c r="J114">
        <v>-5.1063884000000002</v>
      </c>
      <c r="K114" t="s">
        <v>440</v>
      </c>
      <c r="L114" t="s">
        <v>450</v>
      </c>
      <c r="M114">
        <v>0.15011157993331001</v>
      </c>
      <c r="N114">
        <v>0.76652802980938972</v>
      </c>
      <c r="O114">
        <v>29976.978999999999</v>
      </c>
      <c r="P114">
        <v>1.6679465999999999E-5</v>
      </c>
      <c r="Q114">
        <v>1</v>
      </c>
      <c r="R114" s="60">
        <v>0.76652802980938972</v>
      </c>
      <c r="S114" t="s">
        <v>336</v>
      </c>
      <c r="T114" t="s">
        <v>433</v>
      </c>
      <c r="U114" t="s">
        <v>425</v>
      </c>
      <c r="V114" t="s">
        <v>26</v>
      </c>
      <c r="W114">
        <v>111.133</v>
      </c>
      <c r="X114">
        <v>0.99819678194932504</v>
      </c>
      <c r="Y114">
        <v>110.9326029683743</v>
      </c>
      <c r="Z114">
        <v>682.07</v>
      </c>
      <c r="AA114">
        <v>1</v>
      </c>
      <c r="AB114">
        <v>75.663800506639092</v>
      </c>
      <c r="AC114">
        <v>1.0178</v>
      </c>
      <c r="AD114" s="62">
        <v>77.010999999999996</v>
      </c>
      <c r="AE114">
        <v>8.9176000000000002</v>
      </c>
      <c r="AF114">
        <v>8.9015196227113016</v>
      </c>
      <c r="AG114">
        <v>1</v>
      </c>
      <c r="AH114">
        <v>6071.4594890626977</v>
      </c>
      <c r="AI114">
        <v>1.0020831266739409</v>
      </c>
      <c r="AJ114" s="62">
        <v>6084.1071000000002</v>
      </c>
      <c r="AK114" s="60">
        <v>4663.6386285123199</v>
      </c>
      <c r="AL114" t="s">
        <v>339</v>
      </c>
      <c r="AM114" t="s">
        <v>433</v>
      </c>
      <c r="AN114" t="s">
        <v>425</v>
      </c>
      <c r="AO114" t="s">
        <v>26</v>
      </c>
      <c r="AP114">
        <v>111.133</v>
      </c>
      <c r="AQ114">
        <v>1.0062587218588701</v>
      </c>
      <c r="AR114">
        <v>111.82855053634179</v>
      </c>
      <c r="AS114">
        <v>663.92</v>
      </c>
      <c r="AT114">
        <v>1</v>
      </c>
      <c r="AU114">
        <v>74.245211272088028</v>
      </c>
      <c r="AV114">
        <v>1.0178</v>
      </c>
      <c r="AW114" s="62">
        <v>75.566999999999993</v>
      </c>
      <c r="AX114">
        <v>8.9176000000000002</v>
      </c>
      <c r="AY114">
        <v>1</v>
      </c>
      <c r="AZ114">
        <v>5957.6282116020648</v>
      </c>
      <c r="BA114">
        <v>1.0020831266739409</v>
      </c>
      <c r="BB114" s="62">
        <v>5970.0387000000001</v>
      </c>
      <c r="BC114" s="60">
        <v>4576.2020025968104</v>
      </c>
    </row>
    <row r="115" spans="1:55" x14ac:dyDescent="0.25">
      <c r="A115">
        <v>12232</v>
      </c>
      <c r="B115" t="s">
        <v>122</v>
      </c>
      <c r="C115">
        <v>2017</v>
      </c>
      <c r="D115">
        <v>1</v>
      </c>
      <c r="E115" t="s">
        <v>51</v>
      </c>
      <c r="F115" t="s">
        <v>449</v>
      </c>
      <c r="G115" t="s">
        <v>84</v>
      </c>
      <c r="H115" t="s">
        <v>381</v>
      </c>
      <c r="I115" t="s">
        <v>427</v>
      </c>
      <c r="J115">
        <v>-5.1063884000000002</v>
      </c>
      <c r="K115" t="s">
        <v>440</v>
      </c>
      <c r="L115" t="s">
        <v>384</v>
      </c>
      <c r="M115">
        <v>4.5811354346740003E-2</v>
      </c>
      <c r="N115">
        <v>0.2339305682207013</v>
      </c>
      <c r="O115">
        <v>29976.978999999999</v>
      </c>
      <c r="P115">
        <v>1.6679465999999999E-5</v>
      </c>
      <c r="Q115">
        <v>1</v>
      </c>
      <c r="R115" s="60">
        <v>0.2339305682207013</v>
      </c>
      <c r="S115" t="s">
        <v>336</v>
      </c>
      <c r="T115" t="s">
        <v>433</v>
      </c>
      <c r="U115" t="s">
        <v>425</v>
      </c>
      <c r="V115" t="s">
        <v>81</v>
      </c>
      <c r="W115">
        <v>111.133</v>
      </c>
      <c r="X115">
        <v>0.99819678194932504</v>
      </c>
      <c r="Y115">
        <v>110.9326029683743</v>
      </c>
      <c r="Z115">
        <v>682.07</v>
      </c>
      <c r="AA115">
        <v>1</v>
      </c>
      <c r="AB115">
        <v>75.663800506639092</v>
      </c>
      <c r="AC115">
        <v>0.92979999999999996</v>
      </c>
      <c r="AD115" s="62">
        <v>70.352000000000004</v>
      </c>
      <c r="AE115">
        <v>8.9176000000000002</v>
      </c>
      <c r="AF115">
        <v>8.9015196227113016</v>
      </c>
      <c r="AG115">
        <v>1</v>
      </c>
      <c r="AH115">
        <v>6071.4594890626977</v>
      </c>
      <c r="AI115">
        <v>1.0375922509225091</v>
      </c>
      <c r="AJ115" s="62">
        <v>6299.6993000000002</v>
      </c>
      <c r="AK115" s="60">
        <v>1473.6922368685539</v>
      </c>
      <c r="AL115" t="s">
        <v>339</v>
      </c>
      <c r="AM115" t="s">
        <v>433</v>
      </c>
      <c r="AN115" t="s">
        <v>425</v>
      </c>
      <c r="AO115" t="s">
        <v>81</v>
      </c>
      <c r="AP115">
        <v>111.133</v>
      </c>
      <c r="AQ115">
        <v>1.0062587218588701</v>
      </c>
      <c r="AR115">
        <v>111.82855053634179</v>
      </c>
      <c r="AS115">
        <v>663.92</v>
      </c>
      <c r="AT115">
        <v>1</v>
      </c>
      <c r="AU115">
        <v>74.245211272088028</v>
      </c>
      <c r="AV115">
        <v>0.92979999999999996</v>
      </c>
      <c r="AW115" s="62">
        <v>69.033000000000001</v>
      </c>
      <c r="AX115">
        <v>8.9176000000000002</v>
      </c>
      <c r="AY115">
        <v>1</v>
      </c>
      <c r="AZ115">
        <v>5957.6282116020648</v>
      </c>
      <c r="BA115">
        <v>1.0375922509225091</v>
      </c>
      <c r="BB115" s="62">
        <v>6181.5888999999997</v>
      </c>
      <c r="BC115" s="60">
        <v>1446.06260388378</v>
      </c>
    </row>
    <row r="116" spans="1:55" x14ac:dyDescent="0.25">
      <c r="A116">
        <v>12233</v>
      </c>
      <c r="B116" t="s">
        <v>122</v>
      </c>
      <c r="C116">
        <v>2017</v>
      </c>
      <c r="D116">
        <v>1</v>
      </c>
      <c r="E116" t="s">
        <v>51</v>
      </c>
      <c r="F116" t="s">
        <v>449</v>
      </c>
      <c r="G116" t="s">
        <v>84</v>
      </c>
      <c r="H116" t="s">
        <v>381</v>
      </c>
      <c r="I116" t="s">
        <v>427</v>
      </c>
      <c r="J116">
        <v>-5.1063884000000002</v>
      </c>
      <c r="K116" t="s">
        <v>440</v>
      </c>
      <c r="L116" t="s">
        <v>385</v>
      </c>
      <c r="M116">
        <v>0.43232641346992001</v>
      </c>
      <c r="N116">
        <v>2.2076265808332969</v>
      </c>
      <c r="O116">
        <v>29976.978999999999</v>
      </c>
      <c r="P116">
        <v>1.6679465999999999E-5</v>
      </c>
      <c r="Q116">
        <v>1</v>
      </c>
      <c r="R116" s="60">
        <v>2.2076265808332969</v>
      </c>
      <c r="S116" t="s">
        <v>336</v>
      </c>
      <c r="T116" t="s">
        <v>433</v>
      </c>
      <c r="U116" t="s">
        <v>425</v>
      </c>
      <c r="V116" t="s">
        <v>27</v>
      </c>
      <c r="W116">
        <v>111.133</v>
      </c>
      <c r="X116">
        <v>0.99819678194932504</v>
      </c>
      <c r="Y116">
        <v>110.9326029683743</v>
      </c>
      <c r="Z116">
        <v>682.07</v>
      </c>
      <c r="AA116">
        <v>1</v>
      </c>
      <c r="AB116">
        <v>75.663800506639092</v>
      </c>
      <c r="AC116">
        <v>0.99739999999999995</v>
      </c>
      <c r="AD116" s="62">
        <v>75.466999999999999</v>
      </c>
      <c r="AE116">
        <v>8.9176000000000002</v>
      </c>
      <c r="AF116">
        <v>8.9015196227113016</v>
      </c>
      <c r="AG116">
        <v>1</v>
      </c>
      <c r="AH116">
        <v>6071.4594890626977</v>
      </c>
      <c r="AI116">
        <v>1.0108695652173909</v>
      </c>
      <c r="AJ116" s="62">
        <v>6137.4535999999998</v>
      </c>
      <c r="AK116" s="60">
        <v>13549.205705991009</v>
      </c>
      <c r="AL116" t="s">
        <v>339</v>
      </c>
      <c r="AM116" t="s">
        <v>433</v>
      </c>
      <c r="AN116" t="s">
        <v>425</v>
      </c>
      <c r="AO116" t="s">
        <v>27</v>
      </c>
      <c r="AP116">
        <v>111.133</v>
      </c>
      <c r="AQ116">
        <v>1.0062587218588701</v>
      </c>
      <c r="AR116">
        <v>111.82855053634179</v>
      </c>
      <c r="AS116">
        <v>663.92</v>
      </c>
      <c r="AT116">
        <v>1</v>
      </c>
      <c r="AU116">
        <v>74.245211272088028</v>
      </c>
      <c r="AV116">
        <v>0.99739999999999995</v>
      </c>
      <c r="AW116" s="62">
        <v>74.052000000000007</v>
      </c>
      <c r="AX116">
        <v>8.9176000000000002</v>
      </c>
      <c r="AY116">
        <v>1</v>
      </c>
      <c r="AZ116">
        <v>5957.6282116020648</v>
      </c>
      <c r="BA116">
        <v>1.0108695652173909</v>
      </c>
      <c r="BB116" s="62">
        <v>6022.3850000000002</v>
      </c>
      <c r="BC116" s="60">
        <v>13295.17720601174</v>
      </c>
    </row>
    <row r="117" spans="1:55" x14ac:dyDescent="0.25">
      <c r="A117">
        <v>12234</v>
      </c>
      <c r="B117" t="s">
        <v>122</v>
      </c>
      <c r="C117">
        <v>2017</v>
      </c>
      <c r="D117">
        <v>1</v>
      </c>
      <c r="E117" t="s">
        <v>51</v>
      </c>
      <c r="F117" t="s">
        <v>449</v>
      </c>
      <c r="G117" t="s">
        <v>84</v>
      </c>
      <c r="H117" t="s">
        <v>381</v>
      </c>
      <c r="I117" t="s">
        <v>427</v>
      </c>
      <c r="J117">
        <v>-5.1063884000000002</v>
      </c>
      <c r="K117" t="s">
        <v>440</v>
      </c>
      <c r="L117" t="s">
        <v>451</v>
      </c>
      <c r="M117">
        <v>1.6825115802299999E-3</v>
      </c>
      <c r="N117">
        <v>8.591557608667871E-3</v>
      </c>
      <c r="O117">
        <v>29976.978999999999</v>
      </c>
      <c r="P117">
        <v>1.6679465999999999E-5</v>
      </c>
      <c r="Q117">
        <v>1</v>
      </c>
      <c r="R117" s="60">
        <v>8.591557608667871E-3</v>
      </c>
      <c r="S117" t="s">
        <v>336</v>
      </c>
      <c r="T117" t="s">
        <v>433</v>
      </c>
      <c r="U117" t="s">
        <v>425</v>
      </c>
      <c r="V117" t="s">
        <v>91</v>
      </c>
      <c r="W117">
        <v>111.133</v>
      </c>
      <c r="X117">
        <v>0.99819678194932504</v>
      </c>
      <c r="Y117">
        <v>110.9326029683743</v>
      </c>
      <c r="Z117">
        <v>682.07</v>
      </c>
      <c r="AA117">
        <v>1</v>
      </c>
      <c r="AB117">
        <v>75.663800506639092</v>
      </c>
      <c r="AC117">
        <v>1.0269999999999999</v>
      </c>
      <c r="AD117" s="62">
        <v>77.706999999999994</v>
      </c>
      <c r="AE117">
        <v>8.9176000000000002</v>
      </c>
      <c r="AF117">
        <v>8.9015196227113016</v>
      </c>
      <c r="AG117">
        <v>1</v>
      </c>
      <c r="AH117">
        <v>6071.4594890626977</v>
      </c>
      <c r="AI117">
        <v>0.98496680983990625</v>
      </c>
      <c r="AJ117" s="62">
        <v>5980.1860999999999</v>
      </c>
      <c r="AK117" s="60">
        <v>51.379113388704837</v>
      </c>
      <c r="AL117" t="s">
        <v>339</v>
      </c>
      <c r="AM117" t="s">
        <v>433</v>
      </c>
      <c r="AN117" t="s">
        <v>425</v>
      </c>
      <c r="AO117" t="s">
        <v>91</v>
      </c>
      <c r="AP117">
        <v>111.133</v>
      </c>
      <c r="AQ117">
        <v>1.0062587218588701</v>
      </c>
      <c r="AR117">
        <v>111.82855053634179</v>
      </c>
      <c r="AS117">
        <v>663.92</v>
      </c>
      <c r="AT117">
        <v>1</v>
      </c>
      <c r="AU117">
        <v>74.245211272088028</v>
      </c>
      <c r="AV117">
        <v>1.0269999999999999</v>
      </c>
      <c r="AW117" s="62">
        <v>76.25</v>
      </c>
      <c r="AX117">
        <v>8.9176000000000002</v>
      </c>
      <c r="AY117">
        <v>1</v>
      </c>
      <c r="AZ117">
        <v>5957.6282116020648</v>
      </c>
      <c r="BA117">
        <v>0.98496680983990625</v>
      </c>
      <c r="BB117" s="62">
        <v>5868.0661</v>
      </c>
      <c r="BC117" s="60">
        <v>50.415827949620997</v>
      </c>
    </row>
    <row r="118" spans="1:55" x14ac:dyDescent="0.25">
      <c r="A118">
        <v>12235</v>
      </c>
      <c r="B118" t="s">
        <v>122</v>
      </c>
      <c r="C118">
        <v>2017</v>
      </c>
      <c r="D118">
        <v>1</v>
      </c>
      <c r="E118" t="s">
        <v>51</v>
      </c>
      <c r="F118" t="s">
        <v>449</v>
      </c>
      <c r="G118" t="s">
        <v>84</v>
      </c>
      <c r="H118" t="s">
        <v>381</v>
      </c>
      <c r="I118" t="s">
        <v>427</v>
      </c>
      <c r="J118">
        <v>-5.1063884000000002</v>
      </c>
      <c r="K118" t="s">
        <v>440</v>
      </c>
      <c r="L118" t="s">
        <v>452</v>
      </c>
      <c r="M118">
        <v>1.53682162831E-3</v>
      </c>
      <c r="N118">
        <v>7.8476081288350943E-3</v>
      </c>
      <c r="O118">
        <v>29976.978999999999</v>
      </c>
      <c r="P118">
        <v>1.6679465999999999E-5</v>
      </c>
      <c r="Q118">
        <v>1</v>
      </c>
      <c r="R118" s="60">
        <v>7.8476081288350943E-3</v>
      </c>
      <c r="S118" t="s">
        <v>336</v>
      </c>
      <c r="T118" t="s">
        <v>433</v>
      </c>
      <c r="U118" t="s">
        <v>425</v>
      </c>
      <c r="V118" t="s">
        <v>28</v>
      </c>
      <c r="W118">
        <v>111.133</v>
      </c>
      <c r="X118">
        <v>0.99819678194932504</v>
      </c>
      <c r="Y118">
        <v>110.9326029683743</v>
      </c>
      <c r="Z118">
        <v>682.07</v>
      </c>
      <c r="AA118">
        <v>1</v>
      </c>
      <c r="AB118">
        <v>75.663800506639092</v>
      </c>
      <c r="AC118">
        <v>1.0196000000000001</v>
      </c>
      <c r="AD118" s="62">
        <v>77.147000000000006</v>
      </c>
      <c r="AE118">
        <v>8.9176000000000002</v>
      </c>
      <c r="AF118">
        <v>8.9015196227113016</v>
      </c>
      <c r="AG118">
        <v>1</v>
      </c>
      <c r="AH118">
        <v>6071.4594890626977</v>
      </c>
      <c r="AI118">
        <v>0.97991730655640863</v>
      </c>
      <c r="AJ118" s="62">
        <v>5949.5281999999997</v>
      </c>
      <c r="AK118" s="60">
        <v>46.689565865053623</v>
      </c>
      <c r="AL118" t="s">
        <v>339</v>
      </c>
      <c r="AM118" t="s">
        <v>433</v>
      </c>
      <c r="AN118" t="s">
        <v>425</v>
      </c>
      <c r="AO118" t="s">
        <v>28</v>
      </c>
      <c r="AP118">
        <v>111.133</v>
      </c>
      <c r="AQ118">
        <v>1.0062587218588701</v>
      </c>
      <c r="AR118">
        <v>111.82855053634179</v>
      </c>
      <c r="AS118">
        <v>663.92</v>
      </c>
      <c r="AT118">
        <v>1</v>
      </c>
      <c r="AU118">
        <v>74.245211272088028</v>
      </c>
      <c r="AV118">
        <v>1.0196000000000001</v>
      </c>
      <c r="AW118" s="62">
        <v>75.7</v>
      </c>
      <c r="AX118">
        <v>8.9176000000000002</v>
      </c>
      <c r="AY118">
        <v>1</v>
      </c>
      <c r="AZ118">
        <v>5957.6282116020648</v>
      </c>
      <c r="BA118">
        <v>0.97991730655640863</v>
      </c>
      <c r="BB118" s="62">
        <v>5837.9830000000002</v>
      </c>
      <c r="BC118" s="60">
        <v>45.814202846801088</v>
      </c>
    </row>
    <row r="119" spans="1:55" x14ac:dyDescent="0.25">
      <c r="A119">
        <v>12236</v>
      </c>
      <c r="B119" t="s">
        <v>122</v>
      </c>
      <c r="C119">
        <v>2017</v>
      </c>
      <c r="D119">
        <v>1</v>
      </c>
      <c r="E119" t="s">
        <v>51</v>
      </c>
      <c r="F119" t="s">
        <v>449</v>
      </c>
      <c r="G119" t="s">
        <v>84</v>
      </c>
      <c r="H119" t="s">
        <v>87</v>
      </c>
      <c r="I119" t="s">
        <v>427</v>
      </c>
      <c r="J119">
        <v>-1.0503197799999999</v>
      </c>
      <c r="K119" t="s">
        <v>440</v>
      </c>
      <c r="L119" t="s">
        <v>450</v>
      </c>
      <c r="M119">
        <v>0.26601384014995</v>
      </c>
      <c r="N119">
        <v>0.27939959737670861</v>
      </c>
      <c r="O119">
        <v>29976.978999999999</v>
      </c>
      <c r="P119">
        <v>1.6679465999999999E-5</v>
      </c>
      <c r="Q119">
        <v>1</v>
      </c>
      <c r="R119" s="60">
        <v>0.27939959737670861</v>
      </c>
      <c r="S119" t="s">
        <v>336</v>
      </c>
      <c r="T119" t="s">
        <v>433</v>
      </c>
      <c r="U119" t="s">
        <v>425</v>
      </c>
      <c r="V119" t="s">
        <v>26</v>
      </c>
      <c r="W119">
        <v>111.133</v>
      </c>
      <c r="X119">
        <v>0.99819678194932504</v>
      </c>
      <c r="Y119">
        <v>110.9326029683743</v>
      </c>
      <c r="Z119">
        <v>682.07</v>
      </c>
      <c r="AA119">
        <v>1</v>
      </c>
      <c r="AB119">
        <v>75.663800506639092</v>
      </c>
      <c r="AC119">
        <v>1.0178</v>
      </c>
      <c r="AD119" s="62">
        <v>77.010999999999996</v>
      </c>
      <c r="AE119">
        <v>8.9176000000000002</v>
      </c>
      <c r="AF119">
        <v>8.9015196227113016</v>
      </c>
      <c r="AG119">
        <v>1</v>
      </c>
      <c r="AH119">
        <v>6071.4594890626977</v>
      </c>
      <c r="AI119">
        <v>1.0020831266739409</v>
      </c>
      <c r="AJ119" s="62">
        <v>6084.1071000000002</v>
      </c>
      <c r="AK119" s="60">
        <v>1699.8970741367741</v>
      </c>
      <c r="AL119" t="s">
        <v>339</v>
      </c>
      <c r="AM119" t="s">
        <v>433</v>
      </c>
      <c r="AN119" t="s">
        <v>425</v>
      </c>
      <c r="AO119" t="s">
        <v>26</v>
      </c>
      <c r="AP119">
        <v>111.133</v>
      </c>
      <c r="AQ119">
        <v>1.0062587218588701</v>
      </c>
      <c r="AR119">
        <v>111.82855053634179</v>
      </c>
      <c r="AS119">
        <v>663.92</v>
      </c>
      <c r="AT119">
        <v>1</v>
      </c>
      <c r="AU119">
        <v>74.245211272088028</v>
      </c>
      <c r="AV119">
        <v>1.0178</v>
      </c>
      <c r="AW119" s="62">
        <v>75.566999999999993</v>
      </c>
      <c r="AX119">
        <v>8.9176000000000002</v>
      </c>
      <c r="AY119">
        <v>1</v>
      </c>
      <c r="AZ119">
        <v>5957.6282116020648</v>
      </c>
      <c r="BA119">
        <v>1.0020831266739409</v>
      </c>
      <c r="BB119" s="62">
        <v>5970.0387000000001</v>
      </c>
      <c r="BC119" s="60">
        <v>1668.026409103368</v>
      </c>
    </row>
    <row r="120" spans="1:55" x14ac:dyDescent="0.25">
      <c r="A120">
        <v>12237</v>
      </c>
      <c r="B120" t="s">
        <v>122</v>
      </c>
      <c r="C120">
        <v>2017</v>
      </c>
      <c r="D120">
        <v>1</v>
      </c>
      <c r="E120" t="s">
        <v>51</v>
      </c>
      <c r="F120" t="s">
        <v>449</v>
      </c>
      <c r="G120" t="s">
        <v>84</v>
      </c>
      <c r="H120" t="s">
        <v>87</v>
      </c>
      <c r="I120" t="s">
        <v>427</v>
      </c>
      <c r="J120">
        <v>-1.0503197799999999</v>
      </c>
      <c r="K120" t="s">
        <v>440</v>
      </c>
      <c r="L120" t="s">
        <v>384</v>
      </c>
      <c r="M120">
        <v>3.9509559941419997E-2</v>
      </c>
      <c r="N120">
        <v>4.1497672203600781E-2</v>
      </c>
      <c r="O120">
        <v>29976.978999999999</v>
      </c>
      <c r="P120">
        <v>1.6679465999999999E-5</v>
      </c>
      <c r="Q120">
        <v>1</v>
      </c>
      <c r="R120" s="60">
        <v>4.1497672203600781E-2</v>
      </c>
      <c r="S120" t="s">
        <v>336</v>
      </c>
      <c r="T120" t="s">
        <v>433</v>
      </c>
      <c r="U120" t="s">
        <v>425</v>
      </c>
      <c r="V120" t="s">
        <v>81</v>
      </c>
      <c r="W120">
        <v>111.133</v>
      </c>
      <c r="X120">
        <v>0.99819678194932504</v>
      </c>
      <c r="Y120">
        <v>110.9326029683743</v>
      </c>
      <c r="Z120">
        <v>682.07</v>
      </c>
      <c r="AA120">
        <v>1</v>
      </c>
      <c r="AB120">
        <v>75.663800506639092</v>
      </c>
      <c r="AC120">
        <v>0.92979999999999996</v>
      </c>
      <c r="AD120" s="62">
        <v>70.352000000000004</v>
      </c>
      <c r="AE120">
        <v>8.9176000000000002</v>
      </c>
      <c r="AF120">
        <v>8.9015196227113016</v>
      </c>
      <c r="AG120">
        <v>1</v>
      </c>
      <c r="AH120">
        <v>6071.4594890626977</v>
      </c>
      <c r="AI120">
        <v>1.0375922509225091</v>
      </c>
      <c r="AJ120" s="62">
        <v>6299.6993000000002</v>
      </c>
      <c r="AK120" s="60">
        <v>261.42285653265333</v>
      </c>
      <c r="AL120" t="s">
        <v>339</v>
      </c>
      <c r="AM120" t="s">
        <v>433</v>
      </c>
      <c r="AN120" t="s">
        <v>425</v>
      </c>
      <c r="AO120" t="s">
        <v>81</v>
      </c>
      <c r="AP120">
        <v>111.133</v>
      </c>
      <c r="AQ120">
        <v>1.0062587218588701</v>
      </c>
      <c r="AR120">
        <v>111.82855053634179</v>
      </c>
      <c r="AS120">
        <v>663.92</v>
      </c>
      <c r="AT120">
        <v>1</v>
      </c>
      <c r="AU120">
        <v>74.245211272088028</v>
      </c>
      <c r="AV120">
        <v>0.92979999999999996</v>
      </c>
      <c r="AW120" s="62">
        <v>69.033000000000001</v>
      </c>
      <c r="AX120">
        <v>8.9176000000000002</v>
      </c>
      <c r="AY120">
        <v>1</v>
      </c>
      <c r="AZ120">
        <v>5957.6282116020648</v>
      </c>
      <c r="BA120">
        <v>1.0375922509225091</v>
      </c>
      <c r="BB120" s="62">
        <v>6181.5888999999997</v>
      </c>
      <c r="BC120" s="60">
        <v>256.5215498696171</v>
      </c>
    </row>
    <row r="121" spans="1:55" x14ac:dyDescent="0.25">
      <c r="A121">
        <v>12238</v>
      </c>
      <c r="B121" t="s">
        <v>122</v>
      </c>
      <c r="C121">
        <v>2017</v>
      </c>
      <c r="D121">
        <v>1</v>
      </c>
      <c r="E121" t="s">
        <v>51</v>
      </c>
      <c r="F121" t="s">
        <v>449</v>
      </c>
      <c r="G121" t="s">
        <v>84</v>
      </c>
      <c r="H121" t="s">
        <v>87</v>
      </c>
      <c r="I121" t="s">
        <v>427</v>
      </c>
      <c r="J121">
        <v>-1.0503197799999999</v>
      </c>
      <c r="K121" t="s">
        <v>440</v>
      </c>
      <c r="L121" t="s">
        <v>385</v>
      </c>
      <c r="M121">
        <v>0.39737542925016001</v>
      </c>
      <c r="N121">
        <v>0.41737127240186689</v>
      </c>
      <c r="O121">
        <v>29976.978999999999</v>
      </c>
      <c r="P121">
        <v>1.6679465999999999E-5</v>
      </c>
      <c r="Q121">
        <v>1</v>
      </c>
      <c r="R121" s="60">
        <v>0.41737127240186689</v>
      </c>
      <c r="S121" t="s">
        <v>336</v>
      </c>
      <c r="T121" t="s">
        <v>433</v>
      </c>
      <c r="U121" t="s">
        <v>425</v>
      </c>
      <c r="V121" t="s">
        <v>27</v>
      </c>
      <c r="W121">
        <v>111.133</v>
      </c>
      <c r="X121">
        <v>0.99819678194932504</v>
      </c>
      <c r="Y121">
        <v>110.9326029683743</v>
      </c>
      <c r="Z121">
        <v>682.07</v>
      </c>
      <c r="AA121">
        <v>1</v>
      </c>
      <c r="AB121">
        <v>75.663800506639092</v>
      </c>
      <c r="AC121">
        <v>0.99739999999999995</v>
      </c>
      <c r="AD121" s="62">
        <v>75.466999999999999</v>
      </c>
      <c r="AE121">
        <v>8.9176000000000002</v>
      </c>
      <c r="AF121">
        <v>8.9015196227113016</v>
      </c>
      <c r="AG121">
        <v>1</v>
      </c>
      <c r="AH121">
        <v>6071.4594890626977</v>
      </c>
      <c r="AI121">
        <v>1.0108695652173909</v>
      </c>
      <c r="AJ121" s="62">
        <v>6137.4535999999998</v>
      </c>
      <c r="AK121" s="60">
        <v>2561.596818339418</v>
      </c>
      <c r="AL121" t="s">
        <v>339</v>
      </c>
      <c r="AM121" t="s">
        <v>433</v>
      </c>
      <c r="AN121" t="s">
        <v>425</v>
      </c>
      <c r="AO121" t="s">
        <v>27</v>
      </c>
      <c r="AP121">
        <v>111.133</v>
      </c>
      <c r="AQ121">
        <v>1.0062587218588701</v>
      </c>
      <c r="AR121">
        <v>111.82855053634179</v>
      </c>
      <c r="AS121">
        <v>663.92</v>
      </c>
      <c r="AT121">
        <v>1</v>
      </c>
      <c r="AU121">
        <v>74.245211272088028</v>
      </c>
      <c r="AV121">
        <v>0.99739999999999995</v>
      </c>
      <c r="AW121" s="62">
        <v>74.052000000000007</v>
      </c>
      <c r="AX121">
        <v>8.9176000000000002</v>
      </c>
      <c r="AY121">
        <v>1</v>
      </c>
      <c r="AZ121">
        <v>5957.6282116020648</v>
      </c>
      <c r="BA121">
        <v>1.0108695652173909</v>
      </c>
      <c r="BB121" s="62">
        <v>6022.3850000000002</v>
      </c>
      <c r="BC121" s="60">
        <v>2513.5704903439168</v>
      </c>
    </row>
    <row r="122" spans="1:55" x14ac:dyDescent="0.25">
      <c r="A122">
        <v>12239</v>
      </c>
      <c r="B122" t="s">
        <v>122</v>
      </c>
      <c r="C122">
        <v>2017</v>
      </c>
      <c r="D122">
        <v>1</v>
      </c>
      <c r="E122" t="s">
        <v>51</v>
      </c>
      <c r="F122" t="s">
        <v>449</v>
      </c>
      <c r="G122" t="s">
        <v>84</v>
      </c>
      <c r="H122" t="s">
        <v>87</v>
      </c>
      <c r="I122" t="s">
        <v>427</v>
      </c>
      <c r="J122">
        <v>-1.0503197799999999</v>
      </c>
      <c r="K122" t="s">
        <v>440</v>
      </c>
      <c r="L122" t="s">
        <v>452</v>
      </c>
      <c r="M122">
        <v>8.4248020759000004E-4</v>
      </c>
      <c r="N122">
        <v>8.8487362411596735E-4</v>
      </c>
      <c r="O122">
        <v>29976.978999999999</v>
      </c>
      <c r="P122">
        <v>1.6679465999999999E-5</v>
      </c>
      <c r="Q122">
        <v>1</v>
      </c>
      <c r="R122" s="60">
        <v>8.8487362411596735E-4</v>
      </c>
      <c r="S122" t="s">
        <v>336</v>
      </c>
      <c r="T122" t="s">
        <v>433</v>
      </c>
      <c r="U122" t="s">
        <v>425</v>
      </c>
      <c r="V122" t="s">
        <v>28</v>
      </c>
      <c r="W122">
        <v>111.133</v>
      </c>
      <c r="X122">
        <v>0.99819678194932504</v>
      </c>
      <c r="Y122">
        <v>110.9326029683743</v>
      </c>
      <c r="Z122">
        <v>682.07</v>
      </c>
      <c r="AA122">
        <v>1</v>
      </c>
      <c r="AB122">
        <v>75.663800506639092</v>
      </c>
      <c r="AC122">
        <v>1.0196000000000001</v>
      </c>
      <c r="AD122" s="62">
        <v>77.147000000000006</v>
      </c>
      <c r="AE122">
        <v>8.9176000000000002</v>
      </c>
      <c r="AF122">
        <v>8.9015196227113016</v>
      </c>
      <c r="AG122">
        <v>1</v>
      </c>
      <c r="AH122">
        <v>6071.4594890626977</v>
      </c>
      <c r="AI122">
        <v>0.97991730655640863</v>
      </c>
      <c r="AJ122" s="62">
        <v>5949.5281999999997</v>
      </c>
      <c r="AK122" s="60">
        <v>5.2645805801141474</v>
      </c>
      <c r="AL122" t="s">
        <v>339</v>
      </c>
      <c r="AM122" t="s">
        <v>433</v>
      </c>
      <c r="AN122" t="s">
        <v>425</v>
      </c>
      <c r="AO122" t="s">
        <v>28</v>
      </c>
      <c r="AP122">
        <v>111.133</v>
      </c>
      <c r="AQ122">
        <v>1.0062587218588701</v>
      </c>
      <c r="AR122">
        <v>111.82855053634179</v>
      </c>
      <c r="AS122">
        <v>663.92</v>
      </c>
      <c r="AT122">
        <v>1</v>
      </c>
      <c r="AU122">
        <v>74.245211272088028</v>
      </c>
      <c r="AV122">
        <v>1.0196000000000001</v>
      </c>
      <c r="AW122" s="62">
        <v>75.7</v>
      </c>
      <c r="AX122">
        <v>8.9176000000000002</v>
      </c>
      <c r="AY122">
        <v>1</v>
      </c>
      <c r="AZ122">
        <v>5957.6282116020648</v>
      </c>
      <c r="BA122">
        <v>0.97991730655640863</v>
      </c>
      <c r="BB122" s="62">
        <v>5837.9830000000002</v>
      </c>
      <c r="BC122" s="60">
        <v>5.1658771747374077</v>
      </c>
    </row>
    <row r="123" spans="1:55" x14ac:dyDescent="0.25">
      <c r="A123">
        <v>12240</v>
      </c>
      <c r="B123" t="s">
        <v>122</v>
      </c>
      <c r="C123">
        <v>2017</v>
      </c>
      <c r="D123">
        <v>1</v>
      </c>
      <c r="E123" t="s">
        <v>51</v>
      </c>
      <c r="F123" t="s">
        <v>449</v>
      </c>
      <c r="G123" t="s">
        <v>84</v>
      </c>
      <c r="H123" t="s">
        <v>59</v>
      </c>
      <c r="I123" t="s">
        <v>427</v>
      </c>
      <c r="J123">
        <v>-3.05934565</v>
      </c>
      <c r="K123" t="s">
        <v>440</v>
      </c>
      <c r="L123" t="s">
        <v>450</v>
      </c>
      <c r="M123">
        <v>0.15931709696460999</v>
      </c>
      <c r="N123">
        <v>0.4874060672528131</v>
      </c>
      <c r="O123">
        <v>29976.978999999999</v>
      </c>
      <c r="P123">
        <v>1.6679465999999999E-5</v>
      </c>
      <c r="Q123">
        <v>1</v>
      </c>
      <c r="R123" s="60">
        <v>0.4874060672528131</v>
      </c>
      <c r="S123" t="s">
        <v>336</v>
      </c>
      <c r="T123" t="s">
        <v>433</v>
      </c>
      <c r="U123" t="s">
        <v>425</v>
      </c>
      <c r="V123" t="s">
        <v>26</v>
      </c>
      <c r="W123">
        <v>111.133</v>
      </c>
      <c r="X123">
        <v>0.99819678194932504</v>
      </c>
      <c r="Y123">
        <v>110.9326029683743</v>
      </c>
      <c r="Z123">
        <v>682.07</v>
      </c>
      <c r="AA123">
        <v>1</v>
      </c>
      <c r="AB123">
        <v>75.663800506639092</v>
      </c>
      <c r="AC123">
        <v>1.0178</v>
      </c>
      <c r="AD123" s="62">
        <v>77.010999999999996</v>
      </c>
      <c r="AE123">
        <v>8.9176000000000002</v>
      </c>
      <c r="AF123">
        <v>8.9015196227113016</v>
      </c>
      <c r="AG123">
        <v>1</v>
      </c>
      <c r="AH123">
        <v>6071.4594890626977</v>
      </c>
      <c r="AI123">
        <v>1.0020831266739409</v>
      </c>
      <c r="AJ123" s="62">
        <v>6084.1071000000002</v>
      </c>
      <c r="AK123" s="60">
        <v>2965.4307143559181</v>
      </c>
      <c r="AL123" t="s">
        <v>339</v>
      </c>
      <c r="AM123" t="s">
        <v>433</v>
      </c>
      <c r="AN123" t="s">
        <v>425</v>
      </c>
      <c r="AO123" t="s">
        <v>26</v>
      </c>
      <c r="AP123">
        <v>111.133</v>
      </c>
      <c r="AQ123">
        <v>1.0062587218588701</v>
      </c>
      <c r="AR123">
        <v>111.82855053634179</v>
      </c>
      <c r="AS123">
        <v>663.92</v>
      </c>
      <c r="AT123">
        <v>1</v>
      </c>
      <c r="AU123">
        <v>74.245211272088028</v>
      </c>
      <c r="AV123">
        <v>1.0178</v>
      </c>
      <c r="AW123" s="62">
        <v>75.566999999999993</v>
      </c>
      <c r="AX123">
        <v>8.9176000000000002</v>
      </c>
      <c r="AY123">
        <v>1</v>
      </c>
      <c r="AZ123">
        <v>5957.6282116020648</v>
      </c>
      <c r="BA123">
        <v>1.0020831266739409</v>
      </c>
      <c r="BB123" s="62">
        <v>5970.0387000000001</v>
      </c>
      <c r="BC123" s="60">
        <v>2909.8330841140969</v>
      </c>
    </row>
    <row r="124" spans="1:55" x14ac:dyDescent="0.25">
      <c r="A124">
        <v>12241</v>
      </c>
      <c r="B124" t="s">
        <v>122</v>
      </c>
      <c r="C124">
        <v>2017</v>
      </c>
      <c r="D124">
        <v>1</v>
      </c>
      <c r="E124" t="s">
        <v>51</v>
      </c>
      <c r="F124" t="s">
        <v>449</v>
      </c>
      <c r="G124" t="s">
        <v>84</v>
      </c>
      <c r="H124" t="s">
        <v>59</v>
      </c>
      <c r="I124" t="s">
        <v>427</v>
      </c>
      <c r="J124">
        <v>-3.05934565</v>
      </c>
      <c r="K124" t="s">
        <v>440</v>
      </c>
      <c r="L124" t="s">
        <v>384</v>
      </c>
      <c r="M124">
        <v>4.1785183859599999E-2</v>
      </c>
      <c r="N124">
        <v>0.12783532039230819</v>
      </c>
      <c r="O124">
        <v>29976.978999999999</v>
      </c>
      <c r="P124">
        <v>1.6679465999999999E-5</v>
      </c>
      <c r="Q124">
        <v>1</v>
      </c>
      <c r="R124" s="60">
        <v>0.12783532039230819</v>
      </c>
      <c r="S124" t="s">
        <v>336</v>
      </c>
      <c r="T124" t="s">
        <v>433</v>
      </c>
      <c r="U124" t="s">
        <v>425</v>
      </c>
      <c r="V124" t="s">
        <v>81</v>
      </c>
      <c r="W124">
        <v>111.133</v>
      </c>
      <c r="X124">
        <v>0.99819678194932504</v>
      </c>
      <c r="Y124">
        <v>110.9326029683743</v>
      </c>
      <c r="Z124">
        <v>682.07</v>
      </c>
      <c r="AA124">
        <v>1</v>
      </c>
      <c r="AB124">
        <v>75.663800506639092</v>
      </c>
      <c r="AC124">
        <v>0.92979999999999996</v>
      </c>
      <c r="AD124" s="62">
        <v>70.352000000000004</v>
      </c>
      <c r="AE124">
        <v>8.9176000000000002</v>
      </c>
      <c r="AF124">
        <v>8.9015196227113016</v>
      </c>
      <c r="AG124">
        <v>1</v>
      </c>
      <c r="AH124">
        <v>6071.4594890626977</v>
      </c>
      <c r="AI124">
        <v>1.0375922509225091</v>
      </c>
      <c r="AJ124" s="62">
        <v>6299.6993000000002</v>
      </c>
      <c r="AK124" s="60">
        <v>805.32407839070004</v>
      </c>
      <c r="AL124" t="s">
        <v>339</v>
      </c>
      <c r="AM124" t="s">
        <v>433</v>
      </c>
      <c r="AN124" t="s">
        <v>425</v>
      </c>
      <c r="AO124" t="s">
        <v>81</v>
      </c>
      <c r="AP124">
        <v>111.133</v>
      </c>
      <c r="AQ124">
        <v>1.0062587218588701</v>
      </c>
      <c r="AR124">
        <v>111.82855053634179</v>
      </c>
      <c r="AS124">
        <v>663.92</v>
      </c>
      <c r="AT124">
        <v>1</v>
      </c>
      <c r="AU124">
        <v>74.245211272088028</v>
      </c>
      <c r="AV124">
        <v>0.92979999999999996</v>
      </c>
      <c r="AW124" s="62">
        <v>69.033000000000001</v>
      </c>
      <c r="AX124">
        <v>8.9176000000000002</v>
      </c>
      <c r="AY124">
        <v>1</v>
      </c>
      <c r="AZ124">
        <v>5957.6282116020648</v>
      </c>
      <c r="BA124">
        <v>1.0375922509225091</v>
      </c>
      <c r="BB124" s="62">
        <v>6181.5888999999997</v>
      </c>
      <c r="BC124" s="60">
        <v>790.22539756503625</v>
      </c>
    </row>
    <row r="125" spans="1:55" x14ac:dyDescent="0.25">
      <c r="A125">
        <v>12242</v>
      </c>
      <c r="B125" t="s">
        <v>122</v>
      </c>
      <c r="C125">
        <v>2017</v>
      </c>
      <c r="D125">
        <v>1</v>
      </c>
      <c r="E125" t="s">
        <v>51</v>
      </c>
      <c r="F125" t="s">
        <v>449</v>
      </c>
      <c r="G125" t="s">
        <v>84</v>
      </c>
      <c r="H125" t="s">
        <v>59</v>
      </c>
      <c r="I125" t="s">
        <v>427</v>
      </c>
      <c r="J125">
        <v>-3.05934565</v>
      </c>
      <c r="K125" t="s">
        <v>440</v>
      </c>
      <c r="L125" t="s">
        <v>385</v>
      </c>
      <c r="M125">
        <v>0.43497567483749999</v>
      </c>
      <c r="N125">
        <v>1.3307409378058099</v>
      </c>
      <c r="O125">
        <v>29976.978999999999</v>
      </c>
      <c r="P125">
        <v>1.6679465999999999E-5</v>
      </c>
      <c r="Q125">
        <v>1</v>
      </c>
      <c r="R125" s="60">
        <v>1.3307409378058099</v>
      </c>
      <c r="S125" t="s">
        <v>336</v>
      </c>
      <c r="T125" t="s">
        <v>433</v>
      </c>
      <c r="U125" t="s">
        <v>425</v>
      </c>
      <c r="V125" t="s">
        <v>27</v>
      </c>
      <c r="W125">
        <v>111.133</v>
      </c>
      <c r="X125">
        <v>0.99819678194932504</v>
      </c>
      <c r="Y125">
        <v>110.9326029683743</v>
      </c>
      <c r="Z125">
        <v>682.07</v>
      </c>
      <c r="AA125">
        <v>1</v>
      </c>
      <c r="AB125">
        <v>75.663800506639092</v>
      </c>
      <c r="AC125">
        <v>0.99739999999999995</v>
      </c>
      <c r="AD125" s="62">
        <v>75.466999999999999</v>
      </c>
      <c r="AE125">
        <v>8.9176000000000002</v>
      </c>
      <c r="AF125">
        <v>8.9015196227113016</v>
      </c>
      <c r="AG125">
        <v>1</v>
      </c>
      <c r="AH125">
        <v>6071.4594890626977</v>
      </c>
      <c r="AI125">
        <v>1.0108695652173909</v>
      </c>
      <c r="AJ125" s="62">
        <v>6137.4535999999998</v>
      </c>
      <c r="AK125" s="60">
        <v>8167.3607594036457</v>
      </c>
      <c r="AL125" t="s">
        <v>339</v>
      </c>
      <c r="AM125" t="s">
        <v>433</v>
      </c>
      <c r="AN125" t="s">
        <v>425</v>
      </c>
      <c r="AO125" t="s">
        <v>27</v>
      </c>
      <c r="AP125">
        <v>111.133</v>
      </c>
      <c r="AQ125">
        <v>1.0062587218588701</v>
      </c>
      <c r="AR125">
        <v>111.82855053634179</v>
      </c>
      <c r="AS125">
        <v>663.92</v>
      </c>
      <c r="AT125">
        <v>1</v>
      </c>
      <c r="AU125">
        <v>74.245211272088028</v>
      </c>
      <c r="AV125">
        <v>0.99739999999999995</v>
      </c>
      <c r="AW125" s="62">
        <v>74.052000000000007</v>
      </c>
      <c r="AX125">
        <v>8.9176000000000002</v>
      </c>
      <c r="AY125">
        <v>1</v>
      </c>
      <c r="AZ125">
        <v>5957.6282116020648</v>
      </c>
      <c r="BA125">
        <v>1.0108695652173909</v>
      </c>
      <c r="BB125" s="62">
        <v>6022.3850000000002</v>
      </c>
      <c r="BC125" s="60">
        <v>8014.2342627276439</v>
      </c>
    </row>
    <row r="126" spans="1:55" x14ac:dyDescent="0.25">
      <c r="A126">
        <v>12243</v>
      </c>
      <c r="B126" t="s">
        <v>122</v>
      </c>
      <c r="C126">
        <v>2017</v>
      </c>
      <c r="D126">
        <v>1</v>
      </c>
      <c r="E126" t="s">
        <v>51</v>
      </c>
      <c r="F126" t="s">
        <v>449</v>
      </c>
      <c r="G126" t="s">
        <v>84</v>
      </c>
      <c r="H126" t="s">
        <v>59</v>
      </c>
      <c r="I126" t="s">
        <v>427</v>
      </c>
      <c r="J126">
        <v>-3.05934565</v>
      </c>
      <c r="K126" t="s">
        <v>440</v>
      </c>
      <c r="L126" t="s">
        <v>451</v>
      </c>
      <c r="M126">
        <v>1.7625750762999999E-3</v>
      </c>
      <c r="N126">
        <v>5.3923263889753426E-3</v>
      </c>
      <c r="O126">
        <v>29976.978999999999</v>
      </c>
      <c r="P126">
        <v>1.6679465999999999E-5</v>
      </c>
      <c r="Q126">
        <v>1</v>
      </c>
      <c r="R126" s="60">
        <v>5.3923263889753426E-3</v>
      </c>
      <c r="S126" t="s">
        <v>336</v>
      </c>
      <c r="T126" t="s">
        <v>433</v>
      </c>
      <c r="U126" t="s">
        <v>425</v>
      </c>
      <c r="V126" t="s">
        <v>91</v>
      </c>
      <c r="W126">
        <v>111.133</v>
      </c>
      <c r="X126">
        <v>0.99819678194932504</v>
      </c>
      <c r="Y126">
        <v>110.9326029683743</v>
      </c>
      <c r="Z126">
        <v>682.07</v>
      </c>
      <c r="AA126">
        <v>1</v>
      </c>
      <c r="AB126">
        <v>75.663800506639092</v>
      </c>
      <c r="AC126">
        <v>1.0269999999999999</v>
      </c>
      <c r="AD126" s="62">
        <v>77.706999999999994</v>
      </c>
      <c r="AE126">
        <v>8.9176000000000002</v>
      </c>
      <c r="AF126">
        <v>8.9015196227113016</v>
      </c>
      <c r="AG126">
        <v>1</v>
      </c>
      <c r="AH126">
        <v>6071.4594890626977</v>
      </c>
      <c r="AI126">
        <v>0.98496680983990625</v>
      </c>
      <c r="AJ126" s="62">
        <v>5980.1860999999999</v>
      </c>
      <c r="AK126" s="60">
        <v>32.247115318013527</v>
      </c>
      <c r="AL126" t="s">
        <v>339</v>
      </c>
      <c r="AM126" t="s">
        <v>433</v>
      </c>
      <c r="AN126" t="s">
        <v>425</v>
      </c>
      <c r="AO126" t="s">
        <v>91</v>
      </c>
      <c r="AP126">
        <v>111.133</v>
      </c>
      <c r="AQ126">
        <v>1.0062587218588701</v>
      </c>
      <c r="AR126">
        <v>111.82855053634179</v>
      </c>
      <c r="AS126">
        <v>663.92</v>
      </c>
      <c r="AT126">
        <v>1</v>
      </c>
      <c r="AU126">
        <v>74.245211272088028</v>
      </c>
      <c r="AV126">
        <v>1.0269999999999999</v>
      </c>
      <c r="AW126" s="62">
        <v>76.25</v>
      </c>
      <c r="AX126">
        <v>8.9176000000000002</v>
      </c>
      <c r="AY126">
        <v>1</v>
      </c>
      <c r="AZ126">
        <v>5957.6282116020648</v>
      </c>
      <c r="BA126">
        <v>0.98496680983990625</v>
      </c>
      <c r="BB126" s="62">
        <v>5868.0661</v>
      </c>
      <c r="BC126" s="60">
        <v>31.642527683281621</v>
      </c>
    </row>
    <row r="127" spans="1:55" x14ac:dyDescent="0.25">
      <c r="A127">
        <v>12244</v>
      </c>
      <c r="B127" t="s">
        <v>122</v>
      </c>
      <c r="C127">
        <v>2017</v>
      </c>
      <c r="D127">
        <v>1</v>
      </c>
      <c r="E127" t="s">
        <v>51</v>
      </c>
      <c r="F127" t="s">
        <v>449</v>
      </c>
      <c r="G127" t="s">
        <v>84</v>
      </c>
      <c r="H127" t="s">
        <v>59</v>
      </c>
      <c r="I127" t="s">
        <v>427</v>
      </c>
      <c r="J127">
        <v>-3.05934565</v>
      </c>
      <c r="K127" t="s">
        <v>440</v>
      </c>
      <c r="L127" t="s">
        <v>452</v>
      </c>
      <c r="M127">
        <v>1.4858046103299999E-3</v>
      </c>
      <c r="N127">
        <v>4.5455898684113741E-3</v>
      </c>
      <c r="O127">
        <v>29976.978999999999</v>
      </c>
      <c r="P127">
        <v>1.6679465999999999E-5</v>
      </c>
      <c r="Q127">
        <v>1</v>
      </c>
      <c r="R127" s="60">
        <v>4.5455898684113741E-3</v>
      </c>
      <c r="S127" t="s">
        <v>336</v>
      </c>
      <c r="T127" t="s">
        <v>433</v>
      </c>
      <c r="U127" t="s">
        <v>425</v>
      </c>
      <c r="V127" t="s">
        <v>28</v>
      </c>
      <c r="W127">
        <v>111.133</v>
      </c>
      <c r="X127">
        <v>0.99819678194932504</v>
      </c>
      <c r="Y127">
        <v>110.9326029683743</v>
      </c>
      <c r="Z127">
        <v>682.07</v>
      </c>
      <c r="AA127">
        <v>1</v>
      </c>
      <c r="AB127">
        <v>75.663800506639092</v>
      </c>
      <c r="AC127">
        <v>1.0196000000000001</v>
      </c>
      <c r="AD127" s="62">
        <v>77.147000000000006</v>
      </c>
      <c r="AE127">
        <v>8.9176000000000002</v>
      </c>
      <c r="AF127">
        <v>8.9015196227113016</v>
      </c>
      <c r="AG127">
        <v>1</v>
      </c>
      <c r="AH127">
        <v>6071.4594890626977</v>
      </c>
      <c r="AI127">
        <v>0.97991730655640863</v>
      </c>
      <c r="AJ127" s="62">
        <v>5949.5281999999997</v>
      </c>
      <c r="AK127" s="60">
        <v>27.044115107747761</v>
      </c>
      <c r="AL127" t="s">
        <v>339</v>
      </c>
      <c r="AM127" t="s">
        <v>433</v>
      </c>
      <c r="AN127" t="s">
        <v>425</v>
      </c>
      <c r="AO127" t="s">
        <v>28</v>
      </c>
      <c r="AP127">
        <v>111.133</v>
      </c>
      <c r="AQ127">
        <v>1.0062587218588701</v>
      </c>
      <c r="AR127">
        <v>111.82855053634179</v>
      </c>
      <c r="AS127">
        <v>663.92</v>
      </c>
      <c r="AT127">
        <v>1</v>
      </c>
      <c r="AU127">
        <v>74.245211272088028</v>
      </c>
      <c r="AV127">
        <v>1.0196000000000001</v>
      </c>
      <c r="AW127" s="62">
        <v>75.7</v>
      </c>
      <c r="AX127">
        <v>8.9176000000000002</v>
      </c>
      <c r="AY127">
        <v>1</v>
      </c>
      <c r="AZ127">
        <v>5957.6282116020648</v>
      </c>
      <c r="BA127">
        <v>0.97991730655640863</v>
      </c>
      <c r="BB127" s="62">
        <v>5837.9830000000002</v>
      </c>
      <c r="BC127" s="60">
        <v>26.537076376757842</v>
      </c>
    </row>
    <row r="128" spans="1:55" x14ac:dyDescent="0.25">
      <c r="A128">
        <v>14559</v>
      </c>
      <c r="B128" t="s">
        <v>124</v>
      </c>
      <c r="C128">
        <v>2017</v>
      </c>
      <c r="D128">
        <v>2</v>
      </c>
      <c r="E128" t="s">
        <v>51</v>
      </c>
      <c r="F128" t="s">
        <v>449</v>
      </c>
      <c r="G128" t="s">
        <v>84</v>
      </c>
      <c r="H128" t="s">
        <v>381</v>
      </c>
      <c r="I128" t="s">
        <v>427</v>
      </c>
      <c r="J128">
        <v>-5.1063884000000002</v>
      </c>
      <c r="K128" t="s">
        <v>440</v>
      </c>
      <c r="L128" t="s">
        <v>450</v>
      </c>
      <c r="M128">
        <v>0.15011157993331001</v>
      </c>
      <c r="N128">
        <v>0.76652802980938972</v>
      </c>
      <c r="O128">
        <v>29976.978999999999</v>
      </c>
      <c r="P128">
        <v>1.6679465999999999E-5</v>
      </c>
      <c r="Q128">
        <v>1</v>
      </c>
      <c r="R128" s="60">
        <v>0.76652802980938972</v>
      </c>
      <c r="S128" t="s">
        <v>336</v>
      </c>
      <c r="T128" t="s">
        <v>433</v>
      </c>
      <c r="U128" t="s">
        <v>425</v>
      </c>
      <c r="V128" t="s">
        <v>26</v>
      </c>
      <c r="W128">
        <v>111.133</v>
      </c>
      <c r="X128">
        <v>0.99819678194932504</v>
      </c>
      <c r="Y128">
        <v>110.9326029683743</v>
      </c>
      <c r="Z128">
        <v>682.07</v>
      </c>
      <c r="AA128">
        <v>1</v>
      </c>
      <c r="AB128">
        <v>75.663800506639092</v>
      </c>
      <c r="AC128">
        <v>1.0178</v>
      </c>
      <c r="AD128" s="62">
        <v>77.010999999999996</v>
      </c>
      <c r="AE128">
        <v>8.9176000000000002</v>
      </c>
      <c r="AF128">
        <v>8.9015196227113016</v>
      </c>
      <c r="AG128">
        <v>1</v>
      </c>
      <c r="AH128">
        <v>6071.4594890626977</v>
      </c>
      <c r="AI128">
        <v>1.0020831266739409</v>
      </c>
      <c r="AJ128" s="62">
        <v>6084.1071000000002</v>
      </c>
      <c r="AK128" s="60">
        <v>4663.6386285123199</v>
      </c>
      <c r="AL128" t="s">
        <v>339</v>
      </c>
      <c r="AM128" t="s">
        <v>433</v>
      </c>
      <c r="AN128" t="s">
        <v>425</v>
      </c>
      <c r="AO128" t="s">
        <v>26</v>
      </c>
      <c r="AP128">
        <v>111.133</v>
      </c>
      <c r="AQ128">
        <v>1.0062587218588701</v>
      </c>
      <c r="AR128">
        <v>111.82855053634179</v>
      </c>
      <c r="AS128">
        <v>663.92</v>
      </c>
      <c r="AT128">
        <v>1</v>
      </c>
      <c r="AU128">
        <v>74.245211272088028</v>
      </c>
      <c r="AV128">
        <v>1.0178</v>
      </c>
      <c r="AW128" s="62">
        <v>75.566999999999993</v>
      </c>
      <c r="AX128">
        <v>8.9176000000000002</v>
      </c>
      <c r="AY128">
        <v>1</v>
      </c>
      <c r="AZ128">
        <v>5957.6282116020648</v>
      </c>
      <c r="BA128">
        <v>1.0020831266739409</v>
      </c>
      <c r="BB128" s="62">
        <v>5970.0387000000001</v>
      </c>
      <c r="BC128" s="60">
        <v>4576.2020025968104</v>
      </c>
    </row>
    <row r="129" spans="1:55" x14ac:dyDescent="0.25">
      <c r="A129">
        <v>14560</v>
      </c>
      <c r="B129" t="s">
        <v>124</v>
      </c>
      <c r="C129">
        <v>2017</v>
      </c>
      <c r="D129">
        <v>2</v>
      </c>
      <c r="E129" t="s">
        <v>51</v>
      </c>
      <c r="F129" t="s">
        <v>449</v>
      </c>
      <c r="G129" t="s">
        <v>84</v>
      </c>
      <c r="H129" t="s">
        <v>381</v>
      </c>
      <c r="I129" t="s">
        <v>427</v>
      </c>
      <c r="J129">
        <v>-5.1063884000000002</v>
      </c>
      <c r="K129" t="s">
        <v>440</v>
      </c>
      <c r="L129" t="s">
        <v>384</v>
      </c>
      <c r="M129">
        <v>4.5811354346740003E-2</v>
      </c>
      <c r="N129">
        <v>0.2339305682207013</v>
      </c>
      <c r="O129">
        <v>29976.978999999999</v>
      </c>
      <c r="P129">
        <v>1.6679465999999999E-5</v>
      </c>
      <c r="Q129">
        <v>1</v>
      </c>
      <c r="R129" s="60">
        <v>0.2339305682207013</v>
      </c>
      <c r="S129" t="s">
        <v>336</v>
      </c>
      <c r="T129" t="s">
        <v>433</v>
      </c>
      <c r="U129" t="s">
        <v>425</v>
      </c>
      <c r="V129" t="s">
        <v>81</v>
      </c>
      <c r="W129">
        <v>111.133</v>
      </c>
      <c r="X129">
        <v>0.99819678194932504</v>
      </c>
      <c r="Y129">
        <v>110.9326029683743</v>
      </c>
      <c r="Z129">
        <v>682.07</v>
      </c>
      <c r="AA129">
        <v>1</v>
      </c>
      <c r="AB129">
        <v>75.663800506639092</v>
      </c>
      <c r="AC129">
        <v>0.92979999999999996</v>
      </c>
      <c r="AD129" s="62">
        <v>70.352000000000004</v>
      </c>
      <c r="AE129">
        <v>8.9176000000000002</v>
      </c>
      <c r="AF129">
        <v>8.9015196227113016</v>
      </c>
      <c r="AG129">
        <v>1</v>
      </c>
      <c r="AH129">
        <v>6071.4594890626977</v>
      </c>
      <c r="AI129">
        <v>1.0375922509225091</v>
      </c>
      <c r="AJ129" s="62">
        <v>6299.6993000000002</v>
      </c>
      <c r="AK129" s="60">
        <v>1473.6922368685539</v>
      </c>
      <c r="AL129" t="s">
        <v>339</v>
      </c>
      <c r="AM129" t="s">
        <v>433</v>
      </c>
      <c r="AN129" t="s">
        <v>425</v>
      </c>
      <c r="AO129" t="s">
        <v>81</v>
      </c>
      <c r="AP129">
        <v>111.133</v>
      </c>
      <c r="AQ129">
        <v>1.0062587218588701</v>
      </c>
      <c r="AR129">
        <v>111.82855053634179</v>
      </c>
      <c r="AS129">
        <v>663.92</v>
      </c>
      <c r="AT129">
        <v>1</v>
      </c>
      <c r="AU129">
        <v>74.245211272088028</v>
      </c>
      <c r="AV129">
        <v>0.92979999999999996</v>
      </c>
      <c r="AW129" s="62">
        <v>69.033000000000001</v>
      </c>
      <c r="AX129">
        <v>8.9176000000000002</v>
      </c>
      <c r="AY129">
        <v>1</v>
      </c>
      <c r="AZ129">
        <v>5957.6282116020648</v>
      </c>
      <c r="BA129">
        <v>1.0375922509225091</v>
      </c>
      <c r="BB129" s="62">
        <v>6181.5888999999997</v>
      </c>
      <c r="BC129" s="60">
        <v>1446.06260388378</v>
      </c>
    </row>
    <row r="130" spans="1:55" x14ac:dyDescent="0.25">
      <c r="A130">
        <v>14561</v>
      </c>
      <c r="B130" t="s">
        <v>124</v>
      </c>
      <c r="C130">
        <v>2017</v>
      </c>
      <c r="D130">
        <v>2</v>
      </c>
      <c r="E130" t="s">
        <v>51</v>
      </c>
      <c r="F130" t="s">
        <v>449</v>
      </c>
      <c r="G130" t="s">
        <v>84</v>
      </c>
      <c r="H130" t="s">
        <v>381</v>
      </c>
      <c r="I130" t="s">
        <v>427</v>
      </c>
      <c r="J130">
        <v>-5.1063884000000002</v>
      </c>
      <c r="K130" t="s">
        <v>440</v>
      </c>
      <c r="L130" t="s">
        <v>385</v>
      </c>
      <c r="M130">
        <v>0.43232641346992001</v>
      </c>
      <c r="N130">
        <v>2.2076265808332969</v>
      </c>
      <c r="O130">
        <v>29976.978999999999</v>
      </c>
      <c r="P130">
        <v>1.6679465999999999E-5</v>
      </c>
      <c r="Q130">
        <v>1</v>
      </c>
      <c r="R130" s="60">
        <v>2.2076265808332969</v>
      </c>
      <c r="S130" t="s">
        <v>336</v>
      </c>
      <c r="T130" t="s">
        <v>433</v>
      </c>
      <c r="U130" t="s">
        <v>425</v>
      </c>
      <c r="V130" t="s">
        <v>27</v>
      </c>
      <c r="W130">
        <v>111.133</v>
      </c>
      <c r="X130">
        <v>0.99819678194932504</v>
      </c>
      <c r="Y130">
        <v>110.9326029683743</v>
      </c>
      <c r="Z130">
        <v>682.07</v>
      </c>
      <c r="AA130">
        <v>1</v>
      </c>
      <c r="AB130">
        <v>75.663800506639092</v>
      </c>
      <c r="AC130">
        <v>0.99739999999999995</v>
      </c>
      <c r="AD130" s="62">
        <v>75.466999999999999</v>
      </c>
      <c r="AE130">
        <v>8.9176000000000002</v>
      </c>
      <c r="AF130">
        <v>8.9015196227113016</v>
      </c>
      <c r="AG130">
        <v>1</v>
      </c>
      <c r="AH130">
        <v>6071.4594890626977</v>
      </c>
      <c r="AI130">
        <v>1.0108695652173909</v>
      </c>
      <c r="AJ130" s="62">
        <v>6137.4535999999998</v>
      </c>
      <c r="AK130" s="60">
        <v>13549.205705991009</v>
      </c>
      <c r="AL130" t="s">
        <v>339</v>
      </c>
      <c r="AM130" t="s">
        <v>433</v>
      </c>
      <c r="AN130" t="s">
        <v>425</v>
      </c>
      <c r="AO130" t="s">
        <v>27</v>
      </c>
      <c r="AP130">
        <v>111.133</v>
      </c>
      <c r="AQ130">
        <v>1.0062587218588701</v>
      </c>
      <c r="AR130">
        <v>111.82855053634179</v>
      </c>
      <c r="AS130">
        <v>663.92</v>
      </c>
      <c r="AT130">
        <v>1</v>
      </c>
      <c r="AU130">
        <v>74.245211272088028</v>
      </c>
      <c r="AV130">
        <v>0.99739999999999995</v>
      </c>
      <c r="AW130" s="62">
        <v>74.052000000000007</v>
      </c>
      <c r="AX130">
        <v>8.9176000000000002</v>
      </c>
      <c r="AY130">
        <v>1</v>
      </c>
      <c r="AZ130">
        <v>5957.6282116020648</v>
      </c>
      <c r="BA130">
        <v>1.0108695652173909</v>
      </c>
      <c r="BB130" s="62">
        <v>6022.3850000000002</v>
      </c>
      <c r="BC130" s="60">
        <v>13295.17720601174</v>
      </c>
    </row>
    <row r="131" spans="1:55" x14ac:dyDescent="0.25">
      <c r="A131">
        <v>14562</v>
      </c>
      <c r="B131" t="s">
        <v>124</v>
      </c>
      <c r="C131">
        <v>2017</v>
      </c>
      <c r="D131">
        <v>2</v>
      </c>
      <c r="E131" t="s">
        <v>51</v>
      </c>
      <c r="F131" t="s">
        <v>449</v>
      </c>
      <c r="G131" t="s">
        <v>84</v>
      </c>
      <c r="H131" t="s">
        <v>381</v>
      </c>
      <c r="I131" t="s">
        <v>427</v>
      </c>
      <c r="J131">
        <v>-5.1063884000000002</v>
      </c>
      <c r="K131" t="s">
        <v>440</v>
      </c>
      <c r="L131" t="s">
        <v>451</v>
      </c>
      <c r="M131">
        <v>1.6825115802299999E-3</v>
      </c>
      <c r="N131">
        <v>8.591557608667871E-3</v>
      </c>
      <c r="O131">
        <v>29976.978999999999</v>
      </c>
      <c r="P131">
        <v>1.6679465999999999E-5</v>
      </c>
      <c r="Q131">
        <v>1</v>
      </c>
      <c r="R131" s="60">
        <v>8.591557608667871E-3</v>
      </c>
      <c r="S131" t="s">
        <v>336</v>
      </c>
      <c r="T131" t="s">
        <v>433</v>
      </c>
      <c r="U131" t="s">
        <v>425</v>
      </c>
      <c r="V131" t="s">
        <v>91</v>
      </c>
      <c r="W131">
        <v>111.133</v>
      </c>
      <c r="X131">
        <v>0.99819678194932504</v>
      </c>
      <c r="Y131">
        <v>110.9326029683743</v>
      </c>
      <c r="Z131">
        <v>682.07</v>
      </c>
      <c r="AA131">
        <v>1</v>
      </c>
      <c r="AB131">
        <v>75.663800506639092</v>
      </c>
      <c r="AC131">
        <v>1.0269999999999999</v>
      </c>
      <c r="AD131" s="62">
        <v>77.706999999999994</v>
      </c>
      <c r="AE131">
        <v>8.9176000000000002</v>
      </c>
      <c r="AF131">
        <v>8.9015196227113016</v>
      </c>
      <c r="AG131">
        <v>1</v>
      </c>
      <c r="AH131">
        <v>6071.4594890626977</v>
      </c>
      <c r="AI131">
        <v>0.98496680983990625</v>
      </c>
      <c r="AJ131" s="62">
        <v>5980.1860999999999</v>
      </c>
      <c r="AK131" s="60">
        <v>51.379113388704837</v>
      </c>
      <c r="AL131" t="s">
        <v>339</v>
      </c>
      <c r="AM131" t="s">
        <v>433</v>
      </c>
      <c r="AN131" t="s">
        <v>425</v>
      </c>
      <c r="AO131" t="s">
        <v>91</v>
      </c>
      <c r="AP131">
        <v>111.133</v>
      </c>
      <c r="AQ131">
        <v>1.0062587218588701</v>
      </c>
      <c r="AR131">
        <v>111.82855053634179</v>
      </c>
      <c r="AS131">
        <v>663.92</v>
      </c>
      <c r="AT131">
        <v>1</v>
      </c>
      <c r="AU131">
        <v>74.245211272088028</v>
      </c>
      <c r="AV131">
        <v>1.0269999999999999</v>
      </c>
      <c r="AW131" s="62">
        <v>76.25</v>
      </c>
      <c r="AX131">
        <v>8.9176000000000002</v>
      </c>
      <c r="AY131">
        <v>1</v>
      </c>
      <c r="AZ131">
        <v>5957.6282116020648</v>
      </c>
      <c r="BA131">
        <v>0.98496680983990625</v>
      </c>
      <c r="BB131" s="62">
        <v>5868.0661</v>
      </c>
      <c r="BC131" s="60">
        <v>50.415827949620997</v>
      </c>
    </row>
    <row r="132" spans="1:55" x14ac:dyDescent="0.25">
      <c r="A132">
        <v>14563</v>
      </c>
      <c r="B132" t="s">
        <v>124</v>
      </c>
      <c r="C132">
        <v>2017</v>
      </c>
      <c r="D132">
        <v>2</v>
      </c>
      <c r="E132" t="s">
        <v>51</v>
      </c>
      <c r="F132" t="s">
        <v>449</v>
      </c>
      <c r="G132" t="s">
        <v>84</v>
      </c>
      <c r="H132" t="s">
        <v>381</v>
      </c>
      <c r="I132" t="s">
        <v>427</v>
      </c>
      <c r="J132">
        <v>-5.1063884000000002</v>
      </c>
      <c r="K132" t="s">
        <v>440</v>
      </c>
      <c r="L132" t="s">
        <v>452</v>
      </c>
      <c r="M132">
        <v>1.53682162831E-3</v>
      </c>
      <c r="N132">
        <v>7.8476081288350943E-3</v>
      </c>
      <c r="O132">
        <v>29976.978999999999</v>
      </c>
      <c r="P132">
        <v>1.6679465999999999E-5</v>
      </c>
      <c r="Q132">
        <v>1</v>
      </c>
      <c r="R132" s="60">
        <v>7.8476081288350943E-3</v>
      </c>
      <c r="S132" t="s">
        <v>336</v>
      </c>
      <c r="T132" t="s">
        <v>433</v>
      </c>
      <c r="U132" t="s">
        <v>425</v>
      </c>
      <c r="V132" t="s">
        <v>28</v>
      </c>
      <c r="W132">
        <v>111.133</v>
      </c>
      <c r="X132">
        <v>0.99819678194932504</v>
      </c>
      <c r="Y132">
        <v>110.9326029683743</v>
      </c>
      <c r="Z132">
        <v>682.07</v>
      </c>
      <c r="AA132">
        <v>1</v>
      </c>
      <c r="AB132">
        <v>75.663800506639092</v>
      </c>
      <c r="AC132">
        <v>1.0196000000000001</v>
      </c>
      <c r="AD132" s="62">
        <v>77.147000000000006</v>
      </c>
      <c r="AE132">
        <v>8.9176000000000002</v>
      </c>
      <c r="AF132">
        <v>8.9015196227113016</v>
      </c>
      <c r="AG132">
        <v>1</v>
      </c>
      <c r="AH132">
        <v>6071.4594890626977</v>
      </c>
      <c r="AI132">
        <v>0.97991730655640863</v>
      </c>
      <c r="AJ132" s="62">
        <v>5949.5281999999997</v>
      </c>
      <c r="AK132" s="60">
        <v>46.689565865053623</v>
      </c>
      <c r="AL132" t="s">
        <v>339</v>
      </c>
      <c r="AM132" t="s">
        <v>433</v>
      </c>
      <c r="AN132" t="s">
        <v>425</v>
      </c>
      <c r="AO132" t="s">
        <v>28</v>
      </c>
      <c r="AP132">
        <v>111.133</v>
      </c>
      <c r="AQ132">
        <v>1.0062587218588701</v>
      </c>
      <c r="AR132">
        <v>111.82855053634179</v>
      </c>
      <c r="AS132">
        <v>663.92</v>
      </c>
      <c r="AT132">
        <v>1</v>
      </c>
      <c r="AU132">
        <v>74.245211272088028</v>
      </c>
      <c r="AV132">
        <v>1.0196000000000001</v>
      </c>
      <c r="AW132" s="62">
        <v>75.7</v>
      </c>
      <c r="AX132">
        <v>8.9176000000000002</v>
      </c>
      <c r="AY132">
        <v>1</v>
      </c>
      <c r="AZ132">
        <v>5957.6282116020648</v>
      </c>
      <c r="BA132">
        <v>0.97991730655640863</v>
      </c>
      <c r="BB132" s="62">
        <v>5837.9830000000002</v>
      </c>
      <c r="BC132" s="60">
        <v>45.814202846801088</v>
      </c>
    </row>
    <row r="133" spans="1:55" x14ac:dyDescent="0.25">
      <c r="A133">
        <v>14564</v>
      </c>
      <c r="B133" t="s">
        <v>124</v>
      </c>
      <c r="C133">
        <v>2017</v>
      </c>
      <c r="D133">
        <v>2</v>
      </c>
      <c r="E133" t="s">
        <v>51</v>
      </c>
      <c r="F133" t="s">
        <v>449</v>
      </c>
      <c r="G133" t="s">
        <v>84</v>
      </c>
      <c r="H133" t="s">
        <v>87</v>
      </c>
      <c r="I133" t="s">
        <v>427</v>
      </c>
      <c r="J133">
        <v>-1.0503197799999999</v>
      </c>
      <c r="K133" t="s">
        <v>440</v>
      </c>
      <c r="L133" t="s">
        <v>450</v>
      </c>
      <c r="M133">
        <v>0.26601384014995</v>
      </c>
      <c r="N133">
        <v>0.27939959737670861</v>
      </c>
      <c r="O133">
        <v>29976.978999999999</v>
      </c>
      <c r="P133">
        <v>1.6679465999999999E-5</v>
      </c>
      <c r="Q133">
        <v>1</v>
      </c>
      <c r="R133" s="60">
        <v>0.27939959737670861</v>
      </c>
      <c r="S133" t="s">
        <v>336</v>
      </c>
      <c r="T133" t="s">
        <v>433</v>
      </c>
      <c r="U133" t="s">
        <v>425</v>
      </c>
      <c r="V133" t="s">
        <v>26</v>
      </c>
      <c r="W133">
        <v>111.133</v>
      </c>
      <c r="X133">
        <v>0.99819678194932504</v>
      </c>
      <c r="Y133">
        <v>110.9326029683743</v>
      </c>
      <c r="Z133">
        <v>682.07</v>
      </c>
      <c r="AA133">
        <v>1</v>
      </c>
      <c r="AB133">
        <v>75.663800506639092</v>
      </c>
      <c r="AC133">
        <v>1.0178</v>
      </c>
      <c r="AD133" s="62">
        <v>77.010999999999996</v>
      </c>
      <c r="AE133">
        <v>8.9176000000000002</v>
      </c>
      <c r="AF133">
        <v>8.9015196227113016</v>
      </c>
      <c r="AG133">
        <v>1</v>
      </c>
      <c r="AH133">
        <v>6071.4594890626977</v>
      </c>
      <c r="AI133">
        <v>1.0020831266739409</v>
      </c>
      <c r="AJ133" s="62">
        <v>6084.1071000000002</v>
      </c>
      <c r="AK133" s="60">
        <v>1699.8970741367741</v>
      </c>
      <c r="AL133" t="s">
        <v>339</v>
      </c>
      <c r="AM133" t="s">
        <v>433</v>
      </c>
      <c r="AN133" t="s">
        <v>425</v>
      </c>
      <c r="AO133" t="s">
        <v>26</v>
      </c>
      <c r="AP133">
        <v>111.133</v>
      </c>
      <c r="AQ133">
        <v>1.0062587218588701</v>
      </c>
      <c r="AR133">
        <v>111.82855053634179</v>
      </c>
      <c r="AS133">
        <v>663.92</v>
      </c>
      <c r="AT133">
        <v>1</v>
      </c>
      <c r="AU133">
        <v>74.245211272088028</v>
      </c>
      <c r="AV133">
        <v>1.0178</v>
      </c>
      <c r="AW133" s="62">
        <v>75.566999999999993</v>
      </c>
      <c r="AX133">
        <v>8.9176000000000002</v>
      </c>
      <c r="AY133">
        <v>1</v>
      </c>
      <c r="AZ133">
        <v>5957.6282116020648</v>
      </c>
      <c r="BA133">
        <v>1.0020831266739409</v>
      </c>
      <c r="BB133" s="62">
        <v>5970.0387000000001</v>
      </c>
      <c r="BC133" s="60">
        <v>1668.026409103368</v>
      </c>
    </row>
    <row r="134" spans="1:55" x14ac:dyDescent="0.25">
      <c r="A134">
        <v>14565</v>
      </c>
      <c r="B134" t="s">
        <v>124</v>
      </c>
      <c r="C134">
        <v>2017</v>
      </c>
      <c r="D134">
        <v>2</v>
      </c>
      <c r="E134" t="s">
        <v>51</v>
      </c>
      <c r="F134" t="s">
        <v>449</v>
      </c>
      <c r="G134" t="s">
        <v>84</v>
      </c>
      <c r="H134" t="s">
        <v>87</v>
      </c>
      <c r="I134" t="s">
        <v>427</v>
      </c>
      <c r="J134">
        <v>-1.0503197799999999</v>
      </c>
      <c r="K134" t="s">
        <v>440</v>
      </c>
      <c r="L134" t="s">
        <v>384</v>
      </c>
      <c r="M134">
        <v>3.9509559941419997E-2</v>
      </c>
      <c r="N134">
        <v>4.1497672203600781E-2</v>
      </c>
      <c r="O134">
        <v>29976.978999999999</v>
      </c>
      <c r="P134">
        <v>1.6679465999999999E-5</v>
      </c>
      <c r="Q134">
        <v>1</v>
      </c>
      <c r="R134" s="60">
        <v>4.1497672203600781E-2</v>
      </c>
      <c r="S134" t="s">
        <v>336</v>
      </c>
      <c r="T134" t="s">
        <v>433</v>
      </c>
      <c r="U134" t="s">
        <v>425</v>
      </c>
      <c r="V134" t="s">
        <v>81</v>
      </c>
      <c r="W134">
        <v>111.133</v>
      </c>
      <c r="X134">
        <v>0.99819678194932504</v>
      </c>
      <c r="Y134">
        <v>110.9326029683743</v>
      </c>
      <c r="Z134">
        <v>682.07</v>
      </c>
      <c r="AA134">
        <v>1</v>
      </c>
      <c r="AB134">
        <v>75.663800506639092</v>
      </c>
      <c r="AC134">
        <v>0.92979999999999996</v>
      </c>
      <c r="AD134" s="62">
        <v>70.352000000000004</v>
      </c>
      <c r="AE134">
        <v>8.9176000000000002</v>
      </c>
      <c r="AF134">
        <v>8.9015196227113016</v>
      </c>
      <c r="AG134">
        <v>1</v>
      </c>
      <c r="AH134">
        <v>6071.4594890626977</v>
      </c>
      <c r="AI134">
        <v>1.0375922509225091</v>
      </c>
      <c r="AJ134" s="62">
        <v>6299.6993000000002</v>
      </c>
      <c r="AK134" s="60">
        <v>261.42285653265333</v>
      </c>
      <c r="AL134" t="s">
        <v>339</v>
      </c>
      <c r="AM134" t="s">
        <v>433</v>
      </c>
      <c r="AN134" t="s">
        <v>425</v>
      </c>
      <c r="AO134" t="s">
        <v>81</v>
      </c>
      <c r="AP134">
        <v>111.133</v>
      </c>
      <c r="AQ134">
        <v>1.0062587218588701</v>
      </c>
      <c r="AR134">
        <v>111.82855053634179</v>
      </c>
      <c r="AS134">
        <v>663.92</v>
      </c>
      <c r="AT134">
        <v>1</v>
      </c>
      <c r="AU134">
        <v>74.245211272088028</v>
      </c>
      <c r="AV134">
        <v>0.92979999999999996</v>
      </c>
      <c r="AW134" s="62">
        <v>69.033000000000001</v>
      </c>
      <c r="AX134">
        <v>8.9176000000000002</v>
      </c>
      <c r="AY134">
        <v>1</v>
      </c>
      <c r="AZ134">
        <v>5957.6282116020648</v>
      </c>
      <c r="BA134">
        <v>1.0375922509225091</v>
      </c>
      <c r="BB134" s="62">
        <v>6181.5888999999997</v>
      </c>
      <c r="BC134" s="60">
        <v>256.5215498696171</v>
      </c>
    </row>
    <row r="135" spans="1:55" x14ac:dyDescent="0.25">
      <c r="A135">
        <v>14566</v>
      </c>
      <c r="B135" t="s">
        <v>124</v>
      </c>
      <c r="C135">
        <v>2017</v>
      </c>
      <c r="D135">
        <v>2</v>
      </c>
      <c r="E135" t="s">
        <v>51</v>
      </c>
      <c r="F135" t="s">
        <v>449</v>
      </c>
      <c r="G135" t="s">
        <v>84</v>
      </c>
      <c r="H135" t="s">
        <v>87</v>
      </c>
      <c r="I135" t="s">
        <v>427</v>
      </c>
      <c r="J135">
        <v>-1.0503197799999999</v>
      </c>
      <c r="K135" t="s">
        <v>440</v>
      </c>
      <c r="L135" t="s">
        <v>385</v>
      </c>
      <c r="M135">
        <v>0.39737542925016001</v>
      </c>
      <c r="N135">
        <v>0.41737127240186689</v>
      </c>
      <c r="O135">
        <v>29976.978999999999</v>
      </c>
      <c r="P135">
        <v>1.6679465999999999E-5</v>
      </c>
      <c r="Q135">
        <v>1</v>
      </c>
      <c r="R135" s="60">
        <v>0.41737127240186689</v>
      </c>
      <c r="S135" t="s">
        <v>336</v>
      </c>
      <c r="T135" t="s">
        <v>433</v>
      </c>
      <c r="U135" t="s">
        <v>425</v>
      </c>
      <c r="V135" t="s">
        <v>27</v>
      </c>
      <c r="W135">
        <v>111.133</v>
      </c>
      <c r="X135">
        <v>0.99819678194932504</v>
      </c>
      <c r="Y135">
        <v>110.9326029683743</v>
      </c>
      <c r="Z135">
        <v>682.07</v>
      </c>
      <c r="AA135">
        <v>1</v>
      </c>
      <c r="AB135">
        <v>75.663800506639092</v>
      </c>
      <c r="AC135">
        <v>0.99739999999999995</v>
      </c>
      <c r="AD135" s="62">
        <v>75.466999999999999</v>
      </c>
      <c r="AE135">
        <v>8.9176000000000002</v>
      </c>
      <c r="AF135">
        <v>8.9015196227113016</v>
      </c>
      <c r="AG135">
        <v>1</v>
      </c>
      <c r="AH135">
        <v>6071.4594890626977</v>
      </c>
      <c r="AI135">
        <v>1.0108695652173909</v>
      </c>
      <c r="AJ135" s="62">
        <v>6137.4535999999998</v>
      </c>
      <c r="AK135" s="60">
        <v>2561.596818339418</v>
      </c>
      <c r="AL135" t="s">
        <v>339</v>
      </c>
      <c r="AM135" t="s">
        <v>433</v>
      </c>
      <c r="AN135" t="s">
        <v>425</v>
      </c>
      <c r="AO135" t="s">
        <v>27</v>
      </c>
      <c r="AP135">
        <v>111.133</v>
      </c>
      <c r="AQ135">
        <v>1.0062587218588701</v>
      </c>
      <c r="AR135">
        <v>111.82855053634179</v>
      </c>
      <c r="AS135">
        <v>663.92</v>
      </c>
      <c r="AT135">
        <v>1</v>
      </c>
      <c r="AU135">
        <v>74.245211272088028</v>
      </c>
      <c r="AV135">
        <v>0.99739999999999995</v>
      </c>
      <c r="AW135" s="62">
        <v>74.052000000000007</v>
      </c>
      <c r="AX135">
        <v>8.9176000000000002</v>
      </c>
      <c r="AY135">
        <v>1</v>
      </c>
      <c r="AZ135">
        <v>5957.6282116020648</v>
      </c>
      <c r="BA135">
        <v>1.0108695652173909</v>
      </c>
      <c r="BB135" s="62">
        <v>6022.3850000000002</v>
      </c>
      <c r="BC135" s="60">
        <v>2513.5704903439168</v>
      </c>
    </row>
    <row r="136" spans="1:55" x14ac:dyDescent="0.25">
      <c r="A136">
        <v>14567</v>
      </c>
      <c r="B136" t="s">
        <v>124</v>
      </c>
      <c r="C136">
        <v>2017</v>
      </c>
      <c r="D136">
        <v>2</v>
      </c>
      <c r="E136" t="s">
        <v>51</v>
      </c>
      <c r="F136" t="s">
        <v>449</v>
      </c>
      <c r="G136" t="s">
        <v>84</v>
      </c>
      <c r="H136" t="s">
        <v>87</v>
      </c>
      <c r="I136" t="s">
        <v>427</v>
      </c>
      <c r="J136">
        <v>-1.0503197799999999</v>
      </c>
      <c r="K136" t="s">
        <v>440</v>
      </c>
      <c r="L136" t="s">
        <v>452</v>
      </c>
      <c r="M136">
        <v>8.4248020759000004E-4</v>
      </c>
      <c r="N136">
        <v>8.8487362411596735E-4</v>
      </c>
      <c r="O136">
        <v>29976.978999999999</v>
      </c>
      <c r="P136">
        <v>1.6679465999999999E-5</v>
      </c>
      <c r="Q136">
        <v>1</v>
      </c>
      <c r="R136" s="60">
        <v>8.8487362411596735E-4</v>
      </c>
      <c r="S136" t="s">
        <v>336</v>
      </c>
      <c r="T136" t="s">
        <v>433</v>
      </c>
      <c r="U136" t="s">
        <v>425</v>
      </c>
      <c r="V136" t="s">
        <v>28</v>
      </c>
      <c r="W136">
        <v>111.133</v>
      </c>
      <c r="X136">
        <v>0.99819678194932504</v>
      </c>
      <c r="Y136">
        <v>110.9326029683743</v>
      </c>
      <c r="Z136">
        <v>682.07</v>
      </c>
      <c r="AA136">
        <v>1</v>
      </c>
      <c r="AB136">
        <v>75.663800506639092</v>
      </c>
      <c r="AC136">
        <v>1.0196000000000001</v>
      </c>
      <c r="AD136" s="62">
        <v>77.147000000000006</v>
      </c>
      <c r="AE136">
        <v>8.9176000000000002</v>
      </c>
      <c r="AF136">
        <v>8.9015196227113016</v>
      </c>
      <c r="AG136">
        <v>1</v>
      </c>
      <c r="AH136">
        <v>6071.4594890626977</v>
      </c>
      <c r="AI136">
        <v>0.97991730655640863</v>
      </c>
      <c r="AJ136" s="62">
        <v>5949.5281999999997</v>
      </c>
      <c r="AK136" s="60">
        <v>5.2645805801141474</v>
      </c>
      <c r="AL136" t="s">
        <v>339</v>
      </c>
      <c r="AM136" t="s">
        <v>433</v>
      </c>
      <c r="AN136" t="s">
        <v>425</v>
      </c>
      <c r="AO136" t="s">
        <v>28</v>
      </c>
      <c r="AP136">
        <v>111.133</v>
      </c>
      <c r="AQ136">
        <v>1.0062587218588701</v>
      </c>
      <c r="AR136">
        <v>111.82855053634179</v>
      </c>
      <c r="AS136">
        <v>663.92</v>
      </c>
      <c r="AT136">
        <v>1</v>
      </c>
      <c r="AU136">
        <v>74.245211272088028</v>
      </c>
      <c r="AV136">
        <v>1.0196000000000001</v>
      </c>
      <c r="AW136" s="62">
        <v>75.7</v>
      </c>
      <c r="AX136">
        <v>8.9176000000000002</v>
      </c>
      <c r="AY136">
        <v>1</v>
      </c>
      <c r="AZ136">
        <v>5957.6282116020648</v>
      </c>
      <c r="BA136">
        <v>0.97991730655640863</v>
      </c>
      <c r="BB136" s="62">
        <v>5837.9830000000002</v>
      </c>
      <c r="BC136" s="60">
        <v>5.1658771747374077</v>
      </c>
    </row>
    <row r="137" spans="1:55" x14ac:dyDescent="0.25">
      <c r="A137">
        <v>14568</v>
      </c>
      <c r="B137" t="s">
        <v>124</v>
      </c>
      <c r="C137">
        <v>2017</v>
      </c>
      <c r="D137">
        <v>2</v>
      </c>
      <c r="E137" t="s">
        <v>51</v>
      </c>
      <c r="F137" t="s">
        <v>449</v>
      </c>
      <c r="G137" t="s">
        <v>84</v>
      </c>
      <c r="H137" t="s">
        <v>59</v>
      </c>
      <c r="I137" t="s">
        <v>427</v>
      </c>
      <c r="J137">
        <v>-3.05934565</v>
      </c>
      <c r="K137" t="s">
        <v>440</v>
      </c>
      <c r="L137" t="s">
        <v>450</v>
      </c>
      <c r="M137">
        <v>0.15931709696460999</v>
      </c>
      <c r="N137">
        <v>0.4874060672528131</v>
      </c>
      <c r="O137">
        <v>29976.978999999999</v>
      </c>
      <c r="P137">
        <v>1.6679465999999999E-5</v>
      </c>
      <c r="Q137">
        <v>1</v>
      </c>
      <c r="R137" s="60">
        <v>0.4874060672528131</v>
      </c>
      <c r="S137" t="s">
        <v>336</v>
      </c>
      <c r="T137" t="s">
        <v>433</v>
      </c>
      <c r="U137" t="s">
        <v>425</v>
      </c>
      <c r="V137" t="s">
        <v>26</v>
      </c>
      <c r="W137">
        <v>111.133</v>
      </c>
      <c r="X137">
        <v>0.99819678194932504</v>
      </c>
      <c r="Y137">
        <v>110.9326029683743</v>
      </c>
      <c r="Z137">
        <v>682.07</v>
      </c>
      <c r="AA137">
        <v>1</v>
      </c>
      <c r="AB137">
        <v>75.663800506639092</v>
      </c>
      <c r="AC137">
        <v>1.0178</v>
      </c>
      <c r="AD137" s="62">
        <v>77.010999999999996</v>
      </c>
      <c r="AE137">
        <v>8.9176000000000002</v>
      </c>
      <c r="AF137">
        <v>8.9015196227113016</v>
      </c>
      <c r="AG137">
        <v>1</v>
      </c>
      <c r="AH137">
        <v>6071.4594890626977</v>
      </c>
      <c r="AI137">
        <v>1.0020831266739409</v>
      </c>
      <c r="AJ137" s="62">
        <v>6084.1071000000002</v>
      </c>
      <c r="AK137" s="60">
        <v>2965.4307143559181</v>
      </c>
      <c r="AL137" t="s">
        <v>339</v>
      </c>
      <c r="AM137" t="s">
        <v>433</v>
      </c>
      <c r="AN137" t="s">
        <v>425</v>
      </c>
      <c r="AO137" t="s">
        <v>26</v>
      </c>
      <c r="AP137">
        <v>111.133</v>
      </c>
      <c r="AQ137">
        <v>1.0062587218588701</v>
      </c>
      <c r="AR137">
        <v>111.82855053634179</v>
      </c>
      <c r="AS137">
        <v>663.92</v>
      </c>
      <c r="AT137">
        <v>1</v>
      </c>
      <c r="AU137">
        <v>74.245211272088028</v>
      </c>
      <c r="AV137">
        <v>1.0178</v>
      </c>
      <c r="AW137" s="62">
        <v>75.566999999999993</v>
      </c>
      <c r="AX137">
        <v>8.9176000000000002</v>
      </c>
      <c r="AY137">
        <v>1</v>
      </c>
      <c r="AZ137">
        <v>5957.6282116020648</v>
      </c>
      <c r="BA137">
        <v>1.0020831266739409</v>
      </c>
      <c r="BB137" s="62">
        <v>5970.0387000000001</v>
      </c>
      <c r="BC137" s="60">
        <v>2909.8330841140969</v>
      </c>
    </row>
    <row r="138" spans="1:55" x14ac:dyDescent="0.25">
      <c r="A138">
        <v>14569</v>
      </c>
      <c r="B138" t="s">
        <v>124</v>
      </c>
      <c r="C138">
        <v>2017</v>
      </c>
      <c r="D138">
        <v>2</v>
      </c>
      <c r="E138" t="s">
        <v>51</v>
      </c>
      <c r="F138" t="s">
        <v>449</v>
      </c>
      <c r="G138" t="s">
        <v>84</v>
      </c>
      <c r="H138" t="s">
        <v>59</v>
      </c>
      <c r="I138" t="s">
        <v>427</v>
      </c>
      <c r="J138">
        <v>-3.05934565</v>
      </c>
      <c r="K138" t="s">
        <v>440</v>
      </c>
      <c r="L138" t="s">
        <v>384</v>
      </c>
      <c r="M138">
        <v>4.1785183859599999E-2</v>
      </c>
      <c r="N138">
        <v>0.12783532039230819</v>
      </c>
      <c r="O138">
        <v>29976.978999999999</v>
      </c>
      <c r="P138">
        <v>1.6679465999999999E-5</v>
      </c>
      <c r="Q138">
        <v>1</v>
      </c>
      <c r="R138" s="60">
        <v>0.12783532039230819</v>
      </c>
      <c r="S138" t="s">
        <v>336</v>
      </c>
      <c r="T138" t="s">
        <v>433</v>
      </c>
      <c r="U138" t="s">
        <v>425</v>
      </c>
      <c r="V138" t="s">
        <v>81</v>
      </c>
      <c r="W138">
        <v>111.133</v>
      </c>
      <c r="X138">
        <v>0.99819678194932504</v>
      </c>
      <c r="Y138">
        <v>110.9326029683743</v>
      </c>
      <c r="Z138">
        <v>682.07</v>
      </c>
      <c r="AA138">
        <v>1</v>
      </c>
      <c r="AB138">
        <v>75.663800506639092</v>
      </c>
      <c r="AC138">
        <v>0.92979999999999996</v>
      </c>
      <c r="AD138" s="62">
        <v>70.352000000000004</v>
      </c>
      <c r="AE138">
        <v>8.9176000000000002</v>
      </c>
      <c r="AF138">
        <v>8.9015196227113016</v>
      </c>
      <c r="AG138">
        <v>1</v>
      </c>
      <c r="AH138">
        <v>6071.4594890626977</v>
      </c>
      <c r="AI138">
        <v>1.0375922509225091</v>
      </c>
      <c r="AJ138" s="62">
        <v>6299.6993000000002</v>
      </c>
      <c r="AK138" s="60">
        <v>805.32407839070004</v>
      </c>
      <c r="AL138" t="s">
        <v>339</v>
      </c>
      <c r="AM138" t="s">
        <v>433</v>
      </c>
      <c r="AN138" t="s">
        <v>425</v>
      </c>
      <c r="AO138" t="s">
        <v>81</v>
      </c>
      <c r="AP138">
        <v>111.133</v>
      </c>
      <c r="AQ138">
        <v>1.0062587218588701</v>
      </c>
      <c r="AR138">
        <v>111.82855053634179</v>
      </c>
      <c r="AS138">
        <v>663.92</v>
      </c>
      <c r="AT138">
        <v>1</v>
      </c>
      <c r="AU138">
        <v>74.245211272088028</v>
      </c>
      <c r="AV138">
        <v>0.92979999999999996</v>
      </c>
      <c r="AW138" s="62">
        <v>69.033000000000001</v>
      </c>
      <c r="AX138">
        <v>8.9176000000000002</v>
      </c>
      <c r="AY138">
        <v>1</v>
      </c>
      <c r="AZ138">
        <v>5957.6282116020648</v>
      </c>
      <c r="BA138">
        <v>1.0375922509225091</v>
      </c>
      <c r="BB138" s="62">
        <v>6181.5888999999997</v>
      </c>
      <c r="BC138" s="60">
        <v>790.22539756503625</v>
      </c>
    </row>
    <row r="139" spans="1:55" x14ac:dyDescent="0.25">
      <c r="A139">
        <v>14570</v>
      </c>
      <c r="B139" t="s">
        <v>124</v>
      </c>
      <c r="C139">
        <v>2017</v>
      </c>
      <c r="D139">
        <v>2</v>
      </c>
      <c r="E139" t="s">
        <v>51</v>
      </c>
      <c r="F139" t="s">
        <v>449</v>
      </c>
      <c r="G139" t="s">
        <v>84</v>
      </c>
      <c r="H139" t="s">
        <v>59</v>
      </c>
      <c r="I139" t="s">
        <v>427</v>
      </c>
      <c r="J139">
        <v>-3.05934565</v>
      </c>
      <c r="K139" t="s">
        <v>440</v>
      </c>
      <c r="L139" t="s">
        <v>385</v>
      </c>
      <c r="M139">
        <v>0.43497567483749999</v>
      </c>
      <c r="N139">
        <v>1.3307409378058099</v>
      </c>
      <c r="O139">
        <v>29976.978999999999</v>
      </c>
      <c r="P139">
        <v>1.6679465999999999E-5</v>
      </c>
      <c r="Q139">
        <v>1</v>
      </c>
      <c r="R139" s="60">
        <v>1.3307409378058099</v>
      </c>
      <c r="S139" t="s">
        <v>336</v>
      </c>
      <c r="T139" t="s">
        <v>433</v>
      </c>
      <c r="U139" t="s">
        <v>425</v>
      </c>
      <c r="V139" t="s">
        <v>27</v>
      </c>
      <c r="W139">
        <v>111.133</v>
      </c>
      <c r="X139">
        <v>0.99819678194932504</v>
      </c>
      <c r="Y139">
        <v>110.9326029683743</v>
      </c>
      <c r="Z139">
        <v>682.07</v>
      </c>
      <c r="AA139">
        <v>1</v>
      </c>
      <c r="AB139">
        <v>75.663800506639092</v>
      </c>
      <c r="AC139">
        <v>0.99739999999999995</v>
      </c>
      <c r="AD139" s="62">
        <v>75.466999999999999</v>
      </c>
      <c r="AE139">
        <v>8.9176000000000002</v>
      </c>
      <c r="AF139">
        <v>8.9015196227113016</v>
      </c>
      <c r="AG139">
        <v>1</v>
      </c>
      <c r="AH139">
        <v>6071.4594890626977</v>
      </c>
      <c r="AI139">
        <v>1.0108695652173909</v>
      </c>
      <c r="AJ139" s="62">
        <v>6137.4535999999998</v>
      </c>
      <c r="AK139" s="60">
        <v>8167.3607594036457</v>
      </c>
      <c r="AL139" t="s">
        <v>339</v>
      </c>
      <c r="AM139" t="s">
        <v>433</v>
      </c>
      <c r="AN139" t="s">
        <v>425</v>
      </c>
      <c r="AO139" t="s">
        <v>27</v>
      </c>
      <c r="AP139">
        <v>111.133</v>
      </c>
      <c r="AQ139">
        <v>1.0062587218588701</v>
      </c>
      <c r="AR139">
        <v>111.82855053634179</v>
      </c>
      <c r="AS139">
        <v>663.92</v>
      </c>
      <c r="AT139">
        <v>1</v>
      </c>
      <c r="AU139">
        <v>74.245211272088028</v>
      </c>
      <c r="AV139">
        <v>0.99739999999999995</v>
      </c>
      <c r="AW139" s="62">
        <v>74.052000000000007</v>
      </c>
      <c r="AX139">
        <v>8.9176000000000002</v>
      </c>
      <c r="AY139">
        <v>1</v>
      </c>
      <c r="AZ139">
        <v>5957.6282116020648</v>
      </c>
      <c r="BA139">
        <v>1.0108695652173909</v>
      </c>
      <c r="BB139" s="62">
        <v>6022.3850000000002</v>
      </c>
      <c r="BC139" s="60">
        <v>8014.2342627276439</v>
      </c>
    </row>
    <row r="140" spans="1:55" x14ac:dyDescent="0.25">
      <c r="A140">
        <v>14571</v>
      </c>
      <c r="B140" t="s">
        <v>124</v>
      </c>
      <c r="C140">
        <v>2017</v>
      </c>
      <c r="D140">
        <v>2</v>
      </c>
      <c r="E140" t="s">
        <v>51</v>
      </c>
      <c r="F140" t="s">
        <v>449</v>
      </c>
      <c r="G140" t="s">
        <v>84</v>
      </c>
      <c r="H140" t="s">
        <v>59</v>
      </c>
      <c r="I140" t="s">
        <v>427</v>
      </c>
      <c r="J140">
        <v>-3.05934565</v>
      </c>
      <c r="K140" t="s">
        <v>440</v>
      </c>
      <c r="L140" t="s">
        <v>451</v>
      </c>
      <c r="M140">
        <v>1.7625750762999999E-3</v>
      </c>
      <c r="N140">
        <v>5.3923263889753426E-3</v>
      </c>
      <c r="O140">
        <v>29976.978999999999</v>
      </c>
      <c r="P140">
        <v>1.6679465999999999E-5</v>
      </c>
      <c r="Q140">
        <v>1</v>
      </c>
      <c r="R140" s="60">
        <v>5.3923263889753426E-3</v>
      </c>
      <c r="S140" t="s">
        <v>336</v>
      </c>
      <c r="T140" t="s">
        <v>433</v>
      </c>
      <c r="U140" t="s">
        <v>425</v>
      </c>
      <c r="V140" t="s">
        <v>91</v>
      </c>
      <c r="W140">
        <v>111.133</v>
      </c>
      <c r="X140">
        <v>0.99819678194932504</v>
      </c>
      <c r="Y140">
        <v>110.9326029683743</v>
      </c>
      <c r="Z140">
        <v>682.07</v>
      </c>
      <c r="AA140">
        <v>1</v>
      </c>
      <c r="AB140">
        <v>75.663800506639092</v>
      </c>
      <c r="AC140">
        <v>1.0269999999999999</v>
      </c>
      <c r="AD140" s="62">
        <v>77.706999999999994</v>
      </c>
      <c r="AE140">
        <v>8.9176000000000002</v>
      </c>
      <c r="AF140">
        <v>8.9015196227113016</v>
      </c>
      <c r="AG140">
        <v>1</v>
      </c>
      <c r="AH140">
        <v>6071.4594890626977</v>
      </c>
      <c r="AI140">
        <v>0.98496680983990625</v>
      </c>
      <c r="AJ140" s="62">
        <v>5980.1860999999999</v>
      </c>
      <c r="AK140" s="60">
        <v>32.247115318013527</v>
      </c>
      <c r="AL140" t="s">
        <v>339</v>
      </c>
      <c r="AM140" t="s">
        <v>433</v>
      </c>
      <c r="AN140" t="s">
        <v>425</v>
      </c>
      <c r="AO140" t="s">
        <v>91</v>
      </c>
      <c r="AP140">
        <v>111.133</v>
      </c>
      <c r="AQ140">
        <v>1.0062587218588701</v>
      </c>
      <c r="AR140">
        <v>111.82855053634179</v>
      </c>
      <c r="AS140">
        <v>663.92</v>
      </c>
      <c r="AT140">
        <v>1</v>
      </c>
      <c r="AU140">
        <v>74.245211272088028</v>
      </c>
      <c r="AV140">
        <v>1.0269999999999999</v>
      </c>
      <c r="AW140" s="62">
        <v>76.25</v>
      </c>
      <c r="AX140">
        <v>8.9176000000000002</v>
      </c>
      <c r="AY140">
        <v>1</v>
      </c>
      <c r="AZ140">
        <v>5957.6282116020648</v>
      </c>
      <c r="BA140">
        <v>0.98496680983990625</v>
      </c>
      <c r="BB140" s="62">
        <v>5868.0661</v>
      </c>
      <c r="BC140" s="60">
        <v>31.642527683281621</v>
      </c>
    </row>
    <row r="141" spans="1:55" x14ac:dyDescent="0.25">
      <c r="A141">
        <v>14572</v>
      </c>
      <c r="B141" t="s">
        <v>124</v>
      </c>
      <c r="C141">
        <v>2017</v>
      </c>
      <c r="D141">
        <v>2</v>
      </c>
      <c r="E141" t="s">
        <v>51</v>
      </c>
      <c r="F141" t="s">
        <v>449</v>
      </c>
      <c r="G141" t="s">
        <v>84</v>
      </c>
      <c r="H141" t="s">
        <v>59</v>
      </c>
      <c r="I141" t="s">
        <v>427</v>
      </c>
      <c r="J141">
        <v>-3.05934565</v>
      </c>
      <c r="K141" t="s">
        <v>440</v>
      </c>
      <c r="L141" t="s">
        <v>452</v>
      </c>
      <c r="M141">
        <v>1.4858046103299999E-3</v>
      </c>
      <c r="N141">
        <v>4.5455898684113741E-3</v>
      </c>
      <c r="O141">
        <v>29976.978999999999</v>
      </c>
      <c r="P141">
        <v>1.6679465999999999E-5</v>
      </c>
      <c r="Q141">
        <v>1</v>
      </c>
      <c r="R141" s="60">
        <v>4.5455898684113741E-3</v>
      </c>
      <c r="S141" t="s">
        <v>336</v>
      </c>
      <c r="T141" t="s">
        <v>433</v>
      </c>
      <c r="U141" t="s">
        <v>425</v>
      </c>
      <c r="V141" t="s">
        <v>28</v>
      </c>
      <c r="W141">
        <v>111.133</v>
      </c>
      <c r="X141">
        <v>0.99819678194932504</v>
      </c>
      <c r="Y141">
        <v>110.9326029683743</v>
      </c>
      <c r="Z141">
        <v>682.07</v>
      </c>
      <c r="AA141">
        <v>1</v>
      </c>
      <c r="AB141">
        <v>75.663800506639092</v>
      </c>
      <c r="AC141">
        <v>1.0196000000000001</v>
      </c>
      <c r="AD141" s="62">
        <v>77.147000000000006</v>
      </c>
      <c r="AE141">
        <v>8.9176000000000002</v>
      </c>
      <c r="AF141">
        <v>8.9015196227113016</v>
      </c>
      <c r="AG141">
        <v>1</v>
      </c>
      <c r="AH141">
        <v>6071.4594890626977</v>
      </c>
      <c r="AI141">
        <v>0.97991730655640863</v>
      </c>
      <c r="AJ141" s="62">
        <v>5949.5281999999997</v>
      </c>
      <c r="AK141" s="60">
        <v>27.044115107747761</v>
      </c>
      <c r="AL141" t="s">
        <v>339</v>
      </c>
      <c r="AM141" t="s">
        <v>433</v>
      </c>
      <c r="AN141" t="s">
        <v>425</v>
      </c>
      <c r="AO141" t="s">
        <v>28</v>
      </c>
      <c r="AP141">
        <v>111.133</v>
      </c>
      <c r="AQ141">
        <v>1.0062587218588701</v>
      </c>
      <c r="AR141">
        <v>111.82855053634179</v>
      </c>
      <c r="AS141">
        <v>663.92</v>
      </c>
      <c r="AT141">
        <v>1</v>
      </c>
      <c r="AU141">
        <v>74.245211272088028</v>
      </c>
      <c r="AV141">
        <v>1.0196000000000001</v>
      </c>
      <c r="AW141" s="62">
        <v>75.7</v>
      </c>
      <c r="AX141">
        <v>8.9176000000000002</v>
      </c>
      <c r="AY141">
        <v>1</v>
      </c>
      <c r="AZ141">
        <v>5957.6282116020648</v>
      </c>
      <c r="BA141">
        <v>0.97991730655640863</v>
      </c>
      <c r="BB141" s="62">
        <v>5837.9830000000002</v>
      </c>
      <c r="BC141" s="60">
        <v>26.537076376757842</v>
      </c>
    </row>
    <row r="142" spans="1:55" x14ac:dyDescent="0.25">
      <c r="A142">
        <v>16887</v>
      </c>
      <c r="B142" t="s">
        <v>125</v>
      </c>
      <c r="C142">
        <v>2017</v>
      </c>
      <c r="D142">
        <v>3</v>
      </c>
      <c r="E142" t="s">
        <v>51</v>
      </c>
      <c r="F142" t="s">
        <v>449</v>
      </c>
      <c r="G142" t="s">
        <v>84</v>
      </c>
      <c r="H142" t="s">
        <v>381</v>
      </c>
      <c r="I142" t="s">
        <v>427</v>
      </c>
      <c r="J142">
        <v>-4.5373942999999999</v>
      </c>
      <c r="K142" t="s">
        <v>440</v>
      </c>
      <c r="L142" t="s">
        <v>450</v>
      </c>
      <c r="M142">
        <v>0.15011157993331001</v>
      </c>
      <c r="N142">
        <v>0.68111542682041293</v>
      </c>
      <c r="O142">
        <v>29976.978999999999</v>
      </c>
      <c r="P142">
        <v>1.6679465999999999E-5</v>
      </c>
      <c r="Q142">
        <v>1</v>
      </c>
      <c r="R142" s="60">
        <v>0.68111542682041293</v>
      </c>
      <c r="S142" t="s">
        <v>336</v>
      </c>
      <c r="T142" t="s">
        <v>433</v>
      </c>
      <c r="U142" t="s">
        <v>425</v>
      </c>
      <c r="V142" t="s">
        <v>26</v>
      </c>
      <c r="W142">
        <v>111.133</v>
      </c>
      <c r="X142">
        <v>0.99819678194932504</v>
      </c>
      <c r="Y142">
        <v>110.9326029683743</v>
      </c>
      <c r="Z142">
        <v>682.07</v>
      </c>
      <c r="AA142">
        <v>1</v>
      </c>
      <c r="AB142">
        <v>75.663800506639092</v>
      </c>
      <c r="AC142">
        <v>1.0178</v>
      </c>
      <c r="AD142" s="62">
        <v>77.010999999999996</v>
      </c>
      <c r="AE142">
        <v>8.9176000000000002</v>
      </c>
      <c r="AF142">
        <v>8.9015196227113016</v>
      </c>
      <c r="AG142">
        <v>1</v>
      </c>
      <c r="AH142">
        <v>6071.4594890626977</v>
      </c>
      <c r="AI142">
        <v>1.0020831266739409</v>
      </c>
      <c r="AJ142" s="62">
        <v>6084.1071000000002</v>
      </c>
      <c r="AK142" s="60">
        <v>4143.9792042376048</v>
      </c>
      <c r="AL142" t="s">
        <v>339</v>
      </c>
      <c r="AM142" t="s">
        <v>433</v>
      </c>
      <c r="AN142" t="s">
        <v>425</v>
      </c>
      <c r="AO142" t="s">
        <v>26</v>
      </c>
      <c r="AP142">
        <v>111.133</v>
      </c>
      <c r="AQ142">
        <v>1.0062587218588701</v>
      </c>
      <c r="AR142">
        <v>111.82855053634179</v>
      </c>
      <c r="AS142">
        <v>663.92</v>
      </c>
      <c r="AT142">
        <v>1</v>
      </c>
      <c r="AU142">
        <v>74.245211272088028</v>
      </c>
      <c r="AV142">
        <v>1.0178</v>
      </c>
      <c r="AW142" s="62">
        <v>75.566999999999993</v>
      </c>
      <c r="AX142">
        <v>8.9176000000000002</v>
      </c>
      <c r="AY142">
        <v>1</v>
      </c>
      <c r="AZ142">
        <v>5957.6282116020648</v>
      </c>
      <c r="BA142">
        <v>1.0020831266739409</v>
      </c>
      <c r="BB142" s="62">
        <v>5970.0387000000001</v>
      </c>
      <c r="BC142" s="60">
        <v>4066.2854572848828</v>
      </c>
    </row>
    <row r="143" spans="1:55" x14ac:dyDescent="0.25">
      <c r="A143">
        <v>16888</v>
      </c>
      <c r="B143" t="s">
        <v>125</v>
      </c>
      <c r="C143">
        <v>2017</v>
      </c>
      <c r="D143">
        <v>3</v>
      </c>
      <c r="E143" t="s">
        <v>51</v>
      </c>
      <c r="F143" t="s">
        <v>449</v>
      </c>
      <c r="G143" t="s">
        <v>84</v>
      </c>
      <c r="H143" t="s">
        <v>381</v>
      </c>
      <c r="I143" t="s">
        <v>427</v>
      </c>
      <c r="J143">
        <v>-4.5373942999999999</v>
      </c>
      <c r="K143" t="s">
        <v>440</v>
      </c>
      <c r="L143" t="s">
        <v>384</v>
      </c>
      <c r="M143">
        <v>4.5811354346740003E-2</v>
      </c>
      <c r="N143">
        <v>0.2078641779865581</v>
      </c>
      <c r="O143">
        <v>29976.978999999999</v>
      </c>
      <c r="P143">
        <v>1.6679465999999999E-5</v>
      </c>
      <c r="Q143">
        <v>1</v>
      </c>
      <c r="R143" s="60">
        <v>0.2078641779865581</v>
      </c>
      <c r="S143" t="s">
        <v>336</v>
      </c>
      <c r="T143" t="s">
        <v>433</v>
      </c>
      <c r="U143" t="s">
        <v>425</v>
      </c>
      <c r="V143" t="s">
        <v>81</v>
      </c>
      <c r="W143">
        <v>111.133</v>
      </c>
      <c r="X143">
        <v>0.99819678194932504</v>
      </c>
      <c r="Y143">
        <v>110.9326029683743</v>
      </c>
      <c r="Z143">
        <v>682.07</v>
      </c>
      <c r="AA143">
        <v>1</v>
      </c>
      <c r="AB143">
        <v>75.663800506639092</v>
      </c>
      <c r="AC143">
        <v>0.92979999999999996</v>
      </c>
      <c r="AD143" s="62">
        <v>70.352000000000004</v>
      </c>
      <c r="AE143">
        <v>8.9176000000000002</v>
      </c>
      <c r="AF143">
        <v>8.9015196227113016</v>
      </c>
      <c r="AG143">
        <v>1</v>
      </c>
      <c r="AH143">
        <v>6071.4594890626977</v>
      </c>
      <c r="AI143">
        <v>1.0375922509225091</v>
      </c>
      <c r="AJ143" s="62">
        <v>6299.6993000000002</v>
      </c>
      <c r="AK143" s="60">
        <v>1309.481816556995</v>
      </c>
      <c r="AL143" t="s">
        <v>339</v>
      </c>
      <c r="AM143" t="s">
        <v>433</v>
      </c>
      <c r="AN143" t="s">
        <v>425</v>
      </c>
      <c r="AO143" t="s">
        <v>81</v>
      </c>
      <c r="AP143">
        <v>111.133</v>
      </c>
      <c r="AQ143">
        <v>1.0062587218588701</v>
      </c>
      <c r="AR143">
        <v>111.82855053634179</v>
      </c>
      <c r="AS143">
        <v>663.92</v>
      </c>
      <c r="AT143">
        <v>1</v>
      </c>
      <c r="AU143">
        <v>74.245211272088028</v>
      </c>
      <c r="AV143">
        <v>0.92979999999999996</v>
      </c>
      <c r="AW143" s="62">
        <v>69.033000000000001</v>
      </c>
      <c r="AX143">
        <v>8.9176000000000002</v>
      </c>
      <c r="AY143">
        <v>1</v>
      </c>
      <c r="AZ143">
        <v>5957.6282116020648</v>
      </c>
      <c r="BA143">
        <v>1.0375922509225091</v>
      </c>
      <c r="BB143" s="62">
        <v>6181.5888999999997</v>
      </c>
      <c r="BC143" s="60">
        <v>1284.9308953493321</v>
      </c>
    </row>
    <row r="144" spans="1:55" x14ac:dyDescent="0.25">
      <c r="A144">
        <v>16889</v>
      </c>
      <c r="B144" t="s">
        <v>125</v>
      </c>
      <c r="C144">
        <v>2017</v>
      </c>
      <c r="D144">
        <v>3</v>
      </c>
      <c r="E144" t="s">
        <v>51</v>
      </c>
      <c r="F144" t="s">
        <v>449</v>
      </c>
      <c r="G144" t="s">
        <v>84</v>
      </c>
      <c r="H144" t="s">
        <v>381</v>
      </c>
      <c r="I144" t="s">
        <v>427</v>
      </c>
      <c r="J144">
        <v>-4.5373942999999999</v>
      </c>
      <c r="K144" t="s">
        <v>440</v>
      </c>
      <c r="L144" t="s">
        <v>385</v>
      </c>
      <c r="M144">
        <v>0.43232641346992001</v>
      </c>
      <c r="N144">
        <v>1.9616354032588581</v>
      </c>
      <c r="O144">
        <v>29976.978999999999</v>
      </c>
      <c r="P144">
        <v>1.6679465999999999E-5</v>
      </c>
      <c r="Q144">
        <v>1</v>
      </c>
      <c r="R144" s="60">
        <v>1.9616354032588581</v>
      </c>
      <c r="S144" t="s">
        <v>336</v>
      </c>
      <c r="T144" t="s">
        <v>433</v>
      </c>
      <c r="U144" t="s">
        <v>425</v>
      </c>
      <c r="V144" t="s">
        <v>27</v>
      </c>
      <c r="W144">
        <v>111.133</v>
      </c>
      <c r="X144">
        <v>0.99819678194932504</v>
      </c>
      <c r="Y144">
        <v>110.9326029683743</v>
      </c>
      <c r="Z144">
        <v>682.07</v>
      </c>
      <c r="AA144">
        <v>1</v>
      </c>
      <c r="AB144">
        <v>75.663800506639092</v>
      </c>
      <c r="AC144">
        <v>0.99739999999999995</v>
      </c>
      <c r="AD144" s="62">
        <v>75.466999999999999</v>
      </c>
      <c r="AE144">
        <v>8.9176000000000002</v>
      </c>
      <c r="AF144">
        <v>8.9015196227113016</v>
      </c>
      <c r="AG144">
        <v>1</v>
      </c>
      <c r="AH144">
        <v>6071.4594890626977</v>
      </c>
      <c r="AI144">
        <v>1.0108695652173909</v>
      </c>
      <c r="AJ144" s="62">
        <v>6137.4535999999998</v>
      </c>
      <c r="AK144" s="60">
        <v>12039.44626761853</v>
      </c>
      <c r="AL144" t="s">
        <v>339</v>
      </c>
      <c r="AM144" t="s">
        <v>433</v>
      </c>
      <c r="AN144" t="s">
        <v>425</v>
      </c>
      <c r="AO144" t="s">
        <v>27</v>
      </c>
      <c r="AP144">
        <v>111.133</v>
      </c>
      <c r="AQ144">
        <v>1.0062587218588701</v>
      </c>
      <c r="AR144">
        <v>111.82855053634179</v>
      </c>
      <c r="AS144">
        <v>663.92</v>
      </c>
      <c r="AT144">
        <v>1</v>
      </c>
      <c r="AU144">
        <v>74.245211272088028</v>
      </c>
      <c r="AV144">
        <v>0.99739999999999995</v>
      </c>
      <c r="AW144" s="62">
        <v>74.052000000000007</v>
      </c>
      <c r="AX144">
        <v>8.9176000000000002</v>
      </c>
      <c r="AY144">
        <v>1</v>
      </c>
      <c r="AZ144">
        <v>5957.6282116020648</v>
      </c>
      <c r="BA144">
        <v>1.0108695652173909</v>
      </c>
      <c r="BB144" s="62">
        <v>6022.3850000000002</v>
      </c>
      <c r="BC144" s="60">
        <v>11813.723628055101</v>
      </c>
    </row>
    <row r="145" spans="1:55" x14ac:dyDescent="0.25">
      <c r="A145">
        <v>16890</v>
      </c>
      <c r="B145" t="s">
        <v>125</v>
      </c>
      <c r="C145">
        <v>2017</v>
      </c>
      <c r="D145">
        <v>3</v>
      </c>
      <c r="E145" t="s">
        <v>51</v>
      </c>
      <c r="F145" t="s">
        <v>449</v>
      </c>
      <c r="G145" t="s">
        <v>84</v>
      </c>
      <c r="H145" t="s">
        <v>381</v>
      </c>
      <c r="I145" t="s">
        <v>427</v>
      </c>
      <c r="J145">
        <v>-4.5373942999999999</v>
      </c>
      <c r="K145" t="s">
        <v>440</v>
      </c>
      <c r="L145" t="s">
        <v>451</v>
      </c>
      <c r="M145">
        <v>1.6825115802299999E-3</v>
      </c>
      <c r="N145">
        <v>7.6342184500873926E-3</v>
      </c>
      <c r="O145">
        <v>29976.978999999999</v>
      </c>
      <c r="P145">
        <v>1.6679465999999999E-5</v>
      </c>
      <c r="Q145">
        <v>1</v>
      </c>
      <c r="R145" s="60">
        <v>7.6342184500873926E-3</v>
      </c>
      <c r="S145" t="s">
        <v>336</v>
      </c>
      <c r="T145" t="s">
        <v>433</v>
      </c>
      <c r="U145" t="s">
        <v>425</v>
      </c>
      <c r="V145" t="s">
        <v>91</v>
      </c>
      <c r="W145">
        <v>111.133</v>
      </c>
      <c r="X145">
        <v>0.99819678194932504</v>
      </c>
      <c r="Y145">
        <v>110.9326029683743</v>
      </c>
      <c r="Z145">
        <v>682.07</v>
      </c>
      <c r="AA145">
        <v>1</v>
      </c>
      <c r="AB145">
        <v>75.663800506639092</v>
      </c>
      <c r="AC145">
        <v>1.0269999999999999</v>
      </c>
      <c r="AD145" s="62">
        <v>77.706999999999994</v>
      </c>
      <c r="AE145">
        <v>8.9176000000000002</v>
      </c>
      <c r="AF145">
        <v>8.9015196227113016</v>
      </c>
      <c r="AG145">
        <v>1</v>
      </c>
      <c r="AH145">
        <v>6071.4594890626977</v>
      </c>
      <c r="AI145">
        <v>0.98496680983990625</v>
      </c>
      <c r="AJ145" s="62">
        <v>5980.1860999999999</v>
      </c>
      <c r="AK145" s="60">
        <v>45.654047059576172</v>
      </c>
      <c r="AL145" t="s">
        <v>339</v>
      </c>
      <c r="AM145" t="s">
        <v>433</v>
      </c>
      <c r="AN145" t="s">
        <v>425</v>
      </c>
      <c r="AO145" t="s">
        <v>91</v>
      </c>
      <c r="AP145">
        <v>111.133</v>
      </c>
      <c r="AQ145">
        <v>1.0062587218588701</v>
      </c>
      <c r="AR145">
        <v>111.82855053634179</v>
      </c>
      <c r="AS145">
        <v>663.92</v>
      </c>
      <c r="AT145">
        <v>1</v>
      </c>
      <c r="AU145">
        <v>74.245211272088028</v>
      </c>
      <c r="AV145">
        <v>1.0269999999999999</v>
      </c>
      <c r="AW145" s="62">
        <v>76.25</v>
      </c>
      <c r="AX145">
        <v>8.9176000000000002</v>
      </c>
      <c r="AY145">
        <v>1</v>
      </c>
      <c r="AZ145">
        <v>5957.6282116020648</v>
      </c>
      <c r="BA145">
        <v>0.98496680983990625</v>
      </c>
      <c r="BB145" s="62">
        <v>5868.0661</v>
      </c>
      <c r="BC145" s="60">
        <v>44.798098486952377</v>
      </c>
    </row>
    <row r="146" spans="1:55" x14ac:dyDescent="0.25">
      <c r="A146">
        <v>16891</v>
      </c>
      <c r="B146" t="s">
        <v>125</v>
      </c>
      <c r="C146">
        <v>2017</v>
      </c>
      <c r="D146">
        <v>3</v>
      </c>
      <c r="E146" t="s">
        <v>51</v>
      </c>
      <c r="F146" t="s">
        <v>449</v>
      </c>
      <c r="G146" t="s">
        <v>84</v>
      </c>
      <c r="H146" t="s">
        <v>381</v>
      </c>
      <c r="I146" t="s">
        <v>427</v>
      </c>
      <c r="J146">
        <v>-4.5373942999999999</v>
      </c>
      <c r="K146" t="s">
        <v>440</v>
      </c>
      <c r="L146" t="s">
        <v>452</v>
      </c>
      <c r="M146">
        <v>1.53682162831E-3</v>
      </c>
      <c r="N146">
        <v>6.973165693001486E-3</v>
      </c>
      <c r="O146">
        <v>29976.978999999999</v>
      </c>
      <c r="P146">
        <v>1.6679465999999999E-5</v>
      </c>
      <c r="Q146">
        <v>1</v>
      </c>
      <c r="R146" s="60">
        <v>6.973165693001486E-3</v>
      </c>
      <c r="S146" t="s">
        <v>336</v>
      </c>
      <c r="T146" t="s">
        <v>433</v>
      </c>
      <c r="U146" t="s">
        <v>425</v>
      </c>
      <c r="V146" t="s">
        <v>28</v>
      </c>
      <c r="W146">
        <v>111.133</v>
      </c>
      <c r="X146">
        <v>0.99819678194932504</v>
      </c>
      <c r="Y146">
        <v>110.9326029683743</v>
      </c>
      <c r="Z146">
        <v>682.07</v>
      </c>
      <c r="AA146">
        <v>1</v>
      </c>
      <c r="AB146">
        <v>75.663800506639092</v>
      </c>
      <c r="AC146">
        <v>1.0196000000000001</v>
      </c>
      <c r="AD146" s="62">
        <v>77.147000000000006</v>
      </c>
      <c r="AE146">
        <v>8.9176000000000002</v>
      </c>
      <c r="AF146">
        <v>8.9015196227113016</v>
      </c>
      <c r="AG146">
        <v>1</v>
      </c>
      <c r="AH146">
        <v>6071.4594890626977</v>
      </c>
      <c r="AI146">
        <v>0.97991730655640863</v>
      </c>
      <c r="AJ146" s="62">
        <v>5949.5281999999997</v>
      </c>
      <c r="AK146" s="60">
        <v>41.487045933784877</v>
      </c>
      <c r="AL146" t="s">
        <v>339</v>
      </c>
      <c r="AM146" t="s">
        <v>433</v>
      </c>
      <c r="AN146" t="s">
        <v>425</v>
      </c>
      <c r="AO146" t="s">
        <v>28</v>
      </c>
      <c r="AP146">
        <v>111.133</v>
      </c>
      <c r="AQ146">
        <v>1.0062587218588701</v>
      </c>
      <c r="AR146">
        <v>111.82855053634179</v>
      </c>
      <c r="AS146">
        <v>663.92</v>
      </c>
      <c r="AT146">
        <v>1</v>
      </c>
      <c r="AU146">
        <v>74.245211272088028</v>
      </c>
      <c r="AV146">
        <v>1.0196000000000001</v>
      </c>
      <c r="AW146" s="62">
        <v>75.7</v>
      </c>
      <c r="AX146">
        <v>8.9176000000000002</v>
      </c>
      <c r="AY146">
        <v>1</v>
      </c>
      <c r="AZ146">
        <v>5957.6282116020648</v>
      </c>
      <c r="BA146">
        <v>0.97991730655640863</v>
      </c>
      <c r="BB146" s="62">
        <v>5837.9830000000002</v>
      </c>
      <c r="BC146" s="60">
        <v>40.709222771925887</v>
      </c>
    </row>
    <row r="147" spans="1:55" x14ac:dyDescent="0.25">
      <c r="A147">
        <v>16892</v>
      </c>
      <c r="B147" t="s">
        <v>125</v>
      </c>
      <c r="C147">
        <v>2017</v>
      </c>
      <c r="D147">
        <v>3</v>
      </c>
      <c r="E147" t="s">
        <v>51</v>
      </c>
      <c r="F147" t="s">
        <v>449</v>
      </c>
      <c r="G147" t="s">
        <v>84</v>
      </c>
      <c r="H147" t="s">
        <v>87</v>
      </c>
      <c r="I147" t="s">
        <v>427</v>
      </c>
      <c r="J147">
        <v>-0.93328485999999999</v>
      </c>
      <c r="K147" t="s">
        <v>440</v>
      </c>
      <c r="L147" t="s">
        <v>450</v>
      </c>
      <c r="M147">
        <v>0.26601384014995</v>
      </c>
      <c r="N147">
        <v>0.24826668904464011</v>
      </c>
      <c r="O147">
        <v>29976.978999999999</v>
      </c>
      <c r="P147">
        <v>1.6679465999999999E-5</v>
      </c>
      <c r="Q147">
        <v>1</v>
      </c>
      <c r="R147" s="60">
        <v>0.24826668904464011</v>
      </c>
      <c r="S147" t="s">
        <v>336</v>
      </c>
      <c r="T147" t="s">
        <v>433</v>
      </c>
      <c r="U147" t="s">
        <v>425</v>
      </c>
      <c r="V147" t="s">
        <v>26</v>
      </c>
      <c r="W147">
        <v>111.133</v>
      </c>
      <c r="X147">
        <v>0.99819678194932504</v>
      </c>
      <c r="Y147">
        <v>110.9326029683743</v>
      </c>
      <c r="Z147">
        <v>682.07</v>
      </c>
      <c r="AA147">
        <v>1</v>
      </c>
      <c r="AB147">
        <v>75.663800506639092</v>
      </c>
      <c r="AC147">
        <v>1.0178</v>
      </c>
      <c r="AD147" s="62">
        <v>77.010999999999996</v>
      </c>
      <c r="AE147">
        <v>8.9176000000000002</v>
      </c>
      <c r="AF147">
        <v>8.9015196227113016</v>
      </c>
      <c r="AG147">
        <v>1</v>
      </c>
      <c r="AH147">
        <v>6071.4594890626977</v>
      </c>
      <c r="AI147">
        <v>1.0020831266739409</v>
      </c>
      <c r="AJ147" s="62">
        <v>6084.1071000000002</v>
      </c>
      <c r="AK147" s="60">
        <v>1510.4811255099869</v>
      </c>
      <c r="AL147" t="s">
        <v>339</v>
      </c>
      <c r="AM147" t="s">
        <v>433</v>
      </c>
      <c r="AN147" t="s">
        <v>425</v>
      </c>
      <c r="AO147" t="s">
        <v>26</v>
      </c>
      <c r="AP147">
        <v>111.133</v>
      </c>
      <c r="AQ147">
        <v>1.0062587218588701</v>
      </c>
      <c r="AR147">
        <v>111.82855053634179</v>
      </c>
      <c r="AS147">
        <v>663.92</v>
      </c>
      <c r="AT147">
        <v>1</v>
      </c>
      <c r="AU147">
        <v>74.245211272088028</v>
      </c>
      <c r="AV147">
        <v>1.0178</v>
      </c>
      <c r="AW147" s="62">
        <v>75.566999999999993</v>
      </c>
      <c r="AX147">
        <v>8.9176000000000002</v>
      </c>
      <c r="AY147">
        <v>1</v>
      </c>
      <c r="AZ147">
        <v>5957.6282116020648</v>
      </c>
      <c r="BA147">
        <v>1.0020831266739409</v>
      </c>
      <c r="BB147" s="62">
        <v>5970.0387000000001</v>
      </c>
      <c r="BC147" s="60">
        <v>1482.1617415173671</v>
      </c>
    </row>
    <row r="148" spans="1:55" x14ac:dyDescent="0.25">
      <c r="A148">
        <v>16893</v>
      </c>
      <c r="B148" t="s">
        <v>125</v>
      </c>
      <c r="C148">
        <v>2017</v>
      </c>
      <c r="D148">
        <v>3</v>
      </c>
      <c r="E148" t="s">
        <v>51</v>
      </c>
      <c r="F148" t="s">
        <v>449</v>
      </c>
      <c r="G148" t="s">
        <v>84</v>
      </c>
      <c r="H148" t="s">
        <v>87</v>
      </c>
      <c r="I148" t="s">
        <v>427</v>
      </c>
      <c r="J148">
        <v>-0.93328485999999999</v>
      </c>
      <c r="K148" t="s">
        <v>440</v>
      </c>
      <c r="L148" t="s">
        <v>384</v>
      </c>
      <c r="M148">
        <v>3.9509559941419997E-2</v>
      </c>
      <c r="N148">
        <v>3.6873674041688509E-2</v>
      </c>
      <c r="O148">
        <v>29976.978999999999</v>
      </c>
      <c r="P148">
        <v>1.6679465999999999E-5</v>
      </c>
      <c r="Q148">
        <v>1</v>
      </c>
      <c r="R148" s="60">
        <v>3.6873674041688509E-2</v>
      </c>
      <c r="S148" t="s">
        <v>336</v>
      </c>
      <c r="T148" t="s">
        <v>433</v>
      </c>
      <c r="U148" t="s">
        <v>425</v>
      </c>
      <c r="V148" t="s">
        <v>81</v>
      </c>
      <c r="W148">
        <v>111.133</v>
      </c>
      <c r="X148">
        <v>0.99819678194932504</v>
      </c>
      <c r="Y148">
        <v>110.9326029683743</v>
      </c>
      <c r="Z148">
        <v>682.07</v>
      </c>
      <c r="AA148">
        <v>1</v>
      </c>
      <c r="AB148">
        <v>75.663800506639092</v>
      </c>
      <c r="AC148">
        <v>0.92979999999999996</v>
      </c>
      <c r="AD148" s="62">
        <v>70.352000000000004</v>
      </c>
      <c r="AE148">
        <v>8.9176000000000002</v>
      </c>
      <c r="AF148">
        <v>8.9015196227113016</v>
      </c>
      <c r="AG148">
        <v>1</v>
      </c>
      <c r="AH148">
        <v>6071.4594890626977</v>
      </c>
      <c r="AI148">
        <v>1.0375922509225091</v>
      </c>
      <c r="AJ148" s="62">
        <v>6299.6993000000002</v>
      </c>
      <c r="AK148" s="60">
        <v>232.29305854885331</v>
      </c>
      <c r="AL148" t="s">
        <v>339</v>
      </c>
      <c r="AM148" t="s">
        <v>433</v>
      </c>
      <c r="AN148" t="s">
        <v>425</v>
      </c>
      <c r="AO148" t="s">
        <v>81</v>
      </c>
      <c r="AP148">
        <v>111.133</v>
      </c>
      <c r="AQ148">
        <v>1.0062587218588701</v>
      </c>
      <c r="AR148">
        <v>111.82855053634179</v>
      </c>
      <c r="AS148">
        <v>663.92</v>
      </c>
      <c r="AT148">
        <v>1</v>
      </c>
      <c r="AU148">
        <v>74.245211272088028</v>
      </c>
      <c r="AV148">
        <v>0.92979999999999996</v>
      </c>
      <c r="AW148" s="62">
        <v>69.033000000000001</v>
      </c>
      <c r="AX148">
        <v>8.9176000000000002</v>
      </c>
      <c r="AY148">
        <v>1</v>
      </c>
      <c r="AZ148">
        <v>5957.6282116020648</v>
      </c>
      <c r="BA148">
        <v>1.0375922509225091</v>
      </c>
      <c r="BB148" s="62">
        <v>6181.5888999999997</v>
      </c>
      <c r="BC148" s="60">
        <v>227.93789415831981</v>
      </c>
    </row>
    <row r="149" spans="1:55" x14ac:dyDescent="0.25">
      <c r="A149">
        <v>16894</v>
      </c>
      <c r="B149" t="s">
        <v>125</v>
      </c>
      <c r="C149">
        <v>2017</v>
      </c>
      <c r="D149">
        <v>3</v>
      </c>
      <c r="E149" t="s">
        <v>51</v>
      </c>
      <c r="F149" t="s">
        <v>449</v>
      </c>
      <c r="G149" t="s">
        <v>84</v>
      </c>
      <c r="H149" t="s">
        <v>87</v>
      </c>
      <c r="I149" t="s">
        <v>427</v>
      </c>
      <c r="J149">
        <v>-0.93328485999999999</v>
      </c>
      <c r="K149" t="s">
        <v>440</v>
      </c>
      <c r="L149" t="s">
        <v>385</v>
      </c>
      <c r="M149">
        <v>0.39737542925016001</v>
      </c>
      <c r="N149">
        <v>0.37086447108172538</v>
      </c>
      <c r="O149">
        <v>29976.978999999999</v>
      </c>
      <c r="P149">
        <v>1.6679465999999999E-5</v>
      </c>
      <c r="Q149">
        <v>1</v>
      </c>
      <c r="R149" s="60">
        <v>0.37086447108172538</v>
      </c>
      <c r="S149" t="s">
        <v>336</v>
      </c>
      <c r="T149" t="s">
        <v>433</v>
      </c>
      <c r="U149" t="s">
        <v>425</v>
      </c>
      <c r="V149" t="s">
        <v>27</v>
      </c>
      <c r="W149">
        <v>111.133</v>
      </c>
      <c r="X149">
        <v>0.99819678194932504</v>
      </c>
      <c r="Y149">
        <v>110.9326029683743</v>
      </c>
      <c r="Z149">
        <v>682.07</v>
      </c>
      <c r="AA149">
        <v>1</v>
      </c>
      <c r="AB149">
        <v>75.663800506639092</v>
      </c>
      <c r="AC149">
        <v>0.99739999999999995</v>
      </c>
      <c r="AD149" s="62">
        <v>75.466999999999999</v>
      </c>
      <c r="AE149">
        <v>8.9176000000000002</v>
      </c>
      <c r="AF149">
        <v>8.9015196227113016</v>
      </c>
      <c r="AG149">
        <v>1</v>
      </c>
      <c r="AH149">
        <v>6071.4594890626977</v>
      </c>
      <c r="AI149">
        <v>1.0108695652173909</v>
      </c>
      <c r="AJ149" s="62">
        <v>6137.4535999999998</v>
      </c>
      <c r="AK149" s="60">
        <v>2276.1634831526312</v>
      </c>
      <c r="AL149" t="s">
        <v>339</v>
      </c>
      <c r="AM149" t="s">
        <v>433</v>
      </c>
      <c r="AN149" t="s">
        <v>425</v>
      </c>
      <c r="AO149" t="s">
        <v>27</v>
      </c>
      <c r="AP149">
        <v>111.133</v>
      </c>
      <c r="AQ149">
        <v>1.0062587218588701</v>
      </c>
      <c r="AR149">
        <v>111.82855053634179</v>
      </c>
      <c r="AS149">
        <v>663.92</v>
      </c>
      <c r="AT149">
        <v>1</v>
      </c>
      <c r="AU149">
        <v>74.245211272088028</v>
      </c>
      <c r="AV149">
        <v>0.99739999999999995</v>
      </c>
      <c r="AW149" s="62">
        <v>74.052000000000007</v>
      </c>
      <c r="AX149">
        <v>8.9176000000000002</v>
      </c>
      <c r="AY149">
        <v>1</v>
      </c>
      <c r="AZ149">
        <v>5957.6282116020648</v>
      </c>
      <c r="BA149">
        <v>1.0108695652173909</v>
      </c>
      <c r="BB149" s="62">
        <v>6022.3850000000002</v>
      </c>
      <c r="BC149" s="60">
        <v>2233.4886276755169</v>
      </c>
    </row>
    <row r="150" spans="1:55" x14ac:dyDescent="0.25">
      <c r="A150">
        <v>16895</v>
      </c>
      <c r="B150" t="s">
        <v>125</v>
      </c>
      <c r="C150">
        <v>2017</v>
      </c>
      <c r="D150">
        <v>3</v>
      </c>
      <c r="E150" t="s">
        <v>51</v>
      </c>
      <c r="F150" t="s">
        <v>449</v>
      </c>
      <c r="G150" t="s">
        <v>84</v>
      </c>
      <c r="H150" t="s">
        <v>87</v>
      </c>
      <c r="I150" t="s">
        <v>427</v>
      </c>
      <c r="J150">
        <v>-0.93328485999999999</v>
      </c>
      <c r="K150" t="s">
        <v>440</v>
      </c>
      <c r="L150" t="s">
        <v>452</v>
      </c>
      <c r="M150">
        <v>8.4248020759000004E-4</v>
      </c>
      <c r="N150">
        <v>7.8627402095360365E-4</v>
      </c>
      <c r="O150">
        <v>29976.978999999999</v>
      </c>
      <c r="P150">
        <v>1.6679465999999999E-5</v>
      </c>
      <c r="Q150">
        <v>1</v>
      </c>
      <c r="R150" s="60">
        <v>7.8627402095360365E-4</v>
      </c>
      <c r="S150" t="s">
        <v>336</v>
      </c>
      <c r="T150" t="s">
        <v>433</v>
      </c>
      <c r="U150" t="s">
        <v>425</v>
      </c>
      <c r="V150" t="s">
        <v>28</v>
      </c>
      <c r="W150">
        <v>111.133</v>
      </c>
      <c r="X150">
        <v>0.99819678194932504</v>
      </c>
      <c r="Y150">
        <v>110.9326029683743</v>
      </c>
      <c r="Z150">
        <v>682.07</v>
      </c>
      <c r="AA150">
        <v>1</v>
      </c>
      <c r="AB150">
        <v>75.663800506639092</v>
      </c>
      <c r="AC150">
        <v>1.0196000000000001</v>
      </c>
      <c r="AD150" s="62">
        <v>77.147000000000006</v>
      </c>
      <c r="AE150">
        <v>8.9176000000000002</v>
      </c>
      <c r="AF150">
        <v>8.9015196227113016</v>
      </c>
      <c r="AG150">
        <v>1</v>
      </c>
      <c r="AH150">
        <v>6071.4594890626977</v>
      </c>
      <c r="AI150">
        <v>0.97991730655640863</v>
      </c>
      <c r="AJ150" s="62">
        <v>5949.5281999999997</v>
      </c>
      <c r="AK150" s="60">
        <v>4.6779594605908557</v>
      </c>
      <c r="AL150" t="s">
        <v>339</v>
      </c>
      <c r="AM150" t="s">
        <v>433</v>
      </c>
      <c r="AN150" t="s">
        <v>425</v>
      </c>
      <c r="AO150" t="s">
        <v>28</v>
      </c>
      <c r="AP150">
        <v>111.133</v>
      </c>
      <c r="AQ150">
        <v>1.0062587218588701</v>
      </c>
      <c r="AR150">
        <v>111.82855053634179</v>
      </c>
      <c r="AS150">
        <v>663.92</v>
      </c>
      <c r="AT150">
        <v>1</v>
      </c>
      <c r="AU150">
        <v>74.245211272088028</v>
      </c>
      <c r="AV150">
        <v>1.0196000000000001</v>
      </c>
      <c r="AW150" s="62">
        <v>75.7</v>
      </c>
      <c r="AX150">
        <v>8.9176000000000002</v>
      </c>
      <c r="AY150">
        <v>1</v>
      </c>
      <c r="AZ150">
        <v>5957.6282116020648</v>
      </c>
      <c r="BA150">
        <v>0.97991730655640863</v>
      </c>
      <c r="BB150" s="62">
        <v>5837.9830000000002</v>
      </c>
      <c r="BC150" s="60">
        <v>4.5902543676687824</v>
      </c>
    </row>
    <row r="151" spans="1:55" x14ac:dyDescent="0.25">
      <c r="A151">
        <v>16896</v>
      </c>
      <c r="B151" t="s">
        <v>125</v>
      </c>
      <c r="C151">
        <v>2017</v>
      </c>
      <c r="D151">
        <v>3</v>
      </c>
      <c r="E151" t="s">
        <v>51</v>
      </c>
      <c r="F151" t="s">
        <v>449</v>
      </c>
      <c r="G151" t="s">
        <v>84</v>
      </c>
      <c r="H151" t="s">
        <v>59</v>
      </c>
      <c r="I151" t="s">
        <v>427</v>
      </c>
      <c r="J151">
        <v>-2.7184492100000002</v>
      </c>
      <c r="K151" t="s">
        <v>440</v>
      </c>
      <c r="L151" t="s">
        <v>450</v>
      </c>
      <c r="M151">
        <v>0.15931709696460999</v>
      </c>
      <c r="N151">
        <v>0.43309543633298192</v>
      </c>
      <c r="O151">
        <v>29976.978999999999</v>
      </c>
      <c r="P151">
        <v>1.6679465999999999E-5</v>
      </c>
      <c r="Q151">
        <v>1</v>
      </c>
      <c r="R151" s="60">
        <v>0.43309543633298192</v>
      </c>
      <c r="S151" t="s">
        <v>336</v>
      </c>
      <c r="T151" t="s">
        <v>433</v>
      </c>
      <c r="U151" t="s">
        <v>425</v>
      </c>
      <c r="V151" t="s">
        <v>26</v>
      </c>
      <c r="W151">
        <v>111.133</v>
      </c>
      <c r="X151">
        <v>0.99819678194932504</v>
      </c>
      <c r="Y151">
        <v>110.9326029683743</v>
      </c>
      <c r="Z151">
        <v>682.07</v>
      </c>
      <c r="AA151">
        <v>1</v>
      </c>
      <c r="AB151">
        <v>75.663800506639092</v>
      </c>
      <c r="AC151">
        <v>1.0178</v>
      </c>
      <c r="AD151" s="62">
        <v>77.010999999999996</v>
      </c>
      <c r="AE151">
        <v>8.9176000000000002</v>
      </c>
      <c r="AF151">
        <v>8.9015196227113016</v>
      </c>
      <c r="AG151">
        <v>1</v>
      </c>
      <c r="AH151">
        <v>6071.4594890626977</v>
      </c>
      <c r="AI151">
        <v>1.0020831266739409</v>
      </c>
      <c r="AJ151" s="62">
        <v>6084.1071000000002</v>
      </c>
      <c r="AK151" s="60">
        <v>2634.9990191710931</v>
      </c>
      <c r="AL151" t="s">
        <v>339</v>
      </c>
      <c r="AM151" t="s">
        <v>433</v>
      </c>
      <c r="AN151" t="s">
        <v>425</v>
      </c>
      <c r="AO151" t="s">
        <v>26</v>
      </c>
      <c r="AP151">
        <v>111.133</v>
      </c>
      <c r="AQ151">
        <v>1.0062587218588701</v>
      </c>
      <c r="AR151">
        <v>111.82855053634179</v>
      </c>
      <c r="AS151">
        <v>663.92</v>
      </c>
      <c r="AT151">
        <v>1</v>
      </c>
      <c r="AU151">
        <v>74.245211272088028</v>
      </c>
      <c r="AV151">
        <v>1.0178</v>
      </c>
      <c r="AW151" s="62">
        <v>75.566999999999993</v>
      </c>
      <c r="AX151">
        <v>8.9176000000000002</v>
      </c>
      <c r="AY151">
        <v>1</v>
      </c>
      <c r="AZ151">
        <v>5957.6282116020648</v>
      </c>
      <c r="BA151">
        <v>1.0020831266739409</v>
      </c>
      <c r="BB151" s="62">
        <v>5970.0387000000001</v>
      </c>
      <c r="BC151" s="60">
        <v>2585.5965157012879</v>
      </c>
    </row>
    <row r="152" spans="1:55" x14ac:dyDescent="0.25">
      <c r="A152">
        <v>16897</v>
      </c>
      <c r="B152" t="s">
        <v>125</v>
      </c>
      <c r="C152">
        <v>2017</v>
      </c>
      <c r="D152">
        <v>3</v>
      </c>
      <c r="E152" t="s">
        <v>51</v>
      </c>
      <c r="F152" t="s">
        <v>449</v>
      </c>
      <c r="G152" t="s">
        <v>84</v>
      </c>
      <c r="H152" t="s">
        <v>59</v>
      </c>
      <c r="I152" t="s">
        <v>427</v>
      </c>
      <c r="J152">
        <v>-2.7184492100000002</v>
      </c>
      <c r="K152" t="s">
        <v>440</v>
      </c>
      <c r="L152" t="s">
        <v>384</v>
      </c>
      <c r="M152">
        <v>4.1785183859599999E-2</v>
      </c>
      <c r="N152">
        <v>0.1135909000397322</v>
      </c>
      <c r="O152">
        <v>29976.978999999999</v>
      </c>
      <c r="P152">
        <v>1.6679465999999999E-5</v>
      </c>
      <c r="Q152">
        <v>1</v>
      </c>
      <c r="R152" s="60">
        <v>0.1135909000397322</v>
      </c>
      <c r="S152" t="s">
        <v>336</v>
      </c>
      <c r="T152" t="s">
        <v>433</v>
      </c>
      <c r="U152" t="s">
        <v>425</v>
      </c>
      <c r="V152" t="s">
        <v>81</v>
      </c>
      <c r="W152">
        <v>111.133</v>
      </c>
      <c r="X152">
        <v>0.99819678194932504</v>
      </c>
      <c r="Y152">
        <v>110.9326029683743</v>
      </c>
      <c r="Z152">
        <v>682.07</v>
      </c>
      <c r="AA152">
        <v>1</v>
      </c>
      <c r="AB152">
        <v>75.663800506639092</v>
      </c>
      <c r="AC152">
        <v>0.92979999999999996</v>
      </c>
      <c r="AD152" s="62">
        <v>70.352000000000004</v>
      </c>
      <c r="AE152">
        <v>8.9176000000000002</v>
      </c>
      <c r="AF152">
        <v>8.9015196227113016</v>
      </c>
      <c r="AG152">
        <v>1</v>
      </c>
      <c r="AH152">
        <v>6071.4594890626977</v>
      </c>
      <c r="AI152">
        <v>1.0375922509225091</v>
      </c>
      <c r="AJ152" s="62">
        <v>6299.6993000000002</v>
      </c>
      <c r="AK152" s="60">
        <v>715.58851346667086</v>
      </c>
      <c r="AL152" t="s">
        <v>339</v>
      </c>
      <c r="AM152" t="s">
        <v>433</v>
      </c>
      <c r="AN152" t="s">
        <v>425</v>
      </c>
      <c r="AO152" t="s">
        <v>81</v>
      </c>
      <c r="AP152">
        <v>111.133</v>
      </c>
      <c r="AQ152">
        <v>1.0062587218588701</v>
      </c>
      <c r="AR152">
        <v>111.82855053634179</v>
      </c>
      <c r="AS152">
        <v>663.92</v>
      </c>
      <c r="AT152">
        <v>1</v>
      </c>
      <c r="AU152">
        <v>74.245211272088028</v>
      </c>
      <c r="AV152">
        <v>0.92979999999999996</v>
      </c>
      <c r="AW152" s="62">
        <v>69.033000000000001</v>
      </c>
      <c r="AX152">
        <v>8.9176000000000002</v>
      </c>
      <c r="AY152">
        <v>1</v>
      </c>
      <c r="AZ152">
        <v>5957.6282116020648</v>
      </c>
      <c r="BA152">
        <v>1.0375922509225091</v>
      </c>
      <c r="BB152" s="62">
        <v>6181.5888999999997</v>
      </c>
      <c r="BC152" s="60">
        <v>702.17224682661799</v>
      </c>
    </row>
    <row r="153" spans="1:55" x14ac:dyDescent="0.25">
      <c r="A153">
        <v>16898</v>
      </c>
      <c r="B153" t="s">
        <v>125</v>
      </c>
      <c r="C153">
        <v>2017</v>
      </c>
      <c r="D153">
        <v>3</v>
      </c>
      <c r="E153" t="s">
        <v>51</v>
      </c>
      <c r="F153" t="s">
        <v>449</v>
      </c>
      <c r="G153" t="s">
        <v>84</v>
      </c>
      <c r="H153" t="s">
        <v>59</v>
      </c>
      <c r="I153" t="s">
        <v>427</v>
      </c>
      <c r="J153">
        <v>-2.7184492100000002</v>
      </c>
      <c r="K153" t="s">
        <v>440</v>
      </c>
      <c r="L153" t="s">
        <v>385</v>
      </c>
      <c r="M153">
        <v>0.43497567483749999</v>
      </c>
      <c r="N153">
        <v>1.182459279494827</v>
      </c>
      <c r="O153">
        <v>29976.978999999999</v>
      </c>
      <c r="P153">
        <v>1.6679465999999999E-5</v>
      </c>
      <c r="Q153">
        <v>1</v>
      </c>
      <c r="R153" s="60">
        <v>1.182459279494827</v>
      </c>
      <c r="S153" t="s">
        <v>336</v>
      </c>
      <c r="T153" t="s">
        <v>433</v>
      </c>
      <c r="U153" t="s">
        <v>425</v>
      </c>
      <c r="V153" t="s">
        <v>27</v>
      </c>
      <c r="W153">
        <v>111.133</v>
      </c>
      <c r="X153">
        <v>0.99819678194932504</v>
      </c>
      <c r="Y153">
        <v>110.9326029683743</v>
      </c>
      <c r="Z153">
        <v>682.07</v>
      </c>
      <c r="AA153">
        <v>1</v>
      </c>
      <c r="AB153">
        <v>75.663800506639092</v>
      </c>
      <c r="AC153">
        <v>0.99739999999999995</v>
      </c>
      <c r="AD153" s="62">
        <v>75.466999999999999</v>
      </c>
      <c r="AE153">
        <v>8.9176000000000002</v>
      </c>
      <c r="AF153">
        <v>8.9015196227113016</v>
      </c>
      <c r="AG153">
        <v>1</v>
      </c>
      <c r="AH153">
        <v>6071.4594890626977</v>
      </c>
      <c r="AI153">
        <v>1.0108695652173909</v>
      </c>
      <c r="AJ153" s="62">
        <v>6137.4535999999998</v>
      </c>
      <c r="AK153" s="60">
        <v>7257.288961788935</v>
      </c>
      <c r="AL153" t="s">
        <v>339</v>
      </c>
      <c r="AM153" t="s">
        <v>433</v>
      </c>
      <c r="AN153" t="s">
        <v>425</v>
      </c>
      <c r="AO153" t="s">
        <v>27</v>
      </c>
      <c r="AP153">
        <v>111.133</v>
      </c>
      <c r="AQ153">
        <v>1.0062587218588701</v>
      </c>
      <c r="AR153">
        <v>111.82855053634179</v>
      </c>
      <c r="AS153">
        <v>663.92</v>
      </c>
      <c r="AT153">
        <v>1</v>
      </c>
      <c r="AU153">
        <v>74.245211272088028</v>
      </c>
      <c r="AV153">
        <v>0.99739999999999995</v>
      </c>
      <c r="AW153" s="62">
        <v>74.052000000000007</v>
      </c>
      <c r="AX153">
        <v>8.9176000000000002</v>
      </c>
      <c r="AY153">
        <v>1</v>
      </c>
      <c r="AZ153">
        <v>5957.6282116020648</v>
      </c>
      <c r="BA153">
        <v>1.0108695652173909</v>
      </c>
      <c r="BB153" s="62">
        <v>6022.3850000000002</v>
      </c>
      <c r="BC153" s="60">
        <v>7121.2250279404561</v>
      </c>
    </row>
    <row r="154" spans="1:55" x14ac:dyDescent="0.25">
      <c r="A154">
        <v>16899</v>
      </c>
      <c r="B154" t="s">
        <v>125</v>
      </c>
      <c r="C154">
        <v>2017</v>
      </c>
      <c r="D154">
        <v>3</v>
      </c>
      <c r="E154" t="s">
        <v>51</v>
      </c>
      <c r="F154" t="s">
        <v>449</v>
      </c>
      <c r="G154" t="s">
        <v>84</v>
      </c>
      <c r="H154" t="s">
        <v>59</v>
      </c>
      <c r="I154" t="s">
        <v>427</v>
      </c>
      <c r="J154">
        <v>-2.7184492100000002</v>
      </c>
      <c r="K154" t="s">
        <v>440</v>
      </c>
      <c r="L154" t="s">
        <v>451</v>
      </c>
      <c r="M154">
        <v>1.7625750762999999E-3</v>
      </c>
      <c r="N154">
        <v>4.7914708231807501E-3</v>
      </c>
      <c r="O154">
        <v>29976.978999999999</v>
      </c>
      <c r="P154">
        <v>1.6679465999999999E-5</v>
      </c>
      <c r="Q154">
        <v>1</v>
      </c>
      <c r="R154" s="60">
        <v>4.7914708231807501E-3</v>
      </c>
      <c r="S154" t="s">
        <v>336</v>
      </c>
      <c r="T154" t="s">
        <v>433</v>
      </c>
      <c r="U154" t="s">
        <v>425</v>
      </c>
      <c r="V154" t="s">
        <v>91</v>
      </c>
      <c r="W154">
        <v>111.133</v>
      </c>
      <c r="X154">
        <v>0.99819678194932504</v>
      </c>
      <c r="Y154">
        <v>110.9326029683743</v>
      </c>
      <c r="Z154">
        <v>682.07</v>
      </c>
      <c r="AA154">
        <v>1</v>
      </c>
      <c r="AB154">
        <v>75.663800506639092</v>
      </c>
      <c r="AC154">
        <v>1.0269999999999999</v>
      </c>
      <c r="AD154" s="62">
        <v>77.706999999999994</v>
      </c>
      <c r="AE154">
        <v>8.9176000000000002</v>
      </c>
      <c r="AF154">
        <v>8.9015196227113016</v>
      </c>
      <c r="AG154">
        <v>1</v>
      </c>
      <c r="AH154">
        <v>6071.4594890626977</v>
      </c>
      <c r="AI154">
        <v>0.98496680983990625</v>
      </c>
      <c r="AJ154" s="62">
        <v>5980.1860999999999</v>
      </c>
      <c r="AK154" s="60">
        <v>28.653887215341079</v>
      </c>
      <c r="AL154" t="s">
        <v>339</v>
      </c>
      <c r="AM154" t="s">
        <v>433</v>
      </c>
      <c r="AN154" t="s">
        <v>425</v>
      </c>
      <c r="AO154" t="s">
        <v>91</v>
      </c>
      <c r="AP154">
        <v>111.133</v>
      </c>
      <c r="AQ154">
        <v>1.0062587218588701</v>
      </c>
      <c r="AR154">
        <v>111.82855053634179</v>
      </c>
      <c r="AS154">
        <v>663.92</v>
      </c>
      <c r="AT154">
        <v>1</v>
      </c>
      <c r="AU154">
        <v>74.245211272088028</v>
      </c>
      <c r="AV154">
        <v>1.0269999999999999</v>
      </c>
      <c r="AW154" s="62">
        <v>76.25</v>
      </c>
      <c r="AX154">
        <v>8.9176000000000002</v>
      </c>
      <c r="AY154">
        <v>1</v>
      </c>
      <c r="AZ154">
        <v>5957.6282116020648</v>
      </c>
      <c r="BA154">
        <v>0.98496680983990625</v>
      </c>
      <c r="BB154" s="62">
        <v>5868.0661</v>
      </c>
      <c r="BC154" s="60">
        <v>28.116667506646049</v>
      </c>
    </row>
    <row r="155" spans="1:55" x14ac:dyDescent="0.25">
      <c r="A155">
        <v>16900</v>
      </c>
      <c r="B155" t="s">
        <v>125</v>
      </c>
      <c r="C155">
        <v>2017</v>
      </c>
      <c r="D155">
        <v>3</v>
      </c>
      <c r="E155" t="s">
        <v>51</v>
      </c>
      <c r="F155" t="s">
        <v>449</v>
      </c>
      <c r="G155" t="s">
        <v>84</v>
      </c>
      <c r="H155" t="s">
        <v>59</v>
      </c>
      <c r="I155" t="s">
        <v>427</v>
      </c>
      <c r="J155">
        <v>-2.7184492100000002</v>
      </c>
      <c r="K155" t="s">
        <v>440</v>
      </c>
      <c r="L155" t="s">
        <v>452</v>
      </c>
      <c r="M155">
        <v>1.4858046103299999E-3</v>
      </c>
      <c r="N155">
        <v>4.0390843687000567E-3</v>
      </c>
      <c r="O155">
        <v>29976.978999999999</v>
      </c>
      <c r="P155">
        <v>1.6679465999999999E-5</v>
      </c>
      <c r="Q155">
        <v>1</v>
      </c>
      <c r="R155" s="60">
        <v>4.0390843687000567E-3</v>
      </c>
      <c r="S155" t="s">
        <v>336</v>
      </c>
      <c r="T155" t="s">
        <v>433</v>
      </c>
      <c r="U155" t="s">
        <v>425</v>
      </c>
      <c r="V155" t="s">
        <v>28</v>
      </c>
      <c r="W155">
        <v>111.133</v>
      </c>
      <c r="X155">
        <v>0.99819678194932504</v>
      </c>
      <c r="Y155">
        <v>110.9326029683743</v>
      </c>
      <c r="Z155">
        <v>682.07</v>
      </c>
      <c r="AA155">
        <v>1</v>
      </c>
      <c r="AB155">
        <v>75.663800506639092</v>
      </c>
      <c r="AC155">
        <v>1.0196000000000001</v>
      </c>
      <c r="AD155" s="62">
        <v>77.147000000000006</v>
      </c>
      <c r="AE155">
        <v>8.9176000000000002</v>
      </c>
      <c r="AF155">
        <v>8.9015196227113016</v>
      </c>
      <c r="AG155">
        <v>1</v>
      </c>
      <c r="AH155">
        <v>6071.4594890626977</v>
      </c>
      <c r="AI155">
        <v>0.97991730655640863</v>
      </c>
      <c r="AJ155" s="62">
        <v>5949.5281999999997</v>
      </c>
      <c r="AK155" s="60">
        <v>24.030646353760179</v>
      </c>
      <c r="AL155" t="s">
        <v>339</v>
      </c>
      <c r="AM155" t="s">
        <v>433</v>
      </c>
      <c r="AN155" t="s">
        <v>425</v>
      </c>
      <c r="AO155" t="s">
        <v>28</v>
      </c>
      <c r="AP155">
        <v>111.133</v>
      </c>
      <c r="AQ155">
        <v>1.0062587218588701</v>
      </c>
      <c r="AR155">
        <v>111.82855053634179</v>
      </c>
      <c r="AS155">
        <v>663.92</v>
      </c>
      <c r="AT155">
        <v>1</v>
      </c>
      <c r="AU155">
        <v>74.245211272088028</v>
      </c>
      <c r="AV155">
        <v>1.0196000000000001</v>
      </c>
      <c r="AW155" s="62">
        <v>75.7</v>
      </c>
      <c r="AX155">
        <v>8.9176000000000002</v>
      </c>
      <c r="AY155">
        <v>1</v>
      </c>
      <c r="AZ155">
        <v>5957.6282116020648</v>
      </c>
      <c r="BA155">
        <v>0.97991730655640863</v>
      </c>
      <c r="BB155" s="62">
        <v>5837.9830000000002</v>
      </c>
      <c r="BC155" s="60">
        <v>23.580105880036669</v>
      </c>
    </row>
    <row r="156" spans="1:55" x14ac:dyDescent="0.25">
      <c r="A156">
        <v>19201</v>
      </c>
      <c r="B156" t="s">
        <v>141</v>
      </c>
      <c r="C156">
        <v>2017</v>
      </c>
      <c r="D156">
        <v>4</v>
      </c>
      <c r="E156" t="s">
        <v>51</v>
      </c>
      <c r="F156" t="s">
        <v>449</v>
      </c>
      <c r="G156" t="s">
        <v>84</v>
      </c>
      <c r="H156" t="s">
        <v>381</v>
      </c>
      <c r="I156" t="s">
        <v>427</v>
      </c>
      <c r="J156">
        <v>-4.8277693399999997</v>
      </c>
      <c r="K156" t="s">
        <v>440</v>
      </c>
      <c r="L156" t="s">
        <v>450</v>
      </c>
      <c r="M156">
        <v>0.15011157993331001</v>
      </c>
      <c r="N156">
        <v>0.72470408330498137</v>
      </c>
      <c r="O156">
        <v>29976.978999999999</v>
      </c>
      <c r="P156">
        <v>1.6679465999999999E-5</v>
      </c>
      <c r="Q156">
        <v>1</v>
      </c>
      <c r="R156" s="60">
        <v>0.72470408330498137</v>
      </c>
      <c r="S156" t="s">
        <v>336</v>
      </c>
      <c r="T156" t="s">
        <v>433</v>
      </c>
      <c r="U156" t="s">
        <v>425</v>
      </c>
      <c r="V156" t="s">
        <v>26</v>
      </c>
      <c r="W156">
        <v>111.133</v>
      </c>
      <c r="X156">
        <v>0.99819678194932504</v>
      </c>
      <c r="Y156">
        <v>110.9326029683743</v>
      </c>
      <c r="Z156">
        <v>682.07</v>
      </c>
      <c r="AA156">
        <v>1</v>
      </c>
      <c r="AB156">
        <v>75.663800506639092</v>
      </c>
      <c r="AC156">
        <v>1.0178</v>
      </c>
      <c r="AD156" s="62">
        <v>77.010999999999996</v>
      </c>
      <c r="AE156">
        <v>8.9176000000000002</v>
      </c>
      <c r="AF156">
        <v>8.9015196227113016</v>
      </c>
      <c r="AG156">
        <v>1</v>
      </c>
      <c r="AH156">
        <v>6071.4594890626977</v>
      </c>
      <c r="AI156">
        <v>1.0020831266739409</v>
      </c>
      <c r="AJ156" s="62">
        <v>6084.1071000000002</v>
      </c>
      <c r="AK156" s="60">
        <v>4409.1772586348288</v>
      </c>
      <c r="AL156" t="s">
        <v>339</v>
      </c>
      <c r="AM156" t="s">
        <v>433</v>
      </c>
      <c r="AN156" t="s">
        <v>425</v>
      </c>
      <c r="AO156" t="s">
        <v>26</v>
      </c>
      <c r="AP156">
        <v>111.133</v>
      </c>
      <c r="AQ156">
        <v>1.0062587218588701</v>
      </c>
      <c r="AR156">
        <v>111.82855053634179</v>
      </c>
      <c r="AS156">
        <v>655.74</v>
      </c>
      <c r="AT156">
        <v>1</v>
      </c>
      <c r="AU156">
        <v>73.330453728700761</v>
      </c>
      <c r="AV156">
        <v>1.0178</v>
      </c>
      <c r="AW156" s="62">
        <v>74.635999999999996</v>
      </c>
      <c r="AX156">
        <v>8.9176000000000002</v>
      </c>
      <c r="AY156">
        <v>1</v>
      </c>
      <c r="AZ156">
        <v>5884.2256950776273</v>
      </c>
      <c r="BA156">
        <v>1.0020831266739409</v>
      </c>
      <c r="BB156" s="62">
        <v>5896.4832999999999</v>
      </c>
      <c r="BC156" s="60">
        <v>4273.2055246496311</v>
      </c>
    </row>
    <row r="157" spans="1:55" x14ac:dyDescent="0.25">
      <c r="A157">
        <v>19202</v>
      </c>
      <c r="B157" t="s">
        <v>141</v>
      </c>
      <c r="C157">
        <v>2017</v>
      </c>
      <c r="D157">
        <v>4</v>
      </c>
      <c r="E157" t="s">
        <v>51</v>
      </c>
      <c r="F157" t="s">
        <v>449</v>
      </c>
      <c r="G157" t="s">
        <v>84</v>
      </c>
      <c r="H157" t="s">
        <v>381</v>
      </c>
      <c r="I157" t="s">
        <v>427</v>
      </c>
      <c r="J157">
        <v>-4.8277693399999997</v>
      </c>
      <c r="K157" t="s">
        <v>440</v>
      </c>
      <c r="L157" t="s">
        <v>384</v>
      </c>
      <c r="M157">
        <v>4.5811354346740003E-2</v>
      </c>
      <c r="N157">
        <v>0.22116665197690599</v>
      </c>
      <c r="O157">
        <v>29976.978999999999</v>
      </c>
      <c r="P157">
        <v>1.6679465999999999E-5</v>
      </c>
      <c r="Q157">
        <v>1</v>
      </c>
      <c r="R157" s="60">
        <v>0.22116665197690599</v>
      </c>
      <c r="S157" t="s">
        <v>336</v>
      </c>
      <c r="T157" t="s">
        <v>433</v>
      </c>
      <c r="U157" t="s">
        <v>425</v>
      </c>
      <c r="V157" t="s">
        <v>81</v>
      </c>
      <c r="W157">
        <v>111.133</v>
      </c>
      <c r="X157">
        <v>0.99819678194932504</v>
      </c>
      <c r="Y157">
        <v>110.9326029683743</v>
      </c>
      <c r="Z157">
        <v>682.07</v>
      </c>
      <c r="AA157">
        <v>1</v>
      </c>
      <c r="AB157">
        <v>75.663800506639092</v>
      </c>
      <c r="AC157">
        <v>0.92979999999999996</v>
      </c>
      <c r="AD157" s="62">
        <v>70.352000000000004</v>
      </c>
      <c r="AE157">
        <v>8.9176000000000002</v>
      </c>
      <c r="AF157">
        <v>8.9015196227113016</v>
      </c>
      <c r="AG157">
        <v>1</v>
      </c>
      <c r="AH157">
        <v>6071.4594890626977</v>
      </c>
      <c r="AI157">
        <v>1.0375922509225091</v>
      </c>
      <c r="AJ157" s="62">
        <v>6299.6993000000002</v>
      </c>
      <c r="AK157" s="60">
        <v>1393.283402642259</v>
      </c>
      <c r="AL157" t="s">
        <v>339</v>
      </c>
      <c r="AM157" t="s">
        <v>433</v>
      </c>
      <c r="AN157" t="s">
        <v>425</v>
      </c>
      <c r="AO157" t="s">
        <v>81</v>
      </c>
      <c r="AP157">
        <v>111.133</v>
      </c>
      <c r="AQ157">
        <v>1.0062587218588701</v>
      </c>
      <c r="AR157">
        <v>111.82855053634179</v>
      </c>
      <c r="AS157">
        <v>655.74</v>
      </c>
      <c r="AT157">
        <v>1</v>
      </c>
      <c r="AU157">
        <v>73.330453728700761</v>
      </c>
      <c r="AV157">
        <v>0.92979999999999996</v>
      </c>
      <c r="AW157" s="62">
        <v>68.183000000000007</v>
      </c>
      <c r="AX157">
        <v>8.9176000000000002</v>
      </c>
      <c r="AY157">
        <v>1</v>
      </c>
      <c r="AZ157">
        <v>5884.2256950776273</v>
      </c>
      <c r="BA157">
        <v>1.0375922509225091</v>
      </c>
      <c r="BB157" s="62">
        <v>6105.4269999999997</v>
      </c>
      <c r="BC157" s="60">
        <v>1350.316848479406</v>
      </c>
    </row>
    <row r="158" spans="1:55" x14ac:dyDescent="0.25">
      <c r="A158">
        <v>19203</v>
      </c>
      <c r="B158" t="s">
        <v>141</v>
      </c>
      <c r="C158">
        <v>2017</v>
      </c>
      <c r="D158">
        <v>4</v>
      </c>
      <c r="E158" t="s">
        <v>51</v>
      </c>
      <c r="F158" t="s">
        <v>449</v>
      </c>
      <c r="G158" t="s">
        <v>84</v>
      </c>
      <c r="H158" t="s">
        <v>381</v>
      </c>
      <c r="I158" t="s">
        <v>427</v>
      </c>
      <c r="J158">
        <v>-4.8277693399999997</v>
      </c>
      <c r="K158" t="s">
        <v>440</v>
      </c>
      <c r="L158" t="s">
        <v>385</v>
      </c>
      <c r="M158">
        <v>0.43232641346992001</v>
      </c>
      <c r="N158">
        <v>2.0871722041793328</v>
      </c>
      <c r="O158">
        <v>29976.978999999999</v>
      </c>
      <c r="P158">
        <v>1.6679465999999999E-5</v>
      </c>
      <c r="Q158">
        <v>1</v>
      </c>
      <c r="R158" s="60">
        <v>2.0871722041793328</v>
      </c>
      <c r="S158" t="s">
        <v>336</v>
      </c>
      <c r="T158" t="s">
        <v>433</v>
      </c>
      <c r="U158" t="s">
        <v>425</v>
      </c>
      <c r="V158" t="s">
        <v>27</v>
      </c>
      <c r="W158">
        <v>111.133</v>
      </c>
      <c r="X158">
        <v>0.99819678194932504</v>
      </c>
      <c r="Y158">
        <v>110.9326029683743</v>
      </c>
      <c r="Z158">
        <v>682.07</v>
      </c>
      <c r="AA158">
        <v>1</v>
      </c>
      <c r="AB158">
        <v>75.663800506639092</v>
      </c>
      <c r="AC158">
        <v>0.99739999999999995</v>
      </c>
      <c r="AD158" s="62">
        <v>75.466999999999999</v>
      </c>
      <c r="AE158">
        <v>8.9176000000000002</v>
      </c>
      <c r="AF158">
        <v>8.9015196227113016</v>
      </c>
      <c r="AG158">
        <v>1</v>
      </c>
      <c r="AH158">
        <v>6071.4594890626977</v>
      </c>
      <c r="AI158">
        <v>1.0108695652173909</v>
      </c>
      <c r="AJ158" s="62">
        <v>6137.4535999999998</v>
      </c>
      <c r="AK158" s="60">
        <v>12809.92255836038</v>
      </c>
      <c r="AL158" t="s">
        <v>339</v>
      </c>
      <c r="AM158" t="s">
        <v>433</v>
      </c>
      <c r="AN158" t="s">
        <v>425</v>
      </c>
      <c r="AO158" t="s">
        <v>27</v>
      </c>
      <c r="AP158">
        <v>111.133</v>
      </c>
      <c r="AQ158">
        <v>1.0062587218588701</v>
      </c>
      <c r="AR158">
        <v>111.82855053634179</v>
      </c>
      <c r="AS158">
        <v>655.74</v>
      </c>
      <c r="AT158">
        <v>1</v>
      </c>
      <c r="AU158">
        <v>73.330453728700761</v>
      </c>
      <c r="AV158">
        <v>0.99739999999999995</v>
      </c>
      <c r="AW158" s="62">
        <v>73.14</v>
      </c>
      <c r="AX158">
        <v>8.9176000000000002</v>
      </c>
      <c r="AY158">
        <v>1</v>
      </c>
      <c r="AZ158">
        <v>5884.2256950776273</v>
      </c>
      <c r="BA158">
        <v>1.0108695652173909</v>
      </c>
      <c r="BB158" s="62">
        <v>5948.1846999999998</v>
      </c>
      <c r="BC158" s="60">
        <v>12414.88577116478</v>
      </c>
    </row>
    <row r="159" spans="1:55" x14ac:dyDescent="0.25">
      <c r="A159">
        <v>19204</v>
      </c>
      <c r="B159" t="s">
        <v>141</v>
      </c>
      <c r="C159">
        <v>2017</v>
      </c>
      <c r="D159">
        <v>4</v>
      </c>
      <c r="E159" t="s">
        <v>51</v>
      </c>
      <c r="F159" t="s">
        <v>449</v>
      </c>
      <c r="G159" t="s">
        <v>84</v>
      </c>
      <c r="H159" t="s">
        <v>381</v>
      </c>
      <c r="I159" t="s">
        <v>427</v>
      </c>
      <c r="J159">
        <v>-4.8277693399999997</v>
      </c>
      <c r="K159" t="s">
        <v>440</v>
      </c>
      <c r="L159" t="s">
        <v>451</v>
      </c>
      <c r="M159">
        <v>1.6825115802299999E-3</v>
      </c>
      <c r="N159">
        <v>8.1227778226190522E-3</v>
      </c>
      <c r="O159">
        <v>29976.978999999999</v>
      </c>
      <c r="P159">
        <v>1.6679465999999999E-5</v>
      </c>
      <c r="Q159">
        <v>1</v>
      </c>
      <c r="R159" s="60">
        <v>8.1227778226190522E-3</v>
      </c>
      <c r="S159" t="s">
        <v>336</v>
      </c>
      <c r="T159" t="s">
        <v>433</v>
      </c>
      <c r="U159" t="s">
        <v>425</v>
      </c>
      <c r="V159" t="s">
        <v>91</v>
      </c>
      <c r="W159">
        <v>111.133</v>
      </c>
      <c r="X159">
        <v>0.99819678194932504</v>
      </c>
      <c r="Y159">
        <v>110.9326029683743</v>
      </c>
      <c r="Z159">
        <v>682.07</v>
      </c>
      <c r="AA159">
        <v>1</v>
      </c>
      <c r="AB159">
        <v>75.663800506639092</v>
      </c>
      <c r="AC159">
        <v>1.0269999999999999</v>
      </c>
      <c r="AD159" s="62">
        <v>77.706999999999994</v>
      </c>
      <c r="AE159">
        <v>8.9176000000000002</v>
      </c>
      <c r="AF159">
        <v>8.9015196227113016</v>
      </c>
      <c r="AG159">
        <v>1</v>
      </c>
      <c r="AH159">
        <v>6071.4594890626977</v>
      </c>
      <c r="AI159">
        <v>0.98496680983990625</v>
      </c>
      <c r="AJ159" s="62">
        <v>5980.1860999999999</v>
      </c>
      <c r="AK159" s="60">
        <v>48.575723028214718</v>
      </c>
      <c r="AL159" t="s">
        <v>339</v>
      </c>
      <c r="AM159" t="s">
        <v>433</v>
      </c>
      <c r="AN159" t="s">
        <v>425</v>
      </c>
      <c r="AO159" t="s">
        <v>91</v>
      </c>
      <c r="AP159">
        <v>111.133</v>
      </c>
      <c r="AQ159">
        <v>1.0062587218588701</v>
      </c>
      <c r="AR159">
        <v>111.82855053634179</v>
      </c>
      <c r="AS159">
        <v>655.74</v>
      </c>
      <c r="AT159">
        <v>1</v>
      </c>
      <c r="AU159">
        <v>73.330453728700761</v>
      </c>
      <c r="AV159">
        <v>1.0269999999999999</v>
      </c>
      <c r="AW159" s="62">
        <v>75.31</v>
      </c>
      <c r="AX159">
        <v>8.9176000000000002</v>
      </c>
      <c r="AY159">
        <v>1</v>
      </c>
      <c r="AZ159">
        <v>5884.2256950776273</v>
      </c>
      <c r="BA159">
        <v>0.98496680983990625</v>
      </c>
      <c r="BB159" s="62">
        <v>5795.7669999999998</v>
      </c>
      <c r="BC159" s="60">
        <v>47.077727652667363</v>
      </c>
    </row>
    <row r="160" spans="1:55" x14ac:dyDescent="0.25">
      <c r="A160">
        <v>19205</v>
      </c>
      <c r="B160" t="s">
        <v>141</v>
      </c>
      <c r="C160">
        <v>2017</v>
      </c>
      <c r="D160">
        <v>4</v>
      </c>
      <c r="E160" t="s">
        <v>51</v>
      </c>
      <c r="F160" t="s">
        <v>449</v>
      </c>
      <c r="G160" t="s">
        <v>84</v>
      </c>
      <c r="H160" t="s">
        <v>381</v>
      </c>
      <c r="I160" t="s">
        <v>427</v>
      </c>
      <c r="J160">
        <v>-4.8277693399999997</v>
      </c>
      <c r="K160" t="s">
        <v>440</v>
      </c>
      <c r="L160" t="s">
        <v>452</v>
      </c>
      <c r="M160">
        <v>1.53682162831E-3</v>
      </c>
      <c r="N160">
        <v>7.4194203394732667E-3</v>
      </c>
      <c r="O160">
        <v>29976.978999999999</v>
      </c>
      <c r="P160">
        <v>1.6679465999999999E-5</v>
      </c>
      <c r="Q160">
        <v>1</v>
      </c>
      <c r="R160" s="60">
        <v>7.4194203394732667E-3</v>
      </c>
      <c r="S160" t="s">
        <v>336</v>
      </c>
      <c r="T160" t="s">
        <v>433</v>
      </c>
      <c r="U160" t="s">
        <v>425</v>
      </c>
      <c r="V160" t="s">
        <v>28</v>
      </c>
      <c r="W160">
        <v>111.133</v>
      </c>
      <c r="X160">
        <v>0.99819678194932504</v>
      </c>
      <c r="Y160">
        <v>110.9326029683743</v>
      </c>
      <c r="Z160">
        <v>682.07</v>
      </c>
      <c r="AA160">
        <v>1</v>
      </c>
      <c r="AB160">
        <v>75.663800506639092</v>
      </c>
      <c r="AC160">
        <v>1.0196000000000001</v>
      </c>
      <c r="AD160" s="62">
        <v>77.147000000000006</v>
      </c>
      <c r="AE160">
        <v>8.9176000000000002</v>
      </c>
      <c r="AF160">
        <v>8.9015196227113016</v>
      </c>
      <c r="AG160">
        <v>1</v>
      </c>
      <c r="AH160">
        <v>6071.4594890626977</v>
      </c>
      <c r="AI160">
        <v>0.97991730655640863</v>
      </c>
      <c r="AJ160" s="62">
        <v>5949.5281999999997</v>
      </c>
      <c r="AK160" s="60">
        <v>44.142050537349768</v>
      </c>
      <c r="AL160" t="s">
        <v>339</v>
      </c>
      <c r="AM160" t="s">
        <v>433</v>
      </c>
      <c r="AN160" t="s">
        <v>425</v>
      </c>
      <c r="AO160" t="s">
        <v>28</v>
      </c>
      <c r="AP160">
        <v>111.133</v>
      </c>
      <c r="AQ160">
        <v>1.0062587218588701</v>
      </c>
      <c r="AR160">
        <v>111.82855053634179</v>
      </c>
      <c r="AS160">
        <v>655.74</v>
      </c>
      <c r="AT160">
        <v>1</v>
      </c>
      <c r="AU160">
        <v>73.330453728700761</v>
      </c>
      <c r="AV160">
        <v>1.0196000000000001</v>
      </c>
      <c r="AW160" s="62">
        <v>74.768000000000001</v>
      </c>
      <c r="AX160">
        <v>8.9176000000000002</v>
      </c>
      <c r="AY160">
        <v>1</v>
      </c>
      <c r="AZ160">
        <v>5884.2256950776273</v>
      </c>
      <c r="BA160">
        <v>0.97991730655640863</v>
      </c>
      <c r="BB160" s="62">
        <v>5766.0546000000004</v>
      </c>
      <c r="BC160" s="60">
        <v>42.780782777753387</v>
      </c>
    </row>
    <row r="161" spans="1:55" x14ac:dyDescent="0.25">
      <c r="A161">
        <v>19206</v>
      </c>
      <c r="B161" t="s">
        <v>141</v>
      </c>
      <c r="C161">
        <v>2017</v>
      </c>
      <c r="D161">
        <v>4</v>
      </c>
      <c r="E161" t="s">
        <v>51</v>
      </c>
      <c r="F161" t="s">
        <v>449</v>
      </c>
      <c r="G161" t="s">
        <v>84</v>
      </c>
      <c r="H161" t="s">
        <v>87</v>
      </c>
      <c r="I161" t="s">
        <v>427</v>
      </c>
      <c r="J161">
        <v>-1.0404085599999999</v>
      </c>
      <c r="K161" t="s">
        <v>440</v>
      </c>
      <c r="L161" t="s">
        <v>450</v>
      </c>
      <c r="M161">
        <v>0.26601384014995</v>
      </c>
      <c r="N161">
        <v>0.27676307665250438</v>
      </c>
      <c r="O161">
        <v>29976.978999999999</v>
      </c>
      <c r="P161">
        <v>1.6679465999999999E-5</v>
      </c>
      <c r="Q161">
        <v>1</v>
      </c>
      <c r="R161" s="60">
        <v>0.27676307665250438</v>
      </c>
      <c r="S161" t="s">
        <v>336</v>
      </c>
      <c r="T161" t="s">
        <v>433</v>
      </c>
      <c r="U161" t="s">
        <v>425</v>
      </c>
      <c r="V161" t="s">
        <v>26</v>
      </c>
      <c r="W161">
        <v>111.133</v>
      </c>
      <c r="X161">
        <v>0.99819678194932504</v>
      </c>
      <c r="Y161">
        <v>110.9326029683743</v>
      </c>
      <c r="Z161">
        <v>682.07</v>
      </c>
      <c r="AA161">
        <v>1</v>
      </c>
      <c r="AB161">
        <v>75.663800506639092</v>
      </c>
      <c r="AC161">
        <v>1.0178</v>
      </c>
      <c r="AD161" s="62">
        <v>77.010999999999996</v>
      </c>
      <c r="AE161">
        <v>8.9176000000000002</v>
      </c>
      <c r="AF161">
        <v>8.9015196227113016</v>
      </c>
      <c r="AG161">
        <v>1</v>
      </c>
      <c r="AH161">
        <v>6071.4594890626977</v>
      </c>
      <c r="AI161">
        <v>1.0020831266739409</v>
      </c>
      <c r="AJ161" s="62">
        <v>6084.1071000000002</v>
      </c>
      <c r="AK161" s="60">
        <v>1683.856199679346</v>
      </c>
      <c r="AL161" t="s">
        <v>339</v>
      </c>
      <c r="AM161" t="s">
        <v>433</v>
      </c>
      <c r="AN161" t="s">
        <v>425</v>
      </c>
      <c r="AO161" t="s">
        <v>26</v>
      </c>
      <c r="AP161">
        <v>111.133</v>
      </c>
      <c r="AQ161">
        <v>1.0062587218588701</v>
      </c>
      <c r="AR161">
        <v>111.82855053634179</v>
      </c>
      <c r="AS161">
        <v>655.74</v>
      </c>
      <c r="AT161">
        <v>1</v>
      </c>
      <c r="AU161">
        <v>73.330453728700761</v>
      </c>
      <c r="AV161">
        <v>1.0178</v>
      </c>
      <c r="AW161" s="62">
        <v>74.635999999999996</v>
      </c>
      <c r="AX161">
        <v>8.9176000000000002</v>
      </c>
      <c r="AY161">
        <v>1</v>
      </c>
      <c r="AZ161">
        <v>5884.2256950776273</v>
      </c>
      <c r="BA161">
        <v>1.0020831266739409</v>
      </c>
      <c r="BB161" s="62">
        <v>5896.4832999999999</v>
      </c>
      <c r="BC161" s="60">
        <v>1631.928859538112</v>
      </c>
    </row>
    <row r="162" spans="1:55" x14ac:dyDescent="0.25">
      <c r="A162">
        <v>19207</v>
      </c>
      <c r="B162" t="s">
        <v>141</v>
      </c>
      <c r="C162">
        <v>2017</v>
      </c>
      <c r="D162">
        <v>4</v>
      </c>
      <c r="E162" t="s">
        <v>51</v>
      </c>
      <c r="F162" t="s">
        <v>449</v>
      </c>
      <c r="G162" t="s">
        <v>84</v>
      </c>
      <c r="H162" t="s">
        <v>87</v>
      </c>
      <c r="I162" t="s">
        <v>427</v>
      </c>
      <c r="J162">
        <v>-1.0404085599999999</v>
      </c>
      <c r="K162" t="s">
        <v>440</v>
      </c>
      <c r="L162" t="s">
        <v>384</v>
      </c>
      <c r="M162">
        <v>3.9509559941419997E-2</v>
      </c>
      <c r="N162">
        <v>4.1106084406774032E-2</v>
      </c>
      <c r="O162">
        <v>29976.978999999999</v>
      </c>
      <c r="P162">
        <v>1.6679465999999999E-5</v>
      </c>
      <c r="Q162">
        <v>1</v>
      </c>
      <c r="R162" s="60">
        <v>4.1106084406774032E-2</v>
      </c>
      <c r="S162" t="s">
        <v>336</v>
      </c>
      <c r="T162" t="s">
        <v>433</v>
      </c>
      <c r="U162" t="s">
        <v>425</v>
      </c>
      <c r="V162" t="s">
        <v>81</v>
      </c>
      <c r="W162">
        <v>111.133</v>
      </c>
      <c r="X162">
        <v>0.99819678194932504</v>
      </c>
      <c r="Y162">
        <v>110.9326029683743</v>
      </c>
      <c r="Z162">
        <v>682.07</v>
      </c>
      <c r="AA162">
        <v>1</v>
      </c>
      <c r="AB162">
        <v>75.663800506639092</v>
      </c>
      <c r="AC162">
        <v>0.92979999999999996</v>
      </c>
      <c r="AD162" s="62">
        <v>70.352000000000004</v>
      </c>
      <c r="AE162">
        <v>8.9176000000000002</v>
      </c>
      <c r="AF162">
        <v>8.9015196227113016</v>
      </c>
      <c r="AG162">
        <v>1</v>
      </c>
      <c r="AH162">
        <v>6071.4594890626977</v>
      </c>
      <c r="AI162">
        <v>1.0375922509225091</v>
      </c>
      <c r="AJ162" s="62">
        <v>6299.6993000000002</v>
      </c>
      <c r="AK162" s="60">
        <v>258.95597116309523</v>
      </c>
      <c r="AL162" t="s">
        <v>339</v>
      </c>
      <c r="AM162" t="s">
        <v>433</v>
      </c>
      <c r="AN162" t="s">
        <v>425</v>
      </c>
      <c r="AO162" t="s">
        <v>81</v>
      </c>
      <c r="AP162">
        <v>111.133</v>
      </c>
      <c r="AQ162">
        <v>1.0062587218588701</v>
      </c>
      <c r="AR162">
        <v>111.82855053634179</v>
      </c>
      <c r="AS162">
        <v>655.74</v>
      </c>
      <c r="AT162">
        <v>1</v>
      </c>
      <c r="AU162">
        <v>73.330453728700761</v>
      </c>
      <c r="AV162">
        <v>0.92979999999999996</v>
      </c>
      <c r="AW162" s="62">
        <v>68.183000000000007</v>
      </c>
      <c r="AX162">
        <v>8.9176000000000002</v>
      </c>
      <c r="AY162">
        <v>1</v>
      </c>
      <c r="AZ162">
        <v>5884.2256950776273</v>
      </c>
      <c r="BA162">
        <v>1.0375922509225091</v>
      </c>
      <c r="BB162" s="62">
        <v>6105.4269999999997</v>
      </c>
      <c r="BC162" s="60">
        <v>250.9701976013971</v>
      </c>
    </row>
    <row r="163" spans="1:55" x14ac:dyDescent="0.25">
      <c r="A163">
        <v>19208</v>
      </c>
      <c r="B163" t="s">
        <v>141</v>
      </c>
      <c r="C163">
        <v>2017</v>
      </c>
      <c r="D163">
        <v>4</v>
      </c>
      <c r="E163" t="s">
        <v>51</v>
      </c>
      <c r="F163" t="s">
        <v>449</v>
      </c>
      <c r="G163" t="s">
        <v>84</v>
      </c>
      <c r="H163" t="s">
        <v>87</v>
      </c>
      <c r="I163" t="s">
        <v>427</v>
      </c>
      <c r="J163">
        <v>-1.0404085599999999</v>
      </c>
      <c r="K163" t="s">
        <v>440</v>
      </c>
      <c r="L163" t="s">
        <v>385</v>
      </c>
      <c r="M163">
        <v>0.39737542925016001</v>
      </c>
      <c r="N163">
        <v>0.41343279854683362</v>
      </c>
      <c r="O163">
        <v>29976.978999999999</v>
      </c>
      <c r="P163">
        <v>1.6679465999999999E-5</v>
      </c>
      <c r="Q163">
        <v>1</v>
      </c>
      <c r="R163" s="60">
        <v>0.41343279854683362</v>
      </c>
      <c r="S163" t="s">
        <v>336</v>
      </c>
      <c r="T163" t="s">
        <v>433</v>
      </c>
      <c r="U163" t="s">
        <v>425</v>
      </c>
      <c r="V163" t="s">
        <v>27</v>
      </c>
      <c r="W163">
        <v>111.133</v>
      </c>
      <c r="X163">
        <v>0.99819678194932504</v>
      </c>
      <c r="Y163">
        <v>110.9326029683743</v>
      </c>
      <c r="Z163">
        <v>682.07</v>
      </c>
      <c r="AA163">
        <v>1</v>
      </c>
      <c r="AB163">
        <v>75.663800506639092</v>
      </c>
      <c r="AC163">
        <v>0.99739999999999995</v>
      </c>
      <c r="AD163" s="62">
        <v>75.466999999999999</v>
      </c>
      <c r="AE163">
        <v>8.9176000000000002</v>
      </c>
      <c r="AF163">
        <v>8.9015196227113016</v>
      </c>
      <c r="AG163">
        <v>1</v>
      </c>
      <c r="AH163">
        <v>6071.4594890626977</v>
      </c>
      <c r="AI163">
        <v>1.0108695652173909</v>
      </c>
      <c r="AJ163" s="62">
        <v>6137.4535999999998</v>
      </c>
      <c r="AK163" s="60">
        <v>2537.4246177993382</v>
      </c>
      <c r="AL163" t="s">
        <v>339</v>
      </c>
      <c r="AM163" t="s">
        <v>433</v>
      </c>
      <c r="AN163" t="s">
        <v>425</v>
      </c>
      <c r="AO163" t="s">
        <v>27</v>
      </c>
      <c r="AP163">
        <v>111.133</v>
      </c>
      <c r="AQ163">
        <v>1.0062587218588701</v>
      </c>
      <c r="AR163">
        <v>111.82855053634179</v>
      </c>
      <c r="AS163">
        <v>655.74</v>
      </c>
      <c r="AT163">
        <v>1</v>
      </c>
      <c r="AU163">
        <v>73.330453728700761</v>
      </c>
      <c r="AV163">
        <v>0.99739999999999995</v>
      </c>
      <c r="AW163" s="62">
        <v>73.14</v>
      </c>
      <c r="AX163">
        <v>8.9176000000000002</v>
      </c>
      <c r="AY163">
        <v>1</v>
      </c>
      <c r="AZ163">
        <v>5884.2256950776273</v>
      </c>
      <c r="BA163">
        <v>1.0108695652173909</v>
      </c>
      <c r="BB163" s="62">
        <v>5948.1846999999998</v>
      </c>
      <c r="BC163" s="60">
        <v>2459.1746467944581</v>
      </c>
    </row>
    <row r="164" spans="1:55" x14ac:dyDescent="0.25">
      <c r="A164">
        <v>19209</v>
      </c>
      <c r="B164" t="s">
        <v>141</v>
      </c>
      <c r="C164">
        <v>2017</v>
      </c>
      <c r="D164">
        <v>4</v>
      </c>
      <c r="E164" t="s">
        <v>51</v>
      </c>
      <c r="F164" t="s">
        <v>449</v>
      </c>
      <c r="G164" t="s">
        <v>84</v>
      </c>
      <c r="H164" t="s">
        <v>87</v>
      </c>
      <c r="I164" t="s">
        <v>427</v>
      </c>
      <c r="J164">
        <v>-1.0404085599999999</v>
      </c>
      <c r="K164" t="s">
        <v>440</v>
      </c>
      <c r="L164" t="s">
        <v>452</v>
      </c>
      <c r="M164">
        <v>8.4248020759000004E-4</v>
      </c>
      <c r="N164">
        <v>8.7652362050040045E-4</v>
      </c>
      <c r="O164">
        <v>29976.978999999999</v>
      </c>
      <c r="P164">
        <v>1.6679465999999999E-5</v>
      </c>
      <c r="Q164">
        <v>1</v>
      </c>
      <c r="R164" s="60">
        <v>8.7652362050040045E-4</v>
      </c>
      <c r="S164" t="s">
        <v>336</v>
      </c>
      <c r="T164" t="s">
        <v>433</v>
      </c>
      <c r="U164" t="s">
        <v>425</v>
      </c>
      <c r="V164" t="s">
        <v>28</v>
      </c>
      <c r="W164">
        <v>111.133</v>
      </c>
      <c r="X164">
        <v>0.99819678194932504</v>
      </c>
      <c r="Y164">
        <v>110.9326029683743</v>
      </c>
      <c r="Z164">
        <v>682.07</v>
      </c>
      <c r="AA164">
        <v>1</v>
      </c>
      <c r="AB164">
        <v>75.663800506639092</v>
      </c>
      <c r="AC164">
        <v>1.0196000000000001</v>
      </c>
      <c r="AD164" s="62">
        <v>77.147000000000006</v>
      </c>
      <c r="AE164">
        <v>8.9176000000000002</v>
      </c>
      <c r="AF164">
        <v>8.9015196227113016</v>
      </c>
      <c r="AG164">
        <v>1</v>
      </c>
      <c r="AH164">
        <v>6071.4594890626977</v>
      </c>
      <c r="AI164">
        <v>0.97991730655640863</v>
      </c>
      <c r="AJ164" s="62">
        <v>5949.5281999999997</v>
      </c>
      <c r="AK164" s="60">
        <v>5.2149019981332314</v>
      </c>
      <c r="AL164" t="s">
        <v>339</v>
      </c>
      <c r="AM164" t="s">
        <v>433</v>
      </c>
      <c r="AN164" t="s">
        <v>425</v>
      </c>
      <c r="AO164" t="s">
        <v>28</v>
      </c>
      <c r="AP164">
        <v>111.133</v>
      </c>
      <c r="AQ164">
        <v>1.0062587218588701</v>
      </c>
      <c r="AR164">
        <v>111.82855053634179</v>
      </c>
      <c r="AS164">
        <v>655.74</v>
      </c>
      <c r="AT164">
        <v>1</v>
      </c>
      <c r="AU164">
        <v>73.330453728700761</v>
      </c>
      <c r="AV164">
        <v>1.0196000000000001</v>
      </c>
      <c r="AW164" s="62">
        <v>74.768000000000001</v>
      </c>
      <c r="AX164">
        <v>8.9176000000000002</v>
      </c>
      <c r="AY164">
        <v>1</v>
      </c>
      <c r="AZ164">
        <v>5884.2256950776273</v>
      </c>
      <c r="BA164">
        <v>0.97991730655640863</v>
      </c>
      <c r="BB164" s="62">
        <v>5766.0546000000004</v>
      </c>
      <c r="BC164" s="60">
        <v>5.0540830539949884</v>
      </c>
    </row>
    <row r="165" spans="1:55" x14ac:dyDescent="0.25">
      <c r="A165">
        <v>19210</v>
      </c>
      <c r="B165" t="s">
        <v>141</v>
      </c>
      <c r="C165">
        <v>2017</v>
      </c>
      <c r="D165">
        <v>4</v>
      </c>
      <c r="E165" t="s">
        <v>51</v>
      </c>
      <c r="F165" t="s">
        <v>449</v>
      </c>
      <c r="G165" t="s">
        <v>84</v>
      </c>
      <c r="H165" t="s">
        <v>59</v>
      </c>
      <c r="I165" t="s">
        <v>427</v>
      </c>
      <c r="J165">
        <v>-2.7236482199999998</v>
      </c>
      <c r="K165" t="s">
        <v>440</v>
      </c>
      <c r="L165" t="s">
        <v>450</v>
      </c>
      <c r="M165">
        <v>0.15931709696460999</v>
      </c>
      <c r="N165">
        <v>0.4339237274373467</v>
      </c>
      <c r="O165">
        <v>29976.978999999999</v>
      </c>
      <c r="P165">
        <v>1.6679465999999999E-5</v>
      </c>
      <c r="Q165">
        <v>1</v>
      </c>
      <c r="R165" s="60">
        <v>0.4339237274373467</v>
      </c>
      <c r="S165" t="s">
        <v>336</v>
      </c>
      <c r="T165" t="s">
        <v>433</v>
      </c>
      <c r="U165" t="s">
        <v>425</v>
      </c>
      <c r="V165" t="s">
        <v>26</v>
      </c>
      <c r="W165">
        <v>111.133</v>
      </c>
      <c r="X165">
        <v>0.99819678194932504</v>
      </c>
      <c r="Y165">
        <v>110.9326029683743</v>
      </c>
      <c r="Z165">
        <v>682.07</v>
      </c>
      <c r="AA165">
        <v>1</v>
      </c>
      <c r="AB165">
        <v>75.663800506639092</v>
      </c>
      <c r="AC165">
        <v>1.0178</v>
      </c>
      <c r="AD165" s="62">
        <v>77.010999999999996</v>
      </c>
      <c r="AE165">
        <v>8.9176000000000002</v>
      </c>
      <c r="AF165">
        <v>8.9015196227113016</v>
      </c>
      <c r="AG165">
        <v>1</v>
      </c>
      <c r="AH165">
        <v>6071.4594890626977</v>
      </c>
      <c r="AI165">
        <v>1.0020831266739409</v>
      </c>
      <c r="AJ165" s="62">
        <v>6084.1071000000002</v>
      </c>
      <c r="AK165" s="60">
        <v>2640.0384309600258</v>
      </c>
      <c r="AL165" t="s">
        <v>339</v>
      </c>
      <c r="AM165" t="s">
        <v>433</v>
      </c>
      <c r="AN165" t="s">
        <v>425</v>
      </c>
      <c r="AO165" t="s">
        <v>26</v>
      </c>
      <c r="AP165">
        <v>111.133</v>
      </c>
      <c r="AQ165">
        <v>1.0062587218588701</v>
      </c>
      <c r="AR165">
        <v>111.82855053634179</v>
      </c>
      <c r="AS165">
        <v>655.74</v>
      </c>
      <c r="AT165">
        <v>1</v>
      </c>
      <c r="AU165">
        <v>73.330453728700761</v>
      </c>
      <c r="AV165">
        <v>1.0178</v>
      </c>
      <c r="AW165" s="62">
        <v>74.635999999999996</v>
      </c>
      <c r="AX165">
        <v>8.9176000000000002</v>
      </c>
      <c r="AY165">
        <v>1</v>
      </c>
      <c r="AZ165">
        <v>5884.2256950776273</v>
      </c>
      <c r="BA165">
        <v>1.0020831266739409</v>
      </c>
      <c r="BB165" s="62">
        <v>5896.4832999999999</v>
      </c>
      <c r="BC165" s="60">
        <v>2558.624012308067</v>
      </c>
    </row>
    <row r="166" spans="1:55" x14ac:dyDescent="0.25">
      <c r="A166">
        <v>19211</v>
      </c>
      <c r="B166" t="s">
        <v>141</v>
      </c>
      <c r="C166">
        <v>2017</v>
      </c>
      <c r="D166">
        <v>4</v>
      </c>
      <c r="E166" t="s">
        <v>51</v>
      </c>
      <c r="F166" t="s">
        <v>449</v>
      </c>
      <c r="G166" t="s">
        <v>84</v>
      </c>
      <c r="H166" t="s">
        <v>59</v>
      </c>
      <c r="I166" t="s">
        <v>427</v>
      </c>
      <c r="J166">
        <v>-2.7236482199999998</v>
      </c>
      <c r="K166" t="s">
        <v>440</v>
      </c>
      <c r="L166" t="s">
        <v>384</v>
      </c>
      <c r="M166">
        <v>4.1785183859599999E-2</v>
      </c>
      <c r="N166">
        <v>0.11380814160855671</v>
      </c>
      <c r="O166">
        <v>29976.978999999999</v>
      </c>
      <c r="P166">
        <v>1.6679465999999999E-5</v>
      </c>
      <c r="Q166">
        <v>1</v>
      </c>
      <c r="R166" s="60">
        <v>0.11380814160855671</v>
      </c>
      <c r="S166" t="s">
        <v>336</v>
      </c>
      <c r="T166" t="s">
        <v>433</v>
      </c>
      <c r="U166" t="s">
        <v>425</v>
      </c>
      <c r="V166" t="s">
        <v>81</v>
      </c>
      <c r="W166">
        <v>111.133</v>
      </c>
      <c r="X166">
        <v>0.99819678194932504</v>
      </c>
      <c r="Y166">
        <v>110.9326029683743</v>
      </c>
      <c r="Z166">
        <v>682.07</v>
      </c>
      <c r="AA166">
        <v>1</v>
      </c>
      <c r="AB166">
        <v>75.663800506639092</v>
      </c>
      <c r="AC166">
        <v>0.92979999999999996</v>
      </c>
      <c r="AD166" s="62">
        <v>70.352000000000004</v>
      </c>
      <c r="AE166">
        <v>8.9176000000000002</v>
      </c>
      <c r="AF166">
        <v>8.9015196227113016</v>
      </c>
      <c r="AG166">
        <v>1</v>
      </c>
      <c r="AH166">
        <v>6071.4594890626977</v>
      </c>
      <c r="AI166">
        <v>1.0375922509225091</v>
      </c>
      <c r="AJ166" s="62">
        <v>6299.6993000000002</v>
      </c>
      <c r="AK166" s="60">
        <v>716.95707002572544</v>
      </c>
      <c r="AL166" t="s">
        <v>339</v>
      </c>
      <c r="AM166" t="s">
        <v>433</v>
      </c>
      <c r="AN166" t="s">
        <v>425</v>
      </c>
      <c r="AO166" t="s">
        <v>81</v>
      </c>
      <c r="AP166">
        <v>111.133</v>
      </c>
      <c r="AQ166">
        <v>1.0062587218588701</v>
      </c>
      <c r="AR166">
        <v>111.82855053634179</v>
      </c>
      <c r="AS166">
        <v>655.74</v>
      </c>
      <c r="AT166">
        <v>1</v>
      </c>
      <c r="AU166">
        <v>73.330453728700761</v>
      </c>
      <c r="AV166">
        <v>0.92979999999999996</v>
      </c>
      <c r="AW166" s="62">
        <v>68.183000000000007</v>
      </c>
      <c r="AX166">
        <v>8.9176000000000002</v>
      </c>
      <c r="AY166">
        <v>1</v>
      </c>
      <c r="AZ166">
        <v>5884.2256950776273</v>
      </c>
      <c r="BA166">
        <v>1.0375922509225091</v>
      </c>
      <c r="BB166" s="62">
        <v>6105.4269999999997</v>
      </c>
      <c r="BC166" s="60">
        <v>694.8473005967054</v>
      </c>
    </row>
    <row r="167" spans="1:55" x14ac:dyDescent="0.25">
      <c r="A167">
        <v>19212</v>
      </c>
      <c r="B167" t="s">
        <v>141</v>
      </c>
      <c r="C167">
        <v>2017</v>
      </c>
      <c r="D167">
        <v>4</v>
      </c>
      <c r="E167" t="s">
        <v>51</v>
      </c>
      <c r="F167" t="s">
        <v>449</v>
      </c>
      <c r="G167" t="s">
        <v>84</v>
      </c>
      <c r="H167" t="s">
        <v>59</v>
      </c>
      <c r="I167" t="s">
        <v>427</v>
      </c>
      <c r="J167">
        <v>-2.7236482199999998</v>
      </c>
      <c r="K167" t="s">
        <v>440</v>
      </c>
      <c r="L167" t="s">
        <v>385</v>
      </c>
      <c r="M167">
        <v>0.43497567483749999</v>
      </c>
      <c r="N167">
        <v>1.1847207221707701</v>
      </c>
      <c r="O167">
        <v>29976.978999999999</v>
      </c>
      <c r="P167">
        <v>1.6679465999999999E-5</v>
      </c>
      <c r="Q167">
        <v>1</v>
      </c>
      <c r="R167" s="60">
        <v>1.1847207221707701</v>
      </c>
      <c r="S167" t="s">
        <v>336</v>
      </c>
      <c r="T167" t="s">
        <v>433</v>
      </c>
      <c r="U167" t="s">
        <v>425</v>
      </c>
      <c r="V167" t="s">
        <v>27</v>
      </c>
      <c r="W167">
        <v>111.133</v>
      </c>
      <c r="X167">
        <v>0.99819678194932504</v>
      </c>
      <c r="Y167">
        <v>110.9326029683743</v>
      </c>
      <c r="Z167">
        <v>682.07</v>
      </c>
      <c r="AA167">
        <v>1</v>
      </c>
      <c r="AB167">
        <v>75.663800506639092</v>
      </c>
      <c r="AC167">
        <v>0.99739999999999995</v>
      </c>
      <c r="AD167" s="62">
        <v>75.466999999999999</v>
      </c>
      <c r="AE167">
        <v>8.9176000000000002</v>
      </c>
      <c r="AF167">
        <v>8.9015196227113016</v>
      </c>
      <c r="AG167">
        <v>1</v>
      </c>
      <c r="AH167">
        <v>6071.4594890626977</v>
      </c>
      <c r="AI167">
        <v>1.0108695652173909</v>
      </c>
      <c r="AJ167" s="62">
        <v>6137.4535999999998</v>
      </c>
      <c r="AK167" s="60">
        <v>7271.1684612815898</v>
      </c>
      <c r="AL167" t="s">
        <v>339</v>
      </c>
      <c r="AM167" t="s">
        <v>433</v>
      </c>
      <c r="AN167" t="s">
        <v>425</v>
      </c>
      <c r="AO167" t="s">
        <v>27</v>
      </c>
      <c r="AP167">
        <v>111.133</v>
      </c>
      <c r="AQ167">
        <v>1.0062587218588701</v>
      </c>
      <c r="AR167">
        <v>111.82855053634179</v>
      </c>
      <c r="AS167">
        <v>655.74</v>
      </c>
      <c r="AT167">
        <v>1</v>
      </c>
      <c r="AU167">
        <v>73.330453728700761</v>
      </c>
      <c r="AV167">
        <v>0.99739999999999995</v>
      </c>
      <c r="AW167" s="62">
        <v>73.14</v>
      </c>
      <c r="AX167">
        <v>8.9176000000000002</v>
      </c>
      <c r="AY167">
        <v>1</v>
      </c>
      <c r="AZ167">
        <v>5884.2256950776273</v>
      </c>
      <c r="BA167">
        <v>1.0108695652173909</v>
      </c>
      <c r="BB167" s="62">
        <v>5948.1846999999998</v>
      </c>
      <c r="BC167" s="60">
        <v>7046.9376733891222</v>
      </c>
    </row>
    <row r="168" spans="1:55" x14ac:dyDescent="0.25">
      <c r="A168">
        <v>19213</v>
      </c>
      <c r="B168" t="s">
        <v>141</v>
      </c>
      <c r="C168">
        <v>2017</v>
      </c>
      <c r="D168">
        <v>4</v>
      </c>
      <c r="E168" t="s">
        <v>51</v>
      </c>
      <c r="F168" t="s">
        <v>449</v>
      </c>
      <c r="G168" t="s">
        <v>84</v>
      </c>
      <c r="H168" t="s">
        <v>59</v>
      </c>
      <c r="I168" t="s">
        <v>427</v>
      </c>
      <c r="J168">
        <v>-2.7236482199999998</v>
      </c>
      <c r="K168" t="s">
        <v>440</v>
      </c>
      <c r="L168" t="s">
        <v>451</v>
      </c>
      <c r="M168">
        <v>1.7625750762999999E-3</v>
      </c>
      <c r="N168">
        <v>4.8006344677882012E-3</v>
      </c>
      <c r="O168">
        <v>29976.978999999999</v>
      </c>
      <c r="P168">
        <v>1.6679465999999999E-5</v>
      </c>
      <c r="Q168">
        <v>1</v>
      </c>
      <c r="R168" s="60">
        <v>4.8006344677882012E-3</v>
      </c>
      <c r="S168" t="s">
        <v>336</v>
      </c>
      <c r="T168" t="s">
        <v>433</v>
      </c>
      <c r="U168" t="s">
        <v>425</v>
      </c>
      <c r="V168" t="s">
        <v>91</v>
      </c>
      <c r="W168">
        <v>111.133</v>
      </c>
      <c r="X168">
        <v>0.99819678194932504</v>
      </c>
      <c r="Y168">
        <v>110.9326029683743</v>
      </c>
      <c r="Z168">
        <v>682.07</v>
      </c>
      <c r="AA168">
        <v>1</v>
      </c>
      <c r="AB168">
        <v>75.663800506639092</v>
      </c>
      <c r="AC168">
        <v>1.0269999999999999</v>
      </c>
      <c r="AD168" s="62">
        <v>77.706999999999994</v>
      </c>
      <c r="AE168">
        <v>8.9176000000000002</v>
      </c>
      <c r="AF168">
        <v>8.9015196227113016</v>
      </c>
      <c r="AG168">
        <v>1</v>
      </c>
      <c r="AH168">
        <v>6071.4594890626977</v>
      </c>
      <c r="AI168">
        <v>0.98496680983990625</v>
      </c>
      <c r="AJ168" s="62">
        <v>5980.1860999999999</v>
      </c>
      <c r="AK168" s="60">
        <v>28.708687515447899</v>
      </c>
      <c r="AL168" t="s">
        <v>339</v>
      </c>
      <c r="AM168" t="s">
        <v>433</v>
      </c>
      <c r="AN168" t="s">
        <v>425</v>
      </c>
      <c r="AO168" t="s">
        <v>91</v>
      </c>
      <c r="AP168">
        <v>111.133</v>
      </c>
      <c r="AQ168">
        <v>1.0062587218588701</v>
      </c>
      <c r="AR168">
        <v>111.82855053634179</v>
      </c>
      <c r="AS168">
        <v>655.74</v>
      </c>
      <c r="AT168">
        <v>1</v>
      </c>
      <c r="AU168">
        <v>73.330453728700761</v>
      </c>
      <c r="AV168">
        <v>1.0269999999999999</v>
      </c>
      <c r="AW168" s="62">
        <v>75.31</v>
      </c>
      <c r="AX168">
        <v>8.9176000000000002</v>
      </c>
      <c r="AY168">
        <v>1</v>
      </c>
      <c r="AZ168">
        <v>5884.2256950776273</v>
      </c>
      <c r="BA168">
        <v>0.98496680983990625</v>
      </c>
      <c r="BB168" s="62">
        <v>5795.7669999999998</v>
      </c>
      <c r="BC168" s="60">
        <v>27.82335882746942</v>
      </c>
    </row>
    <row r="169" spans="1:55" x14ac:dyDescent="0.25">
      <c r="A169">
        <v>19214</v>
      </c>
      <c r="B169" t="s">
        <v>141</v>
      </c>
      <c r="C169">
        <v>2017</v>
      </c>
      <c r="D169">
        <v>4</v>
      </c>
      <c r="E169" t="s">
        <v>51</v>
      </c>
      <c r="F169" t="s">
        <v>449</v>
      </c>
      <c r="G169" t="s">
        <v>84</v>
      </c>
      <c r="H169" t="s">
        <v>59</v>
      </c>
      <c r="I169" t="s">
        <v>427</v>
      </c>
      <c r="J169">
        <v>-2.7236482199999998</v>
      </c>
      <c r="K169" t="s">
        <v>440</v>
      </c>
      <c r="L169" t="s">
        <v>452</v>
      </c>
      <c r="M169">
        <v>1.4858046103299999E-3</v>
      </c>
      <c r="N169">
        <v>4.0468090810191239E-3</v>
      </c>
      <c r="O169">
        <v>29976.978999999999</v>
      </c>
      <c r="P169">
        <v>1.6679465999999999E-5</v>
      </c>
      <c r="Q169">
        <v>1</v>
      </c>
      <c r="R169" s="60">
        <v>4.0468090810191239E-3</v>
      </c>
      <c r="S169" t="s">
        <v>336</v>
      </c>
      <c r="T169" t="s">
        <v>433</v>
      </c>
      <c r="U169" t="s">
        <v>425</v>
      </c>
      <c r="V169" t="s">
        <v>28</v>
      </c>
      <c r="W169">
        <v>111.133</v>
      </c>
      <c r="X169">
        <v>0.99819678194932504</v>
      </c>
      <c r="Y169">
        <v>110.9326029683743</v>
      </c>
      <c r="Z169">
        <v>682.07</v>
      </c>
      <c r="AA169">
        <v>1</v>
      </c>
      <c r="AB169">
        <v>75.663800506639092</v>
      </c>
      <c r="AC169">
        <v>1.0196000000000001</v>
      </c>
      <c r="AD169" s="62">
        <v>77.147000000000006</v>
      </c>
      <c r="AE169">
        <v>8.9176000000000002</v>
      </c>
      <c r="AF169">
        <v>8.9015196227113016</v>
      </c>
      <c r="AG169">
        <v>1</v>
      </c>
      <c r="AH169">
        <v>6071.4594890626977</v>
      </c>
      <c r="AI169">
        <v>0.97991730655640863</v>
      </c>
      <c r="AJ169" s="62">
        <v>5949.5281999999997</v>
      </c>
      <c r="AK169" s="60">
        <v>24.07660474753936</v>
      </c>
      <c r="AL169" t="s">
        <v>339</v>
      </c>
      <c r="AM169" t="s">
        <v>433</v>
      </c>
      <c r="AN169" t="s">
        <v>425</v>
      </c>
      <c r="AO169" t="s">
        <v>28</v>
      </c>
      <c r="AP169">
        <v>111.133</v>
      </c>
      <c r="AQ169">
        <v>1.0062587218588701</v>
      </c>
      <c r="AR169">
        <v>111.82855053634179</v>
      </c>
      <c r="AS169">
        <v>655.74</v>
      </c>
      <c r="AT169">
        <v>1</v>
      </c>
      <c r="AU169">
        <v>73.330453728700761</v>
      </c>
      <c r="AV169">
        <v>1.0196000000000001</v>
      </c>
      <c r="AW169" s="62">
        <v>74.768000000000001</v>
      </c>
      <c r="AX169">
        <v>8.9176000000000002</v>
      </c>
      <c r="AY169">
        <v>1</v>
      </c>
      <c r="AZ169">
        <v>5884.2256950776273</v>
      </c>
      <c r="BA169">
        <v>0.97991730655640863</v>
      </c>
      <c r="BB169" s="62">
        <v>5766.0546000000004</v>
      </c>
      <c r="BC169" s="60">
        <v>23.33412211693209</v>
      </c>
    </row>
    <row r="170" spans="1:55" x14ac:dyDescent="0.25">
      <c r="A170">
        <v>21885</v>
      </c>
      <c r="B170" t="s">
        <v>144</v>
      </c>
      <c r="C170">
        <v>2017</v>
      </c>
      <c r="D170">
        <v>5</v>
      </c>
      <c r="E170" t="s">
        <v>51</v>
      </c>
      <c r="F170" t="s">
        <v>449</v>
      </c>
      <c r="G170" t="s">
        <v>84</v>
      </c>
      <c r="H170" t="s">
        <v>381</v>
      </c>
      <c r="I170" t="s">
        <v>427</v>
      </c>
      <c r="J170">
        <v>-4.1699826599999996</v>
      </c>
      <c r="K170" t="s">
        <v>440</v>
      </c>
      <c r="L170" t="s">
        <v>450</v>
      </c>
      <c r="M170">
        <v>0.15011157993331001</v>
      </c>
      <c r="N170">
        <v>0.6259626854643543</v>
      </c>
      <c r="O170">
        <v>29976.978999999999</v>
      </c>
      <c r="P170">
        <v>1.6679465999999999E-5</v>
      </c>
      <c r="Q170">
        <v>1</v>
      </c>
      <c r="R170" s="60">
        <v>0.6259626854643543</v>
      </c>
      <c r="S170" t="s">
        <v>336</v>
      </c>
      <c r="T170" t="s">
        <v>433</v>
      </c>
      <c r="U170" t="s">
        <v>425</v>
      </c>
      <c r="V170" t="s">
        <v>26</v>
      </c>
      <c r="W170">
        <v>111.133</v>
      </c>
      <c r="X170">
        <v>0.99819678194932504</v>
      </c>
      <c r="Y170">
        <v>110.9326029683743</v>
      </c>
      <c r="Z170">
        <v>682.07</v>
      </c>
      <c r="AA170">
        <v>1</v>
      </c>
      <c r="AB170">
        <v>75.663800506639092</v>
      </c>
      <c r="AC170">
        <v>1.0178</v>
      </c>
      <c r="AD170" s="62">
        <v>77.010999999999996</v>
      </c>
      <c r="AE170">
        <v>8.9176000000000002</v>
      </c>
      <c r="AF170">
        <v>8.9015196227113016</v>
      </c>
      <c r="AG170">
        <v>1</v>
      </c>
      <c r="AH170">
        <v>6071.4594890626977</v>
      </c>
      <c r="AI170">
        <v>1.0020831266739409</v>
      </c>
      <c r="AJ170" s="62">
        <v>6084.1071000000002</v>
      </c>
      <c r="AK170" s="60">
        <v>3808.4240189687448</v>
      </c>
      <c r="AL170" t="s">
        <v>339</v>
      </c>
      <c r="AM170" t="s">
        <v>433</v>
      </c>
      <c r="AN170" t="s">
        <v>425</v>
      </c>
      <c r="AO170" t="s">
        <v>26</v>
      </c>
      <c r="AP170">
        <v>111.133</v>
      </c>
      <c r="AQ170">
        <v>1.0062587218588701</v>
      </c>
      <c r="AR170">
        <v>111.82855053634179</v>
      </c>
      <c r="AS170">
        <v>671.54</v>
      </c>
      <c r="AT170">
        <v>1</v>
      </c>
      <c r="AU170">
        <v>75.09734482717495</v>
      </c>
      <c r="AV170">
        <v>1.0178</v>
      </c>
      <c r="AW170" s="62">
        <v>76.433999999999997</v>
      </c>
      <c r="AX170">
        <v>8.9176000000000002</v>
      </c>
      <c r="AY170">
        <v>1</v>
      </c>
      <c r="AZ170">
        <v>6026.0056169707959</v>
      </c>
      <c r="BA170">
        <v>1.0020831266739409</v>
      </c>
      <c r="BB170" s="62">
        <v>6038.5586000000003</v>
      </c>
      <c r="BC170" s="60">
        <v>3779.912357589872</v>
      </c>
    </row>
    <row r="171" spans="1:55" x14ac:dyDescent="0.25">
      <c r="A171">
        <v>21886</v>
      </c>
      <c r="B171" t="s">
        <v>144</v>
      </c>
      <c r="C171">
        <v>2017</v>
      </c>
      <c r="D171">
        <v>5</v>
      </c>
      <c r="E171" t="s">
        <v>51</v>
      </c>
      <c r="F171" t="s">
        <v>449</v>
      </c>
      <c r="G171" t="s">
        <v>84</v>
      </c>
      <c r="H171" t="s">
        <v>381</v>
      </c>
      <c r="I171" t="s">
        <v>427</v>
      </c>
      <c r="J171">
        <v>-4.1699826599999996</v>
      </c>
      <c r="K171" t="s">
        <v>440</v>
      </c>
      <c r="L171" t="s">
        <v>384</v>
      </c>
      <c r="M171">
        <v>4.5811354346740003E-2</v>
      </c>
      <c r="N171">
        <v>0.19103255328059601</v>
      </c>
      <c r="O171">
        <v>29976.978999999999</v>
      </c>
      <c r="P171">
        <v>1.6679465999999999E-5</v>
      </c>
      <c r="Q171">
        <v>1</v>
      </c>
      <c r="R171" s="60">
        <v>0.19103255328059601</v>
      </c>
      <c r="S171" t="s">
        <v>336</v>
      </c>
      <c r="T171" t="s">
        <v>433</v>
      </c>
      <c r="U171" t="s">
        <v>425</v>
      </c>
      <c r="V171" t="s">
        <v>81</v>
      </c>
      <c r="W171">
        <v>111.133</v>
      </c>
      <c r="X171">
        <v>0.99819678194932504</v>
      </c>
      <c r="Y171">
        <v>110.9326029683743</v>
      </c>
      <c r="Z171">
        <v>682.07</v>
      </c>
      <c r="AA171">
        <v>1</v>
      </c>
      <c r="AB171">
        <v>75.663800506639092</v>
      </c>
      <c r="AC171">
        <v>0.92979999999999996</v>
      </c>
      <c r="AD171" s="62">
        <v>70.352000000000004</v>
      </c>
      <c r="AE171">
        <v>8.9176000000000002</v>
      </c>
      <c r="AF171">
        <v>8.9015196227113016</v>
      </c>
      <c r="AG171">
        <v>1</v>
      </c>
      <c r="AH171">
        <v>6071.4594890626977</v>
      </c>
      <c r="AI171">
        <v>1.0375922509225091</v>
      </c>
      <c r="AJ171" s="62">
        <v>6299.6993000000002</v>
      </c>
      <c r="AK171" s="60">
        <v>1203.447642178983</v>
      </c>
      <c r="AL171" t="s">
        <v>339</v>
      </c>
      <c r="AM171" t="s">
        <v>433</v>
      </c>
      <c r="AN171" t="s">
        <v>425</v>
      </c>
      <c r="AO171" t="s">
        <v>81</v>
      </c>
      <c r="AP171">
        <v>111.133</v>
      </c>
      <c r="AQ171">
        <v>1.0062587218588701</v>
      </c>
      <c r="AR171">
        <v>111.82855053634179</v>
      </c>
      <c r="AS171">
        <v>671.54</v>
      </c>
      <c r="AT171">
        <v>1</v>
      </c>
      <c r="AU171">
        <v>75.09734482717495</v>
      </c>
      <c r="AV171">
        <v>0.92979999999999996</v>
      </c>
      <c r="AW171" s="62">
        <v>69.825999999999993</v>
      </c>
      <c r="AX171">
        <v>8.9176000000000002</v>
      </c>
      <c r="AY171">
        <v>1</v>
      </c>
      <c r="AZ171">
        <v>6026.0056169707959</v>
      </c>
      <c r="BA171">
        <v>1.0375922509225091</v>
      </c>
      <c r="BB171" s="62">
        <v>6252.5366999999997</v>
      </c>
      <c r="BC171" s="60">
        <v>1194.4380502816321</v>
      </c>
    </row>
    <row r="172" spans="1:55" x14ac:dyDescent="0.25">
      <c r="A172">
        <v>21887</v>
      </c>
      <c r="B172" t="s">
        <v>144</v>
      </c>
      <c r="C172">
        <v>2017</v>
      </c>
      <c r="D172">
        <v>5</v>
      </c>
      <c r="E172" t="s">
        <v>51</v>
      </c>
      <c r="F172" t="s">
        <v>449</v>
      </c>
      <c r="G172" t="s">
        <v>84</v>
      </c>
      <c r="H172" t="s">
        <v>381</v>
      </c>
      <c r="I172" t="s">
        <v>427</v>
      </c>
      <c r="J172">
        <v>-4.1699826599999996</v>
      </c>
      <c r="K172" t="s">
        <v>440</v>
      </c>
      <c r="L172" t="s">
        <v>385</v>
      </c>
      <c r="M172">
        <v>0.43232641346992001</v>
      </c>
      <c r="N172">
        <v>1.802793647852033</v>
      </c>
      <c r="O172">
        <v>29976.978999999999</v>
      </c>
      <c r="P172">
        <v>1.6679465999999999E-5</v>
      </c>
      <c r="Q172">
        <v>1</v>
      </c>
      <c r="R172" s="60">
        <v>1.802793647852033</v>
      </c>
      <c r="S172" t="s">
        <v>336</v>
      </c>
      <c r="T172" t="s">
        <v>433</v>
      </c>
      <c r="U172" t="s">
        <v>425</v>
      </c>
      <c r="V172" t="s">
        <v>27</v>
      </c>
      <c r="W172">
        <v>111.133</v>
      </c>
      <c r="X172">
        <v>0.99819678194932504</v>
      </c>
      <c r="Y172">
        <v>110.9326029683743</v>
      </c>
      <c r="Z172">
        <v>682.07</v>
      </c>
      <c r="AA172">
        <v>1</v>
      </c>
      <c r="AB172">
        <v>75.663800506639092</v>
      </c>
      <c r="AC172">
        <v>0.99739999999999995</v>
      </c>
      <c r="AD172" s="62">
        <v>75.466999999999999</v>
      </c>
      <c r="AE172">
        <v>8.9176000000000002</v>
      </c>
      <c r="AF172">
        <v>8.9015196227113016</v>
      </c>
      <c r="AG172">
        <v>1</v>
      </c>
      <c r="AH172">
        <v>6071.4594890626977</v>
      </c>
      <c r="AI172">
        <v>1.0108695652173909</v>
      </c>
      <c r="AJ172" s="62">
        <v>6137.4535999999998</v>
      </c>
      <c r="AK172" s="60">
        <v>11064.562364066591</v>
      </c>
      <c r="AL172" t="s">
        <v>339</v>
      </c>
      <c r="AM172" t="s">
        <v>433</v>
      </c>
      <c r="AN172" t="s">
        <v>425</v>
      </c>
      <c r="AO172" t="s">
        <v>27</v>
      </c>
      <c r="AP172">
        <v>111.133</v>
      </c>
      <c r="AQ172">
        <v>1.0062587218588701</v>
      </c>
      <c r="AR172">
        <v>111.82855053634179</v>
      </c>
      <c r="AS172">
        <v>671.54</v>
      </c>
      <c r="AT172">
        <v>1</v>
      </c>
      <c r="AU172">
        <v>75.09734482717495</v>
      </c>
      <c r="AV172">
        <v>0.99739999999999995</v>
      </c>
      <c r="AW172" s="62">
        <v>74.902000000000001</v>
      </c>
      <c r="AX172">
        <v>8.9176000000000002</v>
      </c>
      <c r="AY172">
        <v>1</v>
      </c>
      <c r="AZ172">
        <v>6026.0056169707959</v>
      </c>
      <c r="BA172">
        <v>1.0108695652173909</v>
      </c>
      <c r="BB172" s="62">
        <v>6091.5056999999997</v>
      </c>
      <c r="BC172" s="60">
        <v>10981.72778181445</v>
      </c>
    </row>
    <row r="173" spans="1:55" x14ac:dyDescent="0.25">
      <c r="A173">
        <v>21888</v>
      </c>
      <c r="B173" t="s">
        <v>144</v>
      </c>
      <c r="C173">
        <v>2017</v>
      </c>
      <c r="D173">
        <v>5</v>
      </c>
      <c r="E173" t="s">
        <v>51</v>
      </c>
      <c r="F173" t="s">
        <v>449</v>
      </c>
      <c r="G173" t="s">
        <v>84</v>
      </c>
      <c r="H173" t="s">
        <v>381</v>
      </c>
      <c r="I173" t="s">
        <v>427</v>
      </c>
      <c r="J173">
        <v>-4.1699826599999996</v>
      </c>
      <c r="K173" t="s">
        <v>440</v>
      </c>
      <c r="L173" t="s">
        <v>451</v>
      </c>
      <c r="M173">
        <v>1.6825115802299999E-3</v>
      </c>
      <c r="N173">
        <v>7.0160441156741212E-3</v>
      </c>
      <c r="O173">
        <v>29976.978999999999</v>
      </c>
      <c r="P173">
        <v>1.6679465999999999E-5</v>
      </c>
      <c r="Q173">
        <v>1</v>
      </c>
      <c r="R173" s="60">
        <v>7.0160441156741212E-3</v>
      </c>
      <c r="S173" t="s">
        <v>336</v>
      </c>
      <c r="T173" t="s">
        <v>433</v>
      </c>
      <c r="U173" t="s">
        <v>425</v>
      </c>
      <c r="V173" t="s">
        <v>91</v>
      </c>
      <c r="W173">
        <v>111.133</v>
      </c>
      <c r="X173">
        <v>0.99819678194932504</v>
      </c>
      <c r="Y173">
        <v>110.9326029683743</v>
      </c>
      <c r="Z173">
        <v>682.07</v>
      </c>
      <c r="AA173">
        <v>1</v>
      </c>
      <c r="AB173">
        <v>75.663800506639092</v>
      </c>
      <c r="AC173">
        <v>1.0269999999999999</v>
      </c>
      <c r="AD173" s="62">
        <v>77.706999999999994</v>
      </c>
      <c r="AE173">
        <v>8.9176000000000002</v>
      </c>
      <c r="AF173">
        <v>8.9015196227113016</v>
      </c>
      <c r="AG173">
        <v>1</v>
      </c>
      <c r="AH173">
        <v>6071.4594890626977</v>
      </c>
      <c r="AI173">
        <v>0.98496680983990625</v>
      </c>
      <c r="AJ173" s="62">
        <v>5980.1860999999999</v>
      </c>
      <c r="AK173" s="60">
        <v>41.95724949754117</v>
      </c>
      <c r="AL173" t="s">
        <v>339</v>
      </c>
      <c r="AM173" t="s">
        <v>433</v>
      </c>
      <c r="AN173" t="s">
        <v>425</v>
      </c>
      <c r="AO173" t="s">
        <v>91</v>
      </c>
      <c r="AP173">
        <v>111.133</v>
      </c>
      <c r="AQ173">
        <v>1.0062587218588701</v>
      </c>
      <c r="AR173">
        <v>111.82855053634179</v>
      </c>
      <c r="AS173">
        <v>671.54</v>
      </c>
      <c r="AT173">
        <v>1</v>
      </c>
      <c r="AU173">
        <v>75.09734482717495</v>
      </c>
      <c r="AV173">
        <v>1.0269999999999999</v>
      </c>
      <c r="AW173" s="62">
        <v>77.125</v>
      </c>
      <c r="AX173">
        <v>8.9176000000000002</v>
      </c>
      <c r="AY173">
        <v>1</v>
      </c>
      <c r="AZ173">
        <v>6026.0056169707959</v>
      </c>
      <c r="BA173">
        <v>0.98496680983990625</v>
      </c>
      <c r="BB173" s="62">
        <v>5935.4155000000001</v>
      </c>
      <c r="BC173" s="60">
        <v>41.643136992855972</v>
      </c>
    </row>
    <row r="174" spans="1:55" x14ac:dyDescent="0.25">
      <c r="A174">
        <v>21889</v>
      </c>
      <c r="B174" t="s">
        <v>144</v>
      </c>
      <c r="C174">
        <v>2017</v>
      </c>
      <c r="D174">
        <v>5</v>
      </c>
      <c r="E174" t="s">
        <v>51</v>
      </c>
      <c r="F174" t="s">
        <v>449</v>
      </c>
      <c r="G174" t="s">
        <v>84</v>
      </c>
      <c r="H174" t="s">
        <v>381</v>
      </c>
      <c r="I174" t="s">
        <v>427</v>
      </c>
      <c r="J174">
        <v>-4.1699826599999996</v>
      </c>
      <c r="K174" t="s">
        <v>440</v>
      </c>
      <c r="L174" t="s">
        <v>452</v>
      </c>
      <c r="M174">
        <v>1.53682162831E-3</v>
      </c>
      <c r="N174">
        <v>6.4085195423565153E-3</v>
      </c>
      <c r="O174">
        <v>29976.978999999999</v>
      </c>
      <c r="P174">
        <v>1.6679465999999999E-5</v>
      </c>
      <c r="Q174">
        <v>1</v>
      </c>
      <c r="R174" s="60">
        <v>6.4085195423565153E-3</v>
      </c>
      <c r="S174" t="s">
        <v>336</v>
      </c>
      <c r="T174" t="s">
        <v>433</v>
      </c>
      <c r="U174" t="s">
        <v>425</v>
      </c>
      <c r="V174" t="s">
        <v>28</v>
      </c>
      <c r="W174">
        <v>111.133</v>
      </c>
      <c r="X174">
        <v>0.99819678194932504</v>
      </c>
      <c r="Y174">
        <v>110.9326029683743</v>
      </c>
      <c r="Z174">
        <v>682.07</v>
      </c>
      <c r="AA174">
        <v>1</v>
      </c>
      <c r="AB174">
        <v>75.663800506639092</v>
      </c>
      <c r="AC174">
        <v>1.0196000000000001</v>
      </c>
      <c r="AD174" s="62">
        <v>77.147000000000006</v>
      </c>
      <c r="AE174">
        <v>8.9176000000000002</v>
      </c>
      <c r="AF174">
        <v>8.9015196227113016</v>
      </c>
      <c r="AG174">
        <v>1</v>
      </c>
      <c r="AH174">
        <v>6071.4594890626977</v>
      </c>
      <c r="AI174">
        <v>0.97991730655640863</v>
      </c>
      <c r="AJ174" s="62">
        <v>5949.5281999999997</v>
      </c>
      <c r="AK174" s="60">
        <v>38.127667737501177</v>
      </c>
      <c r="AL174" t="s">
        <v>339</v>
      </c>
      <c r="AM174" t="s">
        <v>433</v>
      </c>
      <c r="AN174" t="s">
        <v>425</v>
      </c>
      <c r="AO174" t="s">
        <v>28</v>
      </c>
      <c r="AP174">
        <v>111.133</v>
      </c>
      <c r="AQ174">
        <v>1.0062587218588701</v>
      </c>
      <c r="AR174">
        <v>111.82855053634179</v>
      </c>
      <c r="AS174">
        <v>671.54</v>
      </c>
      <c r="AT174">
        <v>1</v>
      </c>
      <c r="AU174">
        <v>75.09734482717495</v>
      </c>
      <c r="AV174">
        <v>1.0196000000000001</v>
      </c>
      <c r="AW174" s="62">
        <v>76.569000000000003</v>
      </c>
      <c r="AX174">
        <v>8.9176000000000002</v>
      </c>
      <c r="AY174">
        <v>1</v>
      </c>
      <c r="AZ174">
        <v>6026.0056169707959</v>
      </c>
      <c r="BA174">
        <v>0.97991730655640863</v>
      </c>
      <c r="BB174" s="62">
        <v>5904.9871999999996</v>
      </c>
      <c r="BC174" s="60">
        <v>37.84222586856508</v>
      </c>
    </row>
    <row r="175" spans="1:55" x14ac:dyDescent="0.25">
      <c r="A175">
        <v>21890</v>
      </c>
      <c r="B175" t="s">
        <v>144</v>
      </c>
      <c r="C175">
        <v>2017</v>
      </c>
      <c r="D175">
        <v>5</v>
      </c>
      <c r="E175" t="s">
        <v>51</v>
      </c>
      <c r="F175" t="s">
        <v>449</v>
      </c>
      <c r="G175" t="s">
        <v>84</v>
      </c>
      <c r="H175" t="s">
        <v>87</v>
      </c>
      <c r="I175" t="s">
        <v>427</v>
      </c>
      <c r="J175">
        <v>-0.91867582000000003</v>
      </c>
      <c r="K175" t="s">
        <v>440</v>
      </c>
      <c r="L175" t="s">
        <v>450</v>
      </c>
      <c r="M175">
        <v>0.26601384014995</v>
      </c>
      <c r="N175">
        <v>0.2443804816549229</v>
      </c>
      <c r="O175">
        <v>29976.978999999999</v>
      </c>
      <c r="P175">
        <v>1.6679465999999999E-5</v>
      </c>
      <c r="Q175">
        <v>1</v>
      </c>
      <c r="R175" s="60">
        <v>0.2443804816549229</v>
      </c>
      <c r="S175" t="s">
        <v>336</v>
      </c>
      <c r="T175" t="s">
        <v>433</v>
      </c>
      <c r="U175" t="s">
        <v>425</v>
      </c>
      <c r="V175" t="s">
        <v>26</v>
      </c>
      <c r="W175">
        <v>111.133</v>
      </c>
      <c r="X175">
        <v>0.99819678194932504</v>
      </c>
      <c r="Y175">
        <v>110.9326029683743</v>
      </c>
      <c r="Z175">
        <v>682.07</v>
      </c>
      <c r="AA175">
        <v>1</v>
      </c>
      <c r="AB175">
        <v>75.663800506639092</v>
      </c>
      <c r="AC175">
        <v>1.0178</v>
      </c>
      <c r="AD175" s="62">
        <v>77.010999999999996</v>
      </c>
      <c r="AE175">
        <v>8.9176000000000002</v>
      </c>
      <c r="AF175">
        <v>8.9015196227113016</v>
      </c>
      <c r="AG175">
        <v>1</v>
      </c>
      <c r="AH175">
        <v>6071.4594890626977</v>
      </c>
      <c r="AI175">
        <v>1.0020831266739409</v>
      </c>
      <c r="AJ175" s="62">
        <v>6084.1071000000002</v>
      </c>
      <c r="AK175" s="60">
        <v>1486.837023538136</v>
      </c>
      <c r="AL175" t="s">
        <v>339</v>
      </c>
      <c r="AM175" t="s">
        <v>433</v>
      </c>
      <c r="AN175" t="s">
        <v>425</v>
      </c>
      <c r="AO175" t="s">
        <v>26</v>
      </c>
      <c r="AP175">
        <v>111.133</v>
      </c>
      <c r="AQ175">
        <v>1.0062587218588701</v>
      </c>
      <c r="AR175">
        <v>111.82855053634179</v>
      </c>
      <c r="AS175">
        <v>671.54</v>
      </c>
      <c r="AT175">
        <v>1</v>
      </c>
      <c r="AU175">
        <v>75.09734482717495</v>
      </c>
      <c r="AV175">
        <v>1.0178</v>
      </c>
      <c r="AW175" s="62">
        <v>76.433999999999997</v>
      </c>
      <c r="AX175">
        <v>8.9176000000000002</v>
      </c>
      <c r="AY175">
        <v>1</v>
      </c>
      <c r="AZ175">
        <v>6026.0056169707959</v>
      </c>
      <c r="BA175">
        <v>1.0020831266739409</v>
      </c>
      <c r="BB175" s="62">
        <v>6038.5586000000003</v>
      </c>
      <c r="BC175" s="60">
        <v>1475.705859169477</v>
      </c>
    </row>
    <row r="176" spans="1:55" x14ac:dyDescent="0.25">
      <c r="A176">
        <v>21891</v>
      </c>
      <c r="B176" t="s">
        <v>144</v>
      </c>
      <c r="C176">
        <v>2017</v>
      </c>
      <c r="D176">
        <v>5</v>
      </c>
      <c r="E176" t="s">
        <v>51</v>
      </c>
      <c r="F176" t="s">
        <v>449</v>
      </c>
      <c r="G176" t="s">
        <v>84</v>
      </c>
      <c r="H176" t="s">
        <v>87</v>
      </c>
      <c r="I176" t="s">
        <v>427</v>
      </c>
      <c r="J176">
        <v>-0.91867582000000003</v>
      </c>
      <c r="K176" t="s">
        <v>440</v>
      </c>
      <c r="L176" t="s">
        <v>384</v>
      </c>
      <c r="M176">
        <v>3.9509559941419997E-2</v>
      </c>
      <c r="N176">
        <v>3.6296477217183917E-2</v>
      </c>
      <c r="O176">
        <v>29976.978999999999</v>
      </c>
      <c r="P176">
        <v>1.6679465999999999E-5</v>
      </c>
      <c r="Q176">
        <v>1</v>
      </c>
      <c r="R176" s="60">
        <v>3.6296477217183917E-2</v>
      </c>
      <c r="S176" t="s">
        <v>336</v>
      </c>
      <c r="T176" t="s">
        <v>433</v>
      </c>
      <c r="U176" t="s">
        <v>425</v>
      </c>
      <c r="V176" t="s">
        <v>81</v>
      </c>
      <c r="W176">
        <v>111.133</v>
      </c>
      <c r="X176">
        <v>0.99819678194932504</v>
      </c>
      <c r="Y176">
        <v>110.9326029683743</v>
      </c>
      <c r="Z176">
        <v>682.07</v>
      </c>
      <c r="AA176">
        <v>1</v>
      </c>
      <c r="AB176">
        <v>75.663800506639092</v>
      </c>
      <c r="AC176">
        <v>0.92979999999999996</v>
      </c>
      <c r="AD176" s="62">
        <v>70.352000000000004</v>
      </c>
      <c r="AE176">
        <v>8.9176000000000002</v>
      </c>
      <c r="AF176">
        <v>8.9015196227113016</v>
      </c>
      <c r="AG176">
        <v>1</v>
      </c>
      <c r="AH176">
        <v>6071.4594890626977</v>
      </c>
      <c r="AI176">
        <v>1.0375922509225091</v>
      </c>
      <c r="AJ176" s="62">
        <v>6299.6993000000002</v>
      </c>
      <c r="AK176" s="60">
        <v>228.65689211755949</v>
      </c>
      <c r="AL176" t="s">
        <v>339</v>
      </c>
      <c r="AM176" t="s">
        <v>433</v>
      </c>
      <c r="AN176" t="s">
        <v>425</v>
      </c>
      <c r="AO176" t="s">
        <v>81</v>
      </c>
      <c r="AP176">
        <v>111.133</v>
      </c>
      <c r="AQ176">
        <v>1.0062587218588701</v>
      </c>
      <c r="AR176">
        <v>111.82855053634179</v>
      </c>
      <c r="AS176">
        <v>671.54</v>
      </c>
      <c r="AT176">
        <v>1</v>
      </c>
      <c r="AU176">
        <v>75.09734482717495</v>
      </c>
      <c r="AV176">
        <v>0.92979999999999996</v>
      </c>
      <c r="AW176" s="62">
        <v>69.825999999999993</v>
      </c>
      <c r="AX176">
        <v>8.9176000000000002</v>
      </c>
      <c r="AY176">
        <v>1</v>
      </c>
      <c r="AZ176">
        <v>6026.0056169707959</v>
      </c>
      <c r="BA176">
        <v>1.0375922509225091</v>
      </c>
      <c r="BB176" s="62">
        <v>6252.5366999999997</v>
      </c>
      <c r="BC176" s="60">
        <v>226.94505588115629</v>
      </c>
    </row>
    <row r="177" spans="1:55" x14ac:dyDescent="0.25">
      <c r="A177">
        <v>21892</v>
      </c>
      <c r="B177" t="s">
        <v>144</v>
      </c>
      <c r="C177">
        <v>2017</v>
      </c>
      <c r="D177">
        <v>5</v>
      </c>
      <c r="E177" t="s">
        <v>51</v>
      </c>
      <c r="F177" t="s">
        <v>449</v>
      </c>
      <c r="G177" t="s">
        <v>84</v>
      </c>
      <c r="H177" t="s">
        <v>87</v>
      </c>
      <c r="I177" t="s">
        <v>427</v>
      </c>
      <c r="J177">
        <v>-0.91867582000000003</v>
      </c>
      <c r="K177" t="s">
        <v>440</v>
      </c>
      <c r="L177" t="s">
        <v>385</v>
      </c>
      <c r="M177">
        <v>0.39737542925016001</v>
      </c>
      <c r="N177">
        <v>0.36505919670662701</v>
      </c>
      <c r="O177">
        <v>29976.978999999999</v>
      </c>
      <c r="P177">
        <v>1.6679465999999999E-5</v>
      </c>
      <c r="Q177">
        <v>1</v>
      </c>
      <c r="R177" s="60">
        <v>0.36505919670662701</v>
      </c>
      <c r="S177" t="s">
        <v>336</v>
      </c>
      <c r="T177" t="s">
        <v>433</v>
      </c>
      <c r="U177" t="s">
        <v>425</v>
      </c>
      <c r="V177" t="s">
        <v>27</v>
      </c>
      <c r="W177">
        <v>111.133</v>
      </c>
      <c r="X177">
        <v>0.99819678194932504</v>
      </c>
      <c r="Y177">
        <v>110.9326029683743</v>
      </c>
      <c r="Z177">
        <v>682.07</v>
      </c>
      <c r="AA177">
        <v>1</v>
      </c>
      <c r="AB177">
        <v>75.663800506639092</v>
      </c>
      <c r="AC177">
        <v>0.99739999999999995</v>
      </c>
      <c r="AD177" s="62">
        <v>75.466999999999999</v>
      </c>
      <c r="AE177">
        <v>8.9176000000000002</v>
      </c>
      <c r="AF177">
        <v>8.9015196227113016</v>
      </c>
      <c r="AG177">
        <v>1</v>
      </c>
      <c r="AH177">
        <v>6071.4594890626977</v>
      </c>
      <c r="AI177">
        <v>1.0108695652173909</v>
      </c>
      <c r="AJ177" s="62">
        <v>6137.4535999999998</v>
      </c>
      <c r="AK177" s="60">
        <v>2240.5338810401959</v>
      </c>
      <c r="AL177" t="s">
        <v>339</v>
      </c>
      <c r="AM177" t="s">
        <v>433</v>
      </c>
      <c r="AN177" t="s">
        <v>425</v>
      </c>
      <c r="AO177" t="s">
        <v>27</v>
      </c>
      <c r="AP177">
        <v>111.133</v>
      </c>
      <c r="AQ177">
        <v>1.0062587218588701</v>
      </c>
      <c r="AR177">
        <v>111.82855053634179</v>
      </c>
      <c r="AS177">
        <v>671.54</v>
      </c>
      <c r="AT177">
        <v>1</v>
      </c>
      <c r="AU177">
        <v>75.09734482717495</v>
      </c>
      <c r="AV177">
        <v>0.99739999999999995</v>
      </c>
      <c r="AW177" s="62">
        <v>74.902000000000001</v>
      </c>
      <c r="AX177">
        <v>8.9176000000000002</v>
      </c>
      <c r="AY177">
        <v>1</v>
      </c>
      <c r="AZ177">
        <v>6026.0056169707959</v>
      </c>
      <c r="BA177">
        <v>1.0108695652173909</v>
      </c>
      <c r="BB177" s="62">
        <v>6091.5056999999997</v>
      </c>
      <c r="BC177" s="60">
        <v>2223.760177575839</v>
      </c>
    </row>
    <row r="178" spans="1:55" x14ac:dyDescent="0.25">
      <c r="A178">
        <v>21893</v>
      </c>
      <c r="B178" t="s">
        <v>144</v>
      </c>
      <c r="C178">
        <v>2017</v>
      </c>
      <c r="D178">
        <v>5</v>
      </c>
      <c r="E178" t="s">
        <v>51</v>
      </c>
      <c r="F178" t="s">
        <v>449</v>
      </c>
      <c r="G178" t="s">
        <v>84</v>
      </c>
      <c r="H178" t="s">
        <v>87</v>
      </c>
      <c r="I178" t="s">
        <v>427</v>
      </c>
      <c r="J178">
        <v>-0.91867582000000003</v>
      </c>
      <c r="K178" t="s">
        <v>440</v>
      </c>
      <c r="L178" t="s">
        <v>452</v>
      </c>
      <c r="M178">
        <v>8.4248020759000004E-4</v>
      </c>
      <c r="N178">
        <v>7.7396619213318898E-4</v>
      </c>
      <c r="O178">
        <v>29976.978999999999</v>
      </c>
      <c r="P178">
        <v>1.6679465999999999E-5</v>
      </c>
      <c r="Q178">
        <v>1</v>
      </c>
      <c r="R178" s="60">
        <v>7.7396619213318898E-4</v>
      </c>
      <c r="S178" t="s">
        <v>336</v>
      </c>
      <c r="T178" t="s">
        <v>433</v>
      </c>
      <c r="U178" t="s">
        <v>425</v>
      </c>
      <c r="V178" t="s">
        <v>28</v>
      </c>
      <c r="W178">
        <v>111.133</v>
      </c>
      <c r="X178">
        <v>0.99819678194932504</v>
      </c>
      <c r="Y178">
        <v>110.9326029683743</v>
      </c>
      <c r="Z178">
        <v>682.07</v>
      </c>
      <c r="AA178">
        <v>1</v>
      </c>
      <c r="AB178">
        <v>75.663800506639092</v>
      </c>
      <c r="AC178">
        <v>1.0196000000000001</v>
      </c>
      <c r="AD178" s="62">
        <v>77.147000000000006</v>
      </c>
      <c r="AE178">
        <v>8.9176000000000002</v>
      </c>
      <c r="AF178">
        <v>8.9015196227113016</v>
      </c>
      <c r="AG178">
        <v>1</v>
      </c>
      <c r="AH178">
        <v>6071.4594890626977</v>
      </c>
      <c r="AI178">
        <v>0.97991730655640863</v>
      </c>
      <c r="AJ178" s="62">
        <v>5949.5281999999997</v>
      </c>
      <c r="AK178" s="60">
        <v>4.6047336859430246</v>
      </c>
      <c r="AL178" t="s">
        <v>339</v>
      </c>
      <c r="AM178" t="s">
        <v>433</v>
      </c>
      <c r="AN178" t="s">
        <v>425</v>
      </c>
      <c r="AO178" t="s">
        <v>28</v>
      </c>
      <c r="AP178">
        <v>111.133</v>
      </c>
      <c r="AQ178">
        <v>1.0062587218588701</v>
      </c>
      <c r="AR178">
        <v>111.82855053634179</v>
      </c>
      <c r="AS178">
        <v>671.54</v>
      </c>
      <c r="AT178">
        <v>1</v>
      </c>
      <c r="AU178">
        <v>75.09734482717495</v>
      </c>
      <c r="AV178">
        <v>1.0196000000000001</v>
      </c>
      <c r="AW178" s="62">
        <v>76.569000000000003</v>
      </c>
      <c r="AX178">
        <v>8.9176000000000002</v>
      </c>
      <c r="AY178">
        <v>1</v>
      </c>
      <c r="AZ178">
        <v>6026.0056169707959</v>
      </c>
      <c r="BA178">
        <v>0.97991730655640863</v>
      </c>
      <c r="BB178" s="62">
        <v>5904.9871999999996</v>
      </c>
      <c r="BC178" s="60">
        <v>4.570260457779221</v>
      </c>
    </row>
    <row r="179" spans="1:55" x14ac:dyDescent="0.25">
      <c r="A179">
        <v>21894</v>
      </c>
      <c r="B179" t="s">
        <v>144</v>
      </c>
      <c r="C179">
        <v>2017</v>
      </c>
      <c r="D179">
        <v>5</v>
      </c>
      <c r="E179" t="s">
        <v>51</v>
      </c>
      <c r="F179" t="s">
        <v>449</v>
      </c>
      <c r="G179" t="s">
        <v>84</v>
      </c>
      <c r="H179" t="s">
        <v>59</v>
      </c>
      <c r="I179" t="s">
        <v>427</v>
      </c>
      <c r="J179">
        <v>-2.39898466</v>
      </c>
      <c r="K179" t="s">
        <v>440</v>
      </c>
      <c r="L179" t="s">
        <v>450</v>
      </c>
      <c r="M179">
        <v>0.15931709696460999</v>
      </c>
      <c r="N179">
        <v>0.38219927189319092</v>
      </c>
      <c r="O179">
        <v>29976.978999999999</v>
      </c>
      <c r="P179">
        <v>1.6679465999999999E-5</v>
      </c>
      <c r="Q179">
        <v>1</v>
      </c>
      <c r="R179" s="60">
        <v>0.38219927189319092</v>
      </c>
      <c r="S179" t="s">
        <v>336</v>
      </c>
      <c r="T179" t="s">
        <v>433</v>
      </c>
      <c r="U179" t="s">
        <v>425</v>
      </c>
      <c r="V179" t="s">
        <v>26</v>
      </c>
      <c r="W179">
        <v>111.133</v>
      </c>
      <c r="X179">
        <v>0.99819678194932504</v>
      </c>
      <c r="Y179">
        <v>110.9326029683743</v>
      </c>
      <c r="Z179">
        <v>682.07</v>
      </c>
      <c r="AA179">
        <v>1</v>
      </c>
      <c r="AB179">
        <v>75.663800506639092</v>
      </c>
      <c r="AC179">
        <v>1.0178</v>
      </c>
      <c r="AD179" s="62">
        <v>77.010999999999996</v>
      </c>
      <c r="AE179">
        <v>8.9176000000000002</v>
      </c>
      <c r="AF179">
        <v>8.9015196227113016</v>
      </c>
      <c r="AG179">
        <v>1</v>
      </c>
      <c r="AH179">
        <v>6071.4594890626977</v>
      </c>
      <c r="AI179">
        <v>1.0020831266739409</v>
      </c>
      <c r="AJ179" s="62">
        <v>6084.1071000000002</v>
      </c>
      <c r="AK179" s="60">
        <v>2325.3413037401929</v>
      </c>
      <c r="AL179" t="s">
        <v>339</v>
      </c>
      <c r="AM179" t="s">
        <v>433</v>
      </c>
      <c r="AN179" t="s">
        <v>425</v>
      </c>
      <c r="AO179" t="s">
        <v>26</v>
      </c>
      <c r="AP179">
        <v>111.133</v>
      </c>
      <c r="AQ179">
        <v>1.0062587218588701</v>
      </c>
      <c r="AR179">
        <v>111.82855053634179</v>
      </c>
      <c r="AS179">
        <v>671.54</v>
      </c>
      <c r="AT179">
        <v>1</v>
      </c>
      <c r="AU179">
        <v>75.09734482717495</v>
      </c>
      <c r="AV179">
        <v>1.0178</v>
      </c>
      <c r="AW179" s="62">
        <v>76.433999999999997</v>
      </c>
      <c r="AX179">
        <v>8.9176000000000002</v>
      </c>
      <c r="AY179">
        <v>1</v>
      </c>
      <c r="AZ179">
        <v>6026.0056169707959</v>
      </c>
      <c r="BA179">
        <v>1.0020831266739409</v>
      </c>
      <c r="BB179" s="62">
        <v>6038.5586000000003</v>
      </c>
      <c r="BC179" s="60">
        <v>2307.932700204366</v>
      </c>
    </row>
    <row r="180" spans="1:55" x14ac:dyDescent="0.25">
      <c r="A180">
        <v>21895</v>
      </c>
      <c r="B180" t="s">
        <v>144</v>
      </c>
      <c r="C180">
        <v>2017</v>
      </c>
      <c r="D180">
        <v>5</v>
      </c>
      <c r="E180" t="s">
        <v>51</v>
      </c>
      <c r="F180" t="s">
        <v>449</v>
      </c>
      <c r="G180" t="s">
        <v>84</v>
      </c>
      <c r="H180" t="s">
        <v>59</v>
      </c>
      <c r="I180" t="s">
        <v>427</v>
      </c>
      <c r="J180">
        <v>-2.39898466</v>
      </c>
      <c r="K180" t="s">
        <v>440</v>
      </c>
      <c r="L180" t="s">
        <v>384</v>
      </c>
      <c r="M180">
        <v>4.1785183859599999E-2</v>
      </c>
      <c r="N180">
        <v>0.1002420151467472</v>
      </c>
      <c r="O180">
        <v>29976.978999999999</v>
      </c>
      <c r="P180">
        <v>1.6679465999999999E-5</v>
      </c>
      <c r="Q180">
        <v>1</v>
      </c>
      <c r="R180" s="60">
        <v>0.1002420151467472</v>
      </c>
      <c r="S180" t="s">
        <v>336</v>
      </c>
      <c r="T180" t="s">
        <v>433</v>
      </c>
      <c r="U180" t="s">
        <v>425</v>
      </c>
      <c r="V180" t="s">
        <v>81</v>
      </c>
      <c r="W180">
        <v>111.133</v>
      </c>
      <c r="X180">
        <v>0.99819678194932504</v>
      </c>
      <c r="Y180">
        <v>110.9326029683743</v>
      </c>
      <c r="Z180">
        <v>682.07</v>
      </c>
      <c r="AA180">
        <v>1</v>
      </c>
      <c r="AB180">
        <v>75.663800506639092</v>
      </c>
      <c r="AC180">
        <v>0.92979999999999996</v>
      </c>
      <c r="AD180" s="62">
        <v>70.352000000000004</v>
      </c>
      <c r="AE180">
        <v>8.9176000000000002</v>
      </c>
      <c r="AF180">
        <v>8.9015196227113016</v>
      </c>
      <c r="AG180">
        <v>1</v>
      </c>
      <c r="AH180">
        <v>6071.4594890626977</v>
      </c>
      <c r="AI180">
        <v>1.0375922509225091</v>
      </c>
      <c r="AJ180" s="62">
        <v>6299.6993000000002</v>
      </c>
      <c r="AK180" s="60">
        <v>631.49455265055303</v>
      </c>
      <c r="AL180" t="s">
        <v>339</v>
      </c>
      <c r="AM180" t="s">
        <v>433</v>
      </c>
      <c r="AN180" t="s">
        <v>425</v>
      </c>
      <c r="AO180" t="s">
        <v>81</v>
      </c>
      <c r="AP180">
        <v>111.133</v>
      </c>
      <c r="AQ180">
        <v>1.0062587218588701</v>
      </c>
      <c r="AR180">
        <v>111.82855053634179</v>
      </c>
      <c r="AS180">
        <v>671.54</v>
      </c>
      <c r="AT180">
        <v>1</v>
      </c>
      <c r="AU180">
        <v>75.09734482717495</v>
      </c>
      <c r="AV180">
        <v>0.92979999999999996</v>
      </c>
      <c r="AW180" s="62">
        <v>69.825999999999993</v>
      </c>
      <c r="AX180">
        <v>8.9176000000000002</v>
      </c>
      <c r="AY180">
        <v>1</v>
      </c>
      <c r="AZ180">
        <v>6026.0056169707959</v>
      </c>
      <c r="BA180">
        <v>1.0375922509225091</v>
      </c>
      <c r="BB180" s="62">
        <v>6252.5366999999997</v>
      </c>
      <c r="BC180" s="60">
        <v>626.76687858699302</v>
      </c>
    </row>
    <row r="181" spans="1:55" x14ac:dyDescent="0.25">
      <c r="A181">
        <v>21896</v>
      </c>
      <c r="B181" t="s">
        <v>144</v>
      </c>
      <c r="C181">
        <v>2017</v>
      </c>
      <c r="D181">
        <v>5</v>
      </c>
      <c r="E181" t="s">
        <v>51</v>
      </c>
      <c r="F181" t="s">
        <v>449</v>
      </c>
      <c r="G181" t="s">
        <v>84</v>
      </c>
      <c r="H181" t="s">
        <v>59</v>
      </c>
      <c r="I181" t="s">
        <v>427</v>
      </c>
      <c r="J181">
        <v>-2.39898466</v>
      </c>
      <c r="K181" t="s">
        <v>440</v>
      </c>
      <c r="L181" t="s">
        <v>385</v>
      </c>
      <c r="M181">
        <v>0.43497567483749999</v>
      </c>
      <c r="N181">
        <v>1.043499971952611</v>
      </c>
      <c r="O181">
        <v>29976.978999999999</v>
      </c>
      <c r="P181">
        <v>1.6679465999999999E-5</v>
      </c>
      <c r="Q181">
        <v>1</v>
      </c>
      <c r="R181" s="60">
        <v>1.043499971952611</v>
      </c>
      <c r="S181" t="s">
        <v>336</v>
      </c>
      <c r="T181" t="s">
        <v>433</v>
      </c>
      <c r="U181" t="s">
        <v>425</v>
      </c>
      <c r="V181" t="s">
        <v>27</v>
      </c>
      <c r="W181">
        <v>111.133</v>
      </c>
      <c r="X181">
        <v>0.99819678194932504</v>
      </c>
      <c r="Y181">
        <v>110.9326029683743</v>
      </c>
      <c r="Z181">
        <v>682.07</v>
      </c>
      <c r="AA181">
        <v>1</v>
      </c>
      <c r="AB181">
        <v>75.663800506639092</v>
      </c>
      <c r="AC181">
        <v>0.99739999999999995</v>
      </c>
      <c r="AD181" s="62">
        <v>75.466999999999999</v>
      </c>
      <c r="AE181">
        <v>8.9176000000000002</v>
      </c>
      <c r="AF181">
        <v>8.9015196227113016</v>
      </c>
      <c r="AG181">
        <v>1</v>
      </c>
      <c r="AH181">
        <v>6071.4594890626977</v>
      </c>
      <c r="AI181">
        <v>1.0108695652173909</v>
      </c>
      <c r="AJ181" s="62">
        <v>6137.4535999999998</v>
      </c>
      <c r="AK181" s="60">
        <v>6404.432659460449</v>
      </c>
      <c r="AL181" t="s">
        <v>339</v>
      </c>
      <c r="AM181" t="s">
        <v>433</v>
      </c>
      <c r="AN181" t="s">
        <v>425</v>
      </c>
      <c r="AO181" t="s">
        <v>27</v>
      </c>
      <c r="AP181">
        <v>111.133</v>
      </c>
      <c r="AQ181">
        <v>1.0062587218588701</v>
      </c>
      <c r="AR181">
        <v>111.82855053634179</v>
      </c>
      <c r="AS181">
        <v>671.54</v>
      </c>
      <c r="AT181">
        <v>1</v>
      </c>
      <c r="AU181">
        <v>75.09734482717495</v>
      </c>
      <c r="AV181">
        <v>0.99739999999999995</v>
      </c>
      <c r="AW181" s="62">
        <v>74.902000000000001</v>
      </c>
      <c r="AX181">
        <v>8.9176000000000002</v>
      </c>
      <c r="AY181">
        <v>1</v>
      </c>
      <c r="AZ181">
        <v>6026.0056169707959</v>
      </c>
      <c r="BA181">
        <v>1.0108695652173909</v>
      </c>
      <c r="BB181" s="62">
        <v>6091.5056999999997</v>
      </c>
      <c r="BC181" s="60">
        <v>6356.4860270991667</v>
      </c>
    </row>
    <row r="182" spans="1:55" x14ac:dyDescent="0.25">
      <c r="A182">
        <v>21897</v>
      </c>
      <c r="B182" t="s">
        <v>144</v>
      </c>
      <c r="C182">
        <v>2017</v>
      </c>
      <c r="D182">
        <v>5</v>
      </c>
      <c r="E182" t="s">
        <v>51</v>
      </c>
      <c r="F182" t="s">
        <v>449</v>
      </c>
      <c r="G182" t="s">
        <v>84</v>
      </c>
      <c r="H182" t="s">
        <v>59</v>
      </c>
      <c r="I182" t="s">
        <v>427</v>
      </c>
      <c r="J182">
        <v>-2.39898466</v>
      </c>
      <c r="K182" t="s">
        <v>440</v>
      </c>
      <c r="L182" t="s">
        <v>451</v>
      </c>
      <c r="M182">
        <v>1.7625750762999999E-3</v>
      </c>
      <c r="N182">
        <v>4.2283905723476001E-3</v>
      </c>
      <c r="O182">
        <v>29976.978999999999</v>
      </c>
      <c r="P182">
        <v>1.6679465999999999E-5</v>
      </c>
      <c r="Q182">
        <v>1</v>
      </c>
      <c r="R182" s="60">
        <v>4.2283905723476001E-3</v>
      </c>
      <c r="S182" t="s">
        <v>336</v>
      </c>
      <c r="T182" t="s">
        <v>433</v>
      </c>
      <c r="U182" t="s">
        <v>425</v>
      </c>
      <c r="V182" t="s">
        <v>91</v>
      </c>
      <c r="W182">
        <v>111.133</v>
      </c>
      <c r="X182">
        <v>0.99819678194932504</v>
      </c>
      <c r="Y182">
        <v>110.9326029683743</v>
      </c>
      <c r="Z182">
        <v>682.07</v>
      </c>
      <c r="AA182">
        <v>1</v>
      </c>
      <c r="AB182">
        <v>75.663800506639092</v>
      </c>
      <c r="AC182">
        <v>1.0269999999999999</v>
      </c>
      <c r="AD182" s="62">
        <v>77.706999999999994</v>
      </c>
      <c r="AE182">
        <v>8.9176000000000002</v>
      </c>
      <c r="AF182">
        <v>8.9015196227113016</v>
      </c>
      <c r="AG182">
        <v>1</v>
      </c>
      <c r="AH182">
        <v>6071.4594890626977</v>
      </c>
      <c r="AI182">
        <v>0.98496680983990625</v>
      </c>
      <c r="AJ182" s="62">
        <v>5980.1860999999999</v>
      </c>
      <c r="AK182" s="60">
        <v>25.286562526124161</v>
      </c>
      <c r="AL182" t="s">
        <v>339</v>
      </c>
      <c r="AM182" t="s">
        <v>433</v>
      </c>
      <c r="AN182" t="s">
        <v>425</v>
      </c>
      <c r="AO182" t="s">
        <v>91</v>
      </c>
      <c r="AP182">
        <v>111.133</v>
      </c>
      <c r="AQ182">
        <v>1.0062587218588701</v>
      </c>
      <c r="AR182">
        <v>111.82855053634179</v>
      </c>
      <c r="AS182">
        <v>671.54</v>
      </c>
      <c r="AT182">
        <v>1</v>
      </c>
      <c r="AU182">
        <v>75.09734482717495</v>
      </c>
      <c r="AV182">
        <v>1.0269999999999999</v>
      </c>
      <c r="AW182" s="62">
        <v>77.125</v>
      </c>
      <c r="AX182">
        <v>8.9176000000000002</v>
      </c>
      <c r="AY182">
        <v>1</v>
      </c>
      <c r="AZ182">
        <v>6026.0056169707959</v>
      </c>
      <c r="BA182">
        <v>0.98496680983990625</v>
      </c>
      <c r="BB182" s="62">
        <v>5935.4155000000001</v>
      </c>
      <c r="BC182" s="60">
        <v>25.097254943165819</v>
      </c>
    </row>
    <row r="183" spans="1:55" x14ac:dyDescent="0.25">
      <c r="A183">
        <v>21898</v>
      </c>
      <c r="B183" t="s">
        <v>144</v>
      </c>
      <c r="C183">
        <v>2017</v>
      </c>
      <c r="D183">
        <v>5</v>
      </c>
      <c r="E183" t="s">
        <v>51</v>
      </c>
      <c r="F183" t="s">
        <v>449</v>
      </c>
      <c r="G183" t="s">
        <v>84</v>
      </c>
      <c r="H183" t="s">
        <v>59</v>
      </c>
      <c r="I183" t="s">
        <v>427</v>
      </c>
      <c r="J183">
        <v>-2.39898466</v>
      </c>
      <c r="K183" t="s">
        <v>440</v>
      </c>
      <c r="L183" t="s">
        <v>452</v>
      </c>
      <c r="M183">
        <v>1.4858046103299999E-3</v>
      </c>
      <c r="N183">
        <v>3.5644224697981858E-3</v>
      </c>
      <c r="O183">
        <v>29976.978999999999</v>
      </c>
      <c r="P183">
        <v>1.6679465999999999E-5</v>
      </c>
      <c r="Q183">
        <v>1</v>
      </c>
      <c r="R183" s="60">
        <v>3.5644224697981858E-3</v>
      </c>
      <c r="S183" t="s">
        <v>336</v>
      </c>
      <c r="T183" t="s">
        <v>433</v>
      </c>
      <c r="U183" t="s">
        <v>425</v>
      </c>
      <c r="V183" t="s">
        <v>28</v>
      </c>
      <c r="W183">
        <v>111.133</v>
      </c>
      <c r="X183">
        <v>0.99819678194932504</v>
      </c>
      <c r="Y183">
        <v>110.9326029683743</v>
      </c>
      <c r="Z183">
        <v>682.07</v>
      </c>
      <c r="AA183">
        <v>1</v>
      </c>
      <c r="AB183">
        <v>75.663800506639092</v>
      </c>
      <c r="AC183">
        <v>1.0196000000000001</v>
      </c>
      <c r="AD183" s="62">
        <v>77.147000000000006</v>
      </c>
      <c r="AE183">
        <v>8.9176000000000002</v>
      </c>
      <c r="AF183">
        <v>8.9015196227113016</v>
      </c>
      <c r="AG183">
        <v>1</v>
      </c>
      <c r="AH183">
        <v>6071.4594890626977</v>
      </c>
      <c r="AI183">
        <v>0.97991730655640863</v>
      </c>
      <c r="AJ183" s="62">
        <v>5949.5281999999997</v>
      </c>
      <c r="AK183" s="60">
        <v>21.206632000777962</v>
      </c>
      <c r="AL183" t="s">
        <v>339</v>
      </c>
      <c r="AM183" t="s">
        <v>433</v>
      </c>
      <c r="AN183" t="s">
        <v>425</v>
      </c>
      <c r="AO183" t="s">
        <v>28</v>
      </c>
      <c r="AP183">
        <v>111.133</v>
      </c>
      <c r="AQ183">
        <v>1.0062587218588701</v>
      </c>
      <c r="AR183">
        <v>111.82855053634179</v>
      </c>
      <c r="AS183">
        <v>671.54</v>
      </c>
      <c r="AT183">
        <v>1</v>
      </c>
      <c r="AU183">
        <v>75.09734482717495</v>
      </c>
      <c r="AV183">
        <v>1.0196000000000001</v>
      </c>
      <c r="AW183" s="62">
        <v>76.569000000000003</v>
      </c>
      <c r="AX183">
        <v>8.9176000000000002</v>
      </c>
      <c r="AY183">
        <v>1</v>
      </c>
      <c r="AZ183">
        <v>6026.0056169707959</v>
      </c>
      <c r="BA183">
        <v>0.97991730655640863</v>
      </c>
      <c r="BB183" s="62">
        <v>5904.9871999999996</v>
      </c>
      <c r="BC183" s="60">
        <v>21.047869059550671</v>
      </c>
    </row>
    <row r="184" spans="1:55" x14ac:dyDescent="0.25">
      <c r="A184">
        <v>24569</v>
      </c>
      <c r="B184" t="s">
        <v>143</v>
      </c>
      <c r="C184">
        <v>2017</v>
      </c>
      <c r="D184">
        <v>6</v>
      </c>
      <c r="E184" t="s">
        <v>51</v>
      </c>
      <c r="F184" t="s">
        <v>449</v>
      </c>
      <c r="G184" t="s">
        <v>84</v>
      </c>
      <c r="H184" t="s">
        <v>381</v>
      </c>
      <c r="I184" t="s">
        <v>427</v>
      </c>
      <c r="J184">
        <v>-4.5511828799999998</v>
      </c>
      <c r="K184" t="s">
        <v>440</v>
      </c>
      <c r="L184" t="s">
        <v>450</v>
      </c>
      <c r="M184">
        <v>0.15011157993331001</v>
      </c>
      <c r="N184">
        <v>0.68318525327441748</v>
      </c>
      <c r="O184">
        <v>29976.978999999999</v>
      </c>
      <c r="P184">
        <v>1.6679465999999999E-5</v>
      </c>
      <c r="Q184">
        <v>1</v>
      </c>
      <c r="R184" s="60">
        <v>0.68318525327441748</v>
      </c>
      <c r="S184" t="s">
        <v>336</v>
      </c>
      <c r="T184" t="s">
        <v>433</v>
      </c>
      <c r="U184" t="s">
        <v>425</v>
      </c>
      <c r="V184" t="s">
        <v>26</v>
      </c>
      <c r="W184">
        <v>111.133</v>
      </c>
      <c r="X184">
        <v>0.99819678194932504</v>
      </c>
      <c r="Y184">
        <v>110.9326029683743</v>
      </c>
      <c r="Z184">
        <v>682.07</v>
      </c>
      <c r="AA184">
        <v>1</v>
      </c>
      <c r="AB184">
        <v>75.663800506639092</v>
      </c>
      <c r="AC184">
        <v>1.0178</v>
      </c>
      <c r="AD184" s="62">
        <v>77.010999999999996</v>
      </c>
      <c r="AE184">
        <v>8.9176000000000002</v>
      </c>
      <c r="AF184">
        <v>8.9015196227113016</v>
      </c>
      <c r="AG184">
        <v>1</v>
      </c>
      <c r="AH184">
        <v>6071.4594890626977</v>
      </c>
      <c r="AI184">
        <v>1.0020831266739409</v>
      </c>
      <c r="AJ184" s="62">
        <v>6084.1071000000002</v>
      </c>
      <c r="AK184" s="60">
        <v>4156.5722500621814</v>
      </c>
      <c r="AL184" t="s">
        <v>339</v>
      </c>
      <c r="AM184" t="s">
        <v>433</v>
      </c>
      <c r="AN184" t="s">
        <v>425</v>
      </c>
      <c r="AO184" t="s">
        <v>26</v>
      </c>
      <c r="AP184">
        <v>111.133</v>
      </c>
      <c r="AQ184">
        <v>1.0062587218588701</v>
      </c>
      <c r="AR184">
        <v>111.82855053634179</v>
      </c>
      <c r="AS184">
        <v>665.15</v>
      </c>
      <c r="AT184">
        <v>1</v>
      </c>
      <c r="AU184">
        <v>74.382760389247736</v>
      </c>
      <c r="AV184">
        <v>1.0178</v>
      </c>
      <c r="AW184" s="62">
        <v>75.706999999999994</v>
      </c>
      <c r="AX184">
        <v>8.9176000000000002</v>
      </c>
      <c r="AY184">
        <v>1</v>
      </c>
      <c r="AZ184">
        <v>5968.6655093190648</v>
      </c>
      <c r="BA184">
        <v>1.0020831266739409</v>
      </c>
      <c r="BB184" s="62">
        <v>5981.0990000000002</v>
      </c>
      <c r="BC184" s="60">
        <v>4086.1986351743649</v>
      </c>
    </row>
    <row r="185" spans="1:55" x14ac:dyDescent="0.25">
      <c r="A185">
        <v>24570</v>
      </c>
      <c r="B185" t="s">
        <v>143</v>
      </c>
      <c r="C185">
        <v>2017</v>
      </c>
      <c r="D185">
        <v>6</v>
      </c>
      <c r="E185" t="s">
        <v>51</v>
      </c>
      <c r="F185" t="s">
        <v>449</v>
      </c>
      <c r="G185" t="s">
        <v>84</v>
      </c>
      <c r="H185" t="s">
        <v>381</v>
      </c>
      <c r="I185" t="s">
        <v>427</v>
      </c>
      <c r="J185">
        <v>-4.5511828799999998</v>
      </c>
      <c r="K185" t="s">
        <v>440</v>
      </c>
      <c r="L185" t="s">
        <v>384</v>
      </c>
      <c r="M185">
        <v>4.5811354346740003E-2</v>
      </c>
      <c r="N185">
        <v>0.20849585179322111</v>
      </c>
      <c r="O185">
        <v>29976.978999999999</v>
      </c>
      <c r="P185">
        <v>1.6679465999999999E-5</v>
      </c>
      <c r="Q185">
        <v>1</v>
      </c>
      <c r="R185" s="60">
        <v>0.20849585179322111</v>
      </c>
      <c r="S185" t="s">
        <v>336</v>
      </c>
      <c r="T185" t="s">
        <v>433</v>
      </c>
      <c r="U185" t="s">
        <v>425</v>
      </c>
      <c r="V185" t="s">
        <v>81</v>
      </c>
      <c r="W185">
        <v>111.133</v>
      </c>
      <c r="X185">
        <v>0.99819678194932504</v>
      </c>
      <c r="Y185">
        <v>110.9326029683743</v>
      </c>
      <c r="Z185">
        <v>682.07</v>
      </c>
      <c r="AA185">
        <v>1</v>
      </c>
      <c r="AB185">
        <v>75.663800506639092</v>
      </c>
      <c r="AC185">
        <v>0.92979999999999996</v>
      </c>
      <c r="AD185" s="62">
        <v>70.352000000000004</v>
      </c>
      <c r="AE185">
        <v>8.9176000000000002</v>
      </c>
      <c r="AF185">
        <v>8.9015196227113016</v>
      </c>
      <c r="AG185">
        <v>1</v>
      </c>
      <c r="AH185">
        <v>6071.4594890626977</v>
      </c>
      <c r="AI185">
        <v>1.0375922509225091</v>
      </c>
      <c r="AJ185" s="62">
        <v>6299.6993000000002</v>
      </c>
      <c r="AK185" s="60">
        <v>1313.461171594658</v>
      </c>
      <c r="AL185" t="s">
        <v>339</v>
      </c>
      <c r="AM185" t="s">
        <v>433</v>
      </c>
      <c r="AN185" t="s">
        <v>425</v>
      </c>
      <c r="AO185" t="s">
        <v>81</v>
      </c>
      <c r="AP185">
        <v>111.133</v>
      </c>
      <c r="AQ185">
        <v>1.0062587218588701</v>
      </c>
      <c r="AR185">
        <v>111.82855053634179</v>
      </c>
      <c r="AS185">
        <v>665.15</v>
      </c>
      <c r="AT185">
        <v>1</v>
      </c>
      <c r="AU185">
        <v>74.382760389247736</v>
      </c>
      <c r="AV185">
        <v>0.92979999999999996</v>
      </c>
      <c r="AW185" s="62">
        <v>69.161000000000001</v>
      </c>
      <c r="AX185">
        <v>8.9176000000000002</v>
      </c>
      <c r="AY185">
        <v>1</v>
      </c>
      <c r="AZ185">
        <v>5968.6655093190648</v>
      </c>
      <c r="BA185">
        <v>1.0375922509225091</v>
      </c>
      <c r="BB185" s="62">
        <v>6193.0411000000004</v>
      </c>
      <c r="BC185" s="60">
        <v>1291.2233793349269</v>
      </c>
    </row>
    <row r="186" spans="1:55" x14ac:dyDescent="0.25">
      <c r="A186">
        <v>24571</v>
      </c>
      <c r="B186" t="s">
        <v>143</v>
      </c>
      <c r="C186">
        <v>2017</v>
      </c>
      <c r="D186">
        <v>6</v>
      </c>
      <c r="E186" t="s">
        <v>51</v>
      </c>
      <c r="F186" t="s">
        <v>449</v>
      </c>
      <c r="G186" t="s">
        <v>84</v>
      </c>
      <c r="H186" t="s">
        <v>381</v>
      </c>
      <c r="I186" t="s">
        <v>427</v>
      </c>
      <c r="J186">
        <v>-4.5511828799999998</v>
      </c>
      <c r="K186" t="s">
        <v>440</v>
      </c>
      <c r="L186" t="s">
        <v>385</v>
      </c>
      <c r="M186">
        <v>0.43232641346992001</v>
      </c>
      <c r="N186">
        <v>1.967596573261615</v>
      </c>
      <c r="O186">
        <v>29976.978999999999</v>
      </c>
      <c r="P186">
        <v>1.6679465999999999E-5</v>
      </c>
      <c r="Q186">
        <v>1</v>
      </c>
      <c r="R186" s="60">
        <v>1.967596573261615</v>
      </c>
      <c r="S186" t="s">
        <v>336</v>
      </c>
      <c r="T186" t="s">
        <v>433</v>
      </c>
      <c r="U186" t="s">
        <v>425</v>
      </c>
      <c r="V186" t="s">
        <v>27</v>
      </c>
      <c r="W186">
        <v>111.133</v>
      </c>
      <c r="X186">
        <v>0.99819678194932504</v>
      </c>
      <c r="Y186">
        <v>110.9326029683743</v>
      </c>
      <c r="Z186">
        <v>682.07</v>
      </c>
      <c r="AA186">
        <v>1</v>
      </c>
      <c r="AB186">
        <v>75.663800506639092</v>
      </c>
      <c r="AC186">
        <v>0.99739999999999995</v>
      </c>
      <c r="AD186" s="62">
        <v>75.466999999999999</v>
      </c>
      <c r="AE186">
        <v>8.9176000000000002</v>
      </c>
      <c r="AF186">
        <v>8.9015196227113016</v>
      </c>
      <c r="AG186">
        <v>1</v>
      </c>
      <c r="AH186">
        <v>6071.4594890626977</v>
      </c>
      <c r="AI186">
        <v>1.0108695652173909</v>
      </c>
      <c r="AJ186" s="62">
        <v>6137.4535999999998</v>
      </c>
      <c r="AK186" s="60">
        <v>12076.03267191216</v>
      </c>
      <c r="AL186" t="s">
        <v>339</v>
      </c>
      <c r="AM186" t="s">
        <v>433</v>
      </c>
      <c r="AN186" t="s">
        <v>425</v>
      </c>
      <c r="AO186" t="s">
        <v>27</v>
      </c>
      <c r="AP186">
        <v>111.133</v>
      </c>
      <c r="AQ186">
        <v>1.0062587218588701</v>
      </c>
      <c r="AR186">
        <v>111.82855053634179</v>
      </c>
      <c r="AS186">
        <v>665.15</v>
      </c>
      <c r="AT186">
        <v>1</v>
      </c>
      <c r="AU186">
        <v>74.382760389247736</v>
      </c>
      <c r="AV186">
        <v>0.99739999999999995</v>
      </c>
      <c r="AW186" s="62">
        <v>74.188999999999993</v>
      </c>
      <c r="AX186">
        <v>8.9176000000000002</v>
      </c>
      <c r="AY186">
        <v>1</v>
      </c>
      <c r="AZ186">
        <v>5968.6655093190648</v>
      </c>
      <c r="BA186">
        <v>1.0108695652173909</v>
      </c>
      <c r="BB186" s="62">
        <v>6033.5423000000001</v>
      </c>
      <c r="BC186" s="60">
        <v>11871.577154109011</v>
      </c>
    </row>
    <row r="187" spans="1:55" x14ac:dyDescent="0.25">
      <c r="A187">
        <v>24572</v>
      </c>
      <c r="B187" t="s">
        <v>143</v>
      </c>
      <c r="C187">
        <v>2017</v>
      </c>
      <c r="D187">
        <v>6</v>
      </c>
      <c r="E187" t="s">
        <v>51</v>
      </c>
      <c r="F187" t="s">
        <v>449</v>
      </c>
      <c r="G187" t="s">
        <v>84</v>
      </c>
      <c r="H187" t="s">
        <v>381</v>
      </c>
      <c r="I187" t="s">
        <v>427</v>
      </c>
      <c r="J187">
        <v>-4.5511828799999998</v>
      </c>
      <c r="K187" t="s">
        <v>440</v>
      </c>
      <c r="L187" t="s">
        <v>451</v>
      </c>
      <c r="M187">
        <v>1.6825115802299999E-3</v>
      </c>
      <c r="N187">
        <v>7.6574179059819784E-3</v>
      </c>
      <c r="O187">
        <v>29976.978999999999</v>
      </c>
      <c r="P187">
        <v>1.6679465999999999E-5</v>
      </c>
      <c r="Q187">
        <v>1</v>
      </c>
      <c r="R187" s="60">
        <v>7.6574179059819784E-3</v>
      </c>
      <c r="S187" t="s">
        <v>336</v>
      </c>
      <c r="T187" t="s">
        <v>433</v>
      </c>
      <c r="U187" t="s">
        <v>425</v>
      </c>
      <c r="V187" t="s">
        <v>91</v>
      </c>
      <c r="W187">
        <v>111.133</v>
      </c>
      <c r="X187">
        <v>0.99819678194932504</v>
      </c>
      <c r="Y187">
        <v>110.9326029683743</v>
      </c>
      <c r="Z187">
        <v>682.07</v>
      </c>
      <c r="AA187">
        <v>1</v>
      </c>
      <c r="AB187">
        <v>75.663800506639092</v>
      </c>
      <c r="AC187">
        <v>1.0269999999999999</v>
      </c>
      <c r="AD187" s="62">
        <v>77.706999999999994</v>
      </c>
      <c r="AE187">
        <v>8.9176000000000002</v>
      </c>
      <c r="AF187">
        <v>8.9015196227113016</v>
      </c>
      <c r="AG187">
        <v>1</v>
      </c>
      <c r="AH187">
        <v>6071.4594890626977</v>
      </c>
      <c r="AI187">
        <v>0.98496680983990625</v>
      </c>
      <c r="AJ187" s="62">
        <v>5980.1860999999999</v>
      </c>
      <c r="AK187" s="60">
        <v>45.79278412324453</v>
      </c>
      <c r="AL187" t="s">
        <v>339</v>
      </c>
      <c r="AM187" t="s">
        <v>433</v>
      </c>
      <c r="AN187" t="s">
        <v>425</v>
      </c>
      <c r="AO187" t="s">
        <v>91</v>
      </c>
      <c r="AP187">
        <v>111.133</v>
      </c>
      <c r="AQ187">
        <v>1.0062587218588701</v>
      </c>
      <c r="AR187">
        <v>111.82855053634179</v>
      </c>
      <c r="AS187">
        <v>665.15</v>
      </c>
      <c r="AT187">
        <v>1</v>
      </c>
      <c r="AU187">
        <v>74.382760389247736</v>
      </c>
      <c r="AV187">
        <v>1.0269999999999999</v>
      </c>
      <c r="AW187" s="62">
        <v>76.391000000000005</v>
      </c>
      <c r="AX187">
        <v>8.9176000000000002</v>
      </c>
      <c r="AY187">
        <v>1</v>
      </c>
      <c r="AZ187">
        <v>5968.6655093190648</v>
      </c>
      <c r="BA187">
        <v>0.98496680983990625</v>
      </c>
      <c r="BB187" s="62">
        <v>5878.9373999999998</v>
      </c>
      <c r="BC187" s="60">
        <v>45.017480514907128</v>
      </c>
    </row>
    <row r="188" spans="1:55" x14ac:dyDescent="0.25">
      <c r="A188">
        <v>24573</v>
      </c>
      <c r="B188" t="s">
        <v>143</v>
      </c>
      <c r="C188">
        <v>2017</v>
      </c>
      <c r="D188">
        <v>6</v>
      </c>
      <c r="E188" t="s">
        <v>51</v>
      </c>
      <c r="F188" t="s">
        <v>449</v>
      </c>
      <c r="G188" t="s">
        <v>84</v>
      </c>
      <c r="H188" t="s">
        <v>381</v>
      </c>
      <c r="I188" t="s">
        <v>427</v>
      </c>
      <c r="J188">
        <v>-4.5511828799999998</v>
      </c>
      <c r="K188" t="s">
        <v>440</v>
      </c>
      <c r="L188" t="s">
        <v>452</v>
      </c>
      <c r="M188">
        <v>1.53682162831E-3</v>
      </c>
      <c r="N188">
        <v>6.9943562904409076E-3</v>
      </c>
      <c r="O188">
        <v>29976.978999999999</v>
      </c>
      <c r="P188">
        <v>1.6679465999999999E-5</v>
      </c>
      <c r="Q188">
        <v>1</v>
      </c>
      <c r="R188" s="60">
        <v>6.9943562904409076E-3</v>
      </c>
      <c r="S188" t="s">
        <v>336</v>
      </c>
      <c r="T188" t="s">
        <v>433</v>
      </c>
      <c r="U188" t="s">
        <v>425</v>
      </c>
      <c r="V188" t="s">
        <v>28</v>
      </c>
      <c r="W188">
        <v>111.133</v>
      </c>
      <c r="X188">
        <v>0.99819678194932504</v>
      </c>
      <c r="Y188">
        <v>110.9326029683743</v>
      </c>
      <c r="Z188">
        <v>682.07</v>
      </c>
      <c r="AA188">
        <v>1</v>
      </c>
      <c r="AB188">
        <v>75.663800506639092</v>
      </c>
      <c r="AC188">
        <v>1.0196000000000001</v>
      </c>
      <c r="AD188" s="62">
        <v>77.147000000000006</v>
      </c>
      <c r="AE188">
        <v>8.9176000000000002</v>
      </c>
      <c r="AF188">
        <v>8.9015196227113016</v>
      </c>
      <c r="AG188">
        <v>1</v>
      </c>
      <c r="AH188">
        <v>6071.4594890626977</v>
      </c>
      <c r="AI188">
        <v>0.97991730655640863</v>
      </c>
      <c r="AJ188" s="62">
        <v>5949.5281999999997</v>
      </c>
      <c r="AK188" s="60">
        <v>41.613119990825567</v>
      </c>
      <c r="AL188" t="s">
        <v>339</v>
      </c>
      <c r="AM188" t="s">
        <v>433</v>
      </c>
      <c r="AN188" t="s">
        <v>425</v>
      </c>
      <c r="AO188" t="s">
        <v>28</v>
      </c>
      <c r="AP188">
        <v>111.133</v>
      </c>
      <c r="AQ188">
        <v>1.0062587218588701</v>
      </c>
      <c r="AR188">
        <v>111.82855053634179</v>
      </c>
      <c r="AS188">
        <v>665.15</v>
      </c>
      <c r="AT188">
        <v>1</v>
      </c>
      <c r="AU188">
        <v>74.382760389247736</v>
      </c>
      <c r="AV188">
        <v>1.0196000000000001</v>
      </c>
      <c r="AW188" s="62">
        <v>75.840999999999994</v>
      </c>
      <c r="AX188">
        <v>8.9176000000000002</v>
      </c>
      <c r="AY188">
        <v>1</v>
      </c>
      <c r="AZ188">
        <v>5968.6655093190648</v>
      </c>
      <c r="BA188">
        <v>0.97991730655640863</v>
      </c>
      <c r="BB188" s="62">
        <v>5848.7986000000001</v>
      </c>
      <c r="BC188" s="60">
        <v>40.908581279431978</v>
      </c>
    </row>
    <row r="189" spans="1:55" x14ac:dyDescent="0.25">
      <c r="A189">
        <v>24574</v>
      </c>
      <c r="B189" t="s">
        <v>143</v>
      </c>
      <c r="C189">
        <v>2017</v>
      </c>
      <c r="D189">
        <v>6</v>
      </c>
      <c r="E189" t="s">
        <v>51</v>
      </c>
      <c r="F189" t="s">
        <v>449</v>
      </c>
      <c r="G189" t="s">
        <v>84</v>
      </c>
      <c r="H189" t="s">
        <v>87</v>
      </c>
      <c r="I189" t="s">
        <v>427</v>
      </c>
      <c r="J189">
        <v>-1.00265684</v>
      </c>
      <c r="K189" t="s">
        <v>440</v>
      </c>
      <c r="L189" t="s">
        <v>450</v>
      </c>
      <c r="M189">
        <v>0.26601384014995</v>
      </c>
      <c r="N189">
        <v>0.26672059714053048</v>
      </c>
      <c r="O189">
        <v>29976.978999999999</v>
      </c>
      <c r="P189">
        <v>1.6679465999999999E-5</v>
      </c>
      <c r="Q189">
        <v>1</v>
      </c>
      <c r="R189" s="60">
        <v>0.26672059714053048</v>
      </c>
      <c r="S189" t="s">
        <v>336</v>
      </c>
      <c r="T189" t="s">
        <v>433</v>
      </c>
      <c r="U189" t="s">
        <v>425</v>
      </c>
      <c r="V189" t="s">
        <v>26</v>
      </c>
      <c r="W189">
        <v>111.133</v>
      </c>
      <c r="X189">
        <v>0.99819678194932504</v>
      </c>
      <c r="Y189">
        <v>110.9326029683743</v>
      </c>
      <c r="Z189">
        <v>682.07</v>
      </c>
      <c r="AA189">
        <v>1</v>
      </c>
      <c r="AB189">
        <v>75.663800506639092</v>
      </c>
      <c r="AC189">
        <v>1.0178</v>
      </c>
      <c r="AD189" s="62">
        <v>77.010999999999996</v>
      </c>
      <c r="AE189">
        <v>8.9176000000000002</v>
      </c>
      <c r="AF189">
        <v>8.9015196227113016</v>
      </c>
      <c r="AG189">
        <v>1</v>
      </c>
      <c r="AH189">
        <v>6071.4594890626977</v>
      </c>
      <c r="AI189">
        <v>1.0020831266739409</v>
      </c>
      <c r="AJ189" s="62">
        <v>6084.1071000000002</v>
      </c>
      <c r="AK189" s="60">
        <v>1622.756678778941</v>
      </c>
      <c r="AL189" t="s">
        <v>339</v>
      </c>
      <c r="AM189" t="s">
        <v>433</v>
      </c>
      <c r="AN189" t="s">
        <v>425</v>
      </c>
      <c r="AO189" t="s">
        <v>26</v>
      </c>
      <c r="AP189">
        <v>111.133</v>
      </c>
      <c r="AQ189">
        <v>1.0062587218588701</v>
      </c>
      <c r="AR189">
        <v>111.82855053634179</v>
      </c>
      <c r="AS189">
        <v>665.15</v>
      </c>
      <c r="AT189">
        <v>1</v>
      </c>
      <c r="AU189">
        <v>74.382760389247736</v>
      </c>
      <c r="AV189">
        <v>1.0178</v>
      </c>
      <c r="AW189" s="62">
        <v>75.706999999999994</v>
      </c>
      <c r="AX189">
        <v>8.9176000000000002</v>
      </c>
      <c r="AY189">
        <v>1</v>
      </c>
      <c r="AZ189">
        <v>5968.6655093190648</v>
      </c>
      <c r="BA189">
        <v>1.0020831266739409</v>
      </c>
      <c r="BB189" s="62">
        <v>5981.0990000000002</v>
      </c>
      <c r="BC189" s="60">
        <v>1595.2822968366299</v>
      </c>
    </row>
    <row r="190" spans="1:55" x14ac:dyDescent="0.25">
      <c r="A190">
        <v>24575</v>
      </c>
      <c r="B190" t="s">
        <v>143</v>
      </c>
      <c r="C190">
        <v>2017</v>
      </c>
      <c r="D190">
        <v>6</v>
      </c>
      <c r="E190" t="s">
        <v>51</v>
      </c>
      <c r="F190" t="s">
        <v>449</v>
      </c>
      <c r="G190" t="s">
        <v>84</v>
      </c>
      <c r="H190" t="s">
        <v>87</v>
      </c>
      <c r="I190" t="s">
        <v>427</v>
      </c>
      <c r="J190">
        <v>-1.00265684</v>
      </c>
      <c r="K190" t="s">
        <v>440</v>
      </c>
      <c r="L190" t="s">
        <v>384</v>
      </c>
      <c r="M190">
        <v>3.9509559941419997E-2</v>
      </c>
      <c r="N190">
        <v>3.961453063643202E-2</v>
      </c>
      <c r="O190">
        <v>29976.978999999999</v>
      </c>
      <c r="P190">
        <v>1.6679465999999999E-5</v>
      </c>
      <c r="Q190">
        <v>1</v>
      </c>
      <c r="R190" s="60">
        <v>3.961453063643202E-2</v>
      </c>
      <c r="S190" t="s">
        <v>336</v>
      </c>
      <c r="T190" t="s">
        <v>433</v>
      </c>
      <c r="U190" t="s">
        <v>425</v>
      </c>
      <c r="V190" t="s">
        <v>81</v>
      </c>
      <c r="W190">
        <v>111.133</v>
      </c>
      <c r="X190">
        <v>0.99819678194932504</v>
      </c>
      <c r="Y190">
        <v>110.9326029683743</v>
      </c>
      <c r="Z190">
        <v>682.07</v>
      </c>
      <c r="AA190">
        <v>1</v>
      </c>
      <c r="AB190">
        <v>75.663800506639092</v>
      </c>
      <c r="AC190">
        <v>0.92979999999999996</v>
      </c>
      <c r="AD190" s="62">
        <v>70.352000000000004</v>
      </c>
      <c r="AE190">
        <v>8.9176000000000002</v>
      </c>
      <c r="AF190">
        <v>8.9015196227113016</v>
      </c>
      <c r="AG190">
        <v>1</v>
      </c>
      <c r="AH190">
        <v>6071.4594890626977</v>
      </c>
      <c r="AI190">
        <v>1.0375922509225091</v>
      </c>
      <c r="AJ190" s="62">
        <v>6299.6993000000002</v>
      </c>
      <c r="AK190" s="60">
        <v>249.55963092015929</v>
      </c>
      <c r="AL190" t="s">
        <v>339</v>
      </c>
      <c r="AM190" t="s">
        <v>433</v>
      </c>
      <c r="AN190" t="s">
        <v>425</v>
      </c>
      <c r="AO190" t="s">
        <v>81</v>
      </c>
      <c r="AP190">
        <v>111.133</v>
      </c>
      <c r="AQ190">
        <v>1.0062587218588701</v>
      </c>
      <c r="AR190">
        <v>111.82855053634179</v>
      </c>
      <c r="AS190">
        <v>665.15</v>
      </c>
      <c r="AT190">
        <v>1</v>
      </c>
      <c r="AU190">
        <v>74.382760389247736</v>
      </c>
      <c r="AV190">
        <v>0.92979999999999996</v>
      </c>
      <c r="AW190" s="62">
        <v>69.161000000000001</v>
      </c>
      <c r="AX190">
        <v>8.9176000000000002</v>
      </c>
      <c r="AY190">
        <v>1</v>
      </c>
      <c r="AZ190">
        <v>5968.6655093190648</v>
      </c>
      <c r="BA190">
        <v>1.0375922509225091</v>
      </c>
      <c r="BB190" s="62">
        <v>6193.0411000000004</v>
      </c>
      <c r="BC190" s="60">
        <v>245.33441638863269</v>
      </c>
    </row>
    <row r="191" spans="1:55" x14ac:dyDescent="0.25">
      <c r="A191">
        <v>24576</v>
      </c>
      <c r="B191" t="s">
        <v>143</v>
      </c>
      <c r="C191">
        <v>2017</v>
      </c>
      <c r="D191">
        <v>6</v>
      </c>
      <c r="E191" t="s">
        <v>51</v>
      </c>
      <c r="F191" t="s">
        <v>449</v>
      </c>
      <c r="G191" t="s">
        <v>84</v>
      </c>
      <c r="H191" t="s">
        <v>87</v>
      </c>
      <c r="I191" t="s">
        <v>427</v>
      </c>
      <c r="J191">
        <v>-1.00265684</v>
      </c>
      <c r="K191" t="s">
        <v>440</v>
      </c>
      <c r="L191" t="s">
        <v>385</v>
      </c>
      <c r="M191">
        <v>0.39737542925016001</v>
      </c>
      <c r="N191">
        <v>0.39843119335006227</v>
      </c>
      <c r="O191">
        <v>29976.978999999999</v>
      </c>
      <c r="P191">
        <v>1.6679465999999999E-5</v>
      </c>
      <c r="Q191">
        <v>1</v>
      </c>
      <c r="R191" s="60">
        <v>0.39843119335006227</v>
      </c>
      <c r="S191" t="s">
        <v>336</v>
      </c>
      <c r="T191" t="s">
        <v>433</v>
      </c>
      <c r="U191" t="s">
        <v>425</v>
      </c>
      <c r="V191" t="s">
        <v>27</v>
      </c>
      <c r="W191">
        <v>111.133</v>
      </c>
      <c r="X191">
        <v>0.99819678194932504</v>
      </c>
      <c r="Y191">
        <v>110.9326029683743</v>
      </c>
      <c r="Z191">
        <v>682.07</v>
      </c>
      <c r="AA191">
        <v>1</v>
      </c>
      <c r="AB191">
        <v>75.663800506639092</v>
      </c>
      <c r="AC191">
        <v>0.99739999999999995</v>
      </c>
      <c r="AD191" s="62">
        <v>75.466999999999999</v>
      </c>
      <c r="AE191">
        <v>8.9176000000000002</v>
      </c>
      <c r="AF191">
        <v>8.9015196227113016</v>
      </c>
      <c r="AG191">
        <v>1</v>
      </c>
      <c r="AH191">
        <v>6071.4594890626977</v>
      </c>
      <c r="AI191">
        <v>1.0108695652173909</v>
      </c>
      <c r="AJ191" s="62">
        <v>6137.4535999999998</v>
      </c>
      <c r="AK191" s="60">
        <v>2445.3529619786359</v>
      </c>
      <c r="AL191" t="s">
        <v>339</v>
      </c>
      <c r="AM191" t="s">
        <v>433</v>
      </c>
      <c r="AN191" t="s">
        <v>425</v>
      </c>
      <c r="AO191" t="s">
        <v>27</v>
      </c>
      <c r="AP191">
        <v>111.133</v>
      </c>
      <c r="AQ191">
        <v>1.0062587218588701</v>
      </c>
      <c r="AR191">
        <v>111.82855053634179</v>
      </c>
      <c r="AS191">
        <v>665.15</v>
      </c>
      <c r="AT191">
        <v>1</v>
      </c>
      <c r="AU191">
        <v>74.382760389247736</v>
      </c>
      <c r="AV191">
        <v>0.99739999999999995</v>
      </c>
      <c r="AW191" s="62">
        <v>74.188999999999993</v>
      </c>
      <c r="AX191">
        <v>8.9176000000000002</v>
      </c>
      <c r="AY191">
        <v>1</v>
      </c>
      <c r="AZ191">
        <v>5968.6655093190648</v>
      </c>
      <c r="BA191">
        <v>1.0108695652173909</v>
      </c>
      <c r="BB191" s="62">
        <v>6033.5423000000001</v>
      </c>
      <c r="BC191" s="60">
        <v>2403.9514587170802</v>
      </c>
    </row>
    <row r="192" spans="1:55" x14ac:dyDescent="0.25">
      <c r="A192">
        <v>24577</v>
      </c>
      <c r="B192" t="s">
        <v>143</v>
      </c>
      <c r="C192">
        <v>2017</v>
      </c>
      <c r="D192">
        <v>6</v>
      </c>
      <c r="E192" t="s">
        <v>51</v>
      </c>
      <c r="F192" t="s">
        <v>449</v>
      </c>
      <c r="G192" t="s">
        <v>84</v>
      </c>
      <c r="H192" t="s">
        <v>87</v>
      </c>
      <c r="I192" t="s">
        <v>427</v>
      </c>
      <c r="J192">
        <v>-1.00265684</v>
      </c>
      <c r="K192" t="s">
        <v>440</v>
      </c>
      <c r="L192" t="s">
        <v>452</v>
      </c>
      <c r="M192">
        <v>8.4248020759000004E-4</v>
      </c>
      <c r="N192">
        <v>8.4471854517350427E-4</v>
      </c>
      <c r="O192">
        <v>29976.978999999999</v>
      </c>
      <c r="P192">
        <v>1.6679465999999999E-5</v>
      </c>
      <c r="Q192">
        <v>1</v>
      </c>
      <c r="R192" s="60">
        <v>8.4471854517350427E-4</v>
      </c>
      <c r="S192" t="s">
        <v>336</v>
      </c>
      <c r="T192" t="s">
        <v>433</v>
      </c>
      <c r="U192" t="s">
        <v>425</v>
      </c>
      <c r="V192" t="s">
        <v>28</v>
      </c>
      <c r="W192">
        <v>111.133</v>
      </c>
      <c r="X192">
        <v>0.99819678194932504</v>
      </c>
      <c r="Y192">
        <v>110.9326029683743</v>
      </c>
      <c r="Z192">
        <v>682.07</v>
      </c>
      <c r="AA192">
        <v>1</v>
      </c>
      <c r="AB192">
        <v>75.663800506639092</v>
      </c>
      <c r="AC192">
        <v>1.0196000000000001</v>
      </c>
      <c r="AD192" s="62">
        <v>77.147000000000006</v>
      </c>
      <c r="AE192">
        <v>8.9176000000000002</v>
      </c>
      <c r="AF192">
        <v>8.9015196227113016</v>
      </c>
      <c r="AG192">
        <v>1</v>
      </c>
      <c r="AH192">
        <v>6071.4594890626977</v>
      </c>
      <c r="AI192">
        <v>0.97991730655640863</v>
      </c>
      <c r="AJ192" s="62">
        <v>5949.5281999999997</v>
      </c>
      <c r="AK192" s="60">
        <v>5.0256768055727372</v>
      </c>
      <c r="AL192" t="s">
        <v>339</v>
      </c>
      <c r="AM192" t="s">
        <v>433</v>
      </c>
      <c r="AN192" t="s">
        <v>425</v>
      </c>
      <c r="AO192" t="s">
        <v>28</v>
      </c>
      <c r="AP192">
        <v>111.133</v>
      </c>
      <c r="AQ192">
        <v>1.0062587218588701</v>
      </c>
      <c r="AR192">
        <v>111.82855053634179</v>
      </c>
      <c r="AS192">
        <v>665.15</v>
      </c>
      <c r="AT192">
        <v>1</v>
      </c>
      <c r="AU192">
        <v>74.382760389247736</v>
      </c>
      <c r="AV192">
        <v>1.0196000000000001</v>
      </c>
      <c r="AW192" s="62">
        <v>75.840999999999994</v>
      </c>
      <c r="AX192">
        <v>8.9176000000000002</v>
      </c>
      <c r="AY192">
        <v>1</v>
      </c>
      <c r="AZ192">
        <v>5968.6655093190648</v>
      </c>
      <c r="BA192">
        <v>0.97991730655640863</v>
      </c>
      <c r="BB192" s="62">
        <v>5848.7986000000001</v>
      </c>
      <c r="BC192" s="60">
        <v>4.9405886444048281</v>
      </c>
    </row>
    <row r="193" spans="1:55" x14ac:dyDescent="0.25">
      <c r="A193">
        <v>24578</v>
      </c>
      <c r="B193" t="s">
        <v>143</v>
      </c>
      <c r="C193">
        <v>2017</v>
      </c>
      <c r="D193">
        <v>6</v>
      </c>
      <c r="E193" t="s">
        <v>51</v>
      </c>
      <c r="F193" t="s">
        <v>449</v>
      </c>
      <c r="G193" t="s">
        <v>84</v>
      </c>
      <c r="H193" t="s">
        <v>59</v>
      </c>
      <c r="I193" t="s">
        <v>427</v>
      </c>
      <c r="J193">
        <v>-2.6182885699999998</v>
      </c>
      <c r="K193" t="s">
        <v>440</v>
      </c>
      <c r="L193" t="s">
        <v>450</v>
      </c>
      <c r="M193">
        <v>0.15931709696460999</v>
      </c>
      <c r="N193">
        <v>0.41713813368275737</v>
      </c>
      <c r="O193">
        <v>29976.978999999999</v>
      </c>
      <c r="P193">
        <v>1.6679465999999999E-5</v>
      </c>
      <c r="Q193">
        <v>1</v>
      </c>
      <c r="R193" s="60">
        <v>0.41713813368275737</v>
      </c>
      <c r="S193" t="s">
        <v>336</v>
      </c>
      <c r="T193" t="s">
        <v>433</v>
      </c>
      <c r="U193" t="s">
        <v>425</v>
      </c>
      <c r="V193" t="s">
        <v>26</v>
      </c>
      <c r="W193">
        <v>111.133</v>
      </c>
      <c r="X193">
        <v>0.99819678194932504</v>
      </c>
      <c r="Y193">
        <v>110.9326029683743</v>
      </c>
      <c r="Z193">
        <v>682.07</v>
      </c>
      <c r="AA193">
        <v>1</v>
      </c>
      <c r="AB193">
        <v>75.663800506639092</v>
      </c>
      <c r="AC193">
        <v>1.0178</v>
      </c>
      <c r="AD193" s="62">
        <v>77.010999999999996</v>
      </c>
      <c r="AE193">
        <v>8.9176000000000002</v>
      </c>
      <c r="AF193">
        <v>8.9015196227113016</v>
      </c>
      <c r="AG193">
        <v>1</v>
      </c>
      <c r="AH193">
        <v>6071.4594890626977</v>
      </c>
      <c r="AI193">
        <v>1.0020831266739409</v>
      </c>
      <c r="AJ193" s="62">
        <v>6084.1071000000002</v>
      </c>
      <c r="AK193" s="60">
        <v>2537.913080820013</v>
      </c>
      <c r="AL193" t="s">
        <v>339</v>
      </c>
      <c r="AM193" t="s">
        <v>433</v>
      </c>
      <c r="AN193" t="s">
        <v>425</v>
      </c>
      <c r="AO193" t="s">
        <v>26</v>
      </c>
      <c r="AP193">
        <v>111.133</v>
      </c>
      <c r="AQ193">
        <v>1.0062587218588701</v>
      </c>
      <c r="AR193">
        <v>111.82855053634179</v>
      </c>
      <c r="AS193">
        <v>665.15</v>
      </c>
      <c r="AT193">
        <v>1</v>
      </c>
      <c r="AU193">
        <v>74.382760389247736</v>
      </c>
      <c r="AV193">
        <v>1.0178</v>
      </c>
      <c r="AW193" s="62">
        <v>75.706999999999994</v>
      </c>
      <c r="AX193">
        <v>8.9176000000000002</v>
      </c>
      <c r="AY193">
        <v>1</v>
      </c>
      <c r="AZ193">
        <v>5968.6655093190648</v>
      </c>
      <c r="BA193">
        <v>1.0020831266739409</v>
      </c>
      <c r="BB193" s="62">
        <v>5981.0990000000002</v>
      </c>
      <c r="BC193" s="60">
        <v>2494.944474231806</v>
      </c>
    </row>
    <row r="194" spans="1:55" x14ac:dyDescent="0.25">
      <c r="A194">
        <v>24579</v>
      </c>
      <c r="B194" t="s">
        <v>143</v>
      </c>
      <c r="C194">
        <v>2017</v>
      </c>
      <c r="D194">
        <v>6</v>
      </c>
      <c r="E194" t="s">
        <v>51</v>
      </c>
      <c r="F194" t="s">
        <v>449</v>
      </c>
      <c r="G194" t="s">
        <v>84</v>
      </c>
      <c r="H194" t="s">
        <v>59</v>
      </c>
      <c r="I194" t="s">
        <v>427</v>
      </c>
      <c r="J194">
        <v>-2.6182885699999998</v>
      </c>
      <c r="K194" t="s">
        <v>440</v>
      </c>
      <c r="L194" t="s">
        <v>384</v>
      </c>
      <c r="M194">
        <v>4.1785183859599999E-2</v>
      </c>
      <c r="N194">
        <v>0.10940566921487579</v>
      </c>
      <c r="O194">
        <v>29976.978999999999</v>
      </c>
      <c r="P194">
        <v>1.6679465999999999E-5</v>
      </c>
      <c r="Q194">
        <v>1</v>
      </c>
      <c r="R194" s="60">
        <v>0.10940566921487579</v>
      </c>
      <c r="S194" t="s">
        <v>336</v>
      </c>
      <c r="T194" t="s">
        <v>433</v>
      </c>
      <c r="U194" t="s">
        <v>425</v>
      </c>
      <c r="V194" t="s">
        <v>81</v>
      </c>
      <c r="W194">
        <v>111.133</v>
      </c>
      <c r="X194">
        <v>0.99819678194932504</v>
      </c>
      <c r="Y194">
        <v>110.9326029683743</v>
      </c>
      <c r="Z194">
        <v>682.07</v>
      </c>
      <c r="AA194">
        <v>1</v>
      </c>
      <c r="AB194">
        <v>75.663800506639092</v>
      </c>
      <c r="AC194">
        <v>0.92979999999999996</v>
      </c>
      <c r="AD194" s="62">
        <v>70.352000000000004</v>
      </c>
      <c r="AE194">
        <v>8.9176000000000002</v>
      </c>
      <c r="AF194">
        <v>8.9015196227113016</v>
      </c>
      <c r="AG194">
        <v>1</v>
      </c>
      <c r="AH194">
        <v>6071.4594890626977</v>
      </c>
      <c r="AI194">
        <v>1.0375922509225091</v>
      </c>
      <c r="AJ194" s="62">
        <v>6299.6993000000002</v>
      </c>
      <c r="AK194" s="60">
        <v>689.2228177689849</v>
      </c>
      <c r="AL194" t="s">
        <v>339</v>
      </c>
      <c r="AM194" t="s">
        <v>433</v>
      </c>
      <c r="AN194" t="s">
        <v>425</v>
      </c>
      <c r="AO194" t="s">
        <v>81</v>
      </c>
      <c r="AP194">
        <v>111.133</v>
      </c>
      <c r="AQ194">
        <v>1.0062587218588701</v>
      </c>
      <c r="AR194">
        <v>111.82855053634179</v>
      </c>
      <c r="AS194">
        <v>665.15</v>
      </c>
      <c r="AT194">
        <v>1</v>
      </c>
      <c r="AU194">
        <v>74.382760389247736</v>
      </c>
      <c r="AV194">
        <v>0.92979999999999996</v>
      </c>
      <c r="AW194" s="62">
        <v>69.161000000000001</v>
      </c>
      <c r="AX194">
        <v>8.9176000000000002</v>
      </c>
      <c r="AY194">
        <v>1</v>
      </c>
      <c r="AZ194">
        <v>5968.6655093190648</v>
      </c>
      <c r="BA194">
        <v>1.0375922509225091</v>
      </c>
      <c r="BB194" s="62">
        <v>6193.0411000000004</v>
      </c>
      <c r="BC194" s="60">
        <v>677.5538060207308</v>
      </c>
    </row>
    <row r="195" spans="1:55" x14ac:dyDescent="0.25">
      <c r="A195">
        <v>24580</v>
      </c>
      <c r="B195" t="s">
        <v>143</v>
      </c>
      <c r="C195">
        <v>2017</v>
      </c>
      <c r="D195">
        <v>6</v>
      </c>
      <c r="E195" t="s">
        <v>51</v>
      </c>
      <c r="F195" t="s">
        <v>449</v>
      </c>
      <c r="G195" t="s">
        <v>84</v>
      </c>
      <c r="H195" t="s">
        <v>59</v>
      </c>
      <c r="I195" t="s">
        <v>427</v>
      </c>
      <c r="J195">
        <v>-2.6182885699999998</v>
      </c>
      <c r="K195" t="s">
        <v>440</v>
      </c>
      <c r="L195" t="s">
        <v>385</v>
      </c>
      <c r="M195">
        <v>0.43497567483749999</v>
      </c>
      <c r="N195">
        <v>1.138891836821619</v>
      </c>
      <c r="O195">
        <v>29976.978999999999</v>
      </c>
      <c r="P195">
        <v>1.6679465999999999E-5</v>
      </c>
      <c r="Q195">
        <v>1</v>
      </c>
      <c r="R195" s="60">
        <v>1.138891836821619</v>
      </c>
      <c r="S195" t="s">
        <v>336</v>
      </c>
      <c r="T195" t="s">
        <v>433</v>
      </c>
      <c r="U195" t="s">
        <v>425</v>
      </c>
      <c r="V195" t="s">
        <v>27</v>
      </c>
      <c r="W195">
        <v>111.133</v>
      </c>
      <c r="X195">
        <v>0.99819678194932504</v>
      </c>
      <c r="Y195">
        <v>110.9326029683743</v>
      </c>
      <c r="Z195">
        <v>682.07</v>
      </c>
      <c r="AA195">
        <v>1</v>
      </c>
      <c r="AB195">
        <v>75.663800506639092</v>
      </c>
      <c r="AC195">
        <v>0.99739999999999995</v>
      </c>
      <c r="AD195" s="62">
        <v>75.466999999999999</v>
      </c>
      <c r="AE195">
        <v>8.9176000000000002</v>
      </c>
      <c r="AF195">
        <v>8.9015196227113016</v>
      </c>
      <c r="AG195">
        <v>1</v>
      </c>
      <c r="AH195">
        <v>6071.4594890626977</v>
      </c>
      <c r="AI195">
        <v>1.0108695652173909</v>
      </c>
      <c r="AJ195" s="62">
        <v>6137.4535999999998</v>
      </c>
      <c r="AK195" s="60">
        <v>6989.8958039114596</v>
      </c>
      <c r="AL195" t="s">
        <v>339</v>
      </c>
      <c r="AM195" t="s">
        <v>433</v>
      </c>
      <c r="AN195" t="s">
        <v>425</v>
      </c>
      <c r="AO195" t="s">
        <v>27</v>
      </c>
      <c r="AP195">
        <v>111.133</v>
      </c>
      <c r="AQ195">
        <v>1.0062587218588701</v>
      </c>
      <c r="AR195">
        <v>111.82855053634179</v>
      </c>
      <c r="AS195">
        <v>665.15</v>
      </c>
      <c r="AT195">
        <v>1</v>
      </c>
      <c r="AU195">
        <v>74.382760389247736</v>
      </c>
      <c r="AV195">
        <v>0.99739999999999995</v>
      </c>
      <c r="AW195" s="62">
        <v>74.188999999999993</v>
      </c>
      <c r="AX195">
        <v>8.9176000000000002</v>
      </c>
      <c r="AY195">
        <v>1</v>
      </c>
      <c r="AZ195">
        <v>5968.6655093190648</v>
      </c>
      <c r="BA195">
        <v>1.0108695652173909</v>
      </c>
      <c r="BB195" s="62">
        <v>6033.5423000000001</v>
      </c>
      <c r="BC195" s="60">
        <v>6871.5520725879369</v>
      </c>
    </row>
    <row r="196" spans="1:55" x14ac:dyDescent="0.25">
      <c r="A196">
        <v>24581</v>
      </c>
      <c r="B196" t="s">
        <v>143</v>
      </c>
      <c r="C196">
        <v>2017</v>
      </c>
      <c r="D196">
        <v>6</v>
      </c>
      <c r="E196" t="s">
        <v>51</v>
      </c>
      <c r="F196" t="s">
        <v>449</v>
      </c>
      <c r="G196" t="s">
        <v>84</v>
      </c>
      <c r="H196" t="s">
        <v>59</v>
      </c>
      <c r="I196" t="s">
        <v>427</v>
      </c>
      <c r="J196">
        <v>-2.6182885699999998</v>
      </c>
      <c r="K196" t="s">
        <v>440</v>
      </c>
      <c r="L196" t="s">
        <v>451</v>
      </c>
      <c r="M196">
        <v>1.7625750762999999E-3</v>
      </c>
      <c r="N196">
        <v>4.6149301726659507E-3</v>
      </c>
      <c r="O196">
        <v>29976.978999999999</v>
      </c>
      <c r="P196">
        <v>1.6679465999999999E-5</v>
      </c>
      <c r="Q196">
        <v>1</v>
      </c>
      <c r="R196" s="60">
        <v>4.6149301726659507E-3</v>
      </c>
      <c r="S196" t="s">
        <v>336</v>
      </c>
      <c r="T196" t="s">
        <v>433</v>
      </c>
      <c r="U196" t="s">
        <v>425</v>
      </c>
      <c r="V196" t="s">
        <v>91</v>
      </c>
      <c r="W196">
        <v>111.133</v>
      </c>
      <c r="X196">
        <v>0.99819678194932504</v>
      </c>
      <c r="Y196">
        <v>110.9326029683743</v>
      </c>
      <c r="Z196">
        <v>682.07</v>
      </c>
      <c r="AA196">
        <v>1</v>
      </c>
      <c r="AB196">
        <v>75.663800506639092</v>
      </c>
      <c r="AC196">
        <v>1.0269999999999999</v>
      </c>
      <c r="AD196" s="62">
        <v>77.706999999999994</v>
      </c>
      <c r="AE196">
        <v>8.9176000000000002</v>
      </c>
      <c r="AF196">
        <v>8.9015196227113016</v>
      </c>
      <c r="AG196">
        <v>1</v>
      </c>
      <c r="AH196">
        <v>6071.4594890626977</v>
      </c>
      <c r="AI196">
        <v>0.98496680983990625</v>
      </c>
      <c r="AJ196" s="62">
        <v>5980.1860999999999</v>
      </c>
      <c r="AK196" s="60">
        <v>27.59814127104752</v>
      </c>
      <c r="AL196" t="s">
        <v>339</v>
      </c>
      <c r="AM196" t="s">
        <v>433</v>
      </c>
      <c r="AN196" t="s">
        <v>425</v>
      </c>
      <c r="AO196" t="s">
        <v>91</v>
      </c>
      <c r="AP196">
        <v>111.133</v>
      </c>
      <c r="AQ196">
        <v>1.0062587218588701</v>
      </c>
      <c r="AR196">
        <v>111.82855053634179</v>
      </c>
      <c r="AS196">
        <v>665.15</v>
      </c>
      <c r="AT196">
        <v>1</v>
      </c>
      <c r="AU196">
        <v>74.382760389247736</v>
      </c>
      <c r="AV196">
        <v>1.0269999999999999</v>
      </c>
      <c r="AW196" s="62">
        <v>76.391000000000005</v>
      </c>
      <c r="AX196">
        <v>8.9176000000000002</v>
      </c>
      <c r="AY196">
        <v>1</v>
      </c>
      <c r="AZ196">
        <v>5968.6655093190648</v>
      </c>
      <c r="BA196">
        <v>0.98496680983990625</v>
      </c>
      <c r="BB196" s="62">
        <v>5878.9373999999998</v>
      </c>
      <c r="BC196" s="60">
        <v>27.13088559047431</v>
      </c>
    </row>
    <row r="197" spans="1:55" x14ac:dyDescent="0.25">
      <c r="A197">
        <v>24582</v>
      </c>
      <c r="B197" t="s">
        <v>143</v>
      </c>
      <c r="C197">
        <v>2017</v>
      </c>
      <c r="D197">
        <v>6</v>
      </c>
      <c r="E197" t="s">
        <v>51</v>
      </c>
      <c r="F197" t="s">
        <v>449</v>
      </c>
      <c r="G197" t="s">
        <v>84</v>
      </c>
      <c r="H197" t="s">
        <v>59</v>
      </c>
      <c r="I197" t="s">
        <v>427</v>
      </c>
      <c r="J197">
        <v>-2.6182885699999998</v>
      </c>
      <c r="K197" t="s">
        <v>440</v>
      </c>
      <c r="L197" t="s">
        <v>452</v>
      </c>
      <c r="M197">
        <v>1.4858046103299999E-3</v>
      </c>
      <c r="N197">
        <v>3.8902652256334381E-3</v>
      </c>
      <c r="O197">
        <v>29976.978999999999</v>
      </c>
      <c r="P197">
        <v>1.6679465999999999E-5</v>
      </c>
      <c r="Q197">
        <v>1</v>
      </c>
      <c r="R197" s="60">
        <v>3.8902652256334381E-3</v>
      </c>
      <c r="S197" t="s">
        <v>336</v>
      </c>
      <c r="T197" t="s">
        <v>433</v>
      </c>
      <c r="U197" t="s">
        <v>425</v>
      </c>
      <c r="V197" t="s">
        <v>28</v>
      </c>
      <c r="W197">
        <v>111.133</v>
      </c>
      <c r="X197">
        <v>0.99819678194932504</v>
      </c>
      <c r="Y197">
        <v>110.9326029683743</v>
      </c>
      <c r="Z197">
        <v>682.07</v>
      </c>
      <c r="AA197">
        <v>1</v>
      </c>
      <c r="AB197">
        <v>75.663800506639092</v>
      </c>
      <c r="AC197">
        <v>1.0196000000000001</v>
      </c>
      <c r="AD197" s="62">
        <v>77.147000000000006</v>
      </c>
      <c r="AE197">
        <v>8.9176000000000002</v>
      </c>
      <c r="AF197">
        <v>8.9015196227113016</v>
      </c>
      <c r="AG197">
        <v>1</v>
      </c>
      <c r="AH197">
        <v>6071.4594890626977</v>
      </c>
      <c r="AI197">
        <v>0.97991730655640863</v>
      </c>
      <c r="AJ197" s="62">
        <v>5949.5281999999997</v>
      </c>
      <c r="AK197" s="60">
        <v>23.145242665385499</v>
      </c>
      <c r="AL197" t="s">
        <v>339</v>
      </c>
      <c r="AM197" t="s">
        <v>433</v>
      </c>
      <c r="AN197" t="s">
        <v>425</v>
      </c>
      <c r="AO197" t="s">
        <v>28</v>
      </c>
      <c r="AP197">
        <v>111.133</v>
      </c>
      <c r="AQ197">
        <v>1.0062587218588701</v>
      </c>
      <c r="AR197">
        <v>111.82855053634179</v>
      </c>
      <c r="AS197">
        <v>665.15</v>
      </c>
      <c r="AT197">
        <v>1</v>
      </c>
      <c r="AU197">
        <v>74.382760389247736</v>
      </c>
      <c r="AV197">
        <v>1.0196000000000001</v>
      </c>
      <c r="AW197" s="62">
        <v>75.840999999999994</v>
      </c>
      <c r="AX197">
        <v>8.9176000000000002</v>
      </c>
      <c r="AY197">
        <v>1</v>
      </c>
      <c r="AZ197">
        <v>5968.6655093190648</v>
      </c>
      <c r="BA197">
        <v>0.97991730655640863</v>
      </c>
      <c r="BB197" s="62">
        <v>5848.7986000000001</v>
      </c>
      <c r="BC197" s="60">
        <v>22.75337780531353</v>
      </c>
    </row>
    <row r="198" spans="1:55" x14ac:dyDescent="0.25">
      <c r="A198">
        <v>27253</v>
      </c>
      <c r="B198" t="s">
        <v>142</v>
      </c>
      <c r="C198">
        <v>2017</v>
      </c>
      <c r="D198">
        <v>7</v>
      </c>
      <c r="E198" t="s">
        <v>51</v>
      </c>
      <c r="F198" t="s">
        <v>449</v>
      </c>
      <c r="G198" t="s">
        <v>84</v>
      </c>
      <c r="H198" t="s">
        <v>381</v>
      </c>
      <c r="I198" t="s">
        <v>427</v>
      </c>
      <c r="J198">
        <v>-4.4307758899999996</v>
      </c>
      <c r="K198" t="s">
        <v>440</v>
      </c>
      <c r="L198" t="s">
        <v>450</v>
      </c>
      <c r="M198">
        <v>0.15011157993331001</v>
      </c>
      <c r="N198">
        <v>0.66511076975882411</v>
      </c>
      <c r="O198">
        <v>29976.978999999999</v>
      </c>
      <c r="P198">
        <v>1.6679465999999999E-5</v>
      </c>
      <c r="Q198">
        <v>1</v>
      </c>
      <c r="R198" s="60">
        <v>0.66511076975882411</v>
      </c>
      <c r="S198" t="s">
        <v>336</v>
      </c>
      <c r="T198" t="s">
        <v>433</v>
      </c>
      <c r="U198" t="s">
        <v>425</v>
      </c>
      <c r="V198" t="s">
        <v>26</v>
      </c>
      <c r="W198">
        <v>111.133</v>
      </c>
      <c r="X198">
        <v>0.99819678194932504</v>
      </c>
      <c r="Y198">
        <v>110.9326029683743</v>
      </c>
      <c r="Z198">
        <v>682.07</v>
      </c>
      <c r="AA198">
        <v>1</v>
      </c>
      <c r="AB198">
        <v>75.663800506639092</v>
      </c>
      <c r="AC198">
        <v>1.0178</v>
      </c>
      <c r="AD198" s="62">
        <v>77.010999999999996</v>
      </c>
      <c r="AE198">
        <v>8.9176000000000002</v>
      </c>
      <c r="AF198">
        <v>8.9015196227113016</v>
      </c>
      <c r="AG198">
        <v>1</v>
      </c>
      <c r="AH198">
        <v>6071.4594890626977</v>
      </c>
      <c r="AI198">
        <v>1.0020831266739409</v>
      </c>
      <c r="AJ198" s="62">
        <v>6084.1071000000002</v>
      </c>
      <c r="AK198" s="60">
        <v>4046.6051565761268</v>
      </c>
      <c r="AL198" t="s">
        <v>342</v>
      </c>
      <c r="AM198" t="s">
        <v>434</v>
      </c>
      <c r="AN198" t="s">
        <v>425</v>
      </c>
      <c r="AO198" t="s">
        <v>26</v>
      </c>
      <c r="AP198">
        <v>111.133</v>
      </c>
      <c r="AQ198">
        <v>1.0155396203574489</v>
      </c>
      <c r="AR198">
        <v>112.8599646291844</v>
      </c>
      <c r="AS198">
        <v>658.17</v>
      </c>
      <c r="AT198">
        <v>1</v>
      </c>
      <c r="AU198">
        <v>74.281042919990284</v>
      </c>
      <c r="AV198">
        <v>1.012368394153123</v>
      </c>
      <c r="AW198" s="62">
        <v>75.2</v>
      </c>
      <c r="AX198">
        <v>8.9176000000000002</v>
      </c>
      <c r="AY198">
        <v>1</v>
      </c>
      <c r="AZ198">
        <v>5960.503435912874</v>
      </c>
      <c r="BA198">
        <v>0.99404987733863315</v>
      </c>
      <c r="BB198" s="62">
        <v>5925.0376999999999</v>
      </c>
      <c r="BC198" s="60">
        <v>3940.8063854970528</v>
      </c>
    </row>
    <row r="199" spans="1:55" x14ac:dyDescent="0.25">
      <c r="A199">
        <v>27254</v>
      </c>
      <c r="B199" t="s">
        <v>142</v>
      </c>
      <c r="C199">
        <v>2017</v>
      </c>
      <c r="D199">
        <v>7</v>
      </c>
      <c r="E199" t="s">
        <v>51</v>
      </c>
      <c r="F199" t="s">
        <v>449</v>
      </c>
      <c r="G199" t="s">
        <v>84</v>
      </c>
      <c r="H199" t="s">
        <v>381</v>
      </c>
      <c r="I199" t="s">
        <v>427</v>
      </c>
      <c r="J199">
        <v>-4.4307758899999996</v>
      </c>
      <c r="K199" t="s">
        <v>440</v>
      </c>
      <c r="L199" t="s">
        <v>384</v>
      </c>
      <c r="M199">
        <v>4.5811354346740003E-2</v>
      </c>
      <c r="N199">
        <v>0.20297984450494241</v>
      </c>
      <c r="O199">
        <v>29976.978999999999</v>
      </c>
      <c r="P199">
        <v>1.6679465999999999E-5</v>
      </c>
      <c r="Q199">
        <v>1</v>
      </c>
      <c r="R199" s="60">
        <v>0.20297984450494241</v>
      </c>
      <c r="S199" t="s">
        <v>336</v>
      </c>
      <c r="T199" t="s">
        <v>433</v>
      </c>
      <c r="U199" t="s">
        <v>425</v>
      </c>
      <c r="V199" t="s">
        <v>81</v>
      </c>
      <c r="W199">
        <v>111.133</v>
      </c>
      <c r="X199">
        <v>0.99819678194932504</v>
      </c>
      <c r="Y199">
        <v>110.9326029683743</v>
      </c>
      <c r="Z199">
        <v>682.07</v>
      </c>
      <c r="AA199">
        <v>1</v>
      </c>
      <c r="AB199">
        <v>75.663800506639092</v>
      </c>
      <c r="AC199">
        <v>0.92979999999999996</v>
      </c>
      <c r="AD199" s="62">
        <v>70.352000000000004</v>
      </c>
      <c r="AE199">
        <v>8.9176000000000002</v>
      </c>
      <c r="AF199">
        <v>8.9015196227113016</v>
      </c>
      <c r="AG199">
        <v>1</v>
      </c>
      <c r="AH199">
        <v>6071.4594890626977</v>
      </c>
      <c r="AI199">
        <v>1.0375922509225091</v>
      </c>
      <c r="AJ199" s="62">
        <v>6299.6993000000002</v>
      </c>
      <c r="AK199" s="60">
        <v>1278.711984341895</v>
      </c>
      <c r="AL199" t="s">
        <v>342</v>
      </c>
      <c r="AM199" t="s">
        <v>434</v>
      </c>
      <c r="AN199" t="s">
        <v>425</v>
      </c>
      <c r="AO199" t="s">
        <v>81</v>
      </c>
      <c r="AP199">
        <v>111.133</v>
      </c>
      <c r="AQ199">
        <v>1.0155396203574489</v>
      </c>
      <c r="AR199">
        <v>112.8599646291844</v>
      </c>
      <c r="AS199">
        <v>658.17</v>
      </c>
      <c r="AT199">
        <v>1</v>
      </c>
      <c r="AU199">
        <v>74.281042919990284</v>
      </c>
      <c r="AV199">
        <v>0.95185525912296853</v>
      </c>
      <c r="AW199" s="62">
        <v>70.704999999999998</v>
      </c>
      <c r="AX199">
        <v>8.9176000000000002</v>
      </c>
      <c r="AY199">
        <v>1</v>
      </c>
      <c r="AZ199">
        <v>5960.503435912874</v>
      </c>
      <c r="BA199">
        <v>1.081469419077697</v>
      </c>
      <c r="BB199" s="62">
        <v>6446.1022000000003</v>
      </c>
      <c r="BC199" s="60">
        <v>1308.4288222189671</v>
      </c>
    </row>
    <row r="200" spans="1:55" x14ac:dyDescent="0.25">
      <c r="A200">
        <v>27255</v>
      </c>
      <c r="B200" t="s">
        <v>142</v>
      </c>
      <c r="C200">
        <v>2017</v>
      </c>
      <c r="D200">
        <v>7</v>
      </c>
      <c r="E200" t="s">
        <v>51</v>
      </c>
      <c r="F200" t="s">
        <v>449</v>
      </c>
      <c r="G200" t="s">
        <v>84</v>
      </c>
      <c r="H200" t="s">
        <v>381</v>
      </c>
      <c r="I200" t="s">
        <v>427</v>
      </c>
      <c r="J200">
        <v>-4.4307758899999996</v>
      </c>
      <c r="K200" t="s">
        <v>440</v>
      </c>
      <c r="L200" t="s">
        <v>385</v>
      </c>
      <c r="M200">
        <v>0.43232641346992001</v>
      </c>
      <c r="N200">
        <v>1.915541451084571</v>
      </c>
      <c r="O200">
        <v>29976.978999999999</v>
      </c>
      <c r="P200">
        <v>1.6679465999999999E-5</v>
      </c>
      <c r="Q200">
        <v>1</v>
      </c>
      <c r="R200" s="60">
        <v>1.915541451084571</v>
      </c>
      <c r="S200" t="s">
        <v>336</v>
      </c>
      <c r="T200" t="s">
        <v>433</v>
      </c>
      <c r="U200" t="s">
        <v>425</v>
      </c>
      <c r="V200" t="s">
        <v>27</v>
      </c>
      <c r="W200">
        <v>111.133</v>
      </c>
      <c r="X200">
        <v>0.99819678194932504</v>
      </c>
      <c r="Y200">
        <v>110.9326029683743</v>
      </c>
      <c r="Z200">
        <v>682.07</v>
      </c>
      <c r="AA200">
        <v>1</v>
      </c>
      <c r="AB200">
        <v>75.663800506639092</v>
      </c>
      <c r="AC200">
        <v>0.99739999999999995</v>
      </c>
      <c r="AD200" s="62">
        <v>75.466999999999999</v>
      </c>
      <c r="AE200">
        <v>8.9176000000000002</v>
      </c>
      <c r="AF200">
        <v>8.9015196227113016</v>
      </c>
      <c r="AG200">
        <v>1</v>
      </c>
      <c r="AH200">
        <v>6071.4594890626977</v>
      </c>
      <c r="AI200">
        <v>1.0108695652173909</v>
      </c>
      <c r="AJ200" s="62">
        <v>6137.4535999999998</v>
      </c>
      <c r="AK200" s="60">
        <v>11756.54677490822</v>
      </c>
      <c r="AL200" t="s">
        <v>342</v>
      </c>
      <c r="AM200" t="s">
        <v>434</v>
      </c>
      <c r="AN200" t="s">
        <v>425</v>
      </c>
      <c r="AO200" t="s">
        <v>27</v>
      </c>
      <c r="AP200">
        <v>111.133</v>
      </c>
      <c r="AQ200">
        <v>1.0155396203574489</v>
      </c>
      <c r="AR200">
        <v>112.8599646291844</v>
      </c>
      <c r="AS200">
        <v>658.17</v>
      </c>
      <c r="AT200">
        <v>1</v>
      </c>
      <c r="AU200">
        <v>74.281042919990284</v>
      </c>
      <c r="AV200">
        <v>1.0016354901359501</v>
      </c>
      <c r="AW200" s="62">
        <v>74.403000000000006</v>
      </c>
      <c r="AX200">
        <v>8.9176000000000002</v>
      </c>
      <c r="AY200">
        <v>1</v>
      </c>
      <c r="AZ200">
        <v>5960.503435912874</v>
      </c>
      <c r="BA200">
        <v>1.016194415745886</v>
      </c>
      <c r="BB200" s="62">
        <v>6057.0303000000004</v>
      </c>
      <c r="BC200" s="60">
        <v>11602.492610125209</v>
      </c>
    </row>
    <row r="201" spans="1:55" x14ac:dyDescent="0.25">
      <c r="A201">
        <v>27256</v>
      </c>
      <c r="B201" t="s">
        <v>142</v>
      </c>
      <c r="C201">
        <v>2017</v>
      </c>
      <c r="D201">
        <v>7</v>
      </c>
      <c r="E201" t="s">
        <v>51</v>
      </c>
      <c r="F201" t="s">
        <v>449</v>
      </c>
      <c r="G201" t="s">
        <v>84</v>
      </c>
      <c r="H201" t="s">
        <v>381</v>
      </c>
      <c r="I201" t="s">
        <v>427</v>
      </c>
      <c r="J201">
        <v>-4.4307758899999996</v>
      </c>
      <c r="K201" t="s">
        <v>440</v>
      </c>
      <c r="L201" t="s">
        <v>451</v>
      </c>
      <c r="M201">
        <v>1.6825115802299999E-3</v>
      </c>
      <c r="N201">
        <v>7.4548317508354358E-3</v>
      </c>
      <c r="O201">
        <v>29976.978999999999</v>
      </c>
      <c r="P201">
        <v>1.6679465999999999E-5</v>
      </c>
      <c r="Q201">
        <v>1</v>
      </c>
      <c r="R201" s="60">
        <v>7.4548317508354358E-3</v>
      </c>
      <c r="S201" t="s">
        <v>336</v>
      </c>
      <c r="T201" t="s">
        <v>433</v>
      </c>
      <c r="U201" t="s">
        <v>425</v>
      </c>
      <c r="V201" t="s">
        <v>91</v>
      </c>
      <c r="W201">
        <v>111.133</v>
      </c>
      <c r="X201">
        <v>0.99819678194932504</v>
      </c>
      <c r="Y201">
        <v>110.9326029683743</v>
      </c>
      <c r="Z201">
        <v>682.07</v>
      </c>
      <c r="AA201">
        <v>1</v>
      </c>
      <c r="AB201">
        <v>75.663800506639092</v>
      </c>
      <c r="AC201">
        <v>1.0269999999999999</v>
      </c>
      <c r="AD201" s="62">
        <v>77.706999999999994</v>
      </c>
      <c r="AE201">
        <v>8.9176000000000002</v>
      </c>
      <c r="AF201">
        <v>8.9015196227113016</v>
      </c>
      <c r="AG201">
        <v>1</v>
      </c>
      <c r="AH201">
        <v>6071.4594890626977</v>
      </c>
      <c r="AI201">
        <v>0.98496680983990625</v>
      </c>
      <c r="AJ201" s="62">
        <v>5980.1860999999999</v>
      </c>
      <c r="AK201" s="60">
        <v>44.581281214184727</v>
      </c>
      <c r="AL201" t="s">
        <v>342</v>
      </c>
      <c r="AM201" t="s">
        <v>434</v>
      </c>
      <c r="AN201" t="s">
        <v>425</v>
      </c>
      <c r="AO201" t="s">
        <v>91</v>
      </c>
      <c r="AP201">
        <v>111.133</v>
      </c>
      <c r="AQ201">
        <v>1.0155396203574489</v>
      </c>
      <c r="AR201">
        <v>112.8599646291844</v>
      </c>
      <c r="AS201">
        <v>658.17</v>
      </c>
      <c r="AT201">
        <v>1</v>
      </c>
      <c r="AU201">
        <v>74.281042919990284</v>
      </c>
      <c r="AV201">
        <v>1.02984769498109</v>
      </c>
      <c r="AW201" s="62">
        <v>76.498000000000005</v>
      </c>
      <c r="AX201">
        <v>8.9176000000000002</v>
      </c>
      <c r="AY201">
        <v>1</v>
      </c>
      <c r="AZ201">
        <v>5960.503435912874</v>
      </c>
      <c r="BA201">
        <v>0.9935711161666545</v>
      </c>
      <c r="BB201" s="62">
        <v>5922.1841000000004</v>
      </c>
      <c r="BC201" s="60">
        <v>44.148886062972792</v>
      </c>
    </row>
    <row r="202" spans="1:55" x14ac:dyDescent="0.25">
      <c r="A202">
        <v>27257</v>
      </c>
      <c r="B202" t="s">
        <v>142</v>
      </c>
      <c r="C202">
        <v>2017</v>
      </c>
      <c r="D202">
        <v>7</v>
      </c>
      <c r="E202" t="s">
        <v>51</v>
      </c>
      <c r="F202" t="s">
        <v>449</v>
      </c>
      <c r="G202" t="s">
        <v>84</v>
      </c>
      <c r="H202" t="s">
        <v>381</v>
      </c>
      <c r="I202" t="s">
        <v>427</v>
      </c>
      <c r="J202">
        <v>-4.4307758899999996</v>
      </c>
      <c r="K202" t="s">
        <v>440</v>
      </c>
      <c r="L202" t="s">
        <v>452</v>
      </c>
      <c r="M202">
        <v>1.53682162831E-3</v>
      </c>
      <c r="N202">
        <v>6.8093122238896331E-3</v>
      </c>
      <c r="O202">
        <v>29976.978999999999</v>
      </c>
      <c r="P202">
        <v>1.6679465999999999E-5</v>
      </c>
      <c r="Q202">
        <v>1</v>
      </c>
      <c r="R202" s="60">
        <v>6.8093122238896331E-3</v>
      </c>
      <c r="S202" t="s">
        <v>336</v>
      </c>
      <c r="T202" t="s">
        <v>433</v>
      </c>
      <c r="U202" t="s">
        <v>425</v>
      </c>
      <c r="V202" t="s">
        <v>28</v>
      </c>
      <c r="W202">
        <v>111.133</v>
      </c>
      <c r="X202">
        <v>0.99819678194932504</v>
      </c>
      <c r="Y202">
        <v>110.9326029683743</v>
      </c>
      <c r="Z202">
        <v>682.07</v>
      </c>
      <c r="AA202">
        <v>1</v>
      </c>
      <c r="AB202">
        <v>75.663800506639092</v>
      </c>
      <c r="AC202">
        <v>1.0196000000000001</v>
      </c>
      <c r="AD202" s="62">
        <v>77.147000000000006</v>
      </c>
      <c r="AE202">
        <v>8.9176000000000002</v>
      </c>
      <c r="AF202">
        <v>8.9015196227113016</v>
      </c>
      <c r="AG202">
        <v>1</v>
      </c>
      <c r="AH202">
        <v>6071.4594890626977</v>
      </c>
      <c r="AI202">
        <v>0.97991730655640863</v>
      </c>
      <c r="AJ202" s="62">
        <v>5949.5281999999997</v>
      </c>
      <c r="AK202" s="60">
        <v>40.512195098636077</v>
      </c>
      <c r="AL202" t="s">
        <v>342</v>
      </c>
      <c r="AM202" t="s">
        <v>434</v>
      </c>
      <c r="AN202" t="s">
        <v>425</v>
      </c>
      <c r="AO202" t="s">
        <v>28</v>
      </c>
      <c r="AP202">
        <v>111.133</v>
      </c>
      <c r="AQ202">
        <v>1.0155396203574489</v>
      </c>
      <c r="AR202">
        <v>112.8599646291844</v>
      </c>
      <c r="AS202">
        <v>658.17</v>
      </c>
      <c r="AT202">
        <v>1</v>
      </c>
      <c r="AU202">
        <v>74.281042919990284</v>
      </c>
      <c r="AV202">
        <v>1.0451804150056221</v>
      </c>
      <c r="AW202" s="62">
        <v>77.637</v>
      </c>
      <c r="AX202">
        <v>8.9176000000000002</v>
      </c>
      <c r="AY202">
        <v>1</v>
      </c>
      <c r="AZ202">
        <v>5960.503435912874</v>
      </c>
      <c r="BA202">
        <v>1.0071061377552519</v>
      </c>
      <c r="BB202" s="62">
        <v>6002.8595999999998</v>
      </c>
      <c r="BC202" s="60">
        <v>40.875345252573233</v>
      </c>
    </row>
    <row r="203" spans="1:55" x14ac:dyDescent="0.25">
      <c r="A203">
        <v>27258</v>
      </c>
      <c r="B203" t="s">
        <v>142</v>
      </c>
      <c r="C203">
        <v>2017</v>
      </c>
      <c r="D203">
        <v>7</v>
      </c>
      <c r="E203" t="s">
        <v>51</v>
      </c>
      <c r="F203" t="s">
        <v>449</v>
      </c>
      <c r="G203" t="s">
        <v>84</v>
      </c>
      <c r="H203" t="s">
        <v>87</v>
      </c>
      <c r="I203" t="s">
        <v>427</v>
      </c>
      <c r="J203">
        <v>-0.83753834000000005</v>
      </c>
      <c r="K203" t="s">
        <v>440</v>
      </c>
      <c r="L203" t="s">
        <v>450</v>
      </c>
      <c r="M203">
        <v>0.26601384014995</v>
      </c>
      <c r="N203">
        <v>0.22279679003840211</v>
      </c>
      <c r="O203">
        <v>29976.978999999999</v>
      </c>
      <c r="P203">
        <v>1.6679465999999999E-5</v>
      </c>
      <c r="Q203">
        <v>1</v>
      </c>
      <c r="R203" s="60">
        <v>0.22279679003840211</v>
      </c>
      <c r="S203" t="s">
        <v>336</v>
      </c>
      <c r="T203" t="s">
        <v>433</v>
      </c>
      <c r="U203" t="s">
        <v>425</v>
      </c>
      <c r="V203" t="s">
        <v>26</v>
      </c>
      <c r="W203">
        <v>111.133</v>
      </c>
      <c r="X203">
        <v>0.99819678194932504</v>
      </c>
      <c r="Y203">
        <v>110.9326029683743</v>
      </c>
      <c r="Z203">
        <v>682.07</v>
      </c>
      <c r="AA203">
        <v>1</v>
      </c>
      <c r="AB203">
        <v>75.663800506639092</v>
      </c>
      <c r="AC203">
        <v>1.0178</v>
      </c>
      <c r="AD203" s="62">
        <v>77.010999999999996</v>
      </c>
      <c r="AE203">
        <v>8.9176000000000002</v>
      </c>
      <c r="AF203">
        <v>8.9015196227113016</v>
      </c>
      <c r="AG203">
        <v>1</v>
      </c>
      <c r="AH203">
        <v>6071.4594890626977</v>
      </c>
      <c r="AI203">
        <v>1.0020831266739409</v>
      </c>
      <c r="AJ203" s="62">
        <v>6084.1071000000002</v>
      </c>
      <c r="AK203" s="60">
        <v>1355.519532129852</v>
      </c>
      <c r="AL203" t="s">
        <v>342</v>
      </c>
      <c r="AM203" t="s">
        <v>434</v>
      </c>
      <c r="AN203" t="s">
        <v>425</v>
      </c>
      <c r="AO203" t="s">
        <v>26</v>
      </c>
      <c r="AP203">
        <v>111.133</v>
      </c>
      <c r="AQ203">
        <v>1.0155396203574489</v>
      </c>
      <c r="AR203">
        <v>112.8599646291844</v>
      </c>
      <c r="AS203">
        <v>658.17</v>
      </c>
      <c r="AT203">
        <v>1</v>
      </c>
      <c r="AU203">
        <v>74.281042919990284</v>
      </c>
      <c r="AV203">
        <v>1.012368394153123</v>
      </c>
      <c r="AW203" s="62">
        <v>75.2</v>
      </c>
      <c r="AX203">
        <v>8.9176000000000002</v>
      </c>
      <c r="AY203">
        <v>1</v>
      </c>
      <c r="AZ203">
        <v>5960.503435912874</v>
      </c>
      <c r="BA203">
        <v>0.99404987733863315</v>
      </c>
      <c r="BB203" s="62">
        <v>5925.0376999999999</v>
      </c>
      <c r="BC203" s="60">
        <v>1320.0793804165171</v>
      </c>
    </row>
    <row r="204" spans="1:55" x14ac:dyDescent="0.25">
      <c r="A204">
        <v>27259</v>
      </c>
      <c r="B204" t="s">
        <v>142</v>
      </c>
      <c r="C204">
        <v>2017</v>
      </c>
      <c r="D204">
        <v>7</v>
      </c>
      <c r="E204" t="s">
        <v>51</v>
      </c>
      <c r="F204" t="s">
        <v>449</v>
      </c>
      <c r="G204" t="s">
        <v>84</v>
      </c>
      <c r="H204" t="s">
        <v>87</v>
      </c>
      <c r="I204" t="s">
        <v>427</v>
      </c>
      <c r="J204">
        <v>-0.83753834000000005</v>
      </c>
      <c r="K204" t="s">
        <v>440</v>
      </c>
      <c r="L204" t="s">
        <v>384</v>
      </c>
      <c r="M204">
        <v>3.9509559941419997E-2</v>
      </c>
      <c r="N204">
        <v>3.3090771238880858E-2</v>
      </c>
      <c r="O204">
        <v>29976.978999999999</v>
      </c>
      <c r="P204">
        <v>1.6679465999999999E-5</v>
      </c>
      <c r="Q204">
        <v>1</v>
      </c>
      <c r="R204" s="60">
        <v>3.3090771238880858E-2</v>
      </c>
      <c r="S204" t="s">
        <v>336</v>
      </c>
      <c r="T204" t="s">
        <v>433</v>
      </c>
      <c r="U204" t="s">
        <v>425</v>
      </c>
      <c r="V204" t="s">
        <v>81</v>
      </c>
      <c r="W204">
        <v>111.133</v>
      </c>
      <c r="X204">
        <v>0.99819678194932504</v>
      </c>
      <c r="Y204">
        <v>110.9326029683743</v>
      </c>
      <c r="Z204">
        <v>682.07</v>
      </c>
      <c r="AA204">
        <v>1</v>
      </c>
      <c r="AB204">
        <v>75.663800506639092</v>
      </c>
      <c r="AC204">
        <v>0.92979999999999996</v>
      </c>
      <c r="AD204" s="62">
        <v>70.352000000000004</v>
      </c>
      <c r="AE204">
        <v>8.9176000000000002</v>
      </c>
      <c r="AF204">
        <v>8.9015196227113016</v>
      </c>
      <c r="AG204">
        <v>1</v>
      </c>
      <c r="AH204">
        <v>6071.4594890626977</v>
      </c>
      <c r="AI204">
        <v>1.0375922509225091</v>
      </c>
      <c r="AJ204" s="62">
        <v>6299.6993000000002</v>
      </c>
      <c r="AK204" s="60">
        <v>208.46190841003789</v>
      </c>
      <c r="AL204" t="s">
        <v>342</v>
      </c>
      <c r="AM204" t="s">
        <v>434</v>
      </c>
      <c r="AN204" t="s">
        <v>425</v>
      </c>
      <c r="AO204" t="s">
        <v>81</v>
      </c>
      <c r="AP204">
        <v>111.133</v>
      </c>
      <c r="AQ204">
        <v>1.0155396203574489</v>
      </c>
      <c r="AR204">
        <v>112.8599646291844</v>
      </c>
      <c r="AS204">
        <v>658.17</v>
      </c>
      <c r="AT204">
        <v>1</v>
      </c>
      <c r="AU204">
        <v>74.281042919990284</v>
      </c>
      <c r="AV204">
        <v>0.95185525912296853</v>
      </c>
      <c r="AW204" s="62">
        <v>70.704999999999998</v>
      </c>
      <c r="AX204">
        <v>8.9176000000000002</v>
      </c>
      <c r="AY204">
        <v>1</v>
      </c>
      <c r="AZ204">
        <v>5960.503435912874</v>
      </c>
      <c r="BA204">
        <v>1.081469419077697</v>
      </c>
      <c r="BB204" s="62">
        <v>6446.1022000000003</v>
      </c>
      <c r="BC204" s="60">
        <v>213.30649328264661</v>
      </c>
    </row>
    <row r="205" spans="1:55" x14ac:dyDescent="0.25">
      <c r="A205">
        <v>27260</v>
      </c>
      <c r="B205" t="s">
        <v>142</v>
      </c>
      <c r="C205">
        <v>2017</v>
      </c>
      <c r="D205">
        <v>7</v>
      </c>
      <c r="E205" t="s">
        <v>51</v>
      </c>
      <c r="F205" t="s">
        <v>449</v>
      </c>
      <c r="G205" t="s">
        <v>84</v>
      </c>
      <c r="H205" t="s">
        <v>87</v>
      </c>
      <c r="I205" t="s">
        <v>427</v>
      </c>
      <c r="J205">
        <v>-0.83753834000000005</v>
      </c>
      <c r="K205" t="s">
        <v>440</v>
      </c>
      <c r="L205" t="s">
        <v>385</v>
      </c>
      <c r="M205">
        <v>0.39737542925016001</v>
      </c>
      <c r="N205">
        <v>0.33281715728460548</v>
      </c>
      <c r="O205">
        <v>29976.978999999999</v>
      </c>
      <c r="P205">
        <v>1.6679465999999999E-5</v>
      </c>
      <c r="Q205">
        <v>1</v>
      </c>
      <c r="R205" s="60">
        <v>0.33281715728460548</v>
      </c>
      <c r="S205" t="s">
        <v>336</v>
      </c>
      <c r="T205" t="s">
        <v>433</v>
      </c>
      <c r="U205" t="s">
        <v>425</v>
      </c>
      <c r="V205" t="s">
        <v>27</v>
      </c>
      <c r="W205">
        <v>111.133</v>
      </c>
      <c r="X205">
        <v>0.99819678194932504</v>
      </c>
      <c r="Y205">
        <v>110.9326029683743</v>
      </c>
      <c r="Z205">
        <v>682.07</v>
      </c>
      <c r="AA205">
        <v>1</v>
      </c>
      <c r="AB205">
        <v>75.663800506639092</v>
      </c>
      <c r="AC205">
        <v>0.99739999999999995</v>
      </c>
      <c r="AD205" s="62">
        <v>75.466999999999999</v>
      </c>
      <c r="AE205">
        <v>8.9176000000000002</v>
      </c>
      <c r="AF205">
        <v>8.9015196227113016</v>
      </c>
      <c r="AG205">
        <v>1</v>
      </c>
      <c r="AH205">
        <v>6071.4594890626977</v>
      </c>
      <c r="AI205">
        <v>1.0108695652173909</v>
      </c>
      <c r="AJ205" s="62">
        <v>6137.4535999999998</v>
      </c>
      <c r="AK205" s="60">
        <v>2042.6498601181679</v>
      </c>
      <c r="AL205" t="s">
        <v>342</v>
      </c>
      <c r="AM205" t="s">
        <v>434</v>
      </c>
      <c r="AN205" t="s">
        <v>425</v>
      </c>
      <c r="AO205" t="s">
        <v>27</v>
      </c>
      <c r="AP205">
        <v>111.133</v>
      </c>
      <c r="AQ205">
        <v>1.0155396203574489</v>
      </c>
      <c r="AR205">
        <v>112.8599646291844</v>
      </c>
      <c r="AS205">
        <v>658.17</v>
      </c>
      <c r="AT205">
        <v>1</v>
      </c>
      <c r="AU205">
        <v>74.281042919990284</v>
      </c>
      <c r="AV205">
        <v>1.0016354901359501</v>
      </c>
      <c r="AW205" s="62">
        <v>74.403000000000006</v>
      </c>
      <c r="AX205">
        <v>8.9176000000000002</v>
      </c>
      <c r="AY205">
        <v>1</v>
      </c>
      <c r="AZ205">
        <v>5960.503435912874</v>
      </c>
      <c r="BA205">
        <v>1.016194415745886</v>
      </c>
      <c r="BB205" s="62">
        <v>6057.0303000000004</v>
      </c>
      <c r="BC205" s="60">
        <v>2015.8836060327219</v>
      </c>
    </row>
    <row r="206" spans="1:55" x14ac:dyDescent="0.25">
      <c r="A206">
        <v>27261</v>
      </c>
      <c r="B206" t="s">
        <v>142</v>
      </c>
      <c r="C206">
        <v>2017</v>
      </c>
      <c r="D206">
        <v>7</v>
      </c>
      <c r="E206" t="s">
        <v>51</v>
      </c>
      <c r="F206" t="s">
        <v>449</v>
      </c>
      <c r="G206" t="s">
        <v>84</v>
      </c>
      <c r="H206" t="s">
        <v>87</v>
      </c>
      <c r="I206" t="s">
        <v>427</v>
      </c>
      <c r="J206">
        <v>-0.83753834000000005</v>
      </c>
      <c r="K206" t="s">
        <v>440</v>
      </c>
      <c r="L206" t="s">
        <v>452</v>
      </c>
      <c r="M206">
        <v>8.4248020759000004E-4</v>
      </c>
      <c r="N206">
        <v>7.0560947436468918E-4</v>
      </c>
      <c r="O206">
        <v>29976.978999999999</v>
      </c>
      <c r="P206">
        <v>1.6679465999999999E-5</v>
      </c>
      <c r="Q206">
        <v>1</v>
      </c>
      <c r="R206" s="60">
        <v>7.0560947436468918E-4</v>
      </c>
      <c r="S206" t="s">
        <v>336</v>
      </c>
      <c r="T206" t="s">
        <v>433</v>
      </c>
      <c r="U206" t="s">
        <v>425</v>
      </c>
      <c r="V206" t="s">
        <v>28</v>
      </c>
      <c r="W206">
        <v>111.133</v>
      </c>
      <c r="X206">
        <v>0.99819678194932504</v>
      </c>
      <c r="Y206">
        <v>110.9326029683743</v>
      </c>
      <c r="Z206">
        <v>682.07</v>
      </c>
      <c r="AA206">
        <v>1</v>
      </c>
      <c r="AB206">
        <v>75.663800506639092</v>
      </c>
      <c r="AC206">
        <v>1.0196000000000001</v>
      </c>
      <c r="AD206" s="62">
        <v>77.147000000000006</v>
      </c>
      <c r="AE206">
        <v>8.9176000000000002</v>
      </c>
      <c r="AF206">
        <v>8.9015196227113016</v>
      </c>
      <c r="AG206">
        <v>1</v>
      </c>
      <c r="AH206">
        <v>6071.4594890626977</v>
      </c>
      <c r="AI206">
        <v>0.97991730655640863</v>
      </c>
      <c r="AJ206" s="62">
        <v>5949.5281999999997</v>
      </c>
      <c r="AK206" s="60">
        <v>4.1980434659198949</v>
      </c>
      <c r="AL206" t="s">
        <v>342</v>
      </c>
      <c r="AM206" t="s">
        <v>434</v>
      </c>
      <c r="AN206" t="s">
        <v>425</v>
      </c>
      <c r="AO206" t="s">
        <v>28</v>
      </c>
      <c r="AP206">
        <v>111.133</v>
      </c>
      <c r="AQ206">
        <v>1.0155396203574489</v>
      </c>
      <c r="AR206">
        <v>112.8599646291844</v>
      </c>
      <c r="AS206">
        <v>658.17</v>
      </c>
      <c r="AT206">
        <v>1</v>
      </c>
      <c r="AU206">
        <v>74.281042919990284</v>
      </c>
      <c r="AV206">
        <v>1.0451804150056221</v>
      </c>
      <c r="AW206" s="62">
        <v>77.637</v>
      </c>
      <c r="AX206">
        <v>8.9176000000000002</v>
      </c>
      <c r="AY206">
        <v>1</v>
      </c>
      <c r="AZ206">
        <v>5960.503435912874</v>
      </c>
      <c r="BA206">
        <v>1.0071061377552519</v>
      </c>
      <c r="BB206" s="62">
        <v>6002.8595999999998</v>
      </c>
      <c r="BC206" s="60">
        <v>4.2356746070410276</v>
      </c>
    </row>
    <row r="207" spans="1:55" x14ac:dyDescent="0.25">
      <c r="A207">
        <v>27262</v>
      </c>
      <c r="B207" t="s">
        <v>142</v>
      </c>
      <c r="C207">
        <v>2017</v>
      </c>
      <c r="D207">
        <v>7</v>
      </c>
      <c r="E207" t="s">
        <v>51</v>
      </c>
      <c r="F207" t="s">
        <v>449</v>
      </c>
      <c r="G207" t="s">
        <v>84</v>
      </c>
      <c r="H207" t="s">
        <v>59</v>
      </c>
      <c r="I207" t="s">
        <v>427</v>
      </c>
      <c r="J207">
        <v>-2.6275700400000002</v>
      </c>
      <c r="K207" t="s">
        <v>440</v>
      </c>
      <c r="L207" t="s">
        <v>450</v>
      </c>
      <c r="M207">
        <v>0.15931709696460999</v>
      </c>
      <c r="N207">
        <v>0.41861683014797862</v>
      </c>
      <c r="O207">
        <v>29976.978999999999</v>
      </c>
      <c r="P207">
        <v>1.6679465999999999E-5</v>
      </c>
      <c r="Q207">
        <v>1</v>
      </c>
      <c r="R207" s="60">
        <v>0.41861683014797862</v>
      </c>
      <c r="S207" t="s">
        <v>336</v>
      </c>
      <c r="T207" t="s">
        <v>433</v>
      </c>
      <c r="U207" t="s">
        <v>425</v>
      </c>
      <c r="V207" t="s">
        <v>26</v>
      </c>
      <c r="W207">
        <v>111.133</v>
      </c>
      <c r="X207">
        <v>0.99819678194932504</v>
      </c>
      <c r="Y207">
        <v>110.9326029683743</v>
      </c>
      <c r="Z207">
        <v>682.07</v>
      </c>
      <c r="AA207">
        <v>1</v>
      </c>
      <c r="AB207">
        <v>75.663800506639092</v>
      </c>
      <c r="AC207">
        <v>1.0178</v>
      </c>
      <c r="AD207" s="62">
        <v>77.010999999999996</v>
      </c>
      <c r="AE207">
        <v>8.9176000000000002</v>
      </c>
      <c r="AF207">
        <v>8.9015196227113016</v>
      </c>
      <c r="AG207">
        <v>1</v>
      </c>
      <c r="AH207">
        <v>6071.4594890626977</v>
      </c>
      <c r="AI207">
        <v>1.0020831266739409</v>
      </c>
      <c r="AJ207" s="62">
        <v>6084.1071000000002</v>
      </c>
      <c r="AK207" s="60">
        <v>2546.9096284828111</v>
      </c>
      <c r="AL207" t="s">
        <v>342</v>
      </c>
      <c r="AM207" t="s">
        <v>434</v>
      </c>
      <c r="AN207" t="s">
        <v>425</v>
      </c>
      <c r="AO207" t="s">
        <v>26</v>
      </c>
      <c r="AP207">
        <v>111.133</v>
      </c>
      <c r="AQ207">
        <v>1.0155396203574489</v>
      </c>
      <c r="AR207">
        <v>112.8599646291844</v>
      </c>
      <c r="AS207">
        <v>658.17</v>
      </c>
      <c r="AT207">
        <v>1</v>
      </c>
      <c r="AU207">
        <v>74.281042919990284</v>
      </c>
      <c r="AV207">
        <v>1.012368394153123</v>
      </c>
      <c r="AW207" s="62">
        <v>75.2</v>
      </c>
      <c r="AX207">
        <v>8.9176000000000002</v>
      </c>
      <c r="AY207">
        <v>1</v>
      </c>
      <c r="AZ207">
        <v>5960.503435912874</v>
      </c>
      <c r="BA207">
        <v>0.99404987733863315</v>
      </c>
      <c r="BB207" s="62">
        <v>5925.0376999999999</v>
      </c>
      <c r="BC207" s="60">
        <v>2480.3205004812689</v>
      </c>
    </row>
    <row r="208" spans="1:55" x14ac:dyDescent="0.25">
      <c r="A208">
        <v>27263</v>
      </c>
      <c r="B208" t="s">
        <v>142</v>
      </c>
      <c r="C208">
        <v>2017</v>
      </c>
      <c r="D208">
        <v>7</v>
      </c>
      <c r="E208" t="s">
        <v>51</v>
      </c>
      <c r="F208" t="s">
        <v>449</v>
      </c>
      <c r="G208" t="s">
        <v>84</v>
      </c>
      <c r="H208" t="s">
        <v>59</v>
      </c>
      <c r="I208" t="s">
        <v>427</v>
      </c>
      <c r="J208">
        <v>-2.6275700400000002</v>
      </c>
      <c r="K208" t="s">
        <v>440</v>
      </c>
      <c r="L208" t="s">
        <v>384</v>
      </c>
      <c r="M208">
        <v>4.1785183859599999E-2</v>
      </c>
      <c r="N208">
        <v>0.1097934970428304</v>
      </c>
      <c r="O208">
        <v>29976.978999999999</v>
      </c>
      <c r="P208">
        <v>1.6679465999999999E-5</v>
      </c>
      <c r="Q208">
        <v>1</v>
      </c>
      <c r="R208" s="60">
        <v>0.1097934970428304</v>
      </c>
      <c r="S208" t="s">
        <v>336</v>
      </c>
      <c r="T208" t="s">
        <v>433</v>
      </c>
      <c r="U208" t="s">
        <v>425</v>
      </c>
      <c r="V208" t="s">
        <v>81</v>
      </c>
      <c r="W208">
        <v>111.133</v>
      </c>
      <c r="X208">
        <v>0.99819678194932504</v>
      </c>
      <c r="Y208">
        <v>110.9326029683743</v>
      </c>
      <c r="Z208">
        <v>682.07</v>
      </c>
      <c r="AA208">
        <v>1</v>
      </c>
      <c r="AB208">
        <v>75.663800506639092</v>
      </c>
      <c r="AC208">
        <v>0.92979999999999996</v>
      </c>
      <c r="AD208" s="62">
        <v>70.352000000000004</v>
      </c>
      <c r="AE208">
        <v>8.9176000000000002</v>
      </c>
      <c r="AF208">
        <v>8.9015196227113016</v>
      </c>
      <c r="AG208">
        <v>1</v>
      </c>
      <c r="AH208">
        <v>6071.4594890626977</v>
      </c>
      <c r="AI208">
        <v>1.0375922509225091</v>
      </c>
      <c r="AJ208" s="62">
        <v>6299.6993000000002</v>
      </c>
      <c r="AK208" s="60">
        <v>691.66601646527056</v>
      </c>
      <c r="AL208" t="s">
        <v>342</v>
      </c>
      <c r="AM208" t="s">
        <v>434</v>
      </c>
      <c r="AN208" t="s">
        <v>425</v>
      </c>
      <c r="AO208" t="s">
        <v>81</v>
      </c>
      <c r="AP208">
        <v>111.133</v>
      </c>
      <c r="AQ208">
        <v>1.0155396203574489</v>
      </c>
      <c r="AR208">
        <v>112.8599646291844</v>
      </c>
      <c r="AS208">
        <v>658.17</v>
      </c>
      <c r="AT208">
        <v>1</v>
      </c>
      <c r="AU208">
        <v>74.281042919990284</v>
      </c>
      <c r="AV208">
        <v>0.95185525912296853</v>
      </c>
      <c r="AW208" s="62">
        <v>70.704999999999998</v>
      </c>
      <c r="AX208">
        <v>8.9176000000000002</v>
      </c>
      <c r="AY208">
        <v>1</v>
      </c>
      <c r="AZ208">
        <v>5960.503435912874</v>
      </c>
      <c r="BA208">
        <v>1.081469419077697</v>
      </c>
      <c r="BB208" s="62">
        <v>6446.1022000000003</v>
      </c>
      <c r="BC208" s="60">
        <v>707.74010283348241</v>
      </c>
    </row>
    <row r="209" spans="1:55" x14ac:dyDescent="0.25">
      <c r="A209">
        <v>27264</v>
      </c>
      <c r="B209" t="s">
        <v>142</v>
      </c>
      <c r="C209">
        <v>2017</v>
      </c>
      <c r="D209">
        <v>7</v>
      </c>
      <c r="E209" t="s">
        <v>51</v>
      </c>
      <c r="F209" t="s">
        <v>449</v>
      </c>
      <c r="G209" t="s">
        <v>84</v>
      </c>
      <c r="H209" t="s">
        <v>59</v>
      </c>
      <c r="I209" t="s">
        <v>427</v>
      </c>
      <c r="J209">
        <v>-2.6275700400000002</v>
      </c>
      <c r="K209" t="s">
        <v>440</v>
      </c>
      <c r="L209" t="s">
        <v>385</v>
      </c>
      <c r="M209">
        <v>0.43497567483749999</v>
      </c>
      <c r="N209">
        <v>1.142929049431527</v>
      </c>
      <c r="O209">
        <v>29976.978999999999</v>
      </c>
      <c r="P209">
        <v>1.6679465999999999E-5</v>
      </c>
      <c r="Q209">
        <v>1</v>
      </c>
      <c r="R209" s="60">
        <v>1.142929049431527</v>
      </c>
      <c r="S209" t="s">
        <v>336</v>
      </c>
      <c r="T209" t="s">
        <v>433</v>
      </c>
      <c r="U209" t="s">
        <v>425</v>
      </c>
      <c r="V209" t="s">
        <v>27</v>
      </c>
      <c r="W209">
        <v>111.133</v>
      </c>
      <c r="X209">
        <v>0.99819678194932504</v>
      </c>
      <c r="Y209">
        <v>110.9326029683743</v>
      </c>
      <c r="Z209">
        <v>682.07</v>
      </c>
      <c r="AA209">
        <v>1</v>
      </c>
      <c r="AB209">
        <v>75.663800506639092</v>
      </c>
      <c r="AC209">
        <v>0.99739999999999995</v>
      </c>
      <c r="AD209" s="62">
        <v>75.466999999999999</v>
      </c>
      <c r="AE209">
        <v>8.9176000000000002</v>
      </c>
      <c r="AF209">
        <v>8.9015196227113016</v>
      </c>
      <c r="AG209">
        <v>1</v>
      </c>
      <c r="AH209">
        <v>6071.4594890626977</v>
      </c>
      <c r="AI209">
        <v>1.0108695652173909</v>
      </c>
      <c r="AJ209" s="62">
        <v>6137.4535999999998</v>
      </c>
      <c r="AK209" s="60">
        <v>7014.6740089781006</v>
      </c>
      <c r="AL209" t="s">
        <v>342</v>
      </c>
      <c r="AM209" t="s">
        <v>434</v>
      </c>
      <c r="AN209" t="s">
        <v>425</v>
      </c>
      <c r="AO209" t="s">
        <v>27</v>
      </c>
      <c r="AP209">
        <v>111.133</v>
      </c>
      <c r="AQ209">
        <v>1.0155396203574489</v>
      </c>
      <c r="AR209">
        <v>112.8599646291844</v>
      </c>
      <c r="AS209">
        <v>658.17</v>
      </c>
      <c r="AT209">
        <v>1</v>
      </c>
      <c r="AU209">
        <v>74.281042919990284</v>
      </c>
      <c r="AV209">
        <v>1.0016354901359501</v>
      </c>
      <c r="AW209" s="62">
        <v>74.403000000000006</v>
      </c>
      <c r="AX209">
        <v>8.9176000000000002</v>
      </c>
      <c r="AY209">
        <v>1</v>
      </c>
      <c r="AZ209">
        <v>5960.503435912874</v>
      </c>
      <c r="BA209">
        <v>1.016194415745886</v>
      </c>
      <c r="BB209" s="62">
        <v>6057.0303000000004</v>
      </c>
      <c r="BC209" s="60">
        <v>6922.7558831569559</v>
      </c>
    </row>
    <row r="210" spans="1:55" x14ac:dyDescent="0.25">
      <c r="A210">
        <v>27265</v>
      </c>
      <c r="B210" t="s">
        <v>142</v>
      </c>
      <c r="C210">
        <v>2017</v>
      </c>
      <c r="D210">
        <v>7</v>
      </c>
      <c r="E210" t="s">
        <v>51</v>
      </c>
      <c r="F210" t="s">
        <v>449</v>
      </c>
      <c r="G210" t="s">
        <v>84</v>
      </c>
      <c r="H210" t="s">
        <v>59</v>
      </c>
      <c r="I210" t="s">
        <v>427</v>
      </c>
      <c r="J210">
        <v>-2.6275700400000002</v>
      </c>
      <c r="K210" t="s">
        <v>440</v>
      </c>
      <c r="L210" t="s">
        <v>451</v>
      </c>
      <c r="M210">
        <v>1.7625750762999999E-3</v>
      </c>
      <c r="N210">
        <v>4.6312894560364649E-3</v>
      </c>
      <c r="O210">
        <v>29976.978999999999</v>
      </c>
      <c r="P210">
        <v>1.6679465999999999E-5</v>
      </c>
      <c r="Q210">
        <v>1</v>
      </c>
      <c r="R210" s="60">
        <v>4.6312894560364649E-3</v>
      </c>
      <c r="S210" t="s">
        <v>336</v>
      </c>
      <c r="T210" t="s">
        <v>433</v>
      </c>
      <c r="U210" t="s">
        <v>425</v>
      </c>
      <c r="V210" t="s">
        <v>91</v>
      </c>
      <c r="W210">
        <v>111.133</v>
      </c>
      <c r="X210">
        <v>0.99819678194932504</v>
      </c>
      <c r="Y210">
        <v>110.9326029683743</v>
      </c>
      <c r="Z210">
        <v>682.07</v>
      </c>
      <c r="AA210">
        <v>1</v>
      </c>
      <c r="AB210">
        <v>75.663800506639092</v>
      </c>
      <c r="AC210">
        <v>1.0269999999999999</v>
      </c>
      <c r="AD210" s="62">
        <v>77.706999999999994</v>
      </c>
      <c r="AE210">
        <v>8.9176000000000002</v>
      </c>
      <c r="AF210">
        <v>8.9015196227113016</v>
      </c>
      <c r="AG210">
        <v>1</v>
      </c>
      <c r="AH210">
        <v>6071.4594890626977</v>
      </c>
      <c r="AI210">
        <v>0.98496680983990625</v>
      </c>
      <c r="AJ210" s="62">
        <v>5980.1860999999999</v>
      </c>
      <c r="AK210" s="60">
        <v>27.695972830065831</v>
      </c>
      <c r="AL210" t="s">
        <v>342</v>
      </c>
      <c r="AM210" t="s">
        <v>434</v>
      </c>
      <c r="AN210" t="s">
        <v>425</v>
      </c>
      <c r="AO210" t="s">
        <v>91</v>
      </c>
      <c r="AP210">
        <v>111.133</v>
      </c>
      <c r="AQ210">
        <v>1.0155396203574489</v>
      </c>
      <c r="AR210">
        <v>112.8599646291844</v>
      </c>
      <c r="AS210">
        <v>658.17</v>
      </c>
      <c r="AT210">
        <v>1</v>
      </c>
      <c r="AU210">
        <v>74.281042919990284</v>
      </c>
      <c r="AV210">
        <v>1.02984769498109</v>
      </c>
      <c r="AW210" s="62">
        <v>76.498000000000005</v>
      </c>
      <c r="AX210">
        <v>8.9176000000000002</v>
      </c>
      <c r="AY210">
        <v>1</v>
      </c>
      <c r="AZ210">
        <v>5960.503435912874</v>
      </c>
      <c r="BA210">
        <v>0.9935711161666545</v>
      </c>
      <c r="BB210" s="62">
        <v>5922.1841000000004</v>
      </c>
      <c r="BC210" s="60">
        <v>27.427348779036802</v>
      </c>
    </row>
    <row r="211" spans="1:55" x14ac:dyDescent="0.25">
      <c r="A211">
        <v>27266</v>
      </c>
      <c r="B211" t="s">
        <v>142</v>
      </c>
      <c r="C211">
        <v>2017</v>
      </c>
      <c r="D211">
        <v>7</v>
      </c>
      <c r="E211" t="s">
        <v>51</v>
      </c>
      <c r="F211" t="s">
        <v>449</v>
      </c>
      <c r="G211" t="s">
        <v>84</v>
      </c>
      <c r="H211" t="s">
        <v>59</v>
      </c>
      <c r="I211" t="s">
        <v>427</v>
      </c>
      <c r="J211">
        <v>-2.6275700400000002</v>
      </c>
      <c r="K211" t="s">
        <v>440</v>
      </c>
      <c r="L211" t="s">
        <v>452</v>
      </c>
      <c r="M211">
        <v>1.4858046103299999E-3</v>
      </c>
      <c r="N211">
        <v>3.9040556729059762E-3</v>
      </c>
      <c r="O211">
        <v>29976.978999999999</v>
      </c>
      <c r="P211">
        <v>1.6679465999999999E-5</v>
      </c>
      <c r="Q211">
        <v>1</v>
      </c>
      <c r="R211" s="60">
        <v>3.9040556729059762E-3</v>
      </c>
      <c r="S211" t="s">
        <v>336</v>
      </c>
      <c r="T211" t="s">
        <v>433</v>
      </c>
      <c r="U211" t="s">
        <v>425</v>
      </c>
      <c r="V211" t="s">
        <v>28</v>
      </c>
      <c r="W211">
        <v>111.133</v>
      </c>
      <c r="X211">
        <v>0.99819678194932504</v>
      </c>
      <c r="Y211">
        <v>110.9326029683743</v>
      </c>
      <c r="Z211">
        <v>682.07</v>
      </c>
      <c r="AA211">
        <v>1</v>
      </c>
      <c r="AB211">
        <v>75.663800506639092</v>
      </c>
      <c r="AC211">
        <v>1.0196000000000001</v>
      </c>
      <c r="AD211" s="62">
        <v>77.147000000000006</v>
      </c>
      <c r="AE211">
        <v>8.9176000000000002</v>
      </c>
      <c r="AF211">
        <v>8.9015196227113016</v>
      </c>
      <c r="AG211">
        <v>1</v>
      </c>
      <c r="AH211">
        <v>6071.4594890626977</v>
      </c>
      <c r="AI211">
        <v>0.97991730655640863</v>
      </c>
      <c r="AJ211" s="62">
        <v>5949.5281999999997</v>
      </c>
      <c r="AK211" s="60">
        <v>23.227289320324079</v>
      </c>
      <c r="AL211" t="s">
        <v>342</v>
      </c>
      <c r="AM211" t="s">
        <v>434</v>
      </c>
      <c r="AN211" t="s">
        <v>425</v>
      </c>
      <c r="AO211" t="s">
        <v>28</v>
      </c>
      <c r="AP211">
        <v>111.133</v>
      </c>
      <c r="AQ211">
        <v>1.0155396203574489</v>
      </c>
      <c r="AR211">
        <v>112.8599646291844</v>
      </c>
      <c r="AS211">
        <v>658.17</v>
      </c>
      <c r="AT211">
        <v>1</v>
      </c>
      <c r="AU211">
        <v>74.281042919990284</v>
      </c>
      <c r="AV211">
        <v>1.0451804150056221</v>
      </c>
      <c r="AW211" s="62">
        <v>77.637</v>
      </c>
      <c r="AX211">
        <v>8.9176000000000002</v>
      </c>
      <c r="AY211">
        <v>1</v>
      </c>
      <c r="AZ211">
        <v>5960.503435912874</v>
      </c>
      <c r="BA211">
        <v>1.0071061377552519</v>
      </c>
      <c r="BB211" s="62">
        <v>6002.8595999999998</v>
      </c>
      <c r="BC211" s="60">
        <v>23.43549807503809</v>
      </c>
    </row>
    <row r="212" spans="1:55" x14ac:dyDescent="0.25">
      <c r="A212">
        <v>29937</v>
      </c>
      <c r="B212" t="s">
        <v>137</v>
      </c>
      <c r="C212">
        <v>2017</v>
      </c>
      <c r="D212">
        <v>8</v>
      </c>
      <c r="E212" t="s">
        <v>51</v>
      </c>
      <c r="F212" t="s">
        <v>449</v>
      </c>
      <c r="G212" t="s">
        <v>84</v>
      </c>
      <c r="H212" t="s">
        <v>381</v>
      </c>
      <c r="I212" t="s">
        <v>427</v>
      </c>
      <c r="J212">
        <v>-4.4033782400000003</v>
      </c>
      <c r="K212" t="s">
        <v>440</v>
      </c>
      <c r="L212" t="s">
        <v>450</v>
      </c>
      <c r="M212">
        <v>0.15011157993331001</v>
      </c>
      <c r="N212">
        <v>0.66099806495507907</v>
      </c>
      <c r="O212">
        <v>29976.978999999999</v>
      </c>
      <c r="P212">
        <v>1.6679465999999999E-5</v>
      </c>
      <c r="Q212">
        <v>1</v>
      </c>
      <c r="R212" s="60">
        <v>0.66099806495507907</v>
      </c>
      <c r="S212" t="s">
        <v>336</v>
      </c>
      <c r="T212" t="s">
        <v>433</v>
      </c>
      <c r="U212" t="s">
        <v>425</v>
      </c>
      <c r="V212" t="s">
        <v>26</v>
      </c>
      <c r="W212">
        <v>111.133</v>
      </c>
      <c r="X212">
        <v>0.99819678194932504</v>
      </c>
      <c r="Y212">
        <v>110.9326029683743</v>
      </c>
      <c r="Z212">
        <v>682.07</v>
      </c>
      <c r="AA212">
        <v>1</v>
      </c>
      <c r="AB212">
        <v>75.663800506639092</v>
      </c>
      <c r="AC212">
        <v>1.0178</v>
      </c>
      <c r="AD212" s="62">
        <v>77.010999999999996</v>
      </c>
      <c r="AE212">
        <v>8.9176000000000002</v>
      </c>
      <c r="AF212">
        <v>8.9015196227113016</v>
      </c>
      <c r="AG212">
        <v>1</v>
      </c>
      <c r="AH212">
        <v>6071.4594890626977</v>
      </c>
      <c r="AI212">
        <v>1.0020831266739409</v>
      </c>
      <c r="AJ212" s="62">
        <v>6084.1071000000002</v>
      </c>
      <c r="AK212" s="60">
        <v>4021.583020079458</v>
      </c>
      <c r="AL212" t="s">
        <v>342</v>
      </c>
      <c r="AM212" t="s">
        <v>434</v>
      </c>
      <c r="AN212" t="s">
        <v>425</v>
      </c>
      <c r="AO212" t="s">
        <v>26</v>
      </c>
      <c r="AP212">
        <v>111.133</v>
      </c>
      <c r="AQ212">
        <v>1.0155396203574489</v>
      </c>
      <c r="AR212">
        <v>112.8599646291844</v>
      </c>
      <c r="AS212">
        <v>644.24</v>
      </c>
      <c r="AT212">
        <v>1</v>
      </c>
      <c r="AU212">
        <v>72.708903612705754</v>
      </c>
      <c r="AV212">
        <v>1.012368394153123</v>
      </c>
      <c r="AW212" s="62">
        <v>73.608000000000004</v>
      </c>
      <c r="AX212">
        <v>8.9176000000000002</v>
      </c>
      <c r="AY212">
        <v>1</v>
      </c>
      <c r="AZ212">
        <v>5834.3509025821759</v>
      </c>
      <c r="BA212">
        <v>0.99404987733863315</v>
      </c>
      <c r="BB212" s="62">
        <v>5799.6358</v>
      </c>
      <c r="BC212" s="60">
        <v>3833.5480412442021</v>
      </c>
    </row>
    <row r="213" spans="1:55" x14ac:dyDescent="0.25">
      <c r="A213">
        <v>29938</v>
      </c>
      <c r="B213" t="s">
        <v>137</v>
      </c>
      <c r="C213">
        <v>2017</v>
      </c>
      <c r="D213">
        <v>8</v>
      </c>
      <c r="E213" t="s">
        <v>51</v>
      </c>
      <c r="F213" t="s">
        <v>449</v>
      </c>
      <c r="G213" t="s">
        <v>84</v>
      </c>
      <c r="H213" t="s">
        <v>381</v>
      </c>
      <c r="I213" t="s">
        <v>427</v>
      </c>
      <c r="J213">
        <v>-4.4033782400000003</v>
      </c>
      <c r="K213" t="s">
        <v>440</v>
      </c>
      <c r="L213" t="s">
        <v>384</v>
      </c>
      <c r="M213">
        <v>4.5811354346740003E-2</v>
      </c>
      <c r="N213">
        <v>0.20172472096835969</v>
      </c>
      <c r="O213">
        <v>29976.978999999999</v>
      </c>
      <c r="P213">
        <v>1.6679465999999999E-5</v>
      </c>
      <c r="Q213">
        <v>1</v>
      </c>
      <c r="R213" s="60">
        <v>0.20172472096835969</v>
      </c>
      <c r="S213" t="s">
        <v>336</v>
      </c>
      <c r="T213" t="s">
        <v>433</v>
      </c>
      <c r="U213" t="s">
        <v>425</v>
      </c>
      <c r="V213" t="s">
        <v>81</v>
      </c>
      <c r="W213">
        <v>111.133</v>
      </c>
      <c r="X213">
        <v>0.99819678194932504</v>
      </c>
      <c r="Y213">
        <v>110.9326029683743</v>
      </c>
      <c r="Z213">
        <v>682.07</v>
      </c>
      <c r="AA213">
        <v>1</v>
      </c>
      <c r="AB213">
        <v>75.663800506639092</v>
      </c>
      <c r="AC213">
        <v>0.92979999999999996</v>
      </c>
      <c r="AD213" s="62">
        <v>70.352000000000004</v>
      </c>
      <c r="AE213">
        <v>8.9176000000000002</v>
      </c>
      <c r="AF213">
        <v>8.9015196227113016</v>
      </c>
      <c r="AG213">
        <v>1</v>
      </c>
      <c r="AH213">
        <v>6071.4594890626977</v>
      </c>
      <c r="AI213">
        <v>1.0375922509225091</v>
      </c>
      <c r="AJ213" s="62">
        <v>6299.6993000000002</v>
      </c>
      <c r="AK213" s="60">
        <v>1270.8050834770711</v>
      </c>
      <c r="AL213" t="s">
        <v>342</v>
      </c>
      <c r="AM213" t="s">
        <v>434</v>
      </c>
      <c r="AN213" t="s">
        <v>425</v>
      </c>
      <c r="AO213" t="s">
        <v>81</v>
      </c>
      <c r="AP213">
        <v>111.133</v>
      </c>
      <c r="AQ213">
        <v>1.0155396203574489</v>
      </c>
      <c r="AR213">
        <v>112.8599646291844</v>
      </c>
      <c r="AS213">
        <v>644.24</v>
      </c>
      <c r="AT213">
        <v>1</v>
      </c>
      <c r="AU213">
        <v>72.708903612705754</v>
      </c>
      <c r="AV213">
        <v>0.95185525912296853</v>
      </c>
      <c r="AW213" s="62">
        <v>69.207999999999998</v>
      </c>
      <c r="AX213">
        <v>8.9176000000000002</v>
      </c>
      <c r="AY213">
        <v>1</v>
      </c>
      <c r="AZ213">
        <v>5834.3509025821759</v>
      </c>
      <c r="BA213">
        <v>1.081469419077697</v>
      </c>
      <c r="BB213" s="62">
        <v>6309.6720999999998</v>
      </c>
      <c r="BC213" s="60">
        <v>1272.816843774345</v>
      </c>
    </row>
    <row r="214" spans="1:55" x14ac:dyDescent="0.25">
      <c r="A214">
        <v>29939</v>
      </c>
      <c r="B214" t="s">
        <v>137</v>
      </c>
      <c r="C214">
        <v>2017</v>
      </c>
      <c r="D214">
        <v>8</v>
      </c>
      <c r="E214" t="s">
        <v>51</v>
      </c>
      <c r="F214" t="s">
        <v>449</v>
      </c>
      <c r="G214" t="s">
        <v>84</v>
      </c>
      <c r="H214" t="s">
        <v>381</v>
      </c>
      <c r="I214" t="s">
        <v>427</v>
      </c>
      <c r="J214">
        <v>-4.4033782400000003</v>
      </c>
      <c r="K214" t="s">
        <v>440</v>
      </c>
      <c r="L214" t="s">
        <v>385</v>
      </c>
      <c r="M214">
        <v>0.43232641346992001</v>
      </c>
      <c r="N214">
        <v>1.9036967225282959</v>
      </c>
      <c r="O214">
        <v>29976.978999999999</v>
      </c>
      <c r="P214">
        <v>1.6679465999999999E-5</v>
      </c>
      <c r="Q214">
        <v>1</v>
      </c>
      <c r="R214" s="60">
        <v>1.9036967225282959</v>
      </c>
      <c r="S214" t="s">
        <v>336</v>
      </c>
      <c r="T214" t="s">
        <v>433</v>
      </c>
      <c r="U214" t="s">
        <v>425</v>
      </c>
      <c r="V214" t="s">
        <v>27</v>
      </c>
      <c r="W214">
        <v>111.133</v>
      </c>
      <c r="X214">
        <v>0.99819678194932504</v>
      </c>
      <c r="Y214">
        <v>110.9326029683743</v>
      </c>
      <c r="Z214">
        <v>682.07</v>
      </c>
      <c r="AA214">
        <v>1</v>
      </c>
      <c r="AB214">
        <v>75.663800506639092</v>
      </c>
      <c r="AC214">
        <v>0.99739999999999995</v>
      </c>
      <c r="AD214" s="62">
        <v>75.466999999999999</v>
      </c>
      <c r="AE214">
        <v>8.9176000000000002</v>
      </c>
      <c r="AF214">
        <v>8.9015196227113016</v>
      </c>
      <c r="AG214">
        <v>1</v>
      </c>
      <c r="AH214">
        <v>6071.4594890626977</v>
      </c>
      <c r="AI214">
        <v>1.0108695652173909</v>
      </c>
      <c r="AJ214" s="62">
        <v>6137.4535999999998</v>
      </c>
      <c r="AK214" s="60">
        <v>11683.850302989489</v>
      </c>
      <c r="AL214" t="s">
        <v>342</v>
      </c>
      <c r="AM214" t="s">
        <v>434</v>
      </c>
      <c r="AN214" t="s">
        <v>425</v>
      </c>
      <c r="AO214" t="s">
        <v>27</v>
      </c>
      <c r="AP214">
        <v>111.133</v>
      </c>
      <c r="AQ214">
        <v>1.0155396203574489</v>
      </c>
      <c r="AR214">
        <v>112.8599646291844</v>
      </c>
      <c r="AS214">
        <v>644.24</v>
      </c>
      <c r="AT214">
        <v>1</v>
      </c>
      <c r="AU214">
        <v>72.708903612705754</v>
      </c>
      <c r="AV214">
        <v>1.0016354901359501</v>
      </c>
      <c r="AW214" s="62">
        <v>72.828000000000003</v>
      </c>
      <c r="AX214">
        <v>8.9176000000000002</v>
      </c>
      <c r="AY214">
        <v>1</v>
      </c>
      <c r="AZ214">
        <v>5834.3509025821759</v>
      </c>
      <c r="BA214">
        <v>1.016194415745886</v>
      </c>
      <c r="BB214" s="62">
        <v>5928.8347999999996</v>
      </c>
      <c r="BC214" s="60">
        <v>11286.7033771717</v>
      </c>
    </row>
    <row r="215" spans="1:55" x14ac:dyDescent="0.25">
      <c r="A215">
        <v>29940</v>
      </c>
      <c r="B215" t="s">
        <v>137</v>
      </c>
      <c r="C215">
        <v>2017</v>
      </c>
      <c r="D215">
        <v>8</v>
      </c>
      <c r="E215" t="s">
        <v>51</v>
      </c>
      <c r="F215" t="s">
        <v>449</v>
      </c>
      <c r="G215" t="s">
        <v>84</v>
      </c>
      <c r="H215" t="s">
        <v>381</v>
      </c>
      <c r="I215" t="s">
        <v>427</v>
      </c>
      <c r="J215">
        <v>-4.4033782400000003</v>
      </c>
      <c r="K215" t="s">
        <v>440</v>
      </c>
      <c r="L215" t="s">
        <v>451</v>
      </c>
      <c r="M215">
        <v>1.6825115802299999E-3</v>
      </c>
      <c r="N215">
        <v>7.4087348843482337E-3</v>
      </c>
      <c r="O215">
        <v>29976.978999999999</v>
      </c>
      <c r="P215">
        <v>1.6679465999999999E-5</v>
      </c>
      <c r="Q215">
        <v>1</v>
      </c>
      <c r="R215" s="60">
        <v>7.4087348843482337E-3</v>
      </c>
      <c r="S215" t="s">
        <v>336</v>
      </c>
      <c r="T215" t="s">
        <v>433</v>
      </c>
      <c r="U215" t="s">
        <v>425</v>
      </c>
      <c r="V215" t="s">
        <v>91</v>
      </c>
      <c r="W215">
        <v>111.133</v>
      </c>
      <c r="X215">
        <v>0.99819678194932504</v>
      </c>
      <c r="Y215">
        <v>110.9326029683743</v>
      </c>
      <c r="Z215">
        <v>682.07</v>
      </c>
      <c r="AA215">
        <v>1</v>
      </c>
      <c r="AB215">
        <v>75.663800506639092</v>
      </c>
      <c r="AC215">
        <v>1.0269999999999999</v>
      </c>
      <c r="AD215" s="62">
        <v>77.706999999999994</v>
      </c>
      <c r="AE215">
        <v>8.9176000000000002</v>
      </c>
      <c r="AF215">
        <v>8.9015196227113016</v>
      </c>
      <c r="AG215">
        <v>1</v>
      </c>
      <c r="AH215">
        <v>6071.4594890626977</v>
      </c>
      <c r="AI215">
        <v>0.98496680983990625</v>
      </c>
      <c r="AJ215" s="62">
        <v>5980.1860999999999</v>
      </c>
      <c r="AK215" s="60">
        <v>44.305613373964412</v>
      </c>
      <c r="AL215" t="s">
        <v>342</v>
      </c>
      <c r="AM215" t="s">
        <v>434</v>
      </c>
      <c r="AN215" t="s">
        <v>425</v>
      </c>
      <c r="AO215" t="s">
        <v>91</v>
      </c>
      <c r="AP215">
        <v>111.133</v>
      </c>
      <c r="AQ215">
        <v>1.0155396203574489</v>
      </c>
      <c r="AR215">
        <v>112.8599646291844</v>
      </c>
      <c r="AS215">
        <v>644.24</v>
      </c>
      <c r="AT215">
        <v>1</v>
      </c>
      <c r="AU215">
        <v>72.708903612705754</v>
      </c>
      <c r="AV215">
        <v>1.02984769498109</v>
      </c>
      <c r="AW215" s="62">
        <v>74.879000000000005</v>
      </c>
      <c r="AX215">
        <v>8.9176000000000002</v>
      </c>
      <c r="AY215">
        <v>1</v>
      </c>
      <c r="AZ215">
        <v>5834.3509025821759</v>
      </c>
      <c r="BA215">
        <v>0.9935711161666545</v>
      </c>
      <c r="BB215" s="62">
        <v>5796.8424999999997</v>
      </c>
      <c r="BC215" s="60">
        <v>42.947269248822423</v>
      </c>
    </row>
    <row r="216" spans="1:55" x14ac:dyDescent="0.25">
      <c r="A216">
        <v>29941</v>
      </c>
      <c r="B216" t="s">
        <v>137</v>
      </c>
      <c r="C216">
        <v>2017</v>
      </c>
      <c r="D216">
        <v>8</v>
      </c>
      <c r="E216" t="s">
        <v>51</v>
      </c>
      <c r="F216" t="s">
        <v>449</v>
      </c>
      <c r="G216" t="s">
        <v>84</v>
      </c>
      <c r="H216" t="s">
        <v>381</v>
      </c>
      <c r="I216" t="s">
        <v>427</v>
      </c>
      <c r="J216">
        <v>-4.4033782400000003</v>
      </c>
      <c r="K216" t="s">
        <v>440</v>
      </c>
      <c r="L216" t="s">
        <v>452</v>
      </c>
      <c r="M216">
        <v>1.53682162831E-3</v>
      </c>
      <c r="N216">
        <v>6.7672069199813147E-3</v>
      </c>
      <c r="O216">
        <v>29976.978999999999</v>
      </c>
      <c r="P216">
        <v>1.6679465999999999E-5</v>
      </c>
      <c r="Q216">
        <v>1</v>
      </c>
      <c r="R216" s="60">
        <v>6.7672069199813147E-3</v>
      </c>
      <c r="S216" t="s">
        <v>336</v>
      </c>
      <c r="T216" t="s">
        <v>433</v>
      </c>
      <c r="U216" t="s">
        <v>425</v>
      </c>
      <c r="V216" t="s">
        <v>28</v>
      </c>
      <c r="W216">
        <v>111.133</v>
      </c>
      <c r="X216">
        <v>0.99819678194932504</v>
      </c>
      <c r="Y216">
        <v>110.9326029683743</v>
      </c>
      <c r="Z216">
        <v>682.07</v>
      </c>
      <c r="AA216">
        <v>1</v>
      </c>
      <c r="AB216">
        <v>75.663800506639092</v>
      </c>
      <c r="AC216">
        <v>1.0196000000000001</v>
      </c>
      <c r="AD216" s="62">
        <v>77.147000000000006</v>
      </c>
      <c r="AE216">
        <v>8.9176000000000002</v>
      </c>
      <c r="AF216">
        <v>8.9015196227113016</v>
      </c>
      <c r="AG216">
        <v>1</v>
      </c>
      <c r="AH216">
        <v>6071.4594890626977</v>
      </c>
      <c r="AI216">
        <v>0.97991730655640863</v>
      </c>
      <c r="AJ216" s="62">
        <v>5949.5281999999997</v>
      </c>
      <c r="AK216" s="60">
        <v>40.261688405663968</v>
      </c>
      <c r="AL216" t="s">
        <v>342</v>
      </c>
      <c r="AM216" t="s">
        <v>434</v>
      </c>
      <c r="AN216" t="s">
        <v>425</v>
      </c>
      <c r="AO216" t="s">
        <v>28</v>
      </c>
      <c r="AP216">
        <v>111.133</v>
      </c>
      <c r="AQ216">
        <v>1.0155396203574489</v>
      </c>
      <c r="AR216">
        <v>112.8599646291844</v>
      </c>
      <c r="AS216">
        <v>644.24</v>
      </c>
      <c r="AT216">
        <v>1</v>
      </c>
      <c r="AU216">
        <v>72.708903612705754</v>
      </c>
      <c r="AV216">
        <v>1.0451804150056221</v>
      </c>
      <c r="AW216" s="62">
        <v>75.994</v>
      </c>
      <c r="AX216">
        <v>8.9176000000000002</v>
      </c>
      <c r="AY216">
        <v>1</v>
      </c>
      <c r="AZ216">
        <v>5834.3509025821759</v>
      </c>
      <c r="BA216">
        <v>1.0071061377552519</v>
      </c>
      <c r="BB216" s="62">
        <v>5875.8105999999998</v>
      </c>
      <c r="BC216" s="60">
        <v>39.762826152819557</v>
      </c>
    </row>
    <row r="217" spans="1:55" x14ac:dyDescent="0.25">
      <c r="A217">
        <v>29942</v>
      </c>
      <c r="B217" t="s">
        <v>137</v>
      </c>
      <c r="C217">
        <v>2017</v>
      </c>
      <c r="D217">
        <v>8</v>
      </c>
      <c r="E217" t="s">
        <v>51</v>
      </c>
      <c r="F217" t="s">
        <v>449</v>
      </c>
      <c r="G217" t="s">
        <v>84</v>
      </c>
      <c r="H217" t="s">
        <v>87</v>
      </c>
      <c r="I217" t="s">
        <v>427</v>
      </c>
      <c r="J217">
        <v>-0.83235943000000001</v>
      </c>
      <c r="K217" t="s">
        <v>440</v>
      </c>
      <c r="L217" t="s">
        <v>450</v>
      </c>
      <c r="M217">
        <v>0.26601384014995</v>
      </c>
      <c r="N217">
        <v>0.22141912864677829</v>
      </c>
      <c r="O217">
        <v>29976.978999999999</v>
      </c>
      <c r="P217">
        <v>1.6679465999999999E-5</v>
      </c>
      <c r="Q217">
        <v>1</v>
      </c>
      <c r="R217" s="60">
        <v>0.22141912864677829</v>
      </c>
      <c r="S217" t="s">
        <v>336</v>
      </c>
      <c r="T217" t="s">
        <v>433</v>
      </c>
      <c r="U217" t="s">
        <v>425</v>
      </c>
      <c r="V217" t="s">
        <v>26</v>
      </c>
      <c r="W217">
        <v>111.133</v>
      </c>
      <c r="X217">
        <v>0.99819678194932504</v>
      </c>
      <c r="Y217">
        <v>110.9326029683743</v>
      </c>
      <c r="Z217">
        <v>682.07</v>
      </c>
      <c r="AA217">
        <v>1</v>
      </c>
      <c r="AB217">
        <v>75.663800506639092</v>
      </c>
      <c r="AC217">
        <v>1.0178</v>
      </c>
      <c r="AD217" s="62">
        <v>77.010999999999996</v>
      </c>
      <c r="AE217">
        <v>8.9176000000000002</v>
      </c>
      <c r="AF217">
        <v>8.9015196227113016</v>
      </c>
      <c r="AG217">
        <v>1</v>
      </c>
      <c r="AH217">
        <v>6071.4594890626977</v>
      </c>
      <c r="AI217">
        <v>1.0020831266739409</v>
      </c>
      <c r="AJ217" s="62">
        <v>6084.1071000000002</v>
      </c>
      <c r="AK217" s="60">
        <v>1347.137692675677</v>
      </c>
      <c r="AL217" t="s">
        <v>342</v>
      </c>
      <c r="AM217" t="s">
        <v>434</v>
      </c>
      <c r="AN217" t="s">
        <v>425</v>
      </c>
      <c r="AO217" t="s">
        <v>26</v>
      </c>
      <c r="AP217">
        <v>111.133</v>
      </c>
      <c r="AQ217">
        <v>1.0155396203574489</v>
      </c>
      <c r="AR217">
        <v>112.8599646291844</v>
      </c>
      <c r="AS217">
        <v>644.24</v>
      </c>
      <c r="AT217">
        <v>1</v>
      </c>
      <c r="AU217">
        <v>72.708903612705754</v>
      </c>
      <c r="AV217">
        <v>1.012368394153123</v>
      </c>
      <c r="AW217" s="62">
        <v>73.608000000000004</v>
      </c>
      <c r="AX217">
        <v>8.9176000000000002</v>
      </c>
      <c r="AY217">
        <v>1</v>
      </c>
      <c r="AZ217">
        <v>5834.3509025821759</v>
      </c>
      <c r="BA217">
        <v>0.99404987733863315</v>
      </c>
      <c r="BB217" s="62">
        <v>5799.6358</v>
      </c>
      <c r="BC217" s="60">
        <v>1284.1503053046611</v>
      </c>
    </row>
    <row r="218" spans="1:55" x14ac:dyDescent="0.25">
      <c r="A218">
        <v>29943</v>
      </c>
      <c r="B218" t="s">
        <v>137</v>
      </c>
      <c r="C218">
        <v>2017</v>
      </c>
      <c r="D218">
        <v>8</v>
      </c>
      <c r="E218" t="s">
        <v>51</v>
      </c>
      <c r="F218" t="s">
        <v>449</v>
      </c>
      <c r="G218" t="s">
        <v>84</v>
      </c>
      <c r="H218" t="s">
        <v>87</v>
      </c>
      <c r="I218" t="s">
        <v>427</v>
      </c>
      <c r="J218">
        <v>-0.83235943000000001</v>
      </c>
      <c r="K218" t="s">
        <v>440</v>
      </c>
      <c r="L218" t="s">
        <v>384</v>
      </c>
      <c r="M218">
        <v>3.9509559941419997E-2</v>
      </c>
      <c r="N218">
        <v>3.2886154835085252E-2</v>
      </c>
      <c r="O218">
        <v>29976.978999999999</v>
      </c>
      <c r="P218">
        <v>1.6679465999999999E-5</v>
      </c>
      <c r="Q218">
        <v>1</v>
      </c>
      <c r="R218" s="60">
        <v>3.2886154835085252E-2</v>
      </c>
      <c r="S218" t="s">
        <v>336</v>
      </c>
      <c r="T218" t="s">
        <v>433</v>
      </c>
      <c r="U218" t="s">
        <v>425</v>
      </c>
      <c r="V218" t="s">
        <v>81</v>
      </c>
      <c r="W218">
        <v>111.133</v>
      </c>
      <c r="X218">
        <v>0.99819678194932504</v>
      </c>
      <c r="Y218">
        <v>110.9326029683743</v>
      </c>
      <c r="Z218">
        <v>682.07</v>
      </c>
      <c r="AA218">
        <v>1</v>
      </c>
      <c r="AB218">
        <v>75.663800506639092</v>
      </c>
      <c r="AC218">
        <v>0.92979999999999996</v>
      </c>
      <c r="AD218" s="62">
        <v>70.352000000000004</v>
      </c>
      <c r="AE218">
        <v>8.9176000000000002</v>
      </c>
      <c r="AF218">
        <v>8.9015196227113016</v>
      </c>
      <c r="AG218">
        <v>1</v>
      </c>
      <c r="AH218">
        <v>6071.4594890626977</v>
      </c>
      <c r="AI218">
        <v>1.0375922509225091</v>
      </c>
      <c r="AJ218" s="62">
        <v>6299.6993000000002</v>
      </c>
      <c r="AK218" s="60">
        <v>207.1728865942782</v>
      </c>
      <c r="AL218" t="s">
        <v>342</v>
      </c>
      <c r="AM218" t="s">
        <v>434</v>
      </c>
      <c r="AN218" t="s">
        <v>425</v>
      </c>
      <c r="AO218" t="s">
        <v>81</v>
      </c>
      <c r="AP218">
        <v>111.133</v>
      </c>
      <c r="AQ218">
        <v>1.0155396203574489</v>
      </c>
      <c r="AR218">
        <v>112.8599646291844</v>
      </c>
      <c r="AS218">
        <v>644.24</v>
      </c>
      <c r="AT218">
        <v>1</v>
      </c>
      <c r="AU218">
        <v>72.708903612705754</v>
      </c>
      <c r="AV218">
        <v>0.95185525912296853</v>
      </c>
      <c r="AW218" s="62">
        <v>69.207999999999998</v>
      </c>
      <c r="AX218">
        <v>8.9176000000000002</v>
      </c>
      <c r="AY218">
        <v>1</v>
      </c>
      <c r="AZ218">
        <v>5834.3509025821759</v>
      </c>
      <c r="BA218">
        <v>1.081469419077697</v>
      </c>
      <c r="BB218" s="62">
        <v>6309.6720999999998</v>
      </c>
      <c r="BC218" s="60">
        <v>207.5008536392175</v>
      </c>
    </row>
    <row r="219" spans="1:55" x14ac:dyDescent="0.25">
      <c r="A219">
        <v>29944</v>
      </c>
      <c r="B219" t="s">
        <v>137</v>
      </c>
      <c r="C219">
        <v>2017</v>
      </c>
      <c r="D219">
        <v>8</v>
      </c>
      <c r="E219" t="s">
        <v>51</v>
      </c>
      <c r="F219" t="s">
        <v>449</v>
      </c>
      <c r="G219" t="s">
        <v>84</v>
      </c>
      <c r="H219" t="s">
        <v>87</v>
      </c>
      <c r="I219" t="s">
        <v>427</v>
      </c>
      <c r="J219">
        <v>-0.83235943000000001</v>
      </c>
      <c r="K219" t="s">
        <v>440</v>
      </c>
      <c r="L219" t="s">
        <v>385</v>
      </c>
      <c r="M219">
        <v>0.39737542925016001</v>
      </c>
      <c r="N219">
        <v>0.33075918621607281</v>
      </c>
      <c r="O219">
        <v>29976.978999999999</v>
      </c>
      <c r="P219">
        <v>1.6679465999999999E-5</v>
      </c>
      <c r="Q219">
        <v>1</v>
      </c>
      <c r="R219" s="60">
        <v>0.33075918621607281</v>
      </c>
      <c r="S219" t="s">
        <v>336</v>
      </c>
      <c r="T219" t="s">
        <v>433</v>
      </c>
      <c r="U219" t="s">
        <v>425</v>
      </c>
      <c r="V219" t="s">
        <v>27</v>
      </c>
      <c r="W219">
        <v>111.133</v>
      </c>
      <c r="X219">
        <v>0.99819678194932504</v>
      </c>
      <c r="Y219">
        <v>110.9326029683743</v>
      </c>
      <c r="Z219">
        <v>682.07</v>
      </c>
      <c r="AA219">
        <v>1</v>
      </c>
      <c r="AB219">
        <v>75.663800506639092</v>
      </c>
      <c r="AC219">
        <v>0.99739999999999995</v>
      </c>
      <c r="AD219" s="62">
        <v>75.466999999999999</v>
      </c>
      <c r="AE219">
        <v>8.9176000000000002</v>
      </c>
      <c r="AF219">
        <v>8.9015196227113016</v>
      </c>
      <c r="AG219">
        <v>1</v>
      </c>
      <c r="AH219">
        <v>6071.4594890626977</v>
      </c>
      <c r="AI219">
        <v>1.0108695652173909</v>
      </c>
      <c r="AJ219" s="62">
        <v>6137.4535999999998</v>
      </c>
      <c r="AK219" s="60">
        <v>2030.0191581749059</v>
      </c>
      <c r="AL219" t="s">
        <v>342</v>
      </c>
      <c r="AM219" t="s">
        <v>434</v>
      </c>
      <c r="AN219" t="s">
        <v>425</v>
      </c>
      <c r="AO219" t="s">
        <v>27</v>
      </c>
      <c r="AP219">
        <v>111.133</v>
      </c>
      <c r="AQ219">
        <v>1.0155396203574489</v>
      </c>
      <c r="AR219">
        <v>112.8599646291844</v>
      </c>
      <c r="AS219">
        <v>644.24</v>
      </c>
      <c r="AT219">
        <v>1</v>
      </c>
      <c r="AU219">
        <v>72.708903612705754</v>
      </c>
      <c r="AV219">
        <v>1.0016354901359501</v>
      </c>
      <c r="AW219" s="62">
        <v>72.828000000000003</v>
      </c>
      <c r="AX219">
        <v>8.9176000000000002</v>
      </c>
      <c r="AY219">
        <v>1</v>
      </c>
      <c r="AZ219">
        <v>5834.3509025821759</v>
      </c>
      <c r="BA219">
        <v>1.016194415745886</v>
      </c>
      <c r="BB219" s="62">
        <v>5928.8347999999996</v>
      </c>
      <c r="BC219" s="60">
        <v>1961.0165736575329</v>
      </c>
    </row>
    <row r="220" spans="1:55" x14ac:dyDescent="0.25">
      <c r="A220">
        <v>29945</v>
      </c>
      <c r="B220" t="s">
        <v>137</v>
      </c>
      <c r="C220">
        <v>2017</v>
      </c>
      <c r="D220">
        <v>8</v>
      </c>
      <c r="E220" t="s">
        <v>51</v>
      </c>
      <c r="F220" t="s">
        <v>449</v>
      </c>
      <c r="G220" t="s">
        <v>84</v>
      </c>
      <c r="H220" t="s">
        <v>87</v>
      </c>
      <c r="I220" t="s">
        <v>427</v>
      </c>
      <c r="J220">
        <v>-0.83235943000000001</v>
      </c>
      <c r="K220" t="s">
        <v>440</v>
      </c>
      <c r="L220" t="s">
        <v>452</v>
      </c>
      <c r="M220">
        <v>8.4248020759000004E-4</v>
      </c>
      <c r="N220">
        <v>7.0124634628627915E-4</v>
      </c>
      <c r="O220">
        <v>29976.978999999999</v>
      </c>
      <c r="P220">
        <v>1.6679465999999999E-5</v>
      </c>
      <c r="Q220">
        <v>1</v>
      </c>
      <c r="R220" s="60">
        <v>7.0124634628627915E-4</v>
      </c>
      <c r="S220" t="s">
        <v>336</v>
      </c>
      <c r="T220" t="s">
        <v>433</v>
      </c>
      <c r="U220" t="s">
        <v>425</v>
      </c>
      <c r="V220" t="s">
        <v>28</v>
      </c>
      <c r="W220">
        <v>111.133</v>
      </c>
      <c r="X220">
        <v>0.99819678194932504</v>
      </c>
      <c r="Y220">
        <v>110.9326029683743</v>
      </c>
      <c r="Z220">
        <v>682.07</v>
      </c>
      <c r="AA220">
        <v>1</v>
      </c>
      <c r="AB220">
        <v>75.663800506639092</v>
      </c>
      <c r="AC220">
        <v>1.0196000000000001</v>
      </c>
      <c r="AD220" s="62">
        <v>77.147000000000006</v>
      </c>
      <c r="AE220">
        <v>8.9176000000000002</v>
      </c>
      <c r="AF220">
        <v>8.9015196227113016</v>
      </c>
      <c r="AG220">
        <v>1</v>
      </c>
      <c r="AH220">
        <v>6071.4594890626977</v>
      </c>
      <c r="AI220">
        <v>0.97991730655640863</v>
      </c>
      <c r="AJ220" s="62">
        <v>5949.5281999999997</v>
      </c>
      <c r="AK220" s="60">
        <v>4.1720849123771826</v>
      </c>
      <c r="AL220" t="s">
        <v>342</v>
      </c>
      <c r="AM220" t="s">
        <v>434</v>
      </c>
      <c r="AN220" t="s">
        <v>425</v>
      </c>
      <c r="AO220" t="s">
        <v>28</v>
      </c>
      <c r="AP220">
        <v>111.133</v>
      </c>
      <c r="AQ220">
        <v>1.0155396203574489</v>
      </c>
      <c r="AR220">
        <v>112.8599646291844</v>
      </c>
      <c r="AS220">
        <v>644.24</v>
      </c>
      <c r="AT220">
        <v>1</v>
      </c>
      <c r="AU220">
        <v>72.708903612705754</v>
      </c>
      <c r="AV220">
        <v>1.0451804150056221</v>
      </c>
      <c r="AW220" s="62">
        <v>75.994</v>
      </c>
      <c r="AX220">
        <v>8.9176000000000002</v>
      </c>
      <c r="AY220">
        <v>1</v>
      </c>
      <c r="AZ220">
        <v>5834.3509025821759</v>
      </c>
      <c r="BA220">
        <v>1.0071061377552519</v>
      </c>
      <c r="BB220" s="62">
        <v>5875.8105999999998</v>
      </c>
      <c r="BC220" s="60">
        <v>4.1203907147201893</v>
      </c>
    </row>
    <row r="221" spans="1:55" x14ac:dyDescent="0.25">
      <c r="A221">
        <v>29946</v>
      </c>
      <c r="B221" t="s">
        <v>137</v>
      </c>
      <c r="C221">
        <v>2017</v>
      </c>
      <c r="D221">
        <v>8</v>
      </c>
      <c r="E221" t="s">
        <v>51</v>
      </c>
      <c r="F221" t="s">
        <v>449</v>
      </c>
      <c r="G221" t="s">
        <v>84</v>
      </c>
      <c r="H221" t="s">
        <v>59</v>
      </c>
      <c r="I221" t="s">
        <v>427</v>
      </c>
      <c r="J221">
        <v>-2.6113224900000001</v>
      </c>
      <c r="K221" t="s">
        <v>440</v>
      </c>
      <c r="L221" t="s">
        <v>450</v>
      </c>
      <c r="M221">
        <v>0.15931709696460999</v>
      </c>
      <c r="N221">
        <v>0.41602831778799609</v>
      </c>
      <c r="O221">
        <v>29976.978999999999</v>
      </c>
      <c r="P221">
        <v>1.6679465999999999E-5</v>
      </c>
      <c r="Q221">
        <v>1</v>
      </c>
      <c r="R221" s="60">
        <v>0.41602831778799609</v>
      </c>
      <c r="S221" t="s">
        <v>336</v>
      </c>
      <c r="T221" t="s">
        <v>433</v>
      </c>
      <c r="U221" t="s">
        <v>425</v>
      </c>
      <c r="V221" t="s">
        <v>26</v>
      </c>
      <c r="W221">
        <v>111.133</v>
      </c>
      <c r="X221">
        <v>0.99819678194932504</v>
      </c>
      <c r="Y221">
        <v>110.9326029683743</v>
      </c>
      <c r="Z221">
        <v>682.07</v>
      </c>
      <c r="AA221">
        <v>1</v>
      </c>
      <c r="AB221">
        <v>75.663800506639092</v>
      </c>
      <c r="AC221">
        <v>1.0178</v>
      </c>
      <c r="AD221" s="62">
        <v>77.010999999999996</v>
      </c>
      <c r="AE221">
        <v>8.9176000000000002</v>
      </c>
      <c r="AF221">
        <v>8.9015196227113016</v>
      </c>
      <c r="AG221">
        <v>1</v>
      </c>
      <c r="AH221">
        <v>6071.4594890626977</v>
      </c>
      <c r="AI221">
        <v>1.0020831266739409</v>
      </c>
      <c r="AJ221" s="62">
        <v>6084.1071000000002</v>
      </c>
      <c r="AK221" s="60">
        <v>2531.1608420550042</v>
      </c>
      <c r="AL221" t="s">
        <v>342</v>
      </c>
      <c r="AM221" t="s">
        <v>434</v>
      </c>
      <c r="AN221" t="s">
        <v>425</v>
      </c>
      <c r="AO221" t="s">
        <v>26</v>
      </c>
      <c r="AP221">
        <v>111.133</v>
      </c>
      <c r="AQ221">
        <v>1.0155396203574489</v>
      </c>
      <c r="AR221">
        <v>112.8599646291844</v>
      </c>
      <c r="AS221">
        <v>644.24</v>
      </c>
      <c r="AT221">
        <v>1</v>
      </c>
      <c r="AU221">
        <v>72.708903612705754</v>
      </c>
      <c r="AV221">
        <v>1.012368394153123</v>
      </c>
      <c r="AW221" s="62">
        <v>73.608000000000004</v>
      </c>
      <c r="AX221">
        <v>8.9176000000000002</v>
      </c>
      <c r="AY221">
        <v>1</v>
      </c>
      <c r="AZ221">
        <v>5834.3509025821759</v>
      </c>
      <c r="BA221">
        <v>0.99404987733863315</v>
      </c>
      <c r="BB221" s="62">
        <v>5799.6358</v>
      </c>
      <c r="BC221" s="60">
        <v>2412.8127256570392</v>
      </c>
    </row>
    <row r="222" spans="1:55" x14ac:dyDescent="0.25">
      <c r="A222">
        <v>29947</v>
      </c>
      <c r="B222" t="s">
        <v>137</v>
      </c>
      <c r="C222">
        <v>2017</v>
      </c>
      <c r="D222">
        <v>8</v>
      </c>
      <c r="E222" t="s">
        <v>51</v>
      </c>
      <c r="F222" t="s">
        <v>449</v>
      </c>
      <c r="G222" t="s">
        <v>84</v>
      </c>
      <c r="H222" t="s">
        <v>59</v>
      </c>
      <c r="I222" t="s">
        <v>427</v>
      </c>
      <c r="J222">
        <v>-2.6113224900000001</v>
      </c>
      <c r="K222" t="s">
        <v>440</v>
      </c>
      <c r="L222" t="s">
        <v>384</v>
      </c>
      <c r="M222">
        <v>4.1785183859599999E-2</v>
      </c>
      <c r="N222">
        <v>0.1091145902152177</v>
      </c>
      <c r="O222">
        <v>29976.978999999999</v>
      </c>
      <c r="P222">
        <v>1.6679465999999999E-5</v>
      </c>
      <c r="Q222">
        <v>1</v>
      </c>
      <c r="R222" s="60">
        <v>0.1091145902152177</v>
      </c>
      <c r="S222" t="s">
        <v>336</v>
      </c>
      <c r="T222" t="s">
        <v>433</v>
      </c>
      <c r="U222" t="s">
        <v>425</v>
      </c>
      <c r="V222" t="s">
        <v>81</v>
      </c>
      <c r="W222">
        <v>111.133</v>
      </c>
      <c r="X222">
        <v>0.99819678194932504</v>
      </c>
      <c r="Y222">
        <v>110.9326029683743</v>
      </c>
      <c r="Z222">
        <v>682.07</v>
      </c>
      <c r="AA222">
        <v>1</v>
      </c>
      <c r="AB222">
        <v>75.663800506639092</v>
      </c>
      <c r="AC222">
        <v>0.92979999999999996</v>
      </c>
      <c r="AD222" s="62">
        <v>70.352000000000004</v>
      </c>
      <c r="AE222">
        <v>8.9176000000000002</v>
      </c>
      <c r="AF222">
        <v>8.9015196227113016</v>
      </c>
      <c r="AG222">
        <v>1</v>
      </c>
      <c r="AH222">
        <v>6071.4594890626977</v>
      </c>
      <c r="AI222">
        <v>1.0375922509225091</v>
      </c>
      <c r="AJ222" s="62">
        <v>6299.6993000000002</v>
      </c>
      <c r="AK222" s="60">
        <v>687.38910759859357</v>
      </c>
      <c r="AL222" t="s">
        <v>342</v>
      </c>
      <c r="AM222" t="s">
        <v>434</v>
      </c>
      <c r="AN222" t="s">
        <v>425</v>
      </c>
      <c r="AO222" t="s">
        <v>81</v>
      </c>
      <c r="AP222">
        <v>111.133</v>
      </c>
      <c r="AQ222">
        <v>1.0155396203574489</v>
      </c>
      <c r="AR222">
        <v>112.8599646291844</v>
      </c>
      <c r="AS222">
        <v>644.24</v>
      </c>
      <c r="AT222">
        <v>1</v>
      </c>
      <c r="AU222">
        <v>72.708903612705754</v>
      </c>
      <c r="AV222">
        <v>0.95185525912296853</v>
      </c>
      <c r="AW222" s="62">
        <v>69.207999999999998</v>
      </c>
      <c r="AX222">
        <v>8.9176000000000002</v>
      </c>
      <c r="AY222">
        <v>1</v>
      </c>
      <c r="AZ222">
        <v>5834.3509025821759</v>
      </c>
      <c r="BA222">
        <v>1.081469419077697</v>
      </c>
      <c r="BB222" s="62">
        <v>6309.6720999999998</v>
      </c>
      <c r="BC222" s="60">
        <v>688.4772855838919</v>
      </c>
    </row>
    <row r="223" spans="1:55" x14ac:dyDescent="0.25">
      <c r="A223">
        <v>29948</v>
      </c>
      <c r="B223" t="s">
        <v>137</v>
      </c>
      <c r="C223">
        <v>2017</v>
      </c>
      <c r="D223">
        <v>8</v>
      </c>
      <c r="E223" t="s">
        <v>51</v>
      </c>
      <c r="F223" t="s">
        <v>449</v>
      </c>
      <c r="G223" t="s">
        <v>84</v>
      </c>
      <c r="H223" t="s">
        <v>59</v>
      </c>
      <c r="I223" t="s">
        <v>427</v>
      </c>
      <c r="J223">
        <v>-2.6113224900000001</v>
      </c>
      <c r="K223" t="s">
        <v>440</v>
      </c>
      <c r="L223" t="s">
        <v>385</v>
      </c>
      <c r="M223">
        <v>0.43497567483749999</v>
      </c>
      <c r="N223">
        <v>1.135861760784793</v>
      </c>
      <c r="O223">
        <v>29976.978999999999</v>
      </c>
      <c r="P223">
        <v>1.6679465999999999E-5</v>
      </c>
      <c r="Q223">
        <v>1</v>
      </c>
      <c r="R223" s="60">
        <v>1.135861760784793</v>
      </c>
      <c r="S223" t="s">
        <v>336</v>
      </c>
      <c r="T223" t="s">
        <v>433</v>
      </c>
      <c r="U223" t="s">
        <v>425</v>
      </c>
      <c r="V223" t="s">
        <v>27</v>
      </c>
      <c r="W223">
        <v>111.133</v>
      </c>
      <c r="X223">
        <v>0.99819678194932504</v>
      </c>
      <c r="Y223">
        <v>110.9326029683743</v>
      </c>
      <c r="Z223">
        <v>682.07</v>
      </c>
      <c r="AA223">
        <v>1</v>
      </c>
      <c r="AB223">
        <v>75.663800506639092</v>
      </c>
      <c r="AC223">
        <v>0.99739999999999995</v>
      </c>
      <c r="AD223" s="62">
        <v>75.466999999999999</v>
      </c>
      <c r="AE223">
        <v>8.9176000000000002</v>
      </c>
      <c r="AF223">
        <v>8.9015196227113016</v>
      </c>
      <c r="AG223">
        <v>1</v>
      </c>
      <c r="AH223">
        <v>6071.4594890626977</v>
      </c>
      <c r="AI223">
        <v>1.0108695652173909</v>
      </c>
      <c r="AJ223" s="62">
        <v>6137.4535999999998</v>
      </c>
      <c r="AK223" s="60">
        <v>6971.2988528309679</v>
      </c>
      <c r="AL223" t="s">
        <v>342</v>
      </c>
      <c r="AM223" t="s">
        <v>434</v>
      </c>
      <c r="AN223" t="s">
        <v>425</v>
      </c>
      <c r="AO223" t="s">
        <v>27</v>
      </c>
      <c r="AP223">
        <v>111.133</v>
      </c>
      <c r="AQ223">
        <v>1.0155396203574489</v>
      </c>
      <c r="AR223">
        <v>112.8599646291844</v>
      </c>
      <c r="AS223">
        <v>644.24</v>
      </c>
      <c r="AT223">
        <v>1</v>
      </c>
      <c r="AU223">
        <v>72.708903612705754</v>
      </c>
      <c r="AV223">
        <v>1.0016354901359501</v>
      </c>
      <c r="AW223" s="62">
        <v>72.828000000000003</v>
      </c>
      <c r="AX223">
        <v>8.9176000000000002</v>
      </c>
      <c r="AY223">
        <v>1</v>
      </c>
      <c r="AZ223">
        <v>5834.3509025821759</v>
      </c>
      <c r="BA223">
        <v>1.016194415745886</v>
      </c>
      <c r="BB223" s="62">
        <v>5928.8347999999996</v>
      </c>
      <c r="BC223" s="60">
        <v>6734.3367353301564</v>
      </c>
    </row>
    <row r="224" spans="1:55" x14ac:dyDescent="0.25">
      <c r="A224">
        <v>29949</v>
      </c>
      <c r="B224" t="s">
        <v>137</v>
      </c>
      <c r="C224">
        <v>2017</v>
      </c>
      <c r="D224">
        <v>8</v>
      </c>
      <c r="E224" t="s">
        <v>51</v>
      </c>
      <c r="F224" t="s">
        <v>449</v>
      </c>
      <c r="G224" t="s">
        <v>84</v>
      </c>
      <c r="H224" t="s">
        <v>59</v>
      </c>
      <c r="I224" t="s">
        <v>427</v>
      </c>
      <c r="J224">
        <v>-2.6113224900000001</v>
      </c>
      <c r="K224" t="s">
        <v>440</v>
      </c>
      <c r="L224" t="s">
        <v>451</v>
      </c>
      <c r="M224">
        <v>1.7625750762999999E-3</v>
      </c>
      <c r="N224">
        <v>4.6026519308911698E-3</v>
      </c>
      <c r="O224">
        <v>29976.978999999999</v>
      </c>
      <c r="P224">
        <v>1.6679465999999999E-5</v>
      </c>
      <c r="Q224">
        <v>1</v>
      </c>
      <c r="R224" s="60">
        <v>4.6026519308911698E-3</v>
      </c>
      <c r="S224" t="s">
        <v>336</v>
      </c>
      <c r="T224" t="s">
        <v>433</v>
      </c>
      <c r="U224" t="s">
        <v>425</v>
      </c>
      <c r="V224" t="s">
        <v>91</v>
      </c>
      <c r="W224">
        <v>111.133</v>
      </c>
      <c r="X224">
        <v>0.99819678194932504</v>
      </c>
      <c r="Y224">
        <v>110.9326029683743</v>
      </c>
      <c r="Z224">
        <v>682.07</v>
      </c>
      <c r="AA224">
        <v>1</v>
      </c>
      <c r="AB224">
        <v>75.663800506639092</v>
      </c>
      <c r="AC224">
        <v>1.0269999999999999</v>
      </c>
      <c r="AD224" s="62">
        <v>77.706999999999994</v>
      </c>
      <c r="AE224">
        <v>8.9176000000000002</v>
      </c>
      <c r="AF224">
        <v>8.9015196227113016</v>
      </c>
      <c r="AG224">
        <v>1</v>
      </c>
      <c r="AH224">
        <v>6071.4594890626977</v>
      </c>
      <c r="AI224">
        <v>0.98496680983990625</v>
      </c>
      <c r="AJ224" s="62">
        <v>5980.1860999999999</v>
      </c>
      <c r="AK224" s="60">
        <v>27.52471510025353</v>
      </c>
      <c r="AL224" t="s">
        <v>342</v>
      </c>
      <c r="AM224" t="s">
        <v>434</v>
      </c>
      <c r="AN224" t="s">
        <v>425</v>
      </c>
      <c r="AO224" t="s">
        <v>91</v>
      </c>
      <c r="AP224">
        <v>111.133</v>
      </c>
      <c r="AQ224">
        <v>1.0155396203574489</v>
      </c>
      <c r="AR224">
        <v>112.8599646291844</v>
      </c>
      <c r="AS224">
        <v>644.24</v>
      </c>
      <c r="AT224">
        <v>1</v>
      </c>
      <c r="AU224">
        <v>72.708903612705754</v>
      </c>
      <c r="AV224">
        <v>1.02984769498109</v>
      </c>
      <c r="AW224" s="62">
        <v>74.879000000000005</v>
      </c>
      <c r="AX224">
        <v>8.9176000000000002</v>
      </c>
      <c r="AY224">
        <v>1</v>
      </c>
      <c r="AZ224">
        <v>5834.3509025821759</v>
      </c>
      <c r="BA224">
        <v>0.9935711161666545</v>
      </c>
      <c r="BB224" s="62">
        <v>5796.8424999999997</v>
      </c>
      <c r="BC224" s="60">
        <v>26.680848325696999</v>
      </c>
    </row>
    <row r="225" spans="1:55" x14ac:dyDescent="0.25">
      <c r="A225">
        <v>29950</v>
      </c>
      <c r="B225" t="s">
        <v>137</v>
      </c>
      <c r="C225">
        <v>2017</v>
      </c>
      <c r="D225">
        <v>8</v>
      </c>
      <c r="E225" t="s">
        <v>51</v>
      </c>
      <c r="F225" t="s">
        <v>449</v>
      </c>
      <c r="G225" t="s">
        <v>84</v>
      </c>
      <c r="H225" t="s">
        <v>59</v>
      </c>
      <c r="I225" t="s">
        <v>427</v>
      </c>
      <c r="J225">
        <v>-2.6113224900000001</v>
      </c>
      <c r="K225" t="s">
        <v>440</v>
      </c>
      <c r="L225" t="s">
        <v>452</v>
      </c>
      <c r="M225">
        <v>1.4858046103299999E-3</v>
      </c>
      <c r="N225">
        <v>3.8799149895039149E-3</v>
      </c>
      <c r="O225">
        <v>29976.978999999999</v>
      </c>
      <c r="P225">
        <v>1.6679465999999999E-5</v>
      </c>
      <c r="Q225">
        <v>1</v>
      </c>
      <c r="R225" s="60">
        <v>3.8799149895039149E-3</v>
      </c>
      <c r="S225" t="s">
        <v>336</v>
      </c>
      <c r="T225" t="s">
        <v>433</v>
      </c>
      <c r="U225" t="s">
        <v>425</v>
      </c>
      <c r="V225" t="s">
        <v>28</v>
      </c>
      <c r="W225">
        <v>111.133</v>
      </c>
      <c r="X225">
        <v>0.99819678194932504</v>
      </c>
      <c r="Y225">
        <v>110.9326029683743</v>
      </c>
      <c r="Z225">
        <v>682.07</v>
      </c>
      <c r="AA225">
        <v>1</v>
      </c>
      <c r="AB225">
        <v>75.663800506639092</v>
      </c>
      <c r="AC225">
        <v>1.0196000000000001</v>
      </c>
      <c r="AD225" s="62">
        <v>77.147000000000006</v>
      </c>
      <c r="AE225">
        <v>8.9176000000000002</v>
      </c>
      <c r="AF225">
        <v>8.9015196227113016</v>
      </c>
      <c r="AG225">
        <v>1</v>
      </c>
      <c r="AH225">
        <v>6071.4594890626977</v>
      </c>
      <c r="AI225">
        <v>0.97991730655640863</v>
      </c>
      <c r="AJ225" s="62">
        <v>5949.5281999999997</v>
      </c>
      <c r="AK225" s="60">
        <v>23.083663643656241</v>
      </c>
      <c r="AL225" t="s">
        <v>342</v>
      </c>
      <c r="AM225" t="s">
        <v>434</v>
      </c>
      <c r="AN225" t="s">
        <v>425</v>
      </c>
      <c r="AO225" t="s">
        <v>28</v>
      </c>
      <c r="AP225">
        <v>111.133</v>
      </c>
      <c r="AQ225">
        <v>1.0155396203574489</v>
      </c>
      <c r="AR225">
        <v>112.8599646291844</v>
      </c>
      <c r="AS225">
        <v>644.24</v>
      </c>
      <c r="AT225">
        <v>1</v>
      </c>
      <c r="AU225">
        <v>72.708903612705754</v>
      </c>
      <c r="AV225">
        <v>1.0451804150056221</v>
      </c>
      <c r="AW225" s="62">
        <v>75.994</v>
      </c>
      <c r="AX225">
        <v>8.9176000000000002</v>
      </c>
      <c r="AY225">
        <v>1</v>
      </c>
      <c r="AZ225">
        <v>5834.3509025821759</v>
      </c>
      <c r="BA225">
        <v>1.0071061377552519</v>
      </c>
      <c r="BB225" s="62">
        <v>5875.8105999999998</v>
      </c>
      <c r="BC225" s="60">
        <v>22.797645622425989</v>
      </c>
    </row>
    <row r="226" spans="1:55" x14ac:dyDescent="0.25">
      <c r="A226">
        <v>32635</v>
      </c>
      <c r="B226" t="s">
        <v>121</v>
      </c>
      <c r="C226">
        <v>2017</v>
      </c>
      <c r="D226">
        <v>9</v>
      </c>
      <c r="E226" t="s">
        <v>51</v>
      </c>
      <c r="F226" t="s">
        <v>449</v>
      </c>
      <c r="G226" t="s">
        <v>84</v>
      </c>
      <c r="H226" t="s">
        <v>381</v>
      </c>
      <c r="I226" t="s">
        <v>427</v>
      </c>
      <c r="J226">
        <v>-4.3922125000000003</v>
      </c>
      <c r="K226" t="s">
        <v>440</v>
      </c>
      <c r="L226" t="s">
        <v>450</v>
      </c>
      <c r="M226">
        <v>0.15011157993331001</v>
      </c>
      <c r="N226">
        <v>0.65932195833375884</v>
      </c>
      <c r="O226">
        <v>29976.978999999999</v>
      </c>
      <c r="P226">
        <v>1.6679465999999999E-5</v>
      </c>
      <c r="Q226">
        <v>1</v>
      </c>
      <c r="R226" s="60">
        <v>0.65932195833375884</v>
      </c>
      <c r="S226" t="s">
        <v>336</v>
      </c>
      <c r="T226" t="s">
        <v>433</v>
      </c>
      <c r="U226" t="s">
        <v>425</v>
      </c>
      <c r="V226" t="s">
        <v>26</v>
      </c>
      <c r="W226">
        <v>111.133</v>
      </c>
      <c r="X226">
        <v>0.99819678194932504</v>
      </c>
      <c r="Y226">
        <v>110.9326029683743</v>
      </c>
      <c r="Z226">
        <v>682.07</v>
      </c>
      <c r="AA226">
        <v>1</v>
      </c>
      <c r="AB226">
        <v>75.663800506639092</v>
      </c>
      <c r="AC226">
        <v>1.0178</v>
      </c>
      <c r="AD226" s="62">
        <v>77.010999999999996</v>
      </c>
      <c r="AE226">
        <v>8.9176000000000002</v>
      </c>
      <c r="AF226">
        <v>8.9015196227113016</v>
      </c>
      <c r="AG226">
        <v>1</v>
      </c>
      <c r="AH226">
        <v>6071.4594890626977</v>
      </c>
      <c r="AI226">
        <v>1.0020831266739409</v>
      </c>
      <c r="AJ226" s="62">
        <v>6084.1071000000002</v>
      </c>
      <c r="AK226" s="60">
        <v>4011.385407884326</v>
      </c>
      <c r="AL226" t="s">
        <v>342</v>
      </c>
      <c r="AM226" t="s">
        <v>434</v>
      </c>
      <c r="AN226" t="s">
        <v>425</v>
      </c>
      <c r="AO226" t="s">
        <v>26</v>
      </c>
      <c r="AP226">
        <v>111.133</v>
      </c>
      <c r="AQ226">
        <v>1.0155396203574489</v>
      </c>
      <c r="AR226">
        <v>112.8599646291844</v>
      </c>
      <c r="AS226">
        <v>625.54</v>
      </c>
      <c r="AT226">
        <v>1</v>
      </c>
      <c r="AU226">
        <v>70.598422274140006</v>
      </c>
      <c r="AV226">
        <v>1.012368394153123</v>
      </c>
      <c r="AW226" s="62">
        <v>71.471999999999994</v>
      </c>
      <c r="AX226">
        <v>8.9176000000000002</v>
      </c>
      <c r="AY226">
        <v>1</v>
      </c>
      <c r="AZ226">
        <v>5665.0004091662331</v>
      </c>
      <c r="BA226">
        <v>0.99404987733863315</v>
      </c>
      <c r="BB226" s="62">
        <v>5631.2929999999997</v>
      </c>
      <c r="BC226" s="60">
        <v>3712.8351287111882</v>
      </c>
    </row>
    <row r="227" spans="1:55" x14ac:dyDescent="0.25">
      <c r="A227">
        <v>32636</v>
      </c>
      <c r="B227" t="s">
        <v>121</v>
      </c>
      <c r="C227">
        <v>2017</v>
      </c>
      <c r="D227">
        <v>9</v>
      </c>
      <c r="E227" t="s">
        <v>51</v>
      </c>
      <c r="F227" t="s">
        <v>449</v>
      </c>
      <c r="G227" t="s">
        <v>84</v>
      </c>
      <c r="H227" t="s">
        <v>381</v>
      </c>
      <c r="I227" t="s">
        <v>427</v>
      </c>
      <c r="J227">
        <v>-4.3922125000000003</v>
      </c>
      <c r="K227" t="s">
        <v>440</v>
      </c>
      <c r="L227" t="s">
        <v>384</v>
      </c>
      <c r="M227">
        <v>4.5811354346740003E-2</v>
      </c>
      <c r="N227">
        <v>0.2012132033733392</v>
      </c>
      <c r="O227">
        <v>29976.978999999999</v>
      </c>
      <c r="P227">
        <v>1.6679465999999999E-5</v>
      </c>
      <c r="Q227">
        <v>1</v>
      </c>
      <c r="R227" s="60">
        <v>0.2012132033733392</v>
      </c>
      <c r="S227" t="s">
        <v>336</v>
      </c>
      <c r="T227" t="s">
        <v>433</v>
      </c>
      <c r="U227" t="s">
        <v>425</v>
      </c>
      <c r="V227" t="s">
        <v>81</v>
      </c>
      <c r="W227">
        <v>111.133</v>
      </c>
      <c r="X227">
        <v>0.99819678194932504</v>
      </c>
      <c r="Y227">
        <v>110.9326029683743</v>
      </c>
      <c r="Z227">
        <v>682.07</v>
      </c>
      <c r="AA227">
        <v>1</v>
      </c>
      <c r="AB227">
        <v>75.663800506639092</v>
      </c>
      <c r="AC227">
        <v>0.92979999999999996</v>
      </c>
      <c r="AD227" s="62">
        <v>70.352000000000004</v>
      </c>
      <c r="AE227">
        <v>8.9176000000000002</v>
      </c>
      <c r="AF227">
        <v>8.9015196227113016</v>
      </c>
      <c r="AG227">
        <v>1</v>
      </c>
      <c r="AH227">
        <v>6071.4594890626977</v>
      </c>
      <c r="AI227">
        <v>1.0375922509225091</v>
      </c>
      <c r="AJ227" s="62">
        <v>6299.6993000000002</v>
      </c>
      <c r="AK227" s="60">
        <v>1267.582676441783</v>
      </c>
      <c r="AL227" t="s">
        <v>342</v>
      </c>
      <c r="AM227" t="s">
        <v>434</v>
      </c>
      <c r="AN227" t="s">
        <v>425</v>
      </c>
      <c r="AO227" t="s">
        <v>81</v>
      </c>
      <c r="AP227">
        <v>111.133</v>
      </c>
      <c r="AQ227">
        <v>1.0155396203574489</v>
      </c>
      <c r="AR227">
        <v>112.8599646291844</v>
      </c>
      <c r="AS227">
        <v>625.54</v>
      </c>
      <c r="AT227">
        <v>1</v>
      </c>
      <c r="AU227">
        <v>70.598422274140006</v>
      </c>
      <c r="AV227">
        <v>0.95185525912296853</v>
      </c>
      <c r="AW227" s="62">
        <v>67.198999999999998</v>
      </c>
      <c r="AX227">
        <v>8.9176000000000002</v>
      </c>
      <c r="AY227">
        <v>1</v>
      </c>
      <c r="AZ227">
        <v>5665.0004091662331</v>
      </c>
      <c r="BA227">
        <v>1.081469419077697</v>
      </c>
      <c r="BB227" s="62">
        <v>6126.5246999999999</v>
      </c>
      <c r="BC227" s="60">
        <v>1232.7376604328861</v>
      </c>
    </row>
    <row r="228" spans="1:55" x14ac:dyDescent="0.25">
      <c r="A228">
        <v>32637</v>
      </c>
      <c r="B228" t="s">
        <v>121</v>
      </c>
      <c r="C228">
        <v>2017</v>
      </c>
      <c r="D228">
        <v>9</v>
      </c>
      <c r="E228" t="s">
        <v>51</v>
      </c>
      <c r="F228" t="s">
        <v>449</v>
      </c>
      <c r="G228" t="s">
        <v>84</v>
      </c>
      <c r="H228" t="s">
        <v>381</v>
      </c>
      <c r="I228" t="s">
        <v>427</v>
      </c>
      <c r="J228">
        <v>-4.3922125000000003</v>
      </c>
      <c r="K228" t="s">
        <v>440</v>
      </c>
      <c r="L228" t="s">
        <v>385</v>
      </c>
      <c r="M228">
        <v>0.43232641346992001</v>
      </c>
      <c r="N228">
        <v>1.898869478923835</v>
      </c>
      <c r="O228">
        <v>29976.978999999999</v>
      </c>
      <c r="P228">
        <v>1.6679465999999999E-5</v>
      </c>
      <c r="Q228">
        <v>1</v>
      </c>
      <c r="R228" s="60">
        <v>1.898869478923835</v>
      </c>
      <c r="S228" t="s">
        <v>336</v>
      </c>
      <c r="T228" t="s">
        <v>433</v>
      </c>
      <c r="U228" t="s">
        <v>425</v>
      </c>
      <c r="V228" t="s">
        <v>27</v>
      </c>
      <c r="W228">
        <v>111.133</v>
      </c>
      <c r="X228">
        <v>0.99819678194932504</v>
      </c>
      <c r="Y228">
        <v>110.9326029683743</v>
      </c>
      <c r="Z228">
        <v>682.07</v>
      </c>
      <c r="AA228">
        <v>1</v>
      </c>
      <c r="AB228">
        <v>75.663800506639092</v>
      </c>
      <c r="AC228">
        <v>0.99739999999999995</v>
      </c>
      <c r="AD228" s="62">
        <v>75.466999999999999</v>
      </c>
      <c r="AE228">
        <v>8.9176000000000002</v>
      </c>
      <c r="AF228">
        <v>8.9015196227113016</v>
      </c>
      <c r="AG228">
        <v>1</v>
      </c>
      <c r="AH228">
        <v>6071.4594890626977</v>
      </c>
      <c r="AI228">
        <v>1.0108695652173909</v>
      </c>
      <c r="AJ228" s="62">
        <v>6137.4535999999998</v>
      </c>
      <c r="AK228" s="60">
        <v>11654.22331935122</v>
      </c>
      <c r="AL228" t="s">
        <v>342</v>
      </c>
      <c r="AM228" t="s">
        <v>434</v>
      </c>
      <c r="AN228" t="s">
        <v>425</v>
      </c>
      <c r="AO228" t="s">
        <v>27</v>
      </c>
      <c r="AP228">
        <v>111.133</v>
      </c>
      <c r="AQ228">
        <v>1.0155396203574489</v>
      </c>
      <c r="AR228">
        <v>112.8599646291844</v>
      </c>
      <c r="AS228">
        <v>625.54</v>
      </c>
      <c r="AT228">
        <v>1</v>
      </c>
      <c r="AU228">
        <v>70.598422274140006</v>
      </c>
      <c r="AV228">
        <v>1.0016354901359501</v>
      </c>
      <c r="AW228" s="62">
        <v>70.713999999999999</v>
      </c>
      <c r="AX228">
        <v>8.9176000000000002</v>
      </c>
      <c r="AY228">
        <v>1</v>
      </c>
      <c r="AZ228">
        <v>5665.0004091662331</v>
      </c>
      <c r="BA228">
        <v>1.016194415745886</v>
      </c>
      <c r="BB228" s="62">
        <v>5756.7417999999998</v>
      </c>
      <c r="BC228" s="60">
        <v>10931.30130206506</v>
      </c>
    </row>
    <row r="229" spans="1:55" x14ac:dyDescent="0.25">
      <c r="A229">
        <v>32638</v>
      </c>
      <c r="B229" t="s">
        <v>121</v>
      </c>
      <c r="C229">
        <v>2017</v>
      </c>
      <c r="D229">
        <v>9</v>
      </c>
      <c r="E229" t="s">
        <v>51</v>
      </c>
      <c r="F229" t="s">
        <v>449</v>
      </c>
      <c r="G229" t="s">
        <v>84</v>
      </c>
      <c r="H229" t="s">
        <v>381</v>
      </c>
      <c r="I229" t="s">
        <v>427</v>
      </c>
      <c r="J229">
        <v>-4.3922125000000003</v>
      </c>
      <c r="K229" t="s">
        <v>440</v>
      </c>
      <c r="L229" t="s">
        <v>451</v>
      </c>
      <c r="M229">
        <v>1.6825115802299999E-3</v>
      </c>
      <c r="N229">
        <v>7.3899484003119966E-3</v>
      </c>
      <c r="O229">
        <v>29976.978999999999</v>
      </c>
      <c r="P229">
        <v>1.6679465999999999E-5</v>
      </c>
      <c r="Q229">
        <v>1</v>
      </c>
      <c r="R229" s="60">
        <v>7.3899484003119966E-3</v>
      </c>
      <c r="S229" t="s">
        <v>336</v>
      </c>
      <c r="T229" t="s">
        <v>433</v>
      </c>
      <c r="U229" t="s">
        <v>425</v>
      </c>
      <c r="V229" t="s">
        <v>91</v>
      </c>
      <c r="W229">
        <v>111.133</v>
      </c>
      <c r="X229">
        <v>0.99819678194932504</v>
      </c>
      <c r="Y229">
        <v>110.9326029683743</v>
      </c>
      <c r="Z229">
        <v>682.07</v>
      </c>
      <c r="AA229">
        <v>1</v>
      </c>
      <c r="AB229">
        <v>75.663800506639092</v>
      </c>
      <c r="AC229">
        <v>1.0269999999999999</v>
      </c>
      <c r="AD229" s="62">
        <v>77.706999999999994</v>
      </c>
      <c r="AE229">
        <v>8.9176000000000002</v>
      </c>
      <c r="AF229">
        <v>8.9015196227113016</v>
      </c>
      <c r="AG229">
        <v>1</v>
      </c>
      <c r="AH229">
        <v>6071.4594890626977</v>
      </c>
      <c r="AI229">
        <v>0.98496680983990625</v>
      </c>
      <c r="AJ229" s="62">
        <v>5980.1860999999999</v>
      </c>
      <c r="AK229" s="60">
        <v>44.193266703263028</v>
      </c>
      <c r="AL229" t="s">
        <v>342</v>
      </c>
      <c r="AM229" t="s">
        <v>434</v>
      </c>
      <c r="AN229" t="s">
        <v>425</v>
      </c>
      <c r="AO229" t="s">
        <v>91</v>
      </c>
      <c r="AP229">
        <v>111.133</v>
      </c>
      <c r="AQ229">
        <v>1.0155396203574489</v>
      </c>
      <c r="AR229">
        <v>112.8599646291844</v>
      </c>
      <c r="AS229">
        <v>625.54</v>
      </c>
      <c r="AT229">
        <v>1</v>
      </c>
      <c r="AU229">
        <v>70.598422274140006</v>
      </c>
      <c r="AV229">
        <v>1.02984769498109</v>
      </c>
      <c r="AW229" s="62">
        <v>72.706000000000003</v>
      </c>
      <c r="AX229">
        <v>8.9176000000000002</v>
      </c>
      <c r="AY229">
        <v>1</v>
      </c>
      <c r="AZ229">
        <v>5665.0004091662331</v>
      </c>
      <c r="BA229">
        <v>0.9935711161666545</v>
      </c>
      <c r="BB229" s="62">
        <v>5628.5807999999997</v>
      </c>
      <c r="BC229" s="60">
        <v>41.594921678986807</v>
      </c>
    </row>
    <row r="230" spans="1:55" x14ac:dyDescent="0.25">
      <c r="A230">
        <v>32639</v>
      </c>
      <c r="B230" t="s">
        <v>121</v>
      </c>
      <c r="C230">
        <v>2017</v>
      </c>
      <c r="D230">
        <v>9</v>
      </c>
      <c r="E230" t="s">
        <v>51</v>
      </c>
      <c r="F230" t="s">
        <v>449</v>
      </c>
      <c r="G230" t="s">
        <v>84</v>
      </c>
      <c r="H230" t="s">
        <v>381</v>
      </c>
      <c r="I230" t="s">
        <v>427</v>
      </c>
      <c r="J230">
        <v>-4.3922125000000003</v>
      </c>
      <c r="K230" t="s">
        <v>440</v>
      </c>
      <c r="L230" t="s">
        <v>452</v>
      </c>
      <c r="M230">
        <v>1.53682162831E-3</v>
      </c>
      <c r="N230">
        <v>6.7500471718250242E-3</v>
      </c>
      <c r="O230">
        <v>29976.978999999999</v>
      </c>
      <c r="P230">
        <v>1.6679465999999999E-5</v>
      </c>
      <c r="Q230">
        <v>1</v>
      </c>
      <c r="R230" s="60">
        <v>6.7500471718250242E-3</v>
      </c>
      <c r="S230" t="s">
        <v>336</v>
      </c>
      <c r="T230" t="s">
        <v>433</v>
      </c>
      <c r="U230" t="s">
        <v>425</v>
      </c>
      <c r="V230" t="s">
        <v>28</v>
      </c>
      <c r="W230">
        <v>111.133</v>
      </c>
      <c r="X230">
        <v>0.99819678194932504</v>
      </c>
      <c r="Y230">
        <v>110.9326029683743</v>
      </c>
      <c r="Z230">
        <v>682.07</v>
      </c>
      <c r="AA230">
        <v>1</v>
      </c>
      <c r="AB230">
        <v>75.663800506639092</v>
      </c>
      <c r="AC230">
        <v>1.0196000000000001</v>
      </c>
      <c r="AD230" s="62">
        <v>77.147000000000006</v>
      </c>
      <c r="AE230">
        <v>8.9176000000000002</v>
      </c>
      <c r="AF230">
        <v>8.9015196227113016</v>
      </c>
      <c r="AG230">
        <v>1</v>
      </c>
      <c r="AH230">
        <v>6071.4594890626977</v>
      </c>
      <c r="AI230">
        <v>0.97991730655640863</v>
      </c>
      <c r="AJ230" s="62">
        <v>5949.5281999999997</v>
      </c>
      <c r="AK230" s="60">
        <v>40.159596000103228</v>
      </c>
      <c r="AL230" t="s">
        <v>342</v>
      </c>
      <c r="AM230" t="s">
        <v>434</v>
      </c>
      <c r="AN230" t="s">
        <v>425</v>
      </c>
      <c r="AO230" t="s">
        <v>28</v>
      </c>
      <c r="AP230">
        <v>111.133</v>
      </c>
      <c r="AQ230">
        <v>1.0155396203574489</v>
      </c>
      <c r="AR230">
        <v>112.8599646291844</v>
      </c>
      <c r="AS230">
        <v>625.54</v>
      </c>
      <c r="AT230">
        <v>1</v>
      </c>
      <c r="AU230">
        <v>70.598422274140006</v>
      </c>
      <c r="AV230">
        <v>1.0451804150056221</v>
      </c>
      <c r="AW230" s="62">
        <v>73.787999999999997</v>
      </c>
      <c r="AX230">
        <v>8.9176000000000002</v>
      </c>
      <c r="AY230">
        <v>1</v>
      </c>
      <c r="AZ230">
        <v>5665.0004091662331</v>
      </c>
      <c r="BA230">
        <v>1.0071061377552519</v>
      </c>
      <c r="BB230" s="62">
        <v>5705.2566999999999</v>
      </c>
      <c r="BC230" s="60">
        <v>38.510751852370767</v>
      </c>
    </row>
    <row r="231" spans="1:55" x14ac:dyDescent="0.25">
      <c r="A231">
        <v>32640</v>
      </c>
      <c r="B231" t="s">
        <v>121</v>
      </c>
      <c r="C231">
        <v>2017</v>
      </c>
      <c r="D231">
        <v>9</v>
      </c>
      <c r="E231" t="s">
        <v>51</v>
      </c>
      <c r="F231" t="s">
        <v>449</v>
      </c>
      <c r="G231" t="s">
        <v>84</v>
      </c>
      <c r="H231" t="s">
        <v>87</v>
      </c>
      <c r="I231" t="s">
        <v>427</v>
      </c>
      <c r="J231">
        <v>-0.83024880000000001</v>
      </c>
      <c r="K231" t="s">
        <v>440</v>
      </c>
      <c r="L231" t="s">
        <v>450</v>
      </c>
      <c r="M231">
        <v>0.26601384014995</v>
      </c>
      <c r="N231">
        <v>0.22085767153020261</v>
      </c>
      <c r="O231">
        <v>29976.978999999999</v>
      </c>
      <c r="P231">
        <v>1.6679465999999999E-5</v>
      </c>
      <c r="Q231">
        <v>1</v>
      </c>
      <c r="R231" s="60">
        <v>0.22085767153020261</v>
      </c>
      <c r="S231" t="s">
        <v>336</v>
      </c>
      <c r="T231" t="s">
        <v>433</v>
      </c>
      <c r="U231" t="s">
        <v>425</v>
      </c>
      <c r="V231" t="s">
        <v>26</v>
      </c>
      <c r="W231">
        <v>111.133</v>
      </c>
      <c r="X231">
        <v>0.99819678194932504</v>
      </c>
      <c r="Y231">
        <v>110.9326029683743</v>
      </c>
      <c r="Z231">
        <v>682.07</v>
      </c>
      <c r="AA231">
        <v>1</v>
      </c>
      <c r="AB231">
        <v>75.663800506639092</v>
      </c>
      <c r="AC231">
        <v>1.0178</v>
      </c>
      <c r="AD231" s="62">
        <v>77.010999999999996</v>
      </c>
      <c r="AE231">
        <v>8.9176000000000002</v>
      </c>
      <c r="AF231">
        <v>8.9015196227113016</v>
      </c>
      <c r="AG231">
        <v>1</v>
      </c>
      <c r="AH231">
        <v>6071.4594890626977</v>
      </c>
      <c r="AI231">
        <v>1.0020831266739409</v>
      </c>
      <c r="AJ231" s="62">
        <v>6084.1071000000002</v>
      </c>
      <c r="AK231" s="60">
        <v>1343.721727446374</v>
      </c>
      <c r="AL231" t="s">
        <v>342</v>
      </c>
      <c r="AM231" t="s">
        <v>434</v>
      </c>
      <c r="AN231" t="s">
        <v>425</v>
      </c>
      <c r="AO231" t="s">
        <v>26</v>
      </c>
      <c r="AP231">
        <v>111.133</v>
      </c>
      <c r="AQ231">
        <v>1.0155396203574489</v>
      </c>
      <c r="AR231">
        <v>112.8599646291844</v>
      </c>
      <c r="AS231">
        <v>625.54</v>
      </c>
      <c r="AT231">
        <v>1</v>
      </c>
      <c r="AU231">
        <v>70.598422274140006</v>
      </c>
      <c r="AV231">
        <v>1.012368394153123</v>
      </c>
      <c r="AW231" s="62">
        <v>71.471999999999994</v>
      </c>
      <c r="AX231">
        <v>8.9176000000000002</v>
      </c>
      <c r="AY231">
        <v>1</v>
      </c>
      <c r="AZ231">
        <v>5665.0004091662331</v>
      </c>
      <c r="BA231">
        <v>0.99404987733863315</v>
      </c>
      <c r="BB231" s="62">
        <v>5631.2929999999997</v>
      </c>
      <c r="BC231" s="60">
        <v>1243.7142596843289</v>
      </c>
    </row>
    <row r="232" spans="1:55" x14ac:dyDescent="0.25">
      <c r="A232">
        <v>32641</v>
      </c>
      <c r="B232" t="s">
        <v>121</v>
      </c>
      <c r="C232">
        <v>2017</v>
      </c>
      <c r="D232">
        <v>9</v>
      </c>
      <c r="E232" t="s">
        <v>51</v>
      </c>
      <c r="F232" t="s">
        <v>449</v>
      </c>
      <c r="G232" t="s">
        <v>84</v>
      </c>
      <c r="H232" t="s">
        <v>87</v>
      </c>
      <c r="I232" t="s">
        <v>427</v>
      </c>
      <c r="J232">
        <v>-0.83024880000000001</v>
      </c>
      <c r="K232" t="s">
        <v>440</v>
      </c>
      <c r="L232" t="s">
        <v>384</v>
      </c>
      <c r="M232">
        <v>3.9509559941419997E-2</v>
      </c>
      <c r="N232">
        <v>3.2802764724294851E-2</v>
      </c>
      <c r="O232">
        <v>29976.978999999999</v>
      </c>
      <c r="P232">
        <v>1.6679465999999999E-5</v>
      </c>
      <c r="Q232">
        <v>1</v>
      </c>
      <c r="R232" s="60">
        <v>3.2802764724294851E-2</v>
      </c>
      <c r="S232" t="s">
        <v>336</v>
      </c>
      <c r="T232" t="s">
        <v>433</v>
      </c>
      <c r="U232" t="s">
        <v>425</v>
      </c>
      <c r="V232" t="s">
        <v>81</v>
      </c>
      <c r="W232">
        <v>111.133</v>
      </c>
      <c r="X232">
        <v>0.99819678194932504</v>
      </c>
      <c r="Y232">
        <v>110.9326029683743</v>
      </c>
      <c r="Z232">
        <v>682.07</v>
      </c>
      <c r="AA232">
        <v>1</v>
      </c>
      <c r="AB232">
        <v>75.663800506639092</v>
      </c>
      <c r="AC232">
        <v>0.92979999999999996</v>
      </c>
      <c r="AD232" s="62">
        <v>70.352000000000004</v>
      </c>
      <c r="AE232">
        <v>8.9176000000000002</v>
      </c>
      <c r="AF232">
        <v>8.9015196227113016</v>
      </c>
      <c r="AG232">
        <v>1</v>
      </c>
      <c r="AH232">
        <v>6071.4594890626977</v>
      </c>
      <c r="AI232">
        <v>1.0375922509225091</v>
      </c>
      <c r="AJ232" s="62">
        <v>6299.6993000000002</v>
      </c>
      <c r="AK232" s="60">
        <v>206.64755397170501</v>
      </c>
      <c r="AL232" t="s">
        <v>342</v>
      </c>
      <c r="AM232" t="s">
        <v>434</v>
      </c>
      <c r="AN232" t="s">
        <v>425</v>
      </c>
      <c r="AO232" t="s">
        <v>81</v>
      </c>
      <c r="AP232">
        <v>111.133</v>
      </c>
      <c r="AQ232">
        <v>1.0155396203574489</v>
      </c>
      <c r="AR232">
        <v>112.8599646291844</v>
      </c>
      <c r="AS232">
        <v>625.54</v>
      </c>
      <c r="AT232">
        <v>1</v>
      </c>
      <c r="AU232">
        <v>70.598422274140006</v>
      </c>
      <c r="AV232">
        <v>0.95185525912296853</v>
      </c>
      <c r="AW232" s="62">
        <v>67.198999999999998</v>
      </c>
      <c r="AX232">
        <v>8.9176000000000002</v>
      </c>
      <c r="AY232">
        <v>1</v>
      </c>
      <c r="AZ232">
        <v>5665.0004091662331</v>
      </c>
      <c r="BA232">
        <v>1.081469419077697</v>
      </c>
      <c r="BB232" s="62">
        <v>6126.5246999999999</v>
      </c>
      <c r="BC232" s="60">
        <v>200.96694831168111</v>
      </c>
    </row>
    <row r="233" spans="1:55" x14ac:dyDescent="0.25">
      <c r="A233">
        <v>32642</v>
      </c>
      <c r="B233" t="s">
        <v>121</v>
      </c>
      <c r="C233">
        <v>2017</v>
      </c>
      <c r="D233">
        <v>9</v>
      </c>
      <c r="E233" t="s">
        <v>51</v>
      </c>
      <c r="F233" t="s">
        <v>449</v>
      </c>
      <c r="G233" t="s">
        <v>84</v>
      </c>
      <c r="H233" t="s">
        <v>87</v>
      </c>
      <c r="I233" t="s">
        <v>427</v>
      </c>
      <c r="J233">
        <v>-0.83024880000000001</v>
      </c>
      <c r="K233" t="s">
        <v>440</v>
      </c>
      <c r="L233" t="s">
        <v>385</v>
      </c>
      <c r="M233">
        <v>0.39737542925016001</v>
      </c>
      <c r="N233">
        <v>0.3299204732281355</v>
      </c>
      <c r="O233">
        <v>29976.978999999999</v>
      </c>
      <c r="P233">
        <v>1.6679465999999999E-5</v>
      </c>
      <c r="Q233">
        <v>1</v>
      </c>
      <c r="R233" s="60">
        <v>0.3299204732281355</v>
      </c>
      <c r="S233" t="s">
        <v>336</v>
      </c>
      <c r="T233" t="s">
        <v>433</v>
      </c>
      <c r="U233" t="s">
        <v>425</v>
      </c>
      <c r="V233" t="s">
        <v>27</v>
      </c>
      <c r="W233">
        <v>111.133</v>
      </c>
      <c r="X233">
        <v>0.99819678194932504</v>
      </c>
      <c r="Y233">
        <v>110.9326029683743</v>
      </c>
      <c r="Z233">
        <v>682.07</v>
      </c>
      <c r="AA233">
        <v>1</v>
      </c>
      <c r="AB233">
        <v>75.663800506639092</v>
      </c>
      <c r="AC233">
        <v>0.99739999999999995</v>
      </c>
      <c r="AD233" s="62">
        <v>75.466999999999999</v>
      </c>
      <c r="AE233">
        <v>8.9176000000000002</v>
      </c>
      <c r="AF233">
        <v>8.9015196227113016</v>
      </c>
      <c r="AG233">
        <v>1</v>
      </c>
      <c r="AH233">
        <v>6071.4594890626977</v>
      </c>
      <c r="AI233">
        <v>1.0108695652173909</v>
      </c>
      <c r="AJ233" s="62">
        <v>6137.4535999999998</v>
      </c>
      <c r="AK233" s="60">
        <v>2024.8715961277239</v>
      </c>
      <c r="AL233" t="s">
        <v>342</v>
      </c>
      <c r="AM233" t="s">
        <v>434</v>
      </c>
      <c r="AN233" t="s">
        <v>425</v>
      </c>
      <c r="AO233" t="s">
        <v>27</v>
      </c>
      <c r="AP233">
        <v>111.133</v>
      </c>
      <c r="AQ233">
        <v>1.0155396203574489</v>
      </c>
      <c r="AR233">
        <v>112.8599646291844</v>
      </c>
      <c r="AS233">
        <v>625.54</v>
      </c>
      <c r="AT233">
        <v>1</v>
      </c>
      <c r="AU233">
        <v>70.598422274140006</v>
      </c>
      <c r="AV233">
        <v>1.0016354901359501</v>
      </c>
      <c r="AW233" s="62">
        <v>70.713999999999999</v>
      </c>
      <c r="AX233">
        <v>8.9176000000000002</v>
      </c>
      <c r="AY233">
        <v>1</v>
      </c>
      <c r="AZ233">
        <v>5665.0004091662331</v>
      </c>
      <c r="BA233">
        <v>1.016194415745886</v>
      </c>
      <c r="BB233" s="62">
        <v>5756.7417999999998</v>
      </c>
      <c r="BC233" s="60">
        <v>1899.266978908189</v>
      </c>
    </row>
    <row r="234" spans="1:55" x14ac:dyDescent="0.25">
      <c r="A234">
        <v>32643</v>
      </c>
      <c r="B234" t="s">
        <v>121</v>
      </c>
      <c r="C234">
        <v>2017</v>
      </c>
      <c r="D234">
        <v>9</v>
      </c>
      <c r="E234" t="s">
        <v>51</v>
      </c>
      <c r="F234" t="s">
        <v>449</v>
      </c>
      <c r="G234" t="s">
        <v>84</v>
      </c>
      <c r="H234" t="s">
        <v>87</v>
      </c>
      <c r="I234" t="s">
        <v>427</v>
      </c>
      <c r="J234">
        <v>-0.83024880000000001</v>
      </c>
      <c r="K234" t="s">
        <v>440</v>
      </c>
      <c r="L234" t="s">
        <v>452</v>
      </c>
      <c r="M234">
        <v>8.4248020759000004E-4</v>
      </c>
      <c r="N234">
        <v>6.9946818125599737E-4</v>
      </c>
      <c r="O234">
        <v>29976.978999999999</v>
      </c>
      <c r="P234">
        <v>1.6679465999999999E-5</v>
      </c>
      <c r="Q234">
        <v>1</v>
      </c>
      <c r="R234" s="60">
        <v>6.9946818125599737E-4</v>
      </c>
      <c r="S234" t="s">
        <v>336</v>
      </c>
      <c r="T234" t="s">
        <v>433</v>
      </c>
      <c r="U234" t="s">
        <v>425</v>
      </c>
      <c r="V234" t="s">
        <v>28</v>
      </c>
      <c r="W234">
        <v>111.133</v>
      </c>
      <c r="X234">
        <v>0.99819678194932504</v>
      </c>
      <c r="Y234">
        <v>110.9326029683743</v>
      </c>
      <c r="Z234">
        <v>682.07</v>
      </c>
      <c r="AA234">
        <v>1</v>
      </c>
      <c r="AB234">
        <v>75.663800506639092</v>
      </c>
      <c r="AC234">
        <v>1.0196000000000001</v>
      </c>
      <c r="AD234" s="62">
        <v>77.147000000000006</v>
      </c>
      <c r="AE234">
        <v>8.9176000000000002</v>
      </c>
      <c r="AF234">
        <v>8.9015196227113016</v>
      </c>
      <c r="AG234">
        <v>1</v>
      </c>
      <c r="AH234">
        <v>6071.4594890626977</v>
      </c>
      <c r="AI234">
        <v>0.97991730655640863</v>
      </c>
      <c r="AJ234" s="62">
        <v>5949.5281999999997</v>
      </c>
      <c r="AK234" s="60">
        <v>4.1615056693852672</v>
      </c>
      <c r="AL234" t="s">
        <v>342</v>
      </c>
      <c r="AM234" t="s">
        <v>434</v>
      </c>
      <c r="AN234" t="s">
        <v>425</v>
      </c>
      <c r="AO234" t="s">
        <v>28</v>
      </c>
      <c r="AP234">
        <v>111.133</v>
      </c>
      <c r="AQ234">
        <v>1.0155396203574489</v>
      </c>
      <c r="AR234">
        <v>112.8599646291844</v>
      </c>
      <c r="AS234">
        <v>625.54</v>
      </c>
      <c r="AT234">
        <v>1</v>
      </c>
      <c r="AU234">
        <v>70.598422274140006</v>
      </c>
      <c r="AV234">
        <v>1.0451804150056221</v>
      </c>
      <c r="AW234" s="62">
        <v>73.787999999999997</v>
      </c>
      <c r="AX234">
        <v>8.9176000000000002</v>
      </c>
      <c r="AY234">
        <v>1</v>
      </c>
      <c r="AZ234">
        <v>5665.0004091662331</v>
      </c>
      <c r="BA234">
        <v>1.0071061377552519</v>
      </c>
      <c r="BB234" s="62">
        <v>5705.2566999999999</v>
      </c>
      <c r="BC234" s="60">
        <v>3.9906455275475929</v>
      </c>
    </row>
    <row r="235" spans="1:55" x14ac:dyDescent="0.25">
      <c r="A235">
        <v>32644</v>
      </c>
      <c r="B235" t="s">
        <v>121</v>
      </c>
      <c r="C235">
        <v>2017</v>
      </c>
      <c r="D235">
        <v>9</v>
      </c>
      <c r="E235" t="s">
        <v>51</v>
      </c>
      <c r="F235" t="s">
        <v>449</v>
      </c>
      <c r="G235" t="s">
        <v>84</v>
      </c>
      <c r="H235" t="s">
        <v>59</v>
      </c>
      <c r="I235" t="s">
        <v>427</v>
      </c>
      <c r="J235">
        <v>-2.6047009000000001</v>
      </c>
      <c r="K235" t="s">
        <v>440</v>
      </c>
      <c r="L235" t="s">
        <v>450</v>
      </c>
      <c r="M235">
        <v>0.15931709696460999</v>
      </c>
      <c r="N235">
        <v>0.41497338607931022</v>
      </c>
      <c r="O235">
        <v>29976.978999999999</v>
      </c>
      <c r="P235">
        <v>1.6679465999999999E-5</v>
      </c>
      <c r="Q235">
        <v>1</v>
      </c>
      <c r="R235" s="60">
        <v>0.41497338607931022</v>
      </c>
      <c r="S235" t="s">
        <v>336</v>
      </c>
      <c r="T235" t="s">
        <v>433</v>
      </c>
      <c r="U235" t="s">
        <v>425</v>
      </c>
      <c r="V235" t="s">
        <v>26</v>
      </c>
      <c r="W235">
        <v>111.133</v>
      </c>
      <c r="X235">
        <v>0.99819678194932504</v>
      </c>
      <c r="Y235">
        <v>110.9326029683743</v>
      </c>
      <c r="Z235">
        <v>682.07</v>
      </c>
      <c r="AA235">
        <v>1</v>
      </c>
      <c r="AB235">
        <v>75.663800506639092</v>
      </c>
      <c r="AC235">
        <v>1.0178</v>
      </c>
      <c r="AD235" s="62">
        <v>77.010999999999996</v>
      </c>
      <c r="AE235">
        <v>8.9176000000000002</v>
      </c>
      <c r="AF235">
        <v>8.9015196227113016</v>
      </c>
      <c r="AG235">
        <v>1</v>
      </c>
      <c r="AH235">
        <v>6071.4594890626977</v>
      </c>
      <c r="AI235">
        <v>1.0020831266739409</v>
      </c>
      <c r="AJ235" s="62">
        <v>6084.1071000000002</v>
      </c>
      <c r="AK235" s="60">
        <v>2524.7425245561722</v>
      </c>
      <c r="AL235" t="s">
        <v>342</v>
      </c>
      <c r="AM235" t="s">
        <v>434</v>
      </c>
      <c r="AN235" t="s">
        <v>425</v>
      </c>
      <c r="AO235" t="s">
        <v>26</v>
      </c>
      <c r="AP235">
        <v>111.133</v>
      </c>
      <c r="AQ235">
        <v>1.0155396203574489</v>
      </c>
      <c r="AR235">
        <v>112.8599646291844</v>
      </c>
      <c r="AS235">
        <v>625.54</v>
      </c>
      <c r="AT235">
        <v>1</v>
      </c>
      <c r="AU235">
        <v>70.598422274140006</v>
      </c>
      <c r="AV235">
        <v>1.012368394153123</v>
      </c>
      <c r="AW235" s="62">
        <v>71.471999999999994</v>
      </c>
      <c r="AX235">
        <v>8.9176000000000002</v>
      </c>
      <c r="AY235">
        <v>1</v>
      </c>
      <c r="AZ235">
        <v>5665.0004091662331</v>
      </c>
      <c r="BA235">
        <v>0.99404987733863315</v>
      </c>
      <c r="BB235" s="62">
        <v>5631.2929999999997</v>
      </c>
      <c r="BC235" s="60">
        <v>2336.836724214716</v>
      </c>
    </row>
    <row r="236" spans="1:55" x14ac:dyDescent="0.25">
      <c r="A236">
        <v>32645</v>
      </c>
      <c r="B236" t="s">
        <v>121</v>
      </c>
      <c r="C236">
        <v>2017</v>
      </c>
      <c r="D236">
        <v>9</v>
      </c>
      <c r="E236" t="s">
        <v>51</v>
      </c>
      <c r="F236" t="s">
        <v>449</v>
      </c>
      <c r="G236" t="s">
        <v>84</v>
      </c>
      <c r="H236" t="s">
        <v>59</v>
      </c>
      <c r="I236" t="s">
        <v>427</v>
      </c>
      <c r="J236">
        <v>-2.6047009000000001</v>
      </c>
      <c r="K236" t="s">
        <v>440</v>
      </c>
      <c r="L236" t="s">
        <v>384</v>
      </c>
      <c r="M236">
        <v>4.1785183859599999E-2</v>
      </c>
      <c r="N236">
        <v>0.1088379060661426</v>
      </c>
      <c r="O236">
        <v>29976.978999999999</v>
      </c>
      <c r="P236">
        <v>1.6679465999999999E-5</v>
      </c>
      <c r="Q236">
        <v>1</v>
      </c>
      <c r="R236" s="60">
        <v>0.1088379060661426</v>
      </c>
      <c r="S236" t="s">
        <v>336</v>
      </c>
      <c r="T236" t="s">
        <v>433</v>
      </c>
      <c r="U236" t="s">
        <v>425</v>
      </c>
      <c r="V236" t="s">
        <v>81</v>
      </c>
      <c r="W236">
        <v>111.133</v>
      </c>
      <c r="X236">
        <v>0.99819678194932504</v>
      </c>
      <c r="Y236">
        <v>110.9326029683743</v>
      </c>
      <c r="Z236">
        <v>682.07</v>
      </c>
      <c r="AA236">
        <v>1</v>
      </c>
      <c r="AB236">
        <v>75.663800506639092</v>
      </c>
      <c r="AC236">
        <v>0.92979999999999996</v>
      </c>
      <c r="AD236" s="62">
        <v>70.352000000000004</v>
      </c>
      <c r="AE236">
        <v>8.9176000000000002</v>
      </c>
      <c r="AF236">
        <v>8.9015196227113016</v>
      </c>
      <c r="AG236">
        <v>1</v>
      </c>
      <c r="AH236">
        <v>6071.4594890626977</v>
      </c>
      <c r="AI236">
        <v>1.0375922509225091</v>
      </c>
      <c r="AJ236" s="62">
        <v>6299.6993000000002</v>
      </c>
      <c r="AK236" s="60">
        <v>685.6460806583442</v>
      </c>
      <c r="AL236" t="s">
        <v>342</v>
      </c>
      <c r="AM236" t="s">
        <v>434</v>
      </c>
      <c r="AN236" t="s">
        <v>425</v>
      </c>
      <c r="AO236" t="s">
        <v>81</v>
      </c>
      <c r="AP236">
        <v>111.133</v>
      </c>
      <c r="AQ236">
        <v>1.0155396203574489</v>
      </c>
      <c r="AR236">
        <v>112.8599646291844</v>
      </c>
      <c r="AS236">
        <v>625.54</v>
      </c>
      <c r="AT236">
        <v>1</v>
      </c>
      <c r="AU236">
        <v>70.598422274140006</v>
      </c>
      <c r="AV236">
        <v>0.95185525912296853</v>
      </c>
      <c r="AW236" s="62">
        <v>67.198999999999998</v>
      </c>
      <c r="AX236">
        <v>8.9176000000000002</v>
      </c>
      <c r="AY236">
        <v>1</v>
      </c>
      <c r="AZ236">
        <v>5665.0004091662331</v>
      </c>
      <c r="BA236">
        <v>1.081469419077697</v>
      </c>
      <c r="BB236" s="62">
        <v>6126.5246999999999</v>
      </c>
      <c r="BC236" s="60">
        <v>666.79811981050227</v>
      </c>
    </row>
    <row r="237" spans="1:55" x14ac:dyDescent="0.25">
      <c r="A237">
        <v>32646</v>
      </c>
      <c r="B237" t="s">
        <v>121</v>
      </c>
      <c r="C237">
        <v>2017</v>
      </c>
      <c r="D237">
        <v>9</v>
      </c>
      <c r="E237" t="s">
        <v>51</v>
      </c>
      <c r="F237" t="s">
        <v>449</v>
      </c>
      <c r="G237" t="s">
        <v>84</v>
      </c>
      <c r="H237" t="s">
        <v>59</v>
      </c>
      <c r="I237" t="s">
        <v>427</v>
      </c>
      <c r="J237">
        <v>-2.6047009000000001</v>
      </c>
      <c r="K237" t="s">
        <v>440</v>
      </c>
      <c r="L237" t="s">
        <v>385</v>
      </c>
      <c r="M237">
        <v>0.43497567483749999</v>
      </c>
      <c r="N237">
        <v>1.1329815323558561</v>
      </c>
      <c r="O237">
        <v>29976.978999999999</v>
      </c>
      <c r="P237">
        <v>1.6679465999999999E-5</v>
      </c>
      <c r="Q237">
        <v>1</v>
      </c>
      <c r="R237" s="60">
        <v>1.1329815323558561</v>
      </c>
      <c r="S237" t="s">
        <v>336</v>
      </c>
      <c r="T237" t="s">
        <v>433</v>
      </c>
      <c r="U237" t="s">
        <v>425</v>
      </c>
      <c r="V237" t="s">
        <v>27</v>
      </c>
      <c r="W237">
        <v>111.133</v>
      </c>
      <c r="X237">
        <v>0.99819678194932504</v>
      </c>
      <c r="Y237">
        <v>110.9326029683743</v>
      </c>
      <c r="Z237">
        <v>682.07</v>
      </c>
      <c r="AA237">
        <v>1</v>
      </c>
      <c r="AB237">
        <v>75.663800506639092</v>
      </c>
      <c r="AC237">
        <v>0.99739999999999995</v>
      </c>
      <c r="AD237" s="62">
        <v>75.466999999999999</v>
      </c>
      <c r="AE237">
        <v>8.9176000000000002</v>
      </c>
      <c r="AF237">
        <v>8.9015196227113016</v>
      </c>
      <c r="AG237">
        <v>1</v>
      </c>
      <c r="AH237">
        <v>6071.4594890626977</v>
      </c>
      <c r="AI237">
        <v>1.0108695652173909</v>
      </c>
      <c r="AJ237" s="62">
        <v>6137.4535999999998</v>
      </c>
      <c r="AK237" s="60">
        <v>6953.6215844909666</v>
      </c>
      <c r="AL237" t="s">
        <v>342</v>
      </c>
      <c r="AM237" t="s">
        <v>434</v>
      </c>
      <c r="AN237" t="s">
        <v>425</v>
      </c>
      <c r="AO237" t="s">
        <v>27</v>
      </c>
      <c r="AP237">
        <v>111.133</v>
      </c>
      <c r="AQ237">
        <v>1.0155396203574489</v>
      </c>
      <c r="AR237">
        <v>112.8599646291844</v>
      </c>
      <c r="AS237">
        <v>625.54</v>
      </c>
      <c r="AT237">
        <v>1</v>
      </c>
      <c r="AU237">
        <v>70.598422274140006</v>
      </c>
      <c r="AV237">
        <v>1.0016354901359501</v>
      </c>
      <c r="AW237" s="62">
        <v>70.713999999999999</v>
      </c>
      <c r="AX237">
        <v>8.9176000000000002</v>
      </c>
      <c r="AY237">
        <v>1</v>
      </c>
      <c r="AZ237">
        <v>5665.0004091662331</v>
      </c>
      <c r="BA237">
        <v>1.016194415745886</v>
      </c>
      <c r="BB237" s="62">
        <v>5756.7417999999998</v>
      </c>
      <c r="BC237" s="60">
        <v>6522.2821459410106</v>
      </c>
    </row>
    <row r="238" spans="1:55" x14ac:dyDescent="0.25">
      <c r="A238">
        <v>32647</v>
      </c>
      <c r="B238" t="s">
        <v>121</v>
      </c>
      <c r="C238">
        <v>2017</v>
      </c>
      <c r="D238">
        <v>9</v>
      </c>
      <c r="E238" t="s">
        <v>51</v>
      </c>
      <c r="F238" t="s">
        <v>449</v>
      </c>
      <c r="G238" t="s">
        <v>84</v>
      </c>
      <c r="H238" t="s">
        <v>59</v>
      </c>
      <c r="I238" t="s">
        <v>427</v>
      </c>
      <c r="J238">
        <v>-2.6047009000000001</v>
      </c>
      <c r="K238" t="s">
        <v>440</v>
      </c>
      <c r="L238" t="s">
        <v>451</v>
      </c>
      <c r="M238">
        <v>1.7625750762999999E-3</v>
      </c>
      <c r="N238">
        <v>4.5909808901029893E-3</v>
      </c>
      <c r="O238">
        <v>29976.978999999999</v>
      </c>
      <c r="P238">
        <v>1.6679465999999999E-5</v>
      </c>
      <c r="Q238">
        <v>1</v>
      </c>
      <c r="R238" s="60">
        <v>4.5909808901029893E-3</v>
      </c>
      <c r="S238" t="s">
        <v>336</v>
      </c>
      <c r="T238" t="s">
        <v>433</v>
      </c>
      <c r="U238" t="s">
        <v>425</v>
      </c>
      <c r="V238" t="s">
        <v>91</v>
      </c>
      <c r="W238">
        <v>111.133</v>
      </c>
      <c r="X238">
        <v>0.99819678194932504</v>
      </c>
      <c r="Y238">
        <v>110.9326029683743</v>
      </c>
      <c r="Z238">
        <v>682.07</v>
      </c>
      <c r="AA238">
        <v>1</v>
      </c>
      <c r="AB238">
        <v>75.663800506639092</v>
      </c>
      <c r="AC238">
        <v>1.0269999999999999</v>
      </c>
      <c r="AD238" s="62">
        <v>77.706999999999994</v>
      </c>
      <c r="AE238">
        <v>8.9176000000000002</v>
      </c>
      <c r="AF238">
        <v>8.9015196227113016</v>
      </c>
      <c r="AG238">
        <v>1</v>
      </c>
      <c r="AH238">
        <v>6071.4594890626977</v>
      </c>
      <c r="AI238">
        <v>0.98496680983990625</v>
      </c>
      <c r="AJ238" s="62">
        <v>5980.1860999999999</v>
      </c>
      <c r="AK238" s="60">
        <v>27.45492010435952</v>
      </c>
      <c r="AL238" t="s">
        <v>342</v>
      </c>
      <c r="AM238" t="s">
        <v>434</v>
      </c>
      <c r="AN238" t="s">
        <v>425</v>
      </c>
      <c r="AO238" t="s">
        <v>91</v>
      </c>
      <c r="AP238">
        <v>111.133</v>
      </c>
      <c r="AQ238">
        <v>1.0155396203574489</v>
      </c>
      <c r="AR238">
        <v>112.8599646291844</v>
      </c>
      <c r="AS238">
        <v>625.54</v>
      </c>
      <c r="AT238">
        <v>1</v>
      </c>
      <c r="AU238">
        <v>70.598422274140006</v>
      </c>
      <c r="AV238">
        <v>1.02984769498109</v>
      </c>
      <c r="AW238" s="62">
        <v>72.706000000000003</v>
      </c>
      <c r="AX238">
        <v>8.9176000000000002</v>
      </c>
      <c r="AY238">
        <v>1</v>
      </c>
      <c r="AZ238">
        <v>5665.0004091662331</v>
      </c>
      <c r="BA238">
        <v>0.9935711161666545</v>
      </c>
      <c r="BB238" s="62">
        <v>5628.5807999999997</v>
      </c>
      <c r="BC238" s="60">
        <v>25.84070689120059</v>
      </c>
    </row>
    <row r="239" spans="1:55" x14ac:dyDescent="0.25">
      <c r="A239">
        <v>32648</v>
      </c>
      <c r="B239" t="s">
        <v>121</v>
      </c>
      <c r="C239">
        <v>2017</v>
      </c>
      <c r="D239">
        <v>9</v>
      </c>
      <c r="E239" t="s">
        <v>51</v>
      </c>
      <c r="F239" t="s">
        <v>449</v>
      </c>
      <c r="G239" t="s">
        <v>84</v>
      </c>
      <c r="H239" t="s">
        <v>59</v>
      </c>
      <c r="I239" t="s">
        <v>427</v>
      </c>
      <c r="J239">
        <v>-2.6047009000000001</v>
      </c>
      <c r="K239" t="s">
        <v>440</v>
      </c>
      <c r="L239" t="s">
        <v>452</v>
      </c>
      <c r="M239">
        <v>1.4858046103299999E-3</v>
      </c>
      <c r="N239">
        <v>3.8700766078975952E-3</v>
      </c>
      <c r="O239">
        <v>29976.978999999999</v>
      </c>
      <c r="P239">
        <v>1.6679465999999999E-5</v>
      </c>
      <c r="Q239">
        <v>1</v>
      </c>
      <c r="R239" s="60">
        <v>3.8700766078975952E-3</v>
      </c>
      <c r="S239" t="s">
        <v>336</v>
      </c>
      <c r="T239" t="s">
        <v>433</v>
      </c>
      <c r="U239" t="s">
        <v>425</v>
      </c>
      <c r="V239" t="s">
        <v>28</v>
      </c>
      <c r="W239">
        <v>111.133</v>
      </c>
      <c r="X239">
        <v>0.99819678194932504</v>
      </c>
      <c r="Y239">
        <v>110.9326029683743</v>
      </c>
      <c r="Z239">
        <v>682.07</v>
      </c>
      <c r="AA239">
        <v>1</v>
      </c>
      <c r="AB239">
        <v>75.663800506639092</v>
      </c>
      <c r="AC239">
        <v>1.0196000000000001</v>
      </c>
      <c r="AD239" s="62">
        <v>77.147000000000006</v>
      </c>
      <c r="AE239">
        <v>8.9176000000000002</v>
      </c>
      <c r="AF239">
        <v>8.9015196227113016</v>
      </c>
      <c r="AG239">
        <v>1</v>
      </c>
      <c r="AH239">
        <v>6071.4594890626977</v>
      </c>
      <c r="AI239">
        <v>0.97991730655640863</v>
      </c>
      <c r="AJ239" s="62">
        <v>5949.5281999999997</v>
      </c>
      <c r="AK239" s="60">
        <v>23.025129914847081</v>
      </c>
      <c r="AL239" t="s">
        <v>342</v>
      </c>
      <c r="AM239" t="s">
        <v>434</v>
      </c>
      <c r="AN239" t="s">
        <v>425</v>
      </c>
      <c r="AO239" t="s">
        <v>28</v>
      </c>
      <c r="AP239">
        <v>111.133</v>
      </c>
      <c r="AQ239">
        <v>1.0155396203574489</v>
      </c>
      <c r="AR239">
        <v>112.8599646291844</v>
      </c>
      <c r="AS239">
        <v>625.54</v>
      </c>
      <c r="AT239">
        <v>1</v>
      </c>
      <c r="AU239">
        <v>70.598422274140006</v>
      </c>
      <c r="AV239">
        <v>1.0451804150056221</v>
      </c>
      <c r="AW239" s="62">
        <v>73.787999999999997</v>
      </c>
      <c r="AX239">
        <v>8.9176000000000002</v>
      </c>
      <c r="AY239">
        <v>1</v>
      </c>
      <c r="AZ239">
        <v>5665.0004091662331</v>
      </c>
      <c r="BA239">
        <v>1.0071061377552519</v>
      </c>
      <c r="BB239" s="62">
        <v>5705.2566999999999</v>
      </c>
      <c r="BC239" s="60">
        <v>22.079780496721028</v>
      </c>
    </row>
    <row r="240" spans="1:55" x14ac:dyDescent="0.25">
      <c r="A240">
        <v>35333</v>
      </c>
      <c r="B240" t="s">
        <v>127</v>
      </c>
      <c r="C240">
        <v>2017</v>
      </c>
      <c r="D240">
        <v>10</v>
      </c>
      <c r="E240" t="s">
        <v>51</v>
      </c>
      <c r="F240" t="s">
        <v>449</v>
      </c>
      <c r="G240" t="s">
        <v>84</v>
      </c>
      <c r="H240" t="s">
        <v>381</v>
      </c>
      <c r="I240" t="s">
        <v>427</v>
      </c>
      <c r="J240">
        <v>-4.2843304</v>
      </c>
      <c r="K240" t="s">
        <v>440</v>
      </c>
      <c r="L240" t="s">
        <v>450</v>
      </c>
      <c r="M240">
        <v>0.15011157993331001</v>
      </c>
      <c r="N240">
        <v>0.6431276053568491</v>
      </c>
      <c r="O240">
        <v>29976.978999999999</v>
      </c>
      <c r="P240">
        <v>1.6679465999999999E-5</v>
      </c>
      <c r="Q240">
        <v>1</v>
      </c>
      <c r="R240" s="60">
        <v>0.6431276053568491</v>
      </c>
      <c r="S240" t="s">
        <v>342</v>
      </c>
      <c r="T240" t="s">
        <v>434</v>
      </c>
      <c r="U240" t="s">
        <v>425</v>
      </c>
      <c r="V240" t="s">
        <v>26</v>
      </c>
      <c r="W240">
        <v>111.133</v>
      </c>
      <c r="X240">
        <v>1.0155396203574489</v>
      </c>
      <c r="Y240">
        <v>112.8599646291844</v>
      </c>
      <c r="Z240">
        <v>661.2</v>
      </c>
      <c r="AA240">
        <v>1</v>
      </c>
      <c r="AB240">
        <v>74.623008612816719</v>
      </c>
      <c r="AC240">
        <v>1.012368394153123</v>
      </c>
      <c r="AD240" s="62">
        <v>75.546000000000006</v>
      </c>
      <c r="AE240">
        <v>8.9176000000000002</v>
      </c>
      <c r="AF240">
        <v>9.0561761184995895</v>
      </c>
      <c r="AG240">
        <v>1</v>
      </c>
      <c r="AH240">
        <v>5987.9436495519294</v>
      </c>
      <c r="AI240">
        <v>0.99404987733863315</v>
      </c>
      <c r="AJ240" s="62">
        <v>5952.3146999999999</v>
      </c>
      <c r="AK240" s="60">
        <v>3828.097899341371</v>
      </c>
      <c r="AL240" t="s">
        <v>342</v>
      </c>
      <c r="AM240" t="s">
        <v>434</v>
      </c>
      <c r="AN240" t="s">
        <v>425</v>
      </c>
      <c r="AO240" t="s">
        <v>26</v>
      </c>
      <c r="AP240">
        <v>111.133</v>
      </c>
      <c r="AQ240">
        <v>1.0155396203574489</v>
      </c>
      <c r="AR240">
        <v>112.8599646291844</v>
      </c>
      <c r="AS240">
        <v>629.54999999999995</v>
      </c>
      <c r="AT240">
        <v>1</v>
      </c>
      <c r="AU240">
        <v>71.050990732303021</v>
      </c>
      <c r="AV240">
        <v>1.012368394153123</v>
      </c>
      <c r="AW240" s="62">
        <v>71.930000000000007</v>
      </c>
      <c r="AX240">
        <v>8.9176000000000002</v>
      </c>
      <c r="AY240">
        <v>1</v>
      </c>
      <c r="AZ240">
        <v>5701.3156754014162</v>
      </c>
      <c r="BA240">
        <v>0.99404987733863315</v>
      </c>
      <c r="BB240" s="62">
        <v>5667.3921</v>
      </c>
      <c r="BC240" s="60">
        <v>3644.8563098913241</v>
      </c>
    </row>
    <row r="241" spans="1:55" x14ac:dyDescent="0.25">
      <c r="A241">
        <v>35334</v>
      </c>
      <c r="B241" t="s">
        <v>127</v>
      </c>
      <c r="C241">
        <v>2017</v>
      </c>
      <c r="D241">
        <v>10</v>
      </c>
      <c r="E241" t="s">
        <v>51</v>
      </c>
      <c r="F241" t="s">
        <v>449</v>
      </c>
      <c r="G241" t="s">
        <v>84</v>
      </c>
      <c r="H241" t="s">
        <v>381</v>
      </c>
      <c r="I241" t="s">
        <v>427</v>
      </c>
      <c r="J241">
        <v>-4.2843304</v>
      </c>
      <c r="K241" t="s">
        <v>440</v>
      </c>
      <c r="L241" t="s">
        <v>384</v>
      </c>
      <c r="M241">
        <v>4.5811354346740003E-2</v>
      </c>
      <c r="N241">
        <v>0.19627097811016511</v>
      </c>
      <c r="O241">
        <v>29976.978999999999</v>
      </c>
      <c r="P241">
        <v>1.6679465999999999E-5</v>
      </c>
      <c r="Q241">
        <v>1</v>
      </c>
      <c r="R241" s="60">
        <v>0.19627097811016511</v>
      </c>
      <c r="S241" t="s">
        <v>342</v>
      </c>
      <c r="T241" t="s">
        <v>434</v>
      </c>
      <c r="U241" t="s">
        <v>425</v>
      </c>
      <c r="V241" t="s">
        <v>81</v>
      </c>
      <c r="W241">
        <v>111.133</v>
      </c>
      <c r="X241">
        <v>1.0155396203574489</v>
      </c>
      <c r="Y241">
        <v>112.8599646291844</v>
      </c>
      <c r="Z241">
        <v>661.2</v>
      </c>
      <c r="AA241">
        <v>1</v>
      </c>
      <c r="AB241">
        <v>74.623008612816719</v>
      </c>
      <c r="AC241">
        <v>0.95185525912296853</v>
      </c>
      <c r="AD241" s="62">
        <v>71.03</v>
      </c>
      <c r="AE241">
        <v>8.9176000000000002</v>
      </c>
      <c r="AF241">
        <v>9.0561761184995895</v>
      </c>
      <c r="AG241">
        <v>1</v>
      </c>
      <c r="AH241">
        <v>5987.9436495519294</v>
      </c>
      <c r="AI241">
        <v>1.081469419077697</v>
      </c>
      <c r="AJ241" s="62">
        <v>6475.7779</v>
      </c>
      <c r="AK241" s="60">
        <v>1271.007262457191</v>
      </c>
      <c r="AL241" t="s">
        <v>342</v>
      </c>
      <c r="AM241" t="s">
        <v>434</v>
      </c>
      <c r="AN241" t="s">
        <v>425</v>
      </c>
      <c r="AO241" t="s">
        <v>81</v>
      </c>
      <c r="AP241">
        <v>111.133</v>
      </c>
      <c r="AQ241">
        <v>1.0155396203574489</v>
      </c>
      <c r="AR241">
        <v>112.8599646291844</v>
      </c>
      <c r="AS241">
        <v>629.54999999999995</v>
      </c>
      <c r="AT241">
        <v>1</v>
      </c>
      <c r="AU241">
        <v>71.050990732303021</v>
      </c>
      <c r="AV241">
        <v>0.95185525912296853</v>
      </c>
      <c r="AW241" s="62">
        <v>67.63</v>
      </c>
      <c r="AX241">
        <v>8.9176000000000002</v>
      </c>
      <c r="AY241">
        <v>1</v>
      </c>
      <c r="AZ241">
        <v>5701.3156754014162</v>
      </c>
      <c r="BA241">
        <v>1.081469419077697</v>
      </c>
      <c r="BB241" s="62">
        <v>6165.7986000000001</v>
      </c>
      <c r="BC241" s="60">
        <v>1210.167322052286</v>
      </c>
    </row>
    <row r="242" spans="1:55" x14ac:dyDescent="0.25">
      <c r="A242">
        <v>35335</v>
      </c>
      <c r="B242" t="s">
        <v>127</v>
      </c>
      <c r="C242">
        <v>2017</v>
      </c>
      <c r="D242">
        <v>10</v>
      </c>
      <c r="E242" t="s">
        <v>51</v>
      </c>
      <c r="F242" t="s">
        <v>449</v>
      </c>
      <c r="G242" t="s">
        <v>84</v>
      </c>
      <c r="H242" t="s">
        <v>381</v>
      </c>
      <c r="I242" t="s">
        <v>427</v>
      </c>
      <c r="J242">
        <v>-4.2843304</v>
      </c>
      <c r="K242" t="s">
        <v>440</v>
      </c>
      <c r="L242" t="s">
        <v>385</v>
      </c>
      <c r="M242">
        <v>0.43232641346992001</v>
      </c>
      <c r="N242">
        <v>1.8522291961149819</v>
      </c>
      <c r="O242">
        <v>29976.978999999999</v>
      </c>
      <c r="P242">
        <v>1.6679465999999999E-5</v>
      </c>
      <c r="Q242">
        <v>1</v>
      </c>
      <c r="R242" s="60">
        <v>1.8522291961149819</v>
      </c>
      <c r="S242" t="s">
        <v>342</v>
      </c>
      <c r="T242" t="s">
        <v>434</v>
      </c>
      <c r="U242" t="s">
        <v>425</v>
      </c>
      <c r="V242" t="s">
        <v>27</v>
      </c>
      <c r="W242">
        <v>111.133</v>
      </c>
      <c r="X242">
        <v>1.0155396203574489</v>
      </c>
      <c r="Y242">
        <v>112.8599646291844</v>
      </c>
      <c r="Z242">
        <v>661.2</v>
      </c>
      <c r="AA242">
        <v>1</v>
      </c>
      <c r="AB242">
        <v>74.623008612816719</v>
      </c>
      <c r="AC242">
        <v>1.0016354901359501</v>
      </c>
      <c r="AD242" s="62">
        <v>74.745000000000005</v>
      </c>
      <c r="AE242">
        <v>8.9176000000000002</v>
      </c>
      <c r="AF242">
        <v>9.0561761184995895</v>
      </c>
      <c r="AG242">
        <v>1</v>
      </c>
      <c r="AH242">
        <v>5987.9436495519294</v>
      </c>
      <c r="AI242">
        <v>1.016194415745886</v>
      </c>
      <c r="AJ242" s="62">
        <v>6084.9148999999998</v>
      </c>
      <c r="AK242" s="60">
        <v>11270.657033655079</v>
      </c>
      <c r="AL242" t="s">
        <v>342</v>
      </c>
      <c r="AM242" t="s">
        <v>434</v>
      </c>
      <c r="AN242" t="s">
        <v>425</v>
      </c>
      <c r="AO242" t="s">
        <v>27</v>
      </c>
      <c r="AP242">
        <v>111.133</v>
      </c>
      <c r="AQ242">
        <v>1.0155396203574489</v>
      </c>
      <c r="AR242">
        <v>112.8599646291844</v>
      </c>
      <c r="AS242">
        <v>629.54999999999995</v>
      </c>
      <c r="AT242">
        <v>1</v>
      </c>
      <c r="AU242">
        <v>71.050990732303021</v>
      </c>
      <c r="AV242">
        <v>1.0016354901359501</v>
      </c>
      <c r="AW242" s="62">
        <v>71.167000000000002</v>
      </c>
      <c r="AX242">
        <v>8.9176000000000002</v>
      </c>
      <c r="AY242">
        <v>1</v>
      </c>
      <c r="AZ242">
        <v>5701.3156754014162</v>
      </c>
      <c r="BA242">
        <v>1.016194415745886</v>
      </c>
      <c r="BB242" s="62">
        <v>5793.6451999999999</v>
      </c>
      <c r="BC242" s="60">
        <v>10731.15879137143</v>
      </c>
    </row>
    <row r="243" spans="1:55" x14ac:dyDescent="0.25">
      <c r="A243">
        <v>35336</v>
      </c>
      <c r="B243" t="s">
        <v>127</v>
      </c>
      <c r="C243">
        <v>2017</v>
      </c>
      <c r="D243">
        <v>10</v>
      </c>
      <c r="E243" t="s">
        <v>51</v>
      </c>
      <c r="F243" t="s">
        <v>449</v>
      </c>
      <c r="G243" t="s">
        <v>84</v>
      </c>
      <c r="H243" t="s">
        <v>381</v>
      </c>
      <c r="I243" t="s">
        <v>427</v>
      </c>
      <c r="J243">
        <v>-4.2843304</v>
      </c>
      <c r="K243" t="s">
        <v>440</v>
      </c>
      <c r="L243" t="s">
        <v>451</v>
      </c>
      <c r="M243">
        <v>1.6825115802299999E-3</v>
      </c>
      <c r="N243">
        <v>7.208435512165141E-3</v>
      </c>
      <c r="O243">
        <v>29976.978999999999</v>
      </c>
      <c r="P243">
        <v>1.6679465999999999E-5</v>
      </c>
      <c r="Q243">
        <v>1</v>
      </c>
      <c r="R243" s="60">
        <v>7.208435512165141E-3</v>
      </c>
      <c r="S243" t="s">
        <v>342</v>
      </c>
      <c r="T243" t="s">
        <v>434</v>
      </c>
      <c r="U243" t="s">
        <v>425</v>
      </c>
      <c r="V243" t="s">
        <v>91</v>
      </c>
      <c r="W243">
        <v>111.133</v>
      </c>
      <c r="X243">
        <v>1.0155396203574489</v>
      </c>
      <c r="Y243">
        <v>112.8599646291844</v>
      </c>
      <c r="Z243">
        <v>661.2</v>
      </c>
      <c r="AA243">
        <v>1</v>
      </c>
      <c r="AB243">
        <v>74.623008612816719</v>
      </c>
      <c r="AC243">
        <v>1.02984769498109</v>
      </c>
      <c r="AD243" s="62">
        <v>76.849999999999994</v>
      </c>
      <c r="AE243">
        <v>8.9176000000000002</v>
      </c>
      <c r="AF243">
        <v>9.0561761184995895</v>
      </c>
      <c r="AG243">
        <v>1</v>
      </c>
      <c r="AH243">
        <v>5987.9436495519294</v>
      </c>
      <c r="AI243">
        <v>0.9935711161666545</v>
      </c>
      <c r="AJ243" s="62">
        <v>5949.4479000000001</v>
      </c>
      <c r="AK243" s="60">
        <v>42.886211520136321</v>
      </c>
      <c r="AL243" t="s">
        <v>342</v>
      </c>
      <c r="AM243" t="s">
        <v>434</v>
      </c>
      <c r="AN243" t="s">
        <v>425</v>
      </c>
      <c r="AO243" t="s">
        <v>91</v>
      </c>
      <c r="AP243">
        <v>111.133</v>
      </c>
      <c r="AQ243">
        <v>1.0155396203574489</v>
      </c>
      <c r="AR243">
        <v>112.8599646291844</v>
      </c>
      <c r="AS243">
        <v>629.54999999999995</v>
      </c>
      <c r="AT243">
        <v>1</v>
      </c>
      <c r="AU243">
        <v>71.050990732303021</v>
      </c>
      <c r="AV243">
        <v>1.02984769498109</v>
      </c>
      <c r="AW243" s="62">
        <v>73.171999999999997</v>
      </c>
      <c r="AX243">
        <v>8.9176000000000002</v>
      </c>
      <c r="AY243">
        <v>1</v>
      </c>
      <c r="AZ243">
        <v>5701.3156754014162</v>
      </c>
      <c r="BA243">
        <v>0.9935711161666545</v>
      </c>
      <c r="BB243" s="62">
        <v>5664.6625999999997</v>
      </c>
      <c r="BC243" s="60">
        <v>40.833355050273717</v>
      </c>
    </row>
    <row r="244" spans="1:55" x14ac:dyDescent="0.25">
      <c r="A244">
        <v>35337</v>
      </c>
      <c r="B244" t="s">
        <v>127</v>
      </c>
      <c r="C244">
        <v>2017</v>
      </c>
      <c r="D244">
        <v>10</v>
      </c>
      <c r="E244" t="s">
        <v>51</v>
      </c>
      <c r="F244" t="s">
        <v>449</v>
      </c>
      <c r="G244" t="s">
        <v>84</v>
      </c>
      <c r="H244" t="s">
        <v>381</v>
      </c>
      <c r="I244" t="s">
        <v>427</v>
      </c>
      <c r="J244">
        <v>-4.2843304</v>
      </c>
      <c r="K244" t="s">
        <v>440</v>
      </c>
      <c r="L244" t="s">
        <v>452</v>
      </c>
      <c r="M244">
        <v>1.53682162831E-3</v>
      </c>
      <c r="N244">
        <v>6.5842516221248726E-3</v>
      </c>
      <c r="O244">
        <v>29976.978999999999</v>
      </c>
      <c r="P244">
        <v>1.6679465999999999E-5</v>
      </c>
      <c r="Q244">
        <v>1</v>
      </c>
      <c r="R244" s="60">
        <v>6.5842516221248726E-3</v>
      </c>
      <c r="S244" t="s">
        <v>342</v>
      </c>
      <c r="T244" t="s">
        <v>434</v>
      </c>
      <c r="U244" t="s">
        <v>425</v>
      </c>
      <c r="V244" t="s">
        <v>28</v>
      </c>
      <c r="W244">
        <v>111.133</v>
      </c>
      <c r="X244">
        <v>1.0155396203574489</v>
      </c>
      <c r="Y244">
        <v>112.8599646291844</v>
      </c>
      <c r="Z244">
        <v>661.2</v>
      </c>
      <c r="AA244">
        <v>1</v>
      </c>
      <c r="AB244">
        <v>74.623008612816719</v>
      </c>
      <c r="AC244">
        <v>1.0451804150056221</v>
      </c>
      <c r="AD244" s="62">
        <v>77.995000000000005</v>
      </c>
      <c r="AE244">
        <v>8.9176000000000002</v>
      </c>
      <c r="AF244">
        <v>9.0561761184995895</v>
      </c>
      <c r="AG244">
        <v>1</v>
      </c>
      <c r="AH244">
        <v>5987.9436495519294</v>
      </c>
      <c r="AI244">
        <v>1.0071061377552519</v>
      </c>
      <c r="AJ244" s="62">
        <v>6030.4948000000004</v>
      </c>
      <c r="AK244" s="60">
        <v>39.70629516911562</v>
      </c>
      <c r="AL244" t="s">
        <v>342</v>
      </c>
      <c r="AM244" t="s">
        <v>434</v>
      </c>
      <c r="AN244" t="s">
        <v>425</v>
      </c>
      <c r="AO244" t="s">
        <v>28</v>
      </c>
      <c r="AP244">
        <v>111.133</v>
      </c>
      <c r="AQ244">
        <v>1.0155396203574489</v>
      </c>
      <c r="AR244">
        <v>112.8599646291844</v>
      </c>
      <c r="AS244">
        <v>629.54999999999995</v>
      </c>
      <c r="AT244">
        <v>1</v>
      </c>
      <c r="AU244">
        <v>71.050990732303021</v>
      </c>
      <c r="AV244">
        <v>1.0451804150056221</v>
      </c>
      <c r="AW244" s="62">
        <v>74.260999999999996</v>
      </c>
      <c r="AX244">
        <v>8.9176000000000002</v>
      </c>
      <c r="AY244">
        <v>1</v>
      </c>
      <c r="AZ244">
        <v>5701.3156754014162</v>
      </c>
      <c r="BA244">
        <v>1.0071061377552519</v>
      </c>
      <c r="BB244" s="62">
        <v>5741.83</v>
      </c>
      <c r="BC244" s="60">
        <v>37.805653491465257</v>
      </c>
    </row>
    <row r="245" spans="1:55" x14ac:dyDescent="0.25">
      <c r="A245">
        <v>35338</v>
      </c>
      <c r="B245" t="s">
        <v>127</v>
      </c>
      <c r="C245">
        <v>2017</v>
      </c>
      <c r="D245">
        <v>10</v>
      </c>
      <c r="E245" t="s">
        <v>51</v>
      </c>
      <c r="F245" t="s">
        <v>449</v>
      </c>
      <c r="G245" t="s">
        <v>84</v>
      </c>
      <c r="H245" t="s">
        <v>87</v>
      </c>
      <c r="I245" t="s">
        <v>427</v>
      </c>
      <c r="J245">
        <v>-0.80985611999999996</v>
      </c>
      <c r="K245" t="s">
        <v>440</v>
      </c>
      <c r="L245" t="s">
        <v>450</v>
      </c>
      <c r="M245">
        <v>0.26601384014995</v>
      </c>
      <c r="N245">
        <v>0.21543293624691651</v>
      </c>
      <c r="O245">
        <v>29976.978999999999</v>
      </c>
      <c r="P245">
        <v>1.6679465999999999E-5</v>
      </c>
      <c r="Q245">
        <v>1</v>
      </c>
      <c r="R245" s="60">
        <v>0.21543293624691651</v>
      </c>
      <c r="S245" t="s">
        <v>342</v>
      </c>
      <c r="T245" t="s">
        <v>434</v>
      </c>
      <c r="U245" t="s">
        <v>425</v>
      </c>
      <c r="V245" t="s">
        <v>26</v>
      </c>
      <c r="W245">
        <v>111.133</v>
      </c>
      <c r="X245">
        <v>1.0155396203574489</v>
      </c>
      <c r="Y245">
        <v>112.8599646291844</v>
      </c>
      <c r="Z245">
        <v>661.2</v>
      </c>
      <c r="AA245">
        <v>1</v>
      </c>
      <c r="AB245">
        <v>74.623008612816719</v>
      </c>
      <c r="AC245">
        <v>1.012368394153123</v>
      </c>
      <c r="AD245" s="62">
        <v>75.546000000000006</v>
      </c>
      <c r="AE245">
        <v>8.9176000000000002</v>
      </c>
      <c r="AF245">
        <v>9.0561761184995895</v>
      </c>
      <c r="AG245">
        <v>1</v>
      </c>
      <c r="AH245">
        <v>5987.9436495519294</v>
      </c>
      <c r="AI245">
        <v>0.99404987733863315</v>
      </c>
      <c r="AJ245" s="62">
        <v>5952.3146999999999</v>
      </c>
      <c r="AK245" s="60">
        <v>1282.324633286684</v>
      </c>
      <c r="AL245" t="s">
        <v>342</v>
      </c>
      <c r="AM245" t="s">
        <v>434</v>
      </c>
      <c r="AN245" t="s">
        <v>425</v>
      </c>
      <c r="AO245" t="s">
        <v>26</v>
      </c>
      <c r="AP245">
        <v>111.133</v>
      </c>
      <c r="AQ245">
        <v>1.0155396203574489</v>
      </c>
      <c r="AR245">
        <v>112.8599646291844</v>
      </c>
      <c r="AS245">
        <v>629.54999999999995</v>
      </c>
      <c r="AT245">
        <v>1</v>
      </c>
      <c r="AU245">
        <v>71.050990732303021</v>
      </c>
      <c r="AV245">
        <v>1.012368394153123</v>
      </c>
      <c r="AW245" s="62">
        <v>71.930000000000007</v>
      </c>
      <c r="AX245">
        <v>8.9176000000000002</v>
      </c>
      <c r="AY245">
        <v>1</v>
      </c>
      <c r="AZ245">
        <v>5701.3156754014162</v>
      </c>
      <c r="BA245">
        <v>0.99404987733863315</v>
      </c>
      <c r="BB245" s="62">
        <v>5667.3921</v>
      </c>
      <c r="BC245" s="60">
        <v>1220.942920965578</v>
      </c>
    </row>
    <row r="246" spans="1:55" x14ac:dyDescent="0.25">
      <c r="A246">
        <v>35339</v>
      </c>
      <c r="B246" t="s">
        <v>127</v>
      </c>
      <c r="C246">
        <v>2017</v>
      </c>
      <c r="D246">
        <v>10</v>
      </c>
      <c r="E246" t="s">
        <v>51</v>
      </c>
      <c r="F246" t="s">
        <v>449</v>
      </c>
      <c r="G246" t="s">
        <v>84</v>
      </c>
      <c r="H246" t="s">
        <v>87</v>
      </c>
      <c r="I246" t="s">
        <v>427</v>
      </c>
      <c r="J246">
        <v>-0.80985611999999996</v>
      </c>
      <c r="K246" t="s">
        <v>440</v>
      </c>
      <c r="L246" t="s">
        <v>384</v>
      </c>
      <c r="M246">
        <v>3.9509559941419997E-2</v>
      </c>
      <c r="N246">
        <v>3.1997058886882347E-2</v>
      </c>
      <c r="O246">
        <v>29976.978999999999</v>
      </c>
      <c r="P246">
        <v>1.6679465999999999E-5</v>
      </c>
      <c r="Q246">
        <v>1</v>
      </c>
      <c r="R246" s="60">
        <v>3.1997058886882347E-2</v>
      </c>
      <c r="S246" t="s">
        <v>342</v>
      </c>
      <c r="T246" t="s">
        <v>434</v>
      </c>
      <c r="U246" t="s">
        <v>425</v>
      </c>
      <c r="V246" t="s">
        <v>81</v>
      </c>
      <c r="W246">
        <v>111.133</v>
      </c>
      <c r="X246">
        <v>1.0155396203574489</v>
      </c>
      <c r="Y246">
        <v>112.8599646291844</v>
      </c>
      <c r="Z246">
        <v>661.2</v>
      </c>
      <c r="AA246">
        <v>1</v>
      </c>
      <c r="AB246">
        <v>74.623008612816719</v>
      </c>
      <c r="AC246">
        <v>0.95185525912296853</v>
      </c>
      <c r="AD246" s="62">
        <v>71.03</v>
      </c>
      <c r="AE246">
        <v>8.9176000000000002</v>
      </c>
      <c r="AF246">
        <v>9.0561761184995895</v>
      </c>
      <c r="AG246">
        <v>1</v>
      </c>
      <c r="AH246">
        <v>5987.9436495519294</v>
      </c>
      <c r="AI246">
        <v>1.081469419077697</v>
      </c>
      <c r="AJ246" s="62">
        <v>6475.7779</v>
      </c>
      <c r="AK246" s="60">
        <v>207.20584680467141</v>
      </c>
      <c r="AL246" t="s">
        <v>342</v>
      </c>
      <c r="AM246" t="s">
        <v>434</v>
      </c>
      <c r="AN246" t="s">
        <v>425</v>
      </c>
      <c r="AO246" t="s">
        <v>81</v>
      </c>
      <c r="AP246">
        <v>111.133</v>
      </c>
      <c r="AQ246">
        <v>1.0155396203574489</v>
      </c>
      <c r="AR246">
        <v>112.8599646291844</v>
      </c>
      <c r="AS246">
        <v>629.54999999999995</v>
      </c>
      <c r="AT246">
        <v>1</v>
      </c>
      <c r="AU246">
        <v>71.050990732303021</v>
      </c>
      <c r="AV246">
        <v>0.95185525912296853</v>
      </c>
      <c r="AW246" s="62">
        <v>67.63</v>
      </c>
      <c r="AX246">
        <v>8.9176000000000002</v>
      </c>
      <c r="AY246">
        <v>1</v>
      </c>
      <c r="AZ246">
        <v>5701.3156754014162</v>
      </c>
      <c r="BA246">
        <v>1.081469419077697</v>
      </c>
      <c r="BB246" s="62">
        <v>6165.7986000000001</v>
      </c>
      <c r="BC246" s="60">
        <v>197.28742088885679</v>
      </c>
    </row>
    <row r="247" spans="1:55" x14ac:dyDescent="0.25">
      <c r="A247">
        <v>35340</v>
      </c>
      <c r="B247" t="s">
        <v>127</v>
      </c>
      <c r="C247">
        <v>2017</v>
      </c>
      <c r="D247">
        <v>10</v>
      </c>
      <c r="E247" t="s">
        <v>51</v>
      </c>
      <c r="F247" t="s">
        <v>449</v>
      </c>
      <c r="G247" t="s">
        <v>84</v>
      </c>
      <c r="H247" t="s">
        <v>87</v>
      </c>
      <c r="I247" t="s">
        <v>427</v>
      </c>
      <c r="J247">
        <v>-0.80985611999999996</v>
      </c>
      <c r="K247" t="s">
        <v>440</v>
      </c>
      <c r="L247" t="s">
        <v>385</v>
      </c>
      <c r="M247">
        <v>0.39737542925016001</v>
      </c>
      <c r="N247">
        <v>0.3218169230122927</v>
      </c>
      <c r="O247">
        <v>29976.978999999999</v>
      </c>
      <c r="P247">
        <v>1.6679465999999999E-5</v>
      </c>
      <c r="Q247">
        <v>1</v>
      </c>
      <c r="R247" s="60">
        <v>0.3218169230122927</v>
      </c>
      <c r="S247" t="s">
        <v>342</v>
      </c>
      <c r="T247" t="s">
        <v>434</v>
      </c>
      <c r="U247" t="s">
        <v>425</v>
      </c>
      <c r="V247" t="s">
        <v>27</v>
      </c>
      <c r="W247">
        <v>111.133</v>
      </c>
      <c r="X247">
        <v>1.0155396203574489</v>
      </c>
      <c r="Y247">
        <v>112.8599646291844</v>
      </c>
      <c r="Z247">
        <v>661.2</v>
      </c>
      <c r="AA247">
        <v>1</v>
      </c>
      <c r="AB247">
        <v>74.623008612816719</v>
      </c>
      <c r="AC247">
        <v>1.0016354901359501</v>
      </c>
      <c r="AD247" s="62">
        <v>74.745000000000005</v>
      </c>
      <c r="AE247">
        <v>8.9176000000000002</v>
      </c>
      <c r="AF247">
        <v>9.0561761184995895</v>
      </c>
      <c r="AG247">
        <v>1</v>
      </c>
      <c r="AH247">
        <v>5987.9436495519294</v>
      </c>
      <c r="AI247">
        <v>1.016194415745886</v>
      </c>
      <c r="AJ247" s="62">
        <v>6084.9148999999998</v>
      </c>
      <c r="AK247" s="60">
        <v>1958.228589909653</v>
      </c>
      <c r="AL247" t="s">
        <v>342</v>
      </c>
      <c r="AM247" t="s">
        <v>434</v>
      </c>
      <c r="AN247" t="s">
        <v>425</v>
      </c>
      <c r="AO247" t="s">
        <v>27</v>
      </c>
      <c r="AP247">
        <v>111.133</v>
      </c>
      <c r="AQ247">
        <v>1.0155396203574489</v>
      </c>
      <c r="AR247">
        <v>112.8599646291844</v>
      </c>
      <c r="AS247">
        <v>629.54999999999995</v>
      </c>
      <c r="AT247">
        <v>1</v>
      </c>
      <c r="AU247">
        <v>71.050990732303021</v>
      </c>
      <c r="AV247">
        <v>1.0016354901359501</v>
      </c>
      <c r="AW247" s="62">
        <v>71.167000000000002</v>
      </c>
      <c r="AX247">
        <v>8.9176000000000002</v>
      </c>
      <c r="AY247">
        <v>1</v>
      </c>
      <c r="AZ247">
        <v>5701.3156754014162</v>
      </c>
      <c r="BA247">
        <v>1.016194415745886</v>
      </c>
      <c r="BB247" s="62">
        <v>5793.6451999999999</v>
      </c>
      <c r="BC247" s="60">
        <v>1864.4930712889391</v>
      </c>
    </row>
    <row r="248" spans="1:55" x14ac:dyDescent="0.25">
      <c r="A248">
        <v>35341</v>
      </c>
      <c r="B248" t="s">
        <v>127</v>
      </c>
      <c r="C248">
        <v>2017</v>
      </c>
      <c r="D248">
        <v>10</v>
      </c>
      <c r="E248" t="s">
        <v>51</v>
      </c>
      <c r="F248" t="s">
        <v>449</v>
      </c>
      <c r="G248" t="s">
        <v>84</v>
      </c>
      <c r="H248" t="s">
        <v>87</v>
      </c>
      <c r="I248" t="s">
        <v>427</v>
      </c>
      <c r="J248">
        <v>-0.80985611999999996</v>
      </c>
      <c r="K248" t="s">
        <v>440</v>
      </c>
      <c r="L248" t="s">
        <v>452</v>
      </c>
      <c r="M248">
        <v>8.4248020759000004E-4</v>
      </c>
      <c r="N248">
        <v>6.8228775145201623E-4</v>
      </c>
      <c r="O248">
        <v>29976.978999999999</v>
      </c>
      <c r="P248">
        <v>1.6679465999999999E-5</v>
      </c>
      <c r="Q248">
        <v>1</v>
      </c>
      <c r="R248" s="60">
        <v>6.8228775145201623E-4</v>
      </c>
      <c r="S248" t="s">
        <v>342</v>
      </c>
      <c r="T248" t="s">
        <v>434</v>
      </c>
      <c r="U248" t="s">
        <v>425</v>
      </c>
      <c r="V248" t="s">
        <v>28</v>
      </c>
      <c r="W248">
        <v>111.133</v>
      </c>
      <c r="X248">
        <v>1.0155396203574489</v>
      </c>
      <c r="Y248">
        <v>112.8599646291844</v>
      </c>
      <c r="Z248">
        <v>661.2</v>
      </c>
      <c r="AA248">
        <v>1</v>
      </c>
      <c r="AB248">
        <v>74.623008612816719</v>
      </c>
      <c r="AC248">
        <v>1.0451804150056221</v>
      </c>
      <c r="AD248" s="62">
        <v>77.995000000000005</v>
      </c>
      <c r="AE248">
        <v>8.9176000000000002</v>
      </c>
      <c r="AF248">
        <v>9.0561761184995895</v>
      </c>
      <c r="AG248">
        <v>1</v>
      </c>
      <c r="AH248">
        <v>5987.9436495519294</v>
      </c>
      <c r="AI248">
        <v>1.0071061377552519</v>
      </c>
      <c r="AJ248" s="62">
        <v>6030.4948000000004</v>
      </c>
      <c r="AK248" s="60">
        <v>4.1145327372350771</v>
      </c>
      <c r="AL248" t="s">
        <v>342</v>
      </c>
      <c r="AM248" t="s">
        <v>434</v>
      </c>
      <c r="AN248" t="s">
        <v>425</v>
      </c>
      <c r="AO248" t="s">
        <v>28</v>
      </c>
      <c r="AP248">
        <v>111.133</v>
      </c>
      <c r="AQ248">
        <v>1.0155396203574489</v>
      </c>
      <c r="AR248">
        <v>112.8599646291844</v>
      </c>
      <c r="AS248">
        <v>629.54999999999995</v>
      </c>
      <c r="AT248">
        <v>1</v>
      </c>
      <c r="AU248">
        <v>71.050990732303021</v>
      </c>
      <c r="AV248">
        <v>1.0451804150056221</v>
      </c>
      <c r="AW248" s="62">
        <v>74.260999999999996</v>
      </c>
      <c r="AX248">
        <v>8.9176000000000002</v>
      </c>
      <c r="AY248">
        <v>1</v>
      </c>
      <c r="AZ248">
        <v>5701.3156754014162</v>
      </c>
      <c r="BA248">
        <v>1.0071061377552519</v>
      </c>
      <c r="BB248" s="62">
        <v>5741.83</v>
      </c>
      <c r="BC248" s="60">
        <v>3.9175802799197301</v>
      </c>
    </row>
    <row r="249" spans="1:55" x14ac:dyDescent="0.25">
      <c r="A249">
        <v>35342</v>
      </c>
      <c r="B249" t="s">
        <v>127</v>
      </c>
      <c r="C249">
        <v>2017</v>
      </c>
      <c r="D249">
        <v>10</v>
      </c>
      <c r="E249" t="s">
        <v>51</v>
      </c>
      <c r="F249" t="s">
        <v>449</v>
      </c>
      <c r="G249" t="s">
        <v>84</v>
      </c>
      <c r="H249" t="s">
        <v>59</v>
      </c>
      <c r="I249" t="s">
        <v>427</v>
      </c>
      <c r="J249">
        <v>-2.5407238900000002</v>
      </c>
      <c r="K249" t="s">
        <v>440</v>
      </c>
      <c r="L249" t="s">
        <v>450</v>
      </c>
      <c r="M249">
        <v>0.15931709696460999</v>
      </c>
      <c r="N249">
        <v>0.40478075499028188</v>
      </c>
      <c r="O249">
        <v>29976.978999999999</v>
      </c>
      <c r="P249">
        <v>1.6679465999999999E-5</v>
      </c>
      <c r="Q249">
        <v>1</v>
      </c>
      <c r="R249" s="60">
        <v>0.40478075499028188</v>
      </c>
      <c r="S249" t="s">
        <v>342</v>
      </c>
      <c r="T249" t="s">
        <v>434</v>
      </c>
      <c r="U249" t="s">
        <v>425</v>
      </c>
      <c r="V249" t="s">
        <v>26</v>
      </c>
      <c r="W249">
        <v>111.133</v>
      </c>
      <c r="X249">
        <v>1.0155396203574489</v>
      </c>
      <c r="Y249">
        <v>112.8599646291844</v>
      </c>
      <c r="Z249">
        <v>661.2</v>
      </c>
      <c r="AA249">
        <v>1</v>
      </c>
      <c r="AB249">
        <v>74.623008612816719</v>
      </c>
      <c r="AC249">
        <v>1.012368394153123</v>
      </c>
      <c r="AD249" s="62">
        <v>75.546000000000006</v>
      </c>
      <c r="AE249">
        <v>8.9176000000000002</v>
      </c>
      <c r="AF249">
        <v>9.0561761184995895</v>
      </c>
      <c r="AG249">
        <v>1</v>
      </c>
      <c r="AH249">
        <v>5987.9436495519294</v>
      </c>
      <c r="AI249">
        <v>0.99404987733863315</v>
      </c>
      <c r="AJ249" s="62">
        <v>5952.3146999999999</v>
      </c>
      <c r="AK249" s="60">
        <v>2409.3824382057528</v>
      </c>
      <c r="AL249" t="s">
        <v>342</v>
      </c>
      <c r="AM249" t="s">
        <v>434</v>
      </c>
      <c r="AN249" t="s">
        <v>425</v>
      </c>
      <c r="AO249" t="s">
        <v>26</v>
      </c>
      <c r="AP249">
        <v>111.133</v>
      </c>
      <c r="AQ249">
        <v>1.0155396203574489</v>
      </c>
      <c r="AR249">
        <v>112.8599646291844</v>
      </c>
      <c r="AS249">
        <v>629.54999999999995</v>
      </c>
      <c r="AT249">
        <v>1</v>
      </c>
      <c r="AU249">
        <v>71.050990732303021</v>
      </c>
      <c r="AV249">
        <v>1.012368394153123</v>
      </c>
      <c r="AW249" s="62">
        <v>71.930000000000007</v>
      </c>
      <c r="AX249">
        <v>8.9176000000000002</v>
      </c>
      <c r="AY249">
        <v>1</v>
      </c>
      <c r="AZ249">
        <v>5701.3156754014162</v>
      </c>
      <c r="BA249">
        <v>0.99404987733863315</v>
      </c>
      <c r="BB249" s="62">
        <v>5667.3921</v>
      </c>
      <c r="BC249" s="60">
        <v>2294.0512530639589</v>
      </c>
    </row>
    <row r="250" spans="1:55" x14ac:dyDescent="0.25">
      <c r="A250">
        <v>35343</v>
      </c>
      <c r="B250" t="s">
        <v>127</v>
      </c>
      <c r="C250">
        <v>2017</v>
      </c>
      <c r="D250">
        <v>10</v>
      </c>
      <c r="E250" t="s">
        <v>51</v>
      </c>
      <c r="F250" t="s">
        <v>449</v>
      </c>
      <c r="G250" t="s">
        <v>84</v>
      </c>
      <c r="H250" t="s">
        <v>59</v>
      </c>
      <c r="I250" t="s">
        <v>427</v>
      </c>
      <c r="J250">
        <v>-2.5407238900000002</v>
      </c>
      <c r="K250" t="s">
        <v>440</v>
      </c>
      <c r="L250" t="s">
        <v>384</v>
      </c>
      <c r="M250">
        <v>4.1785183859599999E-2</v>
      </c>
      <c r="N250">
        <v>0.1061646150497821</v>
      </c>
      <c r="O250">
        <v>29976.978999999999</v>
      </c>
      <c r="P250">
        <v>1.6679465999999999E-5</v>
      </c>
      <c r="Q250">
        <v>1</v>
      </c>
      <c r="R250" s="60">
        <v>0.1061646150497821</v>
      </c>
      <c r="S250" t="s">
        <v>342</v>
      </c>
      <c r="T250" t="s">
        <v>434</v>
      </c>
      <c r="U250" t="s">
        <v>425</v>
      </c>
      <c r="V250" t="s">
        <v>81</v>
      </c>
      <c r="W250">
        <v>111.133</v>
      </c>
      <c r="X250">
        <v>1.0155396203574489</v>
      </c>
      <c r="Y250">
        <v>112.8599646291844</v>
      </c>
      <c r="Z250">
        <v>661.2</v>
      </c>
      <c r="AA250">
        <v>1</v>
      </c>
      <c r="AB250">
        <v>74.623008612816719</v>
      </c>
      <c r="AC250">
        <v>0.95185525912296853</v>
      </c>
      <c r="AD250" s="62">
        <v>71.03</v>
      </c>
      <c r="AE250">
        <v>8.9176000000000002</v>
      </c>
      <c r="AF250">
        <v>9.0561761184995895</v>
      </c>
      <c r="AG250">
        <v>1</v>
      </c>
      <c r="AH250">
        <v>5987.9436495519294</v>
      </c>
      <c r="AI250">
        <v>1.081469419077697</v>
      </c>
      <c r="AJ250" s="62">
        <v>6475.7779</v>
      </c>
      <c r="AK250" s="60">
        <v>687.49846790138645</v>
      </c>
      <c r="AL250" t="s">
        <v>342</v>
      </c>
      <c r="AM250" t="s">
        <v>434</v>
      </c>
      <c r="AN250" t="s">
        <v>425</v>
      </c>
      <c r="AO250" t="s">
        <v>81</v>
      </c>
      <c r="AP250">
        <v>111.133</v>
      </c>
      <c r="AQ250">
        <v>1.0155396203574489</v>
      </c>
      <c r="AR250">
        <v>112.8599646291844</v>
      </c>
      <c r="AS250">
        <v>629.54999999999995</v>
      </c>
      <c r="AT250">
        <v>1</v>
      </c>
      <c r="AU250">
        <v>71.050990732303021</v>
      </c>
      <c r="AV250">
        <v>0.95185525912296853</v>
      </c>
      <c r="AW250" s="62">
        <v>67.63</v>
      </c>
      <c r="AX250">
        <v>8.9176000000000002</v>
      </c>
      <c r="AY250">
        <v>1</v>
      </c>
      <c r="AZ250">
        <v>5701.3156754014162</v>
      </c>
      <c r="BA250">
        <v>1.081469419077697</v>
      </c>
      <c r="BB250" s="62">
        <v>6165.7986000000001</v>
      </c>
      <c r="BC250" s="60">
        <v>654.58963484348544</v>
      </c>
    </row>
    <row r="251" spans="1:55" x14ac:dyDescent="0.25">
      <c r="A251">
        <v>35344</v>
      </c>
      <c r="B251" t="s">
        <v>127</v>
      </c>
      <c r="C251">
        <v>2017</v>
      </c>
      <c r="D251">
        <v>10</v>
      </c>
      <c r="E251" t="s">
        <v>51</v>
      </c>
      <c r="F251" t="s">
        <v>449</v>
      </c>
      <c r="G251" t="s">
        <v>84</v>
      </c>
      <c r="H251" t="s">
        <v>59</v>
      </c>
      <c r="I251" t="s">
        <v>427</v>
      </c>
      <c r="J251">
        <v>-2.5407238900000002</v>
      </c>
      <c r="K251" t="s">
        <v>440</v>
      </c>
      <c r="L251" t="s">
        <v>385</v>
      </c>
      <c r="M251">
        <v>0.43497567483749999</v>
      </c>
      <c r="N251">
        <v>1.105153090394573</v>
      </c>
      <c r="O251">
        <v>29976.978999999999</v>
      </c>
      <c r="P251">
        <v>1.6679465999999999E-5</v>
      </c>
      <c r="Q251">
        <v>1</v>
      </c>
      <c r="R251" s="60">
        <v>1.105153090394573</v>
      </c>
      <c r="S251" t="s">
        <v>342</v>
      </c>
      <c r="T251" t="s">
        <v>434</v>
      </c>
      <c r="U251" t="s">
        <v>425</v>
      </c>
      <c r="V251" t="s">
        <v>27</v>
      </c>
      <c r="W251">
        <v>111.133</v>
      </c>
      <c r="X251">
        <v>1.0155396203574489</v>
      </c>
      <c r="Y251">
        <v>112.8599646291844</v>
      </c>
      <c r="Z251">
        <v>661.2</v>
      </c>
      <c r="AA251">
        <v>1</v>
      </c>
      <c r="AB251">
        <v>74.623008612816719</v>
      </c>
      <c r="AC251">
        <v>1.0016354901359501</v>
      </c>
      <c r="AD251" s="62">
        <v>74.745000000000005</v>
      </c>
      <c r="AE251">
        <v>8.9176000000000002</v>
      </c>
      <c r="AF251">
        <v>9.0561761184995895</v>
      </c>
      <c r="AG251">
        <v>1</v>
      </c>
      <c r="AH251">
        <v>5987.9436495519294</v>
      </c>
      <c r="AI251">
        <v>1.016194415745886</v>
      </c>
      <c r="AJ251" s="62">
        <v>6084.9148999999998</v>
      </c>
      <c r="AK251" s="60">
        <v>6724.7625065229849</v>
      </c>
      <c r="AL251" t="s">
        <v>342</v>
      </c>
      <c r="AM251" t="s">
        <v>434</v>
      </c>
      <c r="AN251" t="s">
        <v>425</v>
      </c>
      <c r="AO251" t="s">
        <v>27</v>
      </c>
      <c r="AP251">
        <v>111.133</v>
      </c>
      <c r="AQ251">
        <v>1.0155396203574489</v>
      </c>
      <c r="AR251">
        <v>112.8599646291844</v>
      </c>
      <c r="AS251">
        <v>629.54999999999995</v>
      </c>
      <c r="AT251">
        <v>1</v>
      </c>
      <c r="AU251">
        <v>71.050990732303021</v>
      </c>
      <c r="AV251">
        <v>1.0016354901359501</v>
      </c>
      <c r="AW251" s="62">
        <v>71.167000000000002</v>
      </c>
      <c r="AX251">
        <v>8.9176000000000002</v>
      </c>
      <c r="AY251">
        <v>1</v>
      </c>
      <c r="AZ251">
        <v>5701.3156754014162</v>
      </c>
      <c r="BA251">
        <v>1.016194415745886</v>
      </c>
      <c r="BB251" s="62">
        <v>5793.6451999999999</v>
      </c>
      <c r="BC251" s="60">
        <v>6402.8648974296848</v>
      </c>
    </row>
    <row r="252" spans="1:55" x14ac:dyDescent="0.25">
      <c r="A252">
        <v>35345</v>
      </c>
      <c r="B252" t="s">
        <v>127</v>
      </c>
      <c r="C252">
        <v>2017</v>
      </c>
      <c r="D252">
        <v>10</v>
      </c>
      <c r="E252" t="s">
        <v>51</v>
      </c>
      <c r="F252" t="s">
        <v>449</v>
      </c>
      <c r="G252" t="s">
        <v>84</v>
      </c>
      <c r="H252" t="s">
        <v>59</v>
      </c>
      <c r="I252" t="s">
        <v>427</v>
      </c>
      <c r="J252">
        <v>-2.5407238900000002</v>
      </c>
      <c r="K252" t="s">
        <v>440</v>
      </c>
      <c r="L252" t="s">
        <v>451</v>
      </c>
      <c r="M252">
        <v>1.7625750762999999E-3</v>
      </c>
      <c r="N252">
        <v>4.4782166114302963E-3</v>
      </c>
      <c r="O252">
        <v>29976.978999999999</v>
      </c>
      <c r="P252">
        <v>1.6679465999999999E-5</v>
      </c>
      <c r="Q252">
        <v>1</v>
      </c>
      <c r="R252" s="60">
        <v>4.4782166114302963E-3</v>
      </c>
      <c r="S252" t="s">
        <v>342</v>
      </c>
      <c r="T252" t="s">
        <v>434</v>
      </c>
      <c r="U252" t="s">
        <v>425</v>
      </c>
      <c r="V252" t="s">
        <v>91</v>
      </c>
      <c r="W252">
        <v>111.133</v>
      </c>
      <c r="X252">
        <v>1.0155396203574489</v>
      </c>
      <c r="Y252">
        <v>112.8599646291844</v>
      </c>
      <c r="Z252">
        <v>661.2</v>
      </c>
      <c r="AA252">
        <v>1</v>
      </c>
      <c r="AB252">
        <v>74.623008612816719</v>
      </c>
      <c r="AC252">
        <v>1.02984769498109</v>
      </c>
      <c r="AD252" s="62">
        <v>76.849999999999994</v>
      </c>
      <c r="AE252">
        <v>8.9176000000000002</v>
      </c>
      <c r="AF252">
        <v>9.0561761184995895</v>
      </c>
      <c r="AG252">
        <v>1</v>
      </c>
      <c r="AH252">
        <v>5987.9436495519294</v>
      </c>
      <c r="AI252">
        <v>0.9935711161666545</v>
      </c>
      <c r="AJ252" s="62">
        <v>5949.4479000000001</v>
      </c>
      <c r="AK252" s="60">
        <v>26.642916414619091</v>
      </c>
      <c r="AL252" t="s">
        <v>342</v>
      </c>
      <c r="AM252" t="s">
        <v>434</v>
      </c>
      <c r="AN252" t="s">
        <v>425</v>
      </c>
      <c r="AO252" t="s">
        <v>91</v>
      </c>
      <c r="AP252">
        <v>111.133</v>
      </c>
      <c r="AQ252">
        <v>1.0155396203574489</v>
      </c>
      <c r="AR252">
        <v>112.8599646291844</v>
      </c>
      <c r="AS252">
        <v>629.54999999999995</v>
      </c>
      <c r="AT252">
        <v>1</v>
      </c>
      <c r="AU252">
        <v>71.050990732303021</v>
      </c>
      <c r="AV252">
        <v>1.02984769498109</v>
      </c>
      <c r="AW252" s="62">
        <v>73.171999999999997</v>
      </c>
      <c r="AX252">
        <v>8.9176000000000002</v>
      </c>
      <c r="AY252">
        <v>1</v>
      </c>
      <c r="AZ252">
        <v>5701.3156754014162</v>
      </c>
      <c r="BA252">
        <v>0.9935711161666545</v>
      </c>
      <c r="BB252" s="62">
        <v>5664.6625999999997</v>
      </c>
      <c r="BC252" s="60">
        <v>25.367586153467929</v>
      </c>
    </row>
    <row r="253" spans="1:55" x14ac:dyDescent="0.25">
      <c r="A253">
        <v>35346</v>
      </c>
      <c r="B253" t="s">
        <v>127</v>
      </c>
      <c r="C253">
        <v>2017</v>
      </c>
      <c r="D253">
        <v>10</v>
      </c>
      <c r="E253" t="s">
        <v>51</v>
      </c>
      <c r="F253" t="s">
        <v>449</v>
      </c>
      <c r="G253" t="s">
        <v>84</v>
      </c>
      <c r="H253" t="s">
        <v>59</v>
      </c>
      <c r="I253" t="s">
        <v>427</v>
      </c>
      <c r="J253">
        <v>-2.5407238900000002</v>
      </c>
      <c r="K253" t="s">
        <v>440</v>
      </c>
      <c r="L253" t="s">
        <v>452</v>
      </c>
      <c r="M253">
        <v>1.4858046103299999E-3</v>
      </c>
      <c r="N253">
        <v>3.7750192753701569E-3</v>
      </c>
      <c r="O253">
        <v>29976.978999999999</v>
      </c>
      <c r="P253">
        <v>1.6679465999999999E-5</v>
      </c>
      <c r="Q253">
        <v>1</v>
      </c>
      <c r="R253" s="60">
        <v>3.7750192753701569E-3</v>
      </c>
      <c r="S253" t="s">
        <v>342</v>
      </c>
      <c r="T253" t="s">
        <v>434</v>
      </c>
      <c r="U253" t="s">
        <v>425</v>
      </c>
      <c r="V253" t="s">
        <v>28</v>
      </c>
      <c r="W253">
        <v>111.133</v>
      </c>
      <c r="X253">
        <v>1.0155396203574489</v>
      </c>
      <c r="Y253">
        <v>112.8599646291844</v>
      </c>
      <c r="Z253">
        <v>661.2</v>
      </c>
      <c r="AA253">
        <v>1</v>
      </c>
      <c r="AB253">
        <v>74.623008612816719</v>
      </c>
      <c r="AC253">
        <v>1.0451804150056221</v>
      </c>
      <c r="AD253" s="62">
        <v>77.995000000000005</v>
      </c>
      <c r="AE253">
        <v>8.9176000000000002</v>
      </c>
      <c r="AF253">
        <v>9.0561761184995895</v>
      </c>
      <c r="AG253">
        <v>1</v>
      </c>
      <c r="AH253">
        <v>5987.9436495519294</v>
      </c>
      <c r="AI253">
        <v>1.0071061377552519</v>
      </c>
      <c r="AJ253" s="62">
        <v>6030.4948000000004</v>
      </c>
      <c r="AK253" s="60">
        <v>22.765234110019499</v>
      </c>
      <c r="AL253" t="s">
        <v>342</v>
      </c>
      <c r="AM253" t="s">
        <v>434</v>
      </c>
      <c r="AN253" t="s">
        <v>425</v>
      </c>
      <c r="AO253" t="s">
        <v>28</v>
      </c>
      <c r="AP253">
        <v>111.133</v>
      </c>
      <c r="AQ253">
        <v>1.0155396203574489</v>
      </c>
      <c r="AR253">
        <v>112.8599646291844</v>
      </c>
      <c r="AS253">
        <v>629.54999999999995</v>
      </c>
      <c r="AT253">
        <v>1</v>
      </c>
      <c r="AU253">
        <v>71.050990732303021</v>
      </c>
      <c r="AV253">
        <v>1.0451804150056221</v>
      </c>
      <c r="AW253" s="62">
        <v>74.260999999999996</v>
      </c>
      <c r="AX253">
        <v>8.9176000000000002</v>
      </c>
      <c r="AY253">
        <v>1</v>
      </c>
      <c r="AZ253">
        <v>5701.3156754014162</v>
      </c>
      <c r="BA253">
        <v>1.0071061377552519</v>
      </c>
      <c r="BB253" s="62">
        <v>5741.83</v>
      </c>
      <c r="BC253" s="60">
        <v>21.675518925898629</v>
      </c>
    </row>
    <row r="254" spans="1:55" x14ac:dyDescent="0.25">
      <c r="A254">
        <v>38031</v>
      </c>
      <c r="B254" t="s">
        <v>128</v>
      </c>
      <c r="C254">
        <v>2017</v>
      </c>
      <c r="D254">
        <v>11</v>
      </c>
      <c r="E254" t="s">
        <v>51</v>
      </c>
      <c r="F254" t="s">
        <v>449</v>
      </c>
      <c r="G254" t="s">
        <v>84</v>
      </c>
      <c r="H254" t="s">
        <v>381</v>
      </c>
      <c r="I254" t="s">
        <v>427</v>
      </c>
      <c r="J254">
        <v>-4.2068060799999998</v>
      </c>
      <c r="K254" t="s">
        <v>440</v>
      </c>
      <c r="L254" t="s">
        <v>450</v>
      </c>
      <c r="M254">
        <v>0.15011157993331001</v>
      </c>
      <c r="N254">
        <v>0.63149030667497374</v>
      </c>
      <c r="O254">
        <v>29976.978999999999</v>
      </c>
      <c r="P254">
        <v>1.6679465999999999E-5</v>
      </c>
      <c r="Q254">
        <v>1</v>
      </c>
      <c r="R254" s="60">
        <v>0.63149030667497374</v>
      </c>
      <c r="S254" t="s">
        <v>342</v>
      </c>
      <c r="T254" t="s">
        <v>434</v>
      </c>
      <c r="U254" t="s">
        <v>425</v>
      </c>
      <c r="V254" t="s">
        <v>26</v>
      </c>
      <c r="W254">
        <v>111.133</v>
      </c>
      <c r="X254">
        <v>1.0155396203574489</v>
      </c>
      <c r="Y254">
        <v>112.8599646291844</v>
      </c>
      <c r="Z254">
        <v>661.2</v>
      </c>
      <c r="AA254">
        <v>1</v>
      </c>
      <c r="AB254">
        <v>74.623008612816719</v>
      </c>
      <c r="AC254">
        <v>1.012368394153123</v>
      </c>
      <c r="AD254" s="62">
        <v>75.546000000000006</v>
      </c>
      <c r="AE254">
        <v>8.9176000000000002</v>
      </c>
      <c r="AF254">
        <v>9.0561761184995895</v>
      </c>
      <c r="AG254">
        <v>1</v>
      </c>
      <c r="AH254">
        <v>5987.9436495519294</v>
      </c>
      <c r="AI254">
        <v>0.99404987733863315</v>
      </c>
      <c r="AJ254" s="62">
        <v>5952.3146999999999</v>
      </c>
      <c r="AK254" s="60">
        <v>3758.829035328954</v>
      </c>
      <c r="AL254" t="s">
        <v>342</v>
      </c>
      <c r="AM254" t="s">
        <v>434</v>
      </c>
      <c r="AN254" t="s">
        <v>425</v>
      </c>
      <c r="AO254" t="s">
        <v>26</v>
      </c>
      <c r="AP254">
        <v>111.133</v>
      </c>
      <c r="AQ254">
        <v>1.0155396203574489</v>
      </c>
      <c r="AR254">
        <v>112.8599646291844</v>
      </c>
      <c r="AS254">
        <v>633.77</v>
      </c>
      <c r="AT254">
        <v>1</v>
      </c>
      <c r="AU254">
        <v>71.52725978303819</v>
      </c>
      <c r="AV254">
        <v>1.012368394153123</v>
      </c>
      <c r="AW254" s="62">
        <v>72.412000000000006</v>
      </c>
      <c r="AX254">
        <v>8.9176000000000002</v>
      </c>
      <c r="AY254">
        <v>1</v>
      </c>
      <c r="AZ254">
        <v>5739.5327386214849</v>
      </c>
      <c r="BA254">
        <v>0.99404987733863315</v>
      </c>
      <c r="BB254" s="62">
        <v>5705.3818000000001</v>
      </c>
      <c r="BC254" s="60">
        <v>3602.8933025798142</v>
      </c>
    </row>
    <row r="255" spans="1:55" x14ac:dyDescent="0.25">
      <c r="A255">
        <v>38032</v>
      </c>
      <c r="B255" t="s">
        <v>128</v>
      </c>
      <c r="C255">
        <v>2017</v>
      </c>
      <c r="D255">
        <v>11</v>
      </c>
      <c r="E255" t="s">
        <v>51</v>
      </c>
      <c r="F255" t="s">
        <v>449</v>
      </c>
      <c r="G255" t="s">
        <v>84</v>
      </c>
      <c r="H255" t="s">
        <v>381</v>
      </c>
      <c r="I255" t="s">
        <v>427</v>
      </c>
      <c r="J255">
        <v>-4.2068060799999998</v>
      </c>
      <c r="K255" t="s">
        <v>440</v>
      </c>
      <c r="L255" t="s">
        <v>384</v>
      </c>
      <c r="M255">
        <v>4.5811354346740003E-2</v>
      </c>
      <c r="N255">
        <v>0.19271948385641671</v>
      </c>
      <c r="O255">
        <v>29976.978999999999</v>
      </c>
      <c r="P255">
        <v>1.6679465999999999E-5</v>
      </c>
      <c r="Q255">
        <v>1</v>
      </c>
      <c r="R255" s="60">
        <v>0.19271948385641671</v>
      </c>
      <c r="S255" t="s">
        <v>342</v>
      </c>
      <c r="T255" t="s">
        <v>434</v>
      </c>
      <c r="U255" t="s">
        <v>425</v>
      </c>
      <c r="V255" t="s">
        <v>81</v>
      </c>
      <c r="W255">
        <v>111.133</v>
      </c>
      <c r="X255">
        <v>1.0155396203574489</v>
      </c>
      <c r="Y255">
        <v>112.8599646291844</v>
      </c>
      <c r="Z255">
        <v>661.2</v>
      </c>
      <c r="AA255">
        <v>1</v>
      </c>
      <c r="AB255">
        <v>74.623008612816719</v>
      </c>
      <c r="AC255">
        <v>0.95185525912296853</v>
      </c>
      <c r="AD255" s="62">
        <v>71.03</v>
      </c>
      <c r="AE255">
        <v>8.9176000000000002</v>
      </c>
      <c r="AF255">
        <v>9.0561761184995895</v>
      </c>
      <c r="AG255">
        <v>1</v>
      </c>
      <c r="AH255">
        <v>5987.9436495519294</v>
      </c>
      <c r="AI255">
        <v>1.081469419077697</v>
      </c>
      <c r="AJ255" s="62">
        <v>6475.7779</v>
      </c>
      <c r="AK255" s="60">
        <v>1248.00857445679</v>
      </c>
      <c r="AL255" t="s">
        <v>342</v>
      </c>
      <c r="AM255" t="s">
        <v>434</v>
      </c>
      <c r="AN255" t="s">
        <v>425</v>
      </c>
      <c r="AO255" t="s">
        <v>81</v>
      </c>
      <c r="AP255">
        <v>111.133</v>
      </c>
      <c r="AQ255">
        <v>1.0155396203574489</v>
      </c>
      <c r="AR255">
        <v>112.8599646291844</v>
      </c>
      <c r="AS255">
        <v>633.77</v>
      </c>
      <c r="AT255">
        <v>1</v>
      </c>
      <c r="AU255">
        <v>71.52725978303819</v>
      </c>
      <c r="AV255">
        <v>0.95185525912296853</v>
      </c>
      <c r="AW255" s="62">
        <v>68.084000000000003</v>
      </c>
      <c r="AX255">
        <v>8.9176000000000002</v>
      </c>
      <c r="AY255">
        <v>1</v>
      </c>
      <c r="AZ255">
        <v>5739.5327386214849</v>
      </c>
      <c r="BA255">
        <v>1.081469419077697</v>
      </c>
      <c r="BB255" s="62">
        <v>6207.1291000000001</v>
      </c>
      <c r="BC255" s="60">
        <v>1196.2347163821439</v>
      </c>
    </row>
    <row r="256" spans="1:55" x14ac:dyDescent="0.25">
      <c r="A256">
        <v>38033</v>
      </c>
      <c r="B256" t="s">
        <v>128</v>
      </c>
      <c r="C256">
        <v>2017</v>
      </c>
      <c r="D256">
        <v>11</v>
      </c>
      <c r="E256" t="s">
        <v>51</v>
      </c>
      <c r="F256" t="s">
        <v>449</v>
      </c>
      <c r="G256" t="s">
        <v>84</v>
      </c>
      <c r="H256" t="s">
        <v>381</v>
      </c>
      <c r="I256" t="s">
        <v>427</v>
      </c>
      <c r="J256">
        <v>-4.2068060799999998</v>
      </c>
      <c r="K256" t="s">
        <v>440</v>
      </c>
      <c r="L256" t="s">
        <v>385</v>
      </c>
      <c r="M256">
        <v>0.43232641346992001</v>
      </c>
      <c r="N256">
        <v>1.8187133833852209</v>
      </c>
      <c r="O256">
        <v>29976.978999999999</v>
      </c>
      <c r="P256">
        <v>1.6679465999999999E-5</v>
      </c>
      <c r="Q256">
        <v>1</v>
      </c>
      <c r="R256" s="60">
        <v>1.8187133833852209</v>
      </c>
      <c r="S256" t="s">
        <v>342</v>
      </c>
      <c r="T256" t="s">
        <v>434</v>
      </c>
      <c r="U256" t="s">
        <v>425</v>
      </c>
      <c r="V256" t="s">
        <v>27</v>
      </c>
      <c r="W256">
        <v>111.133</v>
      </c>
      <c r="X256">
        <v>1.0155396203574489</v>
      </c>
      <c r="Y256">
        <v>112.8599646291844</v>
      </c>
      <c r="Z256">
        <v>661.2</v>
      </c>
      <c r="AA256">
        <v>1</v>
      </c>
      <c r="AB256">
        <v>74.623008612816719</v>
      </c>
      <c r="AC256">
        <v>1.0016354901359501</v>
      </c>
      <c r="AD256" s="62">
        <v>74.745000000000005</v>
      </c>
      <c r="AE256">
        <v>8.9176000000000002</v>
      </c>
      <c r="AF256">
        <v>9.0561761184995895</v>
      </c>
      <c r="AG256">
        <v>1</v>
      </c>
      <c r="AH256">
        <v>5987.9436495519294</v>
      </c>
      <c r="AI256">
        <v>1.016194415745886</v>
      </c>
      <c r="AJ256" s="62">
        <v>6084.9148999999998</v>
      </c>
      <c r="AK256" s="60">
        <v>11066.71616539014</v>
      </c>
      <c r="AL256" t="s">
        <v>342</v>
      </c>
      <c r="AM256" t="s">
        <v>434</v>
      </c>
      <c r="AN256" t="s">
        <v>425</v>
      </c>
      <c r="AO256" t="s">
        <v>27</v>
      </c>
      <c r="AP256">
        <v>111.133</v>
      </c>
      <c r="AQ256">
        <v>1.0155396203574489</v>
      </c>
      <c r="AR256">
        <v>112.8599646291844</v>
      </c>
      <c r="AS256">
        <v>633.77</v>
      </c>
      <c r="AT256">
        <v>1</v>
      </c>
      <c r="AU256">
        <v>71.52725978303819</v>
      </c>
      <c r="AV256">
        <v>1.0016354901359501</v>
      </c>
      <c r="AW256" s="62">
        <v>71.644000000000005</v>
      </c>
      <c r="AX256">
        <v>8.9176000000000002</v>
      </c>
      <c r="AY256">
        <v>1</v>
      </c>
      <c r="AZ256">
        <v>5739.5327386214849</v>
      </c>
      <c r="BA256">
        <v>1.016194415745886</v>
      </c>
      <c r="BB256" s="62">
        <v>5832.4811</v>
      </c>
      <c r="BC256" s="60">
        <v>10607.61143491136</v>
      </c>
    </row>
    <row r="257" spans="1:55" x14ac:dyDescent="0.25">
      <c r="A257">
        <v>38034</v>
      </c>
      <c r="B257" t="s">
        <v>128</v>
      </c>
      <c r="C257">
        <v>2017</v>
      </c>
      <c r="D257">
        <v>11</v>
      </c>
      <c r="E257" t="s">
        <v>51</v>
      </c>
      <c r="F257" t="s">
        <v>449</v>
      </c>
      <c r="G257" t="s">
        <v>84</v>
      </c>
      <c r="H257" t="s">
        <v>381</v>
      </c>
      <c r="I257" t="s">
        <v>427</v>
      </c>
      <c r="J257">
        <v>-4.2068060799999998</v>
      </c>
      <c r="K257" t="s">
        <v>440</v>
      </c>
      <c r="L257" t="s">
        <v>451</v>
      </c>
      <c r="M257">
        <v>1.6825115802299999E-3</v>
      </c>
      <c r="N257">
        <v>7.0779999401489819E-3</v>
      </c>
      <c r="O257">
        <v>29976.978999999999</v>
      </c>
      <c r="P257">
        <v>1.6679465999999999E-5</v>
      </c>
      <c r="Q257">
        <v>1</v>
      </c>
      <c r="R257" s="60">
        <v>7.0779999401489819E-3</v>
      </c>
      <c r="S257" t="s">
        <v>342</v>
      </c>
      <c r="T257" t="s">
        <v>434</v>
      </c>
      <c r="U257" t="s">
        <v>425</v>
      </c>
      <c r="V257" t="s">
        <v>91</v>
      </c>
      <c r="W257">
        <v>111.133</v>
      </c>
      <c r="X257">
        <v>1.0155396203574489</v>
      </c>
      <c r="Y257">
        <v>112.8599646291844</v>
      </c>
      <c r="Z257">
        <v>661.2</v>
      </c>
      <c r="AA257">
        <v>1</v>
      </c>
      <c r="AB257">
        <v>74.623008612816719</v>
      </c>
      <c r="AC257">
        <v>1.02984769498109</v>
      </c>
      <c r="AD257" s="62">
        <v>76.849999999999994</v>
      </c>
      <c r="AE257">
        <v>8.9176000000000002</v>
      </c>
      <c r="AF257">
        <v>9.0561761184995895</v>
      </c>
      <c r="AG257">
        <v>1</v>
      </c>
      <c r="AH257">
        <v>5987.9436495519294</v>
      </c>
      <c r="AI257">
        <v>0.9935711161666545</v>
      </c>
      <c r="AJ257" s="62">
        <v>5949.4479000000001</v>
      </c>
      <c r="AK257" s="60">
        <v>42.110191880119487</v>
      </c>
      <c r="AL257" t="s">
        <v>342</v>
      </c>
      <c r="AM257" t="s">
        <v>434</v>
      </c>
      <c r="AN257" t="s">
        <v>425</v>
      </c>
      <c r="AO257" t="s">
        <v>91</v>
      </c>
      <c r="AP257">
        <v>111.133</v>
      </c>
      <c r="AQ257">
        <v>1.0155396203574489</v>
      </c>
      <c r="AR257">
        <v>112.8599646291844</v>
      </c>
      <c r="AS257">
        <v>633.77</v>
      </c>
      <c r="AT257">
        <v>1</v>
      </c>
      <c r="AU257">
        <v>71.52725978303819</v>
      </c>
      <c r="AV257">
        <v>1.02984769498109</v>
      </c>
      <c r="AW257" s="62">
        <v>73.662000000000006</v>
      </c>
      <c r="AX257">
        <v>8.9176000000000002</v>
      </c>
      <c r="AY257">
        <v>1</v>
      </c>
      <c r="AZ257">
        <v>5739.5327386214849</v>
      </c>
      <c r="BA257">
        <v>0.9935711161666545</v>
      </c>
      <c r="BB257" s="62">
        <v>5702.6338999999998</v>
      </c>
      <c r="BC257" s="60">
        <v>40.363242402891551</v>
      </c>
    </row>
    <row r="258" spans="1:55" x14ac:dyDescent="0.25">
      <c r="A258">
        <v>38035</v>
      </c>
      <c r="B258" t="s">
        <v>128</v>
      </c>
      <c r="C258">
        <v>2017</v>
      </c>
      <c r="D258">
        <v>11</v>
      </c>
      <c r="E258" t="s">
        <v>51</v>
      </c>
      <c r="F258" t="s">
        <v>449</v>
      </c>
      <c r="G258" t="s">
        <v>84</v>
      </c>
      <c r="H258" t="s">
        <v>381</v>
      </c>
      <c r="I258" t="s">
        <v>427</v>
      </c>
      <c r="J258">
        <v>-4.2068060799999998</v>
      </c>
      <c r="K258" t="s">
        <v>440</v>
      </c>
      <c r="L258" t="s">
        <v>452</v>
      </c>
      <c r="M258">
        <v>1.53682162831E-3</v>
      </c>
      <c r="N258">
        <v>6.4651105650701474E-3</v>
      </c>
      <c r="O258">
        <v>29976.978999999999</v>
      </c>
      <c r="P258">
        <v>1.6679465999999999E-5</v>
      </c>
      <c r="Q258">
        <v>1</v>
      </c>
      <c r="R258" s="60">
        <v>6.4651105650701474E-3</v>
      </c>
      <c r="S258" t="s">
        <v>342</v>
      </c>
      <c r="T258" t="s">
        <v>434</v>
      </c>
      <c r="U258" t="s">
        <v>425</v>
      </c>
      <c r="V258" t="s">
        <v>28</v>
      </c>
      <c r="W258">
        <v>111.133</v>
      </c>
      <c r="X258">
        <v>1.0155396203574489</v>
      </c>
      <c r="Y258">
        <v>112.8599646291844</v>
      </c>
      <c r="Z258">
        <v>661.2</v>
      </c>
      <c r="AA258">
        <v>1</v>
      </c>
      <c r="AB258">
        <v>74.623008612816719</v>
      </c>
      <c r="AC258">
        <v>1.0451804150056221</v>
      </c>
      <c r="AD258" s="62">
        <v>77.995000000000005</v>
      </c>
      <c r="AE258">
        <v>8.9176000000000002</v>
      </c>
      <c r="AF258">
        <v>9.0561761184995895</v>
      </c>
      <c r="AG258">
        <v>1</v>
      </c>
      <c r="AH258">
        <v>5987.9436495519294</v>
      </c>
      <c r="AI258">
        <v>1.0071061377552519</v>
      </c>
      <c r="AJ258" s="62">
        <v>6030.4948000000004</v>
      </c>
      <c r="AK258" s="60">
        <v>38.987815644080577</v>
      </c>
      <c r="AL258" t="s">
        <v>342</v>
      </c>
      <c r="AM258" t="s">
        <v>434</v>
      </c>
      <c r="AN258" t="s">
        <v>425</v>
      </c>
      <c r="AO258" t="s">
        <v>28</v>
      </c>
      <c r="AP258">
        <v>111.133</v>
      </c>
      <c r="AQ258">
        <v>1.0155396203574489</v>
      </c>
      <c r="AR258">
        <v>112.8599646291844</v>
      </c>
      <c r="AS258">
        <v>633.77</v>
      </c>
      <c r="AT258">
        <v>1</v>
      </c>
      <c r="AU258">
        <v>71.52725978303819</v>
      </c>
      <c r="AV258">
        <v>1.0451804150056221</v>
      </c>
      <c r="AW258" s="62">
        <v>74.759</v>
      </c>
      <c r="AX258">
        <v>8.9176000000000002</v>
      </c>
      <c r="AY258">
        <v>1</v>
      </c>
      <c r="AZ258">
        <v>5739.5327386214849</v>
      </c>
      <c r="BA258">
        <v>1.0071061377552519</v>
      </c>
      <c r="BB258" s="62">
        <v>5780.3185999999996</v>
      </c>
      <c r="BC258" s="60">
        <v>37.370398850331483</v>
      </c>
    </row>
    <row r="259" spans="1:55" x14ac:dyDescent="0.25">
      <c r="A259">
        <v>38036</v>
      </c>
      <c r="B259" t="s">
        <v>128</v>
      </c>
      <c r="C259">
        <v>2017</v>
      </c>
      <c r="D259">
        <v>11</v>
      </c>
      <c r="E259" t="s">
        <v>51</v>
      </c>
      <c r="F259" t="s">
        <v>449</v>
      </c>
      <c r="G259" t="s">
        <v>84</v>
      </c>
      <c r="H259" t="s">
        <v>87</v>
      </c>
      <c r="I259" t="s">
        <v>427</v>
      </c>
      <c r="J259">
        <v>-0.79520188999999997</v>
      </c>
      <c r="K259" t="s">
        <v>440</v>
      </c>
      <c r="L259" t="s">
        <v>450</v>
      </c>
      <c r="M259">
        <v>0.26601384014995</v>
      </c>
      <c r="N259">
        <v>0.21153470920124681</v>
      </c>
      <c r="O259">
        <v>29976.978999999999</v>
      </c>
      <c r="P259">
        <v>1.6679465999999999E-5</v>
      </c>
      <c r="Q259">
        <v>1</v>
      </c>
      <c r="R259" s="60">
        <v>0.21153470920124681</v>
      </c>
      <c r="S259" t="s">
        <v>342</v>
      </c>
      <c r="T259" t="s">
        <v>434</v>
      </c>
      <c r="U259" t="s">
        <v>425</v>
      </c>
      <c r="V259" t="s">
        <v>26</v>
      </c>
      <c r="W259">
        <v>111.133</v>
      </c>
      <c r="X259">
        <v>1.0155396203574489</v>
      </c>
      <c r="Y259">
        <v>112.8599646291844</v>
      </c>
      <c r="Z259">
        <v>661.2</v>
      </c>
      <c r="AA259">
        <v>1</v>
      </c>
      <c r="AB259">
        <v>74.623008612816719</v>
      </c>
      <c r="AC259">
        <v>1.012368394153123</v>
      </c>
      <c r="AD259" s="62">
        <v>75.546000000000006</v>
      </c>
      <c r="AE259">
        <v>8.9176000000000002</v>
      </c>
      <c r="AF259">
        <v>9.0561761184995895</v>
      </c>
      <c r="AG259">
        <v>1</v>
      </c>
      <c r="AH259">
        <v>5987.9436495519294</v>
      </c>
      <c r="AI259">
        <v>0.99404987733863315</v>
      </c>
      <c r="AJ259" s="62">
        <v>5952.3146999999999</v>
      </c>
      <c r="AK259" s="60">
        <v>1259.1211591388069</v>
      </c>
      <c r="AL259" t="s">
        <v>342</v>
      </c>
      <c r="AM259" t="s">
        <v>434</v>
      </c>
      <c r="AN259" t="s">
        <v>425</v>
      </c>
      <c r="AO259" t="s">
        <v>26</v>
      </c>
      <c r="AP259">
        <v>111.133</v>
      </c>
      <c r="AQ259">
        <v>1.0155396203574489</v>
      </c>
      <c r="AR259">
        <v>112.8599646291844</v>
      </c>
      <c r="AS259">
        <v>633.77</v>
      </c>
      <c r="AT259">
        <v>1</v>
      </c>
      <c r="AU259">
        <v>71.52725978303819</v>
      </c>
      <c r="AV259">
        <v>1.012368394153123</v>
      </c>
      <c r="AW259" s="62">
        <v>72.412000000000006</v>
      </c>
      <c r="AX259">
        <v>8.9176000000000002</v>
      </c>
      <c r="AY259">
        <v>1</v>
      </c>
      <c r="AZ259">
        <v>5739.5327386214849</v>
      </c>
      <c r="BA259">
        <v>0.99404987733863315</v>
      </c>
      <c r="BB259" s="62">
        <v>5705.3818000000001</v>
      </c>
      <c r="BC259" s="60">
        <v>1206.886279945086</v>
      </c>
    </row>
    <row r="260" spans="1:55" x14ac:dyDescent="0.25">
      <c r="A260">
        <v>38037</v>
      </c>
      <c r="B260" t="s">
        <v>128</v>
      </c>
      <c r="C260">
        <v>2017</v>
      </c>
      <c r="D260">
        <v>11</v>
      </c>
      <c r="E260" t="s">
        <v>51</v>
      </c>
      <c r="F260" t="s">
        <v>449</v>
      </c>
      <c r="G260" t="s">
        <v>84</v>
      </c>
      <c r="H260" t="s">
        <v>87</v>
      </c>
      <c r="I260" t="s">
        <v>427</v>
      </c>
      <c r="J260">
        <v>-0.79520188999999997</v>
      </c>
      <c r="K260" t="s">
        <v>440</v>
      </c>
      <c r="L260" t="s">
        <v>384</v>
      </c>
      <c r="M260">
        <v>3.9509559941419997E-2</v>
      </c>
      <c r="N260">
        <v>3.1418076849559287E-2</v>
      </c>
      <c r="O260">
        <v>29976.978999999999</v>
      </c>
      <c r="P260">
        <v>1.6679465999999999E-5</v>
      </c>
      <c r="Q260">
        <v>1</v>
      </c>
      <c r="R260" s="60">
        <v>3.1418076849559287E-2</v>
      </c>
      <c r="S260" t="s">
        <v>342</v>
      </c>
      <c r="T260" t="s">
        <v>434</v>
      </c>
      <c r="U260" t="s">
        <v>425</v>
      </c>
      <c r="V260" t="s">
        <v>81</v>
      </c>
      <c r="W260">
        <v>111.133</v>
      </c>
      <c r="X260">
        <v>1.0155396203574489</v>
      </c>
      <c r="Y260">
        <v>112.8599646291844</v>
      </c>
      <c r="Z260">
        <v>661.2</v>
      </c>
      <c r="AA260">
        <v>1</v>
      </c>
      <c r="AB260">
        <v>74.623008612816719</v>
      </c>
      <c r="AC260">
        <v>0.95185525912296853</v>
      </c>
      <c r="AD260" s="62">
        <v>71.03</v>
      </c>
      <c r="AE260">
        <v>8.9176000000000002</v>
      </c>
      <c r="AF260">
        <v>9.0561761184995895</v>
      </c>
      <c r="AG260">
        <v>1</v>
      </c>
      <c r="AH260">
        <v>5987.9436495519294</v>
      </c>
      <c r="AI260">
        <v>1.081469419077697</v>
      </c>
      <c r="AJ260" s="62">
        <v>6475.7779</v>
      </c>
      <c r="AK260" s="60">
        <v>203.45648772287771</v>
      </c>
      <c r="AL260" t="s">
        <v>342</v>
      </c>
      <c r="AM260" t="s">
        <v>434</v>
      </c>
      <c r="AN260" t="s">
        <v>425</v>
      </c>
      <c r="AO260" t="s">
        <v>81</v>
      </c>
      <c r="AP260">
        <v>111.133</v>
      </c>
      <c r="AQ260">
        <v>1.0155396203574489</v>
      </c>
      <c r="AR260">
        <v>112.8599646291844</v>
      </c>
      <c r="AS260">
        <v>633.77</v>
      </c>
      <c r="AT260">
        <v>1</v>
      </c>
      <c r="AU260">
        <v>71.52725978303819</v>
      </c>
      <c r="AV260">
        <v>0.95185525912296853</v>
      </c>
      <c r="AW260" s="62">
        <v>68.084000000000003</v>
      </c>
      <c r="AX260">
        <v>8.9176000000000002</v>
      </c>
      <c r="AY260">
        <v>1</v>
      </c>
      <c r="AZ260">
        <v>5739.5327386214849</v>
      </c>
      <c r="BA260">
        <v>1.081469419077697</v>
      </c>
      <c r="BB260" s="62">
        <v>6207.1291000000001</v>
      </c>
      <c r="BC260" s="60">
        <v>195.0160590789358</v>
      </c>
    </row>
    <row r="261" spans="1:55" x14ac:dyDescent="0.25">
      <c r="A261">
        <v>38038</v>
      </c>
      <c r="B261" t="s">
        <v>128</v>
      </c>
      <c r="C261">
        <v>2017</v>
      </c>
      <c r="D261">
        <v>11</v>
      </c>
      <c r="E261" t="s">
        <v>51</v>
      </c>
      <c r="F261" t="s">
        <v>449</v>
      </c>
      <c r="G261" t="s">
        <v>84</v>
      </c>
      <c r="H261" t="s">
        <v>87</v>
      </c>
      <c r="I261" t="s">
        <v>427</v>
      </c>
      <c r="J261">
        <v>-0.79520188999999997</v>
      </c>
      <c r="K261" t="s">
        <v>440</v>
      </c>
      <c r="L261" t="s">
        <v>385</v>
      </c>
      <c r="M261">
        <v>0.39737542925016001</v>
      </c>
      <c r="N261">
        <v>0.31599369349643602</v>
      </c>
      <c r="O261">
        <v>29976.978999999999</v>
      </c>
      <c r="P261">
        <v>1.6679465999999999E-5</v>
      </c>
      <c r="Q261">
        <v>1</v>
      </c>
      <c r="R261" s="60">
        <v>0.31599369349643602</v>
      </c>
      <c r="S261" t="s">
        <v>342</v>
      </c>
      <c r="T261" t="s">
        <v>434</v>
      </c>
      <c r="U261" t="s">
        <v>425</v>
      </c>
      <c r="V261" t="s">
        <v>27</v>
      </c>
      <c r="W261">
        <v>111.133</v>
      </c>
      <c r="X261">
        <v>1.0155396203574489</v>
      </c>
      <c r="Y261">
        <v>112.8599646291844</v>
      </c>
      <c r="Z261">
        <v>661.2</v>
      </c>
      <c r="AA261">
        <v>1</v>
      </c>
      <c r="AB261">
        <v>74.623008612816719</v>
      </c>
      <c r="AC261">
        <v>1.0016354901359501</v>
      </c>
      <c r="AD261" s="62">
        <v>74.745000000000005</v>
      </c>
      <c r="AE261">
        <v>8.9176000000000002</v>
      </c>
      <c r="AF261">
        <v>9.0561761184995895</v>
      </c>
      <c r="AG261">
        <v>1</v>
      </c>
      <c r="AH261">
        <v>5987.9436495519294</v>
      </c>
      <c r="AI261">
        <v>1.016194415745886</v>
      </c>
      <c r="AJ261" s="62">
        <v>6084.9148999999998</v>
      </c>
      <c r="AK261" s="60">
        <v>1922.7947338624961</v>
      </c>
      <c r="AL261" t="s">
        <v>342</v>
      </c>
      <c r="AM261" t="s">
        <v>434</v>
      </c>
      <c r="AN261" t="s">
        <v>425</v>
      </c>
      <c r="AO261" t="s">
        <v>27</v>
      </c>
      <c r="AP261">
        <v>111.133</v>
      </c>
      <c r="AQ261">
        <v>1.0155396203574489</v>
      </c>
      <c r="AR261">
        <v>112.8599646291844</v>
      </c>
      <c r="AS261">
        <v>633.77</v>
      </c>
      <c r="AT261">
        <v>1</v>
      </c>
      <c r="AU261">
        <v>71.52725978303819</v>
      </c>
      <c r="AV261">
        <v>1.0016354901359501</v>
      </c>
      <c r="AW261" s="62">
        <v>71.644000000000005</v>
      </c>
      <c r="AX261">
        <v>8.9176000000000002</v>
      </c>
      <c r="AY261">
        <v>1</v>
      </c>
      <c r="AZ261">
        <v>5739.5327386214849</v>
      </c>
      <c r="BA261">
        <v>1.016194415745886</v>
      </c>
      <c r="BB261" s="62">
        <v>5832.4811</v>
      </c>
      <c r="BC261" s="60">
        <v>1843.027245037156</v>
      </c>
    </row>
    <row r="262" spans="1:55" x14ac:dyDescent="0.25">
      <c r="A262">
        <v>38039</v>
      </c>
      <c r="B262" t="s">
        <v>128</v>
      </c>
      <c r="C262">
        <v>2017</v>
      </c>
      <c r="D262">
        <v>11</v>
      </c>
      <c r="E262" t="s">
        <v>51</v>
      </c>
      <c r="F262" t="s">
        <v>449</v>
      </c>
      <c r="G262" t="s">
        <v>84</v>
      </c>
      <c r="H262" t="s">
        <v>87</v>
      </c>
      <c r="I262" t="s">
        <v>427</v>
      </c>
      <c r="J262">
        <v>-0.79520188999999997</v>
      </c>
      <c r="K262" t="s">
        <v>440</v>
      </c>
      <c r="L262" t="s">
        <v>452</v>
      </c>
      <c r="M262">
        <v>8.4248020759000004E-4</v>
      </c>
      <c r="N262">
        <v>6.6994185573163753E-4</v>
      </c>
      <c r="O262">
        <v>29976.978999999999</v>
      </c>
      <c r="P262">
        <v>1.6679465999999999E-5</v>
      </c>
      <c r="Q262">
        <v>1</v>
      </c>
      <c r="R262" s="60">
        <v>6.6994185573163753E-4</v>
      </c>
      <c r="S262" t="s">
        <v>342</v>
      </c>
      <c r="T262" t="s">
        <v>434</v>
      </c>
      <c r="U262" t="s">
        <v>425</v>
      </c>
      <c r="V262" t="s">
        <v>28</v>
      </c>
      <c r="W262">
        <v>111.133</v>
      </c>
      <c r="X262">
        <v>1.0155396203574489</v>
      </c>
      <c r="Y262">
        <v>112.8599646291844</v>
      </c>
      <c r="Z262">
        <v>661.2</v>
      </c>
      <c r="AA262">
        <v>1</v>
      </c>
      <c r="AB262">
        <v>74.623008612816719</v>
      </c>
      <c r="AC262">
        <v>1.0451804150056221</v>
      </c>
      <c r="AD262" s="62">
        <v>77.995000000000005</v>
      </c>
      <c r="AE262">
        <v>8.9176000000000002</v>
      </c>
      <c r="AF262">
        <v>9.0561761184995895</v>
      </c>
      <c r="AG262">
        <v>1</v>
      </c>
      <c r="AH262">
        <v>5987.9436495519294</v>
      </c>
      <c r="AI262">
        <v>1.0071061377552519</v>
      </c>
      <c r="AJ262" s="62">
        <v>6030.4948000000004</v>
      </c>
      <c r="AK262" s="60">
        <v>4.0400808772919907</v>
      </c>
      <c r="AL262" t="s">
        <v>342</v>
      </c>
      <c r="AM262" t="s">
        <v>434</v>
      </c>
      <c r="AN262" t="s">
        <v>425</v>
      </c>
      <c r="AO262" t="s">
        <v>28</v>
      </c>
      <c r="AP262">
        <v>111.133</v>
      </c>
      <c r="AQ262">
        <v>1.0155396203574489</v>
      </c>
      <c r="AR262">
        <v>112.8599646291844</v>
      </c>
      <c r="AS262">
        <v>633.77</v>
      </c>
      <c r="AT262">
        <v>1</v>
      </c>
      <c r="AU262">
        <v>71.52725978303819</v>
      </c>
      <c r="AV262">
        <v>1.0451804150056221</v>
      </c>
      <c r="AW262" s="62">
        <v>74.759</v>
      </c>
      <c r="AX262">
        <v>8.9176000000000002</v>
      </c>
      <c r="AY262">
        <v>1</v>
      </c>
      <c r="AZ262">
        <v>5739.5327386214849</v>
      </c>
      <c r="BA262">
        <v>1.0071061377552519</v>
      </c>
      <c r="BB262" s="62">
        <v>5780.3185999999996</v>
      </c>
      <c r="BC262" s="60">
        <v>3.872477369604101</v>
      </c>
    </row>
    <row r="263" spans="1:55" x14ac:dyDescent="0.25">
      <c r="A263">
        <v>38040</v>
      </c>
      <c r="B263" t="s">
        <v>128</v>
      </c>
      <c r="C263">
        <v>2017</v>
      </c>
      <c r="D263">
        <v>11</v>
      </c>
      <c r="E263" t="s">
        <v>51</v>
      </c>
      <c r="F263" t="s">
        <v>449</v>
      </c>
      <c r="G263" t="s">
        <v>84</v>
      </c>
      <c r="H263" t="s">
        <v>59</v>
      </c>
      <c r="I263" t="s">
        <v>427</v>
      </c>
      <c r="J263">
        <v>-2.4947498700000001</v>
      </c>
      <c r="K263" t="s">
        <v>440</v>
      </c>
      <c r="L263" t="s">
        <v>450</v>
      </c>
      <c r="M263">
        <v>0.15931709696460999</v>
      </c>
      <c r="N263">
        <v>0.39745630723331882</v>
      </c>
      <c r="O263">
        <v>29976.978999999999</v>
      </c>
      <c r="P263">
        <v>1.6679465999999999E-5</v>
      </c>
      <c r="Q263">
        <v>1</v>
      </c>
      <c r="R263" s="60">
        <v>0.39745630723331882</v>
      </c>
      <c r="S263" t="s">
        <v>342</v>
      </c>
      <c r="T263" t="s">
        <v>434</v>
      </c>
      <c r="U263" t="s">
        <v>425</v>
      </c>
      <c r="V263" t="s">
        <v>26</v>
      </c>
      <c r="W263">
        <v>111.133</v>
      </c>
      <c r="X263">
        <v>1.0155396203574489</v>
      </c>
      <c r="Y263">
        <v>112.8599646291844</v>
      </c>
      <c r="Z263">
        <v>661.2</v>
      </c>
      <c r="AA263">
        <v>1</v>
      </c>
      <c r="AB263">
        <v>74.623008612816719</v>
      </c>
      <c r="AC263">
        <v>1.012368394153123</v>
      </c>
      <c r="AD263" s="62">
        <v>75.546000000000006</v>
      </c>
      <c r="AE263">
        <v>8.9176000000000002</v>
      </c>
      <c r="AF263">
        <v>9.0561761184995895</v>
      </c>
      <c r="AG263">
        <v>1</v>
      </c>
      <c r="AH263">
        <v>5987.9436495519294</v>
      </c>
      <c r="AI263">
        <v>0.99404987733863315</v>
      </c>
      <c r="AJ263" s="62">
        <v>5952.3146999999999</v>
      </c>
      <c r="AK263" s="60">
        <v>2365.7850201525998</v>
      </c>
      <c r="AL263" t="s">
        <v>342</v>
      </c>
      <c r="AM263" t="s">
        <v>434</v>
      </c>
      <c r="AN263" t="s">
        <v>425</v>
      </c>
      <c r="AO263" t="s">
        <v>26</v>
      </c>
      <c r="AP263">
        <v>111.133</v>
      </c>
      <c r="AQ263">
        <v>1.0155396203574489</v>
      </c>
      <c r="AR263">
        <v>112.8599646291844</v>
      </c>
      <c r="AS263">
        <v>633.77</v>
      </c>
      <c r="AT263">
        <v>1</v>
      </c>
      <c r="AU263">
        <v>71.52725978303819</v>
      </c>
      <c r="AV263">
        <v>1.012368394153123</v>
      </c>
      <c r="AW263" s="62">
        <v>72.412000000000006</v>
      </c>
      <c r="AX263">
        <v>8.9176000000000002</v>
      </c>
      <c r="AY263">
        <v>1</v>
      </c>
      <c r="AZ263">
        <v>5739.5327386214849</v>
      </c>
      <c r="BA263">
        <v>0.99404987733863315</v>
      </c>
      <c r="BB263" s="62">
        <v>5705.3818000000001</v>
      </c>
      <c r="BC263" s="60">
        <v>2267.639981584186</v>
      </c>
    </row>
    <row r="264" spans="1:55" x14ac:dyDescent="0.25">
      <c r="A264">
        <v>38041</v>
      </c>
      <c r="B264" t="s">
        <v>128</v>
      </c>
      <c r="C264">
        <v>2017</v>
      </c>
      <c r="D264">
        <v>11</v>
      </c>
      <c r="E264" t="s">
        <v>51</v>
      </c>
      <c r="F264" t="s">
        <v>449</v>
      </c>
      <c r="G264" t="s">
        <v>84</v>
      </c>
      <c r="H264" t="s">
        <v>59</v>
      </c>
      <c r="I264" t="s">
        <v>427</v>
      </c>
      <c r="J264">
        <v>-2.4947498700000001</v>
      </c>
      <c r="K264" t="s">
        <v>440</v>
      </c>
      <c r="L264" t="s">
        <v>384</v>
      </c>
      <c r="M264">
        <v>4.1785183859599999E-2</v>
      </c>
      <c r="N264">
        <v>0.1042435820782692</v>
      </c>
      <c r="O264">
        <v>29976.978999999999</v>
      </c>
      <c r="P264">
        <v>1.6679465999999999E-5</v>
      </c>
      <c r="Q264">
        <v>1</v>
      </c>
      <c r="R264" s="60">
        <v>0.1042435820782692</v>
      </c>
      <c r="S264" t="s">
        <v>342</v>
      </c>
      <c r="T264" t="s">
        <v>434</v>
      </c>
      <c r="U264" t="s">
        <v>425</v>
      </c>
      <c r="V264" t="s">
        <v>81</v>
      </c>
      <c r="W264">
        <v>111.133</v>
      </c>
      <c r="X264">
        <v>1.0155396203574489</v>
      </c>
      <c r="Y264">
        <v>112.8599646291844</v>
      </c>
      <c r="Z264">
        <v>661.2</v>
      </c>
      <c r="AA264">
        <v>1</v>
      </c>
      <c r="AB264">
        <v>74.623008612816719</v>
      </c>
      <c r="AC264">
        <v>0.95185525912296853</v>
      </c>
      <c r="AD264" s="62">
        <v>71.03</v>
      </c>
      <c r="AE264">
        <v>8.9176000000000002</v>
      </c>
      <c r="AF264">
        <v>9.0561761184995895</v>
      </c>
      <c r="AG264">
        <v>1</v>
      </c>
      <c r="AH264">
        <v>5987.9436495519294</v>
      </c>
      <c r="AI264">
        <v>1.081469419077697</v>
      </c>
      <c r="AJ264" s="62">
        <v>6475.7779</v>
      </c>
      <c r="AK264" s="60">
        <v>675.0582850392916</v>
      </c>
      <c r="AL264" t="s">
        <v>342</v>
      </c>
      <c r="AM264" t="s">
        <v>434</v>
      </c>
      <c r="AN264" t="s">
        <v>425</v>
      </c>
      <c r="AO264" t="s">
        <v>81</v>
      </c>
      <c r="AP264">
        <v>111.133</v>
      </c>
      <c r="AQ264">
        <v>1.0155396203574489</v>
      </c>
      <c r="AR264">
        <v>112.8599646291844</v>
      </c>
      <c r="AS264">
        <v>633.77</v>
      </c>
      <c r="AT264">
        <v>1</v>
      </c>
      <c r="AU264">
        <v>71.52725978303819</v>
      </c>
      <c r="AV264">
        <v>0.95185525912296853</v>
      </c>
      <c r="AW264" s="62">
        <v>68.084000000000003</v>
      </c>
      <c r="AX264">
        <v>8.9176000000000002</v>
      </c>
      <c r="AY264">
        <v>1</v>
      </c>
      <c r="AZ264">
        <v>5739.5327386214849</v>
      </c>
      <c r="BA264">
        <v>1.081469419077697</v>
      </c>
      <c r="BB264" s="62">
        <v>6207.1291000000001</v>
      </c>
      <c r="BC264" s="60">
        <v>647.05337180626304</v>
      </c>
    </row>
    <row r="265" spans="1:55" x14ac:dyDescent="0.25">
      <c r="A265">
        <v>38042</v>
      </c>
      <c r="B265" t="s">
        <v>128</v>
      </c>
      <c r="C265">
        <v>2017</v>
      </c>
      <c r="D265">
        <v>11</v>
      </c>
      <c r="E265" t="s">
        <v>51</v>
      </c>
      <c r="F265" t="s">
        <v>449</v>
      </c>
      <c r="G265" t="s">
        <v>84</v>
      </c>
      <c r="H265" t="s">
        <v>59</v>
      </c>
      <c r="I265" t="s">
        <v>427</v>
      </c>
      <c r="J265">
        <v>-2.4947498700000001</v>
      </c>
      <c r="K265" t="s">
        <v>440</v>
      </c>
      <c r="L265" t="s">
        <v>385</v>
      </c>
      <c r="M265">
        <v>0.43497567483749999</v>
      </c>
      <c r="N265">
        <v>1.0851555090514691</v>
      </c>
      <c r="O265">
        <v>29976.978999999999</v>
      </c>
      <c r="P265">
        <v>1.6679465999999999E-5</v>
      </c>
      <c r="Q265">
        <v>1</v>
      </c>
      <c r="R265" s="60">
        <v>1.0851555090514691</v>
      </c>
      <c r="S265" t="s">
        <v>342</v>
      </c>
      <c r="T265" t="s">
        <v>434</v>
      </c>
      <c r="U265" t="s">
        <v>425</v>
      </c>
      <c r="V265" t="s">
        <v>27</v>
      </c>
      <c r="W265">
        <v>111.133</v>
      </c>
      <c r="X265">
        <v>1.0155396203574489</v>
      </c>
      <c r="Y265">
        <v>112.8599646291844</v>
      </c>
      <c r="Z265">
        <v>661.2</v>
      </c>
      <c r="AA265">
        <v>1</v>
      </c>
      <c r="AB265">
        <v>74.623008612816719</v>
      </c>
      <c r="AC265">
        <v>1.0016354901359501</v>
      </c>
      <c r="AD265" s="62">
        <v>74.745000000000005</v>
      </c>
      <c r="AE265">
        <v>8.9176000000000002</v>
      </c>
      <c r="AF265">
        <v>9.0561761184995895</v>
      </c>
      <c r="AG265">
        <v>1</v>
      </c>
      <c r="AH265">
        <v>5987.9436495519294</v>
      </c>
      <c r="AI265">
        <v>1.016194415745886</v>
      </c>
      <c r="AJ265" s="62">
        <v>6084.9148999999998</v>
      </c>
      <c r="AK265" s="60">
        <v>6603.0789258443674</v>
      </c>
      <c r="AL265" t="s">
        <v>342</v>
      </c>
      <c r="AM265" t="s">
        <v>434</v>
      </c>
      <c r="AN265" t="s">
        <v>425</v>
      </c>
      <c r="AO265" t="s">
        <v>27</v>
      </c>
      <c r="AP265">
        <v>111.133</v>
      </c>
      <c r="AQ265">
        <v>1.0155396203574489</v>
      </c>
      <c r="AR265">
        <v>112.8599646291844</v>
      </c>
      <c r="AS265">
        <v>633.77</v>
      </c>
      <c r="AT265">
        <v>1</v>
      </c>
      <c r="AU265">
        <v>71.52725978303819</v>
      </c>
      <c r="AV265">
        <v>1.0016354901359501</v>
      </c>
      <c r="AW265" s="62">
        <v>71.644000000000005</v>
      </c>
      <c r="AX265">
        <v>8.9176000000000002</v>
      </c>
      <c r="AY265">
        <v>1</v>
      </c>
      <c r="AZ265">
        <v>5739.5327386214849</v>
      </c>
      <c r="BA265">
        <v>1.016194415745886</v>
      </c>
      <c r="BB265" s="62">
        <v>5832.4811</v>
      </c>
      <c r="BC265" s="60">
        <v>6329.1489971035708</v>
      </c>
    </row>
    <row r="266" spans="1:55" x14ac:dyDescent="0.25">
      <c r="A266">
        <v>38043</v>
      </c>
      <c r="B266" t="s">
        <v>128</v>
      </c>
      <c r="C266">
        <v>2017</v>
      </c>
      <c r="D266">
        <v>11</v>
      </c>
      <c r="E266" t="s">
        <v>51</v>
      </c>
      <c r="F266" t="s">
        <v>449</v>
      </c>
      <c r="G266" t="s">
        <v>84</v>
      </c>
      <c r="H266" t="s">
        <v>59</v>
      </c>
      <c r="I266" t="s">
        <v>427</v>
      </c>
      <c r="J266">
        <v>-2.4947498700000001</v>
      </c>
      <c r="K266" t="s">
        <v>440</v>
      </c>
      <c r="L266" t="s">
        <v>451</v>
      </c>
      <c r="M266">
        <v>1.7625750762999999E-3</v>
      </c>
      <c r="N266">
        <v>4.3971839456960447E-3</v>
      </c>
      <c r="O266">
        <v>29976.978999999999</v>
      </c>
      <c r="P266">
        <v>1.6679465999999999E-5</v>
      </c>
      <c r="Q266">
        <v>1</v>
      </c>
      <c r="R266" s="60">
        <v>4.3971839456960447E-3</v>
      </c>
      <c r="S266" t="s">
        <v>342</v>
      </c>
      <c r="T266" t="s">
        <v>434</v>
      </c>
      <c r="U266" t="s">
        <v>425</v>
      </c>
      <c r="V266" t="s">
        <v>91</v>
      </c>
      <c r="W266">
        <v>111.133</v>
      </c>
      <c r="X266">
        <v>1.0155396203574489</v>
      </c>
      <c r="Y266">
        <v>112.8599646291844</v>
      </c>
      <c r="Z266">
        <v>661.2</v>
      </c>
      <c r="AA266">
        <v>1</v>
      </c>
      <c r="AB266">
        <v>74.623008612816719</v>
      </c>
      <c r="AC266">
        <v>1.02984769498109</v>
      </c>
      <c r="AD266" s="62">
        <v>76.849999999999994</v>
      </c>
      <c r="AE266">
        <v>8.9176000000000002</v>
      </c>
      <c r="AF266">
        <v>9.0561761184995895</v>
      </c>
      <c r="AG266">
        <v>1</v>
      </c>
      <c r="AH266">
        <v>5987.9436495519294</v>
      </c>
      <c r="AI266">
        <v>0.9935711161666545</v>
      </c>
      <c r="AJ266" s="62">
        <v>5949.4479000000001</v>
      </c>
      <c r="AK266" s="60">
        <v>26.16081679163505</v>
      </c>
      <c r="AL266" t="s">
        <v>342</v>
      </c>
      <c r="AM266" t="s">
        <v>434</v>
      </c>
      <c r="AN266" t="s">
        <v>425</v>
      </c>
      <c r="AO266" t="s">
        <v>91</v>
      </c>
      <c r="AP266">
        <v>111.133</v>
      </c>
      <c r="AQ266">
        <v>1.0155396203574489</v>
      </c>
      <c r="AR266">
        <v>112.8599646291844</v>
      </c>
      <c r="AS266">
        <v>633.77</v>
      </c>
      <c r="AT266">
        <v>1</v>
      </c>
      <c r="AU266">
        <v>71.52725978303819</v>
      </c>
      <c r="AV266">
        <v>1.02984769498109</v>
      </c>
      <c r="AW266" s="62">
        <v>73.662000000000006</v>
      </c>
      <c r="AX266">
        <v>8.9176000000000002</v>
      </c>
      <c r="AY266">
        <v>1</v>
      </c>
      <c r="AZ266">
        <v>5739.5327386214849</v>
      </c>
      <c r="BA266">
        <v>0.9935711161666545</v>
      </c>
      <c r="BB266" s="62">
        <v>5702.6338999999998</v>
      </c>
      <c r="BC266" s="60">
        <v>25.075530233262018</v>
      </c>
    </row>
    <row r="267" spans="1:55" x14ac:dyDescent="0.25">
      <c r="A267">
        <v>38044</v>
      </c>
      <c r="B267" t="s">
        <v>128</v>
      </c>
      <c r="C267">
        <v>2017</v>
      </c>
      <c r="D267">
        <v>11</v>
      </c>
      <c r="E267" t="s">
        <v>51</v>
      </c>
      <c r="F267" t="s">
        <v>449</v>
      </c>
      <c r="G267" t="s">
        <v>84</v>
      </c>
      <c r="H267" t="s">
        <v>59</v>
      </c>
      <c r="I267" t="s">
        <v>427</v>
      </c>
      <c r="J267">
        <v>-2.4947498700000001</v>
      </c>
      <c r="K267" t="s">
        <v>440</v>
      </c>
      <c r="L267" t="s">
        <v>452</v>
      </c>
      <c r="M267">
        <v>1.4858046103299999E-3</v>
      </c>
      <c r="N267">
        <v>3.7067108611901359E-3</v>
      </c>
      <c r="O267">
        <v>29976.978999999999</v>
      </c>
      <c r="P267">
        <v>1.6679465999999999E-5</v>
      </c>
      <c r="Q267">
        <v>1</v>
      </c>
      <c r="R267" s="60">
        <v>3.7067108611901359E-3</v>
      </c>
      <c r="S267" t="s">
        <v>342</v>
      </c>
      <c r="T267" t="s">
        <v>434</v>
      </c>
      <c r="U267" t="s">
        <v>425</v>
      </c>
      <c r="V267" t="s">
        <v>28</v>
      </c>
      <c r="W267">
        <v>111.133</v>
      </c>
      <c r="X267">
        <v>1.0155396203574489</v>
      </c>
      <c r="Y267">
        <v>112.8599646291844</v>
      </c>
      <c r="Z267">
        <v>661.2</v>
      </c>
      <c r="AA267">
        <v>1</v>
      </c>
      <c r="AB267">
        <v>74.623008612816719</v>
      </c>
      <c r="AC267">
        <v>1.0451804150056221</v>
      </c>
      <c r="AD267" s="62">
        <v>77.995000000000005</v>
      </c>
      <c r="AE267">
        <v>8.9176000000000002</v>
      </c>
      <c r="AF267">
        <v>9.0561761184995895</v>
      </c>
      <c r="AG267">
        <v>1</v>
      </c>
      <c r="AH267">
        <v>5987.9436495519294</v>
      </c>
      <c r="AI267">
        <v>1.0071061377552519</v>
      </c>
      <c r="AJ267" s="62">
        <v>6030.4948000000004</v>
      </c>
      <c r="AK267" s="60">
        <v>22.353300573510641</v>
      </c>
      <c r="AL267" t="s">
        <v>342</v>
      </c>
      <c r="AM267" t="s">
        <v>434</v>
      </c>
      <c r="AN267" t="s">
        <v>425</v>
      </c>
      <c r="AO267" t="s">
        <v>28</v>
      </c>
      <c r="AP267">
        <v>111.133</v>
      </c>
      <c r="AQ267">
        <v>1.0155396203574489</v>
      </c>
      <c r="AR267">
        <v>112.8599646291844</v>
      </c>
      <c r="AS267">
        <v>633.77</v>
      </c>
      <c r="AT267">
        <v>1</v>
      </c>
      <c r="AU267">
        <v>71.52725978303819</v>
      </c>
      <c r="AV267">
        <v>1.0451804150056221</v>
      </c>
      <c r="AW267" s="62">
        <v>74.759</v>
      </c>
      <c r="AX267">
        <v>8.9176000000000002</v>
      </c>
      <c r="AY267">
        <v>1</v>
      </c>
      <c r="AZ267">
        <v>5739.5327386214849</v>
      </c>
      <c r="BA267">
        <v>1.0071061377552519</v>
      </c>
      <c r="BB267" s="62">
        <v>5780.3185999999996</v>
      </c>
      <c r="BC267" s="60">
        <v>21.425969735759359</v>
      </c>
    </row>
    <row r="268" spans="1:55" x14ac:dyDescent="0.25">
      <c r="A268">
        <v>40729</v>
      </c>
      <c r="B268" t="s">
        <v>138</v>
      </c>
      <c r="C268">
        <v>2017</v>
      </c>
      <c r="D268">
        <v>12</v>
      </c>
      <c r="E268" t="s">
        <v>51</v>
      </c>
      <c r="F268" t="s">
        <v>449</v>
      </c>
      <c r="G268" t="s">
        <v>84</v>
      </c>
      <c r="H268" t="s">
        <v>381</v>
      </c>
      <c r="I268" t="s">
        <v>427</v>
      </c>
      <c r="J268">
        <v>-4.2692925700000002</v>
      </c>
      <c r="K268" t="s">
        <v>440</v>
      </c>
      <c r="L268" t="s">
        <v>450</v>
      </c>
      <c r="M268">
        <v>0.15011157993331001</v>
      </c>
      <c r="N268">
        <v>0.64087025264055442</v>
      </c>
      <c r="O268">
        <v>29976.978999999999</v>
      </c>
      <c r="P268">
        <v>1.6679465999999999E-5</v>
      </c>
      <c r="Q268">
        <v>1</v>
      </c>
      <c r="R268" s="60">
        <v>0.64087025264055442</v>
      </c>
      <c r="S268" t="s">
        <v>342</v>
      </c>
      <c r="T268" t="s">
        <v>434</v>
      </c>
      <c r="U268" t="s">
        <v>425</v>
      </c>
      <c r="V268" t="s">
        <v>26</v>
      </c>
      <c r="W268">
        <v>111.133</v>
      </c>
      <c r="X268">
        <v>1.0155396203574489</v>
      </c>
      <c r="Y268">
        <v>112.8599646291844</v>
      </c>
      <c r="Z268">
        <v>661.2</v>
      </c>
      <c r="AA268">
        <v>1</v>
      </c>
      <c r="AB268">
        <v>74.623008612816719</v>
      </c>
      <c r="AC268">
        <v>1.012368394153123</v>
      </c>
      <c r="AD268" s="62">
        <v>75.546000000000006</v>
      </c>
      <c r="AE268">
        <v>8.9176000000000002</v>
      </c>
      <c r="AF268">
        <v>9.0561761184995895</v>
      </c>
      <c r="AG268">
        <v>1</v>
      </c>
      <c r="AH268">
        <v>5987.9436495519294</v>
      </c>
      <c r="AI268">
        <v>0.99404987733863315</v>
      </c>
      <c r="AJ268" s="62">
        <v>5952.3146999999999</v>
      </c>
      <c r="AK268" s="60">
        <v>3814.6614255850859</v>
      </c>
      <c r="AL268" t="s">
        <v>342</v>
      </c>
      <c r="AM268" t="s">
        <v>434</v>
      </c>
      <c r="AN268" t="s">
        <v>425</v>
      </c>
      <c r="AO268" t="s">
        <v>26</v>
      </c>
      <c r="AP268">
        <v>111.133</v>
      </c>
      <c r="AQ268">
        <v>1.0155396203574489</v>
      </c>
      <c r="AR268">
        <v>112.8599646291844</v>
      </c>
      <c r="AS268">
        <v>638.13</v>
      </c>
      <c r="AT268">
        <v>1</v>
      </c>
      <c r="AU268">
        <v>72.019329228821434</v>
      </c>
      <c r="AV268">
        <v>1.012368394153123</v>
      </c>
      <c r="AW268" s="62">
        <v>72.91</v>
      </c>
      <c r="AX268">
        <v>8.9176000000000002</v>
      </c>
      <c r="AY268">
        <v>1</v>
      </c>
      <c r="AZ268">
        <v>5779.0176664981427</v>
      </c>
      <c r="BA268">
        <v>0.99404987733863315</v>
      </c>
      <c r="BB268" s="62">
        <v>5744.6318000000001</v>
      </c>
      <c r="BC268" s="60">
        <v>3681.563632992963</v>
      </c>
    </row>
    <row r="269" spans="1:55" x14ac:dyDescent="0.25">
      <c r="A269">
        <v>40730</v>
      </c>
      <c r="B269" t="s">
        <v>138</v>
      </c>
      <c r="C269">
        <v>2017</v>
      </c>
      <c r="D269">
        <v>12</v>
      </c>
      <c r="E269" t="s">
        <v>51</v>
      </c>
      <c r="F269" t="s">
        <v>449</v>
      </c>
      <c r="G269" t="s">
        <v>84</v>
      </c>
      <c r="H269" t="s">
        <v>381</v>
      </c>
      <c r="I269" t="s">
        <v>427</v>
      </c>
      <c r="J269">
        <v>-4.2692925700000002</v>
      </c>
      <c r="K269" t="s">
        <v>440</v>
      </c>
      <c r="L269" t="s">
        <v>384</v>
      </c>
      <c r="M269">
        <v>4.5811354346740003E-2</v>
      </c>
      <c r="N269">
        <v>0.19558207466102609</v>
      </c>
      <c r="O269">
        <v>29976.978999999999</v>
      </c>
      <c r="P269">
        <v>1.6679465999999999E-5</v>
      </c>
      <c r="Q269">
        <v>1</v>
      </c>
      <c r="R269" s="60">
        <v>0.19558207466102609</v>
      </c>
      <c r="S269" t="s">
        <v>342</v>
      </c>
      <c r="T269" t="s">
        <v>434</v>
      </c>
      <c r="U269" t="s">
        <v>425</v>
      </c>
      <c r="V269" t="s">
        <v>81</v>
      </c>
      <c r="W269">
        <v>111.133</v>
      </c>
      <c r="X269">
        <v>1.0155396203574489</v>
      </c>
      <c r="Y269">
        <v>112.8599646291844</v>
      </c>
      <c r="Z269">
        <v>661.2</v>
      </c>
      <c r="AA269">
        <v>1</v>
      </c>
      <c r="AB269">
        <v>74.623008612816719</v>
      </c>
      <c r="AC269">
        <v>0.95185525912296853</v>
      </c>
      <c r="AD269" s="62">
        <v>71.03</v>
      </c>
      <c r="AE269">
        <v>8.9176000000000002</v>
      </c>
      <c r="AF269">
        <v>9.0561761184995895</v>
      </c>
      <c r="AG269">
        <v>1</v>
      </c>
      <c r="AH269">
        <v>5987.9436495519294</v>
      </c>
      <c r="AI269">
        <v>1.081469419077697</v>
      </c>
      <c r="AJ269" s="62">
        <v>6475.7779</v>
      </c>
      <c r="AK269" s="60">
        <v>1266.5460767260231</v>
      </c>
      <c r="AL269" t="s">
        <v>342</v>
      </c>
      <c r="AM269" t="s">
        <v>434</v>
      </c>
      <c r="AN269" t="s">
        <v>425</v>
      </c>
      <c r="AO269" t="s">
        <v>81</v>
      </c>
      <c r="AP269">
        <v>111.133</v>
      </c>
      <c r="AQ269">
        <v>1.0155396203574489</v>
      </c>
      <c r="AR269">
        <v>112.8599646291844</v>
      </c>
      <c r="AS269">
        <v>638.13</v>
      </c>
      <c r="AT269">
        <v>1</v>
      </c>
      <c r="AU269">
        <v>72.019329228821434</v>
      </c>
      <c r="AV269">
        <v>0.95185525912296853</v>
      </c>
      <c r="AW269" s="62">
        <v>68.552000000000007</v>
      </c>
      <c r="AX269">
        <v>8.9176000000000002</v>
      </c>
      <c r="AY269">
        <v>1</v>
      </c>
      <c r="AZ269">
        <v>5779.0176664981427</v>
      </c>
      <c r="BA269">
        <v>1.081469419077697</v>
      </c>
      <c r="BB269" s="62">
        <v>6249.8308999999999</v>
      </c>
      <c r="BC269" s="60">
        <v>1222.354893702588</v>
      </c>
    </row>
    <row r="270" spans="1:55" x14ac:dyDescent="0.25">
      <c r="A270">
        <v>40731</v>
      </c>
      <c r="B270" t="s">
        <v>138</v>
      </c>
      <c r="C270">
        <v>2017</v>
      </c>
      <c r="D270">
        <v>12</v>
      </c>
      <c r="E270" t="s">
        <v>51</v>
      </c>
      <c r="F270" t="s">
        <v>449</v>
      </c>
      <c r="G270" t="s">
        <v>84</v>
      </c>
      <c r="H270" t="s">
        <v>381</v>
      </c>
      <c r="I270" t="s">
        <v>427</v>
      </c>
      <c r="J270">
        <v>-4.2692925700000002</v>
      </c>
      <c r="K270" t="s">
        <v>440</v>
      </c>
      <c r="L270" t="s">
        <v>385</v>
      </c>
      <c r="M270">
        <v>0.43232641346992001</v>
      </c>
      <c r="N270">
        <v>1.845727944151571</v>
      </c>
      <c r="O270">
        <v>29976.978999999999</v>
      </c>
      <c r="P270">
        <v>1.6679465999999999E-5</v>
      </c>
      <c r="Q270">
        <v>1</v>
      </c>
      <c r="R270" s="60">
        <v>1.845727944151571</v>
      </c>
      <c r="S270" t="s">
        <v>342</v>
      </c>
      <c r="T270" t="s">
        <v>434</v>
      </c>
      <c r="U270" t="s">
        <v>425</v>
      </c>
      <c r="V270" t="s">
        <v>27</v>
      </c>
      <c r="W270">
        <v>111.133</v>
      </c>
      <c r="X270">
        <v>1.0155396203574489</v>
      </c>
      <c r="Y270">
        <v>112.8599646291844</v>
      </c>
      <c r="Z270">
        <v>661.2</v>
      </c>
      <c r="AA270">
        <v>1</v>
      </c>
      <c r="AB270">
        <v>74.623008612816719</v>
      </c>
      <c r="AC270">
        <v>1.0016354901359501</v>
      </c>
      <c r="AD270" s="62">
        <v>74.745000000000005</v>
      </c>
      <c r="AE270">
        <v>8.9176000000000002</v>
      </c>
      <c r="AF270">
        <v>9.0561761184995895</v>
      </c>
      <c r="AG270">
        <v>1</v>
      </c>
      <c r="AH270">
        <v>5987.9436495519294</v>
      </c>
      <c r="AI270">
        <v>1.016194415745886</v>
      </c>
      <c r="AJ270" s="62">
        <v>6084.9148999999998</v>
      </c>
      <c r="AK270" s="60">
        <v>11231.097468714261</v>
      </c>
      <c r="AL270" t="s">
        <v>342</v>
      </c>
      <c r="AM270" t="s">
        <v>434</v>
      </c>
      <c r="AN270" t="s">
        <v>425</v>
      </c>
      <c r="AO270" t="s">
        <v>27</v>
      </c>
      <c r="AP270">
        <v>111.133</v>
      </c>
      <c r="AQ270">
        <v>1.0155396203574489</v>
      </c>
      <c r="AR270">
        <v>112.8599646291844</v>
      </c>
      <c r="AS270">
        <v>638.13</v>
      </c>
      <c r="AT270">
        <v>1</v>
      </c>
      <c r="AU270">
        <v>72.019329228821434</v>
      </c>
      <c r="AV270">
        <v>1.0016354901359501</v>
      </c>
      <c r="AW270" s="62">
        <v>72.137</v>
      </c>
      <c r="AX270">
        <v>8.9176000000000002</v>
      </c>
      <c r="AY270">
        <v>1</v>
      </c>
      <c r="AZ270">
        <v>5779.0176664981427</v>
      </c>
      <c r="BA270">
        <v>1.016194415745886</v>
      </c>
      <c r="BB270" s="62">
        <v>5872.6054999999997</v>
      </c>
      <c r="BC270" s="60">
        <v>10839.23207632821</v>
      </c>
    </row>
    <row r="271" spans="1:55" x14ac:dyDescent="0.25">
      <c r="A271">
        <v>40732</v>
      </c>
      <c r="B271" t="s">
        <v>138</v>
      </c>
      <c r="C271">
        <v>2017</v>
      </c>
      <c r="D271">
        <v>12</v>
      </c>
      <c r="E271" t="s">
        <v>51</v>
      </c>
      <c r="F271" t="s">
        <v>449</v>
      </c>
      <c r="G271" t="s">
        <v>84</v>
      </c>
      <c r="H271" t="s">
        <v>381</v>
      </c>
      <c r="I271" t="s">
        <v>427</v>
      </c>
      <c r="J271">
        <v>-4.2692925700000002</v>
      </c>
      <c r="K271" t="s">
        <v>440</v>
      </c>
      <c r="L271" t="s">
        <v>451</v>
      </c>
      <c r="M271">
        <v>1.6825115802299999E-3</v>
      </c>
      <c r="N271">
        <v>7.1831341857283874E-3</v>
      </c>
      <c r="O271">
        <v>29976.978999999999</v>
      </c>
      <c r="P271">
        <v>1.6679465999999999E-5</v>
      </c>
      <c r="Q271">
        <v>1</v>
      </c>
      <c r="R271" s="60">
        <v>7.1831341857283874E-3</v>
      </c>
      <c r="S271" t="s">
        <v>342</v>
      </c>
      <c r="T271" t="s">
        <v>434</v>
      </c>
      <c r="U271" t="s">
        <v>425</v>
      </c>
      <c r="V271" t="s">
        <v>91</v>
      </c>
      <c r="W271">
        <v>111.133</v>
      </c>
      <c r="X271">
        <v>1.0155396203574489</v>
      </c>
      <c r="Y271">
        <v>112.8599646291844</v>
      </c>
      <c r="Z271">
        <v>661.2</v>
      </c>
      <c r="AA271">
        <v>1</v>
      </c>
      <c r="AB271">
        <v>74.623008612816719</v>
      </c>
      <c r="AC271">
        <v>1.02984769498109</v>
      </c>
      <c r="AD271" s="62">
        <v>76.849999999999994</v>
      </c>
      <c r="AE271">
        <v>8.9176000000000002</v>
      </c>
      <c r="AF271">
        <v>9.0561761184995895</v>
      </c>
      <c r="AG271">
        <v>1</v>
      </c>
      <c r="AH271">
        <v>5987.9436495519294</v>
      </c>
      <c r="AI271">
        <v>0.9935711161666545</v>
      </c>
      <c r="AJ271" s="62">
        <v>5949.4479000000001</v>
      </c>
      <c r="AK271" s="60">
        <v>42.735682596699966</v>
      </c>
      <c r="AL271" t="s">
        <v>342</v>
      </c>
      <c r="AM271" t="s">
        <v>434</v>
      </c>
      <c r="AN271" t="s">
        <v>425</v>
      </c>
      <c r="AO271" t="s">
        <v>91</v>
      </c>
      <c r="AP271">
        <v>111.133</v>
      </c>
      <c r="AQ271">
        <v>1.0155396203574489</v>
      </c>
      <c r="AR271">
        <v>112.8599646291844</v>
      </c>
      <c r="AS271">
        <v>638.13</v>
      </c>
      <c r="AT271">
        <v>1</v>
      </c>
      <c r="AU271">
        <v>72.019329228821434</v>
      </c>
      <c r="AV271">
        <v>1.02984769498109</v>
      </c>
      <c r="AW271" s="62">
        <v>74.168999999999997</v>
      </c>
      <c r="AX271">
        <v>8.9176000000000002</v>
      </c>
      <c r="AY271">
        <v>1</v>
      </c>
      <c r="AZ271">
        <v>5779.0176664981427</v>
      </c>
      <c r="BA271">
        <v>0.9935711161666545</v>
      </c>
      <c r="BB271" s="62">
        <v>5741.8649999999998</v>
      </c>
      <c r="BC271" s="60">
        <v>41.244586771337318</v>
      </c>
    </row>
    <row r="272" spans="1:55" x14ac:dyDescent="0.25">
      <c r="A272">
        <v>40733</v>
      </c>
      <c r="B272" t="s">
        <v>138</v>
      </c>
      <c r="C272">
        <v>2017</v>
      </c>
      <c r="D272">
        <v>12</v>
      </c>
      <c r="E272" t="s">
        <v>51</v>
      </c>
      <c r="F272" t="s">
        <v>449</v>
      </c>
      <c r="G272" t="s">
        <v>84</v>
      </c>
      <c r="H272" t="s">
        <v>381</v>
      </c>
      <c r="I272" t="s">
        <v>427</v>
      </c>
      <c r="J272">
        <v>-4.2692925700000002</v>
      </c>
      <c r="K272" t="s">
        <v>440</v>
      </c>
      <c r="L272" t="s">
        <v>452</v>
      </c>
      <c r="M272">
        <v>1.53682162831E-3</v>
      </c>
      <c r="N272">
        <v>6.5611411567053019E-3</v>
      </c>
      <c r="O272">
        <v>29976.978999999999</v>
      </c>
      <c r="P272">
        <v>1.6679465999999999E-5</v>
      </c>
      <c r="Q272">
        <v>1</v>
      </c>
      <c r="R272" s="60">
        <v>6.5611411567053019E-3</v>
      </c>
      <c r="S272" t="s">
        <v>342</v>
      </c>
      <c r="T272" t="s">
        <v>434</v>
      </c>
      <c r="U272" t="s">
        <v>425</v>
      </c>
      <c r="V272" t="s">
        <v>28</v>
      </c>
      <c r="W272">
        <v>111.133</v>
      </c>
      <c r="X272">
        <v>1.0155396203574489</v>
      </c>
      <c r="Y272">
        <v>112.8599646291844</v>
      </c>
      <c r="Z272">
        <v>661.2</v>
      </c>
      <c r="AA272">
        <v>1</v>
      </c>
      <c r="AB272">
        <v>74.623008612816719</v>
      </c>
      <c r="AC272">
        <v>1.0451804150056221</v>
      </c>
      <c r="AD272" s="62">
        <v>77.995000000000005</v>
      </c>
      <c r="AE272">
        <v>8.9176000000000002</v>
      </c>
      <c r="AF272">
        <v>9.0561761184995895</v>
      </c>
      <c r="AG272">
        <v>1</v>
      </c>
      <c r="AH272">
        <v>5987.9436495519294</v>
      </c>
      <c r="AI272">
        <v>1.0071061377552519</v>
      </c>
      <c r="AJ272" s="62">
        <v>6030.4948000000004</v>
      </c>
      <c r="AK272" s="60">
        <v>39.566927627577307</v>
      </c>
      <c r="AL272" t="s">
        <v>342</v>
      </c>
      <c r="AM272" t="s">
        <v>434</v>
      </c>
      <c r="AN272" t="s">
        <v>425</v>
      </c>
      <c r="AO272" t="s">
        <v>28</v>
      </c>
      <c r="AP272">
        <v>111.133</v>
      </c>
      <c r="AQ272">
        <v>1.0155396203574489</v>
      </c>
      <c r="AR272">
        <v>112.8599646291844</v>
      </c>
      <c r="AS272">
        <v>638.13</v>
      </c>
      <c r="AT272">
        <v>1</v>
      </c>
      <c r="AU272">
        <v>72.019329228821434</v>
      </c>
      <c r="AV272">
        <v>1.0451804150056221</v>
      </c>
      <c r="AW272" s="62">
        <v>75.272999999999996</v>
      </c>
      <c r="AX272">
        <v>8.9176000000000002</v>
      </c>
      <c r="AY272">
        <v>1</v>
      </c>
      <c r="AZ272">
        <v>5779.0176664981427</v>
      </c>
      <c r="BA272">
        <v>1.0071061377552519</v>
      </c>
      <c r="BB272" s="62">
        <v>5820.0842000000002</v>
      </c>
      <c r="BC272" s="60">
        <v>38.186393980110253</v>
      </c>
    </row>
    <row r="273" spans="1:55" x14ac:dyDescent="0.25">
      <c r="A273">
        <v>40734</v>
      </c>
      <c r="B273" t="s">
        <v>138</v>
      </c>
      <c r="C273">
        <v>2017</v>
      </c>
      <c r="D273">
        <v>12</v>
      </c>
      <c r="E273" t="s">
        <v>51</v>
      </c>
      <c r="F273" t="s">
        <v>449</v>
      </c>
      <c r="G273" t="s">
        <v>84</v>
      </c>
      <c r="H273" t="s">
        <v>87</v>
      </c>
      <c r="I273" t="s">
        <v>427</v>
      </c>
      <c r="J273">
        <v>-0.80701356000000002</v>
      </c>
      <c r="K273" t="s">
        <v>440</v>
      </c>
      <c r="L273" t="s">
        <v>450</v>
      </c>
      <c r="M273">
        <v>0.26601384014995</v>
      </c>
      <c r="N273">
        <v>0.21467677507491001</v>
      </c>
      <c r="O273">
        <v>29976.978999999999</v>
      </c>
      <c r="P273">
        <v>1.6679465999999999E-5</v>
      </c>
      <c r="Q273">
        <v>1</v>
      </c>
      <c r="R273" s="60">
        <v>0.21467677507491001</v>
      </c>
      <c r="S273" t="s">
        <v>342</v>
      </c>
      <c r="T273" t="s">
        <v>434</v>
      </c>
      <c r="U273" t="s">
        <v>425</v>
      </c>
      <c r="V273" t="s">
        <v>26</v>
      </c>
      <c r="W273">
        <v>111.133</v>
      </c>
      <c r="X273">
        <v>1.0155396203574489</v>
      </c>
      <c r="Y273">
        <v>112.8599646291844</v>
      </c>
      <c r="Z273">
        <v>661.2</v>
      </c>
      <c r="AA273">
        <v>1</v>
      </c>
      <c r="AB273">
        <v>74.623008612816719</v>
      </c>
      <c r="AC273">
        <v>1.012368394153123</v>
      </c>
      <c r="AD273" s="62">
        <v>75.546000000000006</v>
      </c>
      <c r="AE273">
        <v>8.9176000000000002</v>
      </c>
      <c r="AF273">
        <v>9.0561761184995895</v>
      </c>
      <c r="AG273">
        <v>1</v>
      </c>
      <c r="AH273">
        <v>5987.9436495519294</v>
      </c>
      <c r="AI273">
        <v>0.99404987733863315</v>
      </c>
      <c r="AJ273" s="62">
        <v>5952.3146999999999</v>
      </c>
      <c r="AK273" s="60">
        <v>1277.82372402698</v>
      </c>
      <c r="AL273" t="s">
        <v>342</v>
      </c>
      <c r="AM273" t="s">
        <v>434</v>
      </c>
      <c r="AN273" t="s">
        <v>425</v>
      </c>
      <c r="AO273" t="s">
        <v>26</v>
      </c>
      <c r="AP273">
        <v>111.133</v>
      </c>
      <c r="AQ273">
        <v>1.0155396203574489</v>
      </c>
      <c r="AR273">
        <v>112.8599646291844</v>
      </c>
      <c r="AS273">
        <v>638.13</v>
      </c>
      <c r="AT273">
        <v>1</v>
      </c>
      <c r="AU273">
        <v>72.019329228821434</v>
      </c>
      <c r="AV273">
        <v>1.012368394153123</v>
      </c>
      <c r="AW273" s="62">
        <v>72.91</v>
      </c>
      <c r="AX273">
        <v>8.9176000000000002</v>
      </c>
      <c r="AY273">
        <v>1</v>
      </c>
      <c r="AZ273">
        <v>5779.0176664981427</v>
      </c>
      <c r="BA273">
        <v>0.99404987733863315</v>
      </c>
      <c r="BB273" s="62">
        <v>5744.6318000000001</v>
      </c>
      <c r="BC273" s="60">
        <v>1233.2390288167751</v>
      </c>
    </row>
    <row r="274" spans="1:55" x14ac:dyDescent="0.25">
      <c r="A274">
        <v>40735</v>
      </c>
      <c r="B274" t="s">
        <v>138</v>
      </c>
      <c r="C274">
        <v>2017</v>
      </c>
      <c r="D274">
        <v>12</v>
      </c>
      <c r="E274" t="s">
        <v>51</v>
      </c>
      <c r="F274" t="s">
        <v>449</v>
      </c>
      <c r="G274" t="s">
        <v>84</v>
      </c>
      <c r="H274" t="s">
        <v>87</v>
      </c>
      <c r="I274" t="s">
        <v>427</v>
      </c>
      <c r="J274">
        <v>-0.80701356000000002</v>
      </c>
      <c r="K274" t="s">
        <v>440</v>
      </c>
      <c r="L274" t="s">
        <v>384</v>
      </c>
      <c r="M274">
        <v>3.9509559941419997E-2</v>
      </c>
      <c r="N274">
        <v>3.188475046287733E-2</v>
      </c>
      <c r="O274">
        <v>29976.978999999999</v>
      </c>
      <c r="P274">
        <v>1.6679465999999999E-5</v>
      </c>
      <c r="Q274">
        <v>1</v>
      </c>
      <c r="R274" s="60">
        <v>3.188475046287733E-2</v>
      </c>
      <c r="S274" t="s">
        <v>342</v>
      </c>
      <c r="T274" t="s">
        <v>434</v>
      </c>
      <c r="U274" t="s">
        <v>425</v>
      </c>
      <c r="V274" t="s">
        <v>81</v>
      </c>
      <c r="W274">
        <v>111.133</v>
      </c>
      <c r="X274">
        <v>1.0155396203574489</v>
      </c>
      <c r="Y274">
        <v>112.8599646291844</v>
      </c>
      <c r="Z274">
        <v>661.2</v>
      </c>
      <c r="AA274">
        <v>1</v>
      </c>
      <c r="AB274">
        <v>74.623008612816719</v>
      </c>
      <c r="AC274">
        <v>0.95185525912296853</v>
      </c>
      <c r="AD274" s="62">
        <v>71.03</v>
      </c>
      <c r="AE274">
        <v>8.9176000000000002</v>
      </c>
      <c r="AF274">
        <v>9.0561761184995895</v>
      </c>
      <c r="AG274">
        <v>1</v>
      </c>
      <c r="AH274">
        <v>5987.9436495519294</v>
      </c>
      <c r="AI274">
        <v>1.081469419077697</v>
      </c>
      <c r="AJ274" s="62">
        <v>6475.7779</v>
      </c>
      <c r="AK274" s="60">
        <v>206.47856239451579</v>
      </c>
      <c r="AL274" t="s">
        <v>342</v>
      </c>
      <c r="AM274" t="s">
        <v>434</v>
      </c>
      <c r="AN274" t="s">
        <v>425</v>
      </c>
      <c r="AO274" t="s">
        <v>81</v>
      </c>
      <c r="AP274">
        <v>111.133</v>
      </c>
      <c r="AQ274">
        <v>1.0155396203574489</v>
      </c>
      <c r="AR274">
        <v>112.8599646291844</v>
      </c>
      <c r="AS274">
        <v>638.13</v>
      </c>
      <c r="AT274">
        <v>1</v>
      </c>
      <c r="AU274">
        <v>72.019329228821434</v>
      </c>
      <c r="AV274">
        <v>0.95185525912296853</v>
      </c>
      <c r="AW274" s="62">
        <v>68.552000000000007</v>
      </c>
      <c r="AX274">
        <v>8.9176000000000002</v>
      </c>
      <c r="AY274">
        <v>1</v>
      </c>
      <c r="AZ274">
        <v>5779.0176664981427</v>
      </c>
      <c r="BA274">
        <v>1.081469419077697</v>
      </c>
      <c r="BB274" s="62">
        <v>6249.8308999999999</v>
      </c>
      <c r="BC274" s="60">
        <v>199.27429868168011</v>
      </c>
    </row>
    <row r="275" spans="1:55" x14ac:dyDescent="0.25">
      <c r="A275">
        <v>40736</v>
      </c>
      <c r="B275" t="s">
        <v>138</v>
      </c>
      <c r="C275">
        <v>2017</v>
      </c>
      <c r="D275">
        <v>12</v>
      </c>
      <c r="E275" t="s">
        <v>51</v>
      </c>
      <c r="F275" t="s">
        <v>449</v>
      </c>
      <c r="G275" t="s">
        <v>84</v>
      </c>
      <c r="H275" t="s">
        <v>87</v>
      </c>
      <c r="I275" t="s">
        <v>427</v>
      </c>
      <c r="J275">
        <v>-0.80701356000000002</v>
      </c>
      <c r="K275" t="s">
        <v>440</v>
      </c>
      <c r="L275" t="s">
        <v>385</v>
      </c>
      <c r="M275">
        <v>0.39737542925016001</v>
      </c>
      <c r="N275">
        <v>0.32068735821168298</v>
      </c>
      <c r="O275">
        <v>29976.978999999999</v>
      </c>
      <c r="P275">
        <v>1.6679465999999999E-5</v>
      </c>
      <c r="Q275">
        <v>1</v>
      </c>
      <c r="R275" s="60">
        <v>0.32068735821168298</v>
      </c>
      <c r="S275" t="s">
        <v>342</v>
      </c>
      <c r="T275" t="s">
        <v>434</v>
      </c>
      <c r="U275" t="s">
        <v>425</v>
      </c>
      <c r="V275" t="s">
        <v>27</v>
      </c>
      <c r="W275">
        <v>111.133</v>
      </c>
      <c r="X275">
        <v>1.0155396203574489</v>
      </c>
      <c r="Y275">
        <v>112.8599646291844</v>
      </c>
      <c r="Z275">
        <v>661.2</v>
      </c>
      <c r="AA275">
        <v>1</v>
      </c>
      <c r="AB275">
        <v>74.623008612816719</v>
      </c>
      <c r="AC275">
        <v>1.0016354901359501</v>
      </c>
      <c r="AD275" s="62">
        <v>74.745000000000005</v>
      </c>
      <c r="AE275">
        <v>8.9176000000000002</v>
      </c>
      <c r="AF275">
        <v>9.0561761184995895</v>
      </c>
      <c r="AG275">
        <v>1</v>
      </c>
      <c r="AH275">
        <v>5987.9436495519294</v>
      </c>
      <c r="AI275">
        <v>1.016194415745886</v>
      </c>
      <c r="AJ275" s="62">
        <v>6084.9148999999998</v>
      </c>
      <c r="AK275" s="60">
        <v>1951.3552842239069</v>
      </c>
      <c r="AL275" t="s">
        <v>342</v>
      </c>
      <c r="AM275" t="s">
        <v>434</v>
      </c>
      <c r="AN275" t="s">
        <v>425</v>
      </c>
      <c r="AO275" t="s">
        <v>27</v>
      </c>
      <c r="AP275">
        <v>111.133</v>
      </c>
      <c r="AQ275">
        <v>1.0155396203574489</v>
      </c>
      <c r="AR275">
        <v>112.8599646291844</v>
      </c>
      <c r="AS275">
        <v>638.13</v>
      </c>
      <c r="AT275">
        <v>1</v>
      </c>
      <c r="AU275">
        <v>72.019329228821434</v>
      </c>
      <c r="AV275">
        <v>1.0016354901359501</v>
      </c>
      <c r="AW275" s="62">
        <v>72.137</v>
      </c>
      <c r="AX275">
        <v>8.9176000000000002</v>
      </c>
      <c r="AY275">
        <v>1</v>
      </c>
      <c r="AZ275">
        <v>5779.0176664981427</v>
      </c>
      <c r="BA275">
        <v>1.016194415745886</v>
      </c>
      <c r="BB275" s="62">
        <v>5872.6054999999997</v>
      </c>
      <c r="BC275" s="60">
        <v>1883.2703436144</v>
      </c>
    </row>
    <row r="276" spans="1:55" x14ac:dyDescent="0.25">
      <c r="A276">
        <v>40737</v>
      </c>
      <c r="B276" t="s">
        <v>138</v>
      </c>
      <c r="C276">
        <v>2017</v>
      </c>
      <c r="D276">
        <v>12</v>
      </c>
      <c r="E276" t="s">
        <v>51</v>
      </c>
      <c r="F276" t="s">
        <v>449</v>
      </c>
      <c r="G276" t="s">
        <v>84</v>
      </c>
      <c r="H276" t="s">
        <v>87</v>
      </c>
      <c r="I276" t="s">
        <v>427</v>
      </c>
      <c r="J276">
        <v>-0.80701356000000002</v>
      </c>
      <c r="K276" t="s">
        <v>440</v>
      </c>
      <c r="L276" t="s">
        <v>452</v>
      </c>
      <c r="M276">
        <v>8.4248020759000004E-4</v>
      </c>
      <c r="N276">
        <v>6.7989294815605072E-4</v>
      </c>
      <c r="O276">
        <v>29976.978999999999</v>
      </c>
      <c r="P276">
        <v>1.6679465999999999E-5</v>
      </c>
      <c r="Q276">
        <v>1</v>
      </c>
      <c r="R276" s="60">
        <v>6.7989294815605072E-4</v>
      </c>
      <c r="S276" t="s">
        <v>342</v>
      </c>
      <c r="T276" t="s">
        <v>434</v>
      </c>
      <c r="U276" t="s">
        <v>425</v>
      </c>
      <c r="V276" t="s">
        <v>28</v>
      </c>
      <c r="W276">
        <v>111.133</v>
      </c>
      <c r="X276">
        <v>1.0155396203574489</v>
      </c>
      <c r="Y276">
        <v>112.8599646291844</v>
      </c>
      <c r="Z276">
        <v>661.2</v>
      </c>
      <c r="AA276">
        <v>1</v>
      </c>
      <c r="AB276">
        <v>74.623008612816719</v>
      </c>
      <c r="AC276">
        <v>1.0451804150056221</v>
      </c>
      <c r="AD276" s="62">
        <v>77.995000000000005</v>
      </c>
      <c r="AE276">
        <v>8.9176000000000002</v>
      </c>
      <c r="AF276">
        <v>9.0561761184995895</v>
      </c>
      <c r="AG276">
        <v>1</v>
      </c>
      <c r="AH276">
        <v>5987.9436495519294</v>
      </c>
      <c r="AI276">
        <v>1.0071061377552519</v>
      </c>
      <c r="AJ276" s="62">
        <v>6030.4948000000004</v>
      </c>
      <c r="AK276" s="60">
        <v>4.1000908884117333</v>
      </c>
      <c r="AL276" t="s">
        <v>342</v>
      </c>
      <c r="AM276" t="s">
        <v>434</v>
      </c>
      <c r="AN276" t="s">
        <v>425</v>
      </c>
      <c r="AO276" t="s">
        <v>28</v>
      </c>
      <c r="AP276">
        <v>111.133</v>
      </c>
      <c r="AQ276">
        <v>1.0155396203574489</v>
      </c>
      <c r="AR276">
        <v>112.8599646291844</v>
      </c>
      <c r="AS276">
        <v>638.13</v>
      </c>
      <c r="AT276">
        <v>1</v>
      </c>
      <c r="AU276">
        <v>72.019329228821434</v>
      </c>
      <c r="AV276">
        <v>1.0451804150056221</v>
      </c>
      <c r="AW276" s="62">
        <v>75.272999999999996</v>
      </c>
      <c r="AX276">
        <v>8.9176000000000002</v>
      </c>
      <c r="AY276">
        <v>1</v>
      </c>
      <c r="AZ276">
        <v>5779.0176664981427</v>
      </c>
      <c r="BA276">
        <v>1.0071061377552519</v>
      </c>
      <c r="BB276" s="62">
        <v>5820.0842000000002</v>
      </c>
      <c r="BC276" s="60">
        <v>3.95703420525445</v>
      </c>
    </row>
    <row r="277" spans="1:55" x14ac:dyDescent="0.25">
      <c r="A277">
        <v>40738</v>
      </c>
      <c r="B277" t="s">
        <v>138</v>
      </c>
      <c r="C277">
        <v>2017</v>
      </c>
      <c r="D277">
        <v>12</v>
      </c>
      <c r="E277" t="s">
        <v>51</v>
      </c>
      <c r="F277" t="s">
        <v>449</v>
      </c>
      <c r="G277" t="s">
        <v>84</v>
      </c>
      <c r="H277" t="s">
        <v>59</v>
      </c>
      <c r="I277" t="s">
        <v>427</v>
      </c>
      <c r="J277">
        <v>-2.5318060500000001</v>
      </c>
      <c r="K277" t="s">
        <v>440</v>
      </c>
      <c r="L277" t="s">
        <v>450</v>
      </c>
      <c r="M277">
        <v>0.15931709696460999</v>
      </c>
      <c r="N277">
        <v>0.4033599903874715</v>
      </c>
      <c r="O277">
        <v>29976.978999999999</v>
      </c>
      <c r="P277">
        <v>1.6679465999999999E-5</v>
      </c>
      <c r="Q277">
        <v>1</v>
      </c>
      <c r="R277" s="60">
        <v>0.4033599903874715</v>
      </c>
      <c r="S277" t="s">
        <v>342</v>
      </c>
      <c r="T277" t="s">
        <v>434</v>
      </c>
      <c r="U277" t="s">
        <v>425</v>
      </c>
      <c r="V277" t="s">
        <v>26</v>
      </c>
      <c r="W277">
        <v>111.133</v>
      </c>
      <c r="X277">
        <v>1.0155396203574489</v>
      </c>
      <c r="Y277">
        <v>112.8599646291844</v>
      </c>
      <c r="Z277">
        <v>661.2</v>
      </c>
      <c r="AA277">
        <v>1</v>
      </c>
      <c r="AB277">
        <v>74.623008612816719</v>
      </c>
      <c r="AC277">
        <v>1.012368394153123</v>
      </c>
      <c r="AD277" s="62">
        <v>75.546000000000006</v>
      </c>
      <c r="AE277">
        <v>8.9176000000000002</v>
      </c>
      <c r="AF277">
        <v>9.0561761184995895</v>
      </c>
      <c r="AG277">
        <v>1</v>
      </c>
      <c r="AH277">
        <v>5987.9436495519294</v>
      </c>
      <c r="AI277">
        <v>0.99404987733863315</v>
      </c>
      <c r="AJ277" s="62">
        <v>5952.3146999999999</v>
      </c>
      <c r="AK277" s="60">
        <v>2400.9256001752051</v>
      </c>
      <c r="AL277" t="s">
        <v>342</v>
      </c>
      <c r="AM277" t="s">
        <v>434</v>
      </c>
      <c r="AN277" t="s">
        <v>425</v>
      </c>
      <c r="AO277" t="s">
        <v>26</v>
      </c>
      <c r="AP277">
        <v>111.133</v>
      </c>
      <c r="AQ277">
        <v>1.0155396203574489</v>
      </c>
      <c r="AR277">
        <v>112.8599646291844</v>
      </c>
      <c r="AS277">
        <v>638.13</v>
      </c>
      <c r="AT277">
        <v>1</v>
      </c>
      <c r="AU277">
        <v>72.019329228821434</v>
      </c>
      <c r="AV277">
        <v>1.012368394153123</v>
      </c>
      <c r="AW277" s="62">
        <v>72.91</v>
      </c>
      <c r="AX277">
        <v>8.9176000000000002</v>
      </c>
      <c r="AY277">
        <v>1</v>
      </c>
      <c r="AZ277">
        <v>5779.0176664981427</v>
      </c>
      <c r="BA277">
        <v>0.99404987733863315</v>
      </c>
      <c r="BB277" s="62">
        <v>5744.6318000000001</v>
      </c>
      <c r="BC277" s="60">
        <v>2317.1546276275631</v>
      </c>
    </row>
    <row r="278" spans="1:55" x14ac:dyDescent="0.25">
      <c r="A278">
        <v>40739</v>
      </c>
      <c r="B278" t="s">
        <v>138</v>
      </c>
      <c r="C278">
        <v>2017</v>
      </c>
      <c r="D278">
        <v>12</v>
      </c>
      <c r="E278" t="s">
        <v>51</v>
      </c>
      <c r="F278" t="s">
        <v>449</v>
      </c>
      <c r="G278" t="s">
        <v>84</v>
      </c>
      <c r="H278" t="s">
        <v>59</v>
      </c>
      <c r="I278" t="s">
        <v>427</v>
      </c>
      <c r="J278">
        <v>-2.5318060500000001</v>
      </c>
      <c r="K278" t="s">
        <v>440</v>
      </c>
      <c r="L278" t="s">
        <v>384</v>
      </c>
      <c r="M278">
        <v>4.1785183859599999E-2</v>
      </c>
      <c r="N278">
        <v>0.1057919814073123</v>
      </c>
      <c r="O278">
        <v>29976.978999999999</v>
      </c>
      <c r="P278">
        <v>1.6679465999999999E-5</v>
      </c>
      <c r="Q278">
        <v>1</v>
      </c>
      <c r="R278" s="60">
        <v>0.1057919814073123</v>
      </c>
      <c r="S278" t="s">
        <v>342</v>
      </c>
      <c r="T278" t="s">
        <v>434</v>
      </c>
      <c r="U278" t="s">
        <v>425</v>
      </c>
      <c r="V278" t="s">
        <v>81</v>
      </c>
      <c r="W278">
        <v>111.133</v>
      </c>
      <c r="X278">
        <v>1.0155396203574489</v>
      </c>
      <c r="Y278">
        <v>112.8599646291844</v>
      </c>
      <c r="Z278">
        <v>661.2</v>
      </c>
      <c r="AA278">
        <v>1</v>
      </c>
      <c r="AB278">
        <v>74.623008612816719</v>
      </c>
      <c r="AC278">
        <v>0.95185525912296853</v>
      </c>
      <c r="AD278" s="62">
        <v>71.03</v>
      </c>
      <c r="AE278">
        <v>8.9176000000000002</v>
      </c>
      <c r="AF278">
        <v>9.0561761184995895</v>
      </c>
      <c r="AG278">
        <v>1</v>
      </c>
      <c r="AH278">
        <v>5987.9436495519294</v>
      </c>
      <c r="AI278">
        <v>1.081469419077697</v>
      </c>
      <c r="AJ278" s="62">
        <v>6475.7779</v>
      </c>
      <c r="AK278" s="60">
        <v>685.08537519468359</v>
      </c>
      <c r="AL278" t="s">
        <v>342</v>
      </c>
      <c r="AM278" t="s">
        <v>434</v>
      </c>
      <c r="AN278" t="s">
        <v>425</v>
      </c>
      <c r="AO278" t="s">
        <v>81</v>
      </c>
      <c r="AP278">
        <v>111.133</v>
      </c>
      <c r="AQ278">
        <v>1.0155396203574489</v>
      </c>
      <c r="AR278">
        <v>112.8599646291844</v>
      </c>
      <c r="AS278">
        <v>638.13</v>
      </c>
      <c r="AT278">
        <v>1</v>
      </c>
      <c r="AU278">
        <v>72.019329228821434</v>
      </c>
      <c r="AV278">
        <v>0.95185525912296853</v>
      </c>
      <c r="AW278" s="62">
        <v>68.552000000000007</v>
      </c>
      <c r="AX278">
        <v>8.9176000000000002</v>
      </c>
      <c r="AY278">
        <v>1</v>
      </c>
      <c r="AZ278">
        <v>5779.0176664981427</v>
      </c>
      <c r="BA278">
        <v>1.081469419077697</v>
      </c>
      <c r="BB278" s="62">
        <v>6249.8308999999999</v>
      </c>
      <c r="BC278" s="60">
        <v>661.1819943716456</v>
      </c>
    </row>
    <row r="279" spans="1:55" x14ac:dyDescent="0.25">
      <c r="A279">
        <v>40740</v>
      </c>
      <c r="B279" t="s">
        <v>138</v>
      </c>
      <c r="C279">
        <v>2017</v>
      </c>
      <c r="D279">
        <v>12</v>
      </c>
      <c r="E279" t="s">
        <v>51</v>
      </c>
      <c r="F279" t="s">
        <v>449</v>
      </c>
      <c r="G279" t="s">
        <v>84</v>
      </c>
      <c r="H279" t="s">
        <v>59</v>
      </c>
      <c r="I279" t="s">
        <v>427</v>
      </c>
      <c r="J279">
        <v>-2.5318060500000001</v>
      </c>
      <c r="K279" t="s">
        <v>440</v>
      </c>
      <c r="L279" t="s">
        <v>385</v>
      </c>
      <c r="M279">
        <v>0.43497567483749999</v>
      </c>
      <c r="N279">
        <v>1.1012740463141379</v>
      </c>
      <c r="O279">
        <v>29976.978999999999</v>
      </c>
      <c r="P279">
        <v>1.6679465999999999E-5</v>
      </c>
      <c r="Q279">
        <v>1</v>
      </c>
      <c r="R279" s="60">
        <v>1.1012740463141379</v>
      </c>
      <c r="S279" t="s">
        <v>342</v>
      </c>
      <c r="T279" t="s">
        <v>434</v>
      </c>
      <c r="U279" t="s">
        <v>425</v>
      </c>
      <c r="V279" t="s">
        <v>27</v>
      </c>
      <c r="W279">
        <v>111.133</v>
      </c>
      <c r="X279">
        <v>1.0155396203574489</v>
      </c>
      <c r="Y279">
        <v>112.8599646291844</v>
      </c>
      <c r="Z279">
        <v>661.2</v>
      </c>
      <c r="AA279">
        <v>1</v>
      </c>
      <c r="AB279">
        <v>74.623008612816719</v>
      </c>
      <c r="AC279">
        <v>1.0016354901359501</v>
      </c>
      <c r="AD279" s="62">
        <v>74.745000000000005</v>
      </c>
      <c r="AE279">
        <v>8.9176000000000002</v>
      </c>
      <c r="AF279">
        <v>9.0561761184995895</v>
      </c>
      <c r="AG279">
        <v>1</v>
      </c>
      <c r="AH279">
        <v>5987.9436495519294</v>
      </c>
      <c r="AI279">
        <v>1.016194415745886</v>
      </c>
      <c r="AJ279" s="62">
        <v>6084.9148999999998</v>
      </c>
      <c r="AK279" s="60">
        <v>6701.1588534001876</v>
      </c>
      <c r="AL279" t="s">
        <v>342</v>
      </c>
      <c r="AM279" t="s">
        <v>434</v>
      </c>
      <c r="AN279" t="s">
        <v>425</v>
      </c>
      <c r="AO279" t="s">
        <v>27</v>
      </c>
      <c r="AP279">
        <v>111.133</v>
      </c>
      <c r="AQ279">
        <v>1.0155396203574489</v>
      </c>
      <c r="AR279">
        <v>112.8599646291844</v>
      </c>
      <c r="AS279">
        <v>638.13</v>
      </c>
      <c r="AT279">
        <v>1</v>
      </c>
      <c r="AU279">
        <v>72.019329228821434</v>
      </c>
      <c r="AV279">
        <v>1.0016354901359501</v>
      </c>
      <c r="AW279" s="62">
        <v>72.137</v>
      </c>
      <c r="AX279">
        <v>8.9176000000000002</v>
      </c>
      <c r="AY279">
        <v>1</v>
      </c>
      <c r="AZ279">
        <v>5779.0176664981427</v>
      </c>
      <c r="BA279">
        <v>1.016194415745886</v>
      </c>
      <c r="BB279" s="62">
        <v>5872.6054999999997</v>
      </c>
      <c r="BC279" s="60">
        <v>6467.348021391661</v>
      </c>
    </row>
    <row r="280" spans="1:55" x14ac:dyDescent="0.25">
      <c r="A280">
        <v>40741</v>
      </c>
      <c r="B280" t="s">
        <v>138</v>
      </c>
      <c r="C280">
        <v>2017</v>
      </c>
      <c r="D280">
        <v>12</v>
      </c>
      <c r="E280" t="s">
        <v>51</v>
      </c>
      <c r="F280" t="s">
        <v>449</v>
      </c>
      <c r="G280" t="s">
        <v>84</v>
      </c>
      <c r="H280" t="s">
        <v>59</v>
      </c>
      <c r="I280" t="s">
        <v>427</v>
      </c>
      <c r="J280">
        <v>-2.5318060500000001</v>
      </c>
      <c r="K280" t="s">
        <v>440</v>
      </c>
      <c r="L280" t="s">
        <v>451</v>
      </c>
      <c r="M280">
        <v>1.7625750762999999E-3</v>
      </c>
      <c r="N280">
        <v>4.4624982464467871E-3</v>
      </c>
      <c r="O280">
        <v>29976.978999999999</v>
      </c>
      <c r="P280">
        <v>1.6679465999999999E-5</v>
      </c>
      <c r="Q280">
        <v>1</v>
      </c>
      <c r="R280" s="60">
        <v>4.4624982464467871E-3</v>
      </c>
      <c r="S280" t="s">
        <v>342</v>
      </c>
      <c r="T280" t="s">
        <v>434</v>
      </c>
      <c r="U280" t="s">
        <v>425</v>
      </c>
      <c r="V280" t="s">
        <v>91</v>
      </c>
      <c r="W280">
        <v>111.133</v>
      </c>
      <c r="X280">
        <v>1.0155396203574489</v>
      </c>
      <c r="Y280">
        <v>112.8599646291844</v>
      </c>
      <c r="Z280">
        <v>661.2</v>
      </c>
      <c r="AA280">
        <v>1</v>
      </c>
      <c r="AB280">
        <v>74.623008612816719</v>
      </c>
      <c r="AC280">
        <v>1.02984769498109</v>
      </c>
      <c r="AD280" s="62">
        <v>76.849999999999994</v>
      </c>
      <c r="AE280">
        <v>8.9176000000000002</v>
      </c>
      <c r="AF280">
        <v>9.0561761184995895</v>
      </c>
      <c r="AG280">
        <v>1</v>
      </c>
      <c r="AH280">
        <v>5987.9436495519294</v>
      </c>
      <c r="AI280">
        <v>0.9935711161666545</v>
      </c>
      <c r="AJ280" s="62">
        <v>5949.4479000000001</v>
      </c>
      <c r="AK280" s="60">
        <v>26.549400821076521</v>
      </c>
      <c r="AL280" t="s">
        <v>342</v>
      </c>
      <c r="AM280" t="s">
        <v>434</v>
      </c>
      <c r="AN280" t="s">
        <v>425</v>
      </c>
      <c r="AO280" t="s">
        <v>91</v>
      </c>
      <c r="AP280">
        <v>111.133</v>
      </c>
      <c r="AQ280">
        <v>1.0155396203574489</v>
      </c>
      <c r="AR280">
        <v>112.8599646291844</v>
      </c>
      <c r="AS280">
        <v>638.13</v>
      </c>
      <c r="AT280">
        <v>1</v>
      </c>
      <c r="AU280">
        <v>72.019329228821434</v>
      </c>
      <c r="AV280">
        <v>1.02984769498109</v>
      </c>
      <c r="AW280" s="62">
        <v>74.168999999999997</v>
      </c>
      <c r="AX280">
        <v>8.9176000000000002</v>
      </c>
      <c r="AY280">
        <v>1</v>
      </c>
      <c r="AZ280">
        <v>5779.0176664981427</v>
      </c>
      <c r="BA280">
        <v>0.9935711161666545</v>
      </c>
      <c r="BB280" s="62">
        <v>5741.8649999999998</v>
      </c>
      <c r="BC280" s="60">
        <v>25.62306249383418</v>
      </c>
    </row>
    <row r="281" spans="1:55" x14ac:dyDescent="0.25">
      <c r="A281">
        <v>40742</v>
      </c>
      <c r="B281" t="s">
        <v>138</v>
      </c>
      <c r="C281">
        <v>2017</v>
      </c>
      <c r="D281">
        <v>12</v>
      </c>
      <c r="E281" t="s">
        <v>51</v>
      </c>
      <c r="F281" t="s">
        <v>449</v>
      </c>
      <c r="G281" t="s">
        <v>84</v>
      </c>
      <c r="H281" t="s">
        <v>59</v>
      </c>
      <c r="I281" t="s">
        <v>427</v>
      </c>
      <c r="J281">
        <v>-2.5318060500000001</v>
      </c>
      <c r="K281" t="s">
        <v>440</v>
      </c>
      <c r="L281" t="s">
        <v>452</v>
      </c>
      <c r="M281">
        <v>1.4858046103299999E-3</v>
      </c>
      <c r="N281">
        <v>3.7617691055059749E-3</v>
      </c>
      <c r="O281">
        <v>29976.978999999999</v>
      </c>
      <c r="P281">
        <v>1.6679465999999999E-5</v>
      </c>
      <c r="Q281">
        <v>1</v>
      </c>
      <c r="R281" s="60">
        <v>3.7617691055059749E-3</v>
      </c>
      <c r="S281" t="s">
        <v>342</v>
      </c>
      <c r="T281" t="s">
        <v>434</v>
      </c>
      <c r="U281" t="s">
        <v>425</v>
      </c>
      <c r="V281" t="s">
        <v>28</v>
      </c>
      <c r="W281">
        <v>111.133</v>
      </c>
      <c r="X281">
        <v>1.0155396203574489</v>
      </c>
      <c r="Y281">
        <v>112.8599646291844</v>
      </c>
      <c r="Z281">
        <v>661.2</v>
      </c>
      <c r="AA281">
        <v>1</v>
      </c>
      <c r="AB281">
        <v>74.623008612816719</v>
      </c>
      <c r="AC281">
        <v>1.0451804150056221</v>
      </c>
      <c r="AD281" s="62">
        <v>77.995000000000005</v>
      </c>
      <c r="AE281">
        <v>8.9176000000000002</v>
      </c>
      <c r="AF281">
        <v>9.0561761184995895</v>
      </c>
      <c r="AG281">
        <v>1</v>
      </c>
      <c r="AH281">
        <v>5987.9436495519294</v>
      </c>
      <c r="AI281">
        <v>1.0071061377552519</v>
      </c>
      <c r="AJ281" s="62">
        <v>6030.4948000000004</v>
      </c>
      <c r="AK281" s="60">
        <v>22.685329029554431</v>
      </c>
      <c r="AL281" t="s">
        <v>342</v>
      </c>
      <c r="AM281" t="s">
        <v>434</v>
      </c>
      <c r="AN281" t="s">
        <v>425</v>
      </c>
      <c r="AO281" t="s">
        <v>28</v>
      </c>
      <c r="AP281">
        <v>111.133</v>
      </c>
      <c r="AQ281">
        <v>1.0155396203574489</v>
      </c>
      <c r="AR281">
        <v>112.8599646291844</v>
      </c>
      <c r="AS281">
        <v>638.13</v>
      </c>
      <c r="AT281">
        <v>1</v>
      </c>
      <c r="AU281">
        <v>72.019329228821434</v>
      </c>
      <c r="AV281">
        <v>1.0451804150056221</v>
      </c>
      <c r="AW281" s="62">
        <v>75.272999999999996</v>
      </c>
      <c r="AX281">
        <v>8.9176000000000002</v>
      </c>
      <c r="AY281">
        <v>1</v>
      </c>
      <c r="AZ281">
        <v>5779.0176664981427</v>
      </c>
      <c r="BA281">
        <v>1.0071061377552519</v>
      </c>
      <c r="BB281" s="62">
        <v>5820.0842000000002</v>
      </c>
      <c r="BC281" s="60">
        <v>21.89381293500346</v>
      </c>
    </row>
    <row r="282" spans="1:55" x14ac:dyDescent="0.25">
      <c r="A282">
        <v>43319</v>
      </c>
      <c r="B282" t="s">
        <v>119</v>
      </c>
      <c r="C282">
        <v>2018</v>
      </c>
      <c r="D282">
        <v>1</v>
      </c>
      <c r="E282" t="s">
        <v>100</v>
      </c>
      <c r="F282" t="s">
        <v>426</v>
      </c>
      <c r="G282" t="s">
        <v>84</v>
      </c>
      <c r="H282" t="s">
        <v>381</v>
      </c>
      <c r="I282" t="s">
        <v>427</v>
      </c>
      <c r="J282">
        <v>-9.2499228599999999</v>
      </c>
      <c r="K282" t="s">
        <v>440</v>
      </c>
      <c r="L282" t="s">
        <v>450</v>
      </c>
      <c r="M282">
        <v>0.15011157993331001</v>
      </c>
      <c r="N282">
        <v>1.388520534819587</v>
      </c>
      <c r="O282">
        <v>30169.468000000001</v>
      </c>
      <c r="P282">
        <v>4.8744250000000003E-6</v>
      </c>
      <c r="Q282">
        <v>0.29411799999999999</v>
      </c>
      <c r="R282" s="60">
        <v>0.40838888266006718</v>
      </c>
      <c r="S282" t="s">
        <v>342</v>
      </c>
      <c r="T282" t="s">
        <v>434</v>
      </c>
      <c r="U282" t="s">
        <v>425</v>
      </c>
      <c r="V282" t="s">
        <v>26</v>
      </c>
      <c r="W282">
        <v>111.133</v>
      </c>
      <c r="X282">
        <v>1.0155396203574489</v>
      </c>
      <c r="Y282">
        <v>112.8599646291844</v>
      </c>
      <c r="Z282">
        <v>661.2</v>
      </c>
      <c r="AA282">
        <v>1</v>
      </c>
      <c r="AB282">
        <v>74.623008612816719</v>
      </c>
      <c r="AC282">
        <v>1.012368394153123</v>
      </c>
      <c r="AD282" s="62">
        <v>75.546000000000006</v>
      </c>
      <c r="AE282">
        <v>8.9176000000000002</v>
      </c>
      <c r="AF282">
        <v>9.0561761184995895</v>
      </c>
      <c r="AG282">
        <v>1</v>
      </c>
      <c r="AH282">
        <v>5987.9436495519294</v>
      </c>
      <c r="AI282">
        <v>0.99404987733863315</v>
      </c>
      <c r="AJ282" s="62">
        <v>5952.3146999999999</v>
      </c>
      <c r="AK282" s="60">
        <v>2430.859149574093</v>
      </c>
      <c r="AL282" t="s">
        <v>343</v>
      </c>
      <c r="AM282" t="s">
        <v>435</v>
      </c>
      <c r="AN282" t="s">
        <v>425</v>
      </c>
      <c r="AO282" t="s">
        <v>26</v>
      </c>
      <c r="AP282">
        <v>111.133</v>
      </c>
      <c r="AQ282">
        <v>1.027287859172453</v>
      </c>
      <c r="AR282">
        <v>114.1655816534122</v>
      </c>
      <c r="AS282">
        <v>605.53</v>
      </c>
      <c r="AT282">
        <v>1</v>
      </c>
      <c r="AU282">
        <v>69.130684658590724</v>
      </c>
      <c r="AV282">
        <v>0.97960000000000003</v>
      </c>
      <c r="AW282" s="62">
        <v>67.72</v>
      </c>
      <c r="AX282">
        <v>8.9176000000000002</v>
      </c>
      <c r="AY282">
        <v>1</v>
      </c>
      <c r="AZ282">
        <v>5547.2253382114104</v>
      </c>
      <c r="BA282">
        <v>0.98541811328241247</v>
      </c>
      <c r="BB282" s="62">
        <v>5466.3362999999999</v>
      </c>
      <c r="BC282" s="60">
        <v>2232.3909738011662</v>
      </c>
    </row>
    <row r="283" spans="1:55" x14ac:dyDescent="0.25">
      <c r="A283">
        <v>43321</v>
      </c>
      <c r="B283" t="s">
        <v>119</v>
      </c>
      <c r="C283">
        <v>2018</v>
      </c>
      <c r="D283">
        <v>1</v>
      </c>
      <c r="E283" t="s">
        <v>100</v>
      </c>
      <c r="F283" t="s">
        <v>426</v>
      </c>
      <c r="G283" t="s">
        <v>84</v>
      </c>
      <c r="H283" t="s">
        <v>381</v>
      </c>
      <c r="I283" t="s">
        <v>427</v>
      </c>
      <c r="J283">
        <v>-9.2499228599999999</v>
      </c>
      <c r="K283" t="s">
        <v>440</v>
      </c>
      <c r="L283" t="s">
        <v>384</v>
      </c>
      <c r="M283">
        <v>4.5811354346740003E-2</v>
      </c>
      <c r="N283">
        <v>0.4237514938328209</v>
      </c>
      <c r="O283">
        <v>30169.468000000001</v>
      </c>
      <c r="P283">
        <v>4.8744250000000003E-6</v>
      </c>
      <c r="Q283">
        <v>0.29411799999999999</v>
      </c>
      <c r="R283" s="60">
        <v>0.1246329418631216</v>
      </c>
      <c r="S283" t="s">
        <v>342</v>
      </c>
      <c r="T283" t="s">
        <v>434</v>
      </c>
      <c r="U283" t="s">
        <v>425</v>
      </c>
      <c r="V283" t="s">
        <v>81</v>
      </c>
      <c r="W283">
        <v>111.133</v>
      </c>
      <c r="X283">
        <v>1.0155396203574489</v>
      </c>
      <c r="Y283">
        <v>112.8599646291844</v>
      </c>
      <c r="Z283">
        <v>661.2</v>
      </c>
      <c r="AA283">
        <v>1</v>
      </c>
      <c r="AB283">
        <v>74.623008612816719</v>
      </c>
      <c r="AC283">
        <v>0.95185525912296853</v>
      </c>
      <c r="AD283" s="62">
        <v>71.03</v>
      </c>
      <c r="AE283">
        <v>8.9176000000000002</v>
      </c>
      <c r="AF283">
        <v>9.0561761184995895</v>
      </c>
      <c r="AG283">
        <v>1</v>
      </c>
      <c r="AH283">
        <v>5987.9436495519294</v>
      </c>
      <c r="AI283">
        <v>1.081469419077697</v>
      </c>
      <c r="AJ283" s="62">
        <v>6475.7779</v>
      </c>
      <c r="AK283" s="60">
        <v>807.09525052918775</v>
      </c>
      <c r="AL283" t="s">
        <v>343</v>
      </c>
      <c r="AM283" t="s">
        <v>435</v>
      </c>
      <c r="AN283" t="s">
        <v>425</v>
      </c>
      <c r="AO283" t="s">
        <v>81</v>
      </c>
      <c r="AP283">
        <v>111.133</v>
      </c>
      <c r="AQ283">
        <v>1.027287859172453</v>
      </c>
      <c r="AR283">
        <v>114.1655816534122</v>
      </c>
      <c r="AS283">
        <v>605.53</v>
      </c>
      <c r="AT283">
        <v>1</v>
      </c>
      <c r="AU283">
        <v>69.130684658590724</v>
      </c>
      <c r="AV283">
        <v>0.92730000000000001</v>
      </c>
      <c r="AW283" s="62">
        <v>64.105000000000004</v>
      </c>
      <c r="AX283">
        <v>8.9176000000000002</v>
      </c>
      <c r="AY283">
        <v>1</v>
      </c>
      <c r="AZ283">
        <v>5547.2253382114104</v>
      </c>
      <c r="BA283">
        <v>1.094557195571956</v>
      </c>
      <c r="BB283" s="62">
        <v>6071.7554</v>
      </c>
      <c r="BC283" s="60">
        <v>756.74073777529475</v>
      </c>
    </row>
    <row r="284" spans="1:55" x14ac:dyDescent="0.25">
      <c r="A284">
        <v>43323</v>
      </c>
      <c r="B284" t="s">
        <v>119</v>
      </c>
      <c r="C284">
        <v>2018</v>
      </c>
      <c r="D284">
        <v>1</v>
      </c>
      <c r="E284" t="s">
        <v>100</v>
      </c>
      <c r="F284" t="s">
        <v>426</v>
      </c>
      <c r="G284" t="s">
        <v>84</v>
      </c>
      <c r="H284" t="s">
        <v>381</v>
      </c>
      <c r="I284" t="s">
        <v>427</v>
      </c>
      <c r="J284">
        <v>-9.2499228599999999</v>
      </c>
      <c r="K284" t="s">
        <v>440</v>
      </c>
      <c r="L284" t="s">
        <v>385</v>
      </c>
      <c r="M284">
        <v>0.43232641346992001</v>
      </c>
      <c r="N284">
        <v>3.9989859750632122</v>
      </c>
      <c r="O284">
        <v>30169.468000000001</v>
      </c>
      <c r="P284">
        <v>4.8744250000000003E-6</v>
      </c>
      <c r="Q284">
        <v>0.29411799999999999</v>
      </c>
      <c r="R284" s="60">
        <v>1.1761737570136419</v>
      </c>
      <c r="S284" t="s">
        <v>342</v>
      </c>
      <c r="T284" t="s">
        <v>434</v>
      </c>
      <c r="U284" t="s">
        <v>425</v>
      </c>
      <c r="V284" t="s">
        <v>27</v>
      </c>
      <c r="W284">
        <v>111.133</v>
      </c>
      <c r="X284">
        <v>1.0155396203574489</v>
      </c>
      <c r="Y284">
        <v>112.8599646291844</v>
      </c>
      <c r="Z284">
        <v>661.2</v>
      </c>
      <c r="AA284">
        <v>1</v>
      </c>
      <c r="AB284">
        <v>74.623008612816719</v>
      </c>
      <c r="AC284">
        <v>1.0016354901359501</v>
      </c>
      <c r="AD284" s="62">
        <v>74.745000000000005</v>
      </c>
      <c r="AE284">
        <v>8.9176000000000002</v>
      </c>
      <c r="AF284">
        <v>9.0561761184995895</v>
      </c>
      <c r="AG284">
        <v>1</v>
      </c>
      <c r="AH284">
        <v>5987.9436495519294</v>
      </c>
      <c r="AI284">
        <v>1.016194415745886</v>
      </c>
      <c r="AJ284" s="62">
        <v>6084.9148999999998</v>
      </c>
      <c r="AK284" s="60">
        <v>7156.9172190412892</v>
      </c>
      <c r="AL284" t="s">
        <v>343</v>
      </c>
      <c r="AM284" t="s">
        <v>435</v>
      </c>
      <c r="AN284" t="s">
        <v>425</v>
      </c>
      <c r="AO284" t="s">
        <v>27</v>
      </c>
      <c r="AP284">
        <v>111.133</v>
      </c>
      <c r="AQ284">
        <v>1.027287859172453</v>
      </c>
      <c r="AR284">
        <v>114.1655816534122</v>
      </c>
      <c r="AS284">
        <v>605.53</v>
      </c>
      <c r="AT284">
        <v>1</v>
      </c>
      <c r="AU284">
        <v>69.130684658590724</v>
      </c>
      <c r="AV284">
        <v>0.95599999999999996</v>
      </c>
      <c r="AW284" s="62">
        <v>66.088999999999999</v>
      </c>
      <c r="AX284">
        <v>8.9176000000000002</v>
      </c>
      <c r="AY284">
        <v>1</v>
      </c>
      <c r="AZ284">
        <v>5547.2253382114104</v>
      </c>
      <c r="BA284">
        <v>1.0027686628383921</v>
      </c>
      <c r="BB284" s="62">
        <v>5562.5837000000001</v>
      </c>
      <c r="BC284" s="60">
        <v>6542.5649691318449</v>
      </c>
    </row>
    <row r="285" spans="1:55" x14ac:dyDescent="0.25">
      <c r="A285">
        <v>43325</v>
      </c>
      <c r="B285" t="s">
        <v>119</v>
      </c>
      <c r="C285">
        <v>2018</v>
      </c>
      <c r="D285">
        <v>1</v>
      </c>
      <c r="E285" t="s">
        <v>100</v>
      </c>
      <c r="F285" t="s">
        <v>426</v>
      </c>
      <c r="G285" t="s">
        <v>84</v>
      </c>
      <c r="H285" t="s">
        <v>381</v>
      </c>
      <c r="I285" t="s">
        <v>427</v>
      </c>
      <c r="J285">
        <v>-9.2499228599999999</v>
      </c>
      <c r="K285" t="s">
        <v>440</v>
      </c>
      <c r="L285" t="s">
        <v>451</v>
      </c>
      <c r="M285">
        <v>1.6825115802299999E-3</v>
      </c>
      <c r="N285">
        <v>1.556310232867451E-2</v>
      </c>
      <c r="O285">
        <v>30169.468000000001</v>
      </c>
      <c r="P285">
        <v>4.8744250000000003E-6</v>
      </c>
      <c r="Q285">
        <v>0.29411799999999999</v>
      </c>
      <c r="R285" s="60">
        <v>4.5773885307050901E-3</v>
      </c>
      <c r="S285" t="s">
        <v>342</v>
      </c>
      <c r="T285" t="s">
        <v>434</v>
      </c>
      <c r="U285" t="s">
        <v>425</v>
      </c>
      <c r="V285" t="s">
        <v>91</v>
      </c>
      <c r="W285">
        <v>111.133</v>
      </c>
      <c r="X285">
        <v>1.0155396203574489</v>
      </c>
      <c r="Y285">
        <v>112.8599646291844</v>
      </c>
      <c r="Z285">
        <v>661.2</v>
      </c>
      <c r="AA285">
        <v>1</v>
      </c>
      <c r="AB285">
        <v>74.623008612816719</v>
      </c>
      <c r="AC285">
        <v>1.02984769498109</v>
      </c>
      <c r="AD285" s="62">
        <v>76.849999999999994</v>
      </c>
      <c r="AE285">
        <v>8.9176000000000002</v>
      </c>
      <c r="AF285">
        <v>9.0561761184995895</v>
      </c>
      <c r="AG285">
        <v>1</v>
      </c>
      <c r="AH285">
        <v>5987.9436495519294</v>
      </c>
      <c r="AI285">
        <v>0.9935711161666545</v>
      </c>
      <c r="AJ285" s="62">
        <v>5949.4479000000001</v>
      </c>
      <c r="AK285" s="60">
        <v>27.232934581487481</v>
      </c>
      <c r="AL285" t="s">
        <v>343</v>
      </c>
      <c r="AM285" t="s">
        <v>435</v>
      </c>
      <c r="AN285" t="s">
        <v>425</v>
      </c>
      <c r="AO285" t="s">
        <v>91</v>
      </c>
      <c r="AP285">
        <v>111.133</v>
      </c>
      <c r="AQ285">
        <v>1.027287859172453</v>
      </c>
      <c r="AR285">
        <v>114.1655816534122</v>
      </c>
      <c r="AS285">
        <v>605.53</v>
      </c>
      <c r="AT285">
        <v>1</v>
      </c>
      <c r="AU285">
        <v>69.130684658590724</v>
      </c>
      <c r="AV285">
        <v>1.0056</v>
      </c>
      <c r="AW285" s="62">
        <v>69.518000000000001</v>
      </c>
      <c r="AX285">
        <v>8.9176000000000002</v>
      </c>
      <c r="AY285">
        <v>1</v>
      </c>
      <c r="AZ285">
        <v>5547.2253382114104</v>
      </c>
      <c r="BA285">
        <v>0.98408824677860207</v>
      </c>
      <c r="BB285" s="62">
        <v>5458.9593000000004</v>
      </c>
      <c r="BC285" s="60">
        <v>24.987777689405888</v>
      </c>
    </row>
    <row r="286" spans="1:55" x14ac:dyDescent="0.25">
      <c r="A286">
        <v>43327</v>
      </c>
      <c r="B286" t="s">
        <v>119</v>
      </c>
      <c r="C286">
        <v>2018</v>
      </c>
      <c r="D286">
        <v>1</v>
      </c>
      <c r="E286" t="s">
        <v>100</v>
      </c>
      <c r="F286" t="s">
        <v>426</v>
      </c>
      <c r="G286" t="s">
        <v>84</v>
      </c>
      <c r="H286" t="s">
        <v>381</v>
      </c>
      <c r="I286" t="s">
        <v>427</v>
      </c>
      <c r="J286">
        <v>-9.2499228599999999</v>
      </c>
      <c r="K286" t="s">
        <v>440</v>
      </c>
      <c r="L286" t="s">
        <v>452</v>
      </c>
      <c r="M286">
        <v>1.53682162831E-3</v>
      </c>
      <c r="N286">
        <v>1.421548151189495E-2</v>
      </c>
      <c r="O286">
        <v>30169.468000000001</v>
      </c>
      <c r="P286">
        <v>4.8744250000000003E-6</v>
      </c>
      <c r="Q286">
        <v>0.29411799999999999</v>
      </c>
      <c r="R286" s="60">
        <v>4.1810289913155182E-3</v>
      </c>
      <c r="S286" t="s">
        <v>342</v>
      </c>
      <c r="T286" t="s">
        <v>434</v>
      </c>
      <c r="U286" t="s">
        <v>425</v>
      </c>
      <c r="V286" t="s">
        <v>28</v>
      </c>
      <c r="W286">
        <v>111.133</v>
      </c>
      <c r="X286">
        <v>1.0155396203574489</v>
      </c>
      <c r="Y286">
        <v>112.8599646291844</v>
      </c>
      <c r="Z286">
        <v>661.2</v>
      </c>
      <c r="AA286">
        <v>1</v>
      </c>
      <c r="AB286">
        <v>74.623008612816719</v>
      </c>
      <c r="AC286">
        <v>1.0451804150056221</v>
      </c>
      <c r="AD286" s="62">
        <v>77.995000000000005</v>
      </c>
      <c r="AE286">
        <v>8.9176000000000002</v>
      </c>
      <c r="AF286">
        <v>9.0561761184995895</v>
      </c>
      <c r="AG286">
        <v>1</v>
      </c>
      <c r="AH286">
        <v>5987.9436495519294</v>
      </c>
      <c r="AI286">
        <v>1.0071061377552519</v>
      </c>
      <c r="AJ286" s="62">
        <v>6030.4948000000004</v>
      </c>
      <c r="AK286" s="60">
        <v>25.213673590777478</v>
      </c>
      <c r="AL286" t="s">
        <v>343</v>
      </c>
      <c r="AM286" t="s">
        <v>435</v>
      </c>
      <c r="AN286" t="s">
        <v>425</v>
      </c>
      <c r="AO286" t="s">
        <v>28</v>
      </c>
      <c r="AP286">
        <v>111.133</v>
      </c>
      <c r="AQ286">
        <v>1.027287859172453</v>
      </c>
      <c r="AR286">
        <v>114.1655816534122</v>
      </c>
      <c r="AS286">
        <v>605.53</v>
      </c>
      <c r="AT286">
        <v>1</v>
      </c>
      <c r="AU286">
        <v>69.130684658590724</v>
      </c>
      <c r="AV286">
        <v>1.0064</v>
      </c>
      <c r="AW286" s="62">
        <v>69.572999999999993</v>
      </c>
      <c r="AX286">
        <v>8.9176000000000002</v>
      </c>
      <c r="AY286">
        <v>1</v>
      </c>
      <c r="AZ286">
        <v>5547.2253382114104</v>
      </c>
      <c r="BA286">
        <v>0.98887576294546164</v>
      </c>
      <c r="BB286" s="62">
        <v>5485.5167000000001</v>
      </c>
      <c r="BC286" s="60">
        <v>22.935104355045429</v>
      </c>
    </row>
    <row r="287" spans="1:55" x14ac:dyDescent="0.25">
      <c r="A287">
        <v>43329</v>
      </c>
      <c r="B287" t="s">
        <v>119</v>
      </c>
      <c r="C287">
        <v>2018</v>
      </c>
      <c r="D287">
        <v>1</v>
      </c>
      <c r="E287" t="s">
        <v>100</v>
      </c>
      <c r="F287" t="s">
        <v>426</v>
      </c>
      <c r="G287" t="s">
        <v>84</v>
      </c>
      <c r="H287" t="s">
        <v>87</v>
      </c>
      <c r="I287" t="s">
        <v>427</v>
      </c>
      <c r="J287">
        <v>-1.6997540600000001</v>
      </c>
      <c r="K287" t="s">
        <v>440</v>
      </c>
      <c r="L287" t="s">
        <v>450</v>
      </c>
      <c r="M287">
        <v>0.26601384014995</v>
      </c>
      <c r="N287">
        <v>0.45215810548046548</v>
      </c>
      <c r="O287">
        <v>30169.468000000001</v>
      </c>
      <c r="P287">
        <v>4.8744250000000003E-6</v>
      </c>
      <c r="Q287">
        <v>0.29411799999999999</v>
      </c>
      <c r="R287" s="60">
        <v>0.1329878376677035</v>
      </c>
      <c r="S287" t="s">
        <v>342</v>
      </c>
      <c r="T287" t="s">
        <v>434</v>
      </c>
      <c r="U287" t="s">
        <v>425</v>
      </c>
      <c r="V287" t="s">
        <v>26</v>
      </c>
      <c r="W287">
        <v>111.133</v>
      </c>
      <c r="X287">
        <v>1.0155396203574489</v>
      </c>
      <c r="Y287">
        <v>112.8599646291844</v>
      </c>
      <c r="Z287">
        <v>661.2</v>
      </c>
      <c r="AA287">
        <v>1</v>
      </c>
      <c r="AB287">
        <v>74.623008612816719</v>
      </c>
      <c r="AC287">
        <v>1.012368394153123</v>
      </c>
      <c r="AD287" s="62">
        <v>75.546000000000006</v>
      </c>
      <c r="AE287">
        <v>8.9176000000000002</v>
      </c>
      <c r="AF287">
        <v>9.0561761184995895</v>
      </c>
      <c r="AG287">
        <v>1</v>
      </c>
      <c r="AH287">
        <v>5987.9436495519294</v>
      </c>
      <c r="AI287">
        <v>0.99404987733863315</v>
      </c>
      <c r="AJ287" s="62">
        <v>5952.3146999999999</v>
      </c>
      <c r="AK287" s="60">
        <v>791.58546107068537</v>
      </c>
      <c r="AL287" t="s">
        <v>343</v>
      </c>
      <c r="AM287" t="s">
        <v>435</v>
      </c>
      <c r="AN287" t="s">
        <v>425</v>
      </c>
      <c r="AO287" t="s">
        <v>26</v>
      </c>
      <c r="AP287">
        <v>111.133</v>
      </c>
      <c r="AQ287">
        <v>1.027287859172453</v>
      </c>
      <c r="AR287">
        <v>114.1655816534122</v>
      </c>
      <c r="AS287">
        <v>605.53</v>
      </c>
      <c r="AT287">
        <v>1</v>
      </c>
      <c r="AU287">
        <v>69.130684658590724</v>
      </c>
      <c r="AV287">
        <v>0.97960000000000003</v>
      </c>
      <c r="AW287" s="62">
        <v>67.72</v>
      </c>
      <c r="AX287">
        <v>8.9176000000000002</v>
      </c>
      <c r="AY287">
        <v>1</v>
      </c>
      <c r="AZ287">
        <v>5547.2253382114104</v>
      </c>
      <c r="BA287">
        <v>0.98541811328241247</v>
      </c>
      <c r="BB287" s="62">
        <v>5466.3362999999999</v>
      </c>
      <c r="BC287" s="60">
        <v>726.95624450147511</v>
      </c>
    </row>
    <row r="288" spans="1:55" x14ac:dyDescent="0.25">
      <c r="A288">
        <v>43331</v>
      </c>
      <c r="B288" t="s">
        <v>119</v>
      </c>
      <c r="C288">
        <v>2018</v>
      </c>
      <c r="D288">
        <v>1</v>
      </c>
      <c r="E288" t="s">
        <v>100</v>
      </c>
      <c r="F288" t="s">
        <v>426</v>
      </c>
      <c r="G288" t="s">
        <v>84</v>
      </c>
      <c r="H288" t="s">
        <v>87</v>
      </c>
      <c r="I288" t="s">
        <v>427</v>
      </c>
      <c r="J288">
        <v>-1.6997540600000001</v>
      </c>
      <c r="K288" t="s">
        <v>440</v>
      </c>
      <c r="L288" t="s">
        <v>384</v>
      </c>
      <c r="M288">
        <v>3.9509559941419997E-2</v>
      </c>
      <c r="N288">
        <v>6.715653501866381E-2</v>
      </c>
      <c r="O288">
        <v>30169.468000000001</v>
      </c>
      <c r="P288">
        <v>4.8744250000000003E-6</v>
      </c>
      <c r="Q288">
        <v>0.29411799999999999</v>
      </c>
      <c r="R288" s="60">
        <v>1.9751945766619362E-2</v>
      </c>
      <c r="S288" t="s">
        <v>342</v>
      </c>
      <c r="T288" t="s">
        <v>434</v>
      </c>
      <c r="U288" t="s">
        <v>425</v>
      </c>
      <c r="V288" t="s">
        <v>81</v>
      </c>
      <c r="W288">
        <v>111.133</v>
      </c>
      <c r="X288">
        <v>1.0155396203574489</v>
      </c>
      <c r="Y288">
        <v>112.8599646291844</v>
      </c>
      <c r="Z288">
        <v>661.2</v>
      </c>
      <c r="AA288">
        <v>1</v>
      </c>
      <c r="AB288">
        <v>74.623008612816719</v>
      </c>
      <c r="AC288">
        <v>0.95185525912296853</v>
      </c>
      <c r="AD288" s="62">
        <v>71.03</v>
      </c>
      <c r="AE288">
        <v>8.9176000000000002</v>
      </c>
      <c r="AF288">
        <v>9.0561761184995895</v>
      </c>
      <c r="AG288">
        <v>1</v>
      </c>
      <c r="AH288">
        <v>5987.9436495519294</v>
      </c>
      <c r="AI288">
        <v>1.081469419077697</v>
      </c>
      <c r="AJ288" s="62">
        <v>6475.7779</v>
      </c>
      <c r="AK288" s="60">
        <v>127.9092138774722</v>
      </c>
      <c r="AL288" t="s">
        <v>343</v>
      </c>
      <c r="AM288" t="s">
        <v>435</v>
      </c>
      <c r="AN288" t="s">
        <v>425</v>
      </c>
      <c r="AO288" t="s">
        <v>81</v>
      </c>
      <c r="AP288">
        <v>111.133</v>
      </c>
      <c r="AQ288">
        <v>1.027287859172453</v>
      </c>
      <c r="AR288">
        <v>114.1655816534122</v>
      </c>
      <c r="AS288">
        <v>605.53</v>
      </c>
      <c r="AT288">
        <v>1</v>
      </c>
      <c r="AU288">
        <v>69.130684658590724</v>
      </c>
      <c r="AV288">
        <v>0.92730000000000001</v>
      </c>
      <c r="AW288" s="62">
        <v>64.105000000000004</v>
      </c>
      <c r="AX288">
        <v>8.9176000000000002</v>
      </c>
      <c r="AY288">
        <v>1</v>
      </c>
      <c r="AZ288">
        <v>5547.2253382114104</v>
      </c>
      <c r="BA288">
        <v>1.094557195571956</v>
      </c>
      <c r="BB288" s="62">
        <v>6071.7554</v>
      </c>
      <c r="BC288" s="60">
        <v>119.92898336897829</v>
      </c>
    </row>
    <row r="289" spans="1:55" x14ac:dyDescent="0.25">
      <c r="A289">
        <v>43333</v>
      </c>
      <c r="B289" t="s">
        <v>119</v>
      </c>
      <c r="C289">
        <v>2018</v>
      </c>
      <c r="D289">
        <v>1</v>
      </c>
      <c r="E289" t="s">
        <v>100</v>
      </c>
      <c r="F289" t="s">
        <v>426</v>
      </c>
      <c r="G289" t="s">
        <v>84</v>
      </c>
      <c r="H289" t="s">
        <v>87</v>
      </c>
      <c r="I289" t="s">
        <v>427</v>
      </c>
      <c r="J289">
        <v>-1.6997540600000001</v>
      </c>
      <c r="K289" t="s">
        <v>440</v>
      </c>
      <c r="L289" t="s">
        <v>385</v>
      </c>
      <c r="M289">
        <v>0.39737542925016001</v>
      </c>
      <c r="N289">
        <v>0.67544050021215729</v>
      </c>
      <c r="O289">
        <v>30169.468000000001</v>
      </c>
      <c r="P289">
        <v>4.8744250000000003E-6</v>
      </c>
      <c r="Q289">
        <v>0.29411799999999999</v>
      </c>
      <c r="R289" s="60">
        <v>0.1986592090413993</v>
      </c>
      <c r="S289" t="s">
        <v>342</v>
      </c>
      <c r="T289" t="s">
        <v>434</v>
      </c>
      <c r="U289" t="s">
        <v>425</v>
      </c>
      <c r="V289" t="s">
        <v>27</v>
      </c>
      <c r="W289">
        <v>111.133</v>
      </c>
      <c r="X289">
        <v>1.0155396203574489</v>
      </c>
      <c r="Y289">
        <v>112.8599646291844</v>
      </c>
      <c r="Z289">
        <v>661.2</v>
      </c>
      <c r="AA289">
        <v>1</v>
      </c>
      <c r="AB289">
        <v>74.623008612816719</v>
      </c>
      <c r="AC289">
        <v>1.0016354901359501</v>
      </c>
      <c r="AD289" s="62">
        <v>74.745000000000005</v>
      </c>
      <c r="AE289">
        <v>8.9176000000000002</v>
      </c>
      <c r="AF289">
        <v>9.0561761184995895</v>
      </c>
      <c r="AG289">
        <v>1</v>
      </c>
      <c r="AH289">
        <v>5987.9436495519294</v>
      </c>
      <c r="AI289">
        <v>1.016194415745886</v>
      </c>
      <c r="AJ289" s="62">
        <v>6084.9148999999998</v>
      </c>
      <c r="AK289" s="60">
        <v>1208.8243811182249</v>
      </c>
      <c r="AL289" t="s">
        <v>343</v>
      </c>
      <c r="AM289" t="s">
        <v>435</v>
      </c>
      <c r="AN289" t="s">
        <v>425</v>
      </c>
      <c r="AO289" t="s">
        <v>27</v>
      </c>
      <c r="AP289">
        <v>111.133</v>
      </c>
      <c r="AQ289">
        <v>1.027287859172453</v>
      </c>
      <c r="AR289">
        <v>114.1655816534122</v>
      </c>
      <c r="AS289">
        <v>605.53</v>
      </c>
      <c r="AT289">
        <v>1</v>
      </c>
      <c r="AU289">
        <v>69.130684658590724</v>
      </c>
      <c r="AV289">
        <v>0.95599999999999996</v>
      </c>
      <c r="AW289" s="62">
        <v>66.088999999999999</v>
      </c>
      <c r="AX289">
        <v>8.9176000000000002</v>
      </c>
      <c r="AY289">
        <v>1</v>
      </c>
      <c r="AZ289">
        <v>5547.2253382114104</v>
      </c>
      <c r="BA289">
        <v>1.0027686628383921</v>
      </c>
      <c r="BB289" s="62">
        <v>5562.5837000000001</v>
      </c>
      <c r="BC289" s="60">
        <v>1105.0584780685799</v>
      </c>
    </row>
    <row r="290" spans="1:55" x14ac:dyDescent="0.25">
      <c r="A290">
        <v>43335</v>
      </c>
      <c r="B290" t="s">
        <v>119</v>
      </c>
      <c r="C290">
        <v>2018</v>
      </c>
      <c r="D290">
        <v>1</v>
      </c>
      <c r="E290" t="s">
        <v>100</v>
      </c>
      <c r="F290" t="s">
        <v>426</v>
      </c>
      <c r="G290" t="s">
        <v>84</v>
      </c>
      <c r="H290" t="s">
        <v>87</v>
      </c>
      <c r="I290" t="s">
        <v>427</v>
      </c>
      <c r="J290">
        <v>-1.6997540600000001</v>
      </c>
      <c r="K290" t="s">
        <v>440</v>
      </c>
      <c r="L290" t="s">
        <v>452</v>
      </c>
      <c r="M290">
        <v>8.4248020759000004E-4</v>
      </c>
      <c r="N290">
        <v>1.432009155440762E-3</v>
      </c>
      <c r="O290">
        <v>30169.468000000001</v>
      </c>
      <c r="P290">
        <v>4.8744250000000003E-6</v>
      </c>
      <c r="Q290">
        <v>0.29411799999999999</v>
      </c>
      <c r="R290" s="60">
        <v>4.2117966877992601E-4</v>
      </c>
      <c r="S290" t="s">
        <v>342</v>
      </c>
      <c r="T290" t="s">
        <v>434</v>
      </c>
      <c r="U290" t="s">
        <v>425</v>
      </c>
      <c r="V290" t="s">
        <v>28</v>
      </c>
      <c r="W290">
        <v>111.133</v>
      </c>
      <c r="X290">
        <v>1.0155396203574489</v>
      </c>
      <c r="Y290">
        <v>112.8599646291844</v>
      </c>
      <c r="Z290">
        <v>661.2</v>
      </c>
      <c r="AA290">
        <v>1</v>
      </c>
      <c r="AB290">
        <v>74.623008612816719</v>
      </c>
      <c r="AC290">
        <v>1.0451804150056221</v>
      </c>
      <c r="AD290" s="62">
        <v>77.995000000000005</v>
      </c>
      <c r="AE290">
        <v>8.9176000000000002</v>
      </c>
      <c r="AF290">
        <v>9.0561761184995895</v>
      </c>
      <c r="AG290">
        <v>1</v>
      </c>
      <c r="AH290">
        <v>5987.9436495519294</v>
      </c>
      <c r="AI290">
        <v>1.0071061377552519</v>
      </c>
      <c r="AJ290" s="62">
        <v>6030.4948000000004</v>
      </c>
      <c r="AK290" s="60">
        <v>2.5399218024430659</v>
      </c>
      <c r="AL290" t="s">
        <v>343</v>
      </c>
      <c r="AM290" t="s">
        <v>435</v>
      </c>
      <c r="AN290" t="s">
        <v>425</v>
      </c>
      <c r="AO290" t="s">
        <v>28</v>
      </c>
      <c r="AP290">
        <v>111.133</v>
      </c>
      <c r="AQ290">
        <v>1.027287859172453</v>
      </c>
      <c r="AR290">
        <v>114.1655816534122</v>
      </c>
      <c r="AS290">
        <v>605.53</v>
      </c>
      <c r="AT290">
        <v>1</v>
      </c>
      <c r="AU290">
        <v>69.130684658590724</v>
      </c>
      <c r="AV290">
        <v>1.0064</v>
      </c>
      <c r="AW290" s="62">
        <v>69.572999999999993</v>
      </c>
      <c r="AX290">
        <v>8.9176000000000002</v>
      </c>
      <c r="AY290">
        <v>1</v>
      </c>
      <c r="AZ290">
        <v>5547.2253382114104</v>
      </c>
      <c r="BA290">
        <v>0.98887576294546164</v>
      </c>
      <c r="BB290" s="62">
        <v>5485.5167000000001</v>
      </c>
      <c r="BC290" s="60">
        <v>2.310388106792753</v>
      </c>
    </row>
    <row r="291" spans="1:55" x14ac:dyDescent="0.25">
      <c r="A291">
        <v>43337</v>
      </c>
      <c r="B291" t="s">
        <v>119</v>
      </c>
      <c r="C291">
        <v>2018</v>
      </c>
      <c r="D291">
        <v>1</v>
      </c>
      <c r="E291" t="s">
        <v>100</v>
      </c>
      <c r="F291" t="s">
        <v>426</v>
      </c>
      <c r="G291" t="s">
        <v>84</v>
      </c>
      <c r="H291" t="s">
        <v>59</v>
      </c>
      <c r="I291" t="s">
        <v>427</v>
      </c>
      <c r="J291">
        <v>-4.88745999</v>
      </c>
      <c r="K291" t="s">
        <v>440</v>
      </c>
      <c r="L291" t="s">
        <v>450</v>
      </c>
      <c r="M291">
        <v>0.15931709696460999</v>
      </c>
      <c r="N291">
        <v>0.77865593666844002</v>
      </c>
      <c r="O291">
        <v>30169.468000000001</v>
      </c>
      <c r="P291">
        <v>4.8744250000000003E-6</v>
      </c>
      <c r="Q291">
        <v>0.29411799999999999</v>
      </c>
      <c r="R291" s="60">
        <v>0.2290167267810482</v>
      </c>
      <c r="S291" t="s">
        <v>342</v>
      </c>
      <c r="T291" t="s">
        <v>434</v>
      </c>
      <c r="U291" t="s">
        <v>425</v>
      </c>
      <c r="V291" t="s">
        <v>26</v>
      </c>
      <c r="W291">
        <v>111.133</v>
      </c>
      <c r="X291">
        <v>1.0155396203574489</v>
      </c>
      <c r="Y291">
        <v>112.8599646291844</v>
      </c>
      <c r="Z291">
        <v>661.2</v>
      </c>
      <c r="AA291">
        <v>1</v>
      </c>
      <c r="AB291">
        <v>74.623008612816719</v>
      </c>
      <c r="AC291">
        <v>1.012368394153123</v>
      </c>
      <c r="AD291" s="62">
        <v>75.546000000000006</v>
      </c>
      <c r="AE291">
        <v>8.9176000000000002</v>
      </c>
      <c r="AF291">
        <v>9.0561761184995895</v>
      </c>
      <c r="AG291">
        <v>1</v>
      </c>
      <c r="AH291">
        <v>5987.9436495519294</v>
      </c>
      <c r="AI291">
        <v>0.99404987733863315</v>
      </c>
      <c r="AJ291" s="62">
        <v>5952.3146999999999</v>
      </c>
      <c r="AK291" s="60">
        <v>1363.1796293647169</v>
      </c>
      <c r="AL291" t="s">
        <v>343</v>
      </c>
      <c r="AM291" t="s">
        <v>435</v>
      </c>
      <c r="AN291" t="s">
        <v>425</v>
      </c>
      <c r="AO291" t="s">
        <v>26</v>
      </c>
      <c r="AP291">
        <v>111.133</v>
      </c>
      <c r="AQ291">
        <v>1.027287859172453</v>
      </c>
      <c r="AR291">
        <v>114.1655816534122</v>
      </c>
      <c r="AS291">
        <v>605.53</v>
      </c>
      <c r="AT291">
        <v>1</v>
      </c>
      <c r="AU291">
        <v>69.130684658590724</v>
      </c>
      <c r="AV291">
        <v>0.97960000000000003</v>
      </c>
      <c r="AW291" s="62">
        <v>67.72</v>
      </c>
      <c r="AX291">
        <v>8.9176000000000002</v>
      </c>
      <c r="AY291">
        <v>1</v>
      </c>
      <c r="AZ291">
        <v>5547.2253382114104</v>
      </c>
      <c r="BA291">
        <v>0.98541811328241247</v>
      </c>
      <c r="BB291" s="62">
        <v>5466.3362999999999</v>
      </c>
      <c r="BC291" s="60">
        <v>1251.8824469104261</v>
      </c>
    </row>
    <row r="292" spans="1:55" x14ac:dyDescent="0.25">
      <c r="A292">
        <v>43339</v>
      </c>
      <c r="B292" t="s">
        <v>119</v>
      </c>
      <c r="C292">
        <v>2018</v>
      </c>
      <c r="D292">
        <v>1</v>
      </c>
      <c r="E292" t="s">
        <v>100</v>
      </c>
      <c r="F292" t="s">
        <v>426</v>
      </c>
      <c r="G292" t="s">
        <v>84</v>
      </c>
      <c r="H292" t="s">
        <v>59</v>
      </c>
      <c r="I292" t="s">
        <v>427</v>
      </c>
      <c r="J292">
        <v>-4.88745999</v>
      </c>
      <c r="K292" t="s">
        <v>440</v>
      </c>
      <c r="L292" t="s">
        <v>384</v>
      </c>
      <c r="M292">
        <v>4.1785183859599999E-2</v>
      </c>
      <c r="N292">
        <v>0.20422341416556999</v>
      </c>
      <c r="O292">
        <v>30169.468000000001</v>
      </c>
      <c r="P292">
        <v>4.8744250000000003E-6</v>
      </c>
      <c r="Q292">
        <v>0.29411799999999999</v>
      </c>
      <c r="R292" s="60">
        <v>6.0065782127549108E-2</v>
      </c>
      <c r="S292" t="s">
        <v>342</v>
      </c>
      <c r="T292" t="s">
        <v>434</v>
      </c>
      <c r="U292" t="s">
        <v>425</v>
      </c>
      <c r="V292" t="s">
        <v>81</v>
      </c>
      <c r="W292">
        <v>111.133</v>
      </c>
      <c r="X292">
        <v>1.0155396203574489</v>
      </c>
      <c r="Y292">
        <v>112.8599646291844</v>
      </c>
      <c r="Z292">
        <v>661.2</v>
      </c>
      <c r="AA292">
        <v>1</v>
      </c>
      <c r="AB292">
        <v>74.623008612816719</v>
      </c>
      <c r="AC292">
        <v>0.95185525912296853</v>
      </c>
      <c r="AD292" s="62">
        <v>71.03</v>
      </c>
      <c r="AE292">
        <v>8.9176000000000002</v>
      </c>
      <c r="AF292">
        <v>9.0561761184995895</v>
      </c>
      <c r="AG292">
        <v>1</v>
      </c>
      <c r="AH292">
        <v>5987.9436495519294</v>
      </c>
      <c r="AI292">
        <v>1.081469419077697</v>
      </c>
      <c r="AJ292" s="62">
        <v>6475.7779</v>
      </c>
      <c r="AK292" s="60">
        <v>388.97266444779751</v>
      </c>
      <c r="AL292" t="s">
        <v>343</v>
      </c>
      <c r="AM292" t="s">
        <v>435</v>
      </c>
      <c r="AN292" t="s">
        <v>425</v>
      </c>
      <c r="AO292" t="s">
        <v>81</v>
      </c>
      <c r="AP292">
        <v>111.133</v>
      </c>
      <c r="AQ292">
        <v>1.027287859172453</v>
      </c>
      <c r="AR292">
        <v>114.1655816534122</v>
      </c>
      <c r="AS292">
        <v>605.53</v>
      </c>
      <c r="AT292">
        <v>1</v>
      </c>
      <c r="AU292">
        <v>69.130684658590724</v>
      </c>
      <c r="AV292">
        <v>0.92730000000000001</v>
      </c>
      <c r="AW292" s="62">
        <v>64.105000000000004</v>
      </c>
      <c r="AX292">
        <v>8.9176000000000002</v>
      </c>
      <c r="AY292">
        <v>1</v>
      </c>
      <c r="AZ292">
        <v>5547.2253382114104</v>
      </c>
      <c r="BA292">
        <v>1.094557195571956</v>
      </c>
      <c r="BB292" s="62">
        <v>6071.7554</v>
      </c>
      <c r="BC292" s="60">
        <v>364.70473698816983</v>
      </c>
    </row>
    <row r="293" spans="1:55" x14ac:dyDescent="0.25">
      <c r="A293">
        <v>43341</v>
      </c>
      <c r="B293" t="s">
        <v>119</v>
      </c>
      <c r="C293">
        <v>2018</v>
      </c>
      <c r="D293">
        <v>1</v>
      </c>
      <c r="E293" t="s">
        <v>100</v>
      </c>
      <c r="F293" t="s">
        <v>426</v>
      </c>
      <c r="G293" t="s">
        <v>84</v>
      </c>
      <c r="H293" t="s">
        <v>59</v>
      </c>
      <c r="I293" t="s">
        <v>427</v>
      </c>
      <c r="J293">
        <v>-4.88745999</v>
      </c>
      <c r="K293" t="s">
        <v>440</v>
      </c>
      <c r="L293" t="s">
        <v>385</v>
      </c>
      <c r="M293">
        <v>0.43497567483749999</v>
      </c>
      <c r="N293">
        <v>2.125926206110929</v>
      </c>
      <c r="O293">
        <v>30169.468000000001</v>
      </c>
      <c r="P293">
        <v>4.8744250000000003E-6</v>
      </c>
      <c r="Q293">
        <v>0.29411799999999999</v>
      </c>
      <c r="R293" s="60">
        <v>0.62527316388893417</v>
      </c>
      <c r="S293" t="s">
        <v>342</v>
      </c>
      <c r="T293" t="s">
        <v>434</v>
      </c>
      <c r="U293" t="s">
        <v>425</v>
      </c>
      <c r="V293" t="s">
        <v>27</v>
      </c>
      <c r="W293">
        <v>111.133</v>
      </c>
      <c r="X293">
        <v>1.0155396203574489</v>
      </c>
      <c r="Y293">
        <v>112.8599646291844</v>
      </c>
      <c r="Z293">
        <v>661.2</v>
      </c>
      <c r="AA293">
        <v>1</v>
      </c>
      <c r="AB293">
        <v>74.623008612816719</v>
      </c>
      <c r="AC293">
        <v>1.0016354901359501</v>
      </c>
      <c r="AD293" s="62">
        <v>74.745000000000005</v>
      </c>
      <c r="AE293">
        <v>8.9176000000000002</v>
      </c>
      <c r="AF293">
        <v>9.0561761184995895</v>
      </c>
      <c r="AG293">
        <v>1</v>
      </c>
      <c r="AH293">
        <v>5987.9436495519294</v>
      </c>
      <c r="AI293">
        <v>1.016194415745886</v>
      </c>
      <c r="AJ293" s="62">
        <v>6084.9148999999998</v>
      </c>
      <c r="AK293" s="60">
        <v>3804.7339915179168</v>
      </c>
      <c r="AL293" t="s">
        <v>343</v>
      </c>
      <c r="AM293" t="s">
        <v>435</v>
      </c>
      <c r="AN293" t="s">
        <v>425</v>
      </c>
      <c r="AO293" t="s">
        <v>27</v>
      </c>
      <c r="AP293">
        <v>111.133</v>
      </c>
      <c r="AQ293">
        <v>1.027287859172453</v>
      </c>
      <c r="AR293">
        <v>114.1655816534122</v>
      </c>
      <c r="AS293">
        <v>605.53</v>
      </c>
      <c r="AT293">
        <v>1</v>
      </c>
      <c r="AU293">
        <v>69.130684658590724</v>
      </c>
      <c r="AV293">
        <v>0.95599999999999996</v>
      </c>
      <c r="AW293" s="62">
        <v>66.088999999999999</v>
      </c>
      <c r="AX293">
        <v>8.9176000000000002</v>
      </c>
      <c r="AY293">
        <v>1</v>
      </c>
      <c r="AZ293">
        <v>5547.2253382114104</v>
      </c>
      <c r="BA293">
        <v>1.0027686628383921</v>
      </c>
      <c r="BB293" s="62">
        <v>5562.5837000000001</v>
      </c>
      <c r="BC293" s="60">
        <v>3478.1343094960139</v>
      </c>
    </row>
    <row r="294" spans="1:55" x14ac:dyDescent="0.25">
      <c r="A294">
        <v>43343</v>
      </c>
      <c r="B294" t="s">
        <v>119</v>
      </c>
      <c r="C294">
        <v>2018</v>
      </c>
      <c r="D294">
        <v>1</v>
      </c>
      <c r="E294" t="s">
        <v>100</v>
      </c>
      <c r="F294" t="s">
        <v>426</v>
      </c>
      <c r="G294" t="s">
        <v>84</v>
      </c>
      <c r="H294" t="s">
        <v>59</v>
      </c>
      <c r="I294" t="s">
        <v>427</v>
      </c>
      <c r="J294">
        <v>-4.88745999</v>
      </c>
      <c r="K294" t="s">
        <v>440</v>
      </c>
      <c r="L294" t="s">
        <v>451</v>
      </c>
      <c r="M294">
        <v>1.7625750762999999E-3</v>
      </c>
      <c r="N294">
        <v>8.6145151595982909E-3</v>
      </c>
      <c r="O294">
        <v>30169.468000000001</v>
      </c>
      <c r="P294">
        <v>4.8744250000000003E-6</v>
      </c>
      <c r="Q294">
        <v>0.29411799999999999</v>
      </c>
      <c r="R294" s="60">
        <v>2.5336839697107298E-3</v>
      </c>
      <c r="S294" t="s">
        <v>342</v>
      </c>
      <c r="T294" t="s">
        <v>434</v>
      </c>
      <c r="U294" t="s">
        <v>425</v>
      </c>
      <c r="V294" t="s">
        <v>91</v>
      </c>
      <c r="W294">
        <v>111.133</v>
      </c>
      <c r="X294">
        <v>1.0155396203574489</v>
      </c>
      <c r="Y294">
        <v>112.8599646291844</v>
      </c>
      <c r="Z294">
        <v>661.2</v>
      </c>
      <c r="AA294">
        <v>1</v>
      </c>
      <c r="AB294">
        <v>74.623008612816719</v>
      </c>
      <c r="AC294">
        <v>1.02984769498109</v>
      </c>
      <c r="AD294" s="62">
        <v>76.849999999999994</v>
      </c>
      <c r="AE294">
        <v>8.9176000000000002</v>
      </c>
      <c r="AF294">
        <v>9.0561761184995895</v>
      </c>
      <c r="AG294">
        <v>1</v>
      </c>
      <c r="AH294">
        <v>5987.9436495519294</v>
      </c>
      <c r="AI294">
        <v>0.9935711161666545</v>
      </c>
      <c r="AJ294" s="62">
        <v>5949.4479000000001</v>
      </c>
      <c r="AK294" s="60">
        <v>15.07402077285917</v>
      </c>
      <c r="AL294" t="s">
        <v>343</v>
      </c>
      <c r="AM294" t="s">
        <v>435</v>
      </c>
      <c r="AN294" t="s">
        <v>425</v>
      </c>
      <c r="AO294" t="s">
        <v>91</v>
      </c>
      <c r="AP294">
        <v>111.133</v>
      </c>
      <c r="AQ294">
        <v>1.027287859172453</v>
      </c>
      <c r="AR294">
        <v>114.1655816534122</v>
      </c>
      <c r="AS294">
        <v>605.53</v>
      </c>
      <c r="AT294">
        <v>1</v>
      </c>
      <c r="AU294">
        <v>69.130684658590724</v>
      </c>
      <c r="AV294">
        <v>1.0056</v>
      </c>
      <c r="AW294" s="62">
        <v>69.518000000000001</v>
      </c>
      <c r="AX294">
        <v>8.9176000000000002</v>
      </c>
      <c r="AY294">
        <v>1</v>
      </c>
      <c r="AZ294">
        <v>5547.2253382114104</v>
      </c>
      <c r="BA294">
        <v>0.98408824677860207</v>
      </c>
      <c r="BB294" s="62">
        <v>5458.9593000000004</v>
      </c>
      <c r="BC294" s="60">
        <v>13.831277669713311</v>
      </c>
    </row>
    <row r="295" spans="1:55" x14ac:dyDescent="0.25">
      <c r="A295">
        <v>43345</v>
      </c>
      <c r="B295" t="s">
        <v>119</v>
      </c>
      <c r="C295">
        <v>2018</v>
      </c>
      <c r="D295">
        <v>1</v>
      </c>
      <c r="E295" t="s">
        <v>100</v>
      </c>
      <c r="F295" t="s">
        <v>426</v>
      </c>
      <c r="G295" t="s">
        <v>84</v>
      </c>
      <c r="H295" t="s">
        <v>59</v>
      </c>
      <c r="I295" t="s">
        <v>427</v>
      </c>
      <c r="J295">
        <v>-4.88745999</v>
      </c>
      <c r="K295" t="s">
        <v>440</v>
      </c>
      <c r="L295" t="s">
        <v>452</v>
      </c>
      <c r="M295">
        <v>1.4858046103299999E-3</v>
      </c>
      <c r="N295">
        <v>7.2618105815710921E-3</v>
      </c>
      <c r="O295">
        <v>30169.468000000001</v>
      </c>
      <c r="P295">
        <v>4.8744250000000003E-6</v>
      </c>
      <c r="Q295">
        <v>0.29411799999999999</v>
      </c>
      <c r="R295" s="60">
        <v>2.135829204630527E-3</v>
      </c>
      <c r="S295" t="s">
        <v>342</v>
      </c>
      <c r="T295" t="s">
        <v>434</v>
      </c>
      <c r="U295" t="s">
        <v>425</v>
      </c>
      <c r="V295" t="s">
        <v>28</v>
      </c>
      <c r="W295">
        <v>111.133</v>
      </c>
      <c r="X295">
        <v>1.0155396203574489</v>
      </c>
      <c r="Y295">
        <v>112.8599646291844</v>
      </c>
      <c r="Z295">
        <v>661.2</v>
      </c>
      <c r="AA295">
        <v>1</v>
      </c>
      <c r="AB295">
        <v>74.623008612816719</v>
      </c>
      <c r="AC295">
        <v>1.0451804150056221</v>
      </c>
      <c r="AD295" s="62">
        <v>77.995000000000005</v>
      </c>
      <c r="AE295">
        <v>8.9176000000000002</v>
      </c>
      <c r="AF295">
        <v>9.0561761184995895</v>
      </c>
      <c r="AG295">
        <v>1</v>
      </c>
      <c r="AH295">
        <v>5987.9436495519294</v>
      </c>
      <c r="AI295">
        <v>1.0071061377552519</v>
      </c>
      <c r="AJ295" s="62">
        <v>6030.4948000000004</v>
      </c>
      <c r="AK295" s="60">
        <v>12.880106912212529</v>
      </c>
      <c r="AL295" t="s">
        <v>343</v>
      </c>
      <c r="AM295" t="s">
        <v>435</v>
      </c>
      <c r="AN295" t="s">
        <v>425</v>
      </c>
      <c r="AO295" t="s">
        <v>28</v>
      </c>
      <c r="AP295">
        <v>111.133</v>
      </c>
      <c r="AQ295">
        <v>1.027287859172453</v>
      </c>
      <c r="AR295">
        <v>114.1655816534122</v>
      </c>
      <c r="AS295">
        <v>605.53</v>
      </c>
      <c r="AT295">
        <v>1</v>
      </c>
      <c r="AU295">
        <v>69.130684658590724</v>
      </c>
      <c r="AV295">
        <v>1.0064</v>
      </c>
      <c r="AW295" s="62">
        <v>69.572999999999993</v>
      </c>
      <c r="AX295">
        <v>8.9176000000000002</v>
      </c>
      <c r="AY295">
        <v>1</v>
      </c>
      <c r="AZ295">
        <v>5547.2253382114104</v>
      </c>
      <c r="BA295">
        <v>0.98887576294546164</v>
      </c>
      <c r="BB295" s="62">
        <v>5485.5167000000001</v>
      </c>
      <c r="BC295" s="60">
        <v>11.71612677034847</v>
      </c>
    </row>
    <row r="296" spans="1:55" x14ac:dyDescent="0.25">
      <c r="A296">
        <v>48967</v>
      </c>
      <c r="B296" t="s">
        <v>117</v>
      </c>
      <c r="C296">
        <v>2018</v>
      </c>
      <c r="D296">
        <v>2</v>
      </c>
      <c r="E296" t="s">
        <v>100</v>
      </c>
      <c r="F296" t="s">
        <v>426</v>
      </c>
      <c r="G296" t="s">
        <v>84</v>
      </c>
      <c r="H296" t="s">
        <v>381</v>
      </c>
      <c r="I296" t="s">
        <v>427</v>
      </c>
      <c r="J296">
        <v>-9.2793292600000008</v>
      </c>
      <c r="K296" t="s">
        <v>440</v>
      </c>
      <c r="L296" t="s">
        <v>450</v>
      </c>
      <c r="M296">
        <v>0.15011157993331001</v>
      </c>
      <c r="N296">
        <v>1.392934775412954</v>
      </c>
      <c r="O296">
        <v>30169.468000000001</v>
      </c>
      <c r="P296">
        <v>4.8744250000000003E-6</v>
      </c>
      <c r="Q296">
        <v>0.29411799999999999</v>
      </c>
      <c r="R296" s="60">
        <v>0.40968719027490708</v>
      </c>
      <c r="S296" t="s">
        <v>342</v>
      </c>
      <c r="T296" t="s">
        <v>434</v>
      </c>
      <c r="U296" t="s">
        <v>425</v>
      </c>
      <c r="V296" t="s">
        <v>26</v>
      </c>
      <c r="W296">
        <v>111.133</v>
      </c>
      <c r="X296">
        <v>1.0155396203574489</v>
      </c>
      <c r="Y296">
        <v>112.8599646291844</v>
      </c>
      <c r="Z296">
        <v>661.2</v>
      </c>
      <c r="AA296">
        <v>1</v>
      </c>
      <c r="AB296">
        <v>74.623008612816719</v>
      </c>
      <c r="AC296">
        <v>1.012368394153123</v>
      </c>
      <c r="AD296" s="62">
        <v>75.546000000000006</v>
      </c>
      <c r="AE296">
        <v>8.9176000000000002</v>
      </c>
      <c r="AF296">
        <v>9.0561761184995895</v>
      </c>
      <c r="AG296">
        <v>1</v>
      </c>
      <c r="AH296">
        <v>5987.9436495519294</v>
      </c>
      <c r="AI296">
        <v>0.99404987733863315</v>
      </c>
      <c r="AJ296" s="62">
        <v>5952.3146999999999</v>
      </c>
      <c r="AK296" s="60">
        <v>2438.5870850750271</v>
      </c>
      <c r="AL296" t="s">
        <v>343</v>
      </c>
      <c r="AM296" t="s">
        <v>435</v>
      </c>
      <c r="AN296" t="s">
        <v>425</v>
      </c>
      <c r="AO296" t="s">
        <v>26</v>
      </c>
      <c r="AP296">
        <v>111.133</v>
      </c>
      <c r="AQ296">
        <v>1.027287859172453</v>
      </c>
      <c r="AR296">
        <v>114.1655816534122</v>
      </c>
      <c r="AS296">
        <v>596.84</v>
      </c>
      <c r="AT296">
        <v>1</v>
      </c>
      <c r="AU296">
        <v>68.138585754022571</v>
      </c>
      <c r="AV296">
        <v>0.97960000000000003</v>
      </c>
      <c r="AW296" s="62">
        <v>66.748999999999995</v>
      </c>
      <c r="AX296">
        <v>8.9176000000000002</v>
      </c>
      <c r="AY296">
        <v>1</v>
      </c>
      <c r="AZ296">
        <v>5467.6167503808201</v>
      </c>
      <c r="BA296">
        <v>0.98541811328241247</v>
      </c>
      <c r="BB296" s="62">
        <v>5387.8886000000002</v>
      </c>
      <c r="BC296" s="60">
        <v>2207.3489420482028</v>
      </c>
    </row>
    <row r="297" spans="1:55" x14ac:dyDescent="0.25">
      <c r="A297">
        <v>48969</v>
      </c>
      <c r="B297" t="s">
        <v>117</v>
      </c>
      <c r="C297">
        <v>2018</v>
      </c>
      <c r="D297">
        <v>2</v>
      </c>
      <c r="E297" t="s">
        <v>100</v>
      </c>
      <c r="F297" t="s">
        <v>426</v>
      </c>
      <c r="G297" t="s">
        <v>84</v>
      </c>
      <c r="H297" t="s">
        <v>381</v>
      </c>
      <c r="I297" t="s">
        <v>427</v>
      </c>
      <c r="J297">
        <v>-9.2793292600000008</v>
      </c>
      <c r="K297" t="s">
        <v>440</v>
      </c>
      <c r="L297" t="s">
        <v>384</v>
      </c>
      <c r="M297">
        <v>4.5811354346740003E-2</v>
      </c>
      <c r="N297">
        <v>0.42509864066908992</v>
      </c>
      <c r="O297">
        <v>30169.468000000001</v>
      </c>
      <c r="P297">
        <v>4.8744250000000003E-6</v>
      </c>
      <c r="Q297">
        <v>0.29411799999999999</v>
      </c>
      <c r="R297" s="60">
        <v>0.12502916199631139</v>
      </c>
      <c r="S297" t="s">
        <v>342</v>
      </c>
      <c r="T297" t="s">
        <v>434</v>
      </c>
      <c r="U297" t="s">
        <v>425</v>
      </c>
      <c r="V297" t="s">
        <v>81</v>
      </c>
      <c r="W297">
        <v>111.133</v>
      </c>
      <c r="X297">
        <v>1.0155396203574489</v>
      </c>
      <c r="Y297">
        <v>112.8599646291844</v>
      </c>
      <c r="Z297">
        <v>661.2</v>
      </c>
      <c r="AA297">
        <v>1</v>
      </c>
      <c r="AB297">
        <v>74.623008612816719</v>
      </c>
      <c r="AC297">
        <v>0.95185525912296853</v>
      </c>
      <c r="AD297" s="62">
        <v>71.03</v>
      </c>
      <c r="AE297">
        <v>8.9176000000000002</v>
      </c>
      <c r="AF297">
        <v>9.0561761184995895</v>
      </c>
      <c r="AG297">
        <v>1</v>
      </c>
      <c r="AH297">
        <v>5987.9436495519294</v>
      </c>
      <c r="AI297">
        <v>1.081469419077697</v>
      </c>
      <c r="AJ297" s="62">
        <v>6475.7779</v>
      </c>
      <c r="AK297" s="60">
        <v>809.66108411123321</v>
      </c>
      <c r="AL297" t="s">
        <v>343</v>
      </c>
      <c r="AM297" t="s">
        <v>435</v>
      </c>
      <c r="AN297" t="s">
        <v>425</v>
      </c>
      <c r="AO297" t="s">
        <v>81</v>
      </c>
      <c r="AP297">
        <v>111.133</v>
      </c>
      <c r="AQ297">
        <v>1.027287859172453</v>
      </c>
      <c r="AR297">
        <v>114.1655816534122</v>
      </c>
      <c r="AS297">
        <v>596.84</v>
      </c>
      <c r="AT297">
        <v>1</v>
      </c>
      <c r="AU297">
        <v>68.138585754022571</v>
      </c>
      <c r="AV297">
        <v>0.92730000000000001</v>
      </c>
      <c r="AW297" s="62">
        <v>63.185000000000002</v>
      </c>
      <c r="AX297">
        <v>8.9176000000000002</v>
      </c>
      <c r="AY297">
        <v>1</v>
      </c>
      <c r="AZ297">
        <v>5467.6167503808201</v>
      </c>
      <c r="BA297">
        <v>1.094557195571956</v>
      </c>
      <c r="BB297" s="62">
        <v>5984.6193000000003</v>
      </c>
      <c r="BC297" s="60">
        <v>748.25193594595169</v>
      </c>
    </row>
    <row r="298" spans="1:55" x14ac:dyDescent="0.25">
      <c r="A298">
        <v>48971</v>
      </c>
      <c r="B298" t="s">
        <v>117</v>
      </c>
      <c r="C298">
        <v>2018</v>
      </c>
      <c r="D298">
        <v>2</v>
      </c>
      <c r="E298" t="s">
        <v>100</v>
      </c>
      <c r="F298" t="s">
        <v>426</v>
      </c>
      <c r="G298" t="s">
        <v>84</v>
      </c>
      <c r="H298" t="s">
        <v>381</v>
      </c>
      <c r="I298" t="s">
        <v>427</v>
      </c>
      <c r="J298">
        <v>-9.2793292600000008</v>
      </c>
      <c r="K298" t="s">
        <v>440</v>
      </c>
      <c r="L298" t="s">
        <v>385</v>
      </c>
      <c r="M298">
        <v>0.43232641346992001</v>
      </c>
      <c r="N298">
        <v>4.0116991368643973</v>
      </c>
      <c r="O298">
        <v>30169.468000000001</v>
      </c>
      <c r="P298">
        <v>4.8744250000000003E-6</v>
      </c>
      <c r="Q298">
        <v>0.29411799999999999</v>
      </c>
      <c r="R298" s="60">
        <v>1.1799129267362829</v>
      </c>
      <c r="S298" t="s">
        <v>342</v>
      </c>
      <c r="T298" t="s">
        <v>434</v>
      </c>
      <c r="U298" t="s">
        <v>425</v>
      </c>
      <c r="V298" t="s">
        <v>27</v>
      </c>
      <c r="W298">
        <v>111.133</v>
      </c>
      <c r="X298">
        <v>1.0155396203574489</v>
      </c>
      <c r="Y298">
        <v>112.8599646291844</v>
      </c>
      <c r="Z298">
        <v>661.2</v>
      </c>
      <c r="AA298">
        <v>1</v>
      </c>
      <c r="AB298">
        <v>74.623008612816719</v>
      </c>
      <c r="AC298">
        <v>1.0016354901359501</v>
      </c>
      <c r="AD298" s="62">
        <v>74.745000000000005</v>
      </c>
      <c r="AE298">
        <v>8.9176000000000002</v>
      </c>
      <c r="AF298">
        <v>9.0561761184995895</v>
      </c>
      <c r="AG298">
        <v>1</v>
      </c>
      <c r="AH298">
        <v>5987.9436495519294</v>
      </c>
      <c r="AI298">
        <v>1.016194415745886</v>
      </c>
      <c r="AJ298" s="62">
        <v>6084.9148999999998</v>
      </c>
      <c r="AK298" s="60">
        <v>7179.6697486002149</v>
      </c>
      <c r="AL298" t="s">
        <v>343</v>
      </c>
      <c r="AM298" t="s">
        <v>435</v>
      </c>
      <c r="AN298" t="s">
        <v>425</v>
      </c>
      <c r="AO298" t="s">
        <v>27</v>
      </c>
      <c r="AP298">
        <v>111.133</v>
      </c>
      <c r="AQ298">
        <v>1.027287859172453</v>
      </c>
      <c r="AR298">
        <v>114.1655816534122</v>
      </c>
      <c r="AS298">
        <v>596.84</v>
      </c>
      <c r="AT298">
        <v>1</v>
      </c>
      <c r="AU298">
        <v>68.138585754022571</v>
      </c>
      <c r="AV298">
        <v>0.95599999999999996</v>
      </c>
      <c r="AW298" s="62">
        <v>65.14</v>
      </c>
      <c r="AX298">
        <v>8.9176000000000002</v>
      </c>
      <c r="AY298">
        <v>1</v>
      </c>
      <c r="AZ298">
        <v>5467.6167503808201</v>
      </c>
      <c r="BA298">
        <v>1.0027686628383921</v>
      </c>
      <c r="BB298" s="62">
        <v>5482.7547000000004</v>
      </c>
      <c r="BC298" s="60">
        <v>6469.1731446541098</v>
      </c>
    </row>
    <row r="299" spans="1:55" x14ac:dyDescent="0.25">
      <c r="A299">
        <v>48973</v>
      </c>
      <c r="B299" t="s">
        <v>117</v>
      </c>
      <c r="C299">
        <v>2018</v>
      </c>
      <c r="D299">
        <v>2</v>
      </c>
      <c r="E299" t="s">
        <v>100</v>
      </c>
      <c r="F299" t="s">
        <v>426</v>
      </c>
      <c r="G299" t="s">
        <v>84</v>
      </c>
      <c r="H299" t="s">
        <v>381</v>
      </c>
      <c r="I299" t="s">
        <v>427</v>
      </c>
      <c r="J299">
        <v>-9.2793292600000008</v>
      </c>
      <c r="K299" t="s">
        <v>440</v>
      </c>
      <c r="L299" t="s">
        <v>451</v>
      </c>
      <c r="M299">
        <v>1.6825115802299999E-3</v>
      </c>
      <c r="N299">
        <v>1.561257893080981E-2</v>
      </c>
      <c r="O299">
        <v>30169.468000000001</v>
      </c>
      <c r="P299">
        <v>4.8744250000000003E-6</v>
      </c>
      <c r="Q299">
        <v>0.29411799999999999</v>
      </c>
      <c r="R299" s="60">
        <v>4.591940489971919E-3</v>
      </c>
      <c r="S299" t="s">
        <v>342</v>
      </c>
      <c r="T299" t="s">
        <v>434</v>
      </c>
      <c r="U299" t="s">
        <v>425</v>
      </c>
      <c r="V299" t="s">
        <v>91</v>
      </c>
      <c r="W299">
        <v>111.133</v>
      </c>
      <c r="X299">
        <v>1.0155396203574489</v>
      </c>
      <c r="Y299">
        <v>112.8599646291844</v>
      </c>
      <c r="Z299">
        <v>661.2</v>
      </c>
      <c r="AA299">
        <v>1</v>
      </c>
      <c r="AB299">
        <v>74.623008612816719</v>
      </c>
      <c r="AC299">
        <v>1.02984769498109</v>
      </c>
      <c r="AD299" s="62">
        <v>76.849999999999994</v>
      </c>
      <c r="AE299">
        <v>8.9176000000000002</v>
      </c>
      <c r="AF299">
        <v>9.0561761184995895</v>
      </c>
      <c r="AG299">
        <v>1</v>
      </c>
      <c r="AH299">
        <v>5987.9436495519294</v>
      </c>
      <c r="AI299">
        <v>0.9935711161666545</v>
      </c>
      <c r="AJ299" s="62">
        <v>5949.4479000000001</v>
      </c>
      <c r="AK299" s="60">
        <v>27.31951070498841</v>
      </c>
      <c r="AL299" t="s">
        <v>343</v>
      </c>
      <c r="AM299" t="s">
        <v>435</v>
      </c>
      <c r="AN299" t="s">
        <v>425</v>
      </c>
      <c r="AO299" t="s">
        <v>91</v>
      </c>
      <c r="AP299">
        <v>111.133</v>
      </c>
      <c r="AQ299">
        <v>1.027287859172453</v>
      </c>
      <c r="AR299">
        <v>114.1655816534122</v>
      </c>
      <c r="AS299">
        <v>596.84</v>
      </c>
      <c r="AT299">
        <v>1</v>
      </c>
      <c r="AU299">
        <v>68.138585754022571</v>
      </c>
      <c r="AV299">
        <v>1.0056</v>
      </c>
      <c r="AW299" s="62">
        <v>68.52</v>
      </c>
      <c r="AX299">
        <v>8.9176000000000002</v>
      </c>
      <c r="AY299">
        <v>1</v>
      </c>
      <c r="AZ299">
        <v>5467.6167503808201</v>
      </c>
      <c r="BA299">
        <v>0.98408824677860207</v>
      </c>
      <c r="BB299" s="62">
        <v>5380.6174000000001</v>
      </c>
      <c r="BC299" s="60">
        <v>24.707474900107439</v>
      </c>
    </row>
    <row r="300" spans="1:55" x14ac:dyDescent="0.25">
      <c r="A300">
        <v>48975</v>
      </c>
      <c r="B300" t="s">
        <v>117</v>
      </c>
      <c r="C300">
        <v>2018</v>
      </c>
      <c r="D300">
        <v>2</v>
      </c>
      <c r="E300" t="s">
        <v>100</v>
      </c>
      <c r="F300" t="s">
        <v>426</v>
      </c>
      <c r="G300" t="s">
        <v>84</v>
      </c>
      <c r="H300" t="s">
        <v>381</v>
      </c>
      <c r="I300" t="s">
        <v>427</v>
      </c>
      <c r="J300">
        <v>-9.2793292600000008</v>
      </c>
      <c r="K300" t="s">
        <v>440</v>
      </c>
      <c r="L300" t="s">
        <v>452</v>
      </c>
      <c r="M300">
        <v>1.53682162831E-3</v>
      </c>
      <c r="N300">
        <v>1.426067389758208E-2</v>
      </c>
      <c r="O300">
        <v>30169.468000000001</v>
      </c>
      <c r="P300">
        <v>4.8744250000000003E-6</v>
      </c>
      <c r="Q300">
        <v>0.29411799999999999</v>
      </c>
      <c r="R300" s="60">
        <v>4.1943208854090452E-3</v>
      </c>
      <c r="S300" t="s">
        <v>342</v>
      </c>
      <c r="T300" t="s">
        <v>434</v>
      </c>
      <c r="U300" t="s">
        <v>425</v>
      </c>
      <c r="V300" t="s">
        <v>28</v>
      </c>
      <c r="W300">
        <v>111.133</v>
      </c>
      <c r="X300">
        <v>1.0155396203574489</v>
      </c>
      <c r="Y300">
        <v>112.8599646291844</v>
      </c>
      <c r="Z300">
        <v>661.2</v>
      </c>
      <c r="AA300">
        <v>1</v>
      </c>
      <c r="AB300">
        <v>74.623008612816719</v>
      </c>
      <c r="AC300">
        <v>1.0451804150056221</v>
      </c>
      <c r="AD300" s="62">
        <v>77.995000000000005</v>
      </c>
      <c r="AE300">
        <v>8.9176000000000002</v>
      </c>
      <c r="AF300">
        <v>9.0561761184995895</v>
      </c>
      <c r="AG300">
        <v>1</v>
      </c>
      <c r="AH300">
        <v>5987.9436495519294</v>
      </c>
      <c r="AI300">
        <v>1.0071061377552519</v>
      </c>
      <c r="AJ300" s="62">
        <v>6030.4948000000004</v>
      </c>
      <c r="AK300" s="60">
        <v>25.293830288990641</v>
      </c>
      <c r="AL300" t="s">
        <v>343</v>
      </c>
      <c r="AM300" t="s">
        <v>435</v>
      </c>
      <c r="AN300" t="s">
        <v>425</v>
      </c>
      <c r="AO300" t="s">
        <v>28</v>
      </c>
      <c r="AP300">
        <v>111.133</v>
      </c>
      <c r="AQ300">
        <v>1.027287859172453</v>
      </c>
      <c r="AR300">
        <v>114.1655816534122</v>
      </c>
      <c r="AS300">
        <v>596.84</v>
      </c>
      <c r="AT300">
        <v>1</v>
      </c>
      <c r="AU300">
        <v>68.138585754022571</v>
      </c>
      <c r="AV300">
        <v>1.0064</v>
      </c>
      <c r="AW300" s="62">
        <v>68.575000000000003</v>
      </c>
      <c r="AX300">
        <v>8.9176000000000002</v>
      </c>
      <c r="AY300">
        <v>1</v>
      </c>
      <c r="AZ300">
        <v>5467.6167503808201</v>
      </c>
      <c r="BA300">
        <v>0.98887576294546164</v>
      </c>
      <c r="BB300" s="62">
        <v>5406.7937000000002</v>
      </c>
      <c r="BC300" s="60">
        <v>22.677827739008048</v>
      </c>
    </row>
    <row r="301" spans="1:55" x14ac:dyDescent="0.25">
      <c r="A301">
        <v>48977</v>
      </c>
      <c r="B301" t="s">
        <v>117</v>
      </c>
      <c r="C301">
        <v>2018</v>
      </c>
      <c r="D301">
        <v>2</v>
      </c>
      <c r="E301" t="s">
        <v>100</v>
      </c>
      <c r="F301" t="s">
        <v>426</v>
      </c>
      <c r="G301" t="s">
        <v>84</v>
      </c>
      <c r="H301" t="s">
        <v>87</v>
      </c>
      <c r="I301" t="s">
        <v>427</v>
      </c>
      <c r="J301">
        <v>-1.70515774</v>
      </c>
      <c r="K301" t="s">
        <v>440</v>
      </c>
      <c r="L301" t="s">
        <v>450</v>
      </c>
      <c r="M301">
        <v>0.26601384014995</v>
      </c>
      <c r="N301">
        <v>0.45359555967273718</v>
      </c>
      <c r="O301">
        <v>30169.468000000001</v>
      </c>
      <c r="P301">
        <v>4.8744250000000003E-6</v>
      </c>
      <c r="Q301">
        <v>0.29411799999999999</v>
      </c>
      <c r="R301" s="60">
        <v>0.1334106188198261</v>
      </c>
      <c r="S301" t="s">
        <v>342</v>
      </c>
      <c r="T301" t="s">
        <v>434</v>
      </c>
      <c r="U301" t="s">
        <v>425</v>
      </c>
      <c r="V301" t="s">
        <v>26</v>
      </c>
      <c r="W301">
        <v>111.133</v>
      </c>
      <c r="X301">
        <v>1.0155396203574489</v>
      </c>
      <c r="Y301">
        <v>112.8599646291844</v>
      </c>
      <c r="Z301">
        <v>661.2</v>
      </c>
      <c r="AA301">
        <v>1</v>
      </c>
      <c r="AB301">
        <v>74.623008612816719</v>
      </c>
      <c r="AC301">
        <v>1.012368394153123</v>
      </c>
      <c r="AD301" s="62">
        <v>75.546000000000006</v>
      </c>
      <c r="AE301">
        <v>8.9176000000000002</v>
      </c>
      <c r="AF301">
        <v>9.0561761184995895</v>
      </c>
      <c r="AG301">
        <v>1</v>
      </c>
      <c r="AH301">
        <v>5987.9436495519294</v>
      </c>
      <c r="AI301">
        <v>0.99404987733863315</v>
      </c>
      <c r="AJ301" s="62">
        <v>5952.3146999999999</v>
      </c>
      <c r="AK301" s="60">
        <v>794.10198753734755</v>
      </c>
      <c r="AL301" t="s">
        <v>343</v>
      </c>
      <c r="AM301" t="s">
        <v>435</v>
      </c>
      <c r="AN301" t="s">
        <v>425</v>
      </c>
      <c r="AO301" t="s">
        <v>26</v>
      </c>
      <c r="AP301">
        <v>111.133</v>
      </c>
      <c r="AQ301">
        <v>1.027287859172453</v>
      </c>
      <c r="AR301">
        <v>114.1655816534122</v>
      </c>
      <c r="AS301">
        <v>596.84</v>
      </c>
      <c r="AT301">
        <v>1</v>
      </c>
      <c r="AU301">
        <v>68.138585754022571</v>
      </c>
      <c r="AV301">
        <v>0.97960000000000003</v>
      </c>
      <c r="AW301" s="62">
        <v>66.748999999999995</v>
      </c>
      <c r="AX301">
        <v>8.9176000000000002</v>
      </c>
      <c r="AY301">
        <v>1</v>
      </c>
      <c r="AZ301">
        <v>5467.6167503808201</v>
      </c>
      <c r="BA301">
        <v>0.98541811328241247</v>
      </c>
      <c r="BB301" s="62">
        <v>5387.8886000000002</v>
      </c>
      <c r="BC301" s="60">
        <v>718.80155225828651</v>
      </c>
    </row>
    <row r="302" spans="1:55" x14ac:dyDescent="0.25">
      <c r="A302">
        <v>48979</v>
      </c>
      <c r="B302" t="s">
        <v>117</v>
      </c>
      <c r="C302">
        <v>2018</v>
      </c>
      <c r="D302">
        <v>2</v>
      </c>
      <c r="E302" t="s">
        <v>100</v>
      </c>
      <c r="F302" t="s">
        <v>426</v>
      </c>
      <c r="G302" t="s">
        <v>84</v>
      </c>
      <c r="H302" t="s">
        <v>87</v>
      </c>
      <c r="I302" t="s">
        <v>427</v>
      </c>
      <c r="J302">
        <v>-1.70515774</v>
      </c>
      <c r="K302" t="s">
        <v>440</v>
      </c>
      <c r="L302" t="s">
        <v>384</v>
      </c>
      <c r="M302">
        <v>3.9509559941419997E-2</v>
      </c>
      <c r="N302">
        <v>6.7370032115433631E-2</v>
      </c>
      <c r="O302">
        <v>30169.468000000001</v>
      </c>
      <c r="P302">
        <v>4.8744250000000003E-6</v>
      </c>
      <c r="Q302">
        <v>0.29411799999999999</v>
      </c>
      <c r="R302" s="60">
        <v>1.9814739105727109E-2</v>
      </c>
      <c r="S302" t="s">
        <v>342</v>
      </c>
      <c r="T302" t="s">
        <v>434</v>
      </c>
      <c r="U302" t="s">
        <v>425</v>
      </c>
      <c r="V302" t="s">
        <v>81</v>
      </c>
      <c r="W302">
        <v>111.133</v>
      </c>
      <c r="X302">
        <v>1.0155396203574489</v>
      </c>
      <c r="Y302">
        <v>112.8599646291844</v>
      </c>
      <c r="Z302">
        <v>661.2</v>
      </c>
      <c r="AA302">
        <v>1</v>
      </c>
      <c r="AB302">
        <v>74.623008612816719</v>
      </c>
      <c r="AC302">
        <v>0.95185525912296853</v>
      </c>
      <c r="AD302" s="62">
        <v>71.03</v>
      </c>
      <c r="AE302">
        <v>8.9176000000000002</v>
      </c>
      <c r="AF302">
        <v>9.0561761184995895</v>
      </c>
      <c r="AG302">
        <v>1</v>
      </c>
      <c r="AH302">
        <v>5987.9436495519294</v>
      </c>
      <c r="AI302">
        <v>1.081469419077697</v>
      </c>
      <c r="AJ302" s="62">
        <v>6475.7779</v>
      </c>
      <c r="AK302" s="60">
        <v>128.31584959513339</v>
      </c>
      <c r="AL302" t="s">
        <v>343</v>
      </c>
      <c r="AM302" t="s">
        <v>435</v>
      </c>
      <c r="AN302" t="s">
        <v>425</v>
      </c>
      <c r="AO302" t="s">
        <v>81</v>
      </c>
      <c r="AP302">
        <v>111.133</v>
      </c>
      <c r="AQ302">
        <v>1.027287859172453</v>
      </c>
      <c r="AR302">
        <v>114.1655816534122</v>
      </c>
      <c r="AS302">
        <v>596.84</v>
      </c>
      <c r="AT302">
        <v>1</v>
      </c>
      <c r="AU302">
        <v>68.138585754022571</v>
      </c>
      <c r="AV302">
        <v>0.92730000000000001</v>
      </c>
      <c r="AW302" s="62">
        <v>63.185000000000002</v>
      </c>
      <c r="AX302">
        <v>8.9176000000000002</v>
      </c>
      <c r="AY302">
        <v>1</v>
      </c>
      <c r="AZ302">
        <v>5467.6167503808201</v>
      </c>
      <c r="BA302">
        <v>1.094557195571956</v>
      </c>
      <c r="BB302" s="62">
        <v>5984.6193000000003</v>
      </c>
      <c r="BC302" s="60">
        <v>118.5836700765992</v>
      </c>
    </row>
    <row r="303" spans="1:55" x14ac:dyDescent="0.25">
      <c r="A303">
        <v>48981</v>
      </c>
      <c r="B303" t="s">
        <v>117</v>
      </c>
      <c r="C303">
        <v>2018</v>
      </c>
      <c r="D303">
        <v>2</v>
      </c>
      <c r="E303" t="s">
        <v>100</v>
      </c>
      <c r="F303" t="s">
        <v>426</v>
      </c>
      <c r="G303" t="s">
        <v>84</v>
      </c>
      <c r="H303" t="s">
        <v>87</v>
      </c>
      <c r="I303" t="s">
        <v>427</v>
      </c>
      <c r="J303">
        <v>-1.70515774</v>
      </c>
      <c r="K303" t="s">
        <v>440</v>
      </c>
      <c r="L303" t="s">
        <v>385</v>
      </c>
      <c r="M303">
        <v>0.39737542925016001</v>
      </c>
      <c r="N303">
        <v>0.67758779065523889</v>
      </c>
      <c r="O303">
        <v>30169.468000000001</v>
      </c>
      <c r="P303">
        <v>4.8744250000000003E-6</v>
      </c>
      <c r="Q303">
        <v>0.29411799999999999</v>
      </c>
      <c r="R303" s="60">
        <v>0.19929076581193761</v>
      </c>
      <c r="S303" t="s">
        <v>342</v>
      </c>
      <c r="T303" t="s">
        <v>434</v>
      </c>
      <c r="U303" t="s">
        <v>425</v>
      </c>
      <c r="V303" t="s">
        <v>27</v>
      </c>
      <c r="W303">
        <v>111.133</v>
      </c>
      <c r="X303">
        <v>1.0155396203574489</v>
      </c>
      <c r="Y303">
        <v>112.8599646291844</v>
      </c>
      <c r="Z303">
        <v>661.2</v>
      </c>
      <c r="AA303">
        <v>1</v>
      </c>
      <c r="AB303">
        <v>74.623008612816719</v>
      </c>
      <c r="AC303">
        <v>1.0016354901359501</v>
      </c>
      <c r="AD303" s="62">
        <v>74.745000000000005</v>
      </c>
      <c r="AE303">
        <v>8.9176000000000002</v>
      </c>
      <c r="AF303">
        <v>9.0561761184995895</v>
      </c>
      <c r="AG303">
        <v>1</v>
      </c>
      <c r="AH303">
        <v>5987.9436495519294</v>
      </c>
      <c r="AI303">
        <v>1.016194415745886</v>
      </c>
      <c r="AJ303" s="62">
        <v>6084.9148999999998</v>
      </c>
      <c r="AK303" s="60">
        <v>1212.667350321469</v>
      </c>
      <c r="AL303" t="s">
        <v>343</v>
      </c>
      <c r="AM303" t="s">
        <v>435</v>
      </c>
      <c r="AN303" t="s">
        <v>425</v>
      </c>
      <c r="AO303" t="s">
        <v>27</v>
      </c>
      <c r="AP303">
        <v>111.133</v>
      </c>
      <c r="AQ303">
        <v>1.027287859172453</v>
      </c>
      <c r="AR303">
        <v>114.1655816534122</v>
      </c>
      <c r="AS303">
        <v>596.84</v>
      </c>
      <c r="AT303">
        <v>1</v>
      </c>
      <c r="AU303">
        <v>68.138585754022571</v>
      </c>
      <c r="AV303">
        <v>0.95599999999999996</v>
      </c>
      <c r="AW303" s="62">
        <v>65.14</v>
      </c>
      <c r="AX303">
        <v>8.9176000000000002</v>
      </c>
      <c r="AY303">
        <v>1</v>
      </c>
      <c r="AZ303">
        <v>5467.6167503808201</v>
      </c>
      <c r="BA303">
        <v>1.0027686628383921</v>
      </c>
      <c r="BB303" s="62">
        <v>5482.7547000000004</v>
      </c>
      <c r="BC303" s="60">
        <v>1092.662382922</v>
      </c>
    </row>
    <row r="304" spans="1:55" x14ac:dyDescent="0.25">
      <c r="A304">
        <v>48983</v>
      </c>
      <c r="B304" t="s">
        <v>117</v>
      </c>
      <c r="C304">
        <v>2018</v>
      </c>
      <c r="D304">
        <v>2</v>
      </c>
      <c r="E304" t="s">
        <v>100</v>
      </c>
      <c r="F304" t="s">
        <v>426</v>
      </c>
      <c r="G304" t="s">
        <v>84</v>
      </c>
      <c r="H304" t="s">
        <v>87</v>
      </c>
      <c r="I304" t="s">
        <v>427</v>
      </c>
      <c r="J304">
        <v>-1.70515774</v>
      </c>
      <c r="K304" t="s">
        <v>440</v>
      </c>
      <c r="L304" t="s">
        <v>452</v>
      </c>
      <c r="M304">
        <v>8.4248020759000004E-4</v>
      </c>
      <c r="N304">
        <v>1.4365616505501271E-3</v>
      </c>
      <c r="O304">
        <v>30169.468000000001</v>
      </c>
      <c r="P304">
        <v>4.8744250000000003E-6</v>
      </c>
      <c r="Q304">
        <v>0.29411799999999999</v>
      </c>
      <c r="R304" s="60">
        <v>4.2251863953650219E-4</v>
      </c>
      <c r="S304" t="s">
        <v>342</v>
      </c>
      <c r="T304" t="s">
        <v>434</v>
      </c>
      <c r="U304" t="s">
        <v>425</v>
      </c>
      <c r="V304" t="s">
        <v>28</v>
      </c>
      <c r="W304">
        <v>111.133</v>
      </c>
      <c r="X304">
        <v>1.0155396203574489</v>
      </c>
      <c r="Y304">
        <v>112.8599646291844</v>
      </c>
      <c r="Z304">
        <v>661.2</v>
      </c>
      <c r="AA304">
        <v>1</v>
      </c>
      <c r="AB304">
        <v>74.623008612816719</v>
      </c>
      <c r="AC304">
        <v>1.0451804150056221</v>
      </c>
      <c r="AD304" s="62">
        <v>77.995000000000005</v>
      </c>
      <c r="AE304">
        <v>8.9176000000000002</v>
      </c>
      <c r="AF304">
        <v>9.0561761184995895</v>
      </c>
      <c r="AG304">
        <v>1</v>
      </c>
      <c r="AH304">
        <v>5987.9436495519294</v>
      </c>
      <c r="AI304">
        <v>1.0071061377552519</v>
      </c>
      <c r="AJ304" s="62">
        <v>6030.4948000000004</v>
      </c>
      <c r="AK304" s="60">
        <v>2.547996458627952</v>
      </c>
      <c r="AL304" t="s">
        <v>343</v>
      </c>
      <c r="AM304" t="s">
        <v>435</v>
      </c>
      <c r="AN304" t="s">
        <v>425</v>
      </c>
      <c r="AO304" t="s">
        <v>28</v>
      </c>
      <c r="AP304">
        <v>111.133</v>
      </c>
      <c r="AQ304">
        <v>1.027287859172453</v>
      </c>
      <c r="AR304">
        <v>114.1655816534122</v>
      </c>
      <c r="AS304">
        <v>596.84</v>
      </c>
      <c r="AT304">
        <v>1</v>
      </c>
      <c r="AU304">
        <v>68.138585754022571</v>
      </c>
      <c r="AV304">
        <v>1.0064</v>
      </c>
      <c r="AW304" s="62">
        <v>68.575000000000003</v>
      </c>
      <c r="AX304">
        <v>8.9176000000000002</v>
      </c>
      <c r="AY304">
        <v>1</v>
      </c>
      <c r="AZ304">
        <v>5467.6167503808201</v>
      </c>
      <c r="BA304">
        <v>0.98887576294546164</v>
      </c>
      <c r="BB304" s="62">
        <v>5406.7937000000002</v>
      </c>
      <c r="BC304" s="60">
        <v>2.2844711183785309</v>
      </c>
    </row>
    <row r="305" spans="1:55" x14ac:dyDescent="0.25">
      <c r="A305">
        <v>48985</v>
      </c>
      <c r="B305" t="s">
        <v>117</v>
      </c>
      <c r="C305">
        <v>2018</v>
      </c>
      <c r="D305">
        <v>2</v>
      </c>
      <c r="E305" t="s">
        <v>100</v>
      </c>
      <c r="F305" t="s">
        <v>426</v>
      </c>
      <c r="G305" t="s">
        <v>84</v>
      </c>
      <c r="H305" t="s">
        <v>59</v>
      </c>
      <c r="I305" t="s">
        <v>427</v>
      </c>
      <c r="J305">
        <v>-4.9029976900000003</v>
      </c>
      <c r="K305" t="s">
        <v>440</v>
      </c>
      <c r="L305" t="s">
        <v>450</v>
      </c>
      <c r="M305">
        <v>0.15931709696460999</v>
      </c>
      <c r="N305">
        <v>0.7811313589309955</v>
      </c>
      <c r="O305">
        <v>30169.468000000001</v>
      </c>
      <c r="P305">
        <v>4.8744250000000003E-6</v>
      </c>
      <c r="Q305">
        <v>0.29411799999999999</v>
      </c>
      <c r="R305" s="60">
        <v>0.22974479302606651</v>
      </c>
      <c r="S305" t="s">
        <v>342</v>
      </c>
      <c r="T305" t="s">
        <v>434</v>
      </c>
      <c r="U305" t="s">
        <v>425</v>
      </c>
      <c r="V305" t="s">
        <v>26</v>
      </c>
      <c r="W305">
        <v>111.133</v>
      </c>
      <c r="X305">
        <v>1.0155396203574489</v>
      </c>
      <c r="Y305">
        <v>112.8599646291844</v>
      </c>
      <c r="Z305">
        <v>661.2</v>
      </c>
      <c r="AA305">
        <v>1</v>
      </c>
      <c r="AB305">
        <v>74.623008612816719</v>
      </c>
      <c r="AC305">
        <v>1.012368394153123</v>
      </c>
      <c r="AD305" s="62">
        <v>75.546000000000006</v>
      </c>
      <c r="AE305">
        <v>8.9176000000000002</v>
      </c>
      <c r="AF305">
        <v>9.0561761184995895</v>
      </c>
      <c r="AG305">
        <v>1</v>
      </c>
      <c r="AH305">
        <v>5987.9436495519294</v>
      </c>
      <c r="AI305">
        <v>0.99404987733863315</v>
      </c>
      <c r="AJ305" s="62">
        <v>5952.3146999999999</v>
      </c>
      <c r="AK305" s="60">
        <v>1367.513308777513</v>
      </c>
      <c r="AL305" t="s">
        <v>343</v>
      </c>
      <c r="AM305" t="s">
        <v>435</v>
      </c>
      <c r="AN305" t="s">
        <v>425</v>
      </c>
      <c r="AO305" t="s">
        <v>26</v>
      </c>
      <c r="AP305">
        <v>111.133</v>
      </c>
      <c r="AQ305">
        <v>1.027287859172453</v>
      </c>
      <c r="AR305">
        <v>114.1655816534122</v>
      </c>
      <c r="AS305">
        <v>596.84</v>
      </c>
      <c r="AT305">
        <v>1</v>
      </c>
      <c r="AU305">
        <v>68.138585754022571</v>
      </c>
      <c r="AV305">
        <v>0.97960000000000003</v>
      </c>
      <c r="AW305" s="62">
        <v>66.748999999999995</v>
      </c>
      <c r="AX305">
        <v>8.9176000000000002</v>
      </c>
      <c r="AY305">
        <v>1</v>
      </c>
      <c r="AZ305">
        <v>5467.6167503808201</v>
      </c>
      <c r="BA305">
        <v>0.98541811328241247</v>
      </c>
      <c r="BB305" s="62">
        <v>5387.8886000000002</v>
      </c>
      <c r="BC305" s="60">
        <v>1237.839351254504</v>
      </c>
    </row>
    <row r="306" spans="1:55" x14ac:dyDescent="0.25">
      <c r="A306">
        <v>48987</v>
      </c>
      <c r="B306" t="s">
        <v>117</v>
      </c>
      <c r="C306">
        <v>2018</v>
      </c>
      <c r="D306">
        <v>2</v>
      </c>
      <c r="E306" t="s">
        <v>100</v>
      </c>
      <c r="F306" t="s">
        <v>426</v>
      </c>
      <c r="G306" t="s">
        <v>84</v>
      </c>
      <c r="H306" t="s">
        <v>59</v>
      </c>
      <c r="I306" t="s">
        <v>427</v>
      </c>
      <c r="J306">
        <v>-4.9029976900000003</v>
      </c>
      <c r="K306" t="s">
        <v>440</v>
      </c>
      <c r="L306" t="s">
        <v>384</v>
      </c>
      <c r="M306">
        <v>4.1785183859599999E-2</v>
      </c>
      <c r="N306">
        <v>0.20487266008042621</v>
      </c>
      <c r="O306">
        <v>30169.468000000001</v>
      </c>
      <c r="P306">
        <v>4.8744250000000003E-6</v>
      </c>
      <c r="Q306">
        <v>0.29411799999999999</v>
      </c>
      <c r="R306" s="60">
        <v>6.0256737037534792E-2</v>
      </c>
      <c r="S306" t="s">
        <v>342</v>
      </c>
      <c r="T306" t="s">
        <v>434</v>
      </c>
      <c r="U306" t="s">
        <v>425</v>
      </c>
      <c r="V306" t="s">
        <v>81</v>
      </c>
      <c r="W306">
        <v>111.133</v>
      </c>
      <c r="X306">
        <v>1.0155396203574489</v>
      </c>
      <c r="Y306">
        <v>112.8599646291844</v>
      </c>
      <c r="Z306">
        <v>661.2</v>
      </c>
      <c r="AA306">
        <v>1</v>
      </c>
      <c r="AB306">
        <v>74.623008612816719</v>
      </c>
      <c r="AC306">
        <v>0.95185525912296853</v>
      </c>
      <c r="AD306" s="62">
        <v>71.03</v>
      </c>
      <c r="AE306">
        <v>8.9176000000000002</v>
      </c>
      <c r="AF306">
        <v>9.0561761184995895</v>
      </c>
      <c r="AG306">
        <v>1</v>
      </c>
      <c r="AH306">
        <v>5987.9436495519294</v>
      </c>
      <c r="AI306">
        <v>1.081469419077697</v>
      </c>
      <c r="AJ306" s="62">
        <v>6475.7779</v>
      </c>
      <c r="AK306" s="60">
        <v>390.20924603377932</v>
      </c>
      <c r="AL306" t="s">
        <v>343</v>
      </c>
      <c r="AM306" t="s">
        <v>435</v>
      </c>
      <c r="AN306" t="s">
        <v>425</v>
      </c>
      <c r="AO306" t="s">
        <v>81</v>
      </c>
      <c r="AP306">
        <v>111.133</v>
      </c>
      <c r="AQ306">
        <v>1.027287859172453</v>
      </c>
      <c r="AR306">
        <v>114.1655816534122</v>
      </c>
      <c r="AS306">
        <v>596.84</v>
      </c>
      <c r="AT306">
        <v>1</v>
      </c>
      <c r="AU306">
        <v>68.138585754022571</v>
      </c>
      <c r="AV306">
        <v>0.92730000000000001</v>
      </c>
      <c r="AW306" s="62">
        <v>63.185000000000002</v>
      </c>
      <c r="AX306">
        <v>8.9176000000000002</v>
      </c>
      <c r="AY306">
        <v>1</v>
      </c>
      <c r="AZ306">
        <v>5467.6167503808201</v>
      </c>
      <c r="BA306">
        <v>1.094557195571956</v>
      </c>
      <c r="BB306" s="62">
        <v>5984.6193000000003</v>
      </c>
      <c r="BC306" s="60">
        <v>360.61363142985562</v>
      </c>
    </row>
    <row r="307" spans="1:55" x14ac:dyDescent="0.25">
      <c r="A307">
        <v>48989</v>
      </c>
      <c r="B307" t="s">
        <v>117</v>
      </c>
      <c r="C307">
        <v>2018</v>
      </c>
      <c r="D307">
        <v>2</v>
      </c>
      <c r="E307" t="s">
        <v>100</v>
      </c>
      <c r="F307" t="s">
        <v>426</v>
      </c>
      <c r="G307" t="s">
        <v>84</v>
      </c>
      <c r="H307" t="s">
        <v>59</v>
      </c>
      <c r="I307" t="s">
        <v>427</v>
      </c>
      <c r="J307">
        <v>-4.9029976900000003</v>
      </c>
      <c r="K307" t="s">
        <v>440</v>
      </c>
      <c r="L307" t="s">
        <v>385</v>
      </c>
      <c r="M307">
        <v>0.43497567483749999</v>
      </c>
      <c r="N307">
        <v>2.132684730397886</v>
      </c>
      <c r="O307">
        <v>30169.468000000001</v>
      </c>
      <c r="P307">
        <v>4.8744250000000003E-6</v>
      </c>
      <c r="Q307">
        <v>0.29411799999999999</v>
      </c>
      <c r="R307" s="60">
        <v>0.62726096753516558</v>
      </c>
      <c r="S307" t="s">
        <v>342</v>
      </c>
      <c r="T307" t="s">
        <v>434</v>
      </c>
      <c r="U307" t="s">
        <v>425</v>
      </c>
      <c r="V307" t="s">
        <v>27</v>
      </c>
      <c r="W307">
        <v>111.133</v>
      </c>
      <c r="X307">
        <v>1.0155396203574489</v>
      </c>
      <c r="Y307">
        <v>112.8599646291844</v>
      </c>
      <c r="Z307">
        <v>661.2</v>
      </c>
      <c r="AA307">
        <v>1</v>
      </c>
      <c r="AB307">
        <v>74.623008612816719</v>
      </c>
      <c r="AC307">
        <v>1.0016354901359501</v>
      </c>
      <c r="AD307" s="62">
        <v>74.745000000000005</v>
      </c>
      <c r="AE307">
        <v>8.9176000000000002</v>
      </c>
      <c r="AF307">
        <v>9.0561761184995895</v>
      </c>
      <c r="AG307">
        <v>1</v>
      </c>
      <c r="AH307">
        <v>5987.9436495519294</v>
      </c>
      <c r="AI307">
        <v>1.016194415745886</v>
      </c>
      <c r="AJ307" s="62">
        <v>6084.9148999999998</v>
      </c>
      <c r="AK307" s="60">
        <v>3816.8296075431449</v>
      </c>
      <c r="AL307" t="s">
        <v>343</v>
      </c>
      <c r="AM307" t="s">
        <v>435</v>
      </c>
      <c r="AN307" t="s">
        <v>425</v>
      </c>
      <c r="AO307" t="s">
        <v>27</v>
      </c>
      <c r="AP307">
        <v>111.133</v>
      </c>
      <c r="AQ307">
        <v>1.027287859172453</v>
      </c>
      <c r="AR307">
        <v>114.1655816534122</v>
      </c>
      <c r="AS307">
        <v>596.84</v>
      </c>
      <c r="AT307">
        <v>1</v>
      </c>
      <c r="AU307">
        <v>68.138585754022571</v>
      </c>
      <c r="AV307">
        <v>0.95599999999999996</v>
      </c>
      <c r="AW307" s="62">
        <v>65.14</v>
      </c>
      <c r="AX307">
        <v>8.9176000000000002</v>
      </c>
      <c r="AY307">
        <v>1</v>
      </c>
      <c r="AZ307">
        <v>5467.6167503808201</v>
      </c>
      <c r="BA307">
        <v>1.0027686628383921</v>
      </c>
      <c r="BB307" s="62">
        <v>5482.7547000000004</v>
      </c>
      <c r="BC307" s="60">
        <v>3439.1180178799768</v>
      </c>
    </row>
    <row r="308" spans="1:55" x14ac:dyDescent="0.25">
      <c r="A308">
        <v>48991</v>
      </c>
      <c r="B308" t="s">
        <v>117</v>
      </c>
      <c r="C308">
        <v>2018</v>
      </c>
      <c r="D308">
        <v>2</v>
      </c>
      <c r="E308" t="s">
        <v>100</v>
      </c>
      <c r="F308" t="s">
        <v>426</v>
      </c>
      <c r="G308" t="s">
        <v>84</v>
      </c>
      <c r="H308" t="s">
        <v>59</v>
      </c>
      <c r="I308" t="s">
        <v>427</v>
      </c>
      <c r="J308">
        <v>-4.9029976900000003</v>
      </c>
      <c r="K308" t="s">
        <v>440</v>
      </c>
      <c r="L308" t="s">
        <v>451</v>
      </c>
      <c r="M308">
        <v>1.7625750762999999E-3</v>
      </c>
      <c r="N308">
        <v>8.6419015334804842E-3</v>
      </c>
      <c r="O308">
        <v>30169.468000000001</v>
      </c>
      <c r="P308">
        <v>4.8744250000000003E-6</v>
      </c>
      <c r="Q308">
        <v>0.29411799999999999</v>
      </c>
      <c r="R308" s="60">
        <v>2.5417387952242129E-3</v>
      </c>
      <c r="S308" t="s">
        <v>342</v>
      </c>
      <c r="T308" t="s">
        <v>434</v>
      </c>
      <c r="U308" t="s">
        <v>425</v>
      </c>
      <c r="V308" t="s">
        <v>91</v>
      </c>
      <c r="W308">
        <v>111.133</v>
      </c>
      <c r="X308">
        <v>1.0155396203574489</v>
      </c>
      <c r="Y308">
        <v>112.8599646291844</v>
      </c>
      <c r="Z308">
        <v>661.2</v>
      </c>
      <c r="AA308">
        <v>1</v>
      </c>
      <c r="AB308">
        <v>74.623008612816719</v>
      </c>
      <c r="AC308">
        <v>1.02984769498109</v>
      </c>
      <c r="AD308" s="62">
        <v>76.849999999999994</v>
      </c>
      <c r="AE308">
        <v>8.9176000000000002</v>
      </c>
      <c r="AF308">
        <v>9.0561761184995895</v>
      </c>
      <c r="AG308">
        <v>1</v>
      </c>
      <c r="AH308">
        <v>5987.9436495519294</v>
      </c>
      <c r="AI308">
        <v>0.9935711161666545</v>
      </c>
      <c r="AJ308" s="62">
        <v>5949.4479000000001</v>
      </c>
      <c r="AK308" s="60">
        <v>15.121942537595221</v>
      </c>
      <c r="AL308" t="s">
        <v>343</v>
      </c>
      <c r="AM308" t="s">
        <v>435</v>
      </c>
      <c r="AN308" t="s">
        <v>425</v>
      </c>
      <c r="AO308" t="s">
        <v>91</v>
      </c>
      <c r="AP308">
        <v>111.133</v>
      </c>
      <c r="AQ308">
        <v>1.027287859172453</v>
      </c>
      <c r="AR308">
        <v>114.1655816534122</v>
      </c>
      <c r="AS308">
        <v>596.84</v>
      </c>
      <c r="AT308">
        <v>1</v>
      </c>
      <c r="AU308">
        <v>68.138585754022571</v>
      </c>
      <c r="AV308">
        <v>1.0056</v>
      </c>
      <c r="AW308" s="62">
        <v>68.52</v>
      </c>
      <c r="AX308">
        <v>8.9176000000000002</v>
      </c>
      <c r="AY308">
        <v>1</v>
      </c>
      <c r="AZ308">
        <v>5467.6167503808201</v>
      </c>
      <c r="BA308">
        <v>0.98408824677860207</v>
      </c>
      <c r="BB308" s="62">
        <v>5380.6174000000001</v>
      </c>
      <c r="BC308" s="60">
        <v>13.676123987838441</v>
      </c>
    </row>
    <row r="309" spans="1:55" x14ac:dyDescent="0.25">
      <c r="A309">
        <v>48993</v>
      </c>
      <c r="B309" t="s">
        <v>117</v>
      </c>
      <c r="C309">
        <v>2018</v>
      </c>
      <c r="D309">
        <v>2</v>
      </c>
      <c r="E309" t="s">
        <v>100</v>
      </c>
      <c r="F309" t="s">
        <v>426</v>
      </c>
      <c r="G309" t="s">
        <v>84</v>
      </c>
      <c r="H309" t="s">
        <v>59</v>
      </c>
      <c r="I309" t="s">
        <v>427</v>
      </c>
      <c r="J309">
        <v>-4.9029976900000003</v>
      </c>
      <c r="K309" t="s">
        <v>440</v>
      </c>
      <c r="L309" t="s">
        <v>452</v>
      </c>
      <c r="M309">
        <v>1.4858046103299999E-3</v>
      </c>
      <c r="N309">
        <v>7.2848965772381834E-3</v>
      </c>
      <c r="O309">
        <v>30169.468000000001</v>
      </c>
      <c r="P309">
        <v>4.8744250000000003E-6</v>
      </c>
      <c r="Q309">
        <v>0.29411799999999999</v>
      </c>
      <c r="R309" s="60">
        <v>2.1426192115041398E-3</v>
      </c>
      <c r="S309" t="s">
        <v>342</v>
      </c>
      <c r="T309" t="s">
        <v>434</v>
      </c>
      <c r="U309" t="s">
        <v>425</v>
      </c>
      <c r="V309" t="s">
        <v>28</v>
      </c>
      <c r="W309">
        <v>111.133</v>
      </c>
      <c r="X309">
        <v>1.0155396203574489</v>
      </c>
      <c r="Y309">
        <v>112.8599646291844</v>
      </c>
      <c r="Z309">
        <v>661.2</v>
      </c>
      <c r="AA309">
        <v>1</v>
      </c>
      <c r="AB309">
        <v>74.623008612816719</v>
      </c>
      <c r="AC309">
        <v>1.0451804150056221</v>
      </c>
      <c r="AD309" s="62">
        <v>77.995000000000005</v>
      </c>
      <c r="AE309">
        <v>8.9176000000000002</v>
      </c>
      <c r="AF309">
        <v>9.0561761184995895</v>
      </c>
      <c r="AG309">
        <v>1</v>
      </c>
      <c r="AH309">
        <v>5987.9436495519294</v>
      </c>
      <c r="AI309">
        <v>1.0071061377552519</v>
      </c>
      <c r="AJ309" s="62">
        <v>6030.4948000000004</v>
      </c>
      <c r="AK309" s="60">
        <v>12.921054013355819</v>
      </c>
      <c r="AL309" t="s">
        <v>343</v>
      </c>
      <c r="AM309" t="s">
        <v>435</v>
      </c>
      <c r="AN309" t="s">
        <v>425</v>
      </c>
      <c r="AO309" t="s">
        <v>28</v>
      </c>
      <c r="AP309">
        <v>111.133</v>
      </c>
      <c r="AQ309">
        <v>1.027287859172453</v>
      </c>
      <c r="AR309">
        <v>114.1655816534122</v>
      </c>
      <c r="AS309">
        <v>596.84</v>
      </c>
      <c r="AT309">
        <v>1</v>
      </c>
      <c r="AU309">
        <v>68.138585754022571</v>
      </c>
      <c r="AV309">
        <v>1.0064</v>
      </c>
      <c r="AW309" s="62">
        <v>68.575000000000003</v>
      </c>
      <c r="AX309">
        <v>8.9176000000000002</v>
      </c>
      <c r="AY309">
        <v>1</v>
      </c>
      <c r="AZ309">
        <v>5467.6167503808201</v>
      </c>
      <c r="BA309">
        <v>0.98887576294546164</v>
      </c>
      <c r="BB309" s="62">
        <v>5406.7937000000002</v>
      </c>
      <c r="BC309" s="60">
        <v>11.58470005425955</v>
      </c>
    </row>
    <row r="310" spans="1:55" x14ac:dyDescent="0.25">
      <c r="A310">
        <v>54615</v>
      </c>
      <c r="B310" t="s">
        <v>118</v>
      </c>
      <c r="C310">
        <v>2018</v>
      </c>
      <c r="D310">
        <v>3</v>
      </c>
      <c r="E310" t="s">
        <v>100</v>
      </c>
      <c r="F310" t="s">
        <v>426</v>
      </c>
      <c r="G310" t="s">
        <v>84</v>
      </c>
      <c r="H310" t="s">
        <v>381</v>
      </c>
      <c r="I310" t="s">
        <v>427</v>
      </c>
      <c r="J310">
        <v>-9.2793184400000008</v>
      </c>
      <c r="K310" t="s">
        <v>440</v>
      </c>
      <c r="L310" t="s">
        <v>450</v>
      </c>
      <c r="M310">
        <v>0.15011157993331001</v>
      </c>
      <c r="N310">
        <v>1.3929331510503671</v>
      </c>
      <c r="O310">
        <v>30169.468000000001</v>
      </c>
      <c r="P310">
        <v>4.8744250000000003E-6</v>
      </c>
      <c r="Q310">
        <v>0.29411799999999999</v>
      </c>
      <c r="R310" s="60">
        <v>0.40968671252063188</v>
      </c>
      <c r="S310" t="s">
        <v>343</v>
      </c>
      <c r="T310" t="s">
        <v>435</v>
      </c>
      <c r="U310" t="s">
        <v>425</v>
      </c>
      <c r="V310" t="s">
        <v>26</v>
      </c>
      <c r="W310">
        <v>111.133</v>
      </c>
      <c r="X310">
        <v>1.027287859172453</v>
      </c>
      <c r="Y310">
        <v>114.1655816534122</v>
      </c>
      <c r="Z310">
        <v>625.54</v>
      </c>
      <c r="AA310">
        <v>1</v>
      </c>
      <c r="AB310">
        <v>71.4151379474755</v>
      </c>
      <c r="AC310">
        <v>0.97960000000000003</v>
      </c>
      <c r="AD310" s="62">
        <v>69.957999999999998</v>
      </c>
      <c r="AE310">
        <v>8.9176000000000002</v>
      </c>
      <c r="AF310">
        <v>9.1609422129562699</v>
      </c>
      <c r="AG310">
        <v>1</v>
      </c>
      <c r="AH310">
        <v>5730.5357918926647</v>
      </c>
      <c r="AI310">
        <v>0.98541811328241247</v>
      </c>
      <c r="AJ310" s="62">
        <v>5646.9737999999998</v>
      </c>
      <c r="AK310" s="60">
        <v>2313.490131812141</v>
      </c>
      <c r="AL310" t="s">
        <v>343</v>
      </c>
      <c r="AM310" t="s">
        <v>435</v>
      </c>
      <c r="AN310" t="s">
        <v>425</v>
      </c>
      <c r="AO310" t="s">
        <v>26</v>
      </c>
      <c r="AP310">
        <v>111.133</v>
      </c>
      <c r="AQ310">
        <v>1.027287859172453</v>
      </c>
      <c r="AR310">
        <v>114.1655816534122</v>
      </c>
      <c r="AS310">
        <v>603.45000000000005</v>
      </c>
      <c r="AT310">
        <v>1</v>
      </c>
      <c r="AU310">
        <v>68.893220248751618</v>
      </c>
      <c r="AV310">
        <v>0.97960000000000003</v>
      </c>
      <c r="AW310" s="62">
        <v>67.488</v>
      </c>
      <c r="AX310">
        <v>8.9176000000000002</v>
      </c>
      <c r="AY310">
        <v>1</v>
      </c>
      <c r="AZ310">
        <v>5528.1705784084616</v>
      </c>
      <c r="BA310">
        <v>0.98541811328241247</v>
      </c>
      <c r="BB310" s="62">
        <v>5447.5594000000001</v>
      </c>
      <c r="BC310" s="60">
        <v>2231.7927018468658</v>
      </c>
    </row>
    <row r="311" spans="1:55" x14ac:dyDescent="0.25">
      <c r="A311">
        <v>54617</v>
      </c>
      <c r="B311" t="s">
        <v>118</v>
      </c>
      <c r="C311">
        <v>2018</v>
      </c>
      <c r="D311">
        <v>3</v>
      </c>
      <c r="E311" t="s">
        <v>100</v>
      </c>
      <c r="F311" t="s">
        <v>426</v>
      </c>
      <c r="G311" t="s">
        <v>84</v>
      </c>
      <c r="H311" t="s">
        <v>381</v>
      </c>
      <c r="I311" t="s">
        <v>427</v>
      </c>
      <c r="J311">
        <v>-9.2793184400000008</v>
      </c>
      <c r="K311" t="s">
        <v>440</v>
      </c>
      <c r="L311" t="s">
        <v>384</v>
      </c>
      <c r="M311">
        <v>4.5811354346740003E-2</v>
      </c>
      <c r="N311">
        <v>0.42509814494284381</v>
      </c>
      <c r="O311">
        <v>30169.468000000001</v>
      </c>
      <c r="P311">
        <v>4.8744250000000003E-6</v>
      </c>
      <c r="Q311">
        <v>0.29411799999999999</v>
      </c>
      <c r="R311" s="60">
        <v>0.12502901619429929</v>
      </c>
      <c r="S311" t="s">
        <v>343</v>
      </c>
      <c r="T311" t="s">
        <v>435</v>
      </c>
      <c r="U311" t="s">
        <v>425</v>
      </c>
      <c r="V311" t="s">
        <v>81</v>
      </c>
      <c r="W311">
        <v>111.133</v>
      </c>
      <c r="X311">
        <v>1.027287859172453</v>
      </c>
      <c r="Y311">
        <v>114.1655816534122</v>
      </c>
      <c r="Z311">
        <v>625.54</v>
      </c>
      <c r="AA311">
        <v>1</v>
      </c>
      <c r="AB311">
        <v>71.4151379474755</v>
      </c>
      <c r="AC311">
        <v>0.92730000000000001</v>
      </c>
      <c r="AD311" s="62">
        <v>66.222999999999999</v>
      </c>
      <c r="AE311">
        <v>8.9176000000000002</v>
      </c>
      <c r="AF311">
        <v>9.1609422129562699</v>
      </c>
      <c r="AG311">
        <v>1</v>
      </c>
      <c r="AH311">
        <v>5730.5357918926647</v>
      </c>
      <c r="AI311">
        <v>1.094557195571956</v>
      </c>
      <c r="AJ311" s="62">
        <v>6272.3991999999998</v>
      </c>
      <c r="AK311" s="60">
        <v>784.23190115391003</v>
      </c>
      <c r="AL311" t="s">
        <v>343</v>
      </c>
      <c r="AM311" t="s">
        <v>435</v>
      </c>
      <c r="AN311" t="s">
        <v>425</v>
      </c>
      <c r="AO311" t="s">
        <v>81</v>
      </c>
      <c r="AP311">
        <v>111.133</v>
      </c>
      <c r="AQ311">
        <v>1.027287859172453</v>
      </c>
      <c r="AR311">
        <v>114.1655816534122</v>
      </c>
      <c r="AS311">
        <v>603.45000000000005</v>
      </c>
      <c r="AT311">
        <v>1</v>
      </c>
      <c r="AU311">
        <v>68.893220248751618</v>
      </c>
      <c r="AV311">
        <v>0.92730000000000001</v>
      </c>
      <c r="AW311" s="62">
        <v>63.884999999999998</v>
      </c>
      <c r="AX311">
        <v>8.9176000000000002</v>
      </c>
      <c r="AY311">
        <v>1</v>
      </c>
      <c r="AZ311">
        <v>5528.1705784084616</v>
      </c>
      <c r="BA311">
        <v>1.094557195571956</v>
      </c>
      <c r="BB311" s="62">
        <v>6050.8989000000001</v>
      </c>
      <c r="BC311" s="60">
        <v>756.53793655816798</v>
      </c>
    </row>
    <row r="312" spans="1:55" x14ac:dyDescent="0.25">
      <c r="A312">
        <v>54619</v>
      </c>
      <c r="B312" t="s">
        <v>118</v>
      </c>
      <c r="C312">
        <v>2018</v>
      </c>
      <c r="D312">
        <v>3</v>
      </c>
      <c r="E312" t="s">
        <v>100</v>
      </c>
      <c r="F312" t="s">
        <v>426</v>
      </c>
      <c r="G312" t="s">
        <v>84</v>
      </c>
      <c r="H312" t="s">
        <v>381</v>
      </c>
      <c r="I312" t="s">
        <v>427</v>
      </c>
      <c r="J312">
        <v>-9.2793184400000008</v>
      </c>
      <c r="K312" t="s">
        <v>440</v>
      </c>
      <c r="L312" t="s">
        <v>385</v>
      </c>
      <c r="M312">
        <v>0.43232641346992001</v>
      </c>
      <c r="N312">
        <v>4.0116944586453593</v>
      </c>
      <c r="O312">
        <v>30169.468000000001</v>
      </c>
      <c r="P312">
        <v>4.8744250000000003E-6</v>
      </c>
      <c r="Q312">
        <v>0.29411799999999999</v>
      </c>
      <c r="R312" s="60">
        <v>1.1799115507878559</v>
      </c>
      <c r="S312" t="s">
        <v>343</v>
      </c>
      <c r="T312" t="s">
        <v>435</v>
      </c>
      <c r="U312" t="s">
        <v>425</v>
      </c>
      <c r="V312" t="s">
        <v>27</v>
      </c>
      <c r="W312">
        <v>111.133</v>
      </c>
      <c r="X312">
        <v>1.027287859172453</v>
      </c>
      <c r="Y312">
        <v>114.1655816534122</v>
      </c>
      <c r="Z312">
        <v>625.54</v>
      </c>
      <c r="AA312">
        <v>1</v>
      </c>
      <c r="AB312">
        <v>71.4151379474755</v>
      </c>
      <c r="AC312">
        <v>0.95599999999999996</v>
      </c>
      <c r="AD312" s="62">
        <v>68.272999999999996</v>
      </c>
      <c r="AE312">
        <v>8.9176000000000002</v>
      </c>
      <c r="AF312">
        <v>9.1609422129562699</v>
      </c>
      <c r="AG312">
        <v>1</v>
      </c>
      <c r="AH312">
        <v>5730.5357918926647</v>
      </c>
      <c r="AI312">
        <v>1.0027686628383921</v>
      </c>
      <c r="AJ312" s="62">
        <v>5746.4017000000003</v>
      </c>
      <c r="AK312" s="60">
        <v>6780.2457412969707</v>
      </c>
      <c r="AL312" t="s">
        <v>343</v>
      </c>
      <c r="AM312" t="s">
        <v>435</v>
      </c>
      <c r="AN312" t="s">
        <v>425</v>
      </c>
      <c r="AO312" t="s">
        <v>27</v>
      </c>
      <c r="AP312">
        <v>111.133</v>
      </c>
      <c r="AQ312">
        <v>1.027287859172453</v>
      </c>
      <c r="AR312">
        <v>114.1655816534122</v>
      </c>
      <c r="AS312">
        <v>603.45000000000005</v>
      </c>
      <c r="AT312">
        <v>1</v>
      </c>
      <c r="AU312">
        <v>68.893220248751618</v>
      </c>
      <c r="AV312">
        <v>0.95599999999999996</v>
      </c>
      <c r="AW312" s="62">
        <v>65.861999999999995</v>
      </c>
      <c r="AX312">
        <v>8.9176000000000002</v>
      </c>
      <c r="AY312">
        <v>1</v>
      </c>
      <c r="AZ312">
        <v>5528.1705784084616</v>
      </c>
      <c r="BA312">
        <v>1.0027686628383921</v>
      </c>
      <c r="BB312" s="62">
        <v>5543.4762000000001</v>
      </c>
      <c r="BC312" s="60">
        <v>6540.8115998975691</v>
      </c>
    </row>
    <row r="313" spans="1:55" x14ac:dyDescent="0.25">
      <c r="A313">
        <v>54621</v>
      </c>
      <c r="B313" t="s">
        <v>118</v>
      </c>
      <c r="C313">
        <v>2018</v>
      </c>
      <c r="D313">
        <v>3</v>
      </c>
      <c r="E313" t="s">
        <v>100</v>
      </c>
      <c r="F313" t="s">
        <v>426</v>
      </c>
      <c r="G313" t="s">
        <v>84</v>
      </c>
      <c r="H313" t="s">
        <v>381</v>
      </c>
      <c r="I313" t="s">
        <v>427</v>
      </c>
      <c r="J313">
        <v>-9.2793184400000008</v>
      </c>
      <c r="K313" t="s">
        <v>440</v>
      </c>
      <c r="L313" t="s">
        <v>451</v>
      </c>
      <c r="M313">
        <v>1.6825115802299999E-3</v>
      </c>
      <c r="N313">
        <v>1.561256072429394E-2</v>
      </c>
      <c r="O313">
        <v>30169.468000000001</v>
      </c>
      <c r="P313">
        <v>4.8744250000000003E-6</v>
      </c>
      <c r="Q313">
        <v>0.29411799999999999</v>
      </c>
      <c r="R313" s="60">
        <v>4.5919351351078859E-3</v>
      </c>
      <c r="S313" t="s">
        <v>343</v>
      </c>
      <c r="T313" t="s">
        <v>435</v>
      </c>
      <c r="U313" t="s">
        <v>425</v>
      </c>
      <c r="V313" t="s">
        <v>91</v>
      </c>
      <c r="W313">
        <v>111.133</v>
      </c>
      <c r="X313">
        <v>1.027287859172453</v>
      </c>
      <c r="Y313">
        <v>114.1655816534122</v>
      </c>
      <c r="Z313">
        <v>625.54</v>
      </c>
      <c r="AA313">
        <v>1</v>
      </c>
      <c r="AB313">
        <v>71.4151379474755</v>
      </c>
      <c r="AC313">
        <v>1.0056</v>
      </c>
      <c r="AD313" s="62">
        <v>71.814999999999998</v>
      </c>
      <c r="AE313">
        <v>8.9176000000000002</v>
      </c>
      <c r="AF313">
        <v>9.1609422129562699</v>
      </c>
      <c r="AG313">
        <v>1</v>
      </c>
      <c r="AH313">
        <v>5730.5357918926647</v>
      </c>
      <c r="AI313">
        <v>0.98408824677860207</v>
      </c>
      <c r="AJ313" s="62">
        <v>5639.3528999999999</v>
      </c>
      <c r="AK313" s="60">
        <v>25.895542720782551</v>
      </c>
      <c r="AL313" t="s">
        <v>343</v>
      </c>
      <c r="AM313" t="s">
        <v>435</v>
      </c>
      <c r="AN313" t="s">
        <v>425</v>
      </c>
      <c r="AO313" t="s">
        <v>91</v>
      </c>
      <c r="AP313">
        <v>111.133</v>
      </c>
      <c r="AQ313">
        <v>1.027287859172453</v>
      </c>
      <c r="AR313">
        <v>114.1655816534122</v>
      </c>
      <c r="AS313">
        <v>603.45000000000005</v>
      </c>
      <c r="AT313">
        <v>1</v>
      </c>
      <c r="AU313">
        <v>68.893220248751618</v>
      </c>
      <c r="AV313">
        <v>1.0056</v>
      </c>
      <c r="AW313" s="62">
        <v>69.278999999999996</v>
      </c>
      <c r="AX313">
        <v>8.9176000000000002</v>
      </c>
      <c r="AY313">
        <v>1</v>
      </c>
      <c r="AZ313">
        <v>5528.1705784084616</v>
      </c>
      <c r="BA313">
        <v>0.98408824677860207</v>
      </c>
      <c r="BB313" s="62">
        <v>5440.2076999999999</v>
      </c>
      <c r="BC313" s="60">
        <v>24.981080879914462</v>
      </c>
    </row>
    <row r="314" spans="1:55" x14ac:dyDescent="0.25">
      <c r="A314">
        <v>54623</v>
      </c>
      <c r="B314" t="s">
        <v>118</v>
      </c>
      <c r="C314">
        <v>2018</v>
      </c>
      <c r="D314">
        <v>3</v>
      </c>
      <c r="E314" t="s">
        <v>100</v>
      </c>
      <c r="F314" t="s">
        <v>426</v>
      </c>
      <c r="G314" t="s">
        <v>84</v>
      </c>
      <c r="H314" t="s">
        <v>381</v>
      </c>
      <c r="I314" t="s">
        <v>427</v>
      </c>
      <c r="J314">
        <v>-9.2793184400000008</v>
      </c>
      <c r="K314" t="s">
        <v>440</v>
      </c>
      <c r="L314" t="s">
        <v>452</v>
      </c>
      <c r="M314">
        <v>1.53682162831E-3</v>
      </c>
      <c r="N314">
        <v>1.4260657267582209E-2</v>
      </c>
      <c r="O314">
        <v>30169.468000000001</v>
      </c>
      <c r="P314">
        <v>4.8744250000000003E-6</v>
      </c>
      <c r="Q314">
        <v>0.29411799999999999</v>
      </c>
      <c r="R314" s="60">
        <v>4.194315994226744E-3</v>
      </c>
      <c r="S314" t="s">
        <v>343</v>
      </c>
      <c r="T314" t="s">
        <v>435</v>
      </c>
      <c r="U314" t="s">
        <v>425</v>
      </c>
      <c r="V314" t="s">
        <v>28</v>
      </c>
      <c r="W314">
        <v>111.133</v>
      </c>
      <c r="X314">
        <v>1.027287859172453</v>
      </c>
      <c r="Y314">
        <v>114.1655816534122</v>
      </c>
      <c r="Z314">
        <v>625.54</v>
      </c>
      <c r="AA314">
        <v>1</v>
      </c>
      <c r="AB314">
        <v>71.4151379474755</v>
      </c>
      <c r="AC314">
        <v>1.0064</v>
      </c>
      <c r="AD314" s="62">
        <v>71.872</v>
      </c>
      <c r="AE314">
        <v>8.9176000000000002</v>
      </c>
      <c r="AF314">
        <v>9.1609422129562699</v>
      </c>
      <c r="AG314">
        <v>1</v>
      </c>
      <c r="AH314">
        <v>5730.5357918926647</v>
      </c>
      <c r="AI314">
        <v>0.98887576294546164</v>
      </c>
      <c r="AJ314" s="62">
        <v>5666.7879999999996</v>
      </c>
      <c r="AK314" s="60">
        <v>23.76829954429218</v>
      </c>
      <c r="AL314" t="s">
        <v>343</v>
      </c>
      <c r="AM314" t="s">
        <v>435</v>
      </c>
      <c r="AN314" t="s">
        <v>425</v>
      </c>
      <c r="AO314" t="s">
        <v>28</v>
      </c>
      <c r="AP314">
        <v>111.133</v>
      </c>
      <c r="AQ314">
        <v>1.027287859172453</v>
      </c>
      <c r="AR314">
        <v>114.1655816534122</v>
      </c>
      <c r="AS314">
        <v>603.45000000000005</v>
      </c>
      <c r="AT314">
        <v>1</v>
      </c>
      <c r="AU314">
        <v>68.893220248751618</v>
      </c>
      <c r="AV314">
        <v>1.0064</v>
      </c>
      <c r="AW314" s="62">
        <v>69.334000000000003</v>
      </c>
      <c r="AX314">
        <v>8.9176000000000002</v>
      </c>
      <c r="AY314">
        <v>1</v>
      </c>
      <c r="AZ314">
        <v>5528.1705784084616</v>
      </c>
      <c r="BA314">
        <v>0.98887576294546164</v>
      </c>
      <c r="BB314" s="62">
        <v>5466.6738999999998</v>
      </c>
      <c r="BC314" s="60">
        <v>22.92895777399189</v>
      </c>
    </row>
    <row r="315" spans="1:55" x14ac:dyDescent="0.25">
      <c r="A315">
        <v>54625</v>
      </c>
      <c r="B315" t="s">
        <v>118</v>
      </c>
      <c r="C315">
        <v>2018</v>
      </c>
      <c r="D315">
        <v>3</v>
      </c>
      <c r="E315" t="s">
        <v>100</v>
      </c>
      <c r="F315" t="s">
        <v>426</v>
      </c>
      <c r="G315" t="s">
        <v>84</v>
      </c>
      <c r="H315" t="s">
        <v>87</v>
      </c>
      <c r="I315" t="s">
        <v>427</v>
      </c>
      <c r="J315">
        <v>-1.70515576</v>
      </c>
      <c r="K315" t="s">
        <v>440</v>
      </c>
      <c r="L315" t="s">
        <v>450</v>
      </c>
      <c r="M315">
        <v>0.26601384014995</v>
      </c>
      <c r="N315">
        <v>0.45359503071497859</v>
      </c>
      <c r="O315">
        <v>30169.468000000001</v>
      </c>
      <c r="P315">
        <v>4.8744250000000003E-6</v>
      </c>
      <c r="Q315">
        <v>0.29411799999999999</v>
      </c>
      <c r="R315" s="60">
        <v>0.1334104632438281</v>
      </c>
      <c r="S315" t="s">
        <v>343</v>
      </c>
      <c r="T315" t="s">
        <v>435</v>
      </c>
      <c r="U315" t="s">
        <v>425</v>
      </c>
      <c r="V315" t="s">
        <v>26</v>
      </c>
      <c r="W315">
        <v>111.133</v>
      </c>
      <c r="X315">
        <v>1.027287859172453</v>
      </c>
      <c r="Y315">
        <v>114.1655816534122</v>
      </c>
      <c r="Z315">
        <v>625.54</v>
      </c>
      <c r="AA315">
        <v>1</v>
      </c>
      <c r="AB315">
        <v>71.4151379474755</v>
      </c>
      <c r="AC315">
        <v>0.97960000000000003</v>
      </c>
      <c r="AD315" s="62">
        <v>69.957999999999998</v>
      </c>
      <c r="AE315">
        <v>8.9176000000000002</v>
      </c>
      <c r="AF315">
        <v>9.1609422129562699</v>
      </c>
      <c r="AG315">
        <v>1</v>
      </c>
      <c r="AH315">
        <v>5730.5357918926647</v>
      </c>
      <c r="AI315">
        <v>0.98541811328241247</v>
      </c>
      <c r="AJ315" s="62">
        <v>5646.9737999999998</v>
      </c>
      <c r="AK315" s="60">
        <v>753.36539058376013</v>
      </c>
      <c r="AL315" t="s">
        <v>343</v>
      </c>
      <c r="AM315" t="s">
        <v>435</v>
      </c>
      <c r="AN315" t="s">
        <v>425</v>
      </c>
      <c r="AO315" t="s">
        <v>26</v>
      </c>
      <c r="AP315">
        <v>111.133</v>
      </c>
      <c r="AQ315">
        <v>1.027287859172453</v>
      </c>
      <c r="AR315">
        <v>114.1655816534122</v>
      </c>
      <c r="AS315">
        <v>603.45000000000005</v>
      </c>
      <c r="AT315">
        <v>1</v>
      </c>
      <c r="AU315">
        <v>68.893220248751618</v>
      </c>
      <c r="AV315">
        <v>0.97960000000000003</v>
      </c>
      <c r="AW315" s="62">
        <v>67.488</v>
      </c>
      <c r="AX315">
        <v>8.9176000000000002</v>
      </c>
      <c r="AY315">
        <v>1</v>
      </c>
      <c r="AZ315">
        <v>5528.1705784084616</v>
      </c>
      <c r="BA315">
        <v>0.98541811328241247</v>
      </c>
      <c r="BB315" s="62">
        <v>5447.5594000000001</v>
      </c>
      <c r="BC315" s="60">
        <v>726.7614231022701</v>
      </c>
    </row>
    <row r="316" spans="1:55" x14ac:dyDescent="0.25">
      <c r="A316">
        <v>54627</v>
      </c>
      <c r="B316" t="s">
        <v>118</v>
      </c>
      <c r="C316">
        <v>2018</v>
      </c>
      <c r="D316">
        <v>3</v>
      </c>
      <c r="E316" t="s">
        <v>100</v>
      </c>
      <c r="F316" t="s">
        <v>426</v>
      </c>
      <c r="G316" t="s">
        <v>84</v>
      </c>
      <c r="H316" t="s">
        <v>87</v>
      </c>
      <c r="I316" t="s">
        <v>427</v>
      </c>
      <c r="J316">
        <v>-1.70515576</v>
      </c>
      <c r="K316" t="s">
        <v>440</v>
      </c>
      <c r="L316" t="s">
        <v>384</v>
      </c>
      <c r="M316">
        <v>3.9509559941419997E-2</v>
      </c>
      <c r="N316">
        <v>6.736995355227221E-2</v>
      </c>
      <c r="O316">
        <v>30169.468000000001</v>
      </c>
      <c r="P316">
        <v>4.8744250000000003E-6</v>
      </c>
      <c r="Q316">
        <v>0.29411799999999999</v>
      </c>
      <c r="R316" s="60">
        <v>1.9814715998887199E-2</v>
      </c>
      <c r="S316" t="s">
        <v>343</v>
      </c>
      <c r="T316" t="s">
        <v>435</v>
      </c>
      <c r="U316" t="s">
        <v>425</v>
      </c>
      <c r="V316" t="s">
        <v>81</v>
      </c>
      <c r="W316">
        <v>111.133</v>
      </c>
      <c r="X316">
        <v>1.027287859172453</v>
      </c>
      <c r="Y316">
        <v>114.1655816534122</v>
      </c>
      <c r="Z316">
        <v>625.54</v>
      </c>
      <c r="AA316">
        <v>1</v>
      </c>
      <c r="AB316">
        <v>71.4151379474755</v>
      </c>
      <c r="AC316">
        <v>0.92730000000000001</v>
      </c>
      <c r="AD316" s="62">
        <v>66.222999999999999</v>
      </c>
      <c r="AE316">
        <v>8.9176000000000002</v>
      </c>
      <c r="AF316">
        <v>9.1609422129562699</v>
      </c>
      <c r="AG316">
        <v>1</v>
      </c>
      <c r="AH316">
        <v>5730.5357918926647</v>
      </c>
      <c r="AI316">
        <v>1.094557195571956</v>
      </c>
      <c r="AJ316" s="62">
        <v>6272.3991999999998</v>
      </c>
      <c r="AK316" s="60">
        <v>124.2858087796473</v>
      </c>
      <c r="AL316" t="s">
        <v>343</v>
      </c>
      <c r="AM316" t="s">
        <v>435</v>
      </c>
      <c r="AN316" t="s">
        <v>425</v>
      </c>
      <c r="AO316" t="s">
        <v>81</v>
      </c>
      <c r="AP316">
        <v>111.133</v>
      </c>
      <c r="AQ316">
        <v>1.027287859172453</v>
      </c>
      <c r="AR316">
        <v>114.1655816534122</v>
      </c>
      <c r="AS316">
        <v>603.45000000000005</v>
      </c>
      <c r="AT316">
        <v>1</v>
      </c>
      <c r="AU316">
        <v>68.893220248751618</v>
      </c>
      <c r="AV316">
        <v>0.92730000000000001</v>
      </c>
      <c r="AW316" s="62">
        <v>63.884999999999998</v>
      </c>
      <c r="AX316">
        <v>8.9176000000000002</v>
      </c>
      <c r="AY316">
        <v>1</v>
      </c>
      <c r="AZ316">
        <v>5528.1705784084616</v>
      </c>
      <c r="BA316">
        <v>1.094557195571956</v>
      </c>
      <c r="BB316" s="62">
        <v>6050.8989000000001</v>
      </c>
      <c r="BC316" s="60">
        <v>119.896843241479</v>
      </c>
    </row>
    <row r="317" spans="1:55" x14ac:dyDescent="0.25">
      <c r="A317">
        <v>54629</v>
      </c>
      <c r="B317" t="s">
        <v>118</v>
      </c>
      <c r="C317">
        <v>2018</v>
      </c>
      <c r="D317">
        <v>3</v>
      </c>
      <c r="E317" t="s">
        <v>100</v>
      </c>
      <c r="F317" t="s">
        <v>426</v>
      </c>
      <c r="G317" t="s">
        <v>84</v>
      </c>
      <c r="H317" t="s">
        <v>87</v>
      </c>
      <c r="I317" t="s">
        <v>427</v>
      </c>
      <c r="J317">
        <v>-1.70515576</v>
      </c>
      <c r="K317" t="s">
        <v>440</v>
      </c>
      <c r="L317" t="s">
        <v>385</v>
      </c>
      <c r="M317">
        <v>0.39737542925016001</v>
      </c>
      <c r="N317">
        <v>0.6775870004902752</v>
      </c>
      <c r="O317">
        <v>30169.468000000001</v>
      </c>
      <c r="P317">
        <v>4.8744250000000003E-6</v>
      </c>
      <c r="Q317">
        <v>0.29411799999999999</v>
      </c>
      <c r="R317" s="60">
        <v>0.19929053341019881</v>
      </c>
      <c r="S317" t="s">
        <v>343</v>
      </c>
      <c r="T317" t="s">
        <v>435</v>
      </c>
      <c r="U317" t="s">
        <v>425</v>
      </c>
      <c r="V317" t="s">
        <v>27</v>
      </c>
      <c r="W317">
        <v>111.133</v>
      </c>
      <c r="X317">
        <v>1.027287859172453</v>
      </c>
      <c r="Y317">
        <v>114.1655816534122</v>
      </c>
      <c r="Z317">
        <v>625.54</v>
      </c>
      <c r="AA317">
        <v>1</v>
      </c>
      <c r="AB317">
        <v>71.4151379474755</v>
      </c>
      <c r="AC317">
        <v>0.95599999999999996</v>
      </c>
      <c r="AD317" s="62">
        <v>68.272999999999996</v>
      </c>
      <c r="AE317">
        <v>8.9176000000000002</v>
      </c>
      <c r="AF317">
        <v>9.1609422129562699</v>
      </c>
      <c r="AG317">
        <v>1</v>
      </c>
      <c r="AH317">
        <v>5730.5357918926647</v>
      </c>
      <c r="AI317">
        <v>1.0027686628383921</v>
      </c>
      <c r="AJ317" s="62">
        <v>5746.4017000000003</v>
      </c>
      <c r="AK317" s="60">
        <v>1145.203459982273</v>
      </c>
      <c r="AL317" t="s">
        <v>343</v>
      </c>
      <c r="AM317" t="s">
        <v>435</v>
      </c>
      <c r="AN317" t="s">
        <v>425</v>
      </c>
      <c r="AO317" t="s">
        <v>27</v>
      </c>
      <c r="AP317">
        <v>111.133</v>
      </c>
      <c r="AQ317">
        <v>1.027287859172453</v>
      </c>
      <c r="AR317">
        <v>114.1655816534122</v>
      </c>
      <c r="AS317">
        <v>603.45000000000005</v>
      </c>
      <c r="AT317">
        <v>1</v>
      </c>
      <c r="AU317">
        <v>68.893220248751618</v>
      </c>
      <c r="AV317">
        <v>0.95599999999999996</v>
      </c>
      <c r="AW317" s="62">
        <v>65.861999999999995</v>
      </c>
      <c r="AX317">
        <v>8.9176000000000002</v>
      </c>
      <c r="AY317">
        <v>1</v>
      </c>
      <c r="AZ317">
        <v>5528.1705784084616</v>
      </c>
      <c r="BA317">
        <v>1.0027686628383921</v>
      </c>
      <c r="BB317" s="62">
        <v>5543.4762000000001</v>
      </c>
      <c r="BC317" s="60">
        <v>1104.7623288447419</v>
      </c>
    </row>
    <row r="318" spans="1:55" x14ac:dyDescent="0.25">
      <c r="A318">
        <v>54631</v>
      </c>
      <c r="B318" t="s">
        <v>118</v>
      </c>
      <c r="C318">
        <v>2018</v>
      </c>
      <c r="D318">
        <v>3</v>
      </c>
      <c r="E318" t="s">
        <v>100</v>
      </c>
      <c r="F318" t="s">
        <v>426</v>
      </c>
      <c r="G318" t="s">
        <v>84</v>
      </c>
      <c r="H318" t="s">
        <v>87</v>
      </c>
      <c r="I318" t="s">
        <v>427</v>
      </c>
      <c r="J318">
        <v>-1.70515576</v>
      </c>
      <c r="K318" t="s">
        <v>440</v>
      </c>
      <c r="L318" t="s">
        <v>452</v>
      </c>
      <c r="M318">
        <v>8.4248020759000004E-4</v>
      </c>
      <c r="N318">
        <v>1.4365599753123201E-3</v>
      </c>
      <c r="O318">
        <v>30169.468000000001</v>
      </c>
      <c r="P318">
        <v>4.8744250000000003E-6</v>
      </c>
      <c r="Q318">
        <v>0.29411799999999999</v>
      </c>
      <c r="R318" s="60">
        <v>4.2251814681890901E-4</v>
      </c>
      <c r="S318" t="s">
        <v>343</v>
      </c>
      <c r="T318" t="s">
        <v>435</v>
      </c>
      <c r="U318" t="s">
        <v>425</v>
      </c>
      <c r="V318" t="s">
        <v>28</v>
      </c>
      <c r="W318">
        <v>111.133</v>
      </c>
      <c r="X318">
        <v>1.027287859172453</v>
      </c>
      <c r="Y318">
        <v>114.1655816534122</v>
      </c>
      <c r="Z318">
        <v>625.54</v>
      </c>
      <c r="AA318">
        <v>1</v>
      </c>
      <c r="AB318">
        <v>71.4151379474755</v>
      </c>
      <c r="AC318">
        <v>1.0064</v>
      </c>
      <c r="AD318" s="62">
        <v>71.872</v>
      </c>
      <c r="AE318">
        <v>8.9176000000000002</v>
      </c>
      <c r="AF318">
        <v>9.1609422129562699</v>
      </c>
      <c r="AG318">
        <v>1</v>
      </c>
      <c r="AH318">
        <v>5730.5357918926647</v>
      </c>
      <c r="AI318">
        <v>0.98887576294546164</v>
      </c>
      <c r="AJ318" s="62">
        <v>5666.7879999999996</v>
      </c>
      <c r="AK318" s="60">
        <v>2.3943207641756321</v>
      </c>
      <c r="AL318" t="s">
        <v>343</v>
      </c>
      <c r="AM318" t="s">
        <v>435</v>
      </c>
      <c r="AN318" t="s">
        <v>425</v>
      </c>
      <c r="AO318" t="s">
        <v>28</v>
      </c>
      <c r="AP318">
        <v>111.133</v>
      </c>
      <c r="AQ318">
        <v>1.027287859172453</v>
      </c>
      <c r="AR318">
        <v>114.1655816534122</v>
      </c>
      <c r="AS318">
        <v>603.45000000000005</v>
      </c>
      <c r="AT318">
        <v>1</v>
      </c>
      <c r="AU318">
        <v>68.893220248751618</v>
      </c>
      <c r="AV318">
        <v>1.0064</v>
      </c>
      <c r="AW318" s="62">
        <v>69.334000000000003</v>
      </c>
      <c r="AX318">
        <v>8.9176000000000002</v>
      </c>
      <c r="AY318">
        <v>1</v>
      </c>
      <c r="AZ318">
        <v>5528.1705784084616</v>
      </c>
      <c r="BA318">
        <v>0.98887576294546164</v>
      </c>
      <c r="BB318" s="62">
        <v>5466.6738999999998</v>
      </c>
      <c r="BC318" s="60">
        <v>2.3097689254912979</v>
      </c>
    </row>
    <row r="319" spans="1:55" x14ac:dyDescent="0.25">
      <c r="A319">
        <v>54633</v>
      </c>
      <c r="B319" t="s">
        <v>118</v>
      </c>
      <c r="C319">
        <v>2018</v>
      </c>
      <c r="D319">
        <v>3</v>
      </c>
      <c r="E319" t="s">
        <v>100</v>
      </c>
      <c r="F319" t="s">
        <v>426</v>
      </c>
      <c r="G319" t="s">
        <v>84</v>
      </c>
      <c r="H319" t="s">
        <v>59</v>
      </c>
      <c r="I319" t="s">
        <v>427</v>
      </c>
      <c r="J319">
        <v>-4.9029919800000004</v>
      </c>
      <c r="K319" t="s">
        <v>440</v>
      </c>
      <c r="L319" t="s">
        <v>450</v>
      </c>
      <c r="M319">
        <v>0.15931709696460999</v>
      </c>
      <c r="N319">
        <v>0.78113044801931675</v>
      </c>
      <c r="O319">
        <v>30169.468000000001</v>
      </c>
      <c r="P319">
        <v>4.8744250000000003E-6</v>
      </c>
      <c r="Q319">
        <v>0.29411799999999999</v>
      </c>
      <c r="R319" s="60">
        <v>0.22974452511054541</v>
      </c>
      <c r="S319" t="s">
        <v>343</v>
      </c>
      <c r="T319" t="s">
        <v>435</v>
      </c>
      <c r="U319" t="s">
        <v>425</v>
      </c>
      <c r="V319" t="s">
        <v>26</v>
      </c>
      <c r="W319">
        <v>111.133</v>
      </c>
      <c r="X319">
        <v>1.027287859172453</v>
      </c>
      <c r="Y319">
        <v>114.1655816534122</v>
      </c>
      <c r="Z319">
        <v>625.54</v>
      </c>
      <c r="AA319">
        <v>1</v>
      </c>
      <c r="AB319">
        <v>71.4151379474755</v>
      </c>
      <c r="AC319">
        <v>0.97960000000000003</v>
      </c>
      <c r="AD319" s="62">
        <v>69.957999999999998</v>
      </c>
      <c r="AE319">
        <v>8.9176000000000002</v>
      </c>
      <c r="AF319">
        <v>9.1609422129562699</v>
      </c>
      <c r="AG319">
        <v>1</v>
      </c>
      <c r="AH319">
        <v>5730.5357918926647</v>
      </c>
      <c r="AI319">
        <v>0.98541811328241247</v>
      </c>
      <c r="AJ319" s="62">
        <v>5646.9737999999998</v>
      </c>
      <c r="AK319" s="60">
        <v>1297.361313992692</v>
      </c>
      <c r="AL319" t="s">
        <v>343</v>
      </c>
      <c r="AM319" t="s">
        <v>435</v>
      </c>
      <c r="AN319" t="s">
        <v>425</v>
      </c>
      <c r="AO319" t="s">
        <v>26</v>
      </c>
      <c r="AP319">
        <v>111.133</v>
      </c>
      <c r="AQ319">
        <v>1.027287859172453</v>
      </c>
      <c r="AR319">
        <v>114.1655816534122</v>
      </c>
      <c r="AS319">
        <v>603.45000000000005</v>
      </c>
      <c r="AT319">
        <v>1</v>
      </c>
      <c r="AU319">
        <v>68.893220248751618</v>
      </c>
      <c r="AV319">
        <v>0.97960000000000003</v>
      </c>
      <c r="AW319" s="62">
        <v>67.488</v>
      </c>
      <c r="AX319">
        <v>8.9176000000000002</v>
      </c>
      <c r="AY319">
        <v>1</v>
      </c>
      <c r="AZ319">
        <v>5528.1705784084616</v>
      </c>
      <c r="BA319">
        <v>0.98541811328241247</v>
      </c>
      <c r="BB319" s="62">
        <v>5447.5594000000001</v>
      </c>
      <c r="BC319" s="60">
        <v>1251.546947364488</v>
      </c>
    </row>
    <row r="320" spans="1:55" x14ac:dyDescent="0.25">
      <c r="A320">
        <v>54635</v>
      </c>
      <c r="B320" t="s">
        <v>118</v>
      </c>
      <c r="C320">
        <v>2018</v>
      </c>
      <c r="D320">
        <v>3</v>
      </c>
      <c r="E320" t="s">
        <v>100</v>
      </c>
      <c r="F320" t="s">
        <v>426</v>
      </c>
      <c r="G320" t="s">
        <v>84</v>
      </c>
      <c r="H320" t="s">
        <v>59</v>
      </c>
      <c r="I320" t="s">
        <v>427</v>
      </c>
      <c r="J320">
        <v>-4.9029919800000004</v>
      </c>
      <c r="K320" t="s">
        <v>440</v>
      </c>
      <c r="L320" t="s">
        <v>384</v>
      </c>
      <c r="M320">
        <v>4.1785183859599999E-2</v>
      </c>
      <c r="N320">
        <v>0.20487242116939469</v>
      </c>
      <c r="O320">
        <v>30169.468000000001</v>
      </c>
      <c r="P320">
        <v>4.8744250000000003E-6</v>
      </c>
      <c r="Q320">
        <v>0.29411799999999999</v>
      </c>
      <c r="R320" s="60">
        <v>6.025666676950002E-2</v>
      </c>
      <c r="S320" t="s">
        <v>343</v>
      </c>
      <c r="T320" t="s">
        <v>435</v>
      </c>
      <c r="U320" t="s">
        <v>425</v>
      </c>
      <c r="V320" t="s">
        <v>81</v>
      </c>
      <c r="W320">
        <v>111.133</v>
      </c>
      <c r="X320">
        <v>1.027287859172453</v>
      </c>
      <c r="Y320">
        <v>114.1655816534122</v>
      </c>
      <c r="Z320">
        <v>625.54</v>
      </c>
      <c r="AA320">
        <v>1</v>
      </c>
      <c r="AB320">
        <v>71.4151379474755</v>
      </c>
      <c r="AC320">
        <v>0.92730000000000001</v>
      </c>
      <c r="AD320" s="62">
        <v>66.222999999999999</v>
      </c>
      <c r="AE320">
        <v>8.9176000000000002</v>
      </c>
      <c r="AF320">
        <v>9.1609422129562699</v>
      </c>
      <c r="AG320">
        <v>1</v>
      </c>
      <c r="AH320">
        <v>5730.5357918926647</v>
      </c>
      <c r="AI320">
        <v>1.094557195571956</v>
      </c>
      <c r="AJ320" s="62">
        <v>6272.3991999999998</v>
      </c>
      <c r="AK320" s="60">
        <v>377.9538684396785</v>
      </c>
      <c r="AL320" t="s">
        <v>343</v>
      </c>
      <c r="AM320" t="s">
        <v>435</v>
      </c>
      <c r="AN320" t="s">
        <v>425</v>
      </c>
      <c r="AO320" t="s">
        <v>81</v>
      </c>
      <c r="AP320">
        <v>111.133</v>
      </c>
      <c r="AQ320">
        <v>1.027287859172453</v>
      </c>
      <c r="AR320">
        <v>114.1655816534122</v>
      </c>
      <c r="AS320">
        <v>603.45000000000005</v>
      </c>
      <c r="AT320">
        <v>1</v>
      </c>
      <c r="AU320">
        <v>68.893220248751618</v>
      </c>
      <c r="AV320">
        <v>0.92730000000000001</v>
      </c>
      <c r="AW320" s="62">
        <v>63.884999999999998</v>
      </c>
      <c r="AX320">
        <v>8.9176000000000002</v>
      </c>
      <c r="AY320">
        <v>1</v>
      </c>
      <c r="AZ320">
        <v>5528.1705784084616</v>
      </c>
      <c r="BA320">
        <v>1.094557195571956</v>
      </c>
      <c r="BB320" s="62">
        <v>6050.8989000000001</v>
      </c>
      <c r="BC320" s="60">
        <v>364.60699867323422</v>
      </c>
    </row>
    <row r="321" spans="1:55" x14ac:dyDescent="0.25">
      <c r="A321">
        <v>54637</v>
      </c>
      <c r="B321" t="s">
        <v>118</v>
      </c>
      <c r="C321">
        <v>2018</v>
      </c>
      <c r="D321">
        <v>3</v>
      </c>
      <c r="E321" t="s">
        <v>100</v>
      </c>
      <c r="F321" t="s">
        <v>426</v>
      </c>
      <c r="G321" t="s">
        <v>84</v>
      </c>
      <c r="H321" t="s">
        <v>59</v>
      </c>
      <c r="I321" t="s">
        <v>427</v>
      </c>
      <c r="J321">
        <v>-4.9029919800000004</v>
      </c>
      <c r="K321" t="s">
        <v>440</v>
      </c>
      <c r="L321" t="s">
        <v>385</v>
      </c>
      <c r="M321">
        <v>0.43497567483749999</v>
      </c>
      <c r="N321">
        <v>2.132682243380299</v>
      </c>
      <c r="O321">
        <v>30169.468000000001</v>
      </c>
      <c r="P321">
        <v>4.8744250000000003E-6</v>
      </c>
      <c r="Q321">
        <v>0.29411799999999999</v>
      </c>
      <c r="R321" s="60">
        <v>0.62726023605852665</v>
      </c>
      <c r="S321" t="s">
        <v>343</v>
      </c>
      <c r="T321" t="s">
        <v>435</v>
      </c>
      <c r="U321" t="s">
        <v>425</v>
      </c>
      <c r="V321" t="s">
        <v>27</v>
      </c>
      <c r="W321">
        <v>111.133</v>
      </c>
      <c r="X321">
        <v>1.027287859172453</v>
      </c>
      <c r="Y321">
        <v>114.1655816534122</v>
      </c>
      <c r="Z321">
        <v>625.54</v>
      </c>
      <c r="AA321">
        <v>1</v>
      </c>
      <c r="AB321">
        <v>71.4151379474755</v>
      </c>
      <c r="AC321">
        <v>0.95599999999999996</v>
      </c>
      <c r="AD321" s="62">
        <v>68.272999999999996</v>
      </c>
      <c r="AE321">
        <v>8.9176000000000002</v>
      </c>
      <c r="AF321">
        <v>9.1609422129562699</v>
      </c>
      <c r="AG321">
        <v>1</v>
      </c>
      <c r="AH321">
        <v>5730.5357918926647</v>
      </c>
      <c r="AI321">
        <v>1.0027686628383921</v>
      </c>
      <c r="AJ321" s="62">
        <v>5746.4017000000003</v>
      </c>
      <c r="AK321" s="60">
        <v>3604.489286829119</v>
      </c>
      <c r="AL321" t="s">
        <v>343</v>
      </c>
      <c r="AM321" t="s">
        <v>435</v>
      </c>
      <c r="AN321" t="s">
        <v>425</v>
      </c>
      <c r="AO321" t="s">
        <v>27</v>
      </c>
      <c r="AP321">
        <v>111.133</v>
      </c>
      <c r="AQ321">
        <v>1.027287859172453</v>
      </c>
      <c r="AR321">
        <v>114.1655816534122</v>
      </c>
      <c r="AS321">
        <v>603.45000000000005</v>
      </c>
      <c r="AT321">
        <v>1</v>
      </c>
      <c r="AU321">
        <v>68.893220248751618</v>
      </c>
      <c r="AV321">
        <v>0.95599999999999996</v>
      </c>
      <c r="AW321" s="62">
        <v>65.861999999999995</v>
      </c>
      <c r="AX321">
        <v>8.9176000000000002</v>
      </c>
      <c r="AY321">
        <v>1</v>
      </c>
      <c r="AZ321">
        <v>5528.1705784084616</v>
      </c>
      <c r="BA321">
        <v>1.0027686628383921</v>
      </c>
      <c r="BB321" s="62">
        <v>5543.4762000000001</v>
      </c>
      <c r="BC321" s="60">
        <v>3477.2021897968239</v>
      </c>
    </row>
    <row r="322" spans="1:55" x14ac:dyDescent="0.25">
      <c r="A322">
        <v>54639</v>
      </c>
      <c r="B322" t="s">
        <v>118</v>
      </c>
      <c r="C322">
        <v>2018</v>
      </c>
      <c r="D322">
        <v>3</v>
      </c>
      <c r="E322" t="s">
        <v>100</v>
      </c>
      <c r="F322" t="s">
        <v>426</v>
      </c>
      <c r="G322" t="s">
        <v>84</v>
      </c>
      <c r="H322" t="s">
        <v>59</v>
      </c>
      <c r="I322" t="s">
        <v>427</v>
      </c>
      <c r="J322">
        <v>-4.9029919800000004</v>
      </c>
      <c r="K322" t="s">
        <v>440</v>
      </c>
      <c r="L322" t="s">
        <v>451</v>
      </c>
      <c r="M322">
        <v>1.7625750762999999E-3</v>
      </c>
      <c r="N322">
        <v>8.6418914557785144E-3</v>
      </c>
      <c r="O322">
        <v>30169.468000000001</v>
      </c>
      <c r="P322">
        <v>4.8744250000000003E-6</v>
      </c>
      <c r="Q322">
        <v>0.29411799999999999</v>
      </c>
      <c r="R322" s="60">
        <v>2.5417358311906652E-3</v>
      </c>
      <c r="S322" t="s">
        <v>343</v>
      </c>
      <c r="T322" t="s">
        <v>435</v>
      </c>
      <c r="U322" t="s">
        <v>425</v>
      </c>
      <c r="V322" t="s">
        <v>91</v>
      </c>
      <c r="W322">
        <v>111.133</v>
      </c>
      <c r="X322">
        <v>1.027287859172453</v>
      </c>
      <c r="Y322">
        <v>114.1655816534122</v>
      </c>
      <c r="Z322">
        <v>625.54</v>
      </c>
      <c r="AA322">
        <v>1</v>
      </c>
      <c r="AB322">
        <v>71.4151379474755</v>
      </c>
      <c r="AC322">
        <v>1.0056</v>
      </c>
      <c r="AD322" s="62">
        <v>71.814999999999998</v>
      </c>
      <c r="AE322">
        <v>8.9176000000000002</v>
      </c>
      <c r="AF322">
        <v>9.1609422129562699</v>
      </c>
      <c r="AG322">
        <v>1</v>
      </c>
      <c r="AH322">
        <v>5730.5357918926647</v>
      </c>
      <c r="AI322">
        <v>0.98408824677860207</v>
      </c>
      <c r="AJ322" s="62">
        <v>5639.3528999999999</v>
      </c>
      <c r="AK322" s="60">
        <v>14.33374533065899</v>
      </c>
      <c r="AL322" t="s">
        <v>343</v>
      </c>
      <c r="AM322" t="s">
        <v>435</v>
      </c>
      <c r="AN322" t="s">
        <v>425</v>
      </c>
      <c r="AO322" t="s">
        <v>91</v>
      </c>
      <c r="AP322">
        <v>111.133</v>
      </c>
      <c r="AQ322">
        <v>1.027287859172453</v>
      </c>
      <c r="AR322">
        <v>114.1655816534122</v>
      </c>
      <c r="AS322">
        <v>603.45000000000005</v>
      </c>
      <c r="AT322">
        <v>1</v>
      </c>
      <c r="AU322">
        <v>68.893220248751618</v>
      </c>
      <c r="AV322">
        <v>1.0056</v>
      </c>
      <c r="AW322" s="62">
        <v>69.278999999999996</v>
      </c>
      <c r="AX322">
        <v>8.9176000000000002</v>
      </c>
      <c r="AY322">
        <v>1</v>
      </c>
      <c r="AZ322">
        <v>5528.1705784084616</v>
      </c>
      <c r="BA322">
        <v>0.98408824677860207</v>
      </c>
      <c r="BB322" s="62">
        <v>5440.2076999999999</v>
      </c>
      <c r="BC322" s="60">
        <v>13.82757084020936</v>
      </c>
    </row>
    <row r="323" spans="1:55" x14ac:dyDescent="0.25">
      <c r="A323">
        <v>54641</v>
      </c>
      <c r="B323" t="s">
        <v>118</v>
      </c>
      <c r="C323">
        <v>2018</v>
      </c>
      <c r="D323">
        <v>3</v>
      </c>
      <c r="E323" t="s">
        <v>100</v>
      </c>
      <c r="F323" t="s">
        <v>426</v>
      </c>
      <c r="G323" t="s">
        <v>84</v>
      </c>
      <c r="H323" t="s">
        <v>59</v>
      </c>
      <c r="I323" t="s">
        <v>427</v>
      </c>
      <c r="J323">
        <v>-4.9029919800000004</v>
      </c>
      <c r="K323" t="s">
        <v>440</v>
      </c>
      <c r="L323" t="s">
        <v>452</v>
      </c>
      <c r="M323">
        <v>1.4858046103299999E-3</v>
      </c>
      <c r="N323">
        <v>7.2848880819994556E-3</v>
      </c>
      <c r="O323">
        <v>30169.468000000001</v>
      </c>
      <c r="P323">
        <v>4.8744250000000003E-6</v>
      </c>
      <c r="Q323">
        <v>0.29411799999999999</v>
      </c>
      <c r="R323" s="60">
        <v>2.142616712901516E-3</v>
      </c>
      <c r="S323" t="s">
        <v>343</v>
      </c>
      <c r="T323" t="s">
        <v>435</v>
      </c>
      <c r="U323" t="s">
        <v>425</v>
      </c>
      <c r="V323" t="s">
        <v>28</v>
      </c>
      <c r="W323">
        <v>111.133</v>
      </c>
      <c r="X323">
        <v>1.027287859172453</v>
      </c>
      <c r="Y323">
        <v>114.1655816534122</v>
      </c>
      <c r="Z323">
        <v>625.54</v>
      </c>
      <c r="AA323">
        <v>1</v>
      </c>
      <c r="AB323">
        <v>71.4151379474755</v>
      </c>
      <c r="AC323">
        <v>1.0064</v>
      </c>
      <c r="AD323" s="62">
        <v>71.872</v>
      </c>
      <c r="AE323">
        <v>8.9176000000000002</v>
      </c>
      <c r="AF323">
        <v>9.1609422129562699</v>
      </c>
      <c r="AG323">
        <v>1</v>
      </c>
      <c r="AH323">
        <v>5730.5357918926647</v>
      </c>
      <c r="AI323">
        <v>0.98887576294546164</v>
      </c>
      <c r="AJ323" s="62">
        <v>5666.7879999999996</v>
      </c>
      <c r="AK323" s="60">
        <v>12.141754677269761</v>
      </c>
      <c r="AL323" t="s">
        <v>343</v>
      </c>
      <c r="AM323" t="s">
        <v>435</v>
      </c>
      <c r="AN323" t="s">
        <v>425</v>
      </c>
      <c r="AO323" t="s">
        <v>28</v>
      </c>
      <c r="AP323">
        <v>111.133</v>
      </c>
      <c r="AQ323">
        <v>1.027287859172453</v>
      </c>
      <c r="AR323">
        <v>114.1655816534122</v>
      </c>
      <c r="AS323">
        <v>603.45000000000005</v>
      </c>
      <c r="AT323">
        <v>1</v>
      </c>
      <c r="AU323">
        <v>68.893220248751618</v>
      </c>
      <c r="AV323">
        <v>1.0064</v>
      </c>
      <c r="AW323" s="62">
        <v>69.334000000000003</v>
      </c>
      <c r="AX323">
        <v>8.9176000000000002</v>
      </c>
      <c r="AY323">
        <v>1</v>
      </c>
      <c r="AZ323">
        <v>5528.1705784084616</v>
      </c>
      <c r="BA323">
        <v>0.98887576294546164</v>
      </c>
      <c r="BB323" s="62">
        <v>5466.6738999999998</v>
      </c>
      <c r="BC323" s="60">
        <v>11.712986862122509</v>
      </c>
    </row>
    <row r="324" spans="1:55" x14ac:dyDescent="0.25">
      <c r="A324">
        <v>60263</v>
      </c>
      <c r="B324" t="s">
        <v>112</v>
      </c>
      <c r="C324">
        <v>2018</v>
      </c>
      <c r="D324">
        <v>4</v>
      </c>
      <c r="E324" t="s">
        <v>100</v>
      </c>
      <c r="F324" t="s">
        <v>426</v>
      </c>
      <c r="G324" t="s">
        <v>84</v>
      </c>
      <c r="H324" t="s">
        <v>381</v>
      </c>
      <c r="I324" t="s">
        <v>427</v>
      </c>
      <c r="J324">
        <v>-9.3768354699999996</v>
      </c>
      <c r="K324" t="s">
        <v>440</v>
      </c>
      <c r="L324" t="s">
        <v>450</v>
      </c>
      <c r="M324">
        <v>0.15011157993331001</v>
      </c>
      <c r="N324">
        <v>1.4075715877208841</v>
      </c>
      <c r="O324">
        <v>30169.468000000001</v>
      </c>
      <c r="P324">
        <v>4.8744250000000003E-6</v>
      </c>
      <c r="Q324">
        <v>0.29411799999999999</v>
      </c>
      <c r="R324" s="60">
        <v>0.41399214023729092</v>
      </c>
      <c r="S324" t="s">
        <v>343</v>
      </c>
      <c r="T324" t="s">
        <v>435</v>
      </c>
      <c r="U324" t="s">
        <v>425</v>
      </c>
      <c r="V324" t="s">
        <v>26</v>
      </c>
      <c r="W324">
        <v>111.133</v>
      </c>
      <c r="X324">
        <v>1.027287859172453</v>
      </c>
      <c r="Y324">
        <v>114.1655816534122</v>
      </c>
      <c r="Z324">
        <v>625.54</v>
      </c>
      <c r="AA324">
        <v>1</v>
      </c>
      <c r="AB324">
        <v>71.4151379474755</v>
      </c>
      <c r="AC324">
        <v>0.97960000000000003</v>
      </c>
      <c r="AD324" s="62">
        <v>69.957999999999998</v>
      </c>
      <c r="AE324">
        <v>8.9176000000000002</v>
      </c>
      <c r="AF324">
        <v>9.1609422129562699</v>
      </c>
      <c r="AG324">
        <v>1</v>
      </c>
      <c r="AH324">
        <v>5730.5357918926647</v>
      </c>
      <c r="AI324">
        <v>0.98541811328241247</v>
      </c>
      <c r="AJ324" s="62">
        <v>5646.9737999999998</v>
      </c>
      <c r="AK324" s="60">
        <v>2337.8027693259069</v>
      </c>
      <c r="AL324" t="s">
        <v>343</v>
      </c>
      <c r="AM324" t="s">
        <v>435</v>
      </c>
      <c r="AN324" t="s">
        <v>425</v>
      </c>
      <c r="AO324" t="s">
        <v>26</v>
      </c>
      <c r="AP324">
        <v>111.133</v>
      </c>
      <c r="AQ324">
        <v>1.027287859172453</v>
      </c>
      <c r="AR324">
        <v>114.1655816534122</v>
      </c>
      <c r="AS324">
        <v>600.54999999999995</v>
      </c>
      <c r="AT324">
        <v>1</v>
      </c>
      <c r="AU324">
        <v>68.562140061956711</v>
      </c>
      <c r="AV324">
        <v>0.97960000000000003</v>
      </c>
      <c r="AW324" s="62">
        <v>67.162999999999997</v>
      </c>
      <c r="AX324">
        <v>8.9176000000000002</v>
      </c>
      <c r="AY324">
        <v>1</v>
      </c>
      <c r="AZ324">
        <v>5501.6038459908877</v>
      </c>
      <c r="BA324">
        <v>0.98541811328241247</v>
      </c>
      <c r="BB324" s="62">
        <v>5421.3801000000003</v>
      </c>
      <c r="BC324" s="60">
        <v>2244.4087506388578</v>
      </c>
    </row>
    <row r="325" spans="1:55" x14ac:dyDescent="0.25">
      <c r="A325">
        <v>60265</v>
      </c>
      <c r="B325" t="s">
        <v>112</v>
      </c>
      <c r="C325">
        <v>2018</v>
      </c>
      <c r="D325">
        <v>4</v>
      </c>
      <c r="E325" t="s">
        <v>100</v>
      </c>
      <c r="F325" t="s">
        <v>426</v>
      </c>
      <c r="G325" t="s">
        <v>84</v>
      </c>
      <c r="H325" t="s">
        <v>381</v>
      </c>
      <c r="I325" t="s">
        <v>427</v>
      </c>
      <c r="J325">
        <v>-9.3768354699999996</v>
      </c>
      <c r="K325" t="s">
        <v>440</v>
      </c>
      <c r="L325" t="s">
        <v>384</v>
      </c>
      <c r="M325">
        <v>4.5811354346740003E-2</v>
      </c>
      <c r="N325">
        <v>0.42956553253341651</v>
      </c>
      <c r="O325">
        <v>30169.468000000001</v>
      </c>
      <c r="P325">
        <v>4.8744250000000003E-6</v>
      </c>
      <c r="Q325">
        <v>0.29411799999999999</v>
      </c>
      <c r="R325" s="60">
        <v>0.1263429552976634</v>
      </c>
      <c r="S325" t="s">
        <v>343</v>
      </c>
      <c r="T325" t="s">
        <v>435</v>
      </c>
      <c r="U325" t="s">
        <v>425</v>
      </c>
      <c r="V325" t="s">
        <v>81</v>
      </c>
      <c r="W325">
        <v>111.133</v>
      </c>
      <c r="X325">
        <v>1.027287859172453</v>
      </c>
      <c r="Y325">
        <v>114.1655816534122</v>
      </c>
      <c r="Z325">
        <v>625.54</v>
      </c>
      <c r="AA325">
        <v>1</v>
      </c>
      <c r="AB325">
        <v>71.4151379474755</v>
      </c>
      <c r="AC325">
        <v>0.92730000000000001</v>
      </c>
      <c r="AD325" s="62">
        <v>66.222999999999999</v>
      </c>
      <c r="AE325">
        <v>8.9176000000000002</v>
      </c>
      <c r="AF325">
        <v>9.1609422129562699</v>
      </c>
      <c r="AG325">
        <v>1</v>
      </c>
      <c r="AH325">
        <v>5730.5357918926647</v>
      </c>
      <c r="AI325">
        <v>1.094557195571956</v>
      </c>
      <c r="AJ325" s="62">
        <v>6272.3991999999998</v>
      </c>
      <c r="AK325" s="60">
        <v>792.47345173469967</v>
      </c>
      <c r="AL325" t="s">
        <v>343</v>
      </c>
      <c r="AM325" t="s">
        <v>435</v>
      </c>
      <c r="AN325" t="s">
        <v>425</v>
      </c>
      <c r="AO325" t="s">
        <v>81</v>
      </c>
      <c r="AP325">
        <v>111.133</v>
      </c>
      <c r="AQ325">
        <v>1.027287859172453</v>
      </c>
      <c r="AR325">
        <v>114.1655816534122</v>
      </c>
      <c r="AS325">
        <v>600.54999999999995</v>
      </c>
      <c r="AT325">
        <v>1</v>
      </c>
      <c r="AU325">
        <v>68.562140061956711</v>
      </c>
      <c r="AV325">
        <v>0.92730000000000001</v>
      </c>
      <c r="AW325" s="62">
        <v>63.578000000000003</v>
      </c>
      <c r="AX325">
        <v>8.9176000000000002</v>
      </c>
      <c r="AY325">
        <v>1</v>
      </c>
      <c r="AZ325">
        <v>5501.6038459908877</v>
      </c>
      <c r="BA325">
        <v>1.094557195571956</v>
      </c>
      <c r="BB325" s="62">
        <v>6021.8200999999999</v>
      </c>
      <c r="BC325" s="60">
        <v>760.81454770487096</v>
      </c>
    </row>
    <row r="326" spans="1:55" x14ac:dyDescent="0.25">
      <c r="A326">
        <v>60267</v>
      </c>
      <c r="B326" t="s">
        <v>112</v>
      </c>
      <c r="C326">
        <v>2018</v>
      </c>
      <c r="D326">
        <v>4</v>
      </c>
      <c r="E326" t="s">
        <v>100</v>
      </c>
      <c r="F326" t="s">
        <v>426</v>
      </c>
      <c r="G326" t="s">
        <v>84</v>
      </c>
      <c r="H326" t="s">
        <v>381</v>
      </c>
      <c r="I326" t="s">
        <v>427</v>
      </c>
      <c r="J326">
        <v>-9.3768354699999996</v>
      </c>
      <c r="K326" t="s">
        <v>440</v>
      </c>
      <c r="L326" t="s">
        <v>385</v>
      </c>
      <c r="M326">
        <v>0.43232641346992001</v>
      </c>
      <c r="N326">
        <v>4.0538536500107591</v>
      </c>
      <c r="O326">
        <v>30169.468000000001</v>
      </c>
      <c r="P326">
        <v>4.8744250000000003E-6</v>
      </c>
      <c r="Q326">
        <v>0.29411799999999999</v>
      </c>
      <c r="R326" s="60">
        <v>1.192311327833864</v>
      </c>
      <c r="S326" t="s">
        <v>343</v>
      </c>
      <c r="T326" t="s">
        <v>435</v>
      </c>
      <c r="U326" t="s">
        <v>425</v>
      </c>
      <c r="V326" t="s">
        <v>27</v>
      </c>
      <c r="W326">
        <v>111.133</v>
      </c>
      <c r="X326">
        <v>1.027287859172453</v>
      </c>
      <c r="Y326">
        <v>114.1655816534122</v>
      </c>
      <c r="Z326">
        <v>625.54</v>
      </c>
      <c r="AA326">
        <v>1</v>
      </c>
      <c r="AB326">
        <v>71.4151379474755</v>
      </c>
      <c r="AC326">
        <v>0.95599999999999996</v>
      </c>
      <c r="AD326" s="62">
        <v>68.272999999999996</v>
      </c>
      <c r="AE326">
        <v>8.9176000000000002</v>
      </c>
      <c r="AF326">
        <v>9.1609422129562699</v>
      </c>
      <c r="AG326">
        <v>1</v>
      </c>
      <c r="AH326">
        <v>5730.5357918926647</v>
      </c>
      <c r="AI326">
        <v>1.0027686628383921</v>
      </c>
      <c r="AJ326" s="62">
        <v>5746.4017000000003</v>
      </c>
      <c r="AK326" s="60">
        <v>6851.4998411937759</v>
      </c>
      <c r="AL326" t="s">
        <v>343</v>
      </c>
      <c r="AM326" t="s">
        <v>435</v>
      </c>
      <c r="AN326" t="s">
        <v>425</v>
      </c>
      <c r="AO326" t="s">
        <v>27</v>
      </c>
      <c r="AP326">
        <v>111.133</v>
      </c>
      <c r="AQ326">
        <v>1.027287859172453</v>
      </c>
      <c r="AR326">
        <v>114.1655816534122</v>
      </c>
      <c r="AS326">
        <v>600.54999999999995</v>
      </c>
      <c r="AT326">
        <v>1</v>
      </c>
      <c r="AU326">
        <v>68.562140061956711</v>
      </c>
      <c r="AV326">
        <v>0.95599999999999996</v>
      </c>
      <c r="AW326" s="62">
        <v>65.545000000000002</v>
      </c>
      <c r="AX326">
        <v>8.9176000000000002</v>
      </c>
      <c r="AY326">
        <v>1</v>
      </c>
      <c r="AZ326">
        <v>5501.6038459908877</v>
      </c>
      <c r="BA326">
        <v>1.0027686628383921</v>
      </c>
      <c r="BB326" s="62">
        <v>5516.8359</v>
      </c>
      <c r="BC326" s="60">
        <v>6577.7859373705323</v>
      </c>
    </row>
    <row r="327" spans="1:55" x14ac:dyDescent="0.25">
      <c r="A327">
        <v>60269</v>
      </c>
      <c r="B327" t="s">
        <v>112</v>
      </c>
      <c r="C327">
        <v>2018</v>
      </c>
      <c r="D327">
        <v>4</v>
      </c>
      <c r="E327" t="s">
        <v>100</v>
      </c>
      <c r="F327" t="s">
        <v>426</v>
      </c>
      <c r="G327" t="s">
        <v>84</v>
      </c>
      <c r="H327" t="s">
        <v>381</v>
      </c>
      <c r="I327" t="s">
        <v>427</v>
      </c>
      <c r="J327">
        <v>-9.3768354699999996</v>
      </c>
      <c r="K327" t="s">
        <v>440</v>
      </c>
      <c r="L327" t="s">
        <v>451</v>
      </c>
      <c r="M327">
        <v>1.6825115802299999E-3</v>
      </c>
      <c r="N327">
        <v>1.5776634270289192E-2</v>
      </c>
      <c r="O327">
        <v>30169.468000000001</v>
      </c>
      <c r="P327">
        <v>4.8744250000000003E-6</v>
      </c>
      <c r="Q327">
        <v>0.29411799999999999</v>
      </c>
      <c r="R327" s="60">
        <v>4.6401921183089161E-3</v>
      </c>
      <c r="S327" t="s">
        <v>343</v>
      </c>
      <c r="T327" t="s">
        <v>435</v>
      </c>
      <c r="U327" t="s">
        <v>425</v>
      </c>
      <c r="V327" t="s">
        <v>91</v>
      </c>
      <c r="W327">
        <v>111.133</v>
      </c>
      <c r="X327">
        <v>1.027287859172453</v>
      </c>
      <c r="Y327">
        <v>114.1655816534122</v>
      </c>
      <c r="Z327">
        <v>625.54</v>
      </c>
      <c r="AA327">
        <v>1</v>
      </c>
      <c r="AB327">
        <v>71.4151379474755</v>
      </c>
      <c r="AC327">
        <v>1.0056</v>
      </c>
      <c r="AD327" s="62">
        <v>71.814999999999998</v>
      </c>
      <c r="AE327">
        <v>8.9176000000000002</v>
      </c>
      <c r="AF327">
        <v>9.1609422129562699</v>
      </c>
      <c r="AG327">
        <v>1</v>
      </c>
      <c r="AH327">
        <v>5730.5357918926647</v>
      </c>
      <c r="AI327">
        <v>0.98408824677860207</v>
      </c>
      <c r="AJ327" s="62">
        <v>5639.3528999999999</v>
      </c>
      <c r="AK327" s="60">
        <v>26.16768087894253</v>
      </c>
      <c r="AL327" t="s">
        <v>343</v>
      </c>
      <c r="AM327" t="s">
        <v>435</v>
      </c>
      <c r="AN327" t="s">
        <v>425</v>
      </c>
      <c r="AO327" t="s">
        <v>91</v>
      </c>
      <c r="AP327">
        <v>111.133</v>
      </c>
      <c r="AQ327">
        <v>1.027287859172453</v>
      </c>
      <c r="AR327">
        <v>114.1655816534122</v>
      </c>
      <c r="AS327">
        <v>600.54999999999995</v>
      </c>
      <c r="AT327">
        <v>1</v>
      </c>
      <c r="AU327">
        <v>68.562140061956711</v>
      </c>
      <c r="AV327">
        <v>1.0056</v>
      </c>
      <c r="AW327" s="62">
        <v>68.945999999999998</v>
      </c>
      <c r="AX327">
        <v>8.9176000000000002</v>
      </c>
      <c r="AY327">
        <v>1</v>
      </c>
      <c r="AZ327">
        <v>5501.6038459908877</v>
      </c>
      <c r="BA327">
        <v>0.98408824677860207</v>
      </c>
      <c r="BB327" s="62">
        <v>5414.0636999999997</v>
      </c>
      <c r="BC327" s="60">
        <v>25.122295708762412</v>
      </c>
    </row>
    <row r="328" spans="1:55" x14ac:dyDescent="0.25">
      <c r="A328">
        <v>60271</v>
      </c>
      <c r="B328" t="s">
        <v>112</v>
      </c>
      <c r="C328">
        <v>2018</v>
      </c>
      <c r="D328">
        <v>4</v>
      </c>
      <c r="E328" t="s">
        <v>100</v>
      </c>
      <c r="F328" t="s">
        <v>426</v>
      </c>
      <c r="G328" t="s">
        <v>84</v>
      </c>
      <c r="H328" t="s">
        <v>381</v>
      </c>
      <c r="I328" t="s">
        <v>427</v>
      </c>
      <c r="J328">
        <v>-9.3768354699999996</v>
      </c>
      <c r="K328" t="s">
        <v>440</v>
      </c>
      <c r="L328" t="s">
        <v>452</v>
      </c>
      <c r="M328">
        <v>1.53682162831E-3</v>
      </c>
      <c r="N328">
        <v>1.44105235609747E-2</v>
      </c>
      <c r="O328">
        <v>30169.468000000001</v>
      </c>
      <c r="P328">
        <v>4.8744250000000003E-6</v>
      </c>
      <c r="Q328">
        <v>0.29411799999999999</v>
      </c>
      <c r="R328" s="60">
        <v>4.2383943687067556E-3</v>
      </c>
      <c r="S328" t="s">
        <v>343</v>
      </c>
      <c r="T328" t="s">
        <v>435</v>
      </c>
      <c r="U328" t="s">
        <v>425</v>
      </c>
      <c r="V328" t="s">
        <v>28</v>
      </c>
      <c r="W328">
        <v>111.133</v>
      </c>
      <c r="X328">
        <v>1.027287859172453</v>
      </c>
      <c r="Y328">
        <v>114.1655816534122</v>
      </c>
      <c r="Z328">
        <v>625.54</v>
      </c>
      <c r="AA328">
        <v>1</v>
      </c>
      <c r="AB328">
        <v>71.4151379474755</v>
      </c>
      <c r="AC328">
        <v>1.0064</v>
      </c>
      <c r="AD328" s="62">
        <v>71.872</v>
      </c>
      <c r="AE328">
        <v>8.9176000000000002</v>
      </c>
      <c r="AF328">
        <v>9.1609422129562699</v>
      </c>
      <c r="AG328">
        <v>1</v>
      </c>
      <c r="AH328">
        <v>5730.5357918926647</v>
      </c>
      <c r="AI328">
        <v>0.98887576294546164</v>
      </c>
      <c r="AJ328" s="62">
        <v>5666.7879999999996</v>
      </c>
      <c r="AK328" s="60">
        <v>24.018082347855021</v>
      </c>
      <c r="AL328" t="s">
        <v>343</v>
      </c>
      <c r="AM328" t="s">
        <v>435</v>
      </c>
      <c r="AN328" t="s">
        <v>425</v>
      </c>
      <c r="AO328" t="s">
        <v>28</v>
      </c>
      <c r="AP328">
        <v>111.133</v>
      </c>
      <c r="AQ328">
        <v>1.027287859172453</v>
      </c>
      <c r="AR328">
        <v>114.1655816534122</v>
      </c>
      <c r="AS328">
        <v>600.54999999999995</v>
      </c>
      <c r="AT328">
        <v>1</v>
      </c>
      <c r="AU328">
        <v>68.562140061956711</v>
      </c>
      <c r="AV328">
        <v>1.0064</v>
      </c>
      <c r="AW328" s="62">
        <v>69.001000000000005</v>
      </c>
      <c r="AX328">
        <v>8.9176000000000002</v>
      </c>
      <c r="AY328">
        <v>1</v>
      </c>
      <c r="AZ328">
        <v>5501.6038459908877</v>
      </c>
      <c r="BA328">
        <v>0.98887576294546164</v>
      </c>
      <c r="BB328" s="62">
        <v>5440.4026999999996</v>
      </c>
      <c r="BC328" s="60">
        <v>23.058572167177029</v>
      </c>
    </row>
    <row r="329" spans="1:55" x14ac:dyDescent="0.25">
      <c r="A329">
        <v>60273</v>
      </c>
      <c r="B329" t="s">
        <v>112</v>
      </c>
      <c r="C329">
        <v>2018</v>
      </c>
      <c r="D329">
        <v>4</v>
      </c>
      <c r="E329" t="s">
        <v>100</v>
      </c>
      <c r="F329" t="s">
        <v>426</v>
      </c>
      <c r="G329" t="s">
        <v>84</v>
      </c>
      <c r="H329" t="s">
        <v>87</v>
      </c>
      <c r="I329" t="s">
        <v>427</v>
      </c>
      <c r="J329">
        <v>-1.7230753599999999</v>
      </c>
      <c r="K329" t="s">
        <v>440</v>
      </c>
      <c r="L329" t="s">
        <v>450</v>
      </c>
      <c r="M329">
        <v>0.26601384014995</v>
      </c>
      <c r="N329">
        <v>0.45836189416867362</v>
      </c>
      <c r="O329">
        <v>30169.468000000001</v>
      </c>
      <c r="P329">
        <v>4.8744250000000003E-6</v>
      </c>
      <c r="Q329">
        <v>0.29411799999999999</v>
      </c>
      <c r="R329" s="60">
        <v>0.13481248358910189</v>
      </c>
      <c r="S329" t="s">
        <v>343</v>
      </c>
      <c r="T329" t="s">
        <v>435</v>
      </c>
      <c r="U329" t="s">
        <v>425</v>
      </c>
      <c r="V329" t="s">
        <v>26</v>
      </c>
      <c r="W329">
        <v>111.133</v>
      </c>
      <c r="X329">
        <v>1.027287859172453</v>
      </c>
      <c r="Y329">
        <v>114.1655816534122</v>
      </c>
      <c r="Z329">
        <v>625.54</v>
      </c>
      <c r="AA329">
        <v>1</v>
      </c>
      <c r="AB329">
        <v>71.4151379474755</v>
      </c>
      <c r="AC329">
        <v>0.97960000000000003</v>
      </c>
      <c r="AD329" s="62">
        <v>69.957999999999998</v>
      </c>
      <c r="AE329">
        <v>8.9176000000000002</v>
      </c>
      <c r="AF329">
        <v>9.1609422129562699</v>
      </c>
      <c r="AG329">
        <v>1</v>
      </c>
      <c r="AH329">
        <v>5730.5357918926647</v>
      </c>
      <c r="AI329">
        <v>0.98541811328241247</v>
      </c>
      <c r="AJ329" s="62">
        <v>5646.9737999999998</v>
      </c>
      <c r="AK329" s="60">
        <v>761.28256274058856</v>
      </c>
      <c r="AL329" t="s">
        <v>343</v>
      </c>
      <c r="AM329" t="s">
        <v>435</v>
      </c>
      <c r="AN329" t="s">
        <v>425</v>
      </c>
      <c r="AO329" t="s">
        <v>26</v>
      </c>
      <c r="AP329">
        <v>111.133</v>
      </c>
      <c r="AQ329">
        <v>1.027287859172453</v>
      </c>
      <c r="AR329">
        <v>114.1655816534122</v>
      </c>
      <c r="AS329">
        <v>600.54999999999995</v>
      </c>
      <c r="AT329">
        <v>1</v>
      </c>
      <c r="AU329">
        <v>68.562140061956711</v>
      </c>
      <c r="AV329">
        <v>0.97960000000000003</v>
      </c>
      <c r="AW329" s="62">
        <v>67.162999999999997</v>
      </c>
      <c r="AX329">
        <v>8.9176000000000002</v>
      </c>
      <c r="AY329">
        <v>1</v>
      </c>
      <c r="AZ329">
        <v>5501.6038459908877</v>
      </c>
      <c r="BA329">
        <v>0.98541811328241247</v>
      </c>
      <c r="BB329" s="62">
        <v>5421.3801000000003</v>
      </c>
      <c r="BC329" s="60">
        <v>730.86971576153394</v>
      </c>
    </row>
    <row r="330" spans="1:55" x14ac:dyDescent="0.25">
      <c r="A330">
        <v>60275</v>
      </c>
      <c r="B330" t="s">
        <v>112</v>
      </c>
      <c r="C330">
        <v>2018</v>
      </c>
      <c r="D330">
        <v>4</v>
      </c>
      <c r="E330" t="s">
        <v>100</v>
      </c>
      <c r="F330" t="s">
        <v>426</v>
      </c>
      <c r="G330" t="s">
        <v>84</v>
      </c>
      <c r="H330" t="s">
        <v>87</v>
      </c>
      <c r="I330" t="s">
        <v>427</v>
      </c>
      <c r="J330">
        <v>-1.7230753599999999</v>
      </c>
      <c r="K330" t="s">
        <v>440</v>
      </c>
      <c r="L330" t="s">
        <v>384</v>
      </c>
      <c r="M330">
        <v>3.9509559941419997E-2</v>
      </c>
      <c r="N330">
        <v>6.8077949336439528E-2</v>
      </c>
      <c r="O330">
        <v>30169.468000000001</v>
      </c>
      <c r="P330">
        <v>4.8744250000000003E-6</v>
      </c>
      <c r="Q330">
        <v>0.29411799999999999</v>
      </c>
      <c r="R330" s="60">
        <v>2.0022950302934921E-2</v>
      </c>
      <c r="S330" t="s">
        <v>343</v>
      </c>
      <c r="T330" t="s">
        <v>435</v>
      </c>
      <c r="U330" t="s">
        <v>425</v>
      </c>
      <c r="V330" t="s">
        <v>81</v>
      </c>
      <c r="W330">
        <v>111.133</v>
      </c>
      <c r="X330">
        <v>1.027287859172453</v>
      </c>
      <c r="Y330">
        <v>114.1655816534122</v>
      </c>
      <c r="Z330">
        <v>625.54</v>
      </c>
      <c r="AA330">
        <v>1</v>
      </c>
      <c r="AB330">
        <v>71.4151379474755</v>
      </c>
      <c r="AC330">
        <v>0.92730000000000001</v>
      </c>
      <c r="AD330" s="62">
        <v>66.222999999999999</v>
      </c>
      <c r="AE330">
        <v>8.9176000000000002</v>
      </c>
      <c r="AF330">
        <v>9.1609422129562699</v>
      </c>
      <c r="AG330">
        <v>1</v>
      </c>
      <c r="AH330">
        <v>5730.5357918926647</v>
      </c>
      <c r="AI330">
        <v>1.094557195571956</v>
      </c>
      <c r="AJ330" s="62">
        <v>6272.3991999999998</v>
      </c>
      <c r="AK330" s="60">
        <v>125.59193746176879</v>
      </c>
      <c r="AL330" t="s">
        <v>343</v>
      </c>
      <c r="AM330" t="s">
        <v>435</v>
      </c>
      <c r="AN330" t="s">
        <v>425</v>
      </c>
      <c r="AO330" t="s">
        <v>81</v>
      </c>
      <c r="AP330">
        <v>111.133</v>
      </c>
      <c r="AQ330">
        <v>1.027287859172453</v>
      </c>
      <c r="AR330">
        <v>114.1655816534122</v>
      </c>
      <c r="AS330">
        <v>600.54999999999995</v>
      </c>
      <c r="AT330">
        <v>1</v>
      </c>
      <c r="AU330">
        <v>68.562140061956711</v>
      </c>
      <c r="AV330">
        <v>0.92730000000000001</v>
      </c>
      <c r="AW330" s="62">
        <v>63.578000000000003</v>
      </c>
      <c r="AX330">
        <v>8.9176000000000002</v>
      </c>
      <c r="AY330">
        <v>1</v>
      </c>
      <c r="AZ330">
        <v>5501.6038459908877</v>
      </c>
      <c r="BA330">
        <v>1.094557195571956</v>
      </c>
      <c r="BB330" s="62">
        <v>6021.8200999999999</v>
      </c>
      <c r="BC330" s="60">
        <v>120.5746045955146</v>
      </c>
    </row>
    <row r="331" spans="1:55" x14ac:dyDescent="0.25">
      <c r="A331">
        <v>60277</v>
      </c>
      <c r="B331" t="s">
        <v>112</v>
      </c>
      <c r="C331">
        <v>2018</v>
      </c>
      <c r="D331">
        <v>4</v>
      </c>
      <c r="E331" t="s">
        <v>100</v>
      </c>
      <c r="F331" t="s">
        <v>426</v>
      </c>
      <c r="G331" t="s">
        <v>84</v>
      </c>
      <c r="H331" t="s">
        <v>87</v>
      </c>
      <c r="I331" t="s">
        <v>427</v>
      </c>
      <c r="J331">
        <v>-1.7230753599999999</v>
      </c>
      <c r="K331" t="s">
        <v>440</v>
      </c>
      <c r="L331" t="s">
        <v>385</v>
      </c>
      <c r="M331">
        <v>0.39737542925016001</v>
      </c>
      <c r="N331">
        <v>0.68470781198647845</v>
      </c>
      <c r="O331">
        <v>30169.468000000001</v>
      </c>
      <c r="P331">
        <v>4.8744250000000003E-6</v>
      </c>
      <c r="Q331">
        <v>0.29411799999999999</v>
      </c>
      <c r="R331" s="60">
        <v>0.20138489224583911</v>
      </c>
      <c r="S331" t="s">
        <v>343</v>
      </c>
      <c r="T331" t="s">
        <v>435</v>
      </c>
      <c r="U331" t="s">
        <v>425</v>
      </c>
      <c r="V331" t="s">
        <v>27</v>
      </c>
      <c r="W331">
        <v>111.133</v>
      </c>
      <c r="X331">
        <v>1.027287859172453</v>
      </c>
      <c r="Y331">
        <v>114.1655816534122</v>
      </c>
      <c r="Z331">
        <v>625.54</v>
      </c>
      <c r="AA331">
        <v>1</v>
      </c>
      <c r="AB331">
        <v>71.4151379474755</v>
      </c>
      <c r="AC331">
        <v>0.95599999999999996</v>
      </c>
      <c r="AD331" s="62">
        <v>68.272999999999996</v>
      </c>
      <c r="AE331">
        <v>8.9176000000000002</v>
      </c>
      <c r="AF331">
        <v>9.1609422129562699</v>
      </c>
      <c r="AG331">
        <v>1</v>
      </c>
      <c r="AH331">
        <v>5730.5357918926647</v>
      </c>
      <c r="AI331">
        <v>1.0027686628383921</v>
      </c>
      <c r="AJ331" s="62">
        <v>5746.4017000000003</v>
      </c>
      <c r="AK331" s="60">
        <v>1157.238487155807</v>
      </c>
      <c r="AL331" t="s">
        <v>343</v>
      </c>
      <c r="AM331" t="s">
        <v>435</v>
      </c>
      <c r="AN331" t="s">
        <v>425</v>
      </c>
      <c r="AO331" t="s">
        <v>27</v>
      </c>
      <c r="AP331">
        <v>111.133</v>
      </c>
      <c r="AQ331">
        <v>1.027287859172453</v>
      </c>
      <c r="AR331">
        <v>114.1655816534122</v>
      </c>
      <c r="AS331">
        <v>600.54999999999995</v>
      </c>
      <c r="AT331">
        <v>1</v>
      </c>
      <c r="AU331">
        <v>68.562140061956711</v>
      </c>
      <c r="AV331">
        <v>0.95599999999999996</v>
      </c>
      <c r="AW331" s="62">
        <v>65.545000000000002</v>
      </c>
      <c r="AX331">
        <v>8.9176000000000002</v>
      </c>
      <c r="AY331">
        <v>1</v>
      </c>
      <c r="AZ331">
        <v>5501.6038459908877</v>
      </c>
      <c r="BA331">
        <v>1.0027686628383921</v>
      </c>
      <c r="BB331" s="62">
        <v>5516.8359</v>
      </c>
      <c r="BC331" s="60">
        <v>1111.0074032594771</v>
      </c>
    </row>
    <row r="332" spans="1:55" x14ac:dyDescent="0.25">
      <c r="A332">
        <v>60279</v>
      </c>
      <c r="B332" t="s">
        <v>112</v>
      </c>
      <c r="C332">
        <v>2018</v>
      </c>
      <c r="D332">
        <v>4</v>
      </c>
      <c r="E332" t="s">
        <v>100</v>
      </c>
      <c r="F332" t="s">
        <v>426</v>
      </c>
      <c r="G332" t="s">
        <v>84</v>
      </c>
      <c r="H332" t="s">
        <v>87</v>
      </c>
      <c r="I332" t="s">
        <v>427</v>
      </c>
      <c r="J332">
        <v>-1.7230753599999999</v>
      </c>
      <c r="K332" t="s">
        <v>440</v>
      </c>
      <c r="L332" t="s">
        <v>452</v>
      </c>
      <c r="M332">
        <v>8.4248020759000004E-4</v>
      </c>
      <c r="N332">
        <v>1.451656889479487E-3</v>
      </c>
      <c r="O332">
        <v>30169.468000000001</v>
      </c>
      <c r="P332">
        <v>4.8744250000000003E-6</v>
      </c>
      <c r="Q332">
        <v>0.29411799999999999</v>
      </c>
      <c r="R332" s="60">
        <v>4.2695842101992759E-4</v>
      </c>
      <c r="S332" t="s">
        <v>343</v>
      </c>
      <c r="T332" t="s">
        <v>435</v>
      </c>
      <c r="U332" t="s">
        <v>425</v>
      </c>
      <c r="V332" t="s">
        <v>28</v>
      </c>
      <c r="W332">
        <v>111.133</v>
      </c>
      <c r="X332">
        <v>1.027287859172453</v>
      </c>
      <c r="Y332">
        <v>114.1655816534122</v>
      </c>
      <c r="Z332">
        <v>625.54</v>
      </c>
      <c r="AA332">
        <v>1</v>
      </c>
      <c r="AB332">
        <v>71.4151379474755</v>
      </c>
      <c r="AC332">
        <v>1.0064</v>
      </c>
      <c r="AD332" s="62">
        <v>71.872</v>
      </c>
      <c r="AE332">
        <v>8.9176000000000002</v>
      </c>
      <c r="AF332">
        <v>9.1609422129562699</v>
      </c>
      <c r="AG332">
        <v>1</v>
      </c>
      <c r="AH332">
        <v>5730.5357918926647</v>
      </c>
      <c r="AI332">
        <v>0.98887576294546164</v>
      </c>
      <c r="AJ332" s="62">
        <v>5666.7879999999996</v>
      </c>
      <c r="AK332" s="60">
        <v>2.4194828567346729</v>
      </c>
      <c r="AL332" t="s">
        <v>343</v>
      </c>
      <c r="AM332" t="s">
        <v>435</v>
      </c>
      <c r="AN332" t="s">
        <v>425</v>
      </c>
      <c r="AO332" t="s">
        <v>28</v>
      </c>
      <c r="AP332">
        <v>111.133</v>
      </c>
      <c r="AQ332">
        <v>1.027287859172453</v>
      </c>
      <c r="AR332">
        <v>114.1655816534122</v>
      </c>
      <c r="AS332">
        <v>600.54999999999995</v>
      </c>
      <c r="AT332">
        <v>1</v>
      </c>
      <c r="AU332">
        <v>68.562140061956711</v>
      </c>
      <c r="AV332">
        <v>1.0064</v>
      </c>
      <c r="AW332" s="62">
        <v>69.001000000000005</v>
      </c>
      <c r="AX332">
        <v>8.9176000000000002</v>
      </c>
      <c r="AY332">
        <v>1</v>
      </c>
      <c r="AZ332">
        <v>5501.6038459908877</v>
      </c>
      <c r="BA332">
        <v>0.98887576294546164</v>
      </c>
      <c r="BB332" s="62">
        <v>5440.4026999999996</v>
      </c>
      <c r="BC332" s="60">
        <v>2.322825746504551</v>
      </c>
    </row>
    <row r="333" spans="1:55" x14ac:dyDescent="0.25">
      <c r="A333">
        <v>60281</v>
      </c>
      <c r="B333" t="s">
        <v>112</v>
      </c>
      <c r="C333">
        <v>2018</v>
      </c>
      <c r="D333">
        <v>4</v>
      </c>
      <c r="E333" t="s">
        <v>100</v>
      </c>
      <c r="F333" t="s">
        <v>426</v>
      </c>
      <c r="G333" t="s">
        <v>84</v>
      </c>
      <c r="H333" t="s">
        <v>59</v>
      </c>
      <c r="I333" t="s">
        <v>427</v>
      </c>
      <c r="J333">
        <v>-4.95451788</v>
      </c>
      <c r="K333" t="s">
        <v>440</v>
      </c>
      <c r="L333" t="s">
        <v>450</v>
      </c>
      <c r="M333">
        <v>0.15931709696460999</v>
      </c>
      <c r="N333">
        <v>0.78933940520159118</v>
      </c>
      <c r="O333">
        <v>30169.468000000001</v>
      </c>
      <c r="P333">
        <v>4.8744250000000003E-6</v>
      </c>
      <c r="Q333">
        <v>0.29411799999999999</v>
      </c>
      <c r="R333" s="60">
        <v>0.2321589271790816</v>
      </c>
      <c r="S333" t="s">
        <v>343</v>
      </c>
      <c r="T333" t="s">
        <v>435</v>
      </c>
      <c r="U333" t="s">
        <v>425</v>
      </c>
      <c r="V333" t="s">
        <v>26</v>
      </c>
      <c r="W333">
        <v>111.133</v>
      </c>
      <c r="X333">
        <v>1.027287859172453</v>
      </c>
      <c r="Y333">
        <v>114.1655816534122</v>
      </c>
      <c r="Z333">
        <v>625.54</v>
      </c>
      <c r="AA333">
        <v>1</v>
      </c>
      <c r="AB333">
        <v>71.4151379474755</v>
      </c>
      <c r="AC333">
        <v>0.97960000000000003</v>
      </c>
      <c r="AD333" s="62">
        <v>69.957999999999998</v>
      </c>
      <c r="AE333">
        <v>8.9176000000000002</v>
      </c>
      <c r="AF333">
        <v>9.1609422129562699</v>
      </c>
      <c r="AG333">
        <v>1</v>
      </c>
      <c r="AH333">
        <v>5730.5357918926647</v>
      </c>
      <c r="AI333">
        <v>0.98541811328241247</v>
      </c>
      <c r="AJ333" s="62">
        <v>5646.9737999999998</v>
      </c>
      <c r="AK333" s="60">
        <v>1310.9953792163819</v>
      </c>
      <c r="AL333" t="s">
        <v>343</v>
      </c>
      <c r="AM333" t="s">
        <v>435</v>
      </c>
      <c r="AN333" t="s">
        <v>425</v>
      </c>
      <c r="AO333" t="s">
        <v>26</v>
      </c>
      <c r="AP333">
        <v>111.133</v>
      </c>
      <c r="AQ333">
        <v>1.027287859172453</v>
      </c>
      <c r="AR333">
        <v>114.1655816534122</v>
      </c>
      <c r="AS333">
        <v>600.54999999999995</v>
      </c>
      <c r="AT333">
        <v>1</v>
      </c>
      <c r="AU333">
        <v>68.562140061956711</v>
      </c>
      <c r="AV333">
        <v>0.97960000000000003</v>
      </c>
      <c r="AW333" s="62">
        <v>67.162999999999997</v>
      </c>
      <c r="AX333">
        <v>8.9176000000000002</v>
      </c>
      <c r="AY333">
        <v>1</v>
      </c>
      <c r="AZ333">
        <v>5501.6038459908877</v>
      </c>
      <c r="BA333">
        <v>0.98541811328241247</v>
      </c>
      <c r="BB333" s="62">
        <v>5421.3801000000003</v>
      </c>
      <c r="BC333" s="60">
        <v>1258.621787846022</v>
      </c>
    </row>
    <row r="334" spans="1:55" x14ac:dyDescent="0.25">
      <c r="A334">
        <v>60283</v>
      </c>
      <c r="B334" t="s">
        <v>112</v>
      </c>
      <c r="C334">
        <v>2018</v>
      </c>
      <c r="D334">
        <v>4</v>
      </c>
      <c r="E334" t="s">
        <v>100</v>
      </c>
      <c r="F334" t="s">
        <v>426</v>
      </c>
      <c r="G334" t="s">
        <v>84</v>
      </c>
      <c r="H334" t="s">
        <v>59</v>
      </c>
      <c r="I334" t="s">
        <v>427</v>
      </c>
      <c r="J334">
        <v>-4.95451788</v>
      </c>
      <c r="K334" t="s">
        <v>440</v>
      </c>
      <c r="L334" t="s">
        <v>384</v>
      </c>
      <c r="M334">
        <v>4.1785183859599999E-2</v>
      </c>
      <c r="N334">
        <v>0.20702544047298591</v>
      </c>
      <c r="O334">
        <v>30169.468000000001</v>
      </c>
      <c r="P334">
        <v>4.8744250000000003E-6</v>
      </c>
      <c r="Q334">
        <v>0.29411799999999999</v>
      </c>
      <c r="R334" s="60">
        <v>6.0889908501033672E-2</v>
      </c>
      <c r="S334" t="s">
        <v>343</v>
      </c>
      <c r="T334" t="s">
        <v>435</v>
      </c>
      <c r="U334" t="s">
        <v>425</v>
      </c>
      <c r="V334" t="s">
        <v>81</v>
      </c>
      <c r="W334">
        <v>111.133</v>
      </c>
      <c r="X334">
        <v>1.027287859172453</v>
      </c>
      <c r="Y334">
        <v>114.1655816534122</v>
      </c>
      <c r="Z334">
        <v>625.54</v>
      </c>
      <c r="AA334">
        <v>1</v>
      </c>
      <c r="AB334">
        <v>71.4151379474755</v>
      </c>
      <c r="AC334">
        <v>0.92730000000000001</v>
      </c>
      <c r="AD334" s="62">
        <v>66.222999999999999</v>
      </c>
      <c r="AE334">
        <v>8.9176000000000002</v>
      </c>
      <c r="AF334">
        <v>9.1609422129562699</v>
      </c>
      <c r="AG334">
        <v>1</v>
      </c>
      <c r="AH334">
        <v>5730.5357918926647</v>
      </c>
      <c r="AI334">
        <v>1.094557195571956</v>
      </c>
      <c r="AJ334" s="62">
        <v>6272.3991999999998</v>
      </c>
      <c r="AK334" s="60">
        <v>381.92581336995681</v>
      </c>
      <c r="AL334" t="s">
        <v>343</v>
      </c>
      <c r="AM334" t="s">
        <v>435</v>
      </c>
      <c r="AN334" t="s">
        <v>425</v>
      </c>
      <c r="AO334" t="s">
        <v>81</v>
      </c>
      <c r="AP334">
        <v>111.133</v>
      </c>
      <c r="AQ334">
        <v>1.027287859172453</v>
      </c>
      <c r="AR334">
        <v>114.1655816534122</v>
      </c>
      <c r="AS334">
        <v>600.54999999999995</v>
      </c>
      <c r="AT334">
        <v>1</v>
      </c>
      <c r="AU334">
        <v>68.562140061956711</v>
      </c>
      <c r="AV334">
        <v>0.92730000000000001</v>
      </c>
      <c r="AW334" s="62">
        <v>63.578000000000003</v>
      </c>
      <c r="AX334">
        <v>8.9176000000000002</v>
      </c>
      <c r="AY334">
        <v>1</v>
      </c>
      <c r="AZ334">
        <v>5501.6038459908877</v>
      </c>
      <c r="BA334">
        <v>1.094557195571956</v>
      </c>
      <c r="BB334" s="62">
        <v>6021.8200999999999</v>
      </c>
      <c r="BC334" s="60">
        <v>366.66807489868552</v>
      </c>
    </row>
    <row r="335" spans="1:55" x14ac:dyDescent="0.25">
      <c r="A335">
        <v>60285</v>
      </c>
      <c r="B335" t="s">
        <v>112</v>
      </c>
      <c r="C335">
        <v>2018</v>
      </c>
      <c r="D335">
        <v>4</v>
      </c>
      <c r="E335" t="s">
        <v>100</v>
      </c>
      <c r="F335" t="s">
        <v>426</v>
      </c>
      <c r="G335" t="s">
        <v>84</v>
      </c>
      <c r="H335" t="s">
        <v>59</v>
      </c>
      <c r="I335" t="s">
        <v>427</v>
      </c>
      <c r="J335">
        <v>-4.95451788</v>
      </c>
      <c r="K335" t="s">
        <v>440</v>
      </c>
      <c r="L335" t="s">
        <v>385</v>
      </c>
      <c r="M335">
        <v>0.43497567483749999</v>
      </c>
      <c r="N335">
        <v>2.155094757530398</v>
      </c>
      <c r="O335">
        <v>30169.468000000001</v>
      </c>
      <c r="P335">
        <v>4.8744250000000003E-6</v>
      </c>
      <c r="Q335">
        <v>0.29411799999999999</v>
      </c>
      <c r="R335" s="60">
        <v>0.63385215989532551</v>
      </c>
      <c r="S335" t="s">
        <v>343</v>
      </c>
      <c r="T335" t="s">
        <v>435</v>
      </c>
      <c r="U335" t="s">
        <v>425</v>
      </c>
      <c r="V335" t="s">
        <v>27</v>
      </c>
      <c r="W335">
        <v>111.133</v>
      </c>
      <c r="X335">
        <v>1.027287859172453</v>
      </c>
      <c r="Y335">
        <v>114.1655816534122</v>
      </c>
      <c r="Z335">
        <v>625.54</v>
      </c>
      <c r="AA335">
        <v>1</v>
      </c>
      <c r="AB335">
        <v>71.4151379474755</v>
      </c>
      <c r="AC335">
        <v>0.95599999999999996</v>
      </c>
      <c r="AD335" s="62">
        <v>68.272999999999996</v>
      </c>
      <c r="AE335">
        <v>8.9176000000000002</v>
      </c>
      <c r="AF335">
        <v>9.1609422129562699</v>
      </c>
      <c r="AG335">
        <v>1</v>
      </c>
      <c r="AH335">
        <v>5730.5357918926647</v>
      </c>
      <c r="AI335">
        <v>1.0027686628383921</v>
      </c>
      <c r="AJ335" s="62">
        <v>5746.4017000000003</v>
      </c>
      <c r="AK335" s="60">
        <v>3642.3691291711712</v>
      </c>
      <c r="AL335" t="s">
        <v>343</v>
      </c>
      <c r="AM335" t="s">
        <v>435</v>
      </c>
      <c r="AN335" t="s">
        <v>425</v>
      </c>
      <c r="AO335" t="s">
        <v>27</v>
      </c>
      <c r="AP335">
        <v>111.133</v>
      </c>
      <c r="AQ335">
        <v>1.027287859172453</v>
      </c>
      <c r="AR335">
        <v>114.1655816534122</v>
      </c>
      <c r="AS335">
        <v>600.54999999999995</v>
      </c>
      <c r="AT335">
        <v>1</v>
      </c>
      <c r="AU335">
        <v>68.562140061956711</v>
      </c>
      <c r="AV335">
        <v>0.95599999999999996</v>
      </c>
      <c r="AW335" s="62">
        <v>65.545000000000002</v>
      </c>
      <c r="AX335">
        <v>8.9176000000000002</v>
      </c>
      <c r="AY335">
        <v>1</v>
      </c>
      <c r="AZ335">
        <v>5501.6038459908877</v>
      </c>
      <c r="BA335">
        <v>1.0027686628383921</v>
      </c>
      <c r="BB335" s="62">
        <v>5516.8359</v>
      </c>
      <c r="BC335" s="60">
        <v>3496.8583510030721</v>
      </c>
    </row>
    <row r="336" spans="1:55" x14ac:dyDescent="0.25">
      <c r="A336">
        <v>60287</v>
      </c>
      <c r="B336" t="s">
        <v>112</v>
      </c>
      <c r="C336">
        <v>2018</v>
      </c>
      <c r="D336">
        <v>4</v>
      </c>
      <c r="E336" t="s">
        <v>100</v>
      </c>
      <c r="F336" t="s">
        <v>426</v>
      </c>
      <c r="G336" t="s">
        <v>84</v>
      </c>
      <c r="H336" t="s">
        <v>59</v>
      </c>
      <c r="I336" t="s">
        <v>427</v>
      </c>
      <c r="J336">
        <v>-4.95451788</v>
      </c>
      <c r="K336" t="s">
        <v>440</v>
      </c>
      <c r="L336" t="s">
        <v>451</v>
      </c>
      <c r="M336">
        <v>1.7625750762999999E-3</v>
      </c>
      <c r="N336">
        <v>8.7327097270598758E-3</v>
      </c>
      <c r="O336">
        <v>30169.468000000001</v>
      </c>
      <c r="P336">
        <v>4.8744250000000003E-6</v>
      </c>
      <c r="Q336">
        <v>0.29411799999999999</v>
      </c>
      <c r="R336" s="60">
        <v>2.5684471195033969E-3</v>
      </c>
      <c r="S336" t="s">
        <v>343</v>
      </c>
      <c r="T336" t="s">
        <v>435</v>
      </c>
      <c r="U336" t="s">
        <v>425</v>
      </c>
      <c r="V336" t="s">
        <v>91</v>
      </c>
      <c r="W336">
        <v>111.133</v>
      </c>
      <c r="X336">
        <v>1.027287859172453</v>
      </c>
      <c r="Y336">
        <v>114.1655816534122</v>
      </c>
      <c r="Z336">
        <v>625.54</v>
      </c>
      <c r="AA336">
        <v>1</v>
      </c>
      <c r="AB336">
        <v>71.4151379474755</v>
      </c>
      <c r="AC336">
        <v>1.0056</v>
      </c>
      <c r="AD336" s="62">
        <v>71.814999999999998</v>
      </c>
      <c r="AE336">
        <v>8.9176000000000002</v>
      </c>
      <c r="AF336">
        <v>9.1609422129562699</v>
      </c>
      <c r="AG336">
        <v>1</v>
      </c>
      <c r="AH336">
        <v>5730.5357918926647</v>
      </c>
      <c r="AI336">
        <v>0.98408824677860207</v>
      </c>
      <c r="AJ336" s="62">
        <v>5639.3528999999999</v>
      </c>
      <c r="AK336" s="60">
        <v>14.484379711868129</v>
      </c>
      <c r="AL336" t="s">
        <v>343</v>
      </c>
      <c r="AM336" t="s">
        <v>435</v>
      </c>
      <c r="AN336" t="s">
        <v>425</v>
      </c>
      <c r="AO336" t="s">
        <v>91</v>
      </c>
      <c r="AP336">
        <v>111.133</v>
      </c>
      <c r="AQ336">
        <v>1.027287859172453</v>
      </c>
      <c r="AR336">
        <v>114.1655816534122</v>
      </c>
      <c r="AS336">
        <v>600.54999999999995</v>
      </c>
      <c r="AT336">
        <v>1</v>
      </c>
      <c r="AU336">
        <v>68.562140061956711</v>
      </c>
      <c r="AV336">
        <v>1.0056</v>
      </c>
      <c r="AW336" s="62">
        <v>68.945999999999998</v>
      </c>
      <c r="AX336">
        <v>8.9176000000000002</v>
      </c>
      <c r="AY336">
        <v>1</v>
      </c>
      <c r="AZ336">
        <v>5501.6038459908877</v>
      </c>
      <c r="BA336">
        <v>0.98408824677860207</v>
      </c>
      <c r="BB336" s="62">
        <v>5414.0636999999997</v>
      </c>
      <c r="BC336" s="60">
        <v>13.9057363150729</v>
      </c>
    </row>
    <row r="337" spans="1:55" x14ac:dyDescent="0.25">
      <c r="A337">
        <v>60289</v>
      </c>
      <c r="B337" t="s">
        <v>112</v>
      </c>
      <c r="C337">
        <v>2018</v>
      </c>
      <c r="D337">
        <v>4</v>
      </c>
      <c r="E337" t="s">
        <v>100</v>
      </c>
      <c r="F337" t="s">
        <v>426</v>
      </c>
      <c r="G337" t="s">
        <v>84</v>
      </c>
      <c r="H337" t="s">
        <v>59</v>
      </c>
      <c r="I337" t="s">
        <v>427</v>
      </c>
      <c r="J337">
        <v>-4.95451788</v>
      </c>
      <c r="K337" t="s">
        <v>440</v>
      </c>
      <c r="L337" t="s">
        <v>452</v>
      </c>
      <c r="M337">
        <v>1.4858046103299999E-3</v>
      </c>
      <c r="N337">
        <v>7.3614455052754676E-3</v>
      </c>
      <c r="O337">
        <v>30169.468000000001</v>
      </c>
      <c r="P337">
        <v>4.8744250000000003E-6</v>
      </c>
      <c r="Q337">
        <v>0.29411799999999999</v>
      </c>
      <c r="R337" s="60">
        <v>2.1651336291206098E-3</v>
      </c>
      <c r="S337" t="s">
        <v>343</v>
      </c>
      <c r="T337" t="s">
        <v>435</v>
      </c>
      <c r="U337" t="s">
        <v>425</v>
      </c>
      <c r="V337" t="s">
        <v>28</v>
      </c>
      <c r="W337">
        <v>111.133</v>
      </c>
      <c r="X337">
        <v>1.027287859172453</v>
      </c>
      <c r="Y337">
        <v>114.1655816534122</v>
      </c>
      <c r="Z337">
        <v>625.54</v>
      </c>
      <c r="AA337">
        <v>1</v>
      </c>
      <c r="AB337">
        <v>71.4151379474755</v>
      </c>
      <c r="AC337">
        <v>1.0064</v>
      </c>
      <c r="AD337" s="62">
        <v>71.872</v>
      </c>
      <c r="AE337">
        <v>8.9176000000000002</v>
      </c>
      <c r="AF337">
        <v>9.1609422129562699</v>
      </c>
      <c r="AG337">
        <v>1</v>
      </c>
      <c r="AH337">
        <v>5730.5357918926647</v>
      </c>
      <c r="AI337">
        <v>0.98887576294546164</v>
      </c>
      <c r="AJ337" s="62">
        <v>5666.7879999999996</v>
      </c>
      <c r="AK337" s="60">
        <v>12.26935326789712</v>
      </c>
      <c r="AL337" t="s">
        <v>343</v>
      </c>
      <c r="AM337" t="s">
        <v>435</v>
      </c>
      <c r="AN337" t="s">
        <v>425</v>
      </c>
      <c r="AO337" t="s">
        <v>28</v>
      </c>
      <c r="AP337">
        <v>111.133</v>
      </c>
      <c r="AQ337">
        <v>1.027287859172453</v>
      </c>
      <c r="AR337">
        <v>114.1655816534122</v>
      </c>
      <c r="AS337">
        <v>600.54999999999995</v>
      </c>
      <c r="AT337">
        <v>1</v>
      </c>
      <c r="AU337">
        <v>68.562140061956711</v>
      </c>
      <c r="AV337">
        <v>1.0064</v>
      </c>
      <c r="AW337" s="62">
        <v>69.001000000000005</v>
      </c>
      <c r="AX337">
        <v>8.9176000000000002</v>
      </c>
      <c r="AY337">
        <v>1</v>
      </c>
      <c r="AZ337">
        <v>5501.6038459908877</v>
      </c>
      <c r="BA337">
        <v>0.98887576294546164</v>
      </c>
      <c r="BB337" s="62">
        <v>5440.4026999999996</v>
      </c>
      <c r="BC337" s="60">
        <v>11.77919884172857</v>
      </c>
    </row>
    <row r="338" spans="1:55" x14ac:dyDescent="0.25">
      <c r="A338">
        <v>65911</v>
      </c>
      <c r="B338" t="s">
        <v>120</v>
      </c>
      <c r="C338">
        <v>2018</v>
      </c>
      <c r="D338">
        <v>5</v>
      </c>
      <c r="E338" t="s">
        <v>100</v>
      </c>
      <c r="F338" t="s">
        <v>426</v>
      </c>
      <c r="G338" t="s">
        <v>84</v>
      </c>
      <c r="H338" t="s">
        <v>381</v>
      </c>
      <c r="I338" t="s">
        <v>427</v>
      </c>
      <c r="J338">
        <v>-9.2807253799999998</v>
      </c>
      <c r="K338" t="s">
        <v>440</v>
      </c>
      <c r="L338" t="s">
        <v>450</v>
      </c>
      <c r="M338">
        <v>0.15011157993331001</v>
      </c>
      <c r="N338">
        <v>1.3931443499578</v>
      </c>
      <c r="O338">
        <v>30169.468000000001</v>
      </c>
      <c r="P338">
        <v>4.8744250000000003E-6</v>
      </c>
      <c r="Q338">
        <v>0.29411799999999999</v>
      </c>
      <c r="R338" s="60">
        <v>0.40974882992088829</v>
      </c>
      <c r="S338" t="s">
        <v>343</v>
      </c>
      <c r="T338" t="s">
        <v>435</v>
      </c>
      <c r="U338" t="s">
        <v>425</v>
      </c>
      <c r="V338" t="s">
        <v>26</v>
      </c>
      <c r="W338">
        <v>111.133</v>
      </c>
      <c r="X338">
        <v>1.027287859172453</v>
      </c>
      <c r="Y338">
        <v>114.1655816534122</v>
      </c>
      <c r="Z338">
        <v>625.54</v>
      </c>
      <c r="AA338">
        <v>1</v>
      </c>
      <c r="AB338">
        <v>71.4151379474755</v>
      </c>
      <c r="AC338">
        <v>0.97960000000000003</v>
      </c>
      <c r="AD338" s="62">
        <v>69.957999999999998</v>
      </c>
      <c r="AE338">
        <v>8.9176000000000002</v>
      </c>
      <c r="AF338">
        <v>9.1609422129562699</v>
      </c>
      <c r="AG338">
        <v>1</v>
      </c>
      <c r="AH338">
        <v>5730.5357918926647</v>
      </c>
      <c r="AI338">
        <v>0.98541811328241247</v>
      </c>
      <c r="AJ338" s="62">
        <v>5646.9737999999998</v>
      </c>
      <c r="AK338" s="60">
        <v>2313.8409071439119</v>
      </c>
      <c r="AL338" t="s">
        <v>343</v>
      </c>
      <c r="AM338" t="s">
        <v>435</v>
      </c>
      <c r="AN338" t="s">
        <v>425</v>
      </c>
      <c r="AO338" t="s">
        <v>26</v>
      </c>
      <c r="AP338">
        <v>111.133</v>
      </c>
      <c r="AQ338">
        <v>1.027287859172453</v>
      </c>
      <c r="AR338">
        <v>114.1655816534122</v>
      </c>
      <c r="AS338">
        <v>626.12</v>
      </c>
      <c r="AT338">
        <v>1</v>
      </c>
      <c r="AU338">
        <v>71.481353984834485</v>
      </c>
      <c r="AV338">
        <v>0.97960000000000003</v>
      </c>
      <c r="AW338" s="62">
        <v>70.022999999999996</v>
      </c>
      <c r="AX338">
        <v>8.9176000000000002</v>
      </c>
      <c r="AY338">
        <v>1</v>
      </c>
      <c r="AZ338">
        <v>5735.8491383761793</v>
      </c>
      <c r="BA338">
        <v>0.98541811328241247</v>
      </c>
      <c r="BB338" s="62">
        <v>5652.2096000000001</v>
      </c>
      <c r="BC338" s="60">
        <v>2315.9862700676122</v>
      </c>
    </row>
    <row r="339" spans="1:55" x14ac:dyDescent="0.25">
      <c r="A339">
        <v>65913</v>
      </c>
      <c r="B339" t="s">
        <v>120</v>
      </c>
      <c r="C339">
        <v>2018</v>
      </c>
      <c r="D339">
        <v>5</v>
      </c>
      <c r="E339" t="s">
        <v>100</v>
      </c>
      <c r="F339" t="s">
        <v>426</v>
      </c>
      <c r="G339" t="s">
        <v>84</v>
      </c>
      <c r="H339" t="s">
        <v>381</v>
      </c>
      <c r="I339" t="s">
        <v>427</v>
      </c>
      <c r="J339">
        <v>-9.2807253799999998</v>
      </c>
      <c r="K339" t="s">
        <v>440</v>
      </c>
      <c r="L339" t="s">
        <v>384</v>
      </c>
      <c r="M339">
        <v>4.5811354346740003E-2</v>
      </c>
      <c r="N339">
        <v>0.4251625990508503</v>
      </c>
      <c r="O339">
        <v>30169.468000000001</v>
      </c>
      <c r="P339">
        <v>4.8744250000000003E-6</v>
      </c>
      <c r="Q339">
        <v>0.29411799999999999</v>
      </c>
      <c r="R339" s="60">
        <v>0.12504797330763801</v>
      </c>
      <c r="S339" t="s">
        <v>343</v>
      </c>
      <c r="T339" t="s">
        <v>435</v>
      </c>
      <c r="U339" t="s">
        <v>425</v>
      </c>
      <c r="V339" t="s">
        <v>81</v>
      </c>
      <c r="W339">
        <v>111.133</v>
      </c>
      <c r="X339">
        <v>1.027287859172453</v>
      </c>
      <c r="Y339">
        <v>114.1655816534122</v>
      </c>
      <c r="Z339">
        <v>625.54</v>
      </c>
      <c r="AA339">
        <v>1</v>
      </c>
      <c r="AB339">
        <v>71.4151379474755</v>
      </c>
      <c r="AC339">
        <v>0.92730000000000001</v>
      </c>
      <c r="AD339" s="62">
        <v>66.222999999999999</v>
      </c>
      <c r="AE339">
        <v>8.9176000000000002</v>
      </c>
      <c r="AF339">
        <v>9.1609422129562699</v>
      </c>
      <c r="AG339">
        <v>1</v>
      </c>
      <c r="AH339">
        <v>5730.5357918926647</v>
      </c>
      <c r="AI339">
        <v>1.094557195571956</v>
      </c>
      <c r="AJ339" s="62">
        <v>6272.3991999999998</v>
      </c>
      <c r="AK339" s="60">
        <v>784.35080773644984</v>
      </c>
      <c r="AL339" t="s">
        <v>343</v>
      </c>
      <c r="AM339" t="s">
        <v>435</v>
      </c>
      <c r="AN339" t="s">
        <v>425</v>
      </c>
      <c r="AO339" t="s">
        <v>81</v>
      </c>
      <c r="AP339">
        <v>111.133</v>
      </c>
      <c r="AQ339">
        <v>1.027287859172453</v>
      </c>
      <c r="AR339">
        <v>114.1655816534122</v>
      </c>
      <c r="AS339">
        <v>626.12</v>
      </c>
      <c r="AT339">
        <v>1</v>
      </c>
      <c r="AU339">
        <v>71.481353984834485</v>
      </c>
      <c r="AV339">
        <v>0.92730000000000001</v>
      </c>
      <c r="AW339" s="62">
        <v>66.284999999999997</v>
      </c>
      <c r="AX339">
        <v>8.9176000000000002</v>
      </c>
      <c r="AY339">
        <v>1</v>
      </c>
      <c r="AZ339">
        <v>5735.8491383761793</v>
      </c>
      <c r="BA339">
        <v>1.094557195571956</v>
      </c>
      <c r="BB339" s="62">
        <v>6278.2148999999999</v>
      </c>
      <c r="BC339" s="60">
        <v>785.07804923481501</v>
      </c>
    </row>
    <row r="340" spans="1:55" x14ac:dyDescent="0.25">
      <c r="A340">
        <v>65915</v>
      </c>
      <c r="B340" t="s">
        <v>120</v>
      </c>
      <c r="C340">
        <v>2018</v>
      </c>
      <c r="D340">
        <v>5</v>
      </c>
      <c r="E340" t="s">
        <v>100</v>
      </c>
      <c r="F340" t="s">
        <v>426</v>
      </c>
      <c r="G340" t="s">
        <v>84</v>
      </c>
      <c r="H340" t="s">
        <v>381</v>
      </c>
      <c r="I340" t="s">
        <v>427</v>
      </c>
      <c r="J340">
        <v>-9.2807253799999998</v>
      </c>
      <c r="K340" t="s">
        <v>440</v>
      </c>
      <c r="L340" t="s">
        <v>385</v>
      </c>
      <c r="M340">
        <v>0.43232641346992001</v>
      </c>
      <c r="N340">
        <v>4.0123027186225029</v>
      </c>
      <c r="O340">
        <v>30169.468000000001</v>
      </c>
      <c r="P340">
        <v>4.8744250000000003E-6</v>
      </c>
      <c r="Q340">
        <v>0.29411799999999999</v>
      </c>
      <c r="R340" s="60">
        <v>1.180090450995813</v>
      </c>
      <c r="S340" t="s">
        <v>343</v>
      </c>
      <c r="T340" t="s">
        <v>435</v>
      </c>
      <c r="U340" t="s">
        <v>425</v>
      </c>
      <c r="V340" t="s">
        <v>27</v>
      </c>
      <c r="W340">
        <v>111.133</v>
      </c>
      <c r="X340">
        <v>1.027287859172453</v>
      </c>
      <c r="Y340">
        <v>114.1655816534122</v>
      </c>
      <c r="Z340">
        <v>625.54</v>
      </c>
      <c r="AA340">
        <v>1</v>
      </c>
      <c r="AB340">
        <v>71.4151379474755</v>
      </c>
      <c r="AC340">
        <v>0.95599999999999996</v>
      </c>
      <c r="AD340" s="62">
        <v>68.272999999999996</v>
      </c>
      <c r="AE340">
        <v>8.9176000000000002</v>
      </c>
      <c r="AF340">
        <v>9.1609422129562699</v>
      </c>
      <c r="AG340">
        <v>1</v>
      </c>
      <c r="AH340">
        <v>5730.5357918926647</v>
      </c>
      <c r="AI340">
        <v>1.0027686628383921</v>
      </c>
      <c r="AJ340" s="62">
        <v>5746.4017000000003</v>
      </c>
      <c r="AK340" s="60">
        <v>6781.2737737561083</v>
      </c>
      <c r="AL340" t="s">
        <v>343</v>
      </c>
      <c r="AM340" t="s">
        <v>435</v>
      </c>
      <c r="AN340" t="s">
        <v>425</v>
      </c>
      <c r="AO340" t="s">
        <v>27</v>
      </c>
      <c r="AP340">
        <v>111.133</v>
      </c>
      <c r="AQ340">
        <v>1.027287859172453</v>
      </c>
      <c r="AR340">
        <v>114.1655816534122</v>
      </c>
      <c r="AS340">
        <v>626.12</v>
      </c>
      <c r="AT340">
        <v>1</v>
      </c>
      <c r="AU340">
        <v>71.481353984834485</v>
      </c>
      <c r="AV340">
        <v>0.95599999999999996</v>
      </c>
      <c r="AW340" s="62">
        <v>68.335999999999999</v>
      </c>
      <c r="AX340">
        <v>8.9176000000000002</v>
      </c>
      <c r="AY340">
        <v>1</v>
      </c>
      <c r="AZ340">
        <v>5735.8491383761793</v>
      </c>
      <c r="BA340">
        <v>1.0027686628383921</v>
      </c>
      <c r="BB340" s="62">
        <v>5751.7298000000001</v>
      </c>
      <c r="BC340" s="60">
        <v>6787.5614136880586</v>
      </c>
    </row>
    <row r="341" spans="1:55" x14ac:dyDescent="0.25">
      <c r="A341">
        <v>65917</v>
      </c>
      <c r="B341" t="s">
        <v>120</v>
      </c>
      <c r="C341">
        <v>2018</v>
      </c>
      <c r="D341">
        <v>5</v>
      </c>
      <c r="E341" t="s">
        <v>100</v>
      </c>
      <c r="F341" t="s">
        <v>426</v>
      </c>
      <c r="G341" t="s">
        <v>84</v>
      </c>
      <c r="H341" t="s">
        <v>381</v>
      </c>
      <c r="I341" t="s">
        <v>427</v>
      </c>
      <c r="J341">
        <v>-9.2807253799999998</v>
      </c>
      <c r="K341" t="s">
        <v>440</v>
      </c>
      <c r="L341" t="s">
        <v>451</v>
      </c>
      <c r="M341">
        <v>1.6825115802299999E-3</v>
      </c>
      <c r="N341">
        <v>1.561492792746139E-2</v>
      </c>
      <c r="O341">
        <v>30169.468000000001</v>
      </c>
      <c r="P341">
        <v>4.8744250000000003E-6</v>
      </c>
      <c r="Q341">
        <v>0.29411799999999999</v>
      </c>
      <c r="R341" s="60">
        <v>4.5926313721690879E-3</v>
      </c>
      <c r="S341" t="s">
        <v>343</v>
      </c>
      <c r="T341" t="s">
        <v>435</v>
      </c>
      <c r="U341" t="s">
        <v>425</v>
      </c>
      <c r="V341" t="s">
        <v>91</v>
      </c>
      <c r="W341">
        <v>111.133</v>
      </c>
      <c r="X341">
        <v>1.027287859172453</v>
      </c>
      <c r="Y341">
        <v>114.1655816534122</v>
      </c>
      <c r="Z341">
        <v>625.54</v>
      </c>
      <c r="AA341">
        <v>1</v>
      </c>
      <c r="AB341">
        <v>71.4151379474755</v>
      </c>
      <c r="AC341">
        <v>1.0056</v>
      </c>
      <c r="AD341" s="62">
        <v>71.814999999999998</v>
      </c>
      <c r="AE341">
        <v>8.9176000000000002</v>
      </c>
      <c r="AF341">
        <v>9.1609422129562699</v>
      </c>
      <c r="AG341">
        <v>1</v>
      </c>
      <c r="AH341">
        <v>5730.5357918926647</v>
      </c>
      <c r="AI341">
        <v>0.98408824677860207</v>
      </c>
      <c r="AJ341" s="62">
        <v>5639.3528999999999</v>
      </c>
      <c r="AK341" s="60">
        <v>25.899469047272721</v>
      </c>
      <c r="AL341" t="s">
        <v>343</v>
      </c>
      <c r="AM341" t="s">
        <v>435</v>
      </c>
      <c r="AN341" t="s">
        <v>425</v>
      </c>
      <c r="AO341" t="s">
        <v>91</v>
      </c>
      <c r="AP341">
        <v>111.133</v>
      </c>
      <c r="AQ341">
        <v>1.027287859172453</v>
      </c>
      <c r="AR341">
        <v>114.1655816534122</v>
      </c>
      <c r="AS341">
        <v>626.12</v>
      </c>
      <c r="AT341">
        <v>1</v>
      </c>
      <c r="AU341">
        <v>71.481353984834485</v>
      </c>
      <c r="AV341">
        <v>1.0056</v>
      </c>
      <c r="AW341" s="62">
        <v>71.882000000000005</v>
      </c>
      <c r="AX341">
        <v>8.9176000000000002</v>
      </c>
      <c r="AY341">
        <v>1</v>
      </c>
      <c r="AZ341">
        <v>5735.8491383761793</v>
      </c>
      <c r="BA341">
        <v>0.98408824677860207</v>
      </c>
      <c r="BB341" s="62">
        <v>5644.5816999999997</v>
      </c>
      <c r="BC341" s="60">
        <v>25.92348299819152</v>
      </c>
    </row>
    <row r="342" spans="1:55" x14ac:dyDescent="0.25">
      <c r="A342">
        <v>65919</v>
      </c>
      <c r="B342" t="s">
        <v>120</v>
      </c>
      <c r="C342">
        <v>2018</v>
      </c>
      <c r="D342">
        <v>5</v>
      </c>
      <c r="E342" t="s">
        <v>100</v>
      </c>
      <c r="F342" t="s">
        <v>426</v>
      </c>
      <c r="G342" t="s">
        <v>84</v>
      </c>
      <c r="H342" t="s">
        <v>381</v>
      </c>
      <c r="I342" t="s">
        <v>427</v>
      </c>
      <c r="J342">
        <v>-9.2807253799999998</v>
      </c>
      <c r="K342" t="s">
        <v>440</v>
      </c>
      <c r="L342" t="s">
        <v>452</v>
      </c>
      <c r="M342">
        <v>1.53682162831E-3</v>
      </c>
      <c r="N342">
        <v>1.426281949283467E-2</v>
      </c>
      <c r="O342">
        <v>30169.468000000001</v>
      </c>
      <c r="P342">
        <v>4.8744250000000003E-6</v>
      </c>
      <c r="Q342">
        <v>0.29411799999999999</v>
      </c>
      <c r="R342" s="60">
        <v>4.1949519435935468E-3</v>
      </c>
      <c r="S342" t="s">
        <v>343</v>
      </c>
      <c r="T342" t="s">
        <v>435</v>
      </c>
      <c r="U342" t="s">
        <v>425</v>
      </c>
      <c r="V342" t="s">
        <v>28</v>
      </c>
      <c r="W342">
        <v>111.133</v>
      </c>
      <c r="X342">
        <v>1.027287859172453</v>
      </c>
      <c r="Y342">
        <v>114.1655816534122</v>
      </c>
      <c r="Z342">
        <v>625.54</v>
      </c>
      <c r="AA342">
        <v>1</v>
      </c>
      <c r="AB342">
        <v>71.4151379474755</v>
      </c>
      <c r="AC342">
        <v>1.0064</v>
      </c>
      <c r="AD342" s="62">
        <v>71.872</v>
      </c>
      <c r="AE342">
        <v>8.9176000000000002</v>
      </c>
      <c r="AF342">
        <v>9.1609422129562699</v>
      </c>
      <c r="AG342">
        <v>1</v>
      </c>
      <c r="AH342">
        <v>5730.5357918926647</v>
      </c>
      <c r="AI342">
        <v>0.98887576294546164</v>
      </c>
      <c r="AJ342" s="62">
        <v>5666.7879999999996</v>
      </c>
      <c r="AK342" s="60">
        <v>23.771903334532581</v>
      </c>
      <c r="AL342" t="s">
        <v>343</v>
      </c>
      <c r="AM342" t="s">
        <v>435</v>
      </c>
      <c r="AN342" t="s">
        <v>425</v>
      </c>
      <c r="AO342" t="s">
        <v>28</v>
      </c>
      <c r="AP342">
        <v>111.133</v>
      </c>
      <c r="AQ342">
        <v>1.027287859172453</v>
      </c>
      <c r="AR342">
        <v>114.1655816534122</v>
      </c>
      <c r="AS342">
        <v>626.12</v>
      </c>
      <c r="AT342">
        <v>1</v>
      </c>
      <c r="AU342">
        <v>71.481353984834485</v>
      </c>
      <c r="AV342">
        <v>1.0064</v>
      </c>
      <c r="AW342" s="62">
        <v>71.938999999999993</v>
      </c>
      <c r="AX342">
        <v>8.9176000000000002</v>
      </c>
      <c r="AY342">
        <v>1</v>
      </c>
      <c r="AZ342">
        <v>5735.8491383761793</v>
      </c>
      <c r="BA342">
        <v>0.98887576294546164</v>
      </c>
      <c r="BB342" s="62">
        <v>5672.0421999999999</v>
      </c>
      <c r="BC342" s="60">
        <v>23.793944451034619</v>
      </c>
    </row>
    <row r="343" spans="1:55" x14ac:dyDescent="0.25">
      <c r="A343">
        <v>65921</v>
      </c>
      <c r="B343" t="s">
        <v>120</v>
      </c>
      <c r="C343">
        <v>2018</v>
      </c>
      <c r="D343">
        <v>5</v>
      </c>
      <c r="E343" t="s">
        <v>100</v>
      </c>
      <c r="F343" t="s">
        <v>426</v>
      </c>
      <c r="G343" t="s">
        <v>84</v>
      </c>
      <c r="H343" t="s">
        <v>87</v>
      </c>
      <c r="I343" t="s">
        <v>427</v>
      </c>
      <c r="J343">
        <v>-1.70541429</v>
      </c>
      <c r="K343" t="s">
        <v>440</v>
      </c>
      <c r="L343" t="s">
        <v>450</v>
      </c>
      <c r="M343">
        <v>0.26601384014995</v>
      </c>
      <c r="N343">
        <v>0.45366380556955938</v>
      </c>
      <c r="O343">
        <v>30169.468000000001</v>
      </c>
      <c r="P343">
        <v>4.8744250000000003E-6</v>
      </c>
      <c r="Q343">
        <v>0.29411799999999999</v>
      </c>
      <c r="R343" s="60">
        <v>0.13343069116650769</v>
      </c>
      <c r="S343" t="s">
        <v>343</v>
      </c>
      <c r="T343" t="s">
        <v>435</v>
      </c>
      <c r="U343" t="s">
        <v>425</v>
      </c>
      <c r="V343" t="s">
        <v>26</v>
      </c>
      <c r="W343">
        <v>111.133</v>
      </c>
      <c r="X343">
        <v>1.027287859172453</v>
      </c>
      <c r="Y343">
        <v>114.1655816534122</v>
      </c>
      <c r="Z343">
        <v>625.54</v>
      </c>
      <c r="AA343">
        <v>1</v>
      </c>
      <c r="AB343">
        <v>71.4151379474755</v>
      </c>
      <c r="AC343">
        <v>0.97960000000000003</v>
      </c>
      <c r="AD343" s="62">
        <v>69.957999999999998</v>
      </c>
      <c r="AE343">
        <v>8.9176000000000002</v>
      </c>
      <c r="AF343">
        <v>9.1609422129562699</v>
      </c>
      <c r="AG343">
        <v>1</v>
      </c>
      <c r="AH343">
        <v>5730.5357918926647</v>
      </c>
      <c r="AI343">
        <v>0.98541811328241247</v>
      </c>
      <c r="AJ343" s="62">
        <v>5646.9737999999998</v>
      </c>
      <c r="AK343" s="60">
        <v>753.4796171331601</v>
      </c>
      <c r="AL343" t="s">
        <v>343</v>
      </c>
      <c r="AM343" t="s">
        <v>435</v>
      </c>
      <c r="AN343" t="s">
        <v>425</v>
      </c>
      <c r="AO343" t="s">
        <v>26</v>
      </c>
      <c r="AP343">
        <v>111.133</v>
      </c>
      <c r="AQ343">
        <v>1.027287859172453</v>
      </c>
      <c r="AR343">
        <v>114.1655816534122</v>
      </c>
      <c r="AS343">
        <v>626.12</v>
      </c>
      <c r="AT343">
        <v>1</v>
      </c>
      <c r="AU343">
        <v>71.481353984834485</v>
      </c>
      <c r="AV343">
        <v>0.97960000000000003</v>
      </c>
      <c r="AW343" s="62">
        <v>70.022999999999996</v>
      </c>
      <c r="AX343">
        <v>8.9176000000000002</v>
      </c>
      <c r="AY343">
        <v>1</v>
      </c>
      <c r="AZ343">
        <v>5735.8491383761793</v>
      </c>
      <c r="BA343">
        <v>0.98541811328241247</v>
      </c>
      <c r="BB343" s="62">
        <v>5652.2096000000001</v>
      </c>
      <c r="BC343" s="60">
        <v>754.17823354596976</v>
      </c>
    </row>
    <row r="344" spans="1:55" x14ac:dyDescent="0.25">
      <c r="A344">
        <v>65923</v>
      </c>
      <c r="B344" t="s">
        <v>120</v>
      </c>
      <c r="C344">
        <v>2018</v>
      </c>
      <c r="D344">
        <v>5</v>
      </c>
      <c r="E344" t="s">
        <v>100</v>
      </c>
      <c r="F344" t="s">
        <v>426</v>
      </c>
      <c r="G344" t="s">
        <v>84</v>
      </c>
      <c r="H344" t="s">
        <v>87</v>
      </c>
      <c r="I344" t="s">
        <v>427</v>
      </c>
      <c r="J344">
        <v>-1.70541429</v>
      </c>
      <c r="K344" t="s">
        <v>440</v>
      </c>
      <c r="L344" t="s">
        <v>384</v>
      </c>
      <c r="M344">
        <v>3.9509559941419997E-2</v>
      </c>
      <c r="N344">
        <v>6.7380168299888299E-2</v>
      </c>
      <c r="O344">
        <v>30169.468000000001</v>
      </c>
      <c r="P344">
        <v>4.8744250000000003E-6</v>
      </c>
      <c r="Q344">
        <v>0.29411799999999999</v>
      </c>
      <c r="R344" s="60">
        <v>1.9817720340026549E-2</v>
      </c>
      <c r="S344" t="s">
        <v>343</v>
      </c>
      <c r="T344" t="s">
        <v>435</v>
      </c>
      <c r="U344" t="s">
        <v>425</v>
      </c>
      <c r="V344" t="s">
        <v>81</v>
      </c>
      <c r="W344">
        <v>111.133</v>
      </c>
      <c r="X344">
        <v>1.027287859172453</v>
      </c>
      <c r="Y344">
        <v>114.1655816534122</v>
      </c>
      <c r="Z344">
        <v>625.54</v>
      </c>
      <c r="AA344">
        <v>1</v>
      </c>
      <c r="AB344">
        <v>71.4151379474755</v>
      </c>
      <c r="AC344">
        <v>0.92730000000000001</v>
      </c>
      <c r="AD344" s="62">
        <v>66.222999999999999</v>
      </c>
      <c r="AE344">
        <v>8.9176000000000002</v>
      </c>
      <c r="AF344">
        <v>9.1609422129562699</v>
      </c>
      <c r="AG344">
        <v>1</v>
      </c>
      <c r="AH344">
        <v>5730.5357918926647</v>
      </c>
      <c r="AI344">
        <v>1.094557195571956</v>
      </c>
      <c r="AJ344" s="62">
        <v>6272.3991999999998</v>
      </c>
      <c r="AK344" s="60">
        <v>124.3046532066062</v>
      </c>
      <c r="AL344" t="s">
        <v>343</v>
      </c>
      <c r="AM344" t="s">
        <v>435</v>
      </c>
      <c r="AN344" t="s">
        <v>425</v>
      </c>
      <c r="AO344" t="s">
        <v>81</v>
      </c>
      <c r="AP344">
        <v>111.133</v>
      </c>
      <c r="AQ344">
        <v>1.027287859172453</v>
      </c>
      <c r="AR344">
        <v>114.1655816534122</v>
      </c>
      <c r="AS344">
        <v>626.12</v>
      </c>
      <c r="AT344">
        <v>1</v>
      </c>
      <c r="AU344">
        <v>71.481353984834485</v>
      </c>
      <c r="AV344">
        <v>0.92730000000000001</v>
      </c>
      <c r="AW344" s="62">
        <v>66.284999999999997</v>
      </c>
      <c r="AX344">
        <v>8.9176000000000002</v>
      </c>
      <c r="AY344">
        <v>1</v>
      </c>
      <c r="AZ344">
        <v>5735.8491383761793</v>
      </c>
      <c r="BA344">
        <v>1.094557195571956</v>
      </c>
      <c r="BB344" s="62">
        <v>6278.2148999999999</v>
      </c>
      <c r="BC344" s="60">
        <v>124.41990712278771</v>
      </c>
    </row>
    <row r="345" spans="1:55" x14ac:dyDescent="0.25">
      <c r="A345">
        <v>65925</v>
      </c>
      <c r="B345" t="s">
        <v>120</v>
      </c>
      <c r="C345">
        <v>2018</v>
      </c>
      <c r="D345">
        <v>5</v>
      </c>
      <c r="E345" t="s">
        <v>100</v>
      </c>
      <c r="F345" t="s">
        <v>426</v>
      </c>
      <c r="G345" t="s">
        <v>84</v>
      </c>
      <c r="H345" t="s">
        <v>87</v>
      </c>
      <c r="I345" t="s">
        <v>427</v>
      </c>
      <c r="J345">
        <v>-1.70541429</v>
      </c>
      <c r="K345" t="s">
        <v>440</v>
      </c>
      <c r="L345" t="s">
        <v>385</v>
      </c>
      <c r="M345">
        <v>0.39737542925016001</v>
      </c>
      <c r="N345">
        <v>0.67768973739052529</v>
      </c>
      <c r="O345">
        <v>30169.468000000001</v>
      </c>
      <c r="P345">
        <v>4.8744250000000003E-6</v>
      </c>
      <c r="Q345">
        <v>0.29411799999999999</v>
      </c>
      <c r="R345" s="60">
        <v>0.19932075018182649</v>
      </c>
      <c r="S345" t="s">
        <v>343</v>
      </c>
      <c r="T345" t="s">
        <v>435</v>
      </c>
      <c r="U345" t="s">
        <v>425</v>
      </c>
      <c r="V345" t="s">
        <v>27</v>
      </c>
      <c r="W345">
        <v>111.133</v>
      </c>
      <c r="X345">
        <v>1.027287859172453</v>
      </c>
      <c r="Y345">
        <v>114.1655816534122</v>
      </c>
      <c r="Z345">
        <v>625.54</v>
      </c>
      <c r="AA345">
        <v>1</v>
      </c>
      <c r="AB345">
        <v>71.4151379474755</v>
      </c>
      <c r="AC345">
        <v>0.95599999999999996</v>
      </c>
      <c r="AD345" s="62">
        <v>68.272999999999996</v>
      </c>
      <c r="AE345">
        <v>8.9176000000000002</v>
      </c>
      <c r="AF345">
        <v>9.1609422129562699</v>
      </c>
      <c r="AG345">
        <v>1</v>
      </c>
      <c r="AH345">
        <v>5730.5357918926647</v>
      </c>
      <c r="AI345">
        <v>1.0027686628383921</v>
      </c>
      <c r="AJ345" s="62">
        <v>5746.4017000000003</v>
      </c>
      <c r="AK345" s="60">
        <v>1145.377097690123</v>
      </c>
      <c r="AL345" t="s">
        <v>343</v>
      </c>
      <c r="AM345" t="s">
        <v>435</v>
      </c>
      <c r="AN345" t="s">
        <v>425</v>
      </c>
      <c r="AO345" t="s">
        <v>27</v>
      </c>
      <c r="AP345">
        <v>111.133</v>
      </c>
      <c r="AQ345">
        <v>1.027287859172453</v>
      </c>
      <c r="AR345">
        <v>114.1655816534122</v>
      </c>
      <c r="AS345">
        <v>626.12</v>
      </c>
      <c r="AT345">
        <v>1</v>
      </c>
      <c r="AU345">
        <v>71.481353984834485</v>
      </c>
      <c r="AV345">
        <v>0.95599999999999996</v>
      </c>
      <c r="AW345" s="62">
        <v>68.335999999999999</v>
      </c>
      <c r="AX345">
        <v>8.9176000000000002</v>
      </c>
      <c r="AY345">
        <v>1</v>
      </c>
      <c r="AZ345">
        <v>5735.8491383761793</v>
      </c>
      <c r="BA345">
        <v>1.0027686628383921</v>
      </c>
      <c r="BB345" s="62">
        <v>5751.7298000000001</v>
      </c>
      <c r="BC345" s="60">
        <v>1146.439098579167</v>
      </c>
    </row>
    <row r="346" spans="1:55" x14ac:dyDescent="0.25">
      <c r="A346">
        <v>65927</v>
      </c>
      <c r="B346" t="s">
        <v>120</v>
      </c>
      <c r="C346">
        <v>2018</v>
      </c>
      <c r="D346">
        <v>5</v>
      </c>
      <c r="E346" t="s">
        <v>100</v>
      </c>
      <c r="F346" t="s">
        <v>426</v>
      </c>
      <c r="G346" t="s">
        <v>84</v>
      </c>
      <c r="H346" t="s">
        <v>87</v>
      </c>
      <c r="I346" t="s">
        <v>427</v>
      </c>
      <c r="J346">
        <v>-1.70541429</v>
      </c>
      <c r="K346" t="s">
        <v>440</v>
      </c>
      <c r="L346" t="s">
        <v>452</v>
      </c>
      <c r="M346">
        <v>8.4248020759000004E-4</v>
      </c>
      <c r="N346">
        <v>1.436777788993486E-3</v>
      </c>
      <c r="O346">
        <v>30169.468000000001</v>
      </c>
      <c r="P346">
        <v>4.8744250000000003E-6</v>
      </c>
      <c r="Q346">
        <v>0.29411799999999999</v>
      </c>
      <c r="R346" s="60">
        <v>4.2258220974318621E-4</v>
      </c>
      <c r="S346" t="s">
        <v>343</v>
      </c>
      <c r="T346" t="s">
        <v>435</v>
      </c>
      <c r="U346" t="s">
        <v>425</v>
      </c>
      <c r="V346" t="s">
        <v>28</v>
      </c>
      <c r="W346">
        <v>111.133</v>
      </c>
      <c r="X346">
        <v>1.027287859172453</v>
      </c>
      <c r="Y346">
        <v>114.1655816534122</v>
      </c>
      <c r="Z346">
        <v>625.54</v>
      </c>
      <c r="AA346">
        <v>1</v>
      </c>
      <c r="AB346">
        <v>71.4151379474755</v>
      </c>
      <c r="AC346">
        <v>1.0064</v>
      </c>
      <c r="AD346" s="62">
        <v>71.872</v>
      </c>
      <c r="AE346">
        <v>8.9176000000000002</v>
      </c>
      <c r="AF346">
        <v>9.1609422129562699</v>
      </c>
      <c r="AG346">
        <v>1</v>
      </c>
      <c r="AH346">
        <v>5730.5357918926647</v>
      </c>
      <c r="AI346">
        <v>0.98887576294546164</v>
      </c>
      <c r="AJ346" s="62">
        <v>5666.7879999999996</v>
      </c>
      <c r="AK346" s="60">
        <v>2.3946837951861699</v>
      </c>
      <c r="AL346" t="s">
        <v>343</v>
      </c>
      <c r="AM346" t="s">
        <v>435</v>
      </c>
      <c r="AN346" t="s">
        <v>425</v>
      </c>
      <c r="AO346" t="s">
        <v>28</v>
      </c>
      <c r="AP346">
        <v>111.133</v>
      </c>
      <c r="AQ346">
        <v>1.027287859172453</v>
      </c>
      <c r="AR346">
        <v>114.1655816534122</v>
      </c>
      <c r="AS346">
        <v>626.12</v>
      </c>
      <c r="AT346">
        <v>1</v>
      </c>
      <c r="AU346">
        <v>71.481353984834485</v>
      </c>
      <c r="AV346">
        <v>1.0064</v>
      </c>
      <c r="AW346" s="62">
        <v>71.938999999999993</v>
      </c>
      <c r="AX346">
        <v>8.9176000000000002</v>
      </c>
      <c r="AY346">
        <v>1</v>
      </c>
      <c r="AZ346">
        <v>5735.8491383761793</v>
      </c>
      <c r="BA346">
        <v>0.98887576294546164</v>
      </c>
      <c r="BB346" s="62">
        <v>5672.0421999999999</v>
      </c>
      <c r="BC346" s="60">
        <v>2.3969041266326032</v>
      </c>
    </row>
    <row r="347" spans="1:55" x14ac:dyDescent="0.25">
      <c r="A347">
        <v>65929</v>
      </c>
      <c r="B347" t="s">
        <v>120</v>
      </c>
      <c r="C347">
        <v>2018</v>
      </c>
      <c r="D347">
        <v>5</v>
      </c>
      <c r="E347" t="s">
        <v>100</v>
      </c>
      <c r="F347" t="s">
        <v>426</v>
      </c>
      <c r="G347" t="s">
        <v>84</v>
      </c>
      <c r="H347" t="s">
        <v>59</v>
      </c>
      <c r="I347" t="s">
        <v>427</v>
      </c>
      <c r="J347">
        <v>-4.9037353799999996</v>
      </c>
      <c r="K347" t="s">
        <v>440</v>
      </c>
      <c r="L347" t="s">
        <v>450</v>
      </c>
      <c r="M347">
        <v>0.15931709696460999</v>
      </c>
      <c r="N347">
        <v>0.78124888435422657</v>
      </c>
      <c r="O347">
        <v>30169.468000000001</v>
      </c>
      <c r="P347">
        <v>4.8744250000000003E-6</v>
      </c>
      <c r="Q347">
        <v>0.29411799999999999</v>
      </c>
      <c r="R347" s="60">
        <v>0.22977935936849639</v>
      </c>
      <c r="S347" t="s">
        <v>343</v>
      </c>
      <c r="T347" t="s">
        <v>435</v>
      </c>
      <c r="U347" t="s">
        <v>425</v>
      </c>
      <c r="V347" t="s">
        <v>26</v>
      </c>
      <c r="W347">
        <v>111.133</v>
      </c>
      <c r="X347">
        <v>1.027287859172453</v>
      </c>
      <c r="Y347">
        <v>114.1655816534122</v>
      </c>
      <c r="Z347">
        <v>625.54</v>
      </c>
      <c r="AA347">
        <v>1</v>
      </c>
      <c r="AB347">
        <v>71.4151379474755</v>
      </c>
      <c r="AC347">
        <v>0.97960000000000003</v>
      </c>
      <c r="AD347" s="62">
        <v>69.957999999999998</v>
      </c>
      <c r="AE347">
        <v>8.9176000000000002</v>
      </c>
      <c r="AF347">
        <v>9.1609422129562699</v>
      </c>
      <c r="AG347">
        <v>1</v>
      </c>
      <c r="AH347">
        <v>5730.5357918926647</v>
      </c>
      <c r="AI347">
        <v>0.98541811328241247</v>
      </c>
      <c r="AJ347" s="62">
        <v>5646.9737999999998</v>
      </c>
      <c r="AK347" s="60">
        <v>1297.5580221346841</v>
      </c>
      <c r="AL347" t="s">
        <v>343</v>
      </c>
      <c r="AM347" t="s">
        <v>435</v>
      </c>
      <c r="AN347" t="s">
        <v>425</v>
      </c>
      <c r="AO347" t="s">
        <v>26</v>
      </c>
      <c r="AP347">
        <v>111.133</v>
      </c>
      <c r="AQ347">
        <v>1.027287859172453</v>
      </c>
      <c r="AR347">
        <v>114.1655816534122</v>
      </c>
      <c r="AS347">
        <v>626.12</v>
      </c>
      <c r="AT347">
        <v>1</v>
      </c>
      <c r="AU347">
        <v>71.481353984834485</v>
      </c>
      <c r="AV347">
        <v>0.97960000000000003</v>
      </c>
      <c r="AW347" s="62">
        <v>70.022999999999996</v>
      </c>
      <c r="AX347">
        <v>8.9176000000000002</v>
      </c>
      <c r="AY347">
        <v>1</v>
      </c>
      <c r="AZ347">
        <v>5735.8491383761793</v>
      </c>
      <c r="BA347">
        <v>0.98541811328241247</v>
      </c>
      <c r="BB347" s="62">
        <v>5652.2096000000001</v>
      </c>
      <c r="BC347" s="60">
        <v>1298.7611009044649</v>
      </c>
    </row>
    <row r="348" spans="1:55" x14ac:dyDescent="0.25">
      <c r="A348">
        <v>65931</v>
      </c>
      <c r="B348" t="s">
        <v>120</v>
      </c>
      <c r="C348">
        <v>2018</v>
      </c>
      <c r="D348">
        <v>5</v>
      </c>
      <c r="E348" t="s">
        <v>100</v>
      </c>
      <c r="F348" t="s">
        <v>426</v>
      </c>
      <c r="G348" t="s">
        <v>84</v>
      </c>
      <c r="H348" t="s">
        <v>59</v>
      </c>
      <c r="I348" t="s">
        <v>427</v>
      </c>
      <c r="J348">
        <v>-4.9037353799999996</v>
      </c>
      <c r="K348" t="s">
        <v>440</v>
      </c>
      <c r="L348" t="s">
        <v>384</v>
      </c>
      <c r="M348">
        <v>4.1785183859599999E-2</v>
      </c>
      <c r="N348">
        <v>0.20490348427639421</v>
      </c>
      <c r="O348">
        <v>30169.468000000001</v>
      </c>
      <c r="P348">
        <v>4.8744250000000003E-6</v>
      </c>
      <c r="Q348">
        <v>0.29411799999999999</v>
      </c>
      <c r="R348" s="60">
        <v>6.0265802988404497E-2</v>
      </c>
      <c r="S348" t="s">
        <v>343</v>
      </c>
      <c r="T348" t="s">
        <v>435</v>
      </c>
      <c r="U348" t="s">
        <v>425</v>
      </c>
      <c r="V348" t="s">
        <v>81</v>
      </c>
      <c r="W348">
        <v>111.133</v>
      </c>
      <c r="X348">
        <v>1.027287859172453</v>
      </c>
      <c r="Y348">
        <v>114.1655816534122</v>
      </c>
      <c r="Z348">
        <v>625.54</v>
      </c>
      <c r="AA348">
        <v>1</v>
      </c>
      <c r="AB348">
        <v>71.4151379474755</v>
      </c>
      <c r="AC348">
        <v>0.92730000000000001</v>
      </c>
      <c r="AD348" s="62">
        <v>66.222999999999999</v>
      </c>
      <c r="AE348">
        <v>8.9176000000000002</v>
      </c>
      <c r="AF348">
        <v>9.1609422129562699</v>
      </c>
      <c r="AG348">
        <v>1</v>
      </c>
      <c r="AH348">
        <v>5730.5357918926647</v>
      </c>
      <c r="AI348">
        <v>1.094557195571956</v>
      </c>
      <c r="AJ348" s="62">
        <v>6272.3991999999998</v>
      </c>
      <c r="AK348" s="60">
        <v>378.01117445182598</v>
      </c>
      <c r="AL348" t="s">
        <v>343</v>
      </c>
      <c r="AM348" t="s">
        <v>435</v>
      </c>
      <c r="AN348" t="s">
        <v>425</v>
      </c>
      <c r="AO348" t="s">
        <v>81</v>
      </c>
      <c r="AP348">
        <v>111.133</v>
      </c>
      <c r="AQ348">
        <v>1.027287859172453</v>
      </c>
      <c r="AR348">
        <v>114.1655816534122</v>
      </c>
      <c r="AS348">
        <v>626.12</v>
      </c>
      <c r="AT348">
        <v>1</v>
      </c>
      <c r="AU348">
        <v>71.481353984834485</v>
      </c>
      <c r="AV348">
        <v>0.92730000000000001</v>
      </c>
      <c r="AW348" s="62">
        <v>66.284999999999997</v>
      </c>
      <c r="AX348">
        <v>8.9176000000000002</v>
      </c>
      <c r="AY348">
        <v>1</v>
      </c>
      <c r="AZ348">
        <v>5735.8491383761793</v>
      </c>
      <c r="BA348">
        <v>1.094557195571956</v>
      </c>
      <c r="BB348" s="62">
        <v>6278.2148999999999</v>
      </c>
      <c r="BC348" s="60">
        <v>378.36166228226568</v>
      </c>
    </row>
    <row r="349" spans="1:55" x14ac:dyDescent="0.25">
      <c r="A349">
        <v>65933</v>
      </c>
      <c r="B349" t="s">
        <v>120</v>
      </c>
      <c r="C349">
        <v>2018</v>
      </c>
      <c r="D349">
        <v>5</v>
      </c>
      <c r="E349" t="s">
        <v>100</v>
      </c>
      <c r="F349" t="s">
        <v>426</v>
      </c>
      <c r="G349" t="s">
        <v>84</v>
      </c>
      <c r="H349" t="s">
        <v>59</v>
      </c>
      <c r="I349" t="s">
        <v>427</v>
      </c>
      <c r="J349">
        <v>-4.9037353799999996</v>
      </c>
      <c r="K349" t="s">
        <v>440</v>
      </c>
      <c r="L349" t="s">
        <v>385</v>
      </c>
      <c r="M349">
        <v>0.43497567483749999</v>
      </c>
      <c r="N349">
        <v>2.133005604310696</v>
      </c>
      <c r="O349">
        <v>30169.468000000001</v>
      </c>
      <c r="P349">
        <v>4.8744250000000003E-6</v>
      </c>
      <c r="Q349">
        <v>0.29411799999999999</v>
      </c>
      <c r="R349" s="60">
        <v>0.62735534232865331</v>
      </c>
      <c r="S349" t="s">
        <v>343</v>
      </c>
      <c r="T349" t="s">
        <v>435</v>
      </c>
      <c r="U349" t="s">
        <v>425</v>
      </c>
      <c r="V349" t="s">
        <v>27</v>
      </c>
      <c r="W349">
        <v>111.133</v>
      </c>
      <c r="X349">
        <v>1.027287859172453</v>
      </c>
      <c r="Y349">
        <v>114.1655816534122</v>
      </c>
      <c r="Z349">
        <v>625.54</v>
      </c>
      <c r="AA349">
        <v>1</v>
      </c>
      <c r="AB349">
        <v>71.4151379474755</v>
      </c>
      <c r="AC349">
        <v>0.95599999999999996</v>
      </c>
      <c r="AD349" s="62">
        <v>68.272999999999996</v>
      </c>
      <c r="AE349">
        <v>8.9176000000000002</v>
      </c>
      <c r="AF349">
        <v>9.1609422129562699</v>
      </c>
      <c r="AG349">
        <v>1</v>
      </c>
      <c r="AH349">
        <v>5730.5357918926647</v>
      </c>
      <c r="AI349">
        <v>1.0027686628383921</v>
      </c>
      <c r="AJ349" s="62">
        <v>5746.4017000000003</v>
      </c>
      <c r="AK349" s="60">
        <v>3605.035805661455</v>
      </c>
      <c r="AL349" t="s">
        <v>343</v>
      </c>
      <c r="AM349" t="s">
        <v>435</v>
      </c>
      <c r="AN349" t="s">
        <v>425</v>
      </c>
      <c r="AO349" t="s">
        <v>27</v>
      </c>
      <c r="AP349">
        <v>111.133</v>
      </c>
      <c r="AQ349">
        <v>1.027287859172453</v>
      </c>
      <c r="AR349">
        <v>114.1655816534122</v>
      </c>
      <c r="AS349">
        <v>626.12</v>
      </c>
      <c r="AT349">
        <v>1</v>
      </c>
      <c r="AU349">
        <v>71.481353984834485</v>
      </c>
      <c r="AV349">
        <v>0.95599999999999996</v>
      </c>
      <c r="AW349" s="62">
        <v>68.335999999999999</v>
      </c>
      <c r="AX349">
        <v>8.9176000000000002</v>
      </c>
      <c r="AY349">
        <v>1</v>
      </c>
      <c r="AZ349">
        <v>5735.8491383761793</v>
      </c>
      <c r="BA349">
        <v>1.0027686628383921</v>
      </c>
      <c r="BB349" s="62">
        <v>5751.7298000000001</v>
      </c>
      <c r="BC349" s="60">
        <v>3608.378417660917</v>
      </c>
    </row>
    <row r="350" spans="1:55" x14ac:dyDescent="0.25">
      <c r="A350">
        <v>65935</v>
      </c>
      <c r="B350" t="s">
        <v>120</v>
      </c>
      <c r="C350">
        <v>2018</v>
      </c>
      <c r="D350">
        <v>5</v>
      </c>
      <c r="E350" t="s">
        <v>100</v>
      </c>
      <c r="F350" t="s">
        <v>426</v>
      </c>
      <c r="G350" t="s">
        <v>84</v>
      </c>
      <c r="H350" t="s">
        <v>59</v>
      </c>
      <c r="I350" t="s">
        <v>427</v>
      </c>
      <c r="J350">
        <v>-4.9037353799999996</v>
      </c>
      <c r="K350" t="s">
        <v>440</v>
      </c>
      <c r="L350" t="s">
        <v>451</v>
      </c>
      <c r="M350">
        <v>1.7625750762999999E-3</v>
      </c>
      <c r="N350">
        <v>8.6432017541458444E-3</v>
      </c>
      <c r="O350">
        <v>30169.468000000001</v>
      </c>
      <c r="P350">
        <v>4.8744250000000003E-6</v>
      </c>
      <c r="Q350">
        <v>0.29411799999999999</v>
      </c>
      <c r="R350" s="60">
        <v>2.5421212135258672E-3</v>
      </c>
      <c r="S350" t="s">
        <v>343</v>
      </c>
      <c r="T350" t="s">
        <v>435</v>
      </c>
      <c r="U350" t="s">
        <v>425</v>
      </c>
      <c r="V350" t="s">
        <v>91</v>
      </c>
      <c r="W350">
        <v>111.133</v>
      </c>
      <c r="X350">
        <v>1.027287859172453</v>
      </c>
      <c r="Y350">
        <v>114.1655816534122</v>
      </c>
      <c r="Z350">
        <v>625.54</v>
      </c>
      <c r="AA350">
        <v>1</v>
      </c>
      <c r="AB350">
        <v>71.4151379474755</v>
      </c>
      <c r="AC350">
        <v>1.0056</v>
      </c>
      <c r="AD350" s="62">
        <v>71.814999999999998</v>
      </c>
      <c r="AE350">
        <v>8.9176000000000002</v>
      </c>
      <c r="AF350">
        <v>9.1609422129562699</v>
      </c>
      <c r="AG350">
        <v>1</v>
      </c>
      <c r="AH350">
        <v>5730.5357918926647</v>
      </c>
      <c r="AI350">
        <v>0.98408824677860207</v>
      </c>
      <c r="AJ350" s="62">
        <v>5639.3528999999999</v>
      </c>
      <c r="AK350" s="60">
        <v>14.33591863764862</v>
      </c>
      <c r="AL350" t="s">
        <v>343</v>
      </c>
      <c r="AM350" t="s">
        <v>435</v>
      </c>
      <c r="AN350" t="s">
        <v>425</v>
      </c>
      <c r="AO350" t="s">
        <v>91</v>
      </c>
      <c r="AP350">
        <v>111.133</v>
      </c>
      <c r="AQ350">
        <v>1.027287859172453</v>
      </c>
      <c r="AR350">
        <v>114.1655816534122</v>
      </c>
      <c r="AS350">
        <v>626.12</v>
      </c>
      <c r="AT350">
        <v>1</v>
      </c>
      <c r="AU350">
        <v>71.481353984834485</v>
      </c>
      <c r="AV350">
        <v>1.0056</v>
      </c>
      <c r="AW350" s="62">
        <v>71.882000000000005</v>
      </c>
      <c r="AX350">
        <v>8.9176000000000002</v>
      </c>
      <c r="AY350">
        <v>1</v>
      </c>
      <c r="AZ350">
        <v>5735.8491383761793</v>
      </c>
      <c r="BA350">
        <v>0.98408824677860207</v>
      </c>
      <c r="BB350" s="62">
        <v>5644.5816999999997</v>
      </c>
      <c r="BC350" s="60">
        <v>14.349210881049901</v>
      </c>
    </row>
    <row r="351" spans="1:55" x14ac:dyDescent="0.25">
      <c r="A351">
        <v>65937</v>
      </c>
      <c r="B351" t="s">
        <v>120</v>
      </c>
      <c r="C351">
        <v>2018</v>
      </c>
      <c r="D351">
        <v>5</v>
      </c>
      <c r="E351" t="s">
        <v>100</v>
      </c>
      <c r="F351" t="s">
        <v>426</v>
      </c>
      <c r="G351" t="s">
        <v>84</v>
      </c>
      <c r="H351" t="s">
        <v>59</v>
      </c>
      <c r="I351" t="s">
        <v>427</v>
      </c>
      <c r="J351">
        <v>-4.9037353799999996</v>
      </c>
      <c r="K351" t="s">
        <v>440</v>
      </c>
      <c r="L351" t="s">
        <v>452</v>
      </c>
      <c r="M351">
        <v>1.4858046103299999E-3</v>
      </c>
      <c r="N351">
        <v>7.2859926291936519E-3</v>
      </c>
      <c r="O351">
        <v>30169.468000000001</v>
      </c>
      <c r="P351">
        <v>4.8744250000000003E-6</v>
      </c>
      <c r="Q351">
        <v>0.29411799999999999</v>
      </c>
      <c r="R351" s="60">
        <v>2.1429415801131791E-3</v>
      </c>
      <c r="S351" t="s">
        <v>343</v>
      </c>
      <c r="T351" t="s">
        <v>435</v>
      </c>
      <c r="U351" t="s">
        <v>425</v>
      </c>
      <c r="V351" t="s">
        <v>28</v>
      </c>
      <c r="W351">
        <v>111.133</v>
      </c>
      <c r="X351">
        <v>1.027287859172453</v>
      </c>
      <c r="Y351">
        <v>114.1655816534122</v>
      </c>
      <c r="Z351">
        <v>625.54</v>
      </c>
      <c r="AA351">
        <v>1</v>
      </c>
      <c r="AB351">
        <v>71.4151379474755</v>
      </c>
      <c r="AC351">
        <v>1.0064</v>
      </c>
      <c r="AD351" s="62">
        <v>71.872</v>
      </c>
      <c r="AE351">
        <v>8.9176000000000002</v>
      </c>
      <c r="AF351">
        <v>9.1609422129562699</v>
      </c>
      <c r="AG351">
        <v>1</v>
      </c>
      <c r="AH351">
        <v>5730.5357918926647</v>
      </c>
      <c r="AI351">
        <v>0.98887576294546164</v>
      </c>
      <c r="AJ351" s="62">
        <v>5666.7879999999996</v>
      </c>
      <c r="AK351" s="60">
        <v>12.1435956308864</v>
      </c>
      <c r="AL351" t="s">
        <v>343</v>
      </c>
      <c r="AM351" t="s">
        <v>435</v>
      </c>
      <c r="AN351" t="s">
        <v>425</v>
      </c>
      <c r="AO351" t="s">
        <v>28</v>
      </c>
      <c r="AP351">
        <v>111.133</v>
      </c>
      <c r="AQ351">
        <v>1.027287859172453</v>
      </c>
      <c r="AR351">
        <v>114.1655816534122</v>
      </c>
      <c r="AS351">
        <v>626.12</v>
      </c>
      <c r="AT351">
        <v>1</v>
      </c>
      <c r="AU351">
        <v>71.481353984834485</v>
      </c>
      <c r="AV351">
        <v>1.0064</v>
      </c>
      <c r="AW351" s="62">
        <v>71.938999999999993</v>
      </c>
      <c r="AX351">
        <v>8.9176000000000002</v>
      </c>
      <c r="AY351">
        <v>1</v>
      </c>
      <c r="AZ351">
        <v>5735.8491383761793</v>
      </c>
      <c r="BA351">
        <v>0.98887576294546164</v>
      </c>
      <c r="BB351" s="62">
        <v>5672.0421999999999</v>
      </c>
      <c r="BC351" s="60">
        <v>12.154855074536631</v>
      </c>
    </row>
    <row r="352" spans="1:55" x14ac:dyDescent="0.25">
      <c r="A352">
        <v>71559</v>
      </c>
      <c r="B352" t="s">
        <v>126</v>
      </c>
      <c r="C352">
        <v>2018</v>
      </c>
      <c r="D352">
        <v>6</v>
      </c>
      <c r="E352" t="s">
        <v>100</v>
      </c>
      <c r="F352" t="s">
        <v>426</v>
      </c>
      <c r="G352" t="s">
        <v>84</v>
      </c>
      <c r="H352" t="s">
        <v>381</v>
      </c>
      <c r="I352" t="s">
        <v>427</v>
      </c>
      <c r="J352">
        <v>-9.5141811500000006</v>
      </c>
      <c r="K352" t="s">
        <v>440</v>
      </c>
      <c r="L352" t="s">
        <v>450</v>
      </c>
      <c r="M352">
        <v>0.15011157993331001</v>
      </c>
      <c r="N352">
        <v>1.428188764233417</v>
      </c>
      <c r="O352">
        <v>30169.468000000001</v>
      </c>
      <c r="P352">
        <v>4.8744250000000003E-6</v>
      </c>
      <c r="Q352">
        <v>0.29411799999999999</v>
      </c>
      <c r="R352" s="60">
        <v>0.42005602295880418</v>
      </c>
      <c r="S352" t="s">
        <v>343</v>
      </c>
      <c r="T352" t="s">
        <v>435</v>
      </c>
      <c r="U352" t="s">
        <v>425</v>
      </c>
      <c r="V352" t="s">
        <v>26</v>
      </c>
      <c r="W352">
        <v>111.133</v>
      </c>
      <c r="X352">
        <v>1.027287859172453</v>
      </c>
      <c r="Y352">
        <v>114.1655816534122</v>
      </c>
      <c r="Z352">
        <v>625.54</v>
      </c>
      <c r="AA352">
        <v>1</v>
      </c>
      <c r="AB352">
        <v>71.4151379474755</v>
      </c>
      <c r="AC352">
        <v>0.97960000000000003</v>
      </c>
      <c r="AD352" s="62">
        <v>69.957999999999998</v>
      </c>
      <c r="AE352">
        <v>8.9176000000000002</v>
      </c>
      <c r="AF352">
        <v>9.1609422129562699</v>
      </c>
      <c r="AG352">
        <v>1</v>
      </c>
      <c r="AH352">
        <v>5730.5357918926647</v>
      </c>
      <c r="AI352">
        <v>0.98541811328241247</v>
      </c>
      <c r="AJ352" s="62">
        <v>5646.9737999999998</v>
      </c>
      <c r="AK352" s="60">
        <v>2372.0453561805662</v>
      </c>
      <c r="AL352" t="s">
        <v>343</v>
      </c>
      <c r="AM352" t="s">
        <v>435</v>
      </c>
      <c r="AN352" t="s">
        <v>425</v>
      </c>
      <c r="AO352" t="s">
        <v>26</v>
      </c>
      <c r="AP352">
        <v>111.133</v>
      </c>
      <c r="AQ352">
        <v>1.027287859172453</v>
      </c>
      <c r="AR352">
        <v>114.1655816534122</v>
      </c>
      <c r="AS352">
        <v>636.15</v>
      </c>
      <c r="AT352">
        <v>1</v>
      </c>
      <c r="AU352">
        <v>72.6264347688182</v>
      </c>
      <c r="AV352">
        <v>0.97960000000000003</v>
      </c>
      <c r="AW352" s="62">
        <v>71.144999999999996</v>
      </c>
      <c r="AX352">
        <v>8.9176000000000002</v>
      </c>
      <c r="AY352">
        <v>1</v>
      </c>
      <c r="AZ352">
        <v>5827.7333887721306</v>
      </c>
      <c r="BA352">
        <v>0.98541811328241247</v>
      </c>
      <c r="BB352" s="62">
        <v>5742.7539999999999</v>
      </c>
      <c r="BC352" s="60">
        <v>2412.278406070765</v>
      </c>
    </row>
    <row r="353" spans="1:55" x14ac:dyDescent="0.25">
      <c r="A353">
        <v>71561</v>
      </c>
      <c r="B353" t="s">
        <v>126</v>
      </c>
      <c r="C353">
        <v>2018</v>
      </c>
      <c r="D353">
        <v>6</v>
      </c>
      <c r="E353" t="s">
        <v>100</v>
      </c>
      <c r="F353" t="s">
        <v>426</v>
      </c>
      <c r="G353" t="s">
        <v>84</v>
      </c>
      <c r="H353" t="s">
        <v>381</v>
      </c>
      <c r="I353" t="s">
        <v>427</v>
      </c>
      <c r="J353">
        <v>-9.5141811500000006</v>
      </c>
      <c r="K353" t="s">
        <v>440</v>
      </c>
      <c r="L353" t="s">
        <v>384</v>
      </c>
      <c r="M353">
        <v>4.5811354346740003E-2</v>
      </c>
      <c r="N353">
        <v>0.43585752399246702</v>
      </c>
      <c r="O353">
        <v>30169.468000000001</v>
      </c>
      <c r="P353">
        <v>4.8744250000000003E-6</v>
      </c>
      <c r="Q353">
        <v>0.29411799999999999</v>
      </c>
      <c r="R353" s="60">
        <v>0.12819354324161639</v>
      </c>
      <c r="S353" t="s">
        <v>343</v>
      </c>
      <c r="T353" t="s">
        <v>435</v>
      </c>
      <c r="U353" t="s">
        <v>425</v>
      </c>
      <c r="V353" t="s">
        <v>81</v>
      </c>
      <c r="W353">
        <v>111.133</v>
      </c>
      <c r="X353">
        <v>1.027287859172453</v>
      </c>
      <c r="Y353">
        <v>114.1655816534122</v>
      </c>
      <c r="Z353">
        <v>625.54</v>
      </c>
      <c r="AA353">
        <v>1</v>
      </c>
      <c r="AB353">
        <v>71.4151379474755</v>
      </c>
      <c r="AC353">
        <v>0.92730000000000001</v>
      </c>
      <c r="AD353" s="62">
        <v>66.222999999999999</v>
      </c>
      <c r="AE353">
        <v>8.9176000000000002</v>
      </c>
      <c r="AF353">
        <v>9.1609422129562699</v>
      </c>
      <c r="AG353">
        <v>1</v>
      </c>
      <c r="AH353">
        <v>5730.5357918926647</v>
      </c>
      <c r="AI353">
        <v>1.094557195571956</v>
      </c>
      <c r="AJ353" s="62">
        <v>6272.3991999999998</v>
      </c>
      <c r="AK353" s="60">
        <v>804.08107807388001</v>
      </c>
      <c r="AL353" t="s">
        <v>343</v>
      </c>
      <c r="AM353" t="s">
        <v>435</v>
      </c>
      <c r="AN353" t="s">
        <v>425</v>
      </c>
      <c r="AO353" t="s">
        <v>81</v>
      </c>
      <c r="AP353">
        <v>111.133</v>
      </c>
      <c r="AQ353">
        <v>1.027287859172453</v>
      </c>
      <c r="AR353">
        <v>114.1655816534122</v>
      </c>
      <c r="AS353">
        <v>636.15</v>
      </c>
      <c r="AT353">
        <v>1</v>
      </c>
      <c r="AU353">
        <v>72.6264347688182</v>
      </c>
      <c r="AV353">
        <v>0.92730000000000001</v>
      </c>
      <c r="AW353" s="62">
        <v>67.346000000000004</v>
      </c>
      <c r="AX353">
        <v>8.9176000000000002</v>
      </c>
      <c r="AY353">
        <v>1</v>
      </c>
      <c r="AZ353">
        <v>5827.7333887721306</v>
      </c>
      <c r="BA353">
        <v>1.094557195571956</v>
      </c>
      <c r="BB353" s="62">
        <v>6378.7875000000004</v>
      </c>
      <c r="BC353" s="60">
        <v>817.71937121033216</v>
      </c>
    </row>
    <row r="354" spans="1:55" x14ac:dyDescent="0.25">
      <c r="A354">
        <v>71563</v>
      </c>
      <c r="B354" t="s">
        <v>126</v>
      </c>
      <c r="C354">
        <v>2018</v>
      </c>
      <c r="D354">
        <v>6</v>
      </c>
      <c r="E354" t="s">
        <v>100</v>
      </c>
      <c r="F354" t="s">
        <v>426</v>
      </c>
      <c r="G354" t="s">
        <v>84</v>
      </c>
      <c r="H354" t="s">
        <v>381</v>
      </c>
      <c r="I354" t="s">
        <v>427</v>
      </c>
      <c r="J354">
        <v>-9.5141811500000006</v>
      </c>
      <c r="K354" t="s">
        <v>440</v>
      </c>
      <c r="L354" t="s">
        <v>385</v>
      </c>
      <c r="M354">
        <v>0.43232641346992001</v>
      </c>
      <c r="N354">
        <v>4.1132318137839983</v>
      </c>
      <c r="O354">
        <v>30169.468000000001</v>
      </c>
      <c r="P354">
        <v>4.8744250000000003E-6</v>
      </c>
      <c r="Q354">
        <v>0.29411799999999999</v>
      </c>
      <c r="R354" s="60">
        <v>1.2097755146065221</v>
      </c>
      <c r="S354" t="s">
        <v>343</v>
      </c>
      <c r="T354" t="s">
        <v>435</v>
      </c>
      <c r="U354" t="s">
        <v>425</v>
      </c>
      <c r="V354" t="s">
        <v>27</v>
      </c>
      <c r="W354">
        <v>111.133</v>
      </c>
      <c r="X354">
        <v>1.027287859172453</v>
      </c>
      <c r="Y354">
        <v>114.1655816534122</v>
      </c>
      <c r="Z354">
        <v>625.54</v>
      </c>
      <c r="AA354">
        <v>1</v>
      </c>
      <c r="AB354">
        <v>71.4151379474755</v>
      </c>
      <c r="AC354">
        <v>0.95599999999999996</v>
      </c>
      <c r="AD354" s="62">
        <v>68.272999999999996</v>
      </c>
      <c r="AE354">
        <v>8.9176000000000002</v>
      </c>
      <c r="AF354">
        <v>9.1609422129562699</v>
      </c>
      <c r="AG354">
        <v>1</v>
      </c>
      <c r="AH354">
        <v>5730.5357918926647</v>
      </c>
      <c r="AI354">
        <v>1.0027686628383921</v>
      </c>
      <c r="AJ354" s="62">
        <v>5746.4017000000003</v>
      </c>
      <c r="AK354" s="60">
        <v>6951.8560737532925</v>
      </c>
      <c r="AL354" t="s">
        <v>343</v>
      </c>
      <c r="AM354" t="s">
        <v>435</v>
      </c>
      <c r="AN354" t="s">
        <v>425</v>
      </c>
      <c r="AO354" t="s">
        <v>27</v>
      </c>
      <c r="AP354">
        <v>111.133</v>
      </c>
      <c r="AQ354">
        <v>1.027287859172453</v>
      </c>
      <c r="AR354">
        <v>114.1655816534122</v>
      </c>
      <c r="AS354">
        <v>636.15</v>
      </c>
      <c r="AT354">
        <v>1</v>
      </c>
      <c r="AU354">
        <v>72.6264347688182</v>
      </c>
      <c r="AV354">
        <v>0.95599999999999996</v>
      </c>
      <c r="AW354" s="62">
        <v>69.430999999999997</v>
      </c>
      <c r="AX354">
        <v>8.9176000000000002</v>
      </c>
      <c r="AY354">
        <v>1</v>
      </c>
      <c r="AZ354">
        <v>5827.7333887721306</v>
      </c>
      <c r="BA354">
        <v>1.0027686628383921</v>
      </c>
      <c r="BB354" s="62">
        <v>5843.8684000000003</v>
      </c>
      <c r="BC354" s="60">
        <v>7069.7689009027918</v>
      </c>
    </row>
    <row r="355" spans="1:55" x14ac:dyDescent="0.25">
      <c r="A355">
        <v>71565</v>
      </c>
      <c r="B355" t="s">
        <v>126</v>
      </c>
      <c r="C355">
        <v>2018</v>
      </c>
      <c r="D355">
        <v>6</v>
      </c>
      <c r="E355" t="s">
        <v>100</v>
      </c>
      <c r="F355" t="s">
        <v>426</v>
      </c>
      <c r="G355" t="s">
        <v>84</v>
      </c>
      <c r="H355" t="s">
        <v>381</v>
      </c>
      <c r="I355" t="s">
        <v>427</v>
      </c>
      <c r="J355">
        <v>-9.5141811500000006</v>
      </c>
      <c r="K355" t="s">
        <v>440</v>
      </c>
      <c r="L355" t="s">
        <v>451</v>
      </c>
      <c r="M355">
        <v>1.6825115802299999E-3</v>
      </c>
      <c r="N355">
        <v>1.6007719961675521E-2</v>
      </c>
      <c r="O355">
        <v>30169.468000000001</v>
      </c>
      <c r="P355">
        <v>4.8744250000000003E-6</v>
      </c>
      <c r="Q355">
        <v>0.29411799999999999</v>
      </c>
      <c r="R355" s="60">
        <v>4.7081585796880819E-3</v>
      </c>
      <c r="S355" t="s">
        <v>343</v>
      </c>
      <c r="T355" t="s">
        <v>435</v>
      </c>
      <c r="U355" t="s">
        <v>425</v>
      </c>
      <c r="V355" t="s">
        <v>91</v>
      </c>
      <c r="W355">
        <v>111.133</v>
      </c>
      <c r="X355">
        <v>1.027287859172453</v>
      </c>
      <c r="Y355">
        <v>114.1655816534122</v>
      </c>
      <c r="Z355">
        <v>625.54</v>
      </c>
      <c r="AA355">
        <v>1</v>
      </c>
      <c r="AB355">
        <v>71.4151379474755</v>
      </c>
      <c r="AC355">
        <v>1.0056</v>
      </c>
      <c r="AD355" s="62">
        <v>71.814999999999998</v>
      </c>
      <c r="AE355">
        <v>8.9176000000000002</v>
      </c>
      <c r="AF355">
        <v>9.1609422129562699</v>
      </c>
      <c r="AG355">
        <v>1</v>
      </c>
      <c r="AH355">
        <v>5730.5357918926647</v>
      </c>
      <c r="AI355">
        <v>0.98408824677860207</v>
      </c>
      <c r="AJ355" s="62">
        <v>5639.3528999999999</v>
      </c>
      <c r="AK355" s="60">
        <v>26.550967740023861</v>
      </c>
      <c r="AL355" t="s">
        <v>343</v>
      </c>
      <c r="AM355" t="s">
        <v>435</v>
      </c>
      <c r="AN355" t="s">
        <v>425</v>
      </c>
      <c r="AO355" t="s">
        <v>91</v>
      </c>
      <c r="AP355">
        <v>111.133</v>
      </c>
      <c r="AQ355">
        <v>1.027287859172453</v>
      </c>
      <c r="AR355">
        <v>114.1655816534122</v>
      </c>
      <c r="AS355">
        <v>636.15</v>
      </c>
      <c r="AT355">
        <v>1</v>
      </c>
      <c r="AU355">
        <v>72.6264347688182</v>
      </c>
      <c r="AV355">
        <v>1.0056</v>
      </c>
      <c r="AW355" s="62">
        <v>73.033000000000001</v>
      </c>
      <c r="AX355">
        <v>8.9176000000000002</v>
      </c>
      <c r="AY355">
        <v>1</v>
      </c>
      <c r="AZ355">
        <v>5827.7333887721306</v>
      </c>
      <c r="BA355">
        <v>0.98408824677860207</v>
      </c>
      <c r="BB355" s="62">
        <v>5735.0038999999997</v>
      </c>
      <c r="BC355" s="60">
        <v>27.001307816329611</v>
      </c>
    </row>
    <row r="356" spans="1:55" x14ac:dyDescent="0.25">
      <c r="A356">
        <v>71567</v>
      </c>
      <c r="B356" t="s">
        <v>126</v>
      </c>
      <c r="C356">
        <v>2018</v>
      </c>
      <c r="D356">
        <v>6</v>
      </c>
      <c r="E356" t="s">
        <v>100</v>
      </c>
      <c r="F356" t="s">
        <v>426</v>
      </c>
      <c r="G356" t="s">
        <v>84</v>
      </c>
      <c r="H356" t="s">
        <v>381</v>
      </c>
      <c r="I356" t="s">
        <v>427</v>
      </c>
      <c r="J356">
        <v>-9.5141811500000006</v>
      </c>
      <c r="K356" t="s">
        <v>440</v>
      </c>
      <c r="L356" t="s">
        <v>452</v>
      </c>
      <c r="M356">
        <v>1.53682162831E-3</v>
      </c>
      <c r="N356">
        <v>1.4621599367339691E-2</v>
      </c>
      <c r="O356">
        <v>30169.468000000001</v>
      </c>
      <c r="P356">
        <v>4.8744250000000003E-6</v>
      </c>
      <c r="Q356">
        <v>0.29411799999999999</v>
      </c>
      <c r="R356" s="60">
        <v>4.3004755627232142E-3</v>
      </c>
      <c r="S356" t="s">
        <v>343</v>
      </c>
      <c r="T356" t="s">
        <v>435</v>
      </c>
      <c r="U356" t="s">
        <v>425</v>
      </c>
      <c r="V356" t="s">
        <v>28</v>
      </c>
      <c r="W356">
        <v>111.133</v>
      </c>
      <c r="X356">
        <v>1.027287859172453</v>
      </c>
      <c r="Y356">
        <v>114.1655816534122</v>
      </c>
      <c r="Z356">
        <v>625.54</v>
      </c>
      <c r="AA356">
        <v>1</v>
      </c>
      <c r="AB356">
        <v>71.4151379474755</v>
      </c>
      <c r="AC356">
        <v>1.0064</v>
      </c>
      <c r="AD356" s="62">
        <v>71.872</v>
      </c>
      <c r="AE356">
        <v>8.9176000000000002</v>
      </c>
      <c r="AF356">
        <v>9.1609422129562699</v>
      </c>
      <c r="AG356">
        <v>1</v>
      </c>
      <c r="AH356">
        <v>5730.5357918926647</v>
      </c>
      <c r="AI356">
        <v>0.98887576294546164</v>
      </c>
      <c r="AJ356" s="62">
        <v>5666.7879999999996</v>
      </c>
      <c r="AK356" s="60">
        <v>24.369883313133151</v>
      </c>
      <c r="AL356" t="s">
        <v>343</v>
      </c>
      <c r="AM356" t="s">
        <v>435</v>
      </c>
      <c r="AN356" t="s">
        <v>425</v>
      </c>
      <c r="AO356" t="s">
        <v>28</v>
      </c>
      <c r="AP356">
        <v>111.133</v>
      </c>
      <c r="AQ356">
        <v>1.027287859172453</v>
      </c>
      <c r="AR356">
        <v>114.1655816534122</v>
      </c>
      <c r="AS356">
        <v>636.15</v>
      </c>
      <c r="AT356">
        <v>1</v>
      </c>
      <c r="AU356">
        <v>72.6264347688182</v>
      </c>
      <c r="AV356">
        <v>1.0064</v>
      </c>
      <c r="AW356" s="62">
        <v>73.090999999999994</v>
      </c>
      <c r="AX356">
        <v>8.9176000000000002</v>
      </c>
      <c r="AY356">
        <v>1</v>
      </c>
      <c r="AZ356">
        <v>5827.7333887721306</v>
      </c>
      <c r="BA356">
        <v>0.98887576294546164</v>
      </c>
      <c r="BB356" s="62">
        <v>5762.9043000000001</v>
      </c>
      <c r="BC356" s="60">
        <v>24.783229112462529</v>
      </c>
    </row>
    <row r="357" spans="1:55" x14ac:dyDescent="0.25">
      <c r="A357">
        <v>71569</v>
      </c>
      <c r="B357" t="s">
        <v>126</v>
      </c>
      <c r="C357">
        <v>2018</v>
      </c>
      <c r="D357">
        <v>6</v>
      </c>
      <c r="E357" t="s">
        <v>100</v>
      </c>
      <c r="F357" t="s">
        <v>426</v>
      </c>
      <c r="G357" t="s">
        <v>84</v>
      </c>
      <c r="H357" t="s">
        <v>87</v>
      </c>
      <c r="I357" t="s">
        <v>427</v>
      </c>
      <c r="J357">
        <v>-1.7483138300000001</v>
      </c>
      <c r="K357" t="s">
        <v>440</v>
      </c>
      <c r="L357" t="s">
        <v>450</v>
      </c>
      <c r="M357">
        <v>0.26601384014995</v>
      </c>
      <c r="N357">
        <v>0.46507567566379188</v>
      </c>
      <c r="O357">
        <v>30169.468000000001</v>
      </c>
      <c r="P357">
        <v>4.8744250000000003E-6</v>
      </c>
      <c r="Q357">
        <v>0.29411799999999999</v>
      </c>
      <c r="R357" s="60">
        <v>0.13678712757488309</v>
      </c>
      <c r="S357" t="s">
        <v>343</v>
      </c>
      <c r="T357" t="s">
        <v>435</v>
      </c>
      <c r="U357" t="s">
        <v>425</v>
      </c>
      <c r="V357" t="s">
        <v>26</v>
      </c>
      <c r="W357">
        <v>111.133</v>
      </c>
      <c r="X357">
        <v>1.027287859172453</v>
      </c>
      <c r="Y357">
        <v>114.1655816534122</v>
      </c>
      <c r="Z357">
        <v>625.54</v>
      </c>
      <c r="AA357">
        <v>1</v>
      </c>
      <c r="AB357">
        <v>71.4151379474755</v>
      </c>
      <c r="AC357">
        <v>0.97960000000000003</v>
      </c>
      <c r="AD357" s="62">
        <v>69.957999999999998</v>
      </c>
      <c r="AE357">
        <v>8.9176000000000002</v>
      </c>
      <c r="AF357">
        <v>9.1609422129562699</v>
      </c>
      <c r="AG357">
        <v>1</v>
      </c>
      <c r="AH357">
        <v>5730.5357918926647</v>
      </c>
      <c r="AI357">
        <v>0.98541811328241247</v>
      </c>
      <c r="AJ357" s="62">
        <v>5646.9737999999998</v>
      </c>
      <c r="AK357" s="60">
        <v>772.43332559262251</v>
      </c>
      <c r="AL357" t="s">
        <v>343</v>
      </c>
      <c r="AM357" t="s">
        <v>435</v>
      </c>
      <c r="AN357" t="s">
        <v>425</v>
      </c>
      <c r="AO357" t="s">
        <v>26</v>
      </c>
      <c r="AP357">
        <v>111.133</v>
      </c>
      <c r="AQ357">
        <v>1.027287859172453</v>
      </c>
      <c r="AR357">
        <v>114.1655816534122</v>
      </c>
      <c r="AS357">
        <v>636.15</v>
      </c>
      <c r="AT357">
        <v>1</v>
      </c>
      <c r="AU357">
        <v>72.6264347688182</v>
      </c>
      <c r="AV357">
        <v>0.97960000000000003</v>
      </c>
      <c r="AW357" s="62">
        <v>71.144999999999996</v>
      </c>
      <c r="AX357">
        <v>8.9176000000000002</v>
      </c>
      <c r="AY357">
        <v>1</v>
      </c>
      <c r="AZ357">
        <v>5827.7333887721306</v>
      </c>
      <c r="BA357">
        <v>0.98541811328241247</v>
      </c>
      <c r="BB357" s="62">
        <v>5742.7539999999999</v>
      </c>
      <c r="BC357" s="60">
        <v>785.5348240291703</v>
      </c>
    </row>
    <row r="358" spans="1:55" x14ac:dyDescent="0.25">
      <c r="A358">
        <v>71571</v>
      </c>
      <c r="B358" t="s">
        <v>126</v>
      </c>
      <c r="C358">
        <v>2018</v>
      </c>
      <c r="D358">
        <v>6</v>
      </c>
      <c r="E358" t="s">
        <v>100</v>
      </c>
      <c r="F358" t="s">
        <v>426</v>
      </c>
      <c r="G358" t="s">
        <v>84</v>
      </c>
      <c r="H358" t="s">
        <v>87</v>
      </c>
      <c r="I358" t="s">
        <v>427</v>
      </c>
      <c r="J358">
        <v>-1.7483138300000001</v>
      </c>
      <c r="K358" t="s">
        <v>440</v>
      </c>
      <c r="L358" t="s">
        <v>384</v>
      </c>
      <c r="M358">
        <v>3.9509559941419997E-2</v>
      </c>
      <c r="N358">
        <v>6.9075110056593975E-2</v>
      </c>
      <c r="O358">
        <v>30169.468000000001</v>
      </c>
      <c r="P358">
        <v>4.8744250000000003E-6</v>
      </c>
      <c r="Q358">
        <v>0.29411799999999999</v>
      </c>
      <c r="R358" s="60">
        <v>2.0316233219625311E-2</v>
      </c>
      <c r="S358" t="s">
        <v>343</v>
      </c>
      <c r="T358" t="s">
        <v>435</v>
      </c>
      <c r="U358" t="s">
        <v>425</v>
      </c>
      <c r="V358" t="s">
        <v>81</v>
      </c>
      <c r="W358">
        <v>111.133</v>
      </c>
      <c r="X358">
        <v>1.027287859172453</v>
      </c>
      <c r="Y358">
        <v>114.1655816534122</v>
      </c>
      <c r="Z358">
        <v>625.54</v>
      </c>
      <c r="AA358">
        <v>1</v>
      </c>
      <c r="AB358">
        <v>71.4151379474755</v>
      </c>
      <c r="AC358">
        <v>0.92730000000000001</v>
      </c>
      <c r="AD358" s="62">
        <v>66.222999999999999</v>
      </c>
      <c r="AE358">
        <v>8.9176000000000002</v>
      </c>
      <c r="AF358">
        <v>9.1609422129562699</v>
      </c>
      <c r="AG358">
        <v>1</v>
      </c>
      <c r="AH358">
        <v>5730.5357918926647</v>
      </c>
      <c r="AI358">
        <v>1.094557195571956</v>
      </c>
      <c r="AJ358" s="62">
        <v>6272.3991999999998</v>
      </c>
      <c r="AK358" s="60">
        <v>127.4315249937912</v>
      </c>
      <c r="AL358" t="s">
        <v>343</v>
      </c>
      <c r="AM358" t="s">
        <v>435</v>
      </c>
      <c r="AN358" t="s">
        <v>425</v>
      </c>
      <c r="AO358" t="s">
        <v>81</v>
      </c>
      <c r="AP358">
        <v>111.133</v>
      </c>
      <c r="AQ358">
        <v>1.027287859172453</v>
      </c>
      <c r="AR358">
        <v>114.1655816534122</v>
      </c>
      <c r="AS358">
        <v>636.15</v>
      </c>
      <c r="AT358">
        <v>1</v>
      </c>
      <c r="AU358">
        <v>72.6264347688182</v>
      </c>
      <c r="AV358">
        <v>0.92730000000000001</v>
      </c>
      <c r="AW358" s="62">
        <v>67.346000000000004</v>
      </c>
      <c r="AX358">
        <v>8.9176000000000002</v>
      </c>
      <c r="AY358">
        <v>1</v>
      </c>
      <c r="AZ358">
        <v>5827.7333887721306</v>
      </c>
      <c r="BA358">
        <v>1.094557195571956</v>
      </c>
      <c r="BB358" s="62">
        <v>6378.7875000000004</v>
      </c>
      <c r="BC358" s="60">
        <v>129.59293450843069</v>
      </c>
    </row>
    <row r="359" spans="1:55" x14ac:dyDescent="0.25">
      <c r="A359">
        <v>71573</v>
      </c>
      <c r="B359" t="s">
        <v>126</v>
      </c>
      <c r="C359">
        <v>2018</v>
      </c>
      <c r="D359">
        <v>6</v>
      </c>
      <c r="E359" t="s">
        <v>100</v>
      </c>
      <c r="F359" t="s">
        <v>426</v>
      </c>
      <c r="G359" t="s">
        <v>84</v>
      </c>
      <c r="H359" t="s">
        <v>87</v>
      </c>
      <c r="I359" t="s">
        <v>427</v>
      </c>
      <c r="J359">
        <v>-1.7483138300000001</v>
      </c>
      <c r="K359" t="s">
        <v>440</v>
      </c>
      <c r="L359" t="s">
        <v>385</v>
      </c>
      <c r="M359">
        <v>0.39737542925016001</v>
      </c>
      <c r="N359">
        <v>0.69473695859783724</v>
      </c>
      <c r="O359">
        <v>30169.468000000001</v>
      </c>
      <c r="P359">
        <v>4.8744250000000003E-6</v>
      </c>
      <c r="Q359">
        <v>0.29411799999999999</v>
      </c>
      <c r="R359" s="60">
        <v>0.20433464478887869</v>
      </c>
      <c r="S359" t="s">
        <v>343</v>
      </c>
      <c r="T359" t="s">
        <v>435</v>
      </c>
      <c r="U359" t="s">
        <v>425</v>
      </c>
      <c r="V359" t="s">
        <v>27</v>
      </c>
      <c r="W359">
        <v>111.133</v>
      </c>
      <c r="X359">
        <v>1.027287859172453</v>
      </c>
      <c r="Y359">
        <v>114.1655816534122</v>
      </c>
      <c r="Z359">
        <v>625.54</v>
      </c>
      <c r="AA359">
        <v>1</v>
      </c>
      <c r="AB359">
        <v>71.4151379474755</v>
      </c>
      <c r="AC359">
        <v>0.95599999999999996</v>
      </c>
      <c r="AD359" s="62">
        <v>68.272999999999996</v>
      </c>
      <c r="AE359">
        <v>8.9176000000000002</v>
      </c>
      <c r="AF359">
        <v>9.1609422129562699</v>
      </c>
      <c r="AG359">
        <v>1</v>
      </c>
      <c r="AH359">
        <v>5730.5357918926647</v>
      </c>
      <c r="AI359">
        <v>1.0027686628383921</v>
      </c>
      <c r="AJ359" s="62">
        <v>5746.4017000000003</v>
      </c>
      <c r="AK359" s="60">
        <v>1174.188950183709</v>
      </c>
      <c r="AL359" t="s">
        <v>343</v>
      </c>
      <c r="AM359" t="s">
        <v>435</v>
      </c>
      <c r="AN359" t="s">
        <v>425</v>
      </c>
      <c r="AO359" t="s">
        <v>27</v>
      </c>
      <c r="AP359">
        <v>111.133</v>
      </c>
      <c r="AQ359">
        <v>1.027287859172453</v>
      </c>
      <c r="AR359">
        <v>114.1655816534122</v>
      </c>
      <c r="AS359">
        <v>636.15</v>
      </c>
      <c r="AT359">
        <v>1</v>
      </c>
      <c r="AU359">
        <v>72.6264347688182</v>
      </c>
      <c r="AV359">
        <v>0.95599999999999996</v>
      </c>
      <c r="AW359" s="62">
        <v>69.430999999999997</v>
      </c>
      <c r="AX359">
        <v>8.9176000000000002</v>
      </c>
      <c r="AY359">
        <v>1</v>
      </c>
      <c r="AZ359">
        <v>5827.7333887721306</v>
      </c>
      <c r="BA359">
        <v>1.0027686628383921</v>
      </c>
      <c r="BB359" s="62">
        <v>5843.8684000000003</v>
      </c>
      <c r="BC359" s="60">
        <v>1194.104773706953</v>
      </c>
    </row>
    <row r="360" spans="1:55" x14ac:dyDescent="0.25">
      <c r="A360">
        <v>71575</v>
      </c>
      <c r="B360" t="s">
        <v>126</v>
      </c>
      <c r="C360">
        <v>2018</v>
      </c>
      <c r="D360">
        <v>6</v>
      </c>
      <c r="E360" t="s">
        <v>100</v>
      </c>
      <c r="F360" t="s">
        <v>426</v>
      </c>
      <c r="G360" t="s">
        <v>84</v>
      </c>
      <c r="H360" t="s">
        <v>87</v>
      </c>
      <c r="I360" t="s">
        <v>427</v>
      </c>
      <c r="J360">
        <v>-1.7483138300000001</v>
      </c>
      <c r="K360" t="s">
        <v>440</v>
      </c>
      <c r="L360" t="s">
        <v>452</v>
      </c>
      <c r="M360">
        <v>8.4248020759000004E-4</v>
      </c>
      <c r="N360">
        <v>1.472919798298564E-3</v>
      </c>
      <c r="O360">
        <v>30169.468000000001</v>
      </c>
      <c r="P360">
        <v>4.8744250000000003E-6</v>
      </c>
      <c r="Q360">
        <v>0.29411799999999999</v>
      </c>
      <c r="R360" s="60">
        <v>4.3321222523597721E-4</v>
      </c>
      <c r="S360" t="s">
        <v>343</v>
      </c>
      <c r="T360" t="s">
        <v>435</v>
      </c>
      <c r="U360" t="s">
        <v>425</v>
      </c>
      <c r="V360" t="s">
        <v>28</v>
      </c>
      <c r="W360">
        <v>111.133</v>
      </c>
      <c r="X360">
        <v>1.027287859172453</v>
      </c>
      <c r="Y360">
        <v>114.1655816534122</v>
      </c>
      <c r="Z360">
        <v>625.54</v>
      </c>
      <c r="AA360">
        <v>1</v>
      </c>
      <c r="AB360">
        <v>71.4151379474755</v>
      </c>
      <c r="AC360">
        <v>1.0064</v>
      </c>
      <c r="AD360" s="62">
        <v>71.872</v>
      </c>
      <c r="AE360">
        <v>8.9176000000000002</v>
      </c>
      <c r="AF360">
        <v>9.1609422129562699</v>
      </c>
      <c r="AG360">
        <v>1</v>
      </c>
      <c r="AH360">
        <v>5730.5357918926647</v>
      </c>
      <c r="AI360">
        <v>0.98887576294546164</v>
      </c>
      <c r="AJ360" s="62">
        <v>5666.7879999999996</v>
      </c>
      <c r="AK360" s="60">
        <v>2.4549218394205319</v>
      </c>
      <c r="AL360" t="s">
        <v>343</v>
      </c>
      <c r="AM360" t="s">
        <v>435</v>
      </c>
      <c r="AN360" t="s">
        <v>425</v>
      </c>
      <c r="AO360" t="s">
        <v>28</v>
      </c>
      <c r="AP360">
        <v>111.133</v>
      </c>
      <c r="AQ360">
        <v>1.027287859172453</v>
      </c>
      <c r="AR360">
        <v>114.1655816534122</v>
      </c>
      <c r="AS360">
        <v>636.15</v>
      </c>
      <c r="AT360">
        <v>1</v>
      </c>
      <c r="AU360">
        <v>72.6264347688182</v>
      </c>
      <c r="AV360">
        <v>1.0064</v>
      </c>
      <c r="AW360" s="62">
        <v>73.090999999999994</v>
      </c>
      <c r="AX360">
        <v>8.9176000000000002</v>
      </c>
      <c r="AY360">
        <v>1</v>
      </c>
      <c r="AZ360">
        <v>5827.7333887721306</v>
      </c>
      <c r="BA360">
        <v>0.98887576294546164</v>
      </c>
      <c r="BB360" s="62">
        <v>5762.9043000000001</v>
      </c>
      <c r="BC360" s="60">
        <v>2.496560595624981</v>
      </c>
    </row>
    <row r="361" spans="1:55" x14ac:dyDescent="0.25">
      <c r="A361">
        <v>71577</v>
      </c>
      <c r="B361" t="s">
        <v>126</v>
      </c>
      <c r="C361">
        <v>2018</v>
      </c>
      <c r="D361">
        <v>6</v>
      </c>
      <c r="E361" t="s">
        <v>100</v>
      </c>
      <c r="F361" t="s">
        <v>426</v>
      </c>
      <c r="G361" t="s">
        <v>84</v>
      </c>
      <c r="H361" t="s">
        <v>59</v>
      </c>
      <c r="I361" t="s">
        <v>427</v>
      </c>
      <c r="J361">
        <v>-5.0270883800000004</v>
      </c>
      <c r="K361" t="s">
        <v>440</v>
      </c>
      <c r="L361" t="s">
        <v>450</v>
      </c>
      <c r="M361">
        <v>0.15931709696460999</v>
      </c>
      <c r="N361">
        <v>0.8009011261025436</v>
      </c>
      <c r="O361">
        <v>30169.468000000001</v>
      </c>
      <c r="P361">
        <v>4.8744250000000003E-6</v>
      </c>
      <c r="Q361">
        <v>0.29411799999999999</v>
      </c>
      <c r="R361" s="60">
        <v>0.23555943740702789</v>
      </c>
      <c r="S361" t="s">
        <v>343</v>
      </c>
      <c r="T361" t="s">
        <v>435</v>
      </c>
      <c r="U361" t="s">
        <v>425</v>
      </c>
      <c r="V361" t="s">
        <v>26</v>
      </c>
      <c r="W361">
        <v>111.133</v>
      </c>
      <c r="X361">
        <v>1.027287859172453</v>
      </c>
      <c r="Y361">
        <v>114.1655816534122</v>
      </c>
      <c r="Z361">
        <v>625.54</v>
      </c>
      <c r="AA361">
        <v>1</v>
      </c>
      <c r="AB361">
        <v>71.4151379474755</v>
      </c>
      <c r="AC361">
        <v>0.97960000000000003</v>
      </c>
      <c r="AD361" s="62">
        <v>69.957999999999998</v>
      </c>
      <c r="AE361">
        <v>8.9176000000000002</v>
      </c>
      <c r="AF361">
        <v>9.1609422129562699</v>
      </c>
      <c r="AG361">
        <v>1</v>
      </c>
      <c r="AH361">
        <v>5730.5357918926647</v>
      </c>
      <c r="AI361">
        <v>0.98541811328241247</v>
      </c>
      <c r="AJ361" s="62">
        <v>5646.9737999999998</v>
      </c>
      <c r="AK361" s="60">
        <v>1330.197971380227</v>
      </c>
      <c r="AL361" t="s">
        <v>343</v>
      </c>
      <c r="AM361" t="s">
        <v>435</v>
      </c>
      <c r="AN361" t="s">
        <v>425</v>
      </c>
      <c r="AO361" t="s">
        <v>26</v>
      </c>
      <c r="AP361">
        <v>111.133</v>
      </c>
      <c r="AQ361">
        <v>1.027287859172453</v>
      </c>
      <c r="AR361">
        <v>114.1655816534122</v>
      </c>
      <c r="AS361">
        <v>636.15</v>
      </c>
      <c r="AT361">
        <v>1</v>
      </c>
      <c r="AU361">
        <v>72.6264347688182</v>
      </c>
      <c r="AV361">
        <v>0.97960000000000003</v>
      </c>
      <c r="AW361" s="62">
        <v>71.144999999999996</v>
      </c>
      <c r="AX361">
        <v>8.9176000000000002</v>
      </c>
      <c r="AY361">
        <v>1</v>
      </c>
      <c r="AZ361">
        <v>5827.7333887721306</v>
      </c>
      <c r="BA361">
        <v>0.98541811328241247</v>
      </c>
      <c r="BB361" s="62">
        <v>5742.7539999999999</v>
      </c>
      <c r="BC361" s="60">
        <v>1352.759901406959</v>
      </c>
    </row>
    <row r="362" spans="1:55" x14ac:dyDescent="0.25">
      <c r="A362">
        <v>71579</v>
      </c>
      <c r="B362" t="s">
        <v>126</v>
      </c>
      <c r="C362">
        <v>2018</v>
      </c>
      <c r="D362">
        <v>6</v>
      </c>
      <c r="E362" t="s">
        <v>100</v>
      </c>
      <c r="F362" t="s">
        <v>426</v>
      </c>
      <c r="G362" t="s">
        <v>84</v>
      </c>
      <c r="H362" t="s">
        <v>59</v>
      </c>
      <c r="I362" t="s">
        <v>427</v>
      </c>
      <c r="J362">
        <v>-5.0270883800000004</v>
      </c>
      <c r="K362" t="s">
        <v>440</v>
      </c>
      <c r="L362" t="s">
        <v>384</v>
      </c>
      <c r="M362">
        <v>4.1785183859599999E-2</v>
      </c>
      <c r="N362">
        <v>0.21005781203124371</v>
      </c>
      <c r="O362">
        <v>30169.468000000001</v>
      </c>
      <c r="P362">
        <v>4.8744250000000003E-6</v>
      </c>
      <c r="Q362">
        <v>0.29411799999999999</v>
      </c>
      <c r="R362" s="60">
        <v>6.1781783559005321E-2</v>
      </c>
      <c r="S362" t="s">
        <v>343</v>
      </c>
      <c r="T362" t="s">
        <v>435</v>
      </c>
      <c r="U362" t="s">
        <v>425</v>
      </c>
      <c r="V362" t="s">
        <v>81</v>
      </c>
      <c r="W362">
        <v>111.133</v>
      </c>
      <c r="X362">
        <v>1.027287859172453</v>
      </c>
      <c r="Y362">
        <v>114.1655816534122</v>
      </c>
      <c r="Z362">
        <v>625.54</v>
      </c>
      <c r="AA362">
        <v>1</v>
      </c>
      <c r="AB362">
        <v>71.4151379474755</v>
      </c>
      <c r="AC362">
        <v>0.92730000000000001</v>
      </c>
      <c r="AD362" s="62">
        <v>66.222999999999999</v>
      </c>
      <c r="AE362">
        <v>8.9176000000000002</v>
      </c>
      <c r="AF362">
        <v>9.1609422129562699</v>
      </c>
      <c r="AG362">
        <v>1</v>
      </c>
      <c r="AH362">
        <v>5730.5357918926647</v>
      </c>
      <c r="AI362">
        <v>1.094557195571956</v>
      </c>
      <c r="AJ362" s="62">
        <v>6272.3991999999998</v>
      </c>
      <c r="AK362" s="60">
        <v>387.5200097700781</v>
      </c>
      <c r="AL362" t="s">
        <v>343</v>
      </c>
      <c r="AM362" t="s">
        <v>435</v>
      </c>
      <c r="AN362" t="s">
        <v>425</v>
      </c>
      <c r="AO362" t="s">
        <v>81</v>
      </c>
      <c r="AP362">
        <v>111.133</v>
      </c>
      <c r="AQ362">
        <v>1.027287859172453</v>
      </c>
      <c r="AR362">
        <v>114.1655816534122</v>
      </c>
      <c r="AS362">
        <v>636.15</v>
      </c>
      <c r="AT362">
        <v>1</v>
      </c>
      <c r="AU362">
        <v>72.6264347688182</v>
      </c>
      <c r="AV362">
        <v>0.92730000000000001</v>
      </c>
      <c r="AW362" s="62">
        <v>67.346000000000004</v>
      </c>
      <c r="AX362">
        <v>8.9176000000000002</v>
      </c>
      <c r="AY362">
        <v>1</v>
      </c>
      <c r="AZ362">
        <v>5827.7333887721306</v>
      </c>
      <c r="BA362">
        <v>1.094557195571956</v>
      </c>
      <c r="BB362" s="62">
        <v>6378.7875000000004</v>
      </c>
      <c r="BC362" s="60">
        <v>394.0928686938887</v>
      </c>
    </row>
    <row r="363" spans="1:55" x14ac:dyDescent="0.25">
      <c r="A363">
        <v>71581</v>
      </c>
      <c r="B363" t="s">
        <v>126</v>
      </c>
      <c r="C363">
        <v>2018</v>
      </c>
      <c r="D363">
        <v>6</v>
      </c>
      <c r="E363" t="s">
        <v>100</v>
      </c>
      <c r="F363" t="s">
        <v>426</v>
      </c>
      <c r="G363" t="s">
        <v>84</v>
      </c>
      <c r="H363" t="s">
        <v>59</v>
      </c>
      <c r="I363" t="s">
        <v>427</v>
      </c>
      <c r="J363">
        <v>-5.0270883800000004</v>
      </c>
      <c r="K363" t="s">
        <v>440</v>
      </c>
      <c r="L363" t="s">
        <v>385</v>
      </c>
      <c r="M363">
        <v>0.43497567483749999</v>
      </c>
      <c r="N363">
        <v>2.1866611584188829</v>
      </c>
      <c r="O363">
        <v>30169.468000000001</v>
      </c>
      <c r="P363">
        <v>4.8744250000000003E-6</v>
      </c>
      <c r="Q363">
        <v>0.29411799999999999</v>
      </c>
      <c r="R363" s="60">
        <v>0.64313640659184501</v>
      </c>
      <c r="S363" t="s">
        <v>343</v>
      </c>
      <c r="T363" t="s">
        <v>435</v>
      </c>
      <c r="U363" t="s">
        <v>425</v>
      </c>
      <c r="V363" t="s">
        <v>27</v>
      </c>
      <c r="W363">
        <v>111.133</v>
      </c>
      <c r="X363">
        <v>1.027287859172453</v>
      </c>
      <c r="Y363">
        <v>114.1655816534122</v>
      </c>
      <c r="Z363">
        <v>625.54</v>
      </c>
      <c r="AA363">
        <v>1</v>
      </c>
      <c r="AB363">
        <v>71.4151379474755</v>
      </c>
      <c r="AC363">
        <v>0.95599999999999996</v>
      </c>
      <c r="AD363" s="62">
        <v>68.272999999999996</v>
      </c>
      <c r="AE363">
        <v>8.9176000000000002</v>
      </c>
      <c r="AF363">
        <v>9.1609422129562699</v>
      </c>
      <c r="AG363">
        <v>1</v>
      </c>
      <c r="AH363">
        <v>5730.5357918926647</v>
      </c>
      <c r="AI363">
        <v>1.0027686628383921</v>
      </c>
      <c r="AJ363" s="62">
        <v>5746.4017000000003</v>
      </c>
      <c r="AK363" s="60">
        <v>3695.72014017127</v>
      </c>
      <c r="AL363" t="s">
        <v>343</v>
      </c>
      <c r="AM363" t="s">
        <v>435</v>
      </c>
      <c r="AN363" t="s">
        <v>425</v>
      </c>
      <c r="AO363" t="s">
        <v>27</v>
      </c>
      <c r="AP363">
        <v>111.133</v>
      </c>
      <c r="AQ363">
        <v>1.027287859172453</v>
      </c>
      <c r="AR363">
        <v>114.1655816534122</v>
      </c>
      <c r="AS363">
        <v>636.15</v>
      </c>
      <c r="AT363">
        <v>1</v>
      </c>
      <c r="AU363">
        <v>72.6264347688182</v>
      </c>
      <c r="AV363">
        <v>0.95599999999999996</v>
      </c>
      <c r="AW363" s="62">
        <v>69.430999999999997</v>
      </c>
      <c r="AX363">
        <v>8.9176000000000002</v>
      </c>
      <c r="AY363">
        <v>1</v>
      </c>
      <c r="AZ363">
        <v>5827.7333887721306</v>
      </c>
      <c r="BA363">
        <v>1.0027686628383921</v>
      </c>
      <c r="BB363" s="62">
        <v>5843.8684000000003</v>
      </c>
      <c r="BC363" s="60">
        <v>3758.4045233716352</v>
      </c>
    </row>
    <row r="364" spans="1:55" x14ac:dyDescent="0.25">
      <c r="A364">
        <v>71583</v>
      </c>
      <c r="B364" t="s">
        <v>126</v>
      </c>
      <c r="C364">
        <v>2018</v>
      </c>
      <c r="D364">
        <v>6</v>
      </c>
      <c r="E364" t="s">
        <v>100</v>
      </c>
      <c r="F364" t="s">
        <v>426</v>
      </c>
      <c r="G364" t="s">
        <v>84</v>
      </c>
      <c r="H364" t="s">
        <v>59</v>
      </c>
      <c r="I364" t="s">
        <v>427</v>
      </c>
      <c r="J364">
        <v>-5.0270883800000004</v>
      </c>
      <c r="K364" t="s">
        <v>440</v>
      </c>
      <c r="L364" t="s">
        <v>451</v>
      </c>
      <c r="M364">
        <v>1.7625750762999999E-3</v>
      </c>
      <c r="N364">
        <v>8.8606206762763453E-3</v>
      </c>
      <c r="O364">
        <v>30169.468000000001</v>
      </c>
      <c r="P364">
        <v>4.8744250000000003E-6</v>
      </c>
      <c r="Q364">
        <v>0.29411799999999999</v>
      </c>
      <c r="R364" s="60">
        <v>2.6060680320650459E-3</v>
      </c>
      <c r="S364" t="s">
        <v>343</v>
      </c>
      <c r="T364" t="s">
        <v>435</v>
      </c>
      <c r="U364" t="s">
        <v>425</v>
      </c>
      <c r="V364" t="s">
        <v>91</v>
      </c>
      <c r="W364">
        <v>111.133</v>
      </c>
      <c r="X364">
        <v>1.027287859172453</v>
      </c>
      <c r="Y364">
        <v>114.1655816534122</v>
      </c>
      <c r="Z364">
        <v>625.54</v>
      </c>
      <c r="AA364">
        <v>1</v>
      </c>
      <c r="AB364">
        <v>71.4151379474755</v>
      </c>
      <c r="AC364">
        <v>1.0056</v>
      </c>
      <c r="AD364" s="62">
        <v>71.814999999999998</v>
      </c>
      <c r="AE364">
        <v>8.9176000000000002</v>
      </c>
      <c r="AF364">
        <v>9.1609422129562699</v>
      </c>
      <c r="AG364">
        <v>1</v>
      </c>
      <c r="AH364">
        <v>5730.5357918926647</v>
      </c>
      <c r="AI364">
        <v>0.98408824677860207</v>
      </c>
      <c r="AJ364" s="62">
        <v>5639.3528999999999</v>
      </c>
      <c r="AK364" s="60">
        <v>14.69653731422331</v>
      </c>
      <c r="AL364" t="s">
        <v>343</v>
      </c>
      <c r="AM364" t="s">
        <v>435</v>
      </c>
      <c r="AN364" t="s">
        <v>425</v>
      </c>
      <c r="AO364" t="s">
        <v>91</v>
      </c>
      <c r="AP364">
        <v>111.133</v>
      </c>
      <c r="AQ364">
        <v>1.027287859172453</v>
      </c>
      <c r="AR364">
        <v>114.1655816534122</v>
      </c>
      <c r="AS364">
        <v>636.15</v>
      </c>
      <c r="AT364">
        <v>1</v>
      </c>
      <c r="AU364">
        <v>72.6264347688182</v>
      </c>
      <c r="AV364">
        <v>1.0056</v>
      </c>
      <c r="AW364" s="62">
        <v>73.033000000000001</v>
      </c>
      <c r="AX364">
        <v>8.9176000000000002</v>
      </c>
      <c r="AY364">
        <v>1</v>
      </c>
      <c r="AZ364">
        <v>5827.7333887721306</v>
      </c>
      <c r="BA364">
        <v>0.98408824677860207</v>
      </c>
      <c r="BB364" s="62">
        <v>5735.0038999999997</v>
      </c>
      <c r="BC364" s="60">
        <v>14.945810327558361</v>
      </c>
    </row>
    <row r="365" spans="1:55" x14ac:dyDescent="0.25">
      <c r="A365">
        <v>71585</v>
      </c>
      <c r="B365" t="s">
        <v>126</v>
      </c>
      <c r="C365">
        <v>2018</v>
      </c>
      <c r="D365">
        <v>6</v>
      </c>
      <c r="E365" t="s">
        <v>100</v>
      </c>
      <c r="F365" t="s">
        <v>426</v>
      </c>
      <c r="G365" t="s">
        <v>84</v>
      </c>
      <c r="H365" t="s">
        <v>59</v>
      </c>
      <c r="I365" t="s">
        <v>427</v>
      </c>
      <c r="J365">
        <v>-5.0270883800000004</v>
      </c>
      <c r="K365" t="s">
        <v>440</v>
      </c>
      <c r="L365" t="s">
        <v>452</v>
      </c>
      <c r="M365">
        <v>1.4858046103299999E-3</v>
      </c>
      <c r="N365">
        <v>7.4692710842326326E-3</v>
      </c>
      <c r="O365">
        <v>30169.468000000001</v>
      </c>
      <c r="P365">
        <v>4.8744250000000003E-6</v>
      </c>
      <c r="Q365">
        <v>0.29411799999999999</v>
      </c>
      <c r="R365" s="60">
        <v>2.1968470727523328E-3</v>
      </c>
      <c r="S365" t="s">
        <v>343</v>
      </c>
      <c r="T365" t="s">
        <v>435</v>
      </c>
      <c r="U365" t="s">
        <v>425</v>
      </c>
      <c r="V365" t="s">
        <v>28</v>
      </c>
      <c r="W365">
        <v>111.133</v>
      </c>
      <c r="X365">
        <v>1.027287859172453</v>
      </c>
      <c r="Y365">
        <v>114.1655816534122</v>
      </c>
      <c r="Z365">
        <v>625.54</v>
      </c>
      <c r="AA365">
        <v>1</v>
      </c>
      <c r="AB365">
        <v>71.4151379474755</v>
      </c>
      <c r="AC365">
        <v>1.0064</v>
      </c>
      <c r="AD365" s="62">
        <v>71.872</v>
      </c>
      <c r="AE365">
        <v>8.9176000000000002</v>
      </c>
      <c r="AF365">
        <v>9.1609422129562699</v>
      </c>
      <c r="AG365">
        <v>1</v>
      </c>
      <c r="AH365">
        <v>5730.5357918926647</v>
      </c>
      <c r="AI365">
        <v>0.98887576294546164</v>
      </c>
      <c r="AJ365" s="62">
        <v>5666.7879999999996</v>
      </c>
      <c r="AK365" s="60">
        <v>12.449066629708049</v>
      </c>
      <c r="AL365" t="s">
        <v>343</v>
      </c>
      <c r="AM365" t="s">
        <v>435</v>
      </c>
      <c r="AN365" t="s">
        <v>425</v>
      </c>
      <c r="AO365" t="s">
        <v>28</v>
      </c>
      <c r="AP365">
        <v>111.133</v>
      </c>
      <c r="AQ365">
        <v>1.027287859172453</v>
      </c>
      <c r="AR365">
        <v>114.1655816534122</v>
      </c>
      <c r="AS365">
        <v>636.15</v>
      </c>
      <c r="AT365">
        <v>1</v>
      </c>
      <c r="AU365">
        <v>72.6264347688182</v>
      </c>
      <c r="AV365">
        <v>1.0064</v>
      </c>
      <c r="AW365" s="62">
        <v>73.090999999999994</v>
      </c>
      <c r="AX365">
        <v>8.9176000000000002</v>
      </c>
      <c r="AY365">
        <v>1</v>
      </c>
      <c r="AZ365">
        <v>5827.7333887721306</v>
      </c>
      <c r="BA365">
        <v>0.98887576294546164</v>
      </c>
      <c r="BB365" s="62">
        <v>5762.9043000000001</v>
      </c>
      <c r="BC365" s="60">
        <v>12.660219442006831</v>
      </c>
    </row>
    <row r="366" spans="1:55" x14ac:dyDescent="0.25">
      <c r="A366">
        <v>77207</v>
      </c>
      <c r="B366" t="s">
        <v>139</v>
      </c>
      <c r="C366">
        <v>2018</v>
      </c>
      <c r="D366">
        <v>7</v>
      </c>
      <c r="E366" t="s">
        <v>100</v>
      </c>
      <c r="F366" t="s">
        <v>426</v>
      </c>
      <c r="G366" t="s">
        <v>84</v>
      </c>
      <c r="H366" t="s">
        <v>381</v>
      </c>
      <c r="I366" t="s">
        <v>427</v>
      </c>
      <c r="J366">
        <v>-9.5738342799999998</v>
      </c>
      <c r="K366" t="s">
        <v>440</v>
      </c>
      <c r="L366" t="s">
        <v>450</v>
      </c>
      <c r="M366">
        <v>0.15011157993331001</v>
      </c>
      <c r="N366">
        <v>1.437143389548321</v>
      </c>
      <c r="O366">
        <v>30169.468000000001</v>
      </c>
      <c r="P366">
        <v>4.8744250000000003E-6</v>
      </c>
      <c r="Q366">
        <v>0.29411799999999999</v>
      </c>
      <c r="R366" s="60">
        <v>0.42268973944717297</v>
      </c>
      <c r="S366" t="s">
        <v>343</v>
      </c>
      <c r="T366" t="s">
        <v>435</v>
      </c>
      <c r="U366" t="s">
        <v>425</v>
      </c>
      <c r="V366" t="s">
        <v>26</v>
      </c>
      <c r="W366">
        <v>111.133</v>
      </c>
      <c r="X366">
        <v>1.027287859172453</v>
      </c>
      <c r="Y366">
        <v>114.1655816534122</v>
      </c>
      <c r="Z366">
        <v>625.54</v>
      </c>
      <c r="AA366">
        <v>1</v>
      </c>
      <c r="AB366">
        <v>71.4151379474755</v>
      </c>
      <c r="AC366">
        <v>0.97960000000000003</v>
      </c>
      <c r="AD366" s="62">
        <v>69.957999999999998</v>
      </c>
      <c r="AE366">
        <v>8.9176000000000002</v>
      </c>
      <c r="AF366">
        <v>9.1609422129562699</v>
      </c>
      <c r="AG366">
        <v>1</v>
      </c>
      <c r="AH366">
        <v>5730.5357918926647</v>
      </c>
      <c r="AI366">
        <v>0.98541811328241247</v>
      </c>
      <c r="AJ366" s="62">
        <v>5646.9737999999998</v>
      </c>
      <c r="AK366" s="60">
        <v>2386.9178841870121</v>
      </c>
      <c r="AL366" t="s">
        <v>346</v>
      </c>
      <c r="AM366" t="s">
        <v>436</v>
      </c>
      <c r="AN366" t="s">
        <v>425</v>
      </c>
      <c r="AO366" t="s">
        <v>26</v>
      </c>
      <c r="AP366">
        <v>111.133</v>
      </c>
      <c r="AQ366">
        <v>1.0368587857491129</v>
      </c>
      <c r="AR366">
        <v>115.2292274366562</v>
      </c>
      <c r="AS366">
        <v>652.41</v>
      </c>
      <c r="AT366">
        <v>1</v>
      </c>
      <c r="AU366">
        <v>75.17670027194886</v>
      </c>
      <c r="AV366">
        <v>0.96209999999999996</v>
      </c>
      <c r="AW366" s="62">
        <v>72.328000000000003</v>
      </c>
      <c r="AX366">
        <v>8.9176000000000002</v>
      </c>
      <c r="AY366">
        <v>1</v>
      </c>
      <c r="AZ366">
        <v>6032.3733035653786</v>
      </c>
      <c r="BA366">
        <v>0.95992461065370505</v>
      </c>
      <c r="BB366" s="62">
        <v>5790.6235999999999</v>
      </c>
      <c r="BC366" s="60">
        <v>2447.637180720651</v>
      </c>
    </row>
    <row r="367" spans="1:55" x14ac:dyDescent="0.25">
      <c r="A367">
        <v>77209</v>
      </c>
      <c r="B367" t="s">
        <v>139</v>
      </c>
      <c r="C367">
        <v>2018</v>
      </c>
      <c r="D367">
        <v>7</v>
      </c>
      <c r="E367" t="s">
        <v>100</v>
      </c>
      <c r="F367" t="s">
        <v>426</v>
      </c>
      <c r="G367" t="s">
        <v>84</v>
      </c>
      <c r="H367" t="s">
        <v>381</v>
      </c>
      <c r="I367" t="s">
        <v>427</v>
      </c>
      <c r="J367">
        <v>-9.5738342799999998</v>
      </c>
      <c r="K367" t="s">
        <v>440</v>
      </c>
      <c r="L367" t="s">
        <v>384</v>
      </c>
      <c r="M367">
        <v>4.5811354346740003E-2</v>
      </c>
      <c r="N367">
        <v>0.43859031458414272</v>
      </c>
      <c r="O367">
        <v>30169.468000000001</v>
      </c>
      <c r="P367">
        <v>4.8744250000000003E-6</v>
      </c>
      <c r="Q367">
        <v>0.29411799999999999</v>
      </c>
      <c r="R367" s="60">
        <v>0.12899730614485891</v>
      </c>
      <c r="S367" t="s">
        <v>343</v>
      </c>
      <c r="T367" t="s">
        <v>435</v>
      </c>
      <c r="U367" t="s">
        <v>425</v>
      </c>
      <c r="V367" t="s">
        <v>81</v>
      </c>
      <c r="W367">
        <v>111.133</v>
      </c>
      <c r="X367">
        <v>1.027287859172453</v>
      </c>
      <c r="Y367">
        <v>114.1655816534122</v>
      </c>
      <c r="Z367">
        <v>625.54</v>
      </c>
      <c r="AA367">
        <v>1</v>
      </c>
      <c r="AB367">
        <v>71.4151379474755</v>
      </c>
      <c r="AC367">
        <v>0.92730000000000001</v>
      </c>
      <c r="AD367" s="62">
        <v>66.222999999999999</v>
      </c>
      <c r="AE367">
        <v>8.9176000000000002</v>
      </c>
      <c r="AF367">
        <v>9.1609422129562699</v>
      </c>
      <c r="AG367">
        <v>1</v>
      </c>
      <c r="AH367">
        <v>5730.5357918926647</v>
      </c>
      <c r="AI367">
        <v>1.094557195571956</v>
      </c>
      <c r="AJ367" s="62">
        <v>6272.3991999999998</v>
      </c>
      <c r="AK367" s="60">
        <v>809.1225998651679</v>
      </c>
      <c r="AL367" t="s">
        <v>346</v>
      </c>
      <c r="AM367" t="s">
        <v>436</v>
      </c>
      <c r="AN367" t="s">
        <v>425</v>
      </c>
      <c r="AO367" t="s">
        <v>81</v>
      </c>
      <c r="AP367">
        <v>111.133</v>
      </c>
      <c r="AQ367">
        <v>1.0368587857491129</v>
      </c>
      <c r="AR367">
        <v>115.2292274366562</v>
      </c>
      <c r="AS367">
        <v>652.41</v>
      </c>
      <c r="AT367">
        <v>1</v>
      </c>
      <c r="AU367">
        <v>75.17670027194886</v>
      </c>
      <c r="AV367">
        <v>0.90990000000000004</v>
      </c>
      <c r="AW367" s="62">
        <v>68.403000000000006</v>
      </c>
      <c r="AX367">
        <v>8.9176000000000002</v>
      </c>
      <c r="AY367">
        <v>1</v>
      </c>
      <c r="AZ367">
        <v>6032.3733035653786</v>
      </c>
      <c r="BA367">
        <v>1.053620848708487</v>
      </c>
      <c r="BB367" s="62">
        <v>6355.8343000000004</v>
      </c>
      <c r="BC367" s="60">
        <v>819.88550300309487</v>
      </c>
    </row>
    <row r="368" spans="1:55" x14ac:dyDescent="0.25">
      <c r="A368">
        <v>77211</v>
      </c>
      <c r="B368" t="s">
        <v>139</v>
      </c>
      <c r="C368">
        <v>2018</v>
      </c>
      <c r="D368">
        <v>7</v>
      </c>
      <c r="E368" t="s">
        <v>100</v>
      </c>
      <c r="F368" t="s">
        <v>426</v>
      </c>
      <c r="G368" t="s">
        <v>84</v>
      </c>
      <c r="H368" t="s">
        <v>381</v>
      </c>
      <c r="I368" t="s">
        <v>427</v>
      </c>
      <c r="J368">
        <v>-9.5738342799999998</v>
      </c>
      <c r="K368" t="s">
        <v>440</v>
      </c>
      <c r="L368" t="s">
        <v>385</v>
      </c>
      <c r="M368">
        <v>0.43232641346992001</v>
      </c>
      <c r="N368">
        <v>4.1390214367303368</v>
      </c>
      <c r="O368">
        <v>30169.468000000001</v>
      </c>
      <c r="P368">
        <v>4.8744250000000003E-6</v>
      </c>
      <c r="Q368">
        <v>0.29411799999999999</v>
      </c>
      <c r="R368" s="60">
        <v>1.217360706928253</v>
      </c>
      <c r="S368" t="s">
        <v>343</v>
      </c>
      <c r="T368" t="s">
        <v>435</v>
      </c>
      <c r="U368" t="s">
        <v>425</v>
      </c>
      <c r="V368" t="s">
        <v>27</v>
      </c>
      <c r="W368">
        <v>111.133</v>
      </c>
      <c r="X368">
        <v>1.027287859172453</v>
      </c>
      <c r="Y368">
        <v>114.1655816534122</v>
      </c>
      <c r="Z368">
        <v>625.54</v>
      </c>
      <c r="AA368">
        <v>1</v>
      </c>
      <c r="AB368">
        <v>71.4151379474755</v>
      </c>
      <c r="AC368">
        <v>0.95599999999999996</v>
      </c>
      <c r="AD368" s="62">
        <v>68.272999999999996</v>
      </c>
      <c r="AE368">
        <v>8.9176000000000002</v>
      </c>
      <c r="AF368">
        <v>9.1609422129562699</v>
      </c>
      <c r="AG368">
        <v>1</v>
      </c>
      <c r="AH368">
        <v>5730.5357918926647</v>
      </c>
      <c r="AI368">
        <v>1.0027686628383921</v>
      </c>
      <c r="AJ368" s="62">
        <v>5746.4017000000003</v>
      </c>
      <c r="AK368" s="60">
        <v>6995.4436358057164</v>
      </c>
      <c r="AL368" t="s">
        <v>346</v>
      </c>
      <c r="AM368" t="s">
        <v>436</v>
      </c>
      <c r="AN368" t="s">
        <v>425</v>
      </c>
      <c r="AO368" t="s">
        <v>27</v>
      </c>
      <c r="AP368">
        <v>111.133</v>
      </c>
      <c r="AQ368">
        <v>1.0368587857491129</v>
      </c>
      <c r="AR368">
        <v>115.2292274366562</v>
      </c>
      <c r="AS368">
        <v>652.41</v>
      </c>
      <c r="AT368">
        <v>1</v>
      </c>
      <c r="AU368">
        <v>75.17670027194886</v>
      </c>
      <c r="AV368">
        <v>0.93979999999999997</v>
      </c>
      <c r="AW368" s="62">
        <v>70.650999999999996</v>
      </c>
      <c r="AX368">
        <v>8.9176000000000002</v>
      </c>
      <c r="AY368">
        <v>1</v>
      </c>
      <c r="AZ368">
        <v>6032.3733035653786</v>
      </c>
      <c r="BA368">
        <v>0.95477850697292876</v>
      </c>
      <c r="BB368" s="62">
        <v>5759.5803999999998</v>
      </c>
      <c r="BC368" s="60">
        <v>7011.4868673541114</v>
      </c>
    </row>
    <row r="369" spans="1:55" x14ac:dyDescent="0.25">
      <c r="A369">
        <v>77213</v>
      </c>
      <c r="B369" t="s">
        <v>139</v>
      </c>
      <c r="C369">
        <v>2018</v>
      </c>
      <c r="D369">
        <v>7</v>
      </c>
      <c r="E369" t="s">
        <v>100</v>
      </c>
      <c r="F369" t="s">
        <v>426</v>
      </c>
      <c r="G369" t="s">
        <v>84</v>
      </c>
      <c r="H369" t="s">
        <v>381</v>
      </c>
      <c r="I369" t="s">
        <v>427</v>
      </c>
      <c r="J369">
        <v>-9.5738342799999998</v>
      </c>
      <c r="K369" t="s">
        <v>440</v>
      </c>
      <c r="L369" t="s">
        <v>451</v>
      </c>
      <c r="M369">
        <v>1.6825115802299999E-3</v>
      </c>
      <c r="N369">
        <v>1.6108087040588689E-2</v>
      </c>
      <c r="O369">
        <v>30169.468000000001</v>
      </c>
      <c r="P369">
        <v>4.8744250000000003E-6</v>
      </c>
      <c r="Q369">
        <v>0.29411799999999999</v>
      </c>
      <c r="R369" s="60">
        <v>4.7376783442038628E-3</v>
      </c>
      <c r="S369" t="s">
        <v>343</v>
      </c>
      <c r="T369" t="s">
        <v>435</v>
      </c>
      <c r="U369" t="s">
        <v>425</v>
      </c>
      <c r="V369" t="s">
        <v>91</v>
      </c>
      <c r="W369">
        <v>111.133</v>
      </c>
      <c r="X369">
        <v>1.027287859172453</v>
      </c>
      <c r="Y369">
        <v>114.1655816534122</v>
      </c>
      <c r="Z369">
        <v>625.54</v>
      </c>
      <c r="AA369">
        <v>1</v>
      </c>
      <c r="AB369">
        <v>71.4151379474755</v>
      </c>
      <c r="AC369">
        <v>1.0056</v>
      </c>
      <c r="AD369" s="62">
        <v>71.814999999999998</v>
      </c>
      <c r="AE369">
        <v>8.9176000000000002</v>
      </c>
      <c r="AF369">
        <v>9.1609422129562699</v>
      </c>
      <c r="AG369">
        <v>1</v>
      </c>
      <c r="AH369">
        <v>5730.5357918926647</v>
      </c>
      <c r="AI369">
        <v>0.98408824677860207</v>
      </c>
      <c r="AJ369" s="62">
        <v>5639.3528999999999</v>
      </c>
      <c r="AK369" s="60">
        <v>26.71744010965325</v>
      </c>
      <c r="AL369" t="s">
        <v>346</v>
      </c>
      <c r="AM369" t="s">
        <v>436</v>
      </c>
      <c r="AN369" t="s">
        <v>425</v>
      </c>
      <c r="AO369" t="s">
        <v>91</v>
      </c>
      <c r="AP369">
        <v>111.133</v>
      </c>
      <c r="AQ369">
        <v>1.0368587857491129</v>
      </c>
      <c r="AR369">
        <v>115.2292274366562</v>
      </c>
      <c r="AS369">
        <v>652.41</v>
      </c>
      <c r="AT369">
        <v>1</v>
      </c>
      <c r="AU369">
        <v>75.17670027194886</v>
      </c>
      <c r="AV369">
        <v>0.99250000000000005</v>
      </c>
      <c r="AW369" s="62">
        <v>74.613</v>
      </c>
      <c r="AX369">
        <v>8.9176000000000002</v>
      </c>
      <c r="AY369">
        <v>1</v>
      </c>
      <c r="AZ369">
        <v>6032.3733035653786</v>
      </c>
      <c r="BA369">
        <v>0.96573604060913698</v>
      </c>
      <c r="BB369" s="62">
        <v>5825.6803</v>
      </c>
      <c r="BC369" s="60">
        <v>27.60019939756506</v>
      </c>
    </row>
    <row r="370" spans="1:55" x14ac:dyDescent="0.25">
      <c r="A370">
        <v>77215</v>
      </c>
      <c r="B370" t="s">
        <v>139</v>
      </c>
      <c r="C370">
        <v>2018</v>
      </c>
      <c r="D370">
        <v>7</v>
      </c>
      <c r="E370" t="s">
        <v>100</v>
      </c>
      <c r="F370" t="s">
        <v>426</v>
      </c>
      <c r="G370" t="s">
        <v>84</v>
      </c>
      <c r="H370" t="s">
        <v>381</v>
      </c>
      <c r="I370" t="s">
        <v>427</v>
      </c>
      <c r="J370">
        <v>-9.5738342799999998</v>
      </c>
      <c r="K370" t="s">
        <v>440</v>
      </c>
      <c r="L370" t="s">
        <v>452</v>
      </c>
      <c r="M370">
        <v>1.53682162831E-3</v>
      </c>
      <c r="N370">
        <v>1.471327558488047E-2</v>
      </c>
      <c r="O370">
        <v>30169.468000000001</v>
      </c>
      <c r="P370">
        <v>4.8744250000000003E-6</v>
      </c>
      <c r="Q370">
        <v>0.29411799999999999</v>
      </c>
      <c r="R370" s="60">
        <v>4.3274391884738734E-3</v>
      </c>
      <c r="S370" t="s">
        <v>343</v>
      </c>
      <c r="T370" t="s">
        <v>435</v>
      </c>
      <c r="U370" t="s">
        <v>425</v>
      </c>
      <c r="V370" t="s">
        <v>28</v>
      </c>
      <c r="W370">
        <v>111.133</v>
      </c>
      <c r="X370">
        <v>1.027287859172453</v>
      </c>
      <c r="Y370">
        <v>114.1655816534122</v>
      </c>
      <c r="Z370">
        <v>625.54</v>
      </c>
      <c r="AA370">
        <v>1</v>
      </c>
      <c r="AB370">
        <v>71.4151379474755</v>
      </c>
      <c r="AC370">
        <v>1.0064</v>
      </c>
      <c r="AD370" s="62">
        <v>71.872</v>
      </c>
      <c r="AE370">
        <v>8.9176000000000002</v>
      </c>
      <c r="AF370">
        <v>9.1609422129562699</v>
      </c>
      <c r="AG370">
        <v>1</v>
      </c>
      <c r="AH370">
        <v>5730.5357918926647</v>
      </c>
      <c r="AI370">
        <v>0.98887576294546164</v>
      </c>
      <c r="AJ370" s="62">
        <v>5666.7879999999996</v>
      </c>
      <c r="AK370" s="60">
        <v>24.522680463973479</v>
      </c>
      <c r="AL370" t="s">
        <v>346</v>
      </c>
      <c r="AM370" t="s">
        <v>436</v>
      </c>
      <c r="AN370" t="s">
        <v>425</v>
      </c>
      <c r="AO370" t="s">
        <v>28</v>
      </c>
      <c r="AP370">
        <v>111.133</v>
      </c>
      <c r="AQ370">
        <v>1.0368587857491129</v>
      </c>
      <c r="AR370">
        <v>115.2292274366562</v>
      </c>
      <c r="AS370">
        <v>652.41</v>
      </c>
      <c r="AT370">
        <v>1</v>
      </c>
      <c r="AU370">
        <v>75.17670027194886</v>
      </c>
      <c r="AV370">
        <v>0.99760000000000004</v>
      </c>
      <c r="AW370" s="62">
        <v>74.995999999999995</v>
      </c>
      <c r="AX370">
        <v>8.9176000000000002</v>
      </c>
      <c r="AY370">
        <v>1</v>
      </c>
      <c r="AZ370">
        <v>6032.3733035653786</v>
      </c>
      <c r="BA370">
        <v>0.96062216971844849</v>
      </c>
      <c r="BB370" s="62">
        <v>5794.8315000000002</v>
      </c>
      <c r="BC370" s="60">
        <v>25.076780923702842</v>
      </c>
    </row>
    <row r="371" spans="1:55" x14ac:dyDescent="0.25">
      <c r="A371">
        <v>77217</v>
      </c>
      <c r="B371" t="s">
        <v>139</v>
      </c>
      <c r="C371">
        <v>2018</v>
      </c>
      <c r="D371">
        <v>7</v>
      </c>
      <c r="E371" t="s">
        <v>100</v>
      </c>
      <c r="F371" t="s">
        <v>426</v>
      </c>
      <c r="G371" t="s">
        <v>84</v>
      </c>
      <c r="H371" t="s">
        <v>87</v>
      </c>
      <c r="I371" t="s">
        <v>427</v>
      </c>
      <c r="J371">
        <v>-1.75927561</v>
      </c>
      <c r="K371" t="s">
        <v>440</v>
      </c>
      <c r="L371" t="s">
        <v>450</v>
      </c>
      <c r="M371">
        <v>0.26601384014995</v>
      </c>
      <c r="N371">
        <v>0.46799166164753558</v>
      </c>
      <c r="O371">
        <v>30169.468000000001</v>
      </c>
      <c r="P371">
        <v>4.8744250000000003E-6</v>
      </c>
      <c r="Q371">
        <v>0.29411799999999999</v>
      </c>
      <c r="R371" s="60">
        <v>0.13764477154044991</v>
      </c>
      <c r="S371" t="s">
        <v>343</v>
      </c>
      <c r="T371" t="s">
        <v>435</v>
      </c>
      <c r="U371" t="s">
        <v>425</v>
      </c>
      <c r="V371" t="s">
        <v>26</v>
      </c>
      <c r="W371">
        <v>111.133</v>
      </c>
      <c r="X371">
        <v>1.027287859172453</v>
      </c>
      <c r="Y371">
        <v>114.1655816534122</v>
      </c>
      <c r="Z371">
        <v>625.54</v>
      </c>
      <c r="AA371">
        <v>1</v>
      </c>
      <c r="AB371">
        <v>71.4151379474755</v>
      </c>
      <c r="AC371">
        <v>0.97960000000000003</v>
      </c>
      <c r="AD371" s="62">
        <v>69.957999999999998</v>
      </c>
      <c r="AE371">
        <v>8.9176000000000002</v>
      </c>
      <c r="AF371">
        <v>9.1609422129562699</v>
      </c>
      <c r="AG371">
        <v>1</v>
      </c>
      <c r="AH371">
        <v>5730.5357918926647</v>
      </c>
      <c r="AI371">
        <v>0.98541811328241247</v>
      </c>
      <c r="AJ371" s="62">
        <v>5646.9737999999998</v>
      </c>
      <c r="AK371" s="60">
        <v>777.27641859590608</v>
      </c>
      <c r="AL371" t="s">
        <v>346</v>
      </c>
      <c r="AM371" t="s">
        <v>436</v>
      </c>
      <c r="AN371" t="s">
        <v>425</v>
      </c>
      <c r="AO371" t="s">
        <v>26</v>
      </c>
      <c r="AP371">
        <v>111.133</v>
      </c>
      <c r="AQ371">
        <v>1.0368587857491129</v>
      </c>
      <c r="AR371">
        <v>115.2292274366562</v>
      </c>
      <c r="AS371">
        <v>652.41</v>
      </c>
      <c r="AT371">
        <v>1</v>
      </c>
      <c r="AU371">
        <v>75.17670027194886</v>
      </c>
      <c r="AV371">
        <v>0.96209999999999996</v>
      </c>
      <c r="AW371" s="62">
        <v>72.328000000000003</v>
      </c>
      <c r="AX371">
        <v>8.9176000000000002</v>
      </c>
      <c r="AY371">
        <v>1</v>
      </c>
      <c r="AZ371">
        <v>6032.3733035653786</v>
      </c>
      <c r="BA371">
        <v>0.95992461065370505</v>
      </c>
      <c r="BB371" s="62">
        <v>5790.6235999999999</v>
      </c>
      <c r="BC371" s="60">
        <v>797.04906249873738</v>
      </c>
    </row>
    <row r="372" spans="1:55" x14ac:dyDescent="0.25">
      <c r="A372">
        <v>77219</v>
      </c>
      <c r="B372" t="s">
        <v>139</v>
      </c>
      <c r="C372">
        <v>2018</v>
      </c>
      <c r="D372">
        <v>7</v>
      </c>
      <c r="E372" t="s">
        <v>100</v>
      </c>
      <c r="F372" t="s">
        <v>426</v>
      </c>
      <c r="G372" t="s">
        <v>84</v>
      </c>
      <c r="H372" t="s">
        <v>87</v>
      </c>
      <c r="I372" t="s">
        <v>427</v>
      </c>
      <c r="J372">
        <v>-1.75927561</v>
      </c>
      <c r="K372" t="s">
        <v>440</v>
      </c>
      <c r="L372" t="s">
        <v>384</v>
      </c>
      <c r="M372">
        <v>3.9509559941419997E-2</v>
      </c>
      <c r="N372">
        <v>6.9508205278061092E-2</v>
      </c>
      <c r="O372">
        <v>30169.468000000001</v>
      </c>
      <c r="P372">
        <v>4.8744250000000003E-6</v>
      </c>
      <c r="Q372">
        <v>0.29411799999999999</v>
      </c>
      <c r="R372" s="60">
        <v>2.0443614319972769E-2</v>
      </c>
      <c r="S372" t="s">
        <v>343</v>
      </c>
      <c r="T372" t="s">
        <v>435</v>
      </c>
      <c r="U372" t="s">
        <v>425</v>
      </c>
      <c r="V372" t="s">
        <v>81</v>
      </c>
      <c r="W372">
        <v>111.133</v>
      </c>
      <c r="X372">
        <v>1.027287859172453</v>
      </c>
      <c r="Y372">
        <v>114.1655816534122</v>
      </c>
      <c r="Z372">
        <v>625.54</v>
      </c>
      <c r="AA372">
        <v>1</v>
      </c>
      <c r="AB372">
        <v>71.4151379474755</v>
      </c>
      <c r="AC372">
        <v>0.92730000000000001</v>
      </c>
      <c r="AD372" s="62">
        <v>66.222999999999999</v>
      </c>
      <c r="AE372">
        <v>8.9176000000000002</v>
      </c>
      <c r="AF372">
        <v>9.1609422129562699</v>
      </c>
      <c r="AG372">
        <v>1</v>
      </c>
      <c r="AH372">
        <v>5730.5357918926647</v>
      </c>
      <c r="AI372">
        <v>1.094557195571956</v>
      </c>
      <c r="AJ372" s="62">
        <v>6272.3991999999998</v>
      </c>
      <c r="AK372" s="60">
        <v>128.23051010570569</v>
      </c>
      <c r="AL372" t="s">
        <v>346</v>
      </c>
      <c r="AM372" t="s">
        <v>436</v>
      </c>
      <c r="AN372" t="s">
        <v>425</v>
      </c>
      <c r="AO372" t="s">
        <v>81</v>
      </c>
      <c r="AP372">
        <v>111.133</v>
      </c>
      <c r="AQ372">
        <v>1.0368587857491129</v>
      </c>
      <c r="AR372">
        <v>115.2292274366562</v>
      </c>
      <c r="AS372">
        <v>652.41</v>
      </c>
      <c r="AT372">
        <v>1</v>
      </c>
      <c r="AU372">
        <v>75.17670027194886</v>
      </c>
      <c r="AV372">
        <v>0.90990000000000004</v>
      </c>
      <c r="AW372" s="62">
        <v>68.403000000000006</v>
      </c>
      <c r="AX372">
        <v>8.9176000000000002</v>
      </c>
      <c r="AY372">
        <v>1</v>
      </c>
      <c r="AZ372">
        <v>6032.3733035653786</v>
      </c>
      <c r="BA372">
        <v>1.053620848708487</v>
      </c>
      <c r="BB372" s="62">
        <v>6355.8343000000004</v>
      </c>
      <c r="BC372" s="60">
        <v>129.93622511085411</v>
      </c>
    </row>
    <row r="373" spans="1:55" x14ac:dyDescent="0.25">
      <c r="A373">
        <v>77221</v>
      </c>
      <c r="B373" t="s">
        <v>139</v>
      </c>
      <c r="C373">
        <v>2018</v>
      </c>
      <c r="D373">
        <v>7</v>
      </c>
      <c r="E373" t="s">
        <v>100</v>
      </c>
      <c r="F373" t="s">
        <v>426</v>
      </c>
      <c r="G373" t="s">
        <v>84</v>
      </c>
      <c r="H373" t="s">
        <v>87</v>
      </c>
      <c r="I373" t="s">
        <v>427</v>
      </c>
      <c r="J373">
        <v>-1.75927561</v>
      </c>
      <c r="K373" t="s">
        <v>440</v>
      </c>
      <c r="L373" t="s">
        <v>385</v>
      </c>
      <c r="M373">
        <v>0.39737542925016001</v>
      </c>
      <c r="N373">
        <v>0.69909290181238737</v>
      </c>
      <c r="O373">
        <v>30169.468000000001</v>
      </c>
      <c r="P373">
        <v>4.8744250000000003E-6</v>
      </c>
      <c r="Q373">
        <v>0.29411799999999999</v>
      </c>
      <c r="R373" s="60">
        <v>0.2056158060952557</v>
      </c>
      <c r="S373" t="s">
        <v>343</v>
      </c>
      <c r="T373" t="s">
        <v>435</v>
      </c>
      <c r="U373" t="s">
        <v>425</v>
      </c>
      <c r="V373" t="s">
        <v>27</v>
      </c>
      <c r="W373">
        <v>111.133</v>
      </c>
      <c r="X373">
        <v>1.027287859172453</v>
      </c>
      <c r="Y373">
        <v>114.1655816534122</v>
      </c>
      <c r="Z373">
        <v>625.54</v>
      </c>
      <c r="AA373">
        <v>1</v>
      </c>
      <c r="AB373">
        <v>71.4151379474755</v>
      </c>
      <c r="AC373">
        <v>0.95599999999999996</v>
      </c>
      <c r="AD373" s="62">
        <v>68.272999999999996</v>
      </c>
      <c r="AE373">
        <v>8.9176000000000002</v>
      </c>
      <c r="AF373">
        <v>9.1609422129562699</v>
      </c>
      <c r="AG373">
        <v>1</v>
      </c>
      <c r="AH373">
        <v>5730.5357918926647</v>
      </c>
      <c r="AI373">
        <v>1.0027686628383921</v>
      </c>
      <c r="AJ373" s="62">
        <v>5746.4017000000003</v>
      </c>
      <c r="AK373" s="60">
        <v>1181.551017692648</v>
      </c>
      <c r="AL373" t="s">
        <v>346</v>
      </c>
      <c r="AM373" t="s">
        <v>436</v>
      </c>
      <c r="AN373" t="s">
        <v>425</v>
      </c>
      <c r="AO373" t="s">
        <v>27</v>
      </c>
      <c r="AP373">
        <v>111.133</v>
      </c>
      <c r="AQ373">
        <v>1.0368587857491129</v>
      </c>
      <c r="AR373">
        <v>115.2292274366562</v>
      </c>
      <c r="AS373">
        <v>652.41</v>
      </c>
      <c r="AT373">
        <v>1</v>
      </c>
      <c r="AU373">
        <v>75.17670027194886</v>
      </c>
      <c r="AV373">
        <v>0.93979999999999997</v>
      </c>
      <c r="AW373" s="62">
        <v>70.650999999999996</v>
      </c>
      <c r="AX373">
        <v>8.9176000000000002</v>
      </c>
      <c r="AY373">
        <v>1</v>
      </c>
      <c r="AZ373">
        <v>6032.3733035653786</v>
      </c>
      <c r="BA373">
        <v>0.95477850697292876</v>
      </c>
      <c r="BB373" s="62">
        <v>5759.5803999999998</v>
      </c>
      <c r="BC373" s="60">
        <v>1184.260766716435</v>
      </c>
    </row>
    <row r="374" spans="1:55" x14ac:dyDescent="0.25">
      <c r="A374">
        <v>77223</v>
      </c>
      <c r="B374" t="s">
        <v>139</v>
      </c>
      <c r="C374">
        <v>2018</v>
      </c>
      <c r="D374">
        <v>7</v>
      </c>
      <c r="E374" t="s">
        <v>100</v>
      </c>
      <c r="F374" t="s">
        <v>426</v>
      </c>
      <c r="G374" t="s">
        <v>84</v>
      </c>
      <c r="H374" t="s">
        <v>87</v>
      </c>
      <c r="I374" t="s">
        <v>427</v>
      </c>
      <c r="J374">
        <v>-1.75927561</v>
      </c>
      <c r="K374" t="s">
        <v>440</v>
      </c>
      <c r="L374" t="s">
        <v>452</v>
      </c>
      <c r="M374">
        <v>8.4248020759000004E-4</v>
      </c>
      <c r="N374">
        <v>1.4821548834938649E-3</v>
      </c>
      <c r="O374">
        <v>30169.468000000001</v>
      </c>
      <c r="P374">
        <v>4.8744250000000003E-6</v>
      </c>
      <c r="Q374">
        <v>0.29411799999999999</v>
      </c>
      <c r="R374" s="60">
        <v>4.3592843002344868E-4</v>
      </c>
      <c r="S374" t="s">
        <v>343</v>
      </c>
      <c r="T374" t="s">
        <v>435</v>
      </c>
      <c r="U374" t="s">
        <v>425</v>
      </c>
      <c r="V374" t="s">
        <v>28</v>
      </c>
      <c r="W374">
        <v>111.133</v>
      </c>
      <c r="X374">
        <v>1.027287859172453</v>
      </c>
      <c r="Y374">
        <v>114.1655816534122</v>
      </c>
      <c r="Z374">
        <v>625.54</v>
      </c>
      <c r="AA374">
        <v>1</v>
      </c>
      <c r="AB374">
        <v>71.4151379474755</v>
      </c>
      <c r="AC374">
        <v>1.0064</v>
      </c>
      <c r="AD374" s="62">
        <v>71.872</v>
      </c>
      <c r="AE374">
        <v>8.9176000000000002</v>
      </c>
      <c r="AF374">
        <v>9.1609422129562699</v>
      </c>
      <c r="AG374">
        <v>1</v>
      </c>
      <c r="AH374">
        <v>5730.5357918926647</v>
      </c>
      <c r="AI374">
        <v>0.98887576294546164</v>
      </c>
      <c r="AJ374" s="62">
        <v>5666.7879999999996</v>
      </c>
      <c r="AK374" s="60">
        <v>2.4703139961157179</v>
      </c>
      <c r="AL374" t="s">
        <v>346</v>
      </c>
      <c r="AM374" t="s">
        <v>436</v>
      </c>
      <c r="AN374" t="s">
        <v>425</v>
      </c>
      <c r="AO374" t="s">
        <v>28</v>
      </c>
      <c r="AP374">
        <v>111.133</v>
      </c>
      <c r="AQ374">
        <v>1.0368587857491129</v>
      </c>
      <c r="AR374">
        <v>115.2292274366562</v>
      </c>
      <c r="AS374">
        <v>652.41</v>
      </c>
      <c r="AT374">
        <v>1</v>
      </c>
      <c r="AU374">
        <v>75.17670027194886</v>
      </c>
      <c r="AV374">
        <v>0.99760000000000004</v>
      </c>
      <c r="AW374" s="62">
        <v>74.995999999999995</v>
      </c>
      <c r="AX374">
        <v>8.9176000000000002</v>
      </c>
      <c r="AY374">
        <v>1</v>
      </c>
      <c r="AZ374">
        <v>6032.3733035653786</v>
      </c>
      <c r="BA374">
        <v>0.96062216971844849</v>
      </c>
      <c r="BB374" s="62">
        <v>5794.8315000000002</v>
      </c>
      <c r="BC374" s="60">
        <v>2.5261317980454261</v>
      </c>
    </row>
    <row r="375" spans="1:55" x14ac:dyDescent="0.25">
      <c r="A375">
        <v>77225</v>
      </c>
      <c r="B375" t="s">
        <v>139</v>
      </c>
      <c r="C375">
        <v>2018</v>
      </c>
      <c r="D375">
        <v>7</v>
      </c>
      <c r="E375" t="s">
        <v>100</v>
      </c>
      <c r="F375" t="s">
        <v>426</v>
      </c>
      <c r="G375" t="s">
        <v>84</v>
      </c>
      <c r="H375" t="s">
        <v>59</v>
      </c>
      <c r="I375" t="s">
        <v>427</v>
      </c>
      <c r="J375">
        <v>-5.0586077999999999</v>
      </c>
      <c r="K375" t="s">
        <v>440</v>
      </c>
      <c r="L375" t="s">
        <v>450</v>
      </c>
      <c r="M375">
        <v>0.15931709696460999</v>
      </c>
      <c r="N375">
        <v>0.80592270985823311</v>
      </c>
      <c r="O375">
        <v>30169.468000000001</v>
      </c>
      <c r="P375">
        <v>4.8744250000000003E-6</v>
      </c>
      <c r="Q375">
        <v>0.29411799999999999</v>
      </c>
      <c r="R375" s="60">
        <v>0.2370363755780838</v>
      </c>
      <c r="S375" t="s">
        <v>343</v>
      </c>
      <c r="T375" t="s">
        <v>435</v>
      </c>
      <c r="U375" t="s">
        <v>425</v>
      </c>
      <c r="V375" t="s">
        <v>26</v>
      </c>
      <c r="W375">
        <v>111.133</v>
      </c>
      <c r="X375">
        <v>1.027287859172453</v>
      </c>
      <c r="Y375">
        <v>114.1655816534122</v>
      </c>
      <c r="Z375">
        <v>625.54</v>
      </c>
      <c r="AA375">
        <v>1</v>
      </c>
      <c r="AB375">
        <v>71.4151379474755</v>
      </c>
      <c r="AC375">
        <v>0.97960000000000003</v>
      </c>
      <c r="AD375" s="62">
        <v>69.957999999999998</v>
      </c>
      <c r="AE375">
        <v>8.9176000000000002</v>
      </c>
      <c r="AF375">
        <v>9.1609422129562699</v>
      </c>
      <c r="AG375">
        <v>1</v>
      </c>
      <c r="AH375">
        <v>5730.5357918926647</v>
      </c>
      <c r="AI375">
        <v>0.98541811328241247</v>
      </c>
      <c r="AJ375" s="62">
        <v>5646.9737999999998</v>
      </c>
      <c r="AK375" s="60">
        <v>1338.538202536399</v>
      </c>
      <c r="AL375" t="s">
        <v>346</v>
      </c>
      <c r="AM375" t="s">
        <v>436</v>
      </c>
      <c r="AN375" t="s">
        <v>425</v>
      </c>
      <c r="AO375" t="s">
        <v>26</v>
      </c>
      <c r="AP375">
        <v>111.133</v>
      </c>
      <c r="AQ375">
        <v>1.0368587857491129</v>
      </c>
      <c r="AR375">
        <v>115.2292274366562</v>
      </c>
      <c r="AS375">
        <v>652.41</v>
      </c>
      <c r="AT375">
        <v>1</v>
      </c>
      <c r="AU375">
        <v>75.17670027194886</v>
      </c>
      <c r="AV375">
        <v>0.96209999999999996</v>
      </c>
      <c r="AW375" s="62">
        <v>72.328000000000003</v>
      </c>
      <c r="AX375">
        <v>8.9176000000000002</v>
      </c>
      <c r="AY375">
        <v>1</v>
      </c>
      <c r="AZ375">
        <v>6032.3733035653786</v>
      </c>
      <c r="BA375">
        <v>0.95992461065370505</v>
      </c>
      <c r="BB375" s="62">
        <v>5790.6235999999999</v>
      </c>
      <c r="BC375" s="60">
        <v>1372.588430480916</v>
      </c>
    </row>
    <row r="376" spans="1:55" x14ac:dyDescent="0.25">
      <c r="A376">
        <v>77227</v>
      </c>
      <c r="B376" t="s">
        <v>139</v>
      </c>
      <c r="C376">
        <v>2018</v>
      </c>
      <c r="D376">
        <v>7</v>
      </c>
      <c r="E376" t="s">
        <v>100</v>
      </c>
      <c r="F376" t="s">
        <v>426</v>
      </c>
      <c r="G376" t="s">
        <v>84</v>
      </c>
      <c r="H376" t="s">
        <v>59</v>
      </c>
      <c r="I376" t="s">
        <v>427</v>
      </c>
      <c r="J376">
        <v>-5.0586077999999999</v>
      </c>
      <c r="K376" t="s">
        <v>440</v>
      </c>
      <c r="L376" t="s">
        <v>384</v>
      </c>
      <c r="M376">
        <v>4.1785183859599999E-2</v>
      </c>
      <c r="N376">
        <v>0.21137485712242099</v>
      </c>
      <c r="O376">
        <v>30169.468000000001</v>
      </c>
      <c r="P376">
        <v>4.8744250000000003E-6</v>
      </c>
      <c r="Q376">
        <v>0.29411799999999999</v>
      </c>
      <c r="R376" s="60">
        <v>6.2169150227132229E-2</v>
      </c>
      <c r="S376" t="s">
        <v>343</v>
      </c>
      <c r="T376" t="s">
        <v>435</v>
      </c>
      <c r="U376" t="s">
        <v>425</v>
      </c>
      <c r="V376" t="s">
        <v>81</v>
      </c>
      <c r="W376">
        <v>111.133</v>
      </c>
      <c r="X376">
        <v>1.027287859172453</v>
      </c>
      <c r="Y376">
        <v>114.1655816534122</v>
      </c>
      <c r="Z376">
        <v>625.54</v>
      </c>
      <c r="AA376">
        <v>1</v>
      </c>
      <c r="AB376">
        <v>71.4151379474755</v>
      </c>
      <c r="AC376">
        <v>0.92730000000000001</v>
      </c>
      <c r="AD376" s="62">
        <v>66.222999999999999</v>
      </c>
      <c r="AE376">
        <v>8.9176000000000002</v>
      </c>
      <c r="AF376">
        <v>9.1609422129562699</v>
      </c>
      <c r="AG376">
        <v>1</v>
      </c>
      <c r="AH376">
        <v>5730.5357918926647</v>
      </c>
      <c r="AI376">
        <v>1.094557195571956</v>
      </c>
      <c r="AJ376" s="62">
        <v>6272.3991999999998</v>
      </c>
      <c r="AK376" s="60">
        <v>389.94972814934403</v>
      </c>
      <c r="AL376" t="s">
        <v>346</v>
      </c>
      <c r="AM376" t="s">
        <v>436</v>
      </c>
      <c r="AN376" t="s">
        <v>425</v>
      </c>
      <c r="AO376" t="s">
        <v>81</v>
      </c>
      <c r="AP376">
        <v>111.133</v>
      </c>
      <c r="AQ376">
        <v>1.0368587857491129</v>
      </c>
      <c r="AR376">
        <v>115.2292274366562</v>
      </c>
      <c r="AS376">
        <v>652.41</v>
      </c>
      <c r="AT376">
        <v>1</v>
      </c>
      <c r="AU376">
        <v>75.17670027194886</v>
      </c>
      <c r="AV376">
        <v>0.90990000000000004</v>
      </c>
      <c r="AW376" s="62">
        <v>68.403000000000006</v>
      </c>
      <c r="AX376">
        <v>8.9176000000000002</v>
      </c>
      <c r="AY376">
        <v>1</v>
      </c>
      <c r="AZ376">
        <v>6032.3733035653786</v>
      </c>
      <c r="BA376">
        <v>1.053620848708487</v>
      </c>
      <c r="BB376" s="62">
        <v>6355.8343000000004</v>
      </c>
      <c r="BC376" s="60">
        <v>395.13681741545992</v>
      </c>
    </row>
    <row r="377" spans="1:55" x14ac:dyDescent="0.25">
      <c r="A377">
        <v>77229</v>
      </c>
      <c r="B377" t="s">
        <v>139</v>
      </c>
      <c r="C377">
        <v>2018</v>
      </c>
      <c r="D377">
        <v>7</v>
      </c>
      <c r="E377" t="s">
        <v>100</v>
      </c>
      <c r="F377" t="s">
        <v>426</v>
      </c>
      <c r="G377" t="s">
        <v>84</v>
      </c>
      <c r="H377" t="s">
        <v>59</v>
      </c>
      <c r="I377" t="s">
        <v>427</v>
      </c>
      <c r="J377">
        <v>-5.0586077999999999</v>
      </c>
      <c r="K377" t="s">
        <v>440</v>
      </c>
      <c r="L377" t="s">
        <v>385</v>
      </c>
      <c r="M377">
        <v>0.43497567483749999</v>
      </c>
      <c r="N377">
        <v>2.2003713428529439</v>
      </c>
      <c r="O377">
        <v>30169.468000000001</v>
      </c>
      <c r="P377">
        <v>4.8744250000000003E-6</v>
      </c>
      <c r="Q377">
        <v>0.29411799999999999</v>
      </c>
      <c r="R377" s="60">
        <v>0.64716881861722231</v>
      </c>
      <c r="S377" t="s">
        <v>343</v>
      </c>
      <c r="T377" t="s">
        <v>435</v>
      </c>
      <c r="U377" t="s">
        <v>425</v>
      </c>
      <c r="V377" t="s">
        <v>27</v>
      </c>
      <c r="W377">
        <v>111.133</v>
      </c>
      <c r="X377">
        <v>1.027287859172453</v>
      </c>
      <c r="Y377">
        <v>114.1655816534122</v>
      </c>
      <c r="Z377">
        <v>625.54</v>
      </c>
      <c r="AA377">
        <v>1</v>
      </c>
      <c r="AB377">
        <v>71.4151379474755</v>
      </c>
      <c r="AC377">
        <v>0.95599999999999996</v>
      </c>
      <c r="AD377" s="62">
        <v>68.272999999999996</v>
      </c>
      <c r="AE377">
        <v>8.9176000000000002</v>
      </c>
      <c r="AF377">
        <v>9.1609422129562699</v>
      </c>
      <c r="AG377">
        <v>1</v>
      </c>
      <c r="AH377">
        <v>5730.5357918926647</v>
      </c>
      <c r="AI377">
        <v>1.0027686628383921</v>
      </c>
      <c r="AJ377" s="62">
        <v>5746.4017000000003</v>
      </c>
      <c r="AK377" s="60">
        <v>3718.891999488998</v>
      </c>
      <c r="AL377" t="s">
        <v>346</v>
      </c>
      <c r="AM377" t="s">
        <v>436</v>
      </c>
      <c r="AN377" t="s">
        <v>425</v>
      </c>
      <c r="AO377" t="s">
        <v>27</v>
      </c>
      <c r="AP377">
        <v>111.133</v>
      </c>
      <c r="AQ377">
        <v>1.0368587857491129</v>
      </c>
      <c r="AR377">
        <v>115.2292274366562</v>
      </c>
      <c r="AS377">
        <v>652.41</v>
      </c>
      <c r="AT377">
        <v>1</v>
      </c>
      <c r="AU377">
        <v>75.17670027194886</v>
      </c>
      <c r="AV377">
        <v>0.93979999999999997</v>
      </c>
      <c r="AW377" s="62">
        <v>70.650999999999996</v>
      </c>
      <c r="AX377">
        <v>8.9176000000000002</v>
      </c>
      <c r="AY377">
        <v>1</v>
      </c>
      <c r="AZ377">
        <v>6032.3733035653786</v>
      </c>
      <c r="BA377">
        <v>0.95477850697292876</v>
      </c>
      <c r="BB377" s="62">
        <v>5759.5803999999998</v>
      </c>
      <c r="BC377" s="60">
        <v>3727.4208431989091</v>
      </c>
    </row>
    <row r="378" spans="1:55" x14ac:dyDescent="0.25">
      <c r="A378">
        <v>77231</v>
      </c>
      <c r="B378" t="s">
        <v>139</v>
      </c>
      <c r="C378">
        <v>2018</v>
      </c>
      <c r="D378">
        <v>7</v>
      </c>
      <c r="E378" t="s">
        <v>100</v>
      </c>
      <c r="F378" t="s">
        <v>426</v>
      </c>
      <c r="G378" t="s">
        <v>84</v>
      </c>
      <c r="H378" t="s">
        <v>59</v>
      </c>
      <c r="I378" t="s">
        <v>427</v>
      </c>
      <c r="J378">
        <v>-5.0586077999999999</v>
      </c>
      <c r="K378" t="s">
        <v>440</v>
      </c>
      <c r="L378" t="s">
        <v>451</v>
      </c>
      <c r="M378">
        <v>1.7625750762999999E-3</v>
      </c>
      <c r="N378">
        <v>8.9161760343638534E-3</v>
      </c>
      <c r="O378">
        <v>30169.468000000001</v>
      </c>
      <c r="P378">
        <v>4.8744250000000003E-6</v>
      </c>
      <c r="Q378">
        <v>0.29411799999999999</v>
      </c>
      <c r="R378" s="60">
        <v>2.6224078628750281E-3</v>
      </c>
      <c r="S378" t="s">
        <v>343</v>
      </c>
      <c r="T378" t="s">
        <v>435</v>
      </c>
      <c r="U378" t="s">
        <v>425</v>
      </c>
      <c r="V378" t="s">
        <v>91</v>
      </c>
      <c r="W378">
        <v>111.133</v>
      </c>
      <c r="X378">
        <v>1.027287859172453</v>
      </c>
      <c r="Y378">
        <v>114.1655816534122</v>
      </c>
      <c r="Z378">
        <v>625.54</v>
      </c>
      <c r="AA378">
        <v>1</v>
      </c>
      <c r="AB378">
        <v>71.4151379474755</v>
      </c>
      <c r="AC378">
        <v>1.0056</v>
      </c>
      <c r="AD378" s="62">
        <v>71.814999999999998</v>
      </c>
      <c r="AE378">
        <v>8.9176000000000002</v>
      </c>
      <c r="AF378">
        <v>9.1609422129562699</v>
      </c>
      <c r="AG378">
        <v>1</v>
      </c>
      <c r="AH378">
        <v>5730.5357918926647</v>
      </c>
      <c r="AI378">
        <v>0.98408824677860207</v>
      </c>
      <c r="AJ378" s="62">
        <v>5639.3528999999999</v>
      </c>
      <c r="AK378" s="60">
        <v>14.78868338648709</v>
      </c>
      <c r="AL378" t="s">
        <v>346</v>
      </c>
      <c r="AM378" t="s">
        <v>436</v>
      </c>
      <c r="AN378" t="s">
        <v>425</v>
      </c>
      <c r="AO378" t="s">
        <v>91</v>
      </c>
      <c r="AP378">
        <v>111.133</v>
      </c>
      <c r="AQ378">
        <v>1.0368587857491129</v>
      </c>
      <c r="AR378">
        <v>115.2292274366562</v>
      </c>
      <c r="AS378">
        <v>652.41</v>
      </c>
      <c r="AT378">
        <v>1</v>
      </c>
      <c r="AU378">
        <v>75.17670027194886</v>
      </c>
      <c r="AV378">
        <v>0.99250000000000005</v>
      </c>
      <c r="AW378" s="62">
        <v>74.613</v>
      </c>
      <c r="AX378">
        <v>8.9176000000000002</v>
      </c>
      <c r="AY378">
        <v>1</v>
      </c>
      <c r="AZ378">
        <v>6032.3733035653786</v>
      </c>
      <c r="BA378">
        <v>0.96573604060913698</v>
      </c>
      <c r="BB378" s="62">
        <v>5825.6803</v>
      </c>
      <c r="BC378" s="60">
        <v>15.27730982531615</v>
      </c>
    </row>
    <row r="379" spans="1:55" x14ac:dyDescent="0.25">
      <c r="A379">
        <v>77233</v>
      </c>
      <c r="B379" t="s">
        <v>139</v>
      </c>
      <c r="C379">
        <v>2018</v>
      </c>
      <c r="D379">
        <v>7</v>
      </c>
      <c r="E379" t="s">
        <v>100</v>
      </c>
      <c r="F379" t="s">
        <v>426</v>
      </c>
      <c r="G379" t="s">
        <v>84</v>
      </c>
      <c r="H379" t="s">
        <v>59</v>
      </c>
      <c r="I379" t="s">
        <v>427</v>
      </c>
      <c r="J379">
        <v>-5.0586077999999999</v>
      </c>
      <c r="K379" t="s">
        <v>440</v>
      </c>
      <c r="L379" t="s">
        <v>452</v>
      </c>
      <c r="M379">
        <v>1.4858046103299999E-3</v>
      </c>
      <c r="N379">
        <v>7.5161027955650273E-3</v>
      </c>
      <c r="O379">
        <v>30169.468000000001</v>
      </c>
      <c r="P379">
        <v>4.8744250000000003E-6</v>
      </c>
      <c r="Q379">
        <v>0.29411799999999999</v>
      </c>
      <c r="R379" s="60">
        <v>2.2106211220259951E-3</v>
      </c>
      <c r="S379" t="s">
        <v>343</v>
      </c>
      <c r="T379" t="s">
        <v>435</v>
      </c>
      <c r="U379" t="s">
        <v>425</v>
      </c>
      <c r="V379" t="s">
        <v>28</v>
      </c>
      <c r="W379">
        <v>111.133</v>
      </c>
      <c r="X379">
        <v>1.027287859172453</v>
      </c>
      <c r="Y379">
        <v>114.1655816534122</v>
      </c>
      <c r="Z379">
        <v>625.54</v>
      </c>
      <c r="AA379">
        <v>1</v>
      </c>
      <c r="AB379">
        <v>71.4151379474755</v>
      </c>
      <c r="AC379">
        <v>1.0064</v>
      </c>
      <c r="AD379" s="62">
        <v>71.872</v>
      </c>
      <c r="AE379">
        <v>8.9176000000000002</v>
      </c>
      <c r="AF379">
        <v>9.1609422129562699</v>
      </c>
      <c r="AG379">
        <v>1</v>
      </c>
      <c r="AH379">
        <v>5730.5357918926647</v>
      </c>
      <c r="AI379">
        <v>0.98887576294546164</v>
      </c>
      <c r="AJ379" s="62">
        <v>5666.7879999999996</v>
      </c>
      <c r="AK379" s="60">
        <v>12.527121246843439</v>
      </c>
      <c r="AL379" t="s">
        <v>346</v>
      </c>
      <c r="AM379" t="s">
        <v>436</v>
      </c>
      <c r="AN379" t="s">
        <v>425</v>
      </c>
      <c r="AO379" t="s">
        <v>28</v>
      </c>
      <c r="AP379">
        <v>111.133</v>
      </c>
      <c r="AQ379">
        <v>1.0368587857491129</v>
      </c>
      <c r="AR379">
        <v>115.2292274366562</v>
      </c>
      <c r="AS379">
        <v>652.41</v>
      </c>
      <c r="AT379">
        <v>1</v>
      </c>
      <c r="AU379">
        <v>75.17670027194886</v>
      </c>
      <c r="AV379">
        <v>0.99760000000000004</v>
      </c>
      <c r="AW379" s="62">
        <v>74.995999999999995</v>
      </c>
      <c r="AX379">
        <v>8.9176000000000002</v>
      </c>
      <c r="AY379">
        <v>1</v>
      </c>
      <c r="AZ379">
        <v>6032.3733035653786</v>
      </c>
      <c r="BA379">
        <v>0.96062216971844849</v>
      </c>
      <c r="BB379" s="62">
        <v>5794.8315000000002</v>
      </c>
      <c r="BC379" s="60">
        <v>12.81017691248158</v>
      </c>
    </row>
    <row r="380" spans="1:55" x14ac:dyDescent="0.25">
      <c r="A380">
        <v>82855</v>
      </c>
      <c r="B380" t="s">
        <v>140</v>
      </c>
      <c r="C380">
        <v>2018</v>
      </c>
      <c r="D380">
        <v>8</v>
      </c>
      <c r="E380" t="s">
        <v>100</v>
      </c>
      <c r="F380" t="s">
        <v>426</v>
      </c>
      <c r="G380" t="s">
        <v>84</v>
      </c>
      <c r="H380" t="s">
        <v>381</v>
      </c>
      <c r="I380" t="s">
        <v>427</v>
      </c>
      <c r="J380">
        <v>-9.5779341900000006</v>
      </c>
      <c r="K380" t="s">
        <v>440</v>
      </c>
      <c r="L380" t="s">
        <v>450</v>
      </c>
      <c r="M380">
        <v>0.15011157993331001</v>
      </c>
      <c r="N380">
        <v>1.4377588340870111</v>
      </c>
      <c r="O380">
        <v>30169.468000000001</v>
      </c>
      <c r="P380">
        <v>4.8744250000000003E-6</v>
      </c>
      <c r="Q380">
        <v>0.29411799999999999</v>
      </c>
      <c r="R380" s="60">
        <v>0.42287075276400338</v>
      </c>
      <c r="S380" t="s">
        <v>343</v>
      </c>
      <c r="T380" t="s">
        <v>435</v>
      </c>
      <c r="U380" t="s">
        <v>425</v>
      </c>
      <c r="V380" t="s">
        <v>26</v>
      </c>
      <c r="W380">
        <v>111.133</v>
      </c>
      <c r="X380">
        <v>1.027287859172453</v>
      </c>
      <c r="Y380">
        <v>114.1655816534122</v>
      </c>
      <c r="Z380">
        <v>625.54</v>
      </c>
      <c r="AA380">
        <v>1</v>
      </c>
      <c r="AB380">
        <v>71.4151379474755</v>
      </c>
      <c r="AC380">
        <v>0.97960000000000003</v>
      </c>
      <c r="AD380" s="62">
        <v>69.957999999999998</v>
      </c>
      <c r="AE380">
        <v>8.9176000000000002</v>
      </c>
      <c r="AF380">
        <v>9.1609422129562699</v>
      </c>
      <c r="AG380">
        <v>1</v>
      </c>
      <c r="AH380">
        <v>5730.5357918926647</v>
      </c>
      <c r="AI380">
        <v>0.98541811328241247</v>
      </c>
      <c r="AJ380" s="62">
        <v>5646.9737999999998</v>
      </c>
      <c r="AK380" s="60">
        <v>2387.9400616446051</v>
      </c>
      <c r="AL380" t="s">
        <v>346</v>
      </c>
      <c r="AM380" t="s">
        <v>436</v>
      </c>
      <c r="AN380" t="s">
        <v>425</v>
      </c>
      <c r="AO380" t="s">
        <v>26</v>
      </c>
      <c r="AP380">
        <v>111.133</v>
      </c>
      <c r="AQ380">
        <v>1.0368587857491129</v>
      </c>
      <c r="AR380">
        <v>115.2292274366562</v>
      </c>
      <c r="AS380">
        <v>656.25</v>
      </c>
      <c r="AT380">
        <v>1</v>
      </c>
      <c r="AU380">
        <v>75.619180505305636</v>
      </c>
      <c r="AV380">
        <v>0.96209999999999996</v>
      </c>
      <c r="AW380" s="62">
        <v>72.753</v>
      </c>
      <c r="AX380">
        <v>8.9176000000000002</v>
      </c>
      <c r="AY380">
        <v>1</v>
      </c>
      <c r="AZ380">
        <v>6067.879064491317</v>
      </c>
      <c r="BA380">
        <v>0.95992461065370505</v>
      </c>
      <c r="BB380" s="62">
        <v>5824.7064</v>
      </c>
      <c r="BC380" s="60">
        <v>2463.0979799973079</v>
      </c>
    </row>
    <row r="381" spans="1:55" x14ac:dyDescent="0.25">
      <c r="A381">
        <v>82857</v>
      </c>
      <c r="B381" t="s">
        <v>140</v>
      </c>
      <c r="C381">
        <v>2018</v>
      </c>
      <c r="D381">
        <v>8</v>
      </c>
      <c r="E381" t="s">
        <v>100</v>
      </c>
      <c r="F381" t="s">
        <v>426</v>
      </c>
      <c r="G381" t="s">
        <v>84</v>
      </c>
      <c r="H381" t="s">
        <v>381</v>
      </c>
      <c r="I381" t="s">
        <v>427</v>
      </c>
      <c r="J381">
        <v>-9.5779341900000006</v>
      </c>
      <c r="K381" t="s">
        <v>440</v>
      </c>
      <c r="L381" t="s">
        <v>384</v>
      </c>
      <c r="M381">
        <v>4.5811354346740003E-2</v>
      </c>
      <c r="N381">
        <v>0.43877813718820319</v>
      </c>
      <c r="O381">
        <v>30169.468000000001</v>
      </c>
      <c r="P381">
        <v>4.8744250000000003E-6</v>
      </c>
      <c r="Q381">
        <v>0.29411799999999999</v>
      </c>
      <c r="R381" s="60">
        <v>0.12905254815351991</v>
      </c>
      <c r="S381" t="s">
        <v>343</v>
      </c>
      <c r="T381" t="s">
        <v>435</v>
      </c>
      <c r="U381" t="s">
        <v>425</v>
      </c>
      <c r="V381" t="s">
        <v>81</v>
      </c>
      <c r="W381">
        <v>111.133</v>
      </c>
      <c r="X381">
        <v>1.027287859172453</v>
      </c>
      <c r="Y381">
        <v>114.1655816534122</v>
      </c>
      <c r="Z381">
        <v>625.54</v>
      </c>
      <c r="AA381">
        <v>1</v>
      </c>
      <c r="AB381">
        <v>71.4151379474755</v>
      </c>
      <c r="AC381">
        <v>0.92730000000000001</v>
      </c>
      <c r="AD381" s="62">
        <v>66.222999999999999</v>
      </c>
      <c r="AE381">
        <v>8.9176000000000002</v>
      </c>
      <c r="AF381">
        <v>9.1609422129562699</v>
      </c>
      <c r="AG381">
        <v>1</v>
      </c>
      <c r="AH381">
        <v>5730.5357918926647</v>
      </c>
      <c r="AI381">
        <v>1.094557195571956</v>
      </c>
      <c r="AJ381" s="62">
        <v>6272.3991999999998</v>
      </c>
      <c r="AK381" s="60">
        <v>809.46909979609995</v>
      </c>
      <c r="AL381" t="s">
        <v>346</v>
      </c>
      <c r="AM381" t="s">
        <v>436</v>
      </c>
      <c r="AN381" t="s">
        <v>425</v>
      </c>
      <c r="AO381" t="s">
        <v>81</v>
      </c>
      <c r="AP381">
        <v>111.133</v>
      </c>
      <c r="AQ381">
        <v>1.0368587857491129</v>
      </c>
      <c r="AR381">
        <v>115.2292274366562</v>
      </c>
      <c r="AS381">
        <v>656.25</v>
      </c>
      <c r="AT381">
        <v>1</v>
      </c>
      <c r="AU381">
        <v>75.619180505305636</v>
      </c>
      <c r="AV381">
        <v>0.90990000000000004</v>
      </c>
      <c r="AW381" s="62">
        <v>68.805999999999997</v>
      </c>
      <c r="AX381">
        <v>8.9176000000000002</v>
      </c>
      <c r="AY381">
        <v>1</v>
      </c>
      <c r="AZ381">
        <v>6067.879064491317</v>
      </c>
      <c r="BA381">
        <v>1.053620848708487</v>
      </c>
      <c r="BB381" s="62">
        <v>6393.2439000000004</v>
      </c>
      <c r="BC381" s="60">
        <v>825.0644162619476</v>
      </c>
    </row>
    <row r="382" spans="1:55" x14ac:dyDescent="0.25">
      <c r="A382">
        <v>82859</v>
      </c>
      <c r="B382" t="s">
        <v>140</v>
      </c>
      <c r="C382">
        <v>2018</v>
      </c>
      <c r="D382">
        <v>8</v>
      </c>
      <c r="E382" t="s">
        <v>100</v>
      </c>
      <c r="F382" t="s">
        <v>426</v>
      </c>
      <c r="G382" t="s">
        <v>84</v>
      </c>
      <c r="H382" t="s">
        <v>381</v>
      </c>
      <c r="I382" t="s">
        <v>427</v>
      </c>
      <c r="J382">
        <v>-9.5779341900000006</v>
      </c>
      <c r="K382" t="s">
        <v>440</v>
      </c>
      <c r="L382" t="s">
        <v>385</v>
      </c>
      <c r="M382">
        <v>0.43232641346992001</v>
      </c>
      <c r="N382">
        <v>4.1407939377607024</v>
      </c>
      <c r="O382">
        <v>30169.468000000001</v>
      </c>
      <c r="P382">
        <v>4.8744250000000003E-6</v>
      </c>
      <c r="Q382">
        <v>0.29411799999999999</v>
      </c>
      <c r="R382" s="60">
        <v>1.2178820313863019</v>
      </c>
      <c r="S382" t="s">
        <v>343</v>
      </c>
      <c r="T382" t="s">
        <v>435</v>
      </c>
      <c r="U382" t="s">
        <v>425</v>
      </c>
      <c r="V382" t="s">
        <v>27</v>
      </c>
      <c r="W382">
        <v>111.133</v>
      </c>
      <c r="X382">
        <v>1.027287859172453</v>
      </c>
      <c r="Y382">
        <v>114.1655816534122</v>
      </c>
      <c r="Z382">
        <v>625.54</v>
      </c>
      <c r="AA382">
        <v>1</v>
      </c>
      <c r="AB382">
        <v>71.4151379474755</v>
      </c>
      <c r="AC382">
        <v>0.95599999999999996</v>
      </c>
      <c r="AD382" s="62">
        <v>68.272999999999996</v>
      </c>
      <c r="AE382">
        <v>8.9176000000000002</v>
      </c>
      <c r="AF382">
        <v>9.1609422129562699</v>
      </c>
      <c r="AG382">
        <v>1</v>
      </c>
      <c r="AH382">
        <v>5730.5357918926647</v>
      </c>
      <c r="AI382">
        <v>1.0027686628383921</v>
      </c>
      <c r="AJ382" s="62">
        <v>5746.4017000000003</v>
      </c>
      <c r="AK382" s="60">
        <v>6998.4393755577003</v>
      </c>
      <c r="AL382" t="s">
        <v>346</v>
      </c>
      <c r="AM382" t="s">
        <v>436</v>
      </c>
      <c r="AN382" t="s">
        <v>425</v>
      </c>
      <c r="AO382" t="s">
        <v>27</v>
      </c>
      <c r="AP382">
        <v>111.133</v>
      </c>
      <c r="AQ382">
        <v>1.0368587857491129</v>
      </c>
      <c r="AR382">
        <v>115.2292274366562</v>
      </c>
      <c r="AS382">
        <v>656.25</v>
      </c>
      <c r="AT382">
        <v>1</v>
      </c>
      <c r="AU382">
        <v>75.619180505305636</v>
      </c>
      <c r="AV382">
        <v>0.93979999999999997</v>
      </c>
      <c r="AW382" s="62">
        <v>71.066999999999993</v>
      </c>
      <c r="AX382">
        <v>8.9176000000000002</v>
      </c>
      <c r="AY382">
        <v>1</v>
      </c>
      <c r="AZ382">
        <v>6067.879064491317</v>
      </c>
      <c r="BA382">
        <v>0.95477850697292876</v>
      </c>
      <c r="BB382" s="62">
        <v>5793.4804999999997</v>
      </c>
      <c r="BC382" s="60">
        <v>7055.7758001369293</v>
      </c>
    </row>
    <row r="383" spans="1:55" x14ac:dyDescent="0.25">
      <c r="A383">
        <v>82861</v>
      </c>
      <c r="B383" t="s">
        <v>140</v>
      </c>
      <c r="C383">
        <v>2018</v>
      </c>
      <c r="D383">
        <v>8</v>
      </c>
      <c r="E383" t="s">
        <v>100</v>
      </c>
      <c r="F383" t="s">
        <v>426</v>
      </c>
      <c r="G383" t="s">
        <v>84</v>
      </c>
      <c r="H383" t="s">
        <v>381</v>
      </c>
      <c r="I383" t="s">
        <v>427</v>
      </c>
      <c r="J383">
        <v>-9.5779341900000006</v>
      </c>
      <c r="K383" t="s">
        <v>440</v>
      </c>
      <c r="L383" t="s">
        <v>451</v>
      </c>
      <c r="M383">
        <v>1.6825115802299999E-3</v>
      </c>
      <c r="N383">
        <v>1.611498519304165E-2</v>
      </c>
      <c r="O383">
        <v>30169.468000000001</v>
      </c>
      <c r="P383">
        <v>4.8744250000000003E-6</v>
      </c>
      <c r="Q383">
        <v>0.29411799999999999</v>
      </c>
      <c r="R383" s="60">
        <v>4.7397072150070236E-3</v>
      </c>
      <c r="S383" t="s">
        <v>343</v>
      </c>
      <c r="T383" t="s">
        <v>435</v>
      </c>
      <c r="U383" t="s">
        <v>425</v>
      </c>
      <c r="V383" t="s">
        <v>91</v>
      </c>
      <c r="W383">
        <v>111.133</v>
      </c>
      <c r="X383">
        <v>1.027287859172453</v>
      </c>
      <c r="Y383">
        <v>114.1655816534122</v>
      </c>
      <c r="Z383">
        <v>625.54</v>
      </c>
      <c r="AA383">
        <v>1</v>
      </c>
      <c r="AB383">
        <v>71.4151379474755</v>
      </c>
      <c r="AC383">
        <v>1.0056</v>
      </c>
      <c r="AD383" s="62">
        <v>71.814999999999998</v>
      </c>
      <c r="AE383">
        <v>8.9176000000000002</v>
      </c>
      <c r="AF383">
        <v>9.1609422129562699</v>
      </c>
      <c r="AG383">
        <v>1</v>
      </c>
      <c r="AH383">
        <v>5730.5357918926647</v>
      </c>
      <c r="AI383">
        <v>0.98408824677860207</v>
      </c>
      <c r="AJ383" s="62">
        <v>5639.3528999999999</v>
      </c>
      <c r="AK383" s="60">
        <v>26.72888162810078</v>
      </c>
      <c r="AL383" t="s">
        <v>346</v>
      </c>
      <c r="AM383" t="s">
        <v>436</v>
      </c>
      <c r="AN383" t="s">
        <v>425</v>
      </c>
      <c r="AO383" t="s">
        <v>91</v>
      </c>
      <c r="AP383">
        <v>111.133</v>
      </c>
      <c r="AQ383">
        <v>1.0368587857491129</v>
      </c>
      <c r="AR383">
        <v>115.2292274366562</v>
      </c>
      <c r="AS383">
        <v>656.25</v>
      </c>
      <c r="AT383">
        <v>1</v>
      </c>
      <c r="AU383">
        <v>75.619180505305636</v>
      </c>
      <c r="AV383">
        <v>0.99250000000000005</v>
      </c>
      <c r="AW383" s="62">
        <v>75.052000000000007</v>
      </c>
      <c r="AX383">
        <v>8.9176000000000002</v>
      </c>
      <c r="AY383">
        <v>1</v>
      </c>
      <c r="AZ383">
        <v>6067.879064491317</v>
      </c>
      <c r="BA383">
        <v>0.96573604060913698</v>
      </c>
      <c r="BB383" s="62">
        <v>5859.9695000000002</v>
      </c>
      <c r="BC383" s="60">
        <v>27.7745397188711</v>
      </c>
    </row>
    <row r="384" spans="1:55" x14ac:dyDescent="0.25">
      <c r="A384">
        <v>82863</v>
      </c>
      <c r="B384" t="s">
        <v>140</v>
      </c>
      <c r="C384">
        <v>2018</v>
      </c>
      <c r="D384">
        <v>8</v>
      </c>
      <c r="E384" t="s">
        <v>100</v>
      </c>
      <c r="F384" t="s">
        <v>426</v>
      </c>
      <c r="G384" t="s">
        <v>84</v>
      </c>
      <c r="H384" t="s">
        <v>381</v>
      </c>
      <c r="I384" t="s">
        <v>427</v>
      </c>
      <c r="J384">
        <v>-9.5779341900000006</v>
      </c>
      <c r="K384" t="s">
        <v>440</v>
      </c>
      <c r="L384" t="s">
        <v>452</v>
      </c>
      <c r="M384">
        <v>1.53682162831E-3</v>
      </c>
      <c r="N384">
        <v>1.4719576421088469E-2</v>
      </c>
      <c r="O384">
        <v>30169.468000000001</v>
      </c>
      <c r="P384">
        <v>4.8744250000000003E-6</v>
      </c>
      <c r="Q384">
        <v>0.29411799999999999</v>
      </c>
      <c r="R384" s="60">
        <v>4.3292923778176983E-3</v>
      </c>
      <c r="S384" t="s">
        <v>343</v>
      </c>
      <c r="T384" t="s">
        <v>435</v>
      </c>
      <c r="U384" t="s">
        <v>425</v>
      </c>
      <c r="V384" t="s">
        <v>28</v>
      </c>
      <c r="W384">
        <v>111.133</v>
      </c>
      <c r="X384">
        <v>1.027287859172453</v>
      </c>
      <c r="Y384">
        <v>114.1655816534122</v>
      </c>
      <c r="Z384">
        <v>625.54</v>
      </c>
      <c r="AA384">
        <v>1</v>
      </c>
      <c r="AB384">
        <v>71.4151379474755</v>
      </c>
      <c r="AC384">
        <v>1.0064</v>
      </c>
      <c r="AD384" s="62">
        <v>71.872</v>
      </c>
      <c r="AE384">
        <v>8.9176000000000002</v>
      </c>
      <c r="AF384">
        <v>9.1609422129562699</v>
      </c>
      <c r="AG384">
        <v>1</v>
      </c>
      <c r="AH384">
        <v>5730.5357918926647</v>
      </c>
      <c r="AI384">
        <v>0.98887576294546164</v>
      </c>
      <c r="AJ384" s="62">
        <v>5666.7879999999996</v>
      </c>
      <c r="AK384" s="60">
        <v>24.533182095108799</v>
      </c>
      <c r="AL384" t="s">
        <v>346</v>
      </c>
      <c r="AM384" t="s">
        <v>436</v>
      </c>
      <c r="AN384" t="s">
        <v>425</v>
      </c>
      <c r="AO384" t="s">
        <v>28</v>
      </c>
      <c r="AP384">
        <v>111.133</v>
      </c>
      <c r="AQ384">
        <v>1.0368587857491129</v>
      </c>
      <c r="AR384">
        <v>115.2292274366562</v>
      </c>
      <c r="AS384">
        <v>656.25</v>
      </c>
      <c r="AT384">
        <v>1</v>
      </c>
      <c r="AU384">
        <v>75.619180505305636</v>
      </c>
      <c r="AV384">
        <v>0.99760000000000004</v>
      </c>
      <c r="AW384" s="62">
        <v>75.438000000000002</v>
      </c>
      <c r="AX384">
        <v>8.9176000000000002</v>
      </c>
      <c r="AY384">
        <v>1</v>
      </c>
      <c r="AZ384">
        <v>6067.879064491317</v>
      </c>
      <c r="BA384">
        <v>0.96062216971844849</v>
      </c>
      <c r="BB384" s="62">
        <v>5828.9391999999998</v>
      </c>
      <c r="BC384" s="60">
        <v>25.235182049322791</v>
      </c>
    </row>
    <row r="385" spans="1:55" x14ac:dyDescent="0.25">
      <c r="A385">
        <v>82865</v>
      </c>
      <c r="B385" t="s">
        <v>140</v>
      </c>
      <c r="C385">
        <v>2018</v>
      </c>
      <c r="D385">
        <v>8</v>
      </c>
      <c r="E385" t="s">
        <v>100</v>
      </c>
      <c r="F385" t="s">
        <v>426</v>
      </c>
      <c r="G385" t="s">
        <v>84</v>
      </c>
      <c r="H385" t="s">
        <v>87</v>
      </c>
      <c r="I385" t="s">
        <v>427</v>
      </c>
      <c r="J385">
        <v>-1.76002901</v>
      </c>
      <c r="K385" t="s">
        <v>440</v>
      </c>
      <c r="L385" t="s">
        <v>450</v>
      </c>
      <c r="M385">
        <v>0.26601384014995</v>
      </c>
      <c r="N385">
        <v>0.46819207513056599</v>
      </c>
      <c r="O385">
        <v>30169.468000000001</v>
      </c>
      <c r="P385">
        <v>4.8744250000000003E-6</v>
      </c>
      <c r="Q385">
        <v>0.29411799999999999</v>
      </c>
      <c r="R385" s="60">
        <v>0.1377037167532518</v>
      </c>
      <c r="S385" t="s">
        <v>343</v>
      </c>
      <c r="T385" t="s">
        <v>435</v>
      </c>
      <c r="U385" t="s">
        <v>425</v>
      </c>
      <c r="V385" t="s">
        <v>26</v>
      </c>
      <c r="W385">
        <v>111.133</v>
      </c>
      <c r="X385">
        <v>1.027287859172453</v>
      </c>
      <c r="Y385">
        <v>114.1655816534122</v>
      </c>
      <c r="Z385">
        <v>625.54</v>
      </c>
      <c r="AA385">
        <v>1</v>
      </c>
      <c r="AB385">
        <v>71.4151379474755</v>
      </c>
      <c r="AC385">
        <v>0.97960000000000003</v>
      </c>
      <c r="AD385" s="62">
        <v>69.957999999999998</v>
      </c>
      <c r="AE385">
        <v>8.9176000000000002</v>
      </c>
      <c r="AF385">
        <v>9.1609422129562699</v>
      </c>
      <c r="AG385">
        <v>1</v>
      </c>
      <c r="AH385">
        <v>5730.5357918926647</v>
      </c>
      <c r="AI385">
        <v>0.98541811328241247</v>
      </c>
      <c r="AJ385" s="62">
        <v>5646.9737999999998</v>
      </c>
      <c r="AK385" s="60">
        <v>777.60928066823408</v>
      </c>
      <c r="AL385" t="s">
        <v>346</v>
      </c>
      <c r="AM385" t="s">
        <v>436</v>
      </c>
      <c r="AN385" t="s">
        <v>425</v>
      </c>
      <c r="AO385" t="s">
        <v>26</v>
      </c>
      <c r="AP385">
        <v>111.133</v>
      </c>
      <c r="AQ385">
        <v>1.0368587857491129</v>
      </c>
      <c r="AR385">
        <v>115.2292274366562</v>
      </c>
      <c r="AS385">
        <v>656.25</v>
      </c>
      <c r="AT385">
        <v>1</v>
      </c>
      <c r="AU385">
        <v>75.619180505305636</v>
      </c>
      <c r="AV385">
        <v>0.96209999999999996</v>
      </c>
      <c r="AW385" s="62">
        <v>72.753</v>
      </c>
      <c r="AX385">
        <v>8.9176000000000002</v>
      </c>
      <c r="AY385">
        <v>1</v>
      </c>
      <c r="AZ385">
        <v>6067.879064491317</v>
      </c>
      <c r="BA385">
        <v>0.95992461065370505</v>
      </c>
      <c r="BB385" s="62">
        <v>5824.7064</v>
      </c>
      <c r="BC385" s="60">
        <v>802.08372027645316</v>
      </c>
    </row>
    <row r="386" spans="1:55" x14ac:dyDescent="0.25">
      <c r="A386">
        <v>82867</v>
      </c>
      <c r="B386" t="s">
        <v>140</v>
      </c>
      <c r="C386">
        <v>2018</v>
      </c>
      <c r="D386">
        <v>8</v>
      </c>
      <c r="E386" t="s">
        <v>100</v>
      </c>
      <c r="F386" t="s">
        <v>426</v>
      </c>
      <c r="G386" t="s">
        <v>84</v>
      </c>
      <c r="H386" t="s">
        <v>87</v>
      </c>
      <c r="I386" t="s">
        <v>427</v>
      </c>
      <c r="J386">
        <v>-1.76002901</v>
      </c>
      <c r="K386" t="s">
        <v>440</v>
      </c>
      <c r="L386" t="s">
        <v>384</v>
      </c>
      <c r="M386">
        <v>3.9509559941419997E-2</v>
      </c>
      <c r="N386">
        <v>6.9537971580883512E-2</v>
      </c>
      <c r="O386">
        <v>30169.468000000001</v>
      </c>
      <c r="P386">
        <v>4.8744250000000003E-6</v>
      </c>
      <c r="Q386">
        <v>0.29411799999999999</v>
      </c>
      <c r="R386" s="60">
        <v>2.0452369125426299E-2</v>
      </c>
      <c r="S386" t="s">
        <v>343</v>
      </c>
      <c r="T386" t="s">
        <v>435</v>
      </c>
      <c r="U386" t="s">
        <v>425</v>
      </c>
      <c r="V386" t="s">
        <v>81</v>
      </c>
      <c r="W386">
        <v>111.133</v>
      </c>
      <c r="X386">
        <v>1.027287859172453</v>
      </c>
      <c r="Y386">
        <v>114.1655816534122</v>
      </c>
      <c r="Z386">
        <v>625.54</v>
      </c>
      <c r="AA386">
        <v>1</v>
      </c>
      <c r="AB386">
        <v>71.4151379474755</v>
      </c>
      <c r="AC386">
        <v>0.92730000000000001</v>
      </c>
      <c r="AD386" s="62">
        <v>66.222999999999999</v>
      </c>
      <c r="AE386">
        <v>8.9176000000000002</v>
      </c>
      <c r="AF386">
        <v>9.1609422129562699</v>
      </c>
      <c r="AG386">
        <v>1</v>
      </c>
      <c r="AH386">
        <v>5730.5357918926647</v>
      </c>
      <c r="AI386">
        <v>1.094557195571956</v>
      </c>
      <c r="AJ386" s="62">
        <v>6272.3991999999998</v>
      </c>
      <c r="AK386" s="60">
        <v>128.2854237404286</v>
      </c>
      <c r="AL386" t="s">
        <v>346</v>
      </c>
      <c r="AM386" t="s">
        <v>436</v>
      </c>
      <c r="AN386" t="s">
        <v>425</v>
      </c>
      <c r="AO386" t="s">
        <v>81</v>
      </c>
      <c r="AP386">
        <v>111.133</v>
      </c>
      <c r="AQ386">
        <v>1.0368587857491129</v>
      </c>
      <c r="AR386">
        <v>115.2292274366562</v>
      </c>
      <c r="AS386">
        <v>656.25</v>
      </c>
      <c r="AT386">
        <v>1</v>
      </c>
      <c r="AU386">
        <v>75.619180505305636</v>
      </c>
      <c r="AV386">
        <v>0.90990000000000004</v>
      </c>
      <c r="AW386" s="62">
        <v>68.805999999999997</v>
      </c>
      <c r="AX386">
        <v>8.9176000000000002</v>
      </c>
      <c r="AY386">
        <v>1</v>
      </c>
      <c r="AZ386">
        <v>6067.879064491317</v>
      </c>
      <c r="BA386">
        <v>1.053620848708487</v>
      </c>
      <c r="BB386" s="62">
        <v>6393.2439000000004</v>
      </c>
      <c r="BC386" s="60">
        <v>130.75698415168</v>
      </c>
    </row>
    <row r="387" spans="1:55" x14ac:dyDescent="0.25">
      <c r="A387">
        <v>82869</v>
      </c>
      <c r="B387" t="s">
        <v>140</v>
      </c>
      <c r="C387">
        <v>2018</v>
      </c>
      <c r="D387">
        <v>8</v>
      </c>
      <c r="E387" t="s">
        <v>100</v>
      </c>
      <c r="F387" t="s">
        <v>426</v>
      </c>
      <c r="G387" t="s">
        <v>84</v>
      </c>
      <c r="H387" t="s">
        <v>87</v>
      </c>
      <c r="I387" t="s">
        <v>427</v>
      </c>
      <c r="J387">
        <v>-1.76002901</v>
      </c>
      <c r="K387" t="s">
        <v>440</v>
      </c>
      <c r="L387" t="s">
        <v>385</v>
      </c>
      <c r="M387">
        <v>0.39737542925016001</v>
      </c>
      <c r="N387">
        <v>0.69939228245289031</v>
      </c>
      <c r="O387">
        <v>30169.468000000001</v>
      </c>
      <c r="P387">
        <v>4.8744250000000003E-6</v>
      </c>
      <c r="Q387">
        <v>0.29411799999999999</v>
      </c>
      <c r="R387" s="60">
        <v>0.20570385933047919</v>
      </c>
      <c r="S387" t="s">
        <v>343</v>
      </c>
      <c r="T387" t="s">
        <v>435</v>
      </c>
      <c r="U387" t="s">
        <v>425</v>
      </c>
      <c r="V387" t="s">
        <v>27</v>
      </c>
      <c r="W387">
        <v>111.133</v>
      </c>
      <c r="X387">
        <v>1.027287859172453</v>
      </c>
      <c r="Y387">
        <v>114.1655816534122</v>
      </c>
      <c r="Z387">
        <v>625.54</v>
      </c>
      <c r="AA387">
        <v>1</v>
      </c>
      <c r="AB387">
        <v>71.4151379474755</v>
      </c>
      <c r="AC387">
        <v>0.95599999999999996</v>
      </c>
      <c r="AD387" s="62">
        <v>68.272999999999996</v>
      </c>
      <c r="AE387">
        <v>8.9176000000000002</v>
      </c>
      <c r="AF387">
        <v>9.1609422129562699</v>
      </c>
      <c r="AG387">
        <v>1</v>
      </c>
      <c r="AH387">
        <v>5730.5357918926647</v>
      </c>
      <c r="AI387">
        <v>1.0027686628383921</v>
      </c>
      <c r="AJ387" s="62">
        <v>5746.4017000000003</v>
      </c>
      <c r="AK387" s="60">
        <v>1182.0570069532271</v>
      </c>
      <c r="AL387" t="s">
        <v>346</v>
      </c>
      <c r="AM387" t="s">
        <v>436</v>
      </c>
      <c r="AN387" t="s">
        <v>425</v>
      </c>
      <c r="AO387" t="s">
        <v>27</v>
      </c>
      <c r="AP387">
        <v>111.133</v>
      </c>
      <c r="AQ387">
        <v>1.0368587857491129</v>
      </c>
      <c r="AR387">
        <v>115.2292274366562</v>
      </c>
      <c r="AS387">
        <v>656.25</v>
      </c>
      <c r="AT387">
        <v>1</v>
      </c>
      <c r="AU387">
        <v>75.619180505305636</v>
      </c>
      <c r="AV387">
        <v>0.93979999999999997</v>
      </c>
      <c r="AW387" s="62">
        <v>71.066999999999993</v>
      </c>
      <c r="AX387">
        <v>8.9176000000000002</v>
      </c>
      <c r="AY387">
        <v>1</v>
      </c>
      <c r="AZ387">
        <v>6067.879064491317</v>
      </c>
      <c r="BA387">
        <v>0.95477850697292876</v>
      </c>
      <c r="BB387" s="62">
        <v>5793.4804999999997</v>
      </c>
      <c r="BC387" s="60">
        <v>1191.741297805874</v>
      </c>
    </row>
    <row r="388" spans="1:55" x14ac:dyDescent="0.25">
      <c r="A388">
        <v>82871</v>
      </c>
      <c r="B388" t="s">
        <v>140</v>
      </c>
      <c r="C388">
        <v>2018</v>
      </c>
      <c r="D388">
        <v>8</v>
      </c>
      <c r="E388" t="s">
        <v>100</v>
      </c>
      <c r="F388" t="s">
        <v>426</v>
      </c>
      <c r="G388" t="s">
        <v>84</v>
      </c>
      <c r="H388" t="s">
        <v>87</v>
      </c>
      <c r="I388" t="s">
        <v>427</v>
      </c>
      <c r="J388">
        <v>-1.76002901</v>
      </c>
      <c r="K388" t="s">
        <v>440</v>
      </c>
      <c r="L388" t="s">
        <v>452</v>
      </c>
      <c r="M388">
        <v>8.4248020759000004E-4</v>
      </c>
      <c r="N388">
        <v>1.482789603825304E-3</v>
      </c>
      <c r="O388">
        <v>30169.468000000001</v>
      </c>
      <c r="P388">
        <v>4.8744250000000003E-6</v>
      </c>
      <c r="Q388">
        <v>0.29411799999999999</v>
      </c>
      <c r="R388" s="60">
        <v>4.3611511269789078E-4</v>
      </c>
      <c r="S388" t="s">
        <v>343</v>
      </c>
      <c r="T388" t="s">
        <v>435</v>
      </c>
      <c r="U388" t="s">
        <v>425</v>
      </c>
      <c r="V388" t="s">
        <v>28</v>
      </c>
      <c r="W388">
        <v>111.133</v>
      </c>
      <c r="X388">
        <v>1.027287859172453</v>
      </c>
      <c r="Y388">
        <v>114.1655816534122</v>
      </c>
      <c r="Z388">
        <v>625.54</v>
      </c>
      <c r="AA388">
        <v>1</v>
      </c>
      <c r="AB388">
        <v>71.4151379474755</v>
      </c>
      <c r="AC388">
        <v>1.0064</v>
      </c>
      <c r="AD388" s="62">
        <v>71.872</v>
      </c>
      <c r="AE388">
        <v>8.9176000000000002</v>
      </c>
      <c r="AF388">
        <v>9.1609422129562699</v>
      </c>
      <c r="AG388">
        <v>1</v>
      </c>
      <c r="AH388">
        <v>5730.5357918926647</v>
      </c>
      <c r="AI388">
        <v>0.98887576294546164</v>
      </c>
      <c r="AJ388" s="62">
        <v>5666.7879999999996</v>
      </c>
      <c r="AK388" s="60">
        <v>2.4713718872550552</v>
      </c>
      <c r="AL388" t="s">
        <v>346</v>
      </c>
      <c r="AM388" t="s">
        <v>436</v>
      </c>
      <c r="AN388" t="s">
        <v>425</v>
      </c>
      <c r="AO388" t="s">
        <v>28</v>
      </c>
      <c r="AP388">
        <v>111.133</v>
      </c>
      <c r="AQ388">
        <v>1.0368587857491129</v>
      </c>
      <c r="AR388">
        <v>115.2292274366562</v>
      </c>
      <c r="AS388">
        <v>656.25</v>
      </c>
      <c r="AT388">
        <v>1</v>
      </c>
      <c r="AU388">
        <v>75.619180505305636</v>
      </c>
      <c r="AV388">
        <v>0.99760000000000004</v>
      </c>
      <c r="AW388" s="62">
        <v>75.438000000000002</v>
      </c>
      <c r="AX388">
        <v>8.9176000000000002</v>
      </c>
      <c r="AY388">
        <v>1</v>
      </c>
      <c r="AZ388">
        <v>6067.879064491317</v>
      </c>
      <c r="BA388">
        <v>0.96062216971844849</v>
      </c>
      <c r="BB388" s="62">
        <v>5828.9391999999998</v>
      </c>
      <c r="BC388" s="60">
        <v>2.5420884761171529</v>
      </c>
    </row>
    <row r="389" spans="1:55" x14ac:dyDescent="0.25">
      <c r="A389">
        <v>82873</v>
      </c>
      <c r="B389" t="s">
        <v>140</v>
      </c>
      <c r="C389">
        <v>2018</v>
      </c>
      <c r="D389">
        <v>8</v>
      </c>
      <c r="E389" t="s">
        <v>100</v>
      </c>
      <c r="F389" t="s">
        <v>426</v>
      </c>
      <c r="G389" t="s">
        <v>84</v>
      </c>
      <c r="H389" t="s">
        <v>59</v>
      </c>
      <c r="I389" t="s">
        <v>427</v>
      </c>
      <c r="J389">
        <v>-5.0607741099999997</v>
      </c>
      <c r="K389" t="s">
        <v>440</v>
      </c>
      <c r="L389" t="s">
        <v>450</v>
      </c>
      <c r="M389">
        <v>0.15931709696460999</v>
      </c>
      <c r="N389">
        <v>0.80626783946325076</v>
      </c>
      <c r="O389">
        <v>30169.468000000001</v>
      </c>
      <c r="P389">
        <v>4.8744250000000003E-6</v>
      </c>
      <c r="Q389">
        <v>0.29411799999999999</v>
      </c>
      <c r="R389" s="60">
        <v>0.23713788440725239</v>
      </c>
      <c r="S389" t="s">
        <v>343</v>
      </c>
      <c r="T389" t="s">
        <v>435</v>
      </c>
      <c r="U389" t="s">
        <v>425</v>
      </c>
      <c r="V389" t="s">
        <v>26</v>
      </c>
      <c r="W389">
        <v>111.133</v>
      </c>
      <c r="X389">
        <v>1.027287859172453</v>
      </c>
      <c r="Y389">
        <v>114.1655816534122</v>
      </c>
      <c r="Z389">
        <v>625.54</v>
      </c>
      <c r="AA389">
        <v>1</v>
      </c>
      <c r="AB389">
        <v>71.4151379474755</v>
      </c>
      <c r="AC389">
        <v>0.97960000000000003</v>
      </c>
      <c r="AD389" s="62">
        <v>69.957999999999998</v>
      </c>
      <c r="AE389">
        <v>8.9176000000000002</v>
      </c>
      <c r="AF389">
        <v>9.1609422129562699</v>
      </c>
      <c r="AG389">
        <v>1</v>
      </c>
      <c r="AH389">
        <v>5730.5357918926647</v>
      </c>
      <c r="AI389">
        <v>0.98541811328241247</v>
      </c>
      <c r="AJ389" s="62">
        <v>5646.9737999999998</v>
      </c>
      <c r="AK389" s="60">
        <v>1339.111420235183</v>
      </c>
      <c r="AL389" t="s">
        <v>346</v>
      </c>
      <c r="AM389" t="s">
        <v>436</v>
      </c>
      <c r="AN389" t="s">
        <v>425</v>
      </c>
      <c r="AO389" t="s">
        <v>26</v>
      </c>
      <c r="AP389">
        <v>111.133</v>
      </c>
      <c r="AQ389">
        <v>1.0368587857491129</v>
      </c>
      <c r="AR389">
        <v>115.2292274366562</v>
      </c>
      <c r="AS389">
        <v>656.25</v>
      </c>
      <c r="AT389">
        <v>1</v>
      </c>
      <c r="AU389">
        <v>75.619180505305636</v>
      </c>
      <c r="AV389">
        <v>0.96209999999999996</v>
      </c>
      <c r="AW389" s="62">
        <v>72.753</v>
      </c>
      <c r="AX389">
        <v>8.9176000000000002</v>
      </c>
      <c r="AY389">
        <v>1</v>
      </c>
      <c r="AZ389">
        <v>6067.879064491317</v>
      </c>
      <c r="BA389">
        <v>0.95992461065370505</v>
      </c>
      <c r="BB389" s="62">
        <v>5824.7064</v>
      </c>
      <c r="BC389" s="60">
        <v>1381.2585529893829</v>
      </c>
    </row>
    <row r="390" spans="1:55" x14ac:dyDescent="0.25">
      <c r="A390">
        <v>82875</v>
      </c>
      <c r="B390" t="s">
        <v>140</v>
      </c>
      <c r="C390">
        <v>2018</v>
      </c>
      <c r="D390">
        <v>8</v>
      </c>
      <c r="E390" t="s">
        <v>100</v>
      </c>
      <c r="F390" t="s">
        <v>426</v>
      </c>
      <c r="G390" t="s">
        <v>84</v>
      </c>
      <c r="H390" t="s">
        <v>59</v>
      </c>
      <c r="I390" t="s">
        <v>427</v>
      </c>
      <c r="J390">
        <v>-5.0607741099999997</v>
      </c>
      <c r="K390" t="s">
        <v>440</v>
      </c>
      <c r="L390" t="s">
        <v>384</v>
      </c>
      <c r="M390">
        <v>4.1785183859599999E-2</v>
      </c>
      <c r="N390">
        <v>0.21146537662268691</v>
      </c>
      <c r="O390">
        <v>30169.468000000001</v>
      </c>
      <c r="P390">
        <v>4.8744250000000003E-6</v>
      </c>
      <c r="Q390">
        <v>0.29411799999999999</v>
      </c>
      <c r="R390" s="60">
        <v>6.2195773641511437E-2</v>
      </c>
      <c r="S390" t="s">
        <v>343</v>
      </c>
      <c r="T390" t="s">
        <v>435</v>
      </c>
      <c r="U390" t="s">
        <v>425</v>
      </c>
      <c r="V390" t="s">
        <v>81</v>
      </c>
      <c r="W390">
        <v>111.133</v>
      </c>
      <c r="X390">
        <v>1.027287859172453</v>
      </c>
      <c r="Y390">
        <v>114.1655816534122</v>
      </c>
      <c r="Z390">
        <v>625.54</v>
      </c>
      <c r="AA390">
        <v>1</v>
      </c>
      <c r="AB390">
        <v>71.4151379474755</v>
      </c>
      <c r="AC390">
        <v>0.92730000000000001</v>
      </c>
      <c r="AD390" s="62">
        <v>66.222999999999999</v>
      </c>
      <c r="AE390">
        <v>8.9176000000000002</v>
      </c>
      <c r="AF390">
        <v>9.1609422129562699</v>
      </c>
      <c r="AG390">
        <v>1</v>
      </c>
      <c r="AH390">
        <v>5730.5357918926647</v>
      </c>
      <c r="AI390">
        <v>1.094557195571956</v>
      </c>
      <c r="AJ390" s="62">
        <v>6272.3991999999998</v>
      </c>
      <c r="AK390" s="60">
        <v>390.11672083239739</v>
      </c>
      <c r="AL390" t="s">
        <v>346</v>
      </c>
      <c r="AM390" t="s">
        <v>436</v>
      </c>
      <c r="AN390" t="s">
        <v>425</v>
      </c>
      <c r="AO390" t="s">
        <v>81</v>
      </c>
      <c r="AP390">
        <v>111.133</v>
      </c>
      <c r="AQ390">
        <v>1.0368587857491129</v>
      </c>
      <c r="AR390">
        <v>115.2292274366562</v>
      </c>
      <c r="AS390">
        <v>656.25</v>
      </c>
      <c r="AT390">
        <v>1</v>
      </c>
      <c r="AU390">
        <v>75.619180505305636</v>
      </c>
      <c r="AV390">
        <v>0.90990000000000004</v>
      </c>
      <c r="AW390" s="62">
        <v>68.805999999999997</v>
      </c>
      <c r="AX390">
        <v>8.9176000000000002</v>
      </c>
      <c r="AY390">
        <v>1</v>
      </c>
      <c r="AZ390">
        <v>6067.879064491317</v>
      </c>
      <c r="BA390">
        <v>1.053620848708487</v>
      </c>
      <c r="BB390" s="62">
        <v>6393.2439000000004</v>
      </c>
      <c r="BC390" s="60">
        <v>397.63275043937381</v>
      </c>
    </row>
    <row r="391" spans="1:55" x14ac:dyDescent="0.25">
      <c r="A391">
        <v>82877</v>
      </c>
      <c r="B391" t="s">
        <v>140</v>
      </c>
      <c r="C391">
        <v>2018</v>
      </c>
      <c r="D391">
        <v>8</v>
      </c>
      <c r="E391" t="s">
        <v>100</v>
      </c>
      <c r="F391" t="s">
        <v>426</v>
      </c>
      <c r="G391" t="s">
        <v>84</v>
      </c>
      <c r="H391" t="s">
        <v>59</v>
      </c>
      <c r="I391" t="s">
        <v>427</v>
      </c>
      <c r="J391">
        <v>-5.0607741099999997</v>
      </c>
      <c r="K391" t="s">
        <v>440</v>
      </c>
      <c r="L391" t="s">
        <v>385</v>
      </c>
      <c r="M391">
        <v>0.43497567483749999</v>
      </c>
      <c r="N391">
        <v>2.2013136333271568</v>
      </c>
      <c r="O391">
        <v>30169.468000000001</v>
      </c>
      <c r="P391">
        <v>4.8744250000000003E-6</v>
      </c>
      <c r="Q391">
        <v>0.29411799999999999</v>
      </c>
      <c r="R391" s="60">
        <v>0.64744596320691683</v>
      </c>
      <c r="S391" t="s">
        <v>343</v>
      </c>
      <c r="T391" t="s">
        <v>435</v>
      </c>
      <c r="U391" t="s">
        <v>425</v>
      </c>
      <c r="V391" t="s">
        <v>27</v>
      </c>
      <c r="W391">
        <v>111.133</v>
      </c>
      <c r="X391">
        <v>1.027287859172453</v>
      </c>
      <c r="Y391">
        <v>114.1655816534122</v>
      </c>
      <c r="Z391">
        <v>625.54</v>
      </c>
      <c r="AA391">
        <v>1</v>
      </c>
      <c r="AB391">
        <v>71.4151379474755</v>
      </c>
      <c r="AC391">
        <v>0.95599999999999996</v>
      </c>
      <c r="AD391" s="62">
        <v>68.272999999999996</v>
      </c>
      <c r="AE391">
        <v>8.9176000000000002</v>
      </c>
      <c r="AF391">
        <v>9.1609422129562699</v>
      </c>
      <c r="AG391">
        <v>1</v>
      </c>
      <c r="AH391">
        <v>5730.5357918926647</v>
      </c>
      <c r="AI391">
        <v>1.0027686628383921</v>
      </c>
      <c r="AJ391" s="62">
        <v>5746.4017000000003</v>
      </c>
      <c r="AK391" s="60">
        <v>3720.4845836303639</v>
      </c>
      <c r="AL391" t="s">
        <v>346</v>
      </c>
      <c r="AM391" t="s">
        <v>436</v>
      </c>
      <c r="AN391" t="s">
        <v>425</v>
      </c>
      <c r="AO391" t="s">
        <v>27</v>
      </c>
      <c r="AP391">
        <v>111.133</v>
      </c>
      <c r="AQ391">
        <v>1.0368587857491129</v>
      </c>
      <c r="AR391">
        <v>115.2292274366562</v>
      </c>
      <c r="AS391">
        <v>656.25</v>
      </c>
      <c r="AT391">
        <v>1</v>
      </c>
      <c r="AU391">
        <v>75.619180505305636</v>
      </c>
      <c r="AV391">
        <v>0.93979999999999997</v>
      </c>
      <c r="AW391" s="62">
        <v>71.066999999999993</v>
      </c>
      <c r="AX391">
        <v>8.9176000000000002</v>
      </c>
      <c r="AY391">
        <v>1</v>
      </c>
      <c r="AZ391">
        <v>6067.879064491317</v>
      </c>
      <c r="BA391">
        <v>0.95477850697292876</v>
      </c>
      <c r="BB391" s="62">
        <v>5793.4804999999997</v>
      </c>
      <c r="BC391" s="60">
        <v>3750.9655626429899</v>
      </c>
    </row>
    <row r="392" spans="1:55" x14ac:dyDescent="0.25">
      <c r="A392">
        <v>82879</v>
      </c>
      <c r="B392" t="s">
        <v>140</v>
      </c>
      <c r="C392">
        <v>2018</v>
      </c>
      <c r="D392">
        <v>8</v>
      </c>
      <c r="E392" t="s">
        <v>100</v>
      </c>
      <c r="F392" t="s">
        <v>426</v>
      </c>
      <c r="G392" t="s">
        <v>84</v>
      </c>
      <c r="H392" t="s">
        <v>59</v>
      </c>
      <c r="I392" t="s">
        <v>427</v>
      </c>
      <c r="J392">
        <v>-5.0607741099999997</v>
      </c>
      <c r="K392" t="s">
        <v>440</v>
      </c>
      <c r="L392" t="s">
        <v>451</v>
      </c>
      <c r="M392">
        <v>1.7625750762999999E-3</v>
      </c>
      <c r="N392">
        <v>8.9199943115700498E-3</v>
      </c>
      <c r="O392">
        <v>30169.468000000001</v>
      </c>
      <c r="P392">
        <v>4.8744250000000003E-6</v>
      </c>
      <c r="Q392">
        <v>0.29411799999999999</v>
      </c>
      <c r="R392" s="60">
        <v>2.6235308869303601E-3</v>
      </c>
      <c r="S392" t="s">
        <v>343</v>
      </c>
      <c r="T392" t="s">
        <v>435</v>
      </c>
      <c r="U392" t="s">
        <v>425</v>
      </c>
      <c r="V392" t="s">
        <v>91</v>
      </c>
      <c r="W392">
        <v>111.133</v>
      </c>
      <c r="X392">
        <v>1.027287859172453</v>
      </c>
      <c r="Y392">
        <v>114.1655816534122</v>
      </c>
      <c r="Z392">
        <v>625.54</v>
      </c>
      <c r="AA392">
        <v>1</v>
      </c>
      <c r="AB392">
        <v>71.4151379474755</v>
      </c>
      <c r="AC392">
        <v>1.0056</v>
      </c>
      <c r="AD392" s="62">
        <v>71.814999999999998</v>
      </c>
      <c r="AE392">
        <v>8.9176000000000002</v>
      </c>
      <c r="AF392">
        <v>9.1609422129562699</v>
      </c>
      <c r="AG392">
        <v>1</v>
      </c>
      <c r="AH392">
        <v>5730.5357918926647</v>
      </c>
      <c r="AI392">
        <v>0.98408824677860207</v>
      </c>
      <c r="AJ392" s="62">
        <v>5639.3528999999999</v>
      </c>
      <c r="AK392" s="60">
        <v>14.7950165154503</v>
      </c>
      <c r="AL392" t="s">
        <v>346</v>
      </c>
      <c r="AM392" t="s">
        <v>436</v>
      </c>
      <c r="AN392" t="s">
        <v>425</v>
      </c>
      <c r="AO392" t="s">
        <v>91</v>
      </c>
      <c r="AP392">
        <v>111.133</v>
      </c>
      <c r="AQ392">
        <v>1.0368587857491129</v>
      </c>
      <c r="AR392">
        <v>115.2292274366562</v>
      </c>
      <c r="AS392">
        <v>656.25</v>
      </c>
      <c r="AT392">
        <v>1</v>
      </c>
      <c r="AU392">
        <v>75.619180505305636</v>
      </c>
      <c r="AV392">
        <v>0.99250000000000005</v>
      </c>
      <c r="AW392" s="62">
        <v>75.052000000000007</v>
      </c>
      <c r="AX392">
        <v>8.9176000000000002</v>
      </c>
      <c r="AY392">
        <v>1</v>
      </c>
      <c r="AZ392">
        <v>6067.879064491317</v>
      </c>
      <c r="BA392">
        <v>0.96573604060913698</v>
      </c>
      <c r="BB392" s="62">
        <v>5859.9695000000002</v>
      </c>
      <c r="BC392" s="60">
        <v>15.37381097971986</v>
      </c>
    </row>
    <row r="393" spans="1:55" x14ac:dyDescent="0.25">
      <c r="A393">
        <v>82881</v>
      </c>
      <c r="B393" t="s">
        <v>140</v>
      </c>
      <c r="C393">
        <v>2018</v>
      </c>
      <c r="D393">
        <v>8</v>
      </c>
      <c r="E393" t="s">
        <v>100</v>
      </c>
      <c r="F393" t="s">
        <v>426</v>
      </c>
      <c r="G393" t="s">
        <v>84</v>
      </c>
      <c r="H393" t="s">
        <v>59</v>
      </c>
      <c r="I393" t="s">
        <v>427</v>
      </c>
      <c r="J393">
        <v>-5.0607741099999997</v>
      </c>
      <c r="K393" t="s">
        <v>440</v>
      </c>
      <c r="L393" t="s">
        <v>452</v>
      </c>
      <c r="M393">
        <v>1.4858046103299999E-3</v>
      </c>
      <c r="N393">
        <v>7.5193215032120187E-3</v>
      </c>
      <c r="O393">
        <v>30169.468000000001</v>
      </c>
      <c r="P393">
        <v>4.8744250000000003E-6</v>
      </c>
      <c r="Q393">
        <v>0.29411799999999999</v>
      </c>
      <c r="R393" s="60">
        <v>2.2115678018817119E-3</v>
      </c>
      <c r="S393" t="s">
        <v>343</v>
      </c>
      <c r="T393" t="s">
        <v>435</v>
      </c>
      <c r="U393" t="s">
        <v>425</v>
      </c>
      <c r="V393" t="s">
        <v>28</v>
      </c>
      <c r="W393">
        <v>111.133</v>
      </c>
      <c r="X393">
        <v>1.027287859172453</v>
      </c>
      <c r="Y393">
        <v>114.1655816534122</v>
      </c>
      <c r="Z393">
        <v>625.54</v>
      </c>
      <c r="AA393">
        <v>1</v>
      </c>
      <c r="AB393">
        <v>71.4151379474755</v>
      </c>
      <c r="AC393">
        <v>1.0064</v>
      </c>
      <c r="AD393" s="62">
        <v>71.872</v>
      </c>
      <c r="AE393">
        <v>8.9176000000000002</v>
      </c>
      <c r="AF393">
        <v>9.1609422129562699</v>
      </c>
      <c r="AG393">
        <v>1</v>
      </c>
      <c r="AH393">
        <v>5730.5357918926647</v>
      </c>
      <c r="AI393">
        <v>0.98887576294546164</v>
      </c>
      <c r="AJ393" s="62">
        <v>5666.7879999999996</v>
      </c>
      <c r="AK393" s="60">
        <v>12.532485880889659</v>
      </c>
      <c r="AL393" t="s">
        <v>346</v>
      </c>
      <c r="AM393" t="s">
        <v>436</v>
      </c>
      <c r="AN393" t="s">
        <v>425</v>
      </c>
      <c r="AO393" t="s">
        <v>28</v>
      </c>
      <c r="AP393">
        <v>111.133</v>
      </c>
      <c r="AQ393">
        <v>1.0368587857491129</v>
      </c>
      <c r="AR393">
        <v>115.2292274366562</v>
      </c>
      <c r="AS393">
        <v>656.25</v>
      </c>
      <c r="AT393">
        <v>1</v>
      </c>
      <c r="AU393">
        <v>75.619180505305636</v>
      </c>
      <c r="AV393">
        <v>0.99760000000000004</v>
      </c>
      <c r="AW393" s="62">
        <v>75.438000000000002</v>
      </c>
      <c r="AX393">
        <v>8.9176000000000002</v>
      </c>
      <c r="AY393">
        <v>1</v>
      </c>
      <c r="AZ393">
        <v>6067.879064491317</v>
      </c>
      <c r="BA393">
        <v>0.96062216971844849</v>
      </c>
      <c r="BB393" s="62">
        <v>5828.9391999999998</v>
      </c>
      <c r="BC393" s="60">
        <v>12.89109425384615</v>
      </c>
    </row>
    <row r="394" spans="1:55" x14ac:dyDescent="0.25">
      <c r="A394">
        <v>88503</v>
      </c>
      <c r="B394" t="s">
        <v>113</v>
      </c>
      <c r="C394">
        <v>2018</v>
      </c>
      <c r="D394">
        <v>9</v>
      </c>
      <c r="E394" t="s">
        <v>100</v>
      </c>
      <c r="F394" t="s">
        <v>426</v>
      </c>
      <c r="G394" t="s">
        <v>84</v>
      </c>
      <c r="H394" t="s">
        <v>381</v>
      </c>
      <c r="I394" t="s">
        <v>427</v>
      </c>
      <c r="J394">
        <v>-9.5507299999999997</v>
      </c>
      <c r="K394" t="s">
        <v>440</v>
      </c>
      <c r="L394" t="s">
        <v>450</v>
      </c>
      <c r="M394">
        <v>0.15011157993331001</v>
      </c>
      <c r="N394">
        <v>1.433675169816462</v>
      </c>
      <c r="O394">
        <v>30169.468000000001</v>
      </c>
      <c r="P394">
        <v>4.8744250000000003E-6</v>
      </c>
      <c r="Q394">
        <v>0.29411799999999999</v>
      </c>
      <c r="R394" s="60">
        <v>0.4216696735960781</v>
      </c>
      <c r="S394" t="s">
        <v>346</v>
      </c>
      <c r="T394" t="s">
        <v>436</v>
      </c>
      <c r="U394" t="s">
        <v>425</v>
      </c>
      <c r="V394" t="s">
        <v>26</v>
      </c>
      <c r="W394">
        <v>111.133</v>
      </c>
      <c r="X394">
        <v>1.0368587857491129</v>
      </c>
      <c r="Y394">
        <v>115.2292274366562</v>
      </c>
      <c r="Z394">
        <v>603.45000000000005</v>
      </c>
      <c r="AA394">
        <v>1</v>
      </c>
      <c r="AB394">
        <v>69.535077296650186</v>
      </c>
      <c r="AC394">
        <v>0.96209999999999996</v>
      </c>
      <c r="AD394" s="62">
        <v>66.900000000000006</v>
      </c>
      <c r="AE394">
        <v>8.9176000000000002</v>
      </c>
      <c r="AF394">
        <v>9.2462919077962926</v>
      </c>
      <c r="AG394">
        <v>1</v>
      </c>
      <c r="AH394">
        <v>5579.6748517596734</v>
      </c>
      <c r="AI394">
        <v>0.95992461065370505</v>
      </c>
      <c r="AJ394" s="62">
        <v>5356.0672000000004</v>
      </c>
      <c r="AK394" s="60">
        <v>2258.4911079826602</v>
      </c>
      <c r="AL394" t="s">
        <v>346</v>
      </c>
      <c r="AM394" t="s">
        <v>436</v>
      </c>
      <c r="AN394" t="s">
        <v>425</v>
      </c>
      <c r="AO394" t="s">
        <v>26</v>
      </c>
      <c r="AP394">
        <v>111.133</v>
      </c>
      <c r="AQ394">
        <v>1.0368587857491129</v>
      </c>
      <c r="AR394">
        <v>115.2292274366562</v>
      </c>
      <c r="AS394">
        <v>603.45000000000005</v>
      </c>
      <c r="AT394">
        <v>1</v>
      </c>
      <c r="AU394">
        <v>69.535077296650186</v>
      </c>
      <c r="AV394">
        <v>0.96209999999999996</v>
      </c>
      <c r="AW394" s="62">
        <v>66.900000000000006</v>
      </c>
      <c r="AX394">
        <v>8.9176000000000002</v>
      </c>
      <c r="AY394">
        <v>1</v>
      </c>
      <c r="AZ394">
        <v>5579.6748517596734</v>
      </c>
      <c r="BA394">
        <v>0.95992461065370505</v>
      </c>
      <c r="BB394" s="62">
        <v>5356.0672000000004</v>
      </c>
      <c r="BC394" s="60">
        <v>2258.4911079826602</v>
      </c>
    </row>
    <row r="395" spans="1:55" x14ac:dyDescent="0.25">
      <c r="A395">
        <v>88505</v>
      </c>
      <c r="B395" t="s">
        <v>113</v>
      </c>
      <c r="C395">
        <v>2018</v>
      </c>
      <c r="D395">
        <v>9</v>
      </c>
      <c r="E395" t="s">
        <v>100</v>
      </c>
      <c r="F395" t="s">
        <v>426</v>
      </c>
      <c r="G395" t="s">
        <v>84</v>
      </c>
      <c r="H395" t="s">
        <v>381</v>
      </c>
      <c r="I395" t="s">
        <v>427</v>
      </c>
      <c r="J395">
        <v>-9.5507299999999997</v>
      </c>
      <c r="K395" t="s">
        <v>440</v>
      </c>
      <c r="L395" t="s">
        <v>384</v>
      </c>
      <c r="M395">
        <v>4.5811354346740003E-2</v>
      </c>
      <c r="N395">
        <v>0.43753187630004009</v>
      </c>
      <c r="O395">
        <v>30169.468000000001</v>
      </c>
      <c r="P395">
        <v>4.8744250000000003E-6</v>
      </c>
      <c r="Q395">
        <v>0.29411799999999999</v>
      </c>
      <c r="R395" s="60">
        <v>0.12868600039361519</v>
      </c>
      <c r="S395" t="s">
        <v>346</v>
      </c>
      <c r="T395" t="s">
        <v>436</v>
      </c>
      <c r="U395" t="s">
        <v>425</v>
      </c>
      <c r="V395" t="s">
        <v>81</v>
      </c>
      <c r="W395">
        <v>111.133</v>
      </c>
      <c r="X395">
        <v>1.0368587857491129</v>
      </c>
      <c r="Y395">
        <v>115.2292274366562</v>
      </c>
      <c r="Z395">
        <v>603.45000000000005</v>
      </c>
      <c r="AA395">
        <v>1</v>
      </c>
      <c r="AB395">
        <v>69.535077296650186</v>
      </c>
      <c r="AC395">
        <v>0.90990000000000004</v>
      </c>
      <c r="AD395" s="62">
        <v>63.27</v>
      </c>
      <c r="AE395">
        <v>8.9176000000000002</v>
      </c>
      <c r="AF395">
        <v>9.2462919077962926</v>
      </c>
      <c r="AG395">
        <v>1</v>
      </c>
      <c r="AH395">
        <v>5579.6748517596734</v>
      </c>
      <c r="AI395">
        <v>1.053620848708487</v>
      </c>
      <c r="AJ395" s="62">
        <v>5878.8617999999997</v>
      </c>
      <c r="AK395" s="60">
        <v>756.52721190880925</v>
      </c>
      <c r="AL395" t="s">
        <v>346</v>
      </c>
      <c r="AM395" t="s">
        <v>436</v>
      </c>
      <c r="AN395" t="s">
        <v>425</v>
      </c>
      <c r="AO395" t="s">
        <v>81</v>
      </c>
      <c r="AP395">
        <v>111.133</v>
      </c>
      <c r="AQ395">
        <v>1.0368587857491129</v>
      </c>
      <c r="AR395">
        <v>115.2292274366562</v>
      </c>
      <c r="AS395">
        <v>603.45000000000005</v>
      </c>
      <c r="AT395">
        <v>1</v>
      </c>
      <c r="AU395">
        <v>69.535077296650186</v>
      </c>
      <c r="AV395">
        <v>0.90990000000000004</v>
      </c>
      <c r="AW395" s="62">
        <v>63.27</v>
      </c>
      <c r="AX395">
        <v>8.9176000000000002</v>
      </c>
      <c r="AY395">
        <v>1</v>
      </c>
      <c r="AZ395">
        <v>5579.6748517596734</v>
      </c>
      <c r="BA395">
        <v>1.053620848708487</v>
      </c>
      <c r="BB395" s="62">
        <v>5878.8617999999997</v>
      </c>
      <c r="BC395" s="60">
        <v>756.52721190880925</v>
      </c>
    </row>
    <row r="396" spans="1:55" x14ac:dyDescent="0.25">
      <c r="A396">
        <v>88507</v>
      </c>
      <c r="B396" t="s">
        <v>113</v>
      </c>
      <c r="C396">
        <v>2018</v>
      </c>
      <c r="D396">
        <v>9</v>
      </c>
      <c r="E396" t="s">
        <v>100</v>
      </c>
      <c r="F396" t="s">
        <v>426</v>
      </c>
      <c r="G396" t="s">
        <v>84</v>
      </c>
      <c r="H396" t="s">
        <v>381</v>
      </c>
      <c r="I396" t="s">
        <v>427</v>
      </c>
      <c r="J396">
        <v>-9.5507299999999997</v>
      </c>
      <c r="K396" t="s">
        <v>440</v>
      </c>
      <c r="L396" t="s">
        <v>385</v>
      </c>
      <c r="M396">
        <v>0.43232641346992001</v>
      </c>
      <c r="N396">
        <v>4.1290328469195687</v>
      </c>
      <c r="O396">
        <v>30169.468000000001</v>
      </c>
      <c r="P396">
        <v>4.8744250000000003E-6</v>
      </c>
      <c r="Q396">
        <v>0.29411799999999999</v>
      </c>
      <c r="R396" s="60">
        <v>1.2144228828702901</v>
      </c>
      <c r="S396" t="s">
        <v>346</v>
      </c>
      <c r="T396" t="s">
        <v>436</v>
      </c>
      <c r="U396" t="s">
        <v>425</v>
      </c>
      <c r="V396" t="s">
        <v>27</v>
      </c>
      <c r="W396">
        <v>111.133</v>
      </c>
      <c r="X396">
        <v>1.0368587857491129</v>
      </c>
      <c r="Y396">
        <v>115.2292274366562</v>
      </c>
      <c r="Z396">
        <v>603.45000000000005</v>
      </c>
      <c r="AA396">
        <v>1</v>
      </c>
      <c r="AB396">
        <v>69.535077296650186</v>
      </c>
      <c r="AC396">
        <v>0.93979999999999997</v>
      </c>
      <c r="AD396" s="62">
        <v>65.349000000000004</v>
      </c>
      <c r="AE396">
        <v>8.9176000000000002</v>
      </c>
      <c r="AF396">
        <v>9.2462919077962926</v>
      </c>
      <c r="AG396">
        <v>1</v>
      </c>
      <c r="AH396">
        <v>5579.6748517596734</v>
      </c>
      <c r="AI396">
        <v>0.95477850697292876</v>
      </c>
      <c r="AJ396" s="62">
        <v>5327.3536000000004</v>
      </c>
      <c r="AK396" s="60">
        <v>6469.6601169814166</v>
      </c>
      <c r="AL396" t="s">
        <v>346</v>
      </c>
      <c r="AM396" t="s">
        <v>436</v>
      </c>
      <c r="AN396" t="s">
        <v>425</v>
      </c>
      <c r="AO396" t="s">
        <v>27</v>
      </c>
      <c r="AP396">
        <v>111.133</v>
      </c>
      <c r="AQ396">
        <v>1.0368587857491129</v>
      </c>
      <c r="AR396">
        <v>115.2292274366562</v>
      </c>
      <c r="AS396">
        <v>603.45000000000005</v>
      </c>
      <c r="AT396">
        <v>1</v>
      </c>
      <c r="AU396">
        <v>69.535077296650186</v>
      </c>
      <c r="AV396">
        <v>0.93979999999999997</v>
      </c>
      <c r="AW396" s="62">
        <v>65.349000000000004</v>
      </c>
      <c r="AX396">
        <v>8.9176000000000002</v>
      </c>
      <c r="AY396">
        <v>1</v>
      </c>
      <c r="AZ396">
        <v>5579.6748517596734</v>
      </c>
      <c r="BA396">
        <v>0.95477850697292876</v>
      </c>
      <c r="BB396" s="62">
        <v>5327.3536000000004</v>
      </c>
      <c r="BC396" s="60">
        <v>6469.6601169814166</v>
      </c>
    </row>
    <row r="397" spans="1:55" x14ac:dyDescent="0.25">
      <c r="A397">
        <v>88509</v>
      </c>
      <c r="B397" t="s">
        <v>113</v>
      </c>
      <c r="C397">
        <v>2018</v>
      </c>
      <c r="D397">
        <v>9</v>
      </c>
      <c r="E397" t="s">
        <v>100</v>
      </c>
      <c r="F397" t="s">
        <v>426</v>
      </c>
      <c r="G397" t="s">
        <v>84</v>
      </c>
      <c r="H397" t="s">
        <v>381</v>
      </c>
      <c r="I397" t="s">
        <v>427</v>
      </c>
      <c r="J397">
        <v>-9.5507299999999997</v>
      </c>
      <c r="K397" t="s">
        <v>440</v>
      </c>
      <c r="L397" t="s">
        <v>451</v>
      </c>
      <c r="M397">
        <v>1.6825115802299999E-3</v>
      </c>
      <c r="N397">
        <v>1.6069213824650069E-2</v>
      </c>
      <c r="O397">
        <v>30169.468000000001</v>
      </c>
      <c r="P397">
        <v>4.8744250000000003E-6</v>
      </c>
      <c r="Q397">
        <v>0.29411799999999999</v>
      </c>
      <c r="R397" s="60">
        <v>4.7262450316784277E-3</v>
      </c>
      <c r="S397" t="s">
        <v>346</v>
      </c>
      <c r="T397" t="s">
        <v>436</v>
      </c>
      <c r="U397" t="s">
        <v>425</v>
      </c>
      <c r="V397" t="s">
        <v>91</v>
      </c>
      <c r="W397">
        <v>111.133</v>
      </c>
      <c r="X397">
        <v>1.0368587857491129</v>
      </c>
      <c r="Y397">
        <v>115.2292274366562</v>
      </c>
      <c r="Z397">
        <v>603.45000000000005</v>
      </c>
      <c r="AA397">
        <v>1</v>
      </c>
      <c r="AB397">
        <v>69.535077296650186</v>
      </c>
      <c r="AC397">
        <v>0.99250000000000005</v>
      </c>
      <c r="AD397" s="62">
        <v>69.013999999999996</v>
      </c>
      <c r="AE397">
        <v>8.9176000000000002</v>
      </c>
      <c r="AF397">
        <v>9.2462919077962926</v>
      </c>
      <c r="AG397">
        <v>1</v>
      </c>
      <c r="AH397">
        <v>5579.6748517596734</v>
      </c>
      <c r="AI397">
        <v>0.96573604060913698</v>
      </c>
      <c r="AJ397" s="62">
        <v>5388.4930999999997</v>
      </c>
      <c r="AK397" s="60">
        <v>25.467338742108488</v>
      </c>
      <c r="AL397" t="s">
        <v>346</v>
      </c>
      <c r="AM397" t="s">
        <v>436</v>
      </c>
      <c r="AN397" t="s">
        <v>425</v>
      </c>
      <c r="AO397" t="s">
        <v>91</v>
      </c>
      <c r="AP397">
        <v>111.133</v>
      </c>
      <c r="AQ397">
        <v>1.0368587857491129</v>
      </c>
      <c r="AR397">
        <v>115.2292274366562</v>
      </c>
      <c r="AS397">
        <v>603.45000000000005</v>
      </c>
      <c r="AT397">
        <v>1</v>
      </c>
      <c r="AU397">
        <v>69.535077296650186</v>
      </c>
      <c r="AV397">
        <v>0.99250000000000005</v>
      </c>
      <c r="AW397" s="62">
        <v>69.013999999999996</v>
      </c>
      <c r="AX397">
        <v>8.9176000000000002</v>
      </c>
      <c r="AY397">
        <v>1</v>
      </c>
      <c r="AZ397">
        <v>5579.6748517596734</v>
      </c>
      <c r="BA397">
        <v>0.96573604060913698</v>
      </c>
      <c r="BB397" s="62">
        <v>5388.4930999999997</v>
      </c>
      <c r="BC397" s="60">
        <v>25.467338742108488</v>
      </c>
    </row>
    <row r="398" spans="1:55" x14ac:dyDescent="0.25">
      <c r="A398">
        <v>88511</v>
      </c>
      <c r="B398" t="s">
        <v>113</v>
      </c>
      <c r="C398">
        <v>2018</v>
      </c>
      <c r="D398">
        <v>9</v>
      </c>
      <c r="E398" t="s">
        <v>100</v>
      </c>
      <c r="F398" t="s">
        <v>426</v>
      </c>
      <c r="G398" t="s">
        <v>84</v>
      </c>
      <c r="H398" t="s">
        <v>381</v>
      </c>
      <c r="I398" t="s">
        <v>427</v>
      </c>
      <c r="J398">
        <v>-9.5507299999999997</v>
      </c>
      <c r="K398" t="s">
        <v>440</v>
      </c>
      <c r="L398" t="s">
        <v>452</v>
      </c>
      <c r="M398">
        <v>1.53682162831E-3</v>
      </c>
      <c r="N398">
        <v>1.4677768430149171E-2</v>
      </c>
      <c r="O398">
        <v>30169.468000000001</v>
      </c>
      <c r="P398">
        <v>4.8744250000000003E-6</v>
      </c>
      <c r="Q398">
        <v>0.29411799999999999</v>
      </c>
      <c r="R398" s="60">
        <v>4.3169958951386122E-3</v>
      </c>
      <c r="S398" t="s">
        <v>346</v>
      </c>
      <c r="T398" t="s">
        <v>436</v>
      </c>
      <c r="U398" t="s">
        <v>425</v>
      </c>
      <c r="V398" t="s">
        <v>28</v>
      </c>
      <c r="W398">
        <v>111.133</v>
      </c>
      <c r="X398">
        <v>1.0368587857491129</v>
      </c>
      <c r="Y398">
        <v>115.2292274366562</v>
      </c>
      <c r="Z398">
        <v>603.45000000000005</v>
      </c>
      <c r="AA398">
        <v>1</v>
      </c>
      <c r="AB398">
        <v>69.535077296650186</v>
      </c>
      <c r="AC398">
        <v>0.99760000000000004</v>
      </c>
      <c r="AD398" s="62">
        <v>69.367999999999995</v>
      </c>
      <c r="AE398">
        <v>8.9176000000000002</v>
      </c>
      <c r="AF398">
        <v>9.2462919077962926</v>
      </c>
      <c r="AG398">
        <v>1</v>
      </c>
      <c r="AH398">
        <v>5579.6748517596734</v>
      </c>
      <c r="AI398">
        <v>0.96062216971844849</v>
      </c>
      <c r="AJ398" s="62">
        <v>5359.9593999999997</v>
      </c>
      <c r="AK398" s="60">
        <v>23.13892272790962</v>
      </c>
      <c r="AL398" t="s">
        <v>346</v>
      </c>
      <c r="AM398" t="s">
        <v>436</v>
      </c>
      <c r="AN398" t="s">
        <v>425</v>
      </c>
      <c r="AO398" t="s">
        <v>28</v>
      </c>
      <c r="AP398">
        <v>111.133</v>
      </c>
      <c r="AQ398">
        <v>1.0368587857491129</v>
      </c>
      <c r="AR398">
        <v>115.2292274366562</v>
      </c>
      <c r="AS398">
        <v>603.45000000000005</v>
      </c>
      <c r="AT398">
        <v>1</v>
      </c>
      <c r="AU398">
        <v>69.535077296650186</v>
      </c>
      <c r="AV398">
        <v>0.99760000000000004</v>
      </c>
      <c r="AW398" s="62">
        <v>69.367999999999995</v>
      </c>
      <c r="AX398">
        <v>8.9176000000000002</v>
      </c>
      <c r="AY398">
        <v>1</v>
      </c>
      <c r="AZ398">
        <v>5579.6748517596734</v>
      </c>
      <c r="BA398">
        <v>0.96062216971844849</v>
      </c>
      <c r="BB398" s="62">
        <v>5359.9593999999997</v>
      </c>
      <c r="BC398" s="60">
        <v>23.13892272790962</v>
      </c>
    </row>
    <row r="399" spans="1:55" x14ac:dyDescent="0.25">
      <c r="A399">
        <v>88513</v>
      </c>
      <c r="B399" t="s">
        <v>113</v>
      </c>
      <c r="C399">
        <v>2018</v>
      </c>
      <c r="D399">
        <v>9</v>
      </c>
      <c r="E399" t="s">
        <v>100</v>
      </c>
      <c r="F399" t="s">
        <v>426</v>
      </c>
      <c r="G399" t="s">
        <v>84</v>
      </c>
      <c r="H399" t="s">
        <v>87</v>
      </c>
      <c r="I399" t="s">
        <v>427</v>
      </c>
      <c r="J399">
        <v>-1.7550300000000001</v>
      </c>
      <c r="K399" t="s">
        <v>440</v>
      </c>
      <c r="L399" t="s">
        <v>450</v>
      </c>
      <c r="M399">
        <v>0.26601384014995</v>
      </c>
      <c r="N399">
        <v>0.46686226987836671</v>
      </c>
      <c r="O399">
        <v>30169.468000000001</v>
      </c>
      <c r="P399">
        <v>4.8744250000000003E-6</v>
      </c>
      <c r="Q399">
        <v>0.29411799999999999</v>
      </c>
      <c r="R399" s="60">
        <v>0.13731259709208549</v>
      </c>
      <c r="S399" t="s">
        <v>346</v>
      </c>
      <c r="T399" t="s">
        <v>436</v>
      </c>
      <c r="U399" t="s">
        <v>425</v>
      </c>
      <c r="V399" t="s">
        <v>26</v>
      </c>
      <c r="W399">
        <v>111.133</v>
      </c>
      <c r="X399">
        <v>1.0368587857491129</v>
      </c>
      <c r="Y399">
        <v>115.2292274366562</v>
      </c>
      <c r="Z399">
        <v>603.45000000000005</v>
      </c>
      <c r="AA399">
        <v>1</v>
      </c>
      <c r="AB399">
        <v>69.535077296650186</v>
      </c>
      <c r="AC399">
        <v>0.96209999999999996</v>
      </c>
      <c r="AD399" s="62">
        <v>66.900000000000006</v>
      </c>
      <c r="AE399">
        <v>8.9176000000000002</v>
      </c>
      <c r="AF399">
        <v>9.2462919077962926</v>
      </c>
      <c r="AG399">
        <v>1</v>
      </c>
      <c r="AH399">
        <v>5579.6748517596734</v>
      </c>
      <c r="AI399">
        <v>0.95992461065370505</v>
      </c>
      <c r="AJ399" s="62">
        <v>5356.0672000000004</v>
      </c>
      <c r="AK399" s="60">
        <v>735.45549743173433</v>
      </c>
      <c r="AL399" t="s">
        <v>346</v>
      </c>
      <c r="AM399" t="s">
        <v>436</v>
      </c>
      <c r="AN399" t="s">
        <v>425</v>
      </c>
      <c r="AO399" t="s">
        <v>26</v>
      </c>
      <c r="AP399">
        <v>111.133</v>
      </c>
      <c r="AQ399">
        <v>1.0368587857491129</v>
      </c>
      <c r="AR399">
        <v>115.2292274366562</v>
      </c>
      <c r="AS399">
        <v>603.45000000000005</v>
      </c>
      <c r="AT399">
        <v>1</v>
      </c>
      <c r="AU399">
        <v>69.535077296650186</v>
      </c>
      <c r="AV399">
        <v>0.96209999999999996</v>
      </c>
      <c r="AW399" s="62">
        <v>66.900000000000006</v>
      </c>
      <c r="AX399">
        <v>8.9176000000000002</v>
      </c>
      <c r="AY399">
        <v>1</v>
      </c>
      <c r="AZ399">
        <v>5579.6748517596734</v>
      </c>
      <c r="BA399">
        <v>0.95992461065370505</v>
      </c>
      <c r="BB399" s="62">
        <v>5356.0672000000004</v>
      </c>
      <c r="BC399" s="60">
        <v>735.45549743173433</v>
      </c>
    </row>
    <row r="400" spans="1:55" x14ac:dyDescent="0.25">
      <c r="A400">
        <v>88515</v>
      </c>
      <c r="B400" t="s">
        <v>113</v>
      </c>
      <c r="C400">
        <v>2018</v>
      </c>
      <c r="D400">
        <v>9</v>
      </c>
      <c r="E400" t="s">
        <v>100</v>
      </c>
      <c r="F400" t="s">
        <v>426</v>
      </c>
      <c r="G400" t="s">
        <v>84</v>
      </c>
      <c r="H400" t="s">
        <v>87</v>
      </c>
      <c r="I400" t="s">
        <v>427</v>
      </c>
      <c r="J400">
        <v>-1.7550300000000001</v>
      </c>
      <c r="K400" t="s">
        <v>440</v>
      </c>
      <c r="L400" t="s">
        <v>384</v>
      </c>
      <c r="M400">
        <v>3.9509559941419997E-2</v>
      </c>
      <c r="N400">
        <v>6.9340462983990339E-2</v>
      </c>
      <c r="O400">
        <v>30169.468000000001</v>
      </c>
      <c r="P400">
        <v>4.8744250000000003E-6</v>
      </c>
      <c r="Q400">
        <v>0.29411799999999999</v>
      </c>
      <c r="R400" s="60">
        <v>2.039427829192527E-2</v>
      </c>
      <c r="S400" t="s">
        <v>346</v>
      </c>
      <c r="T400" t="s">
        <v>436</v>
      </c>
      <c r="U400" t="s">
        <v>425</v>
      </c>
      <c r="V400" t="s">
        <v>81</v>
      </c>
      <c r="W400">
        <v>111.133</v>
      </c>
      <c r="X400">
        <v>1.0368587857491129</v>
      </c>
      <c r="Y400">
        <v>115.2292274366562</v>
      </c>
      <c r="Z400">
        <v>603.45000000000005</v>
      </c>
      <c r="AA400">
        <v>1</v>
      </c>
      <c r="AB400">
        <v>69.535077296650186</v>
      </c>
      <c r="AC400">
        <v>0.90990000000000004</v>
      </c>
      <c r="AD400" s="62">
        <v>63.27</v>
      </c>
      <c r="AE400">
        <v>8.9176000000000002</v>
      </c>
      <c r="AF400">
        <v>9.2462919077962926</v>
      </c>
      <c r="AG400">
        <v>1</v>
      </c>
      <c r="AH400">
        <v>5579.6748517596734</v>
      </c>
      <c r="AI400">
        <v>1.053620848708487</v>
      </c>
      <c r="AJ400" s="62">
        <v>5878.8617999999997</v>
      </c>
      <c r="AK400" s="60">
        <v>119.89514358896869</v>
      </c>
      <c r="AL400" t="s">
        <v>346</v>
      </c>
      <c r="AM400" t="s">
        <v>436</v>
      </c>
      <c r="AN400" t="s">
        <v>425</v>
      </c>
      <c r="AO400" t="s">
        <v>81</v>
      </c>
      <c r="AP400">
        <v>111.133</v>
      </c>
      <c r="AQ400">
        <v>1.0368587857491129</v>
      </c>
      <c r="AR400">
        <v>115.2292274366562</v>
      </c>
      <c r="AS400">
        <v>603.45000000000005</v>
      </c>
      <c r="AT400">
        <v>1</v>
      </c>
      <c r="AU400">
        <v>69.535077296650186</v>
      </c>
      <c r="AV400">
        <v>0.90990000000000004</v>
      </c>
      <c r="AW400" s="62">
        <v>63.27</v>
      </c>
      <c r="AX400">
        <v>8.9176000000000002</v>
      </c>
      <c r="AY400">
        <v>1</v>
      </c>
      <c r="AZ400">
        <v>5579.6748517596734</v>
      </c>
      <c r="BA400">
        <v>1.053620848708487</v>
      </c>
      <c r="BB400" s="62">
        <v>5878.8617999999997</v>
      </c>
      <c r="BC400" s="60">
        <v>119.89514358896869</v>
      </c>
    </row>
    <row r="401" spans="1:55" x14ac:dyDescent="0.25">
      <c r="A401">
        <v>88517</v>
      </c>
      <c r="B401" t="s">
        <v>113</v>
      </c>
      <c r="C401">
        <v>2018</v>
      </c>
      <c r="D401">
        <v>9</v>
      </c>
      <c r="E401" t="s">
        <v>100</v>
      </c>
      <c r="F401" t="s">
        <v>426</v>
      </c>
      <c r="G401" t="s">
        <v>84</v>
      </c>
      <c r="H401" t="s">
        <v>87</v>
      </c>
      <c r="I401" t="s">
        <v>427</v>
      </c>
      <c r="J401">
        <v>-1.7550300000000001</v>
      </c>
      <c r="K401" t="s">
        <v>440</v>
      </c>
      <c r="L401" t="s">
        <v>385</v>
      </c>
      <c r="M401">
        <v>0.39737542925016001</v>
      </c>
      <c r="N401">
        <v>0.69740579959690829</v>
      </c>
      <c r="O401">
        <v>30169.468000000001</v>
      </c>
      <c r="P401">
        <v>4.8744250000000003E-6</v>
      </c>
      <c r="Q401">
        <v>0.29411799999999999</v>
      </c>
      <c r="R401" s="60">
        <v>0.2051195989658435</v>
      </c>
      <c r="S401" t="s">
        <v>346</v>
      </c>
      <c r="T401" t="s">
        <v>436</v>
      </c>
      <c r="U401" t="s">
        <v>425</v>
      </c>
      <c r="V401" t="s">
        <v>27</v>
      </c>
      <c r="W401">
        <v>111.133</v>
      </c>
      <c r="X401">
        <v>1.0368587857491129</v>
      </c>
      <c r="Y401">
        <v>115.2292274366562</v>
      </c>
      <c r="Z401">
        <v>603.45000000000005</v>
      </c>
      <c r="AA401">
        <v>1</v>
      </c>
      <c r="AB401">
        <v>69.535077296650186</v>
      </c>
      <c r="AC401">
        <v>0.93979999999999997</v>
      </c>
      <c r="AD401" s="62">
        <v>65.349000000000004</v>
      </c>
      <c r="AE401">
        <v>8.9176000000000002</v>
      </c>
      <c r="AF401">
        <v>9.2462919077962926</v>
      </c>
      <c r="AG401">
        <v>1</v>
      </c>
      <c r="AH401">
        <v>5579.6748517596734</v>
      </c>
      <c r="AI401">
        <v>0.95477850697292876</v>
      </c>
      <c r="AJ401" s="62">
        <v>5327.3536000000004</v>
      </c>
      <c r="AK401" s="60">
        <v>1092.744633981242</v>
      </c>
      <c r="AL401" t="s">
        <v>346</v>
      </c>
      <c r="AM401" t="s">
        <v>436</v>
      </c>
      <c r="AN401" t="s">
        <v>425</v>
      </c>
      <c r="AO401" t="s">
        <v>27</v>
      </c>
      <c r="AP401">
        <v>111.133</v>
      </c>
      <c r="AQ401">
        <v>1.0368587857491129</v>
      </c>
      <c r="AR401">
        <v>115.2292274366562</v>
      </c>
      <c r="AS401">
        <v>603.45000000000005</v>
      </c>
      <c r="AT401">
        <v>1</v>
      </c>
      <c r="AU401">
        <v>69.535077296650186</v>
      </c>
      <c r="AV401">
        <v>0.93979999999999997</v>
      </c>
      <c r="AW401" s="62">
        <v>65.349000000000004</v>
      </c>
      <c r="AX401">
        <v>8.9176000000000002</v>
      </c>
      <c r="AY401">
        <v>1</v>
      </c>
      <c r="AZ401">
        <v>5579.6748517596734</v>
      </c>
      <c r="BA401">
        <v>0.95477850697292876</v>
      </c>
      <c r="BB401" s="62">
        <v>5327.3536000000004</v>
      </c>
      <c r="BC401" s="60">
        <v>1092.744633981242</v>
      </c>
    </row>
    <row r="402" spans="1:55" x14ac:dyDescent="0.25">
      <c r="A402">
        <v>88519</v>
      </c>
      <c r="B402" t="s">
        <v>113</v>
      </c>
      <c r="C402">
        <v>2018</v>
      </c>
      <c r="D402">
        <v>9</v>
      </c>
      <c r="E402" t="s">
        <v>100</v>
      </c>
      <c r="F402" t="s">
        <v>426</v>
      </c>
      <c r="G402" t="s">
        <v>84</v>
      </c>
      <c r="H402" t="s">
        <v>87</v>
      </c>
      <c r="I402" t="s">
        <v>427</v>
      </c>
      <c r="J402">
        <v>-1.7550300000000001</v>
      </c>
      <c r="K402" t="s">
        <v>440</v>
      </c>
      <c r="L402" t="s">
        <v>452</v>
      </c>
      <c r="M402">
        <v>8.4248020759000004E-4</v>
      </c>
      <c r="N402">
        <v>1.478578038726678E-3</v>
      </c>
      <c r="O402">
        <v>30169.468000000001</v>
      </c>
      <c r="P402">
        <v>4.8744250000000003E-6</v>
      </c>
      <c r="Q402">
        <v>0.29411799999999999</v>
      </c>
      <c r="R402" s="60">
        <v>4.3487641559421302E-4</v>
      </c>
      <c r="S402" t="s">
        <v>346</v>
      </c>
      <c r="T402" t="s">
        <v>436</v>
      </c>
      <c r="U402" t="s">
        <v>425</v>
      </c>
      <c r="V402" t="s">
        <v>28</v>
      </c>
      <c r="W402">
        <v>111.133</v>
      </c>
      <c r="X402">
        <v>1.0368587857491129</v>
      </c>
      <c r="Y402">
        <v>115.2292274366562</v>
      </c>
      <c r="Z402">
        <v>603.45000000000005</v>
      </c>
      <c r="AA402">
        <v>1</v>
      </c>
      <c r="AB402">
        <v>69.535077296650186</v>
      </c>
      <c r="AC402">
        <v>0.99760000000000004</v>
      </c>
      <c r="AD402" s="62">
        <v>69.367999999999995</v>
      </c>
      <c r="AE402">
        <v>8.9176000000000002</v>
      </c>
      <c r="AF402">
        <v>9.2462919077962926</v>
      </c>
      <c r="AG402">
        <v>1</v>
      </c>
      <c r="AH402">
        <v>5579.6748517596734</v>
      </c>
      <c r="AI402">
        <v>0.96062216971844849</v>
      </c>
      <c r="AJ402" s="62">
        <v>5359.9593999999997</v>
      </c>
      <c r="AK402" s="60">
        <v>2.3309199316025082</v>
      </c>
      <c r="AL402" t="s">
        <v>346</v>
      </c>
      <c r="AM402" t="s">
        <v>436</v>
      </c>
      <c r="AN402" t="s">
        <v>425</v>
      </c>
      <c r="AO402" t="s">
        <v>28</v>
      </c>
      <c r="AP402">
        <v>111.133</v>
      </c>
      <c r="AQ402">
        <v>1.0368587857491129</v>
      </c>
      <c r="AR402">
        <v>115.2292274366562</v>
      </c>
      <c r="AS402">
        <v>603.45000000000005</v>
      </c>
      <c r="AT402">
        <v>1</v>
      </c>
      <c r="AU402">
        <v>69.535077296650186</v>
      </c>
      <c r="AV402">
        <v>0.99760000000000004</v>
      </c>
      <c r="AW402" s="62">
        <v>69.367999999999995</v>
      </c>
      <c r="AX402">
        <v>8.9176000000000002</v>
      </c>
      <c r="AY402">
        <v>1</v>
      </c>
      <c r="AZ402">
        <v>5579.6748517596734</v>
      </c>
      <c r="BA402">
        <v>0.96062216971844849</v>
      </c>
      <c r="BB402" s="62">
        <v>5359.9593999999997</v>
      </c>
      <c r="BC402" s="60">
        <v>2.3309199316025082</v>
      </c>
    </row>
    <row r="403" spans="1:55" x14ac:dyDescent="0.25">
      <c r="A403">
        <v>88521</v>
      </c>
      <c r="B403" t="s">
        <v>113</v>
      </c>
      <c r="C403">
        <v>2018</v>
      </c>
      <c r="D403">
        <v>9</v>
      </c>
      <c r="E403" t="s">
        <v>100</v>
      </c>
      <c r="F403" t="s">
        <v>426</v>
      </c>
      <c r="G403" t="s">
        <v>84</v>
      </c>
      <c r="H403" t="s">
        <v>59</v>
      </c>
      <c r="I403" t="s">
        <v>427</v>
      </c>
      <c r="J403">
        <v>-5.0464000000000002</v>
      </c>
      <c r="K403" t="s">
        <v>440</v>
      </c>
      <c r="L403" t="s">
        <v>450</v>
      </c>
      <c r="M403">
        <v>0.15931709696460999</v>
      </c>
      <c r="N403">
        <v>0.80397779812220793</v>
      </c>
      <c r="O403">
        <v>30169.468000000001</v>
      </c>
      <c r="P403">
        <v>4.8744250000000003E-6</v>
      </c>
      <c r="Q403">
        <v>0.29411799999999999</v>
      </c>
      <c r="R403" s="60">
        <v>0.23646434202810751</v>
      </c>
      <c r="S403" t="s">
        <v>346</v>
      </c>
      <c r="T403" t="s">
        <v>436</v>
      </c>
      <c r="U403" t="s">
        <v>425</v>
      </c>
      <c r="V403" t="s">
        <v>26</v>
      </c>
      <c r="W403">
        <v>111.133</v>
      </c>
      <c r="X403">
        <v>1.0368587857491129</v>
      </c>
      <c r="Y403">
        <v>115.2292274366562</v>
      </c>
      <c r="Z403">
        <v>603.45000000000005</v>
      </c>
      <c r="AA403">
        <v>1</v>
      </c>
      <c r="AB403">
        <v>69.535077296650186</v>
      </c>
      <c r="AC403">
        <v>0.96209999999999996</v>
      </c>
      <c r="AD403" s="62">
        <v>66.900000000000006</v>
      </c>
      <c r="AE403">
        <v>8.9176000000000002</v>
      </c>
      <c r="AF403">
        <v>9.2462919077962926</v>
      </c>
      <c r="AG403">
        <v>1</v>
      </c>
      <c r="AH403">
        <v>5579.6748517596734</v>
      </c>
      <c r="AI403">
        <v>0.95992461065370505</v>
      </c>
      <c r="AJ403" s="62">
        <v>5356.0672000000004</v>
      </c>
      <c r="AK403" s="60">
        <v>1266.5189063063281</v>
      </c>
      <c r="AL403" t="s">
        <v>346</v>
      </c>
      <c r="AM403" t="s">
        <v>436</v>
      </c>
      <c r="AN403" t="s">
        <v>425</v>
      </c>
      <c r="AO403" t="s">
        <v>26</v>
      </c>
      <c r="AP403">
        <v>111.133</v>
      </c>
      <c r="AQ403">
        <v>1.0368587857491129</v>
      </c>
      <c r="AR403">
        <v>115.2292274366562</v>
      </c>
      <c r="AS403">
        <v>603.45000000000005</v>
      </c>
      <c r="AT403">
        <v>1</v>
      </c>
      <c r="AU403">
        <v>69.535077296650186</v>
      </c>
      <c r="AV403">
        <v>0.96209999999999996</v>
      </c>
      <c r="AW403" s="62">
        <v>66.900000000000006</v>
      </c>
      <c r="AX403">
        <v>8.9176000000000002</v>
      </c>
      <c r="AY403">
        <v>1</v>
      </c>
      <c r="AZ403">
        <v>5579.6748517596734</v>
      </c>
      <c r="BA403">
        <v>0.95992461065370505</v>
      </c>
      <c r="BB403" s="62">
        <v>5356.0672000000004</v>
      </c>
      <c r="BC403" s="60">
        <v>1266.5189063063281</v>
      </c>
    </row>
    <row r="404" spans="1:55" x14ac:dyDescent="0.25">
      <c r="A404">
        <v>88523</v>
      </c>
      <c r="B404" t="s">
        <v>113</v>
      </c>
      <c r="C404">
        <v>2018</v>
      </c>
      <c r="D404">
        <v>9</v>
      </c>
      <c r="E404" t="s">
        <v>100</v>
      </c>
      <c r="F404" t="s">
        <v>426</v>
      </c>
      <c r="G404" t="s">
        <v>84</v>
      </c>
      <c r="H404" t="s">
        <v>59</v>
      </c>
      <c r="I404" t="s">
        <v>427</v>
      </c>
      <c r="J404">
        <v>-5.0464000000000002</v>
      </c>
      <c r="K404" t="s">
        <v>440</v>
      </c>
      <c r="L404" t="s">
        <v>384</v>
      </c>
      <c r="M404">
        <v>4.1785183859599999E-2</v>
      </c>
      <c r="N404">
        <v>0.21086475182908551</v>
      </c>
      <c r="O404">
        <v>30169.468000000001</v>
      </c>
      <c r="P404">
        <v>4.8744250000000003E-6</v>
      </c>
      <c r="Q404">
        <v>0.29411799999999999</v>
      </c>
      <c r="R404" s="60">
        <v>6.2019119078466953E-2</v>
      </c>
      <c r="S404" t="s">
        <v>346</v>
      </c>
      <c r="T404" t="s">
        <v>436</v>
      </c>
      <c r="U404" t="s">
        <v>425</v>
      </c>
      <c r="V404" t="s">
        <v>81</v>
      </c>
      <c r="W404">
        <v>111.133</v>
      </c>
      <c r="X404">
        <v>1.0368587857491129</v>
      </c>
      <c r="Y404">
        <v>115.2292274366562</v>
      </c>
      <c r="Z404">
        <v>603.45000000000005</v>
      </c>
      <c r="AA404">
        <v>1</v>
      </c>
      <c r="AB404">
        <v>69.535077296650186</v>
      </c>
      <c r="AC404">
        <v>0.90990000000000004</v>
      </c>
      <c r="AD404" s="62">
        <v>63.27</v>
      </c>
      <c r="AE404">
        <v>8.9176000000000002</v>
      </c>
      <c r="AF404">
        <v>9.2462919077962926</v>
      </c>
      <c r="AG404">
        <v>1</v>
      </c>
      <c r="AH404">
        <v>5579.6748517596734</v>
      </c>
      <c r="AI404">
        <v>1.053620848708487</v>
      </c>
      <c r="AJ404" s="62">
        <v>5878.8617999999997</v>
      </c>
      <c r="AK404" s="60">
        <v>364.60183002005061</v>
      </c>
      <c r="AL404" t="s">
        <v>346</v>
      </c>
      <c r="AM404" t="s">
        <v>436</v>
      </c>
      <c r="AN404" t="s">
        <v>425</v>
      </c>
      <c r="AO404" t="s">
        <v>81</v>
      </c>
      <c r="AP404">
        <v>111.133</v>
      </c>
      <c r="AQ404">
        <v>1.0368587857491129</v>
      </c>
      <c r="AR404">
        <v>115.2292274366562</v>
      </c>
      <c r="AS404">
        <v>603.45000000000005</v>
      </c>
      <c r="AT404">
        <v>1</v>
      </c>
      <c r="AU404">
        <v>69.535077296650186</v>
      </c>
      <c r="AV404">
        <v>0.90990000000000004</v>
      </c>
      <c r="AW404" s="62">
        <v>63.27</v>
      </c>
      <c r="AX404">
        <v>8.9176000000000002</v>
      </c>
      <c r="AY404">
        <v>1</v>
      </c>
      <c r="AZ404">
        <v>5579.6748517596734</v>
      </c>
      <c r="BA404">
        <v>1.053620848708487</v>
      </c>
      <c r="BB404" s="62">
        <v>5878.8617999999997</v>
      </c>
      <c r="BC404" s="60">
        <v>364.60183002005061</v>
      </c>
    </row>
    <row r="405" spans="1:55" x14ac:dyDescent="0.25">
      <c r="A405">
        <v>88525</v>
      </c>
      <c r="B405" t="s">
        <v>113</v>
      </c>
      <c r="C405">
        <v>2018</v>
      </c>
      <c r="D405">
        <v>9</v>
      </c>
      <c r="E405" t="s">
        <v>100</v>
      </c>
      <c r="F405" t="s">
        <v>426</v>
      </c>
      <c r="G405" t="s">
        <v>84</v>
      </c>
      <c r="H405" t="s">
        <v>59</v>
      </c>
      <c r="I405" t="s">
        <v>427</v>
      </c>
      <c r="J405">
        <v>-5.0464000000000002</v>
      </c>
      <c r="K405" t="s">
        <v>440</v>
      </c>
      <c r="L405" t="s">
        <v>385</v>
      </c>
      <c r="M405">
        <v>0.43497567483749999</v>
      </c>
      <c r="N405">
        <v>2.1950612454999598</v>
      </c>
      <c r="O405">
        <v>30169.468000000001</v>
      </c>
      <c r="P405">
        <v>4.8744250000000003E-6</v>
      </c>
      <c r="Q405">
        <v>0.29411799999999999</v>
      </c>
      <c r="R405" s="60">
        <v>0.64560702340395715</v>
      </c>
      <c r="S405" t="s">
        <v>346</v>
      </c>
      <c r="T405" t="s">
        <v>436</v>
      </c>
      <c r="U405" t="s">
        <v>425</v>
      </c>
      <c r="V405" t="s">
        <v>27</v>
      </c>
      <c r="W405">
        <v>111.133</v>
      </c>
      <c r="X405">
        <v>1.0368587857491129</v>
      </c>
      <c r="Y405">
        <v>115.2292274366562</v>
      </c>
      <c r="Z405">
        <v>603.45000000000005</v>
      </c>
      <c r="AA405">
        <v>1</v>
      </c>
      <c r="AB405">
        <v>69.535077296650186</v>
      </c>
      <c r="AC405">
        <v>0.93979999999999997</v>
      </c>
      <c r="AD405" s="62">
        <v>65.349000000000004</v>
      </c>
      <c r="AE405">
        <v>8.9176000000000002</v>
      </c>
      <c r="AF405">
        <v>9.2462919077962926</v>
      </c>
      <c r="AG405">
        <v>1</v>
      </c>
      <c r="AH405">
        <v>5579.6748517596734</v>
      </c>
      <c r="AI405">
        <v>0.95477850697292876</v>
      </c>
      <c r="AJ405" s="62">
        <v>5327.3536000000004</v>
      </c>
      <c r="AK405" s="60">
        <v>3439.3769003163561</v>
      </c>
      <c r="AL405" t="s">
        <v>346</v>
      </c>
      <c r="AM405" t="s">
        <v>436</v>
      </c>
      <c r="AN405" t="s">
        <v>425</v>
      </c>
      <c r="AO405" t="s">
        <v>27</v>
      </c>
      <c r="AP405">
        <v>111.133</v>
      </c>
      <c r="AQ405">
        <v>1.0368587857491129</v>
      </c>
      <c r="AR405">
        <v>115.2292274366562</v>
      </c>
      <c r="AS405">
        <v>603.45000000000005</v>
      </c>
      <c r="AT405">
        <v>1</v>
      </c>
      <c r="AU405">
        <v>69.535077296650186</v>
      </c>
      <c r="AV405">
        <v>0.93979999999999997</v>
      </c>
      <c r="AW405" s="62">
        <v>65.349000000000004</v>
      </c>
      <c r="AX405">
        <v>8.9176000000000002</v>
      </c>
      <c r="AY405">
        <v>1</v>
      </c>
      <c r="AZ405">
        <v>5579.6748517596734</v>
      </c>
      <c r="BA405">
        <v>0.95477850697292876</v>
      </c>
      <c r="BB405" s="62">
        <v>5327.3536000000004</v>
      </c>
      <c r="BC405" s="60">
        <v>3439.3769003163561</v>
      </c>
    </row>
    <row r="406" spans="1:55" x14ac:dyDescent="0.25">
      <c r="A406">
        <v>88527</v>
      </c>
      <c r="B406" t="s">
        <v>113</v>
      </c>
      <c r="C406">
        <v>2018</v>
      </c>
      <c r="D406">
        <v>9</v>
      </c>
      <c r="E406" t="s">
        <v>100</v>
      </c>
      <c r="F406" t="s">
        <v>426</v>
      </c>
      <c r="G406" t="s">
        <v>84</v>
      </c>
      <c r="H406" t="s">
        <v>59</v>
      </c>
      <c r="I406" t="s">
        <v>427</v>
      </c>
      <c r="J406">
        <v>-5.0464000000000002</v>
      </c>
      <c r="K406" t="s">
        <v>440</v>
      </c>
      <c r="L406" t="s">
        <v>451</v>
      </c>
      <c r="M406">
        <v>1.7625750762999999E-3</v>
      </c>
      <c r="N406">
        <v>8.8946588650403204E-3</v>
      </c>
      <c r="O406">
        <v>30169.468000000001</v>
      </c>
      <c r="P406">
        <v>4.8744250000000003E-6</v>
      </c>
      <c r="Q406">
        <v>0.29411799999999999</v>
      </c>
      <c r="R406" s="60">
        <v>2.6160792760679288E-3</v>
      </c>
      <c r="S406" t="s">
        <v>346</v>
      </c>
      <c r="T406" t="s">
        <v>436</v>
      </c>
      <c r="U406" t="s">
        <v>425</v>
      </c>
      <c r="V406" t="s">
        <v>91</v>
      </c>
      <c r="W406">
        <v>111.133</v>
      </c>
      <c r="X406">
        <v>1.0368587857491129</v>
      </c>
      <c r="Y406">
        <v>115.2292274366562</v>
      </c>
      <c r="Z406">
        <v>603.45000000000005</v>
      </c>
      <c r="AA406">
        <v>1</v>
      </c>
      <c r="AB406">
        <v>69.535077296650186</v>
      </c>
      <c r="AC406">
        <v>0.99250000000000005</v>
      </c>
      <c r="AD406" s="62">
        <v>69.013999999999996</v>
      </c>
      <c r="AE406">
        <v>8.9176000000000002</v>
      </c>
      <c r="AF406">
        <v>9.2462919077962926</v>
      </c>
      <c r="AG406">
        <v>1</v>
      </c>
      <c r="AH406">
        <v>5579.6748517596734</v>
      </c>
      <c r="AI406">
        <v>0.96573604060913698</v>
      </c>
      <c r="AJ406" s="62">
        <v>5388.4930999999997</v>
      </c>
      <c r="AK406" s="60">
        <v>14.09672512814503</v>
      </c>
      <c r="AL406" t="s">
        <v>346</v>
      </c>
      <c r="AM406" t="s">
        <v>436</v>
      </c>
      <c r="AN406" t="s">
        <v>425</v>
      </c>
      <c r="AO406" t="s">
        <v>91</v>
      </c>
      <c r="AP406">
        <v>111.133</v>
      </c>
      <c r="AQ406">
        <v>1.0368587857491129</v>
      </c>
      <c r="AR406">
        <v>115.2292274366562</v>
      </c>
      <c r="AS406">
        <v>603.45000000000005</v>
      </c>
      <c r="AT406">
        <v>1</v>
      </c>
      <c r="AU406">
        <v>69.535077296650186</v>
      </c>
      <c r="AV406">
        <v>0.99250000000000005</v>
      </c>
      <c r="AW406" s="62">
        <v>69.013999999999996</v>
      </c>
      <c r="AX406">
        <v>8.9176000000000002</v>
      </c>
      <c r="AY406">
        <v>1</v>
      </c>
      <c r="AZ406">
        <v>5579.6748517596734</v>
      </c>
      <c r="BA406">
        <v>0.96573604060913698</v>
      </c>
      <c r="BB406" s="62">
        <v>5388.4930999999997</v>
      </c>
      <c r="BC406" s="60">
        <v>14.09672512814503</v>
      </c>
    </row>
    <row r="407" spans="1:55" x14ac:dyDescent="0.25">
      <c r="A407">
        <v>88529</v>
      </c>
      <c r="B407" t="s">
        <v>113</v>
      </c>
      <c r="C407">
        <v>2018</v>
      </c>
      <c r="D407">
        <v>9</v>
      </c>
      <c r="E407" t="s">
        <v>100</v>
      </c>
      <c r="F407" t="s">
        <v>426</v>
      </c>
      <c r="G407" t="s">
        <v>84</v>
      </c>
      <c r="H407" t="s">
        <v>59</v>
      </c>
      <c r="I407" t="s">
        <v>427</v>
      </c>
      <c r="J407">
        <v>-5.0464000000000002</v>
      </c>
      <c r="K407" t="s">
        <v>440</v>
      </c>
      <c r="L407" t="s">
        <v>452</v>
      </c>
      <c r="M407">
        <v>1.4858046103299999E-3</v>
      </c>
      <c r="N407">
        <v>7.4979643855693119E-3</v>
      </c>
      <c r="O407">
        <v>30169.468000000001</v>
      </c>
      <c r="P407">
        <v>4.8744250000000003E-6</v>
      </c>
      <c r="Q407">
        <v>0.29411799999999999</v>
      </c>
      <c r="R407" s="60">
        <v>2.2052862891548748E-3</v>
      </c>
      <c r="S407" t="s">
        <v>346</v>
      </c>
      <c r="T407" t="s">
        <v>436</v>
      </c>
      <c r="U407" t="s">
        <v>425</v>
      </c>
      <c r="V407" t="s">
        <v>28</v>
      </c>
      <c r="W407">
        <v>111.133</v>
      </c>
      <c r="X407">
        <v>1.0368587857491129</v>
      </c>
      <c r="Y407">
        <v>115.2292274366562</v>
      </c>
      <c r="Z407">
        <v>603.45000000000005</v>
      </c>
      <c r="AA407">
        <v>1</v>
      </c>
      <c r="AB407">
        <v>69.535077296650186</v>
      </c>
      <c r="AC407">
        <v>0.99760000000000004</v>
      </c>
      <c r="AD407" s="62">
        <v>69.367999999999995</v>
      </c>
      <c r="AE407">
        <v>8.9176000000000002</v>
      </c>
      <c r="AF407">
        <v>9.2462919077962926</v>
      </c>
      <c r="AG407">
        <v>1</v>
      </c>
      <c r="AH407">
        <v>5579.6748517596734</v>
      </c>
      <c r="AI407">
        <v>0.96062216971844849</v>
      </c>
      <c r="AJ407" s="62">
        <v>5359.9593999999997</v>
      </c>
      <c r="AK407" s="60">
        <v>11.820244975246791</v>
      </c>
      <c r="AL407" t="s">
        <v>346</v>
      </c>
      <c r="AM407" t="s">
        <v>436</v>
      </c>
      <c r="AN407" t="s">
        <v>425</v>
      </c>
      <c r="AO407" t="s">
        <v>28</v>
      </c>
      <c r="AP407">
        <v>111.133</v>
      </c>
      <c r="AQ407">
        <v>1.0368587857491129</v>
      </c>
      <c r="AR407">
        <v>115.2292274366562</v>
      </c>
      <c r="AS407">
        <v>603.45000000000005</v>
      </c>
      <c r="AT407">
        <v>1</v>
      </c>
      <c r="AU407">
        <v>69.535077296650186</v>
      </c>
      <c r="AV407">
        <v>0.99760000000000004</v>
      </c>
      <c r="AW407" s="62">
        <v>69.367999999999995</v>
      </c>
      <c r="AX407">
        <v>8.9176000000000002</v>
      </c>
      <c r="AY407">
        <v>1</v>
      </c>
      <c r="AZ407">
        <v>5579.6748517596734</v>
      </c>
      <c r="BA407">
        <v>0.96062216971844849</v>
      </c>
      <c r="BB407" s="62">
        <v>5359.9593999999997</v>
      </c>
      <c r="BC407" s="60">
        <v>11.820244975246791</v>
      </c>
    </row>
    <row r="408" spans="1:55" x14ac:dyDescent="0.25">
      <c r="A408">
        <v>93741</v>
      </c>
      <c r="B408" t="s">
        <v>114</v>
      </c>
      <c r="C408">
        <v>2018</v>
      </c>
      <c r="D408">
        <v>10</v>
      </c>
      <c r="E408" t="s">
        <v>100</v>
      </c>
      <c r="F408" t="s">
        <v>426</v>
      </c>
      <c r="G408" t="s">
        <v>84</v>
      </c>
      <c r="H408" t="s">
        <v>381</v>
      </c>
      <c r="I408" t="s">
        <v>427</v>
      </c>
      <c r="J408">
        <v>-9.5507299999999997</v>
      </c>
      <c r="K408" t="s">
        <v>440</v>
      </c>
      <c r="L408" t="s">
        <v>450</v>
      </c>
      <c r="M408">
        <v>0.15011157993331001</v>
      </c>
      <c r="N408">
        <v>1.433675169816462</v>
      </c>
      <c r="O408">
        <v>30169.468000000001</v>
      </c>
      <c r="P408">
        <v>4.8744250000000003E-6</v>
      </c>
      <c r="Q408">
        <v>0.29411799999999999</v>
      </c>
      <c r="R408" s="60">
        <v>0.4216696735960781</v>
      </c>
      <c r="S408" t="s">
        <v>346</v>
      </c>
      <c r="T408" t="s">
        <v>436</v>
      </c>
      <c r="U408" t="s">
        <v>425</v>
      </c>
      <c r="V408" t="s">
        <v>26</v>
      </c>
      <c r="W408">
        <v>111.133</v>
      </c>
      <c r="X408">
        <v>1.0368587857491129</v>
      </c>
      <c r="Y408">
        <v>115.2292274366562</v>
      </c>
      <c r="Z408">
        <v>603.45000000000005</v>
      </c>
      <c r="AA408">
        <v>1</v>
      </c>
      <c r="AB408">
        <v>69.535077296650186</v>
      </c>
      <c r="AC408">
        <v>0.96209999999999996</v>
      </c>
      <c r="AD408" s="62">
        <v>66.900000000000006</v>
      </c>
      <c r="AE408">
        <v>8.9176000000000002</v>
      </c>
      <c r="AF408">
        <v>9.2462919077962926</v>
      </c>
      <c r="AG408">
        <v>1</v>
      </c>
      <c r="AH408">
        <v>5579.6748517596734</v>
      </c>
      <c r="AI408">
        <v>0.95992461065370505</v>
      </c>
      <c r="AJ408" s="62">
        <v>5356.0672000000004</v>
      </c>
      <c r="AK408" s="60">
        <v>2258.4911079826602</v>
      </c>
      <c r="AL408" t="s">
        <v>346</v>
      </c>
      <c r="AM408" t="s">
        <v>436</v>
      </c>
      <c r="AN408" t="s">
        <v>425</v>
      </c>
      <c r="AO408" t="s">
        <v>26</v>
      </c>
      <c r="AP408">
        <v>111.133</v>
      </c>
      <c r="AQ408">
        <v>1.0368587857491129</v>
      </c>
      <c r="AR408">
        <v>115.2292274366562</v>
      </c>
      <c r="AS408">
        <v>603.45000000000005</v>
      </c>
      <c r="AT408">
        <v>1</v>
      </c>
      <c r="AU408">
        <v>69.535077296650186</v>
      </c>
      <c r="AV408">
        <v>0.96209999999999996</v>
      </c>
      <c r="AW408" s="62">
        <v>66.900000000000006</v>
      </c>
      <c r="AX408">
        <v>8.9176000000000002</v>
      </c>
      <c r="AY408">
        <v>1</v>
      </c>
      <c r="AZ408">
        <v>5579.6748517596734</v>
      </c>
      <c r="BA408">
        <v>0.95992461065370505</v>
      </c>
      <c r="BB408" s="62">
        <v>5356.0672000000004</v>
      </c>
      <c r="BC408" s="60">
        <v>2258.4911079826602</v>
      </c>
    </row>
    <row r="409" spans="1:55" x14ac:dyDescent="0.25">
      <c r="A409">
        <v>93743</v>
      </c>
      <c r="B409" t="s">
        <v>114</v>
      </c>
      <c r="C409">
        <v>2018</v>
      </c>
      <c r="D409">
        <v>10</v>
      </c>
      <c r="E409" t="s">
        <v>100</v>
      </c>
      <c r="F409" t="s">
        <v>426</v>
      </c>
      <c r="G409" t="s">
        <v>84</v>
      </c>
      <c r="H409" t="s">
        <v>381</v>
      </c>
      <c r="I409" t="s">
        <v>427</v>
      </c>
      <c r="J409">
        <v>-9.5507299999999997</v>
      </c>
      <c r="K409" t="s">
        <v>440</v>
      </c>
      <c r="L409" t="s">
        <v>384</v>
      </c>
      <c r="M409">
        <v>4.5811354346740003E-2</v>
      </c>
      <c r="N409">
        <v>0.43753187630004009</v>
      </c>
      <c r="O409">
        <v>30169.468000000001</v>
      </c>
      <c r="P409">
        <v>4.8744250000000003E-6</v>
      </c>
      <c r="Q409">
        <v>0.29411799999999999</v>
      </c>
      <c r="R409" s="60">
        <v>0.12868600039361519</v>
      </c>
      <c r="S409" t="s">
        <v>346</v>
      </c>
      <c r="T409" t="s">
        <v>436</v>
      </c>
      <c r="U409" t="s">
        <v>425</v>
      </c>
      <c r="V409" t="s">
        <v>81</v>
      </c>
      <c r="W409">
        <v>111.133</v>
      </c>
      <c r="X409">
        <v>1.0368587857491129</v>
      </c>
      <c r="Y409">
        <v>115.2292274366562</v>
      </c>
      <c r="Z409">
        <v>603.45000000000005</v>
      </c>
      <c r="AA409">
        <v>1</v>
      </c>
      <c r="AB409">
        <v>69.535077296650186</v>
      </c>
      <c r="AC409">
        <v>0.90990000000000004</v>
      </c>
      <c r="AD409" s="62">
        <v>63.27</v>
      </c>
      <c r="AE409">
        <v>8.9176000000000002</v>
      </c>
      <c r="AF409">
        <v>9.2462919077962926</v>
      </c>
      <c r="AG409">
        <v>1</v>
      </c>
      <c r="AH409">
        <v>5579.6748517596734</v>
      </c>
      <c r="AI409">
        <v>1.053620848708487</v>
      </c>
      <c r="AJ409" s="62">
        <v>5878.8617999999997</v>
      </c>
      <c r="AK409" s="60">
        <v>756.52721190880925</v>
      </c>
      <c r="AL409" t="s">
        <v>346</v>
      </c>
      <c r="AM409" t="s">
        <v>436</v>
      </c>
      <c r="AN409" t="s">
        <v>425</v>
      </c>
      <c r="AO409" t="s">
        <v>81</v>
      </c>
      <c r="AP409">
        <v>111.133</v>
      </c>
      <c r="AQ409">
        <v>1.0368587857491129</v>
      </c>
      <c r="AR409">
        <v>115.2292274366562</v>
      </c>
      <c r="AS409">
        <v>603.45000000000005</v>
      </c>
      <c r="AT409">
        <v>1</v>
      </c>
      <c r="AU409">
        <v>69.535077296650186</v>
      </c>
      <c r="AV409">
        <v>0.90990000000000004</v>
      </c>
      <c r="AW409" s="62">
        <v>63.27</v>
      </c>
      <c r="AX409">
        <v>8.9176000000000002</v>
      </c>
      <c r="AY409">
        <v>1</v>
      </c>
      <c r="AZ409">
        <v>5579.6748517596734</v>
      </c>
      <c r="BA409">
        <v>1.053620848708487</v>
      </c>
      <c r="BB409" s="62">
        <v>5878.8617999999997</v>
      </c>
      <c r="BC409" s="60">
        <v>756.52721190880925</v>
      </c>
    </row>
    <row r="410" spans="1:55" x14ac:dyDescent="0.25">
      <c r="A410">
        <v>93745</v>
      </c>
      <c r="B410" t="s">
        <v>114</v>
      </c>
      <c r="C410">
        <v>2018</v>
      </c>
      <c r="D410">
        <v>10</v>
      </c>
      <c r="E410" t="s">
        <v>100</v>
      </c>
      <c r="F410" t="s">
        <v>426</v>
      </c>
      <c r="G410" t="s">
        <v>84</v>
      </c>
      <c r="H410" t="s">
        <v>381</v>
      </c>
      <c r="I410" t="s">
        <v>427</v>
      </c>
      <c r="J410">
        <v>-9.5507299999999997</v>
      </c>
      <c r="K410" t="s">
        <v>440</v>
      </c>
      <c r="L410" t="s">
        <v>385</v>
      </c>
      <c r="M410">
        <v>0.43232641346992001</v>
      </c>
      <c r="N410">
        <v>4.1290328469195687</v>
      </c>
      <c r="O410">
        <v>30169.468000000001</v>
      </c>
      <c r="P410">
        <v>4.8744250000000003E-6</v>
      </c>
      <c r="Q410">
        <v>0.29411799999999999</v>
      </c>
      <c r="R410" s="60">
        <v>1.2144228828702901</v>
      </c>
      <c r="S410" t="s">
        <v>346</v>
      </c>
      <c r="T410" t="s">
        <v>436</v>
      </c>
      <c r="U410" t="s">
        <v>425</v>
      </c>
      <c r="V410" t="s">
        <v>27</v>
      </c>
      <c r="W410">
        <v>111.133</v>
      </c>
      <c r="X410">
        <v>1.0368587857491129</v>
      </c>
      <c r="Y410">
        <v>115.2292274366562</v>
      </c>
      <c r="Z410">
        <v>603.45000000000005</v>
      </c>
      <c r="AA410">
        <v>1</v>
      </c>
      <c r="AB410">
        <v>69.535077296650186</v>
      </c>
      <c r="AC410">
        <v>0.93979999999999997</v>
      </c>
      <c r="AD410" s="62">
        <v>65.349000000000004</v>
      </c>
      <c r="AE410">
        <v>8.9176000000000002</v>
      </c>
      <c r="AF410">
        <v>9.2462919077962926</v>
      </c>
      <c r="AG410">
        <v>1</v>
      </c>
      <c r="AH410">
        <v>5579.6748517596734</v>
      </c>
      <c r="AI410">
        <v>0.95477850697292876</v>
      </c>
      <c r="AJ410" s="62">
        <v>5327.3536000000004</v>
      </c>
      <c r="AK410" s="60">
        <v>6469.6601169814166</v>
      </c>
      <c r="AL410" t="s">
        <v>346</v>
      </c>
      <c r="AM410" t="s">
        <v>436</v>
      </c>
      <c r="AN410" t="s">
        <v>425</v>
      </c>
      <c r="AO410" t="s">
        <v>27</v>
      </c>
      <c r="AP410">
        <v>111.133</v>
      </c>
      <c r="AQ410">
        <v>1.0368587857491129</v>
      </c>
      <c r="AR410">
        <v>115.2292274366562</v>
      </c>
      <c r="AS410">
        <v>603.45000000000005</v>
      </c>
      <c r="AT410">
        <v>1</v>
      </c>
      <c r="AU410">
        <v>69.535077296650186</v>
      </c>
      <c r="AV410">
        <v>0.93979999999999997</v>
      </c>
      <c r="AW410" s="62">
        <v>65.349000000000004</v>
      </c>
      <c r="AX410">
        <v>8.9176000000000002</v>
      </c>
      <c r="AY410">
        <v>1</v>
      </c>
      <c r="AZ410">
        <v>5579.6748517596734</v>
      </c>
      <c r="BA410">
        <v>0.95477850697292876</v>
      </c>
      <c r="BB410" s="62">
        <v>5327.3536000000004</v>
      </c>
      <c r="BC410" s="60">
        <v>6469.6601169814166</v>
      </c>
    </row>
    <row r="411" spans="1:55" x14ac:dyDescent="0.25">
      <c r="A411">
        <v>93747</v>
      </c>
      <c r="B411" t="s">
        <v>114</v>
      </c>
      <c r="C411">
        <v>2018</v>
      </c>
      <c r="D411">
        <v>10</v>
      </c>
      <c r="E411" t="s">
        <v>100</v>
      </c>
      <c r="F411" t="s">
        <v>426</v>
      </c>
      <c r="G411" t="s">
        <v>84</v>
      </c>
      <c r="H411" t="s">
        <v>381</v>
      </c>
      <c r="I411" t="s">
        <v>427</v>
      </c>
      <c r="J411">
        <v>-9.5507299999999997</v>
      </c>
      <c r="K411" t="s">
        <v>440</v>
      </c>
      <c r="L411" t="s">
        <v>451</v>
      </c>
      <c r="M411">
        <v>1.6825115802299999E-3</v>
      </c>
      <c r="N411">
        <v>1.6069213824650069E-2</v>
      </c>
      <c r="O411">
        <v>30169.468000000001</v>
      </c>
      <c r="P411">
        <v>4.8744250000000003E-6</v>
      </c>
      <c r="Q411">
        <v>0.29411799999999999</v>
      </c>
      <c r="R411" s="60">
        <v>4.7262450316784277E-3</v>
      </c>
      <c r="S411" t="s">
        <v>346</v>
      </c>
      <c r="T411" t="s">
        <v>436</v>
      </c>
      <c r="U411" t="s">
        <v>425</v>
      </c>
      <c r="V411" t="s">
        <v>91</v>
      </c>
      <c r="W411">
        <v>111.133</v>
      </c>
      <c r="X411">
        <v>1.0368587857491129</v>
      </c>
      <c r="Y411">
        <v>115.2292274366562</v>
      </c>
      <c r="Z411">
        <v>603.45000000000005</v>
      </c>
      <c r="AA411">
        <v>1</v>
      </c>
      <c r="AB411">
        <v>69.535077296650186</v>
      </c>
      <c r="AC411">
        <v>0.99250000000000005</v>
      </c>
      <c r="AD411" s="62">
        <v>69.013999999999996</v>
      </c>
      <c r="AE411">
        <v>8.9176000000000002</v>
      </c>
      <c r="AF411">
        <v>9.2462919077962926</v>
      </c>
      <c r="AG411">
        <v>1</v>
      </c>
      <c r="AH411">
        <v>5579.6748517596734</v>
      </c>
      <c r="AI411">
        <v>0.96573604060913698</v>
      </c>
      <c r="AJ411" s="62">
        <v>5388.4930999999997</v>
      </c>
      <c r="AK411" s="60">
        <v>25.467338742108488</v>
      </c>
      <c r="AL411" t="s">
        <v>346</v>
      </c>
      <c r="AM411" t="s">
        <v>436</v>
      </c>
      <c r="AN411" t="s">
        <v>425</v>
      </c>
      <c r="AO411" t="s">
        <v>91</v>
      </c>
      <c r="AP411">
        <v>111.133</v>
      </c>
      <c r="AQ411">
        <v>1.0368587857491129</v>
      </c>
      <c r="AR411">
        <v>115.2292274366562</v>
      </c>
      <c r="AS411">
        <v>603.45000000000005</v>
      </c>
      <c r="AT411">
        <v>1</v>
      </c>
      <c r="AU411">
        <v>69.535077296650186</v>
      </c>
      <c r="AV411">
        <v>0.99250000000000005</v>
      </c>
      <c r="AW411" s="62">
        <v>69.013999999999996</v>
      </c>
      <c r="AX411">
        <v>8.9176000000000002</v>
      </c>
      <c r="AY411">
        <v>1</v>
      </c>
      <c r="AZ411">
        <v>5579.6748517596734</v>
      </c>
      <c r="BA411">
        <v>0.96573604060913698</v>
      </c>
      <c r="BB411" s="62">
        <v>5388.4930999999997</v>
      </c>
      <c r="BC411" s="60">
        <v>25.467338742108488</v>
      </c>
    </row>
    <row r="412" spans="1:55" x14ac:dyDescent="0.25">
      <c r="A412">
        <v>93749</v>
      </c>
      <c r="B412" t="s">
        <v>114</v>
      </c>
      <c r="C412">
        <v>2018</v>
      </c>
      <c r="D412">
        <v>10</v>
      </c>
      <c r="E412" t="s">
        <v>100</v>
      </c>
      <c r="F412" t="s">
        <v>426</v>
      </c>
      <c r="G412" t="s">
        <v>84</v>
      </c>
      <c r="H412" t="s">
        <v>381</v>
      </c>
      <c r="I412" t="s">
        <v>427</v>
      </c>
      <c r="J412">
        <v>-9.5507299999999997</v>
      </c>
      <c r="K412" t="s">
        <v>440</v>
      </c>
      <c r="L412" t="s">
        <v>452</v>
      </c>
      <c r="M412">
        <v>1.53682162831E-3</v>
      </c>
      <c r="N412">
        <v>1.4677768430149171E-2</v>
      </c>
      <c r="O412">
        <v>30169.468000000001</v>
      </c>
      <c r="P412">
        <v>4.8744250000000003E-6</v>
      </c>
      <c r="Q412">
        <v>0.29411799999999999</v>
      </c>
      <c r="R412" s="60">
        <v>4.3169958951386122E-3</v>
      </c>
      <c r="S412" t="s">
        <v>346</v>
      </c>
      <c r="T412" t="s">
        <v>436</v>
      </c>
      <c r="U412" t="s">
        <v>425</v>
      </c>
      <c r="V412" t="s">
        <v>28</v>
      </c>
      <c r="W412">
        <v>111.133</v>
      </c>
      <c r="X412">
        <v>1.0368587857491129</v>
      </c>
      <c r="Y412">
        <v>115.2292274366562</v>
      </c>
      <c r="Z412">
        <v>603.45000000000005</v>
      </c>
      <c r="AA412">
        <v>1</v>
      </c>
      <c r="AB412">
        <v>69.535077296650186</v>
      </c>
      <c r="AC412">
        <v>0.99760000000000004</v>
      </c>
      <c r="AD412" s="62">
        <v>69.367999999999995</v>
      </c>
      <c r="AE412">
        <v>8.9176000000000002</v>
      </c>
      <c r="AF412">
        <v>9.2462919077962926</v>
      </c>
      <c r="AG412">
        <v>1</v>
      </c>
      <c r="AH412">
        <v>5579.6748517596734</v>
      </c>
      <c r="AI412">
        <v>0.96062216971844849</v>
      </c>
      <c r="AJ412" s="62">
        <v>5359.9593999999997</v>
      </c>
      <c r="AK412" s="60">
        <v>23.13892272790962</v>
      </c>
      <c r="AL412" t="s">
        <v>346</v>
      </c>
      <c r="AM412" t="s">
        <v>436</v>
      </c>
      <c r="AN412" t="s">
        <v>425</v>
      </c>
      <c r="AO412" t="s">
        <v>28</v>
      </c>
      <c r="AP412">
        <v>111.133</v>
      </c>
      <c r="AQ412">
        <v>1.0368587857491129</v>
      </c>
      <c r="AR412">
        <v>115.2292274366562</v>
      </c>
      <c r="AS412">
        <v>603.45000000000005</v>
      </c>
      <c r="AT412">
        <v>1</v>
      </c>
      <c r="AU412">
        <v>69.535077296650186</v>
      </c>
      <c r="AV412">
        <v>0.99760000000000004</v>
      </c>
      <c r="AW412" s="62">
        <v>69.367999999999995</v>
      </c>
      <c r="AX412">
        <v>8.9176000000000002</v>
      </c>
      <c r="AY412">
        <v>1</v>
      </c>
      <c r="AZ412">
        <v>5579.6748517596734</v>
      </c>
      <c r="BA412">
        <v>0.96062216971844849</v>
      </c>
      <c r="BB412" s="62">
        <v>5359.9593999999997</v>
      </c>
      <c r="BC412" s="60">
        <v>23.13892272790962</v>
      </c>
    </row>
    <row r="413" spans="1:55" x14ac:dyDescent="0.25">
      <c r="A413">
        <v>93751</v>
      </c>
      <c r="B413" t="s">
        <v>114</v>
      </c>
      <c r="C413">
        <v>2018</v>
      </c>
      <c r="D413">
        <v>10</v>
      </c>
      <c r="E413" t="s">
        <v>100</v>
      </c>
      <c r="F413" t="s">
        <v>426</v>
      </c>
      <c r="G413" t="s">
        <v>84</v>
      </c>
      <c r="H413" t="s">
        <v>87</v>
      </c>
      <c r="I413" t="s">
        <v>427</v>
      </c>
      <c r="J413">
        <v>-1.7550300000000001</v>
      </c>
      <c r="K413" t="s">
        <v>440</v>
      </c>
      <c r="L413" t="s">
        <v>450</v>
      </c>
      <c r="M413">
        <v>0.26601384014995</v>
      </c>
      <c r="N413">
        <v>0.46686226987836671</v>
      </c>
      <c r="O413">
        <v>30169.468000000001</v>
      </c>
      <c r="P413">
        <v>4.8744250000000003E-6</v>
      </c>
      <c r="Q413">
        <v>0.29411799999999999</v>
      </c>
      <c r="R413" s="60">
        <v>0.13731259709208549</v>
      </c>
      <c r="S413" t="s">
        <v>346</v>
      </c>
      <c r="T413" t="s">
        <v>436</v>
      </c>
      <c r="U413" t="s">
        <v>425</v>
      </c>
      <c r="V413" t="s">
        <v>26</v>
      </c>
      <c r="W413">
        <v>111.133</v>
      </c>
      <c r="X413">
        <v>1.0368587857491129</v>
      </c>
      <c r="Y413">
        <v>115.2292274366562</v>
      </c>
      <c r="Z413">
        <v>603.45000000000005</v>
      </c>
      <c r="AA413">
        <v>1</v>
      </c>
      <c r="AB413">
        <v>69.535077296650186</v>
      </c>
      <c r="AC413">
        <v>0.96209999999999996</v>
      </c>
      <c r="AD413" s="62">
        <v>66.900000000000006</v>
      </c>
      <c r="AE413">
        <v>8.9176000000000002</v>
      </c>
      <c r="AF413">
        <v>9.2462919077962926</v>
      </c>
      <c r="AG413">
        <v>1</v>
      </c>
      <c r="AH413">
        <v>5579.6748517596734</v>
      </c>
      <c r="AI413">
        <v>0.95992461065370505</v>
      </c>
      <c r="AJ413" s="62">
        <v>5356.0672000000004</v>
      </c>
      <c r="AK413" s="60">
        <v>735.45549743173433</v>
      </c>
      <c r="AL413" t="s">
        <v>346</v>
      </c>
      <c r="AM413" t="s">
        <v>436</v>
      </c>
      <c r="AN413" t="s">
        <v>425</v>
      </c>
      <c r="AO413" t="s">
        <v>26</v>
      </c>
      <c r="AP413">
        <v>111.133</v>
      </c>
      <c r="AQ413">
        <v>1.0368587857491129</v>
      </c>
      <c r="AR413">
        <v>115.2292274366562</v>
      </c>
      <c r="AS413">
        <v>603.45000000000005</v>
      </c>
      <c r="AT413">
        <v>1</v>
      </c>
      <c r="AU413">
        <v>69.535077296650186</v>
      </c>
      <c r="AV413">
        <v>0.96209999999999996</v>
      </c>
      <c r="AW413" s="62">
        <v>66.900000000000006</v>
      </c>
      <c r="AX413">
        <v>8.9176000000000002</v>
      </c>
      <c r="AY413">
        <v>1</v>
      </c>
      <c r="AZ413">
        <v>5579.6748517596734</v>
      </c>
      <c r="BA413">
        <v>0.95992461065370505</v>
      </c>
      <c r="BB413" s="62">
        <v>5356.0672000000004</v>
      </c>
      <c r="BC413" s="60">
        <v>735.45549743173433</v>
      </c>
    </row>
    <row r="414" spans="1:55" x14ac:dyDescent="0.25">
      <c r="A414">
        <v>93753</v>
      </c>
      <c r="B414" t="s">
        <v>114</v>
      </c>
      <c r="C414">
        <v>2018</v>
      </c>
      <c r="D414">
        <v>10</v>
      </c>
      <c r="E414" t="s">
        <v>100</v>
      </c>
      <c r="F414" t="s">
        <v>426</v>
      </c>
      <c r="G414" t="s">
        <v>84</v>
      </c>
      <c r="H414" t="s">
        <v>87</v>
      </c>
      <c r="I414" t="s">
        <v>427</v>
      </c>
      <c r="J414">
        <v>-1.7550300000000001</v>
      </c>
      <c r="K414" t="s">
        <v>440</v>
      </c>
      <c r="L414" t="s">
        <v>384</v>
      </c>
      <c r="M414">
        <v>3.9509559941419997E-2</v>
      </c>
      <c r="N414">
        <v>6.9340462983990339E-2</v>
      </c>
      <c r="O414">
        <v>30169.468000000001</v>
      </c>
      <c r="P414">
        <v>4.8744250000000003E-6</v>
      </c>
      <c r="Q414">
        <v>0.29411799999999999</v>
      </c>
      <c r="R414" s="60">
        <v>2.039427829192527E-2</v>
      </c>
      <c r="S414" t="s">
        <v>346</v>
      </c>
      <c r="T414" t="s">
        <v>436</v>
      </c>
      <c r="U414" t="s">
        <v>425</v>
      </c>
      <c r="V414" t="s">
        <v>81</v>
      </c>
      <c r="W414">
        <v>111.133</v>
      </c>
      <c r="X414">
        <v>1.0368587857491129</v>
      </c>
      <c r="Y414">
        <v>115.2292274366562</v>
      </c>
      <c r="Z414">
        <v>603.45000000000005</v>
      </c>
      <c r="AA414">
        <v>1</v>
      </c>
      <c r="AB414">
        <v>69.535077296650186</v>
      </c>
      <c r="AC414">
        <v>0.90990000000000004</v>
      </c>
      <c r="AD414" s="62">
        <v>63.27</v>
      </c>
      <c r="AE414">
        <v>8.9176000000000002</v>
      </c>
      <c r="AF414">
        <v>9.2462919077962926</v>
      </c>
      <c r="AG414">
        <v>1</v>
      </c>
      <c r="AH414">
        <v>5579.6748517596734</v>
      </c>
      <c r="AI414">
        <v>1.053620848708487</v>
      </c>
      <c r="AJ414" s="62">
        <v>5878.8617999999997</v>
      </c>
      <c r="AK414" s="60">
        <v>119.89514358896869</v>
      </c>
      <c r="AL414" t="s">
        <v>346</v>
      </c>
      <c r="AM414" t="s">
        <v>436</v>
      </c>
      <c r="AN414" t="s">
        <v>425</v>
      </c>
      <c r="AO414" t="s">
        <v>81</v>
      </c>
      <c r="AP414">
        <v>111.133</v>
      </c>
      <c r="AQ414">
        <v>1.0368587857491129</v>
      </c>
      <c r="AR414">
        <v>115.2292274366562</v>
      </c>
      <c r="AS414">
        <v>603.45000000000005</v>
      </c>
      <c r="AT414">
        <v>1</v>
      </c>
      <c r="AU414">
        <v>69.535077296650186</v>
      </c>
      <c r="AV414">
        <v>0.90990000000000004</v>
      </c>
      <c r="AW414" s="62">
        <v>63.27</v>
      </c>
      <c r="AX414">
        <v>8.9176000000000002</v>
      </c>
      <c r="AY414">
        <v>1</v>
      </c>
      <c r="AZ414">
        <v>5579.6748517596734</v>
      </c>
      <c r="BA414">
        <v>1.053620848708487</v>
      </c>
      <c r="BB414" s="62">
        <v>5878.8617999999997</v>
      </c>
      <c r="BC414" s="60">
        <v>119.89514358896869</v>
      </c>
    </row>
    <row r="415" spans="1:55" x14ac:dyDescent="0.25">
      <c r="A415">
        <v>93755</v>
      </c>
      <c r="B415" t="s">
        <v>114</v>
      </c>
      <c r="C415">
        <v>2018</v>
      </c>
      <c r="D415">
        <v>10</v>
      </c>
      <c r="E415" t="s">
        <v>100</v>
      </c>
      <c r="F415" t="s">
        <v>426</v>
      </c>
      <c r="G415" t="s">
        <v>84</v>
      </c>
      <c r="H415" t="s">
        <v>87</v>
      </c>
      <c r="I415" t="s">
        <v>427</v>
      </c>
      <c r="J415">
        <v>-1.7550300000000001</v>
      </c>
      <c r="K415" t="s">
        <v>440</v>
      </c>
      <c r="L415" t="s">
        <v>385</v>
      </c>
      <c r="M415">
        <v>0.39737542925016001</v>
      </c>
      <c r="N415">
        <v>0.69740579959690829</v>
      </c>
      <c r="O415">
        <v>30169.468000000001</v>
      </c>
      <c r="P415">
        <v>4.8744250000000003E-6</v>
      </c>
      <c r="Q415">
        <v>0.29411799999999999</v>
      </c>
      <c r="R415" s="60">
        <v>0.2051195989658435</v>
      </c>
      <c r="S415" t="s">
        <v>346</v>
      </c>
      <c r="T415" t="s">
        <v>436</v>
      </c>
      <c r="U415" t="s">
        <v>425</v>
      </c>
      <c r="V415" t="s">
        <v>27</v>
      </c>
      <c r="W415">
        <v>111.133</v>
      </c>
      <c r="X415">
        <v>1.0368587857491129</v>
      </c>
      <c r="Y415">
        <v>115.2292274366562</v>
      </c>
      <c r="Z415">
        <v>603.45000000000005</v>
      </c>
      <c r="AA415">
        <v>1</v>
      </c>
      <c r="AB415">
        <v>69.535077296650186</v>
      </c>
      <c r="AC415">
        <v>0.93979999999999997</v>
      </c>
      <c r="AD415" s="62">
        <v>65.349000000000004</v>
      </c>
      <c r="AE415">
        <v>8.9176000000000002</v>
      </c>
      <c r="AF415">
        <v>9.2462919077962926</v>
      </c>
      <c r="AG415">
        <v>1</v>
      </c>
      <c r="AH415">
        <v>5579.6748517596734</v>
      </c>
      <c r="AI415">
        <v>0.95477850697292876</v>
      </c>
      <c r="AJ415" s="62">
        <v>5327.3536000000004</v>
      </c>
      <c r="AK415" s="60">
        <v>1092.744633981242</v>
      </c>
      <c r="AL415" t="s">
        <v>346</v>
      </c>
      <c r="AM415" t="s">
        <v>436</v>
      </c>
      <c r="AN415" t="s">
        <v>425</v>
      </c>
      <c r="AO415" t="s">
        <v>27</v>
      </c>
      <c r="AP415">
        <v>111.133</v>
      </c>
      <c r="AQ415">
        <v>1.0368587857491129</v>
      </c>
      <c r="AR415">
        <v>115.2292274366562</v>
      </c>
      <c r="AS415">
        <v>603.45000000000005</v>
      </c>
      <c r="AT415">
        <v>1</v>
      </c>
      <c r="AU415">
        <v>69.535077296650186</v>
      </c>
      <c r="AV415">
        <v>0.93979999999999997</v>
      </c>
      <c r="AW415" s="62">
        <v>65.349000000000004</v>
      </c>
      <c r="AX415">
        <v>8.9176000000000002</v>
      </c>
      <c r="AY415">
        <v>1</v>
      </c>
      <c r="AZ415">
        <v>5579.6748517596734</v>
      </c>
      <c r="BA415">
        <v>0.95477850697292876</v>
      </c>
      <c r="BB415" s="62">
        <v>5327.3536000000004</v>
      </c>
      <c r="BC415" s="60">
        <v>1092.744633981242</v>
      </c>
    </row>
    <row r="416" spans="1:55" x14ac:dyDescent="0.25">
      <c r="A416">
        <v>93757</v>
      </c>
      <c r="B416" t="s">
        <v>114</v>
      </c>
      <c r="C416">
        <v>2018</v>
      </c>
      <c r="D416">
        <v>10</v>
      </c>
      <c r="E416" t="s">
        <v>100</v>
      </c>
      <c r="F416" t="s">
        <v>426</v>
      </c>
      <c r="G416" t="s">
        <v>84</v>
      </c>
      <c r="H416" t="s">
        <v>87</v>
      </c>
      <c r="I416" t="s">
        <v>427</v>
      </c>
      <c r="J416">
        <v>-1.7550300000000001</v>
      </c>
      <c r="K416" t="s">
        <v>440</v>
      </c>
      <c r="L416" t="s">
        <v>452</v>
      </c>
      <c r="M416">
        <v>8.4248020759000004E-4</v>
      </c>
      <c r="N416">
        <v>1.478578038726678E-3</v>
      </c>
      <c r="O416">
        <v>30169.468000000001</v>
      </c>
      <c r="P416">
        <v>4.8744250000000003E-6</v>
      </c>
      <c r="Q416">
        <v>0.29411799999999999</v>
      </c>
      <c r="R416" s="60">
        <v>4.3487641559421302E-4</v>
      </c>
      <c r="S416" t="s">
        <v>346</v>
      </c>
      <c r="T416" t="s">
        <v>436</v>
      </c>
      <c r="U416" t="s">
        <v>425</v>
      </c>
      <c r="V416" t="s">
        <v>28</v>
      </c>
      <c r="W416">
        <v>111.133</v>
      </c>
      <c r="X416">
        <v>1.0368587857491129</v>
      </c>
      <c r="Y416">
        <v>115.2292274366562</v>
      </c>
      <c r="Z416">
        <v>603.45000000000005</v>
      </c>
      <c r="AA416">
        <v>1</v>
      </c>
      <c r="AB416">
        <v>69.535077296650186</v>
      </c>
      <c r="AC416">
        <v>0.99760000000000004</v>
      </c>
      <c r="AD416" s="62">
        <v>69.367999999999995</v>
      </c>
      <c r="AE416">
        <v>8.9176000000000002</v>
      </c>
      <c r="AF416">
        <v>9.2462919077962926</v>
      </c>
      <c r="AG416">
        <v>1</v>
      </c>
      <c r="AH416">
        <v>5579.6748517596734</v>
      </c>
      <c r="AI416">
        <v>0.96062216971844849</v>
      </c>
      <c r="AJ416" s="62">
        <v>5359.9593999999997</v>
      </c>
      <c r="AK416" s="60">
        <v>2.3309199316025082</v>
      </c>
      <c r="AL416" t="s">
        <v>346</v>
      </c>
      <c r="AM416" t="s">
        <v>436</v>
      </c>
      <c r="AN416" t="s">
        <v>425</v>
      </c>
      <c r="AO416" t="s">
        <v>28</v>
      </c>
      <c r="AP416">
        <v>111.133</v>
      </c>
      <c r="AQ416">
        <v>1.0368587857491129</v>
      </c>
      <c r="AR416">
        <v>115.2292274366562</v>
      </c>
      <c r="AS416">
        <v>603.45000000000005</v>
      </c>
      <c r="AT416">
        <v>1</v>
      </c>
      <c r="AU416">
        <v>69.535077296650186</v>
      </c>
      <c r="AV416">
        <v>0.99760000000000004</v>
      </c>
      <c r="AW416" s="62">
        <v>69.367999999999995</v>
      </c>
      <c r="AX416">
        <v>8.9176000000000002</v>
      </c>
      <c r="AY416">
        <v>1</v>
      </c>
      <c r="AZ416">
        <v>5579.6748517596734</v>
      </c>
      <c r="BA416">
        <v>0.96062216971844849</v>
      </c>
      <c r="BB416" s="62">
        <v>5359.9593999999997</v>
      </c>
      <c r="BC416" s="60">
        <v>2.3309199316025082</v>
      </c>
    </row>
    <row r="417" spans="1:55" x14ac:dyDescent="0.25">
      <c r="A417">
        <v>93759</v>
      </c>
      <c r="B417" t="s">
        <v>114</v>
      </c>
      <c r="C417">
        <v>2018</v>
      </c>
      <c r="D417">
        <v>10</v>
      </c>
      <c r="E417" t="s">
        <v>100</v>
      </c>
      <c r="F417" t="s">
        <v>426</v>
      </c>
      <c r="G417" t="s">
        <v>84</v>
      </c>
      <c r="H417" t="s">
        <v>59</v>
      </c>
      <c r="I417" t="s">
        <v>427</v>
      </c>
      <c r="J417">
        <v>-5.0464000000000002</v>
      </c>
      <c r="K417" t="s">
        <v>440</v>
      </c>
      <c r="L417" t="s">
        <v>450</v>
      </c>
      <c r="M417">
        <v>0.15931709696460999</v>
      </c>
      <c r="N417">
        <v>0.80397779812220793</v>
      </c>
      <c r="O417">
        <v>30169.468000000001</v>
      </c>
      <c r="P417">
        <v>4.8744250000000003E-6</v>
      </c>
      <c r="Q417">
        <v>0.29411799999999999</v>
      </c>
      <c r="R417" s="60">
        <v>0.23646434202810751</v>
      </c>
      <c r="S417" t="s">
        <v>346</v>
      </c>
      <c r="T417" t="s">
        <v>436</v>
      </c>
      <c r="U417" t="s">
        <v>425</v>
      </c>
      <c r="V417" t="s">
        <v>26</v>
      </c>
      <c r="W417">
        <v>111.133</v>
      </c>
      <c r="X417">
        <v>1.0368587857491129</v>
      </c>
      <c r="Y417">
        <v>115.2292274366562</v>
      </c>
      <c r="Z417">
        <v>603.45000000000005</v>
      </c>
      <c r="AA417">
        <v>1</v>
      </c>
      <c r="AB417">
        <v>69.535077296650186</v>
      </c>
      <c r="AC417">
        <v>0.96209999999999996</v>
      </c>
      <c r="AD417" s="62">
        <v>66.900000000000006</v>
      </c>
      <c r="AE417">
        <v>8.9176000000000002</v>
      </c>
      <c r="AF417">
        <v>9.2462919077962926</v>
      </c>
      <c r="AG417">
        <v>1</v>
      </c>
      <c r="AH417">
        <v>5579.6748517596734</v>
      </c>
      <c r="AI417">
        <v>0.95992461065370505</v>
      </c>
      <c r="AJ417" s="62">
        <v>5356.0672000000004</v>
      </c>
      <c r="AK417" s="60">
        <v>1266.5189063063281</v>
      </c>
      <c r="AL417" t="s">
        <v>346</v>
      </c>
      <c r="AM417" t="s">
        <v>436</v>
      </c>
      <c r="AN417" t="s">
        <v>425</v>
      </c>
      <c r="AO417" t="s">
        <v>26</v>
      </c>
      <c r="AP417">
        <v>111.133</v>
      </c>
      <c r="AQ417">
        <v>1.0368587857491129</v>
      </c>
      <c r="AR417">
        <v>115.2292274366562</v>
      </c>
      <c r="AS417">
        <v>603.45000000000005</v>
      </c>
      <c r="AT417">
        <v>1</v>
      </c>
      <c r="AU417">
        <v>69.535077296650186</v>
      </c>
      <c r="AV417">
        <v>0.96209999999999996</v>
      </c>
      <c r="AW417" s="62">
        <v>66.900000000000006</v>
      </c>
      <c r="AX417">
        <v>8.9176000000000002</v>
      </c>
      <c r="AY417">
        <v>1</v>
      </c>
      <c r="AZ417">
        <v>5579.6748517596734</v>
      </c>
      <c r="BA417">
        <v>0.95992461065370505</v>
      </c>
      <c r="BB417" s="62">
        <v>5356.0672000000004</v>
      </c>
      <c r="BC417" s="60">
        <v>1266.5189063063281</v>
      </c>
    </row>
    <row r="418" spans="1:55" x14ac:dyDescent="0.25">
      <c r="A418">
        <v>93761</v>
      </c>
      <c r="B418" t="s">
        <v>114</v>
      </c>
      <c r="C418">
        <v>2018</v>
      </c>
      <c r="D418">
        <v>10</v>
      </c>
      <c r="E418" t="s">
        <v>100</v>
      </c>
      <c r="F418" t="s">
        <v>426</v>
      </c>
      <c r="G418" t="s">
        <v>84</v>
      </c>
      <c r="H418" t="s">
        <v>59</v>
      </c>
      <c r="I418" t="s">
        <v>427</v>
      </c>
      <c r="J418">
        <v>-5.0464000000000002</v>
      </c>
      <c r="K418" t="s">
        <v>440</v>
      </c>
      <c r="L418" t="s">
        <v>384</v>
      </c>
      <c r="M418">
        <v>4.1785183859599999E-2</v>
      </c>
      <c r="N418">
        <v>0.21086475182908551</v>
      </c>
      <c r="O418">
        <v>30169.468000000001</v>
      </c>
      <c r="P418">
        <v>4.8744250000000003E-6</v>
      </c>
      <c r="Q418">
        <v>0.29411799999999999</v>
      </c>
      <c r="R418" s="60">
        <v>6.2019119078466953E-2</v>
      </c>
      <c r="S418" t="s">
        <v>346</v>
      </c>
      <c r="T418" t="s">
        <v>436</v>
      </c>
      <c r="U418" t="s">
        <v>425</v>
      </c>
      <c r="V418" t="s">
        <v>81</v>
      </c>
      <c r="W418">
        <v>111.133</v>
      </c>
      <c r="X418">
        <v>1.0368587857491129</v>
      </c>
      <c r="Y418">
        <v>115.2292274366562</v>
      </c>
      <c r="Z418">
        <v>603.45000000000005</v>
      </c>
      <c r="AA418">
        <v>1</v>
      </c>
      <c r="AB418">
        <v>69.535077296650186</v>
      </c>
      <c r="AC418">
        <v>0.90990000000000004</v>
      </c>
      <c r="AD418" s="62">
        <v>63.27</v>
      </c>
      <c r="AE418">
        <v>8.9176000000000002</v>
      </c>
      <c r="AF418">
        <v>9.2462919077962926</v>
      </c>
      <c r="AG418">
        <v>1</v>
      </c>
      <c r="AH418">
        <v>5579.6748517596734</v>
      </c>
      <c r="AI418">
        <v>1.053620848708487</v>
      </c>
      <c r="AJ418" s="62">
        <v>5878.8617999999997</v>
      </c>
      <c r="AK418" s="60">
        <v>364.60183002005061</v>
      </c>
      <c r="AL418" t="s">
        <v>346</v>
      </c>
      <c r="AM418" t="s">
        <v>436</v>
      </c>
      <c r="AN418" t="s">
        <v>425</v>
      </c>
      <c r="AO418" t="s">
        <v>81</v>
      </c>
      <c r="AP418">
        <v>111.133</v>
      </c>
      <c r="AQ418">
        <v>1.0368587857491129</v>
      </c>
      <c r="AR418">
        <v>115.2292274366562</v>
      </c>
      <c r="AS418">
        <v>603.45000000000005</v>
      </c>
      <c r="AT418">
        <v>1</v>
      </c>
      <c r="AU418">
        <v>69.535077296650186</v>
      </c>
      <c r="AV418">
        <v>0.90990000000000004</v>
      </c>
      <c r="AW418" s="62">
        <v>63.27</v>
      </c>
      <c r="AX418">
        <v>8.9176000000000002</v>
      </c>
      <c r="AY418">
        <v>1</v>
      </c>
      <c r="AZ418">
        <v>5579.6748517596734</v>
      </c>
      <c r="BA418">
        <v>1.053620848708487</v>
      </c>
      <c r="BB418" s="62">
        <v>5878.8617999999997</v>
      </c>
      <c r="BC418" s="60">
        <v>364.60183002005061</v>
      </c>
    </row>
    <row r="419" spans="1:55" x14ac:dyDescent="0.25">
      <c r="A419">
        <v>93763</v>
      </c>
      <c r="B419" t="s">
        <v>114</v>
      </c>
      <c r="C419">
        <v>2018</v>
      </c>
      <c r="D419">
        <v>10</v>
      </c>
      <c r="E419" t="s">
        <v>100</v>
      </c>
      <c r="F419" t="s">
        <v>426</v>
      </c>
      <c r="G419" t="s">
        <v>84</v>
      </c>
      <c r="H419" t="s">
        <v>59</v>
      </c>
      <c r="I419" t="s">
        <v>427</v>
      </c>
      <c r="J419">
        <v>-5.0464000000000002</v>
      </c>
      <c r="K419" t="s">
        <v>440</v>
      </c>
      <c r="L419" t="s">
        <v>385</v>
      </c>
      <c r="M419">
        <v>0.43497567483749999</v>
      </c>
      <c r="N419">
        <v>2.1950612454999598</v>
      </c>
      <c r="O419">
        <v>30169.468000000001</v>
      </c>
      <c r="P419">
        <v>4.8744250000000003E-6</v>
      </c>
      <c r="Q419">
        <v>0.29411799999999999</v>
      </c>
      <c r="R419" s="60">
        <v>0.64560702340395715</v>
      </c>
      <c r="S419" t="s">
        <v>346</v>
      </c>
      <c r="T419" t="s">
        <v>436</v>
      </c>
      <c r="U419" t="s">
        <v>425</v>
      </c>
      <c r="V419" t="s">
        <v>27</v>
      </c>
      <c r="W419">
        <v>111.133</v>
      </c>
      <c r="X419">
        <v>1.0368587857491129</v>
      </c>
      <c r="Y419">
        <v>115.2292274366562</v>
      </c>
      <c r="Z419">
        <v>603.45000000000005</v>
      </c>
      <c r="AA419">
        <v>1</v>
      </c>
      <c r="AB419">
        <v>69.535077296650186</v>
      </c>
      <c r="AC419">
        <v>0.93979999999999997</v>
      </c>
      <c r="AD419" s="62">
        <v>65.349000000000004</v>
      </c>
      <c r="AE419">
        <v>8.9176000000000002</v>
      </c>
      <c r="AF419">
        <v>9.2462919077962926</v>
      </c>
      <c r="AG419">
        <v>1</v>
      </c>
      <c r="AH419">
        <v>5579.6748517596734</v>
      </c>
      <c r="AI419">
        <v>0.95477850697292876</v>
      </c>
      <c r="AJ419" s="62">
        <v>5327.3536000000004</v>
      </c>
      <c r="AK419" s="60">
        <v>3439.3769003163561</v>
      </c>
      <c r="AL419" t="s">
        <v>346</v>
      </c>
      <c r="AM419" t="s">
        <v>436</v>
      </c>
      <c r="AN419" t="s">
        <v>425</v>
      </c>
      <c r="AO419" t="s">
        <v>27</v>
      </c>
      <c r="AP419">
        <v>111.133</v>
      </c>
      <c r="AQ419">
        <v>1.0368587857491129</v>
      </c>
      <c r="AR419">
        <v>115.2292274366562</v>
      </c>
      <c r="AS419">
        <v>603.45000000000005</v>
      </c>
      <c r="AT419">
        <v>1</v>
      </c>
      <c r="AU419">
        <v>69.535077296650186</v>
      </c>
      <c r="AV419">
        <v>0.93979999999999997</v>
      </c>
      <c r="AW419" s="62">
        <v>65.349000000000004</v>
      </c>
      <c r="AX419">
        <v>8.9176000000000002</v>
      </c>
      <c r="AY419">
        <v>1</v>
      </c>
      <c r="AZ419">
        <v>5579.6748517596734</v>
      </c>
      <c r="BA419">
        <v>0.95477850697292876</v>
      </c>
      <c r="BB419" s="62">
        <v>5327.3536000000004</v>
      </c>
      <c r="BC419" s="60">
        <v>3439.3769003163561</v>
      </c>
    </row>
    <row r="420" spans="1:55" x14ac:dyDescent="0.25">
      <c r="A420">
        <v>93765</v>
      </c>
      <c r="B420" t="s">
        <v>114</v>
      </c>
      <c r="C420">
        <v>2018</v>
      </c>
      <c r="D420">
        <v>10</v>
      </c>
      <c r="E420" t="s">
        <v>100</v>
      </c>
      <c r="F420" t="s">
        <v>426</v>
      </c>
      <c r="G420" t="s">
        <v>84</v>
      </c>
      <c r="H420" t="s">
        <v>59</v>
      </c>
      <c r="I420" t="s">
        <v>427</v>
      </c>
      <c r="J420">
        <v>-5.0464000000000002</v>
      </c>
      <c r="K420" t="s">
        <v>440</v>
      </c>
      <c r="L420" t="s">
        <v>451</v>
      </c>
      <c r="M420">
        <v>1.7625750762999999E-3</v>
      </c>
      <c r="N420">
        <v>8.8946588650403204E-3</v>
      </c>
      <c r="O420">
        <v>30169.468000000001</v>
      </c>
      <c r="P420">
        <v>4.8744250000000003E-6</v>
      </c>
      <c r="Q420">
        <v>0.29411799999999999</v>
      </c>
      <c r="R420" s="60">
        <v>2.6160792760679288E-3</v>
      </c>
      <c r="S420" t="s">
        <v>346</v>
      </c>
      <c r="T420" t="s">
        <v>436</v>
      </c>
      <c r="U420" t="s">
        <v>425</v>
      </c>
      <c r="V420" t="s">
        <v>91</v>
      </c>
      <c r="W420">
        <v>111.133</v>
      </c>
      <c r="X420">
        <v>1.0368587857491129</v>
      </c>
      <c r="Y420">
        <v>115.2292274366562</v>
      </c>
      <c r="Z420">
        <v>603.45000000000005</v>
      </c>
      <c r="AA420">
        <v>1</v>
      </c>
      <c r="AB420">
        <v>69.535077296650186</v>
      </c>
      <c r="AC420">
        <v>0.99250000000000005</v>
      </c>
      <c r="AD420" s="62">
        <v>69.013999999999996</v>
      </c>
      <c r="AE420">
        <v>8.9176000000000002</v>
      </c>
      <c r="AF420">
        <v>9.2462919077962926</v>
      </c>
      <c r="AG420">
        <v>1</v>
      </c>
      <c r="AH420">
        <v>5579.6748517596734</v>
      </c>
      <c r="AI420">
        <v>0.96573604060913698</v>
      </c>
      <c r="AJ420" s="62">
        <v>5388.4930999999997</v>
      </c>
      <c r="AK420" s="60">
        <v>14.09672512814503</v>
      </c>
      <c r="AL420" t="s">
        <v>346</v>
      </c>
      <c r="AM420" t="s">
        <v>436</v>
      </c>
      <c r="AN420" t="s">
        <v>425</v>
      </c>
      <c r="AO420" t="s">
        <v>91</v>
      </c>
      <c r="AP420">
        <v>111.133</v>
      </c>
      <c r="AQ420">
        <v>1.0368587857491129</v>
      </c>
      <c r="AR420">
        <v>115.2292274366562</v>
      </c>
      <c r="AS420">
        <v>603.45000000000005</v>
      </c>
      <c r="AT420">
        <v>1</v>
      </c>
      <c r="AU420">
        <v>69.535077296650186</v>
      </c>
      <c r="AV420">
        <v>0.99250000000000005</v>
      </c>
      <c r="AW420" s="62">
        <v>69.013999999999996</v>
      </c>
      <c r="AX420">
        <v>8.9176000000000002</v>
      </c>
      <c r="AY420">
        <v>1</v>
      </c>
      <c r="AZ420">
        <v>5579.6748517596734</v>
      </c>
      <c r="BA420">
        <v>0.96573604060913698</v>
      </c>
      <c r="BB420" s="62">
        <v>5388.4930999999997</v>
      </c>
      <c r="BC420" s="60">
        <v>14.09672512814503</v>
      </c>
    </row>
    <row r="421" spans="1:55" x14ac:dyDescent="0.25">
      <c r="A421">
        <v>93767</v>
      </c>
      <c r="B421" t="s">
        <v>114</v>
      </c>
      <c r="C421">
        <v>2018</v>
      </c>
      <c r="D421">
        <v>10</v>
      </c>
      <c r="E421" t="s">
        <v>100</v>
      </c>
      <c r="F421" t="s">
        <v>426</v>
      </c>
      <c r="G421" t="s">
        <v>84</v>
      </c>
      <c r="H421" t="s">
        <v>59</v>
      </c>
      <c r="I421" t="s">
        <v>427</v>
      </c>
      <c r="J421">
        <v>-5.0464000000000002</v>
      </c>
      <c r="K421" t="s">
        <v>440</v>
      </c>
      <c r="L421" t="s">
        <v>452</v>
      </c>
      <c r="M421">
        <v>1.4858046103299999E-3</v>
      </c>
      <c r="N421">
        <v>7.4979643855693119E-3</v>
      </c>
      <c r="O421">
        <v>30169.468000000001</v>
      </c>
      <c r="P421">
        <v>4.8744250000000003E-6</v>
      </c>
      <c r="Q421">
        <v>0.29411799999999999</v>
      </c>
      <c r="R421" s="60">
        <v>2.2052862891548748E-3</v>
      </c>
      <c r="S421" t="s">
        <v>346</v>
      </c>
      <c r="T421" t="s">
        <v>436</v>
      </c>
      <c r="U421" t="s">
        <v>425</v>
      </c>
      <c r="V421" t="s">
        <v>28</v>
      </c>
      <c r="W421">
        <v>111.133</v>
      </c>
      <c r="X421">
        <v>1.0368587857491129</v>
      </c>
      <c r="Y421">
        <v>115.2292274366562</v>
      </c>
      <c r="Z421">
        <v>603.45000000000005</v>
      </c>
      <c r="AA421">
        <v>1</v>
      </c>
      <c r="AB421">
        <v>69.535077296650186</v>
      </c>
      <c r="AC421">
        <v>0.99760000000000004</v>
      </c>
      <c r="AD421" s="62">
        <v>69.367999999999995</v>
      </c>
      <c r="AE421">
        <v>8.9176000000000002</v>
      </c>
      <c r="AF421">
        <v>9.2462919077962926</v>
      </c>
      <c r="AG421">
        <v>1</v>
      </c>
      <c r="AH421">
        <v>5579.6748517596734</v>
      </c>
      <c r="AI421">
        <v>0.96062216971844849</v>
      </c>
      <c r="AJ421" s="62">
        <v>5359.9593999999997</v>
      </c>
      <c r="AK421" s="60">
        <v>11.820244975246791</v>
      </c>
      <c r="AL421" t="s">
        <v>346</v>
      </c>
      <c r="AM421" t="s">
        <v>436</v>
      </c>
      <c r="AN421" t="s">
        <v>425</v>
      </c>
      <c r="AO421" t="s">
        <v>28</v>
      </c>
      <c r="AP421">
        <v>111.133</v>
      </c>
      <c r="AQ421">
        <v>1.0368587857491129</v>
      </c>
      <c r="AR421">
        <v>115.2292274366562</v>
      </c>
      <c r="AS421">
        <v>603.45000000000005</v>
      </c>
      <c r="AT421">
        <v>1</v>
      </c>
      <c r="AU421">
        <v>69.535077296650186</v>
      </c>
      <c r="AV421">
        <v>0.99760000000000004</v>
      </c>
      <c r="AW421" s="62">
        <v>69.367999999999995</v>
      </c>
      <c r="AX421">
        <v>8.9176000000000002</v>
      </c>
      <c r="AY421">
        <v>1</v>
      </c>
      <c r="AZ421">
        <v>5579.6748517596734</v>
      </c>
      <c r="BA421">
        <v>0.96062216971844849</v>
      </c>
      <c r="BB421" s="62">
        <v>5359.9593999999997</v>
      </c>
      <c r="BC421" s="60">
        <v>11.820244975246791</v>
      </c>
    </row>
    <row r="422" spans="1:55" x14ac:dyDescent="0.25">
      <c r="A422">
        <v>98979</v>
      </c>
      <c r="B422" t="s">
        <v>115</v>
      </c>
      <c r="C422">
        <v>2018</v>
      </c>
      <c r="D422">
        <v>11</v>
      </c>
      <c r="E422" t="s">
        <v>100</v>
      </c>
      <c r="F422" t="s">
        <v>426</v>
      </c>
      <c r="G422" t="s">
        <v>84</v>
      </c>
      <c r="H422" t="s">
        <v>381</v>
      </c>
      <c r="I422" t="s">
        <v>427</v>
      </c>
      <c r="J422">
        <v>-9.5779341900000006</v>
      </c>
      <c r="K422" t="s">
        <v>440</v>
      </c>
      <c r="L422" t="s">
        <v>450</v>
      </c>
      <c r="M422">
        <v>0.15011157993331001</v>
      </c>
      <c r="N422">
        <v>1.4377588340870111</v>
      </c>
      <c r="O422">
        <v>30169.468000000001</v>
      </c>
      <c r="P422">
        <v>4.8744250000000003E-6</v>
      </c>
      <c r="Q422">
        <v>0.29411799999999999</v>
      </c>
      <c r="R422" s="60">
        <v>0.42287075276400338</v>
      </c>
      <c r="S422" t="s">
        <v>346</v>
      </c>
      <c r="T422" t="s">
        <v>436</v>
      </c>
      <c r="U422" t="s">
        <v>425</v>
      </c>
      <c r="V422" t="s">
        <v>26</v>
      </c>
      <c r="W422">
        <v>111.133</v>
      </c>
      <c r="X422">
        <v>1.0368587857491129</v>
      </c>
      <c r="Y422">
        <v>115.2292274366562</v>
      </c>
      <c r="Z422">
        <v>603.45000000000005</v>
      </c>
      <c r="AA422">
        <v>1</v>
      </c>
      <c r="AB422">
        <v>69.535077296650186</v>
      </c>
      <c r="AC422">
        <v>0.96209999999999996</v>
      </c>
      <c r="AD422" s="62">
        <v>66.900000000000006</v>
      </c>
      <c r="AE422">
        <v>8.9176000000000002</v>
      </c>
      <c r="AF422">
        <v>9.2462919077962926</v>
      </c>
      <c r="AG422">
        <v>1</v>
      </c>
      <c r="AH422">
        <v>5579.6748517596734</v>
      </c>
      <c r="AI422">
        <v>0.95992461065370505</v>
      </c>
      <c r="AJ422" s="62">
        <v>5356.0672000000004</v>
      </c>
      <c r="AK422" s="60">
        <v>2264.9241687185881</v>
      </c>
      <c r="AL422" t="s">
        <v>346</v>
      </c>
      <c r="AM422" t="s">
        <v>436</v>
      </c>
      <c r="AN422" t="s">
        <v>425</v>
      </c>
      <c r="AO422" t="s">
        <v>26</v>
      </c>
      <c r="AP422">
        <v>111.133</v>
      </c>
      <c r="AQ422">
        <v>1.0368587857491129</v>
      </c>
      <c r="AR422">
        <v>115.2292274366562</v>
      </c>
      <c r="AS422">
        <v>603.45000000000005</v>
      </c>
      <c r="AT422">
        <v>1</v>
      </c>
      <c r="AU422">
        <v>69.535077296650186</v>
      </c>
      <c r="AV422">
        <v>0.96209999999999996</v>
      </c>
      <c r="AW422" s="62">
        <v>66.900000000000006</v>
      </c>
      <c r="AX422">
        <v>8.9176000000000002</v>
      </c>
      <c r="AY422">
        <v>1</v>
      </c>
      <c r="AZ422">
        <v>5579.6748517596734</v>
      </c>
      <c r="BA422">
        <v>0.95992461065370505</v>
      </c>
      <c r="BB422" s="62">
        <v>5356.0672000000004</v>
      </c>
      <c r="BC422" s="60">
        <v>2264.9241687185881</v>
      </c>
    </row>
    <row r="423" spans="1:55" x14ac:dyDescent="0.25">
      <c r="A423">
        <v>98981</v>
      </c>
      <c r="B423" t="s">
        <v>115</v>
      </c>
      <c r="C423">
        <v>2018</v>
      </c>
      <c r="D423">
        <v>11</v>
      </c>
      <c r="E423" t="s">
        <v>100</v>
      </c>
      <c r="F423" t="s">
        <v>426</v>
      </c>
      <c r="G423" t="s">
        <v>84</v>
      </c>
      <c r="H423" t="s">
        <v>381</v>
      </c>
      <c r="I423" t="s">
        <v>427</v>
      </c>
      <c r="J423">
        <v>-9.5779341900000006</v>
      </c>
      <c r="K423" t="s">
        <v>440</v>
      </c>
      <c r="L423" t="s">
        <v>384</v>
      </c>
      <c r="M423">
        <v>4.5811354346740003E-2</v>
      </c>
      <c r="N423">
        <v>0.43877813718820319</v>
      </c>
      <c r="O423">
        <v>30169.468000000001</v>
      </c>
      <c r="P423">
        <v>4.8744250000000003E-6</v>
      </c>
      <c r="Q423">
        <v>0.29411799999999999</v>
      </c>
      <c r="R423" s="60">
        <v>0.12905254815351991</v>
      </c>
      <c r="S423" t="s">
        <v>346</v>
      </c>
      <c r="T423" t="s">
        <v>436</v>
      </c>
      <c r="U423" t="s">
        <v>425</v>
      </c>
      <c r="V423" t="s">
        <v>81</v>
      </c>
      <c r="W423">
        <v>111.133</v>
      </c>
      <c r="X423">
        <v>1.0368587857491129</v>
      </c>
      <c r="Y423">
        <v>115.2292274366562</v>
      </c>
      <c r="Z423">
        <v>603.45000000000005</v>
      </c>
      <c r="AA423">
        <v>1</v>
      </c>
      <c r="AB423">
        <v>69.535077296650186</v>
      </c>
      <c r="AC423">
        <v>0.90990000000000004</v>
      </c>
      <c r="AD423" s="62">
        <v>63.27</v>
      </c>
      <c r="AE423">
        <v>8.9176000000000002</v>
      </c>
      <c r="AF423">
        <v>9.2462919077962926</v>
      </c>
      <c r="AG423">
        <v>1</v>
      </c>
      <c r="AH423">
        <v>5579.6748517596734</v>
      </c>
      <c r="AI423">
        <v>1.053620848708487</v>
      </c>
      <c r="AJ423" s="62">
        <v>5878.8617999999997</v>
      </c>
      <c r="AK423" s="60">
        <v>758.68209553238887</v>
      </c>
      <c r="AL423" t="s">
        <v>346</v>
      </c>
      <c r="AM423" t="s">
        <v>436</v>
      </c>
      <c r="AN423" t="s">
        <v>425</v>
      </c>
      <c r="AO423" t="s">
        <v>81</v>
      </c>
      <c r="AP423">
        <v>111.133</v>
      </c>
      <c r="AQ423">
        <v>1.0368587857491129</v>
      </c>
      <c r="AR423">
        <v>115.2292274366562</v>
      </c>
      <c r="AS423">
        <v>603.45000000000005</v>
      </c>
      <c r="AT423">
        <v>1</v>
      </c>
      <c r="AU423">
        <v>69.535077296650186</v>
      </c>
      <c r="AV423">
        <v>0.90990000000000004</v>
      </c>
      <c r="AW423" s="62">
        <v>63.27</v>
      </c>
      <c r="AX423">
        <v>8.9176000000000002</v>
      </c>
      <c r="AY423">
        <v>1</v>
      </c>
      <c r="AZ423">
        <v>5579.6748517596734</v>
      </c>
      <c r="BA423">
        <v>1.053620848708487</v>
      </c>
      <c r="BB423" s="62">
        <v>5878.8617999999997</v>
      </c>
      <c r="BC423" s="60">
        <v>758.68209553238887</v>
      </c>
    </row>
    <row r="424" spans="1:55" x14ac:dyDescent="0.25">
      <c r="A424">
        <v>98983</v>
      </c>
      <c r="B424" t="s">
        <v>115</v>
      </c>
      <c r="C424">
        <v>2018</v>
      </c>
      <c r="D424">
        <v>11</v>
      </c>
      <c r="E424" t="s">
        <v>100</v>
      </c>
      <c r="F424" t="s">
        <v>426</v>
      </c>
      <c r="G424" t="s">
        <v>84</v>
      </c>
      <c r="H424" t="s">
        <v>381</v>
      </c>
      <c r="I424" t="s">
        <v>427</v>
      </c>
      <c r="J424">
        <v>-9.5779341900000006</v>
      </c>
      <c r="K424" t="s">
        <v>440</v>
      </c>
      <c r="L424" t="s">
        <v>385</v>
      </c>
      <c r="M424">
        <v>0.43232641346992001</v>
      </c>
      <c r="N424">
        <v>4.1407939377607024</v>
      </c>
      <c r="O424">
        <v>30169.468000000001</v>
      </c>
      <c r="P424">
        <v>4.8744250000000003E-6</v>
      </c>
      <c r="Q424">
        <v>0.29411799999999999</v>
      </c>
      <c r="R424" s="60">
        <v>1.2178820313863019</v>
      </c>
      <c r="S424" t="s">
        <v>346</v>
      </c>
      <c r="T424" t="s">
        <v>436</v>
      </c>
      <c r="U424" t="s">
        <v>425</v>
      </c>
      <c r="V424" t="s">
        <v>27</v>
      </c>
      <c r="W424">
        <v>111.133</v>
      </c>
      <c r="X424">
        <v>1.0368587857491129</v>
      </c>
      <c r="Y424">
        <v>115.2292274366562</v>
      </c>
      <c r="Z424">
        <v>603.45000000000005</v>
      </c>
      <c r="AA424">
        <v>1</v>
      </c>
      <c r="AB424">
        <v>69.535077296650186</v>
      </c>
      <c r="AC424">
        <v>0.93979999999999997</v>
      </c>
      <c r="AD424" s="62">
        <v>65.349000000000004</v>
      </c>
      <c r="AE424">
        <v>8.9176000000000002</v>
      </c>
      <c r="AF424">
        <v>9.2462919077962926</v>
      </c>
      <c r="AG424">
        <v>1</v>
      </c>
      <c r="AH424">
        <v>5579.6748517596734</v>
      </c>
      <c r="AI424">
        <v>0.95477850697292876</v>
      </c>
      <c r="AJ424" s="62">
        <v>5327.3536000000004</v>
      </c>
      <c r="AK424" s="60">
        <v>6488.0882242811304</v>
      </c>
      <c r="AL424" t="s">
        <v>346</v>
      </c>
      <c r="AM424" t="s">
        <v>436</v>
      </c>
      <c r="AN424" t="s">
        <v>425</v>
      </c>
      <c r="AO424" t="s">
        <v>27</v>
      </c>
      <c r="AP424">
        <v>111.133</v>
      </c>
      <c r="AQ424">
        <v>1.0368587857491129</v>
      </c>
      <c r="AR424">
        <v>115.2292274366562</v>
      </c>
      <c r="AS424">
        <v>603.45000000000005</v>
      </c>
      <c r="AT424">
        <v>1</v>
      </c>
      <c r="AU424">
        <v>69.535077296650186</v>
      </c>
      <c r="AV424">
        <v>0.93979999999999997</v>
      </c>
      <c r="AW424" s="62">
        <v>65.349000000000004</v>
      </c>
      <c r="AX424">
        <v>8.9176000000000002</v>
      </c>
      <c r="AY424">
        <v>1</v>
      </c>
      <c r="AZ424">
        <v>5579.6748517596734</v>
      </c>
      <c r="BA424">
        <v>0.95477850697292876</v>
      </c>
      <c r="BB424" s="62">
        <v>5327.3536000000004</v>
      </c>
      <c r="BC424" s="60">
        <v>6488.0882242811304</v>
      </c>
    </row>
    <row r="425" spans="1:55" x14ac:dyDescent="0.25">
      <c r="A425">
        <v>98985</v>
      </c>
      <c r="B425" t="s">
        <v>115</v>
      </c>
      <c r="C425">
        <v>2018</v>
      </c>
      <c r="D425">
        <v>11</v>
      </c>
      <c r="E425" t="s">
        <v>100</v>
      </c>
      <c r="F425" t="s">
        <v>426</v>
      </c>
      <c r="G425" t="s">
        <v>84</v>
      </c>
      <c r="H425" t="s">
        <v>381</v>
      </c>
      <c r="I425" t="s">
        <v>427</v>
      </c>
      <c r="J425">
        <v>-9.5779341900000006</v>
      </c>
      <c r="K425" t="s">
        <v>440</v>
      </c>
      <c r="L425" t="s">
        <v>451</v>
      </c>
      <c r="M425">
        <v>1.6825115802299999E-3</v>
      </c>
      <c r="N425">
        <v>1.611498519304165E-2</v>
      </c>
      <c r="O425">
        <v>30169.468000000001</v>
      </c>
      <c r="P425">
        <v>4.8744250000000003E-6</v>
      </c>
      <c r="Q425">
        <v>0.29411799999999999</v>
      </c>
      <c r="R425" s="60">
        <v>4.7397072150070236E-3</v>
      </c>
      <c r="S425" t="s">
        <v>346</v>
      </c>
      <c r="T425" t="s">
        <v>436</v>
      </c>
      <c r="U425" t="s">
        <v>425</v>
      </c>
      <c r="V425" t="s">
        <v>91</v>
      </c>
      <c r="W425">
        <v>111.133</v>
      </c>
      <c r="X425">
        <v>1.0368587857491129</v>
      </c>
      <c r="Y425">
        <v>115.2292274366562</v>
      </c>
      <c r="Z425">
        <v>603.45000000000005</v>
      </c>
      <c r="AA425">
        <v>1</v>
      </c>
      <c r="AB425">
        <v>69.535077296650186</v>
      </c>
      <c r="AC425">
        <v>0.99250000000000005</v>
      </c>
      <c r="AD425" s="62">
        <v>69.013999999999996</v>
      </c>
      <c r="AE425">
        <v>8.9176000000000002</v>
      </c>
      <c r="AF425">
        <v>9.2462919077962926</v>
      </c>
      <c r="AG425">
        <v>1</v>
      </c>
      <c r="AH425">
        <v>5579.6748517596734</v>
      </c>
      <c r="AI425">
        <v>0.96573604060913698</v>
      </c>
      <c r="AJ425" s="62">
        <v>5388.4930999999997</v>
      </c>
      <c r="AK425" s="60">
        <v>25.539879624085561</v>
      </c>
      <c r="AL425" t="s">
        <v>346</v>
      </c>
      <c r="AM425" t="s">
        <v>436</v>
      </c>
      <c r="AN425" t="s">
        <v>425</v>
      </c>
      <c r="AO425" t="s">
        <v>91</v>
      </c>
      <c r="AP425">
        <v>111.133</v>
      </c>
      <c r="AQ425">
        <v>1.0368587857491129</v>
      </c>
      <c r="AR425">
        <v>115.2292274366562</v>
      </c>
      <c r="AS425">
        <v>603.45000000000005</v>
      </c>
      <c r="AT425">
        <v>1</v>
      </c>
      <c r="AU425">
        <v>69.535077296650186</v>
      </c>
      <c r="AV425">
        <v>0.99250000000000005</v>
      </c>
      <c r="AW425" s="62">
        <v>69.013999999999996</v>
      </c>
      <c r="AX425">
        <v>8.9176000000000002</v>
      </c>
      <c r="AY425">
        <v>1</v>
      </c>
      <c r="AZ425">
        <v>5579.6748517596734</v>
      </c>
      <c r="BA425">
        <v>0.96573604060913698</v>
      </c>
      <c r="BB425" s="62">
        <v>5388.4930999999997</v>
      </c>
      <c r="BC425" s="60">
        <v>25.539879624085561</v>
      </c>
    </row>
    <row r="426" spans="1:55" x14ac:dyDescent="0.25">
      <c r="A426">
        <v>98987</v>
      </c>
      <c r="B426" t="s">
        <v>115</v>
      </c>
      <c r="C426">
        <v>2018</v>
      </c>
      <c r="D426">
        <v>11</v>
      </c>
      <c r="E426" t="s">
        <v>100</v>
      </c>
      <c r="F426" t="s">
        <v>426</v>
      </c>
      <c r="G426" t="s">
        <v>84</v>
      </c>
      <c r="H426" t="s">
        <v>381</v>
      </c>
      <c r="I426" t="s">
        <v>427</v>
      </c>
      <c r="J426">
        <v>-9.5779341900000006</v>
      </c>
      <c r="K426" t="s">
        <v>440</v>
      </c>
      <c r="L426" t="s">
        <v>452</v>
      </c>
      <c r="M426">
        <v>1.53682162831E-3</v>
      </c>
      <c r="N426">
        <v>1.4719576421088469E-2</v>
      </c>
      <c r="O426">
        <v>30169.468000000001</v>
      </c>
      <c r="P426">
        <v>4.8744250000000003E-6</v>
      </c>
      <c r="Q426">
        <v>0.29411799999999999</v>
      </c>
      <c r="R426" s="60">
        <v>4.3292923778176983E-3</v>
      </c>
      <c r="S426" t="s">
        <v>346</v>
      </c>
      <c r="T426" t="s">
        <v>436</v>
      </c>
      <c r="U426" t="s">
        <v>425</v>
      </c>
      <c r="V426" t="s">
        <v>28</v>
      </c>
      <c r="W426">
        <v>111.133</v>
      </c>
      <c r="X426">
        <v>1.0368587857491129</v>
      </c>
      <c r="Y426">
        <v>115.2292274366562</v>
      </c>
      <c r="Z426">
        <v>603.45000000000005</v>
      </c>
      <c r="AA426">
        <v>1</v>
      </c>
      <c r="AB426">
        <v>69.535077296650186</v>
      </c>
      <c r="AC426">
        <v>0.99760000000000004</v>
      </c>
      <c r="AD426" s="62">
        <v>69.367999999999995</v>
      </c>
      <c r="AE426">
        <v>8.9176000000000002</v>
      </c>
      <c r="AF426">
        <v>9.2462919077962926</v>
      </c>
      <c r="AG426">
        <v>1</v>
      </c>
      <c r="AH426">
        <v>5579.6748517596734</v>
      </c>
      <c r="AI426">
        <v>0.96062216971844849</v>
      </c>
      <c r="AJ426" s="62">
        <v>5359.9593999999997</v>
      </c>
      <c r="AK426" s="60">
        <v>23.20483137583232</v>
      </c>
      <c r="AL426" t="s">
        <v>346</v>
      </c>
      <c r="AM426" t="s">
        <v>436</v>
      </c>
      <c r="AN426" t="s">
        <v>425</v>
      </c>
      <c r="AO426" t="s">
        <v>28</v>
      </c>
      <c r="AP426">
        <v>111.133</v>
      </c>
      <c r="AQ426">
        <v>1.0368587857491129</v>
      </c>
      <c r="AR426">
        <v>115.2292274366562</v>
      </c>
      <c r="AS426">
        <v>603.45000000000005</v>
      </c>
      <c r="AT426">
        <v>1</v>
      </c>
      <c r="AU426">
        <v>69.535077296650186</v>
      </c>
      <c r="AV426">
        <v>0.99760000000000004</v>
      </c>
      <c r="AW426" s="62">
        <v>69.367999999999995</v>
      </c>
      <c r="AX426">
        <v>8.9176000000000002</v>
      </c>
      <c r="AY426">
        <v>1</v>
      </c>
      <c r="AZ426">
        <v>5579.6748517596734</v>
      </c>
      <c r="BA426">
        <v>0.96062216971844849</v>
      </c>
      <c r="BB426" s="62">
        <v>5359.9593999999997</v>
      </c>
      <c r="BC426" s="60">
        <v>23.20483137583232</v>
      </c>
    </row>
    <row r="427" spans="1:55" x14ac:dyDescent="0.25">
      <c r="A427">
        <v>98989</v>
      </c>
      <c r="B427" t="s">
        <v>115</v>
      </c>
      <c r="C427">
        <v>2018</v>
      </c>
      <c r="D427">
        <v>11</v>
      </c>
      <c r="E427" t="s">
        <v>100</v>
      </c>
      <c r="F427" t="s">
        <v>426</v>
      </c>
      <c r="G427" t="s">
        <v>84</v>
      </c>
      <c r="H427" t="s">
        <v>87</v>
      </c>
      <c r="I427" t="s">
        <v>427</v>
      </c>
      <c r="J427">
        <v>-1.76002901</v>
      </c>
      <c r="K427" t="s">
        <v>440</v>
      </c>
      <c r="L427" t="s">
        <v>450</v>
      </c>
      <c r="M427">
        <v>0.26601384014995</v>
      </c>
      <c r="N427">
        <v>0.46819207513056599</v>
      </c>
      <c r="O427">
        <v>30169.468000000001</v>
      </c>
      <c r="P427">
        <v>4.8744250000000003E-6</v>
      </c>
      <c r="Q427">
        <v>0.29411799999999999</v>
      </c>
      <c r="R427" s="60">
        <v>0.1377037167532518</v>
      </c>
      <c r="S427" t="s">
        <v>346</v>
      </c>
      <c r="T427" t="s">
        <v>436</v>
      </c>
      <c r="U427" t="s">
        <v>425</v>
      </c>
      <c r="V427" t="s">
        <v>26</v>
      </c>
      <c r="W427">
        <v>111.133</v>
      </c>
      <c r="X427">
        <v>1.0368587857491129</v>
      </c>
      <c r="Y427">
        <v>115.2292274366562</v>
      </c>
      <c r="Z427">
        <v>603.45000000000005</v>
      </c>
      <c r="AA427">
        <v>1</v>
      </c>
      <c r="AB427">
        <v>69.535077296650186</v>
      </c>
      <c r="AC427">
        <v>0.96209999999999996</v>
      </c>
      <c r="AD427" s="62">
        <v>66.900000000000006</v>
      </c>
      <c r="AE427">
        <v>8.9176000000000002</v>
      </c>
      <c r="AF427">
        <v>9.2462919077962926</v>
      </c>
      <c r="AG427">
        <v>1</v>
      </c>
      <c r="AH427">
        <v>5579.6748517596734</v>
      </c>
      <c r="AI427">
        <v>0.95992461065370505</v>
      </c>
      <c r="AJ427" s="62">
        <v>5356.0672000000004</v>
      </c>
      <c r="AK427" s="60">
        <v>737.55036062018269</v>
      </c>
      <c r="AL427" t="s">
        <v>346</v>
      </c>
      <c r="AM427" t="s">
        <v>436</v>
      </c>
      <c r="AN427" t="s">
        <v>425</v>
      </c>
      <c r="AO427" t="s">
        <v>26</v>
      </c>
      <c r="AP427">
        <v>111.133</v>
      </c>
      <c r="AQ427">
        <v>1.0368587857491129</v>
      </c>
      <c r="AR427">
        <v>115.2292274366562</v>
      </c>
      <c r="AS427">
        <v>603.45000000000005</v>
      </c>
      <c r="AT427">
        <v>1</v>
      </c>
      <c r="AU427">
        <v>69.535077296650186</v>
      </c>
      <c r="AV427">
        <v>0.96209999999999996</v>
      </c>
      <c r="AW427" s="62">
        <v>66.900000000000006</v>
      </c>
      <c r="AX427">
        <v>8.9176000000000002</v>
      </c>
      <c r="AY427">
        <v>1</v>
      </c>
      <c r="AZ427">
        <v>5579.6748517596734</v>
      </c>
      <c r="BA427">
        <v>0.95992461065370505</v>
      </c>
      <c r="BB427" s="62">
        <v>5356.0672000000004</v>
      </c>
      <c r="BC427" s="60">
        <v>737.55036062018269</v>
      </c>
    </row>
    <row r="428" spans="1:55" x14ac:dyDescent="0.25">
      <c r="A428">
        <v>98991</v>
      </c>
      <c r="B428" t="s">
        <v>115</v>
      </c>
      <c r="C428">
        <v>2018</v>
      </c>
      <c r="D428">
        <v>11</v>
      </c>
      <c r="E428" t="s">
        <v>100</v>
      </c>
      <c r="F428" t="s">
        <v>426</v>
      </c>
      <c r="G428" t="s">
        <v>84</v>
      </c>
      <c r="H428" t="s">
        <v>87</v>
      </c>
      <c r="I428" t="s">
        <v>427</v>
      </c>
      <c r="J428">
        <v>-1.76002901</v>
      </c>
      <c r="K428" t="s">
        <v>440</v>
      </c>
      <c r="L428" t="s">
        <v>384</v>
      </c>
      <c r="M428">
        <v>3.9509559941419997E-2</v>
      </c>
      <c r="N428">
        <v>6.9537971580883512E-2</v>
      </c>
      <c r="O428">
        <v>30169.468000000001</v>
      </c>
      <c r="P428">
        <v>4.8744250000000003E-6</v>
      </c>
      <c r="Q428">
        <v>0.29411799999999999</v>
      </c>
      <c r="R428" s="60">
        <v>2.0452369125426299E-2</v>
      </c>
      <c r="S428" t="s">
        <v>346</v>
      </c>
      <c r="T428" t="s">
        <v>436</v>
      </c>
      <c r="U428" t="s">
        <v>425</v>
      </c>
      <c r="V428" t="s">
        <v>81</v>
      </c>
      <c r="W428">
        <v>111.133</v>
      </c>
      <c r="X428">
        <v>1.0368587857491129</v>
      </c>
      <c r="Y428">
        <v>115.2292274366562</v>
      </c>
      <c r="Z428">
        <v>603.45000000000005</v>
      </c>
      <c r="AA428">
        <v>1</v>
      </c>
      <c r="AB428">
        <v>69.535077296650186</v>
      </c>
      <c r="AC428">
        <v>0.90990000000000004</v>
      </c>
      <c r="AD428" s="62">
        <v>63.27</v>
      </c>
      <c r="AE428">
        <v>8.9176000000000002</v>
      </c>
      <c r="AF428">
        <v>9.2462919077962926</v>
      </c>
      <c r="AG428">
        <v>1</v>
      </c>
      <c r="AH428">
        <v>5579.6748517596734</v>
      </c>
      <c r="AI428">
        <v>1.053620848708487</v>
      </c>
      <c r="AJ428" s="62">
        <v>5878.8617999999997</v>
      </c>
      <c r="AK428" s="60">
        <v>120.23665157096799</v>
      </c>
      <c r="AL428" t="s">
        <v>346</v>
      </c>
      <c r="AM428" t="s">
        <v>436</v>
      </c>
      <c r="AN428" t="s">
        <v>425</v>
      </c>
      <c r="AO428" t="s">
        <v>81</v>
      </c>
      <c r="AP428">
        <v>111.133</v>
      </c>
      <c r="AQ428">
        <v>1.0368587857491129</v>
      </c>
      <c r="AR428">
        <v>115.2292274366562</v>
      </c>
      <c r="AS428">
        <v>603.45000000000005</v>
      </c>
      <c r="AT428">
        <v>1</v>
      </c>
      <c r="AU428">
        <v>69.535077296650186</v>
      </c>
      <c r="AV428">
        <v>0.90990000000000004</v>
      </c>
      <c r="AW428" s="62">
        <v>63.27</v>
      </c>
      <c r="AX428">
        <v>8.9176000000000002</v>
      </c>
      <c r="AY428">
        <v>1</v>
      </c>
      <c r="AZ428">
        <v>5579.6748517596734</v>
      </c>
      <c r="BA428">
        <v>1.053620848708487</v>
      </c>
      <c r="BB428" s="62">
        <v>5878.8617999999997</v>
      </c>
      <c r="BC428" s="60">
        <v>120.23665157096799</v>
      </c>
    </row>
    <row r="429" spans="1:55" x14ac:dyDescent="0.25">
      <c r="A429">
        <v>98993</v>
      </c>
      <c r="B429" t="s">
        <v>115</v>
      </c>
      <c r="C429">
        <v>2018</v>
      </c>
      <c r="D429">
        <v>11</v>
      </c>
      <c r="E429" t="s">
        <v>100</v>
      </c>
      <c r="F429" t="s">
        <v>426</v>
      </c>
      <c r="G429" t="s">
        <v>84</v>
      </c>
      <c r="H429" t="s">
        <v>87</v>
      </c>
      <c r="I429" t="s">
        <v>427</v>
      </c>
      <c r="J429">
        <v>-1.76002901</v>
      </c>
      <c r="K429" t="s">
        <v>440</v>
      </c>
      <c r="L429" t="s">
        <v>385</v>
      </c>
      <c r="M429">
        <v>0.39737542925016001</v>
      </c>
      <c r="N429">
        <v>0.69939228245289031</v>
      </c>
      <c r="O429">
        <v>30169.468000000001</v>
      </c>
      <c r="P429">
        <v>4.8744250000000003E-6</v>
      </c>
      <c r="Q429">
        <v>0.29411799999999999</v>
      </c>
      <c r="R429" s="60">
        <v>0.20570385933047919</v>
      </c>
      <c r="S429" t="s">
        <v>346</v>
      </c>
      <c r="T429" t="s">
        <v>436</v>
      </c>
      <c r="U429" t="s">
        <v>425</v>
      </c>
      <c r="V429" t="s">
        <v>27</v>
      </c>
      <c r="W429">
        <v>111.133</v>
      </c>
      <c r="X429">
        <v>1.0368587857491129</v>
      </c>
      <c r="Y429">
        <v>115.2292274366562</v>
      </c>
      <c r="Z429">
        <v>603.45000000000005</v>
      </c>
      <c r="AA429">
        <v>1</v>
      </c>
      <c r="AB429">
        <v>69.535077296650186</v>
      </c>
      <c r="AC429">
        <v>0.93979999999999997</v>
      </c>
      <c r="AD429" s="62">
        <v>65.349000000000004</v>
      </c>
      <c r="AE429">
        <v>8.9176000000000002</v>
      </c>
      <c r="AF429">
        <v>9.2462919077962926</v>
      </c>
      <c r="AG429">
        <v>1</v>
      </c>
      <c r="AH429">
        <v>5579.6748517596734</v>
      </c>
      <c r="AI429">
        <v>0.95477850697292876</v>
      </c>
      <c r="AJ429" s="62">
        <v>5327.3536000000004</v>
      </c>
      <c r="AK429" s="60">
        <v>1095.8571955381219</v>
      </c>
      <c r="AL429" t="s">
        <v>346</v>
      </c>
      <c r="AM429" t="s">
        <v>436</v>
      </c>
      <c r="AN429" t="s">
        <v>425</v>
      </c>
      <c r="AO429" t="s">
        <v>27</v>
      </c>
      <c r="AP429">
        <v>111.133</v>
      </c>
      <c r="AQ429">
        <v>1.0368587857491129</v>
      </c>
      <c r="AR429">
        <v>115.2292274366562</v>
      </c>
      <c r="AS429">
        <v>603.45000000000005</v>
      </c>
      <c r="AT429">
        <v>1</v>
      </c>
      <c r="AU429">
        <v>69.535077296650186</v>
      </c>
      <c r="AV429">
        <v>0.93979999999999997</v>
      </c>
      <c r="AW429" s="62">
        <v>65.349000000000004</v>
      </c>
      <c r="AX429">
        <v>8.9176000000000002</v>
      </c>
      <c r="AY429">
        <v>1</v>
      </c>
      <c r="AZ429">
        <v>5579.6748517596734</v>
      </c>
      <c r="BA429">
        <v>0.95477850697292876</v>
      </c>
      <c r="BB429" s="62">
        <v>5327.3536000000004</v>
      </c>
      <c r="BC429" s="60">
        <v>1095.8571955381219</v>
      </c>
    </row>
    <row r="430" spans="1:55" x14ac:dyDescent="0.25">
      <c r="A430">
        <v>98995</v>
      </c>
      <c r="B430" t="s">
        <v>115</v>
      </c>
      <c r="C430">
        <v>2018</v>
      </c>
      <c r="D430">
        <v>11</v>
      </c>
      <c r="E430" t="s">
        <v>100</v>
      </c>
      <c r="F430" t="s">
        <v>426</v>
      </c>
      <c r="G430" t="s">
        <v>84</v>
      </c>
      <c r="H430" t="s">
        <v>87</v>
      </c>
      <c r="I430" t="s">
        <v>427</v>
      </c>
      <c r="J430">
        <v>-1.76002901</v>
      </c>
      <c r="K430" t="s">
        <v>440</v>
      </c>
      <c r="L430" t="s">
        <v>452</v>
      </c>
      <c r="M430">
        <v>8.4248020759000004E-4</v>
      </c>
      <c r="N430">
        <v>1.482789603825304E-3</v>
      </c>
      <c r="O430">
        <v>30169.468000000001</v>
      </c>
      <c r="P430">
        <v>4.8744250000000003E-6</v>
      </c>
      <c r="Q430">
        <v>0.29411799999999999</v>
      </c>
      <c r="R430" s="60">
        <v>4.3611511269789078E-4</v>
      </c>
      <c r="S430" t="s">
        <v>346</v>
      </c>
      <c r="T430" t="s">
        <v>436</v>
      </c>
      <c r="U430" t="s">
        <v>425</v>
      </c>
      <c r="V430" t="s">
        <v>28</v>
      </c>
      <c r="W430">
        <v>111.133</v>
      </c>
      <c r="X430">
        <v>1.0368587857491129</v>
      </c>
      <c r="Y430">
        <v>115.2292274366562</v>
      </c>
      <c r="Z430">
        <v>603.45000000000005</v>
      </c>
      <c r="AA430">
        <v>1</v>
      </c>
      <c r="AB430">
        <v>69.535077296650186</v>
      </c>
      <c r="AC430">
        <v>0.99760000000000004</v>
      </c>
      <c r="AD430" s="62">
        <v>69.367999999999995</v>
      </c>
      <c r="AE430">
        <v>8.9176000000000002</v>
      </c>
      <c r="AF430">
        <v>9.2462919077962926</v>
      </c>
      <c r="AG430">
        <v>1</v>
      </c>
      <c r="AH430">
        <v>5579.6748517596734</v>
      </c>
      <c r="AI430">
        <v>0.96062216971844849</v>
      </c>
      <c r="AJ430" s="62">
        <v>5359.9593999999997</v>
      </c>
      <c r="AK430" s="60">
        <v>2.3375592977871191</v>
      </c>
      <c r="AL430" t="s">
        <v>346</v>
      </c>
      <c r="AM430" t="s">
        <v>436</v>
      </c>
      <c r="AN430" t="s">
        <v>425</v>
      </c>
      <c r="AO430" t="s">
        <v>28</v>
      </c>
      <c r="AP430">
        <v>111.133</v>
      </c>
      <c r="AQ430">
        <v>1.0368587857491129</v>
      </c>
      <c r="AR430">
        <v>115.2292274366562</v>
      </c>
      <c r="AS430">
        <v>603.45000000000005</v>
      </c>
      <c r="AT430">
        <v>1</v>
      </c>
      <c r="AU430">
        <v>69.535077296650186</v>
      </c>
      <c r="AV430">
        <v>0.99760000000000004</v>
      </c>
      <c r="AW430" s="62">
        <v>69.367999999999995</v>
      </c>
      <c r="AX430">
        <v>8.9176000000000002</v>
      </c>
      <c r="AY430">
        <v>1</v>
      </c>
      <c r="AZ430">
        <v>5579.6748517596734</v>
      </c>
      <c r="BA430">
        <v>0.96062216971844849</v>
      </c>
      <c r="BB430" s="62">
        <v>5359.9593999999997</v>
      </c>
      <c r="BC430" s="60">
        <v>2.3375592977871191</v>
      </c>
    </row>
    <row r="431" spans="1:55" x14ac:dyDescent="0.25">
      <c r="A431">
        <v>98997</v>
      </c>
      <c r="B431" t="s">
        <v>115</v>
      </c>
      <c r="C431">
        <v>2018</v>
      </c>
      <c r="D431">
        <v>11</v>
      </c>
      <c r="E431" t="s">
        <v>100</v>
      </c>
      <c r="F431" t="s">
        <v>426</v>
      </c>
      <c r="G431" t="s">
        <v>84</v>
      </c>
      <c r="H431" t="s">
        <v>59</v>
      </c>
      <c r="I431" t="s">
        <v>427</v>
      </c>
      <c r="J431">
        <v>-5.0607741099999997</v>
      </c>
      <c r="K431" t="s">
        <v>440</v>
      </c>
      <c r="L431" t="s">
        <v>450</v>
      </c>
      <c r="M431">
        <v>0.15931709696460999</v>
      </c>
      <c r="N431">
        <v>0.80626783946325076</v>
      </c>
      <c r="O431">
        <v>30169.468000000001</v>
      </c>
      <c r="P431">
        <v>4.8744250000000003E-6</v>
      </c>
      <c r="Q431">
        <v>0.29411799999999999</v>
      </c>
      <c r="R431" s="60">
        <v>0.23713788440725239</v>
      </c>
      <c r="S431" t="s">
        <v>346</v>
      </c>
      <c r="T431" t="s">
        <v>436</v>
      </c>
      <c r="U431" t="s">
        <v>425</v>
      </c>
      <c r="V431" t="s">
        <v>26</v>
      </c>
      <c r="W431">
        <v>111.133</v>
      </c>
      <c r="X431">
        <v>1.0368587857491129</v>
      </c>
      <c r="Y431">
        <v>115.2292274366562</v>
      </c>
      <c r="Z431">
        <v>603.45000000000005</v>
      </c>
      <c r="AA431">
        <v>1</v>
      </c>
      <c r="AB431">
        <v>69.535077296650186</v>
      </c>
      <c r="AC431">
        <v>0.96209999999999996</v>
      </c>
      <c r="AD431" s="62">
        <v>66.900000000000006</v>
      </c>
      <c r="AE431">
        <v>8.9176000000000002</v>
      </c>
      <c r="AF431">
        <v>9.2462919077962926</v>
      </c>
      <c r="AG431">
        <v>1</v>
      </c>
      <c r="AH431">
        <v>5579.6748517596734</v>
      </c>
      <c r="AI431">
        <v>0.95992461065370505</v>
      </c>
      <c r="AJ431" s="62">
        <v>5356.0672000000004</v>
      </c>
      <c r="AK431" s="60">
        <v>1270.126444551076</v>
      </c>
      <c r="AL431" t="s">
        <v>346</v>
      </c>
      <c r="AM431" t="s">
        <v>436</v>
      </c>
      <c r="AN431" t="s">
        <v>425</v>
      </c>
      <c r="AO431" t="s">
        <v>26</v>
      </c>
      <c r="AP431">
        <v>111.133</v>
      </c>
      <c r="AQ431">
        <v>1.0368587857491129</v>
      </c>
      <c r="AR431">
        <v>115.2292274366562</v>
      </c>
      <c r="AS431">
        <v>603.45000000000005</v>
      </c>
      <c r="AT431">
        <v>1</v>
      </c>
      <c r="AU431">
        <v>69.535077296650186</v>
      </c>
      <c r="AV431">
        <v>0.96209999999999996</v>
      </c>
      <c r="AW431" s="62">
        <v>66.900000000000006</v>
      </c>
      <c r="AX431">
        <v>8.9176000000000002</v>
      </c>
      <c r="AY431">
        <v>1</v>
      </c>
      <c r="AZ431">
        <v>5579.6748517596734</v>
      </c>
      <c r="BA431">
        <v>0.95992461065370505</v>
      </c>
      <c r="BB431" s="62">
        <v>5356.0672000000004</v>
      </c>
      <c r="BC431" s="60">
        <v>1270.126444551076</v>
      </c>
    </row>
    <row r="432" spans="1:55" x14ac:dyDescent="0.25">
      <c r="A432">
        <v>98999</v>
      </c>
      <c r="B432" t="s">
        <v>115</v>
      </c>
      <c r="C432">
        <v>2018</v>
      </c>
      <c r="D432">
        <v>11</v>
      </c>
      <c r="E432" t="s">
        <v>100</v>
      </c>
      <c r="F432" t="s">
        <v>426</v>
      </c>
      <c r="G432" t="s">
        <v>84</v>
      </c>
      <c r="H432" t="s">
        <v>59</v>
      </c>
      <c r="I432" t="s">
        <v>427</v>
      </c>
      <c r="J432">
        <v>-5.0607741099999997</v>
      </c>
      <c r="K432" t="s">
        <v>440</v>
      </c>
      <c r="L432" t="s">
        <v>384</v>
      </c>
      <c r="M432">
        <v>4.1785183859599999E-2</v>
      </c>
      <c r="N432">
        <v>0.21146537662268691</v>
      </c>
      <c r="O432">
        <v>30169.468000000001</v>
      </c>
      <c r="P432">
        <v>4.8744250000000003E-6</v>
      </c>
      <c r="Q432">
        <v>0.29411799999999999</v>
      </c>
      <c r="R432" s="60">
        <v>6.2195773641511437E-2</v>
      </c>
      <c r="S432" t="s">
        <v>346</v>
      </c>
      <c r="T432" t="s">
        <v>436</v>
      </c>
      <c r="U432" t="s">
        <v>425</v>
      </c>
      <c r="V432" t="s">
        <v>81</v>
      </c>
      <c r="W432">
        <v>111.133</v>
      </c>
      <c r="X432">
        <v>1.0368587857491129</v>
      </c>
      <c r="Y432">
        <v>115.2292274366562</v>
      </c>
      <c r="Z432">
        <v>603.45000000000005</v>
      </c>
      <c r="AA432">
        <v>1</v>
      </c>
      <c r="AB432">
        <v>69.535077296650186</v>
      </c>
      <c r="AC432">
        <v>0.90990000000000004</v>
      </c>
      <c r="AD432" s="62">
        <v>63.27</v>
      </c>
      <c r="AE432">
        <v>8.9176000000000002</v>
      </c>
      <c r="AF432">
        <v>9.2462919077962926</v>
      </c>
      <c r="AG432">
        <v>1</v>
      </c>
      <c r="AH432">
        <v>5579.6748517596734</v>
      </c>
      <c r="AI432">
        <v>1.053620848708487</v>
      </c>
      <c r="AJ432" s="62">
        <v>5878.8617999999997</v>
      </c>
      <c r="AK432" s="60">
        <v>365.64035778252838</v>
      </c>
      <c r="AL432" t="s">
        <v>346</v>
      </c>
      <c r="AM432" t="s">
        <v>436</v>
      </c>
      <c r="AN432" t="s">
        <v>425</v>
      </c>
      <c r="AO432" t="s">
        <v>81</v>
      </c>
      <c r="AP432">
        <v>111.133</v>
      </c>
      <c r="AQ432">
        <v>1.0368587857491129</v>
      </c>
      <c r="AR432">
        <v>115.2292274366562</v>
      </c>
      <c r="AS432">
        <v>603.45000000000005</v>
      </c>
      <c r="AT432">
        <v>1</v>
      </c>
      <c r="AU432">
        <v>69.535077296650186</v>
      </c>
      <c r="AV432">
        <v>0.90990000000000004</v>
      </c>
      <c r="AW432" s="62">
        <v>63.27</v>
      </c>
      <c r="AX432">
        <v>8.9176000000000002</v>
      </c>
      <c r="AY432">
        <v>1</v>
      </c>
      <c r="AZ432">
        <v>5579.6748517596734</v>
      </c>
      <c r="BA432">
        <v>1.053620848708487</v>
      </c>
      <c r="BB432" s="62">
        <v>5878.8617999999997</v>
      </c>
      <c r="BC432" s="60">
        <v>365.64035778252838</v>
      </c>
    </row>
    <row r="433" spans="1:55" x14ac:dyDescent="0.25">
      <c r="A433">
        <v>99001</v>
      </c>
      <c r="B433" t="s">
        <v>115</v>
      </c>
      <c r="C433">
        <v>2018</v>
      </c>
      <c r="D433">
        <v>11</v>
      </c>
      <c r="E433" t="s">
        <v>100</v>
      </c>
      <c r="F433" t="s">
        <v>426</v>
      </c>
      <c r="G433" t="s">
        <v>84</v>
      </c>
      <c r="H433" t="s">
        <v>59</v>
      </c>
      <c r="I433" t="s">
        <v>427</v>
      </c>
      <c r="J433">
        <v>-5.0607741099999997</v>
      </c>
      <c r="K433" t="s">
        <v>440</v>
      </c>
      <c r="L433" t="s">
        <v>385</v>
      </c>
      <c r="M433">
        <v>0.43497567483749999</v>
      </c>
      <c r="N433">
        <v>2.2013136333271568</v>
      </c>
      <c r="O433">
        <v>30169.468000000001</v>
      </c>
      <c r="P433">
        <v>4.8744250000000003E-6</v>
      </c>
      <c r="Q433">
        <v>0.29411799999999999</v>
      </c>
      <c r="R433" s="60">
        <v>0.64744596320691683</v>
      </c>
      <c r="S433" t="s">
        <v>346</v>
      </c>
      <c r="T433" t="s">
        <v>436</v>
      </c>
      <c r="U433" t="s">
        <v>425</v>
      </c>
      <c r="V433" t="s">
        <v>27</v>
      </c>
      <c r="W433">
        <v>111.133</v>
      </c>
      <c r="X433">
        <v>1.0368587857491129</v>
      </c>
      <c r="Y433">
        <v>115.2292274366562</v>
      </c>
      <c r="Z433">
        <v>603.45000000000005</v>
      </c>
      <c r="AA433">
        <v>1</v>
      </c>
      <c r="AB433">
        <v>69.535077296650186</v>
      </c>
      <c r="AC433">
        <v>0.93979999999999997</v>
      </c>
      <c r="AD433" s="62">
        <v>65.349000000000004</v>
      </c>
      <c r="AE433">
        <v>8.9176000000000002</v>
      </c>
      <c r="AF433">
        <v>9.2462919077962926</v>
      </c>
      <c r="AG433">
        <v>1</v>
      </c>
      <c r="AH433">
        <v>5579.6748517596734</v>
      </c>
      <c r="AI433">
        <v>0.95477850697292876</v>
      </c>
      <c r="AJ433" s="62">
        <v>5327.3536000000004</v>
      </c>
      <c r="AK433" s="60">
        <v>3449.1735828958358</v>
      </c>
      <c r="AL433" t="s">
        <v>346</v>
      </c>
      <c r="AM433" t="s">
        <v>436</v>
      </c>
      <c r="AN433" t="s">
        <v>425</v>
      </c>
      <c r="AO433" t="s">
        <v>27</v>
      </c>
      <c r="AP433">
        <v>111.133</v>
      </c>
      <c r="AQ433">
        <v>1.0368587857491129</v>
      </c>
      <c r="AR433">
        <v>115.2292274366562</v>
      </c>
      <c r="AS433">
        <v>603.45000000000005</v>
      </c>
      <c r="AT433">
        <v>1</v>
      </c>
      <c r="AU433">
        <v>69.535077296650186</v>
      </c>
      <c r="AV433">
        <v>0.93979999999999997</v>
      </c>
      <c r="AW433" s="62">
        <v>65.349000000000004</v>
      </c>
      <c r="AX433">
        <v>8.9176000000000002</v>
      </c>
      <c r="AY433">
        <v>1</v>
      </c>
      <c r="AZ433">
        <v>5579.6748517596734</v>
      </c>
      <c r="BA433">
        <v>0.95477850697292876</v>
      </c>
      <c r="BB433" s="62">
        <v>5327.3536000000004</v>
      </c>
      <c r="BC433" s="60">
        <v>3449.1735828958358</v>
      </c>
    </row>
    <row r="434" spans="1:55" x14ac:dyDescent="0.25">
      <c r="A434">
        <v>99003</v>
      </c>
      <c r="B434" t="s">
        <v>115</v>
      </c>
      <c r="C434">
        <v>2018</v>
      </c>
      <c r="D434">
        <v>11</v>
      </c>
      <c r="E434" t="s">
        <v>100</v>
      </c>
      <c r="F434" t="s">
        <v>426</v>
      </c>
      <c r="G434" t="s">
        <v>84</v>
      </c>
      <c r="H434" t="s">
        <v>59</v>
      </c>
      <c r="I434" t="s">
        <v>427</v>
      </c>
      <c r="J434">
        <v>-5.0607741099999997</v>
      </c>
      <c r="K434" t="s">
        <v>440</v>
      </c>
      <c r="L434" t="s">
        <v>451</v>
      </c>
      <c r="M434">
        <v>1.7625750762999999E-3</v>
      </c>
      <c r="N434">
        <v>8.9199943115700498E-3</v>
      </c>
      <c r="O434">
        <v>30169.468000000001</v>
      </c>
      <c r="P434">
        <v>4.8744250000000003E-6</v>
      </c>
      <c r="Q434">
        <v>0.29411799999999999</v>
      </c>
      <c r="R434" s="60">
        <v>2.6235308869303601E-3</v>
      </c>
      <c r="S434" t="s">
        <v>346</v>
      </c>
      <c r="T434" t="s">
        <v>436</v>
      </c>
      <c r="U434" t="s">
        <v>425</v>
      </c>
      <c r="V434" t="s">
        <v>91</v>
      </c>
      <c r="W434">
        <v>111.133</v>
      </c>
      <c r="X434">
        <v>1.0368587857491129</v>
      </c>
      <c r="Y434">
        <v>115.2292274366562</v>
      </c>
      <c r="Z434">
        <v>603.45000000000005</v>
      </c>
      <c r="AA434">
        <v>1</v>
      </c>
      <c r="AB434">
        <v>69.535077296650186</v>
      </c>
      <c r="AC434">
        <v>0.99250000000000005</v>
      </c>
      <c r="AD434" s="62">
        <v>69.013999999999996</v>
      </c>
      <c r="AE434">
        <v>8.9176000000000002</v>
      </c>
      <c r="AF434">
        <v>9.2462919077962926</v>
      </c>
      <c r="AG434">
        <v>1</v>
      </c>
      <c r="AH434">
        <v>5579.6748517596734</v>
      </c>
      <c r="AI434">
        <v>0.96573604060913698</v>
      </c>
      <c r="AJ434" s="62">
        <v>5388.4930999999997</v>
      </c>
      <c r="AK434" s="60">
        <v>14.13687808186112</v>
      </c>
      <c r="AL434" t="s">
        <v>346</v>
      </c>
      <c r="AM434" t="s">
        <v>436</v>
      </c>
      <c r="AN434" t="s">
        <v>425</v>
      </c>
      <c r="AO434" t="s">
        <v>91</v>
      </c>
      <c r="AP434">
        <v>111.133</v>
      </c>
      <c r="AQ434">
        <v>1.0368587857491129</v>
      </c>
      <c r="AR434">
        <v>115.2292274366562</v>
      </c>
      <c r="AS434">
        <v>603.45000000000005</v>
      </c>
      <c r="AT434">
        <v>1</v>
      </c>
      <c r="AU434">
        <v>69.535077296650186</v>
      </c>
      <c r="AV434">
        <v>0.99250000000000005</v>
      </c>
      <c r="AW434" s="62">
        <v>69.013999999999996</v>
      </c>
      <c r="AX434">
        <v>8.9176000000000002</v>
      </c>
      <c r="AY434">
        <v>1</v>
      </c>
      <c r="AZ434">
        <v>5579.6748517596734</v>
      </c>
      <c r="BA434">
        <v>0.96573604060913698</v>
      </c>
      <c r="BB434" s="62">
        <v>5388.4930999999997</v>
      </c>
      <c r="BC434" s="60">
        <v>14.13687808186112</v>
      </c>
    </row>
    <row r="435" spans="1:55" x14ac:dyDescent="0.25">
      <c r="A435">
        <v>99005</v>
      </c>
      <c r="B435" t="s">
        <v>115</v>
      </c>
      <c r="C435">
        <v>2018</v>
      </c>
      <c r="D435">
        <v>11</v>
      </c>
      <c r="E435" t="s">
        <v>100</v>
      </c>
      <c r="F435" t="s">
        <v>426</v>
      </c>
      <c r="G435" t="s">
        <v>84</v>
      </c>
      <c r="H435" t="s">
        <v>59</v>
      </c>
      <c r="I435" t="s">
        <v>427</v>
      </c>
      <c r="J435">
        <v>-5.0607741099999997</v>
      </c>
      <c r="K435" t="s">
        <v>440</v>
      </c>
      <c r="L435" t="s">
        <v>452</v>
      </c>
      <c r="M435">
        <v>1.4858046103299999E-3</v>
      </c>
      <c r="N435">
        <v>7.5193215032120187E-3</v>
      </c>
      <c r="O435">
        <v>30169.468000000001</v>
      </c>
      <c r="P435">
        <v>4.8744250000000003E-6</v>
      </c>
      <c r="Q435">
        <v>0.29411799999999999</v>
      </c>
      <c r="R435" s="60">
        <v>2.2115678018817119E-3</v>
      </c>
      <c r="S435" t="s">
        <v>346</v>
      </c>
      <c r="T435" t="s">
        <v>436</v>
      </c>
      <c r="U435" t="s">
        <v>425</v>
      </c>
      <c r="V435" t="s">
        <v>28</v>
      </c>
      <c r="W435">
        <v>111.133</v>
      </c>
      <c r="X435">
        <v>1.0368587857491129</v>
      </c>
      <c r="Y435">
        <v>115.2292274366562</v>
      </c>
      <c r="Z435">
        <v>603.45000000000005</v>
      </c>
      <c r="AA435">
        <v>1</v>
      </c>
      <c r="AB435">
        <v>69.535077296650186</v>
      </c>
      <c r="AC435">
        <v>0.99760000000000004</v>
      </c>
      <c r="AD435" s="62">
        <v>69.367999999999995</v>
      </c>
      <c r="AE435">
        <v>8.9176000000000002</v>
      </c>
      <c r="AF435">
        <v>9.2462919077962926</v>
      </c>
      <c r="AG435">
        <v>1</v>
      </c>
      <c r="AH435">
        <v>5579.6748517596734</v>
      </c>
      <c r="AI435">
        <v>0.96062216971844849</v>
      </c>
      <c r="AJ435" s="62">
        <v>5359.9593999999997</v>
      </c>
      <c r="AK435" s="60">
        <v>11.85391362843322</v>
      </c>
      <c r="AL435" t="s">
        <v>346</v>
      </c>
      <c r="AM435" t="s">
        <v>436</v>
      </c>
      <c r="AN435" t="s">
        <v>425</v>
      </c>
      <c r="AO435" t="s">
        <v>28</v>
      </c>
      <c r="AP435">
        <v>111.133</v>
      </c>
      <c r="AQ435">
        <v>1.0368587857491129</v>
      </c>
      <c r="AR435">
        <v>115.2292274366562</v>
      </c>
      <c r="AS435">
        <v>603.45000000000005</v>
      </c>
      <c r="AT435">
        <v>1</v>
      </c>
      <c r="AU435">
        <v>69.535077296650186</v>
      </c>
      <c r="AV435">
        <v>0.99760000000000004</v>
      </c>
      <c r="AW435" s="62">
        <v>69.367999999999995</v>
      </c>
      <c r="AX435">
        <v>8.9176000000000002</v>
      </c>
      <c r="AY435">
        <v>1</v>
      </c>
      <c r="AZ435">
        <v>5579.6748517596734</v>
      </c>
      <c r="BA435">
        <v>0.96062216971844849</v>
      </c>
      <c r="BB435" s="62">
        <v>5359.9593999999997</v>
      </c>
      <c r="BC435" s="60">
        <v>11.85391362843322</v>
      </c>
    </row>
    <row r="436" spans="1:55" x14ac:dyDescent="0.25">
      <c r="A436">
        <v>103803</v>
      </c>
      <c r="B436" t="s">
        <v>116</v>
      </c>
      <c r="C436">
        <v>2018</v>
      </c>
      <c r="D436">
        <v>12</v>
      </c>
      <c r="E436" t="s">
        <v>100</v>
      </c>
      <c r="F436" t="s">
        <v>426</v>
      </c>
      <c r="G436" t="s">
        <v>84</v>
      </c>
      <c r="H436" t="s">
        <v>381</v>
      </c>
      <c r="I436" t="s">
        <v>427</v>
      </c>
      <c r="J436">
        <v>-9.5779341900000006</v>
      </c>
      <c r="K436" t="s">
        <v>440</v>
      </c>
      <c r="L436" t="s">
        <v>450</v>
      </c>
      <c r="M436">
        <v>0.15011157993331001</v>
      </c>
      <c r="N436">
        <v>1.4377588340870111</v>
      </c>
      <c r="O436">
        <v>30169.468000000001</v>
      </c>
      <c r="P436">
        <v>4.8744250000000003E-6</v>
      </c>
      <c r="Q436">
        <v>0.29411799999999999</v>
      </c>
      <c r="R436" s="60">
        <v>0.42287075276400338</v>
      </c>
      <c r="S436" t="s">
        <v>346</v>
      </c>
      <c r="T436" t="s">
        <v>436</v>
      </c>
      <c r="U436" t="s">
        <v>425</v>
      </c>
      <c r="V436" t="s">
        <v>26</v>
      </c>
      <c r="W436">
        <v>111.133</v>
      </c>
      <c r="X436">
        <v>1.0368587857491129</v>
      </c>
      <c r="Y436">
        <v>115.2292274366562</v>
      </c>
      <c r="Z436">
        <v>603.45000000000005</v>
      </c>
      <c r="AA436">
        <v>1</v>
      </c>
      <c r="AB436">
        <v>69.535077296650186</v>
      </c>
      <c r="AC436">
        <v>0.96209999999999996</v>
      </c>
      <c r="AD436" s="62">
        <v>66.900000000000006</v>
      </c>
      <c r="AE436">
        <v>8.9176000000000002</v>
      </c>
      <c r="AF436">
        <v>9.2462919077962926</v>
      </c>
      <c r="AG436">
        <v>1</v>
      </c>
      <c r="AH436">
        <v>5579.6748517596734</v>
      </c>
      <c r="AI436">
        <v>0.95992461065370505</v>
      </c>
      <c r="AJ436" s="62">
        <v>5356.0672000000004</v>
      </c>
      <c r="AK436" s="60">
        <v>2264.9241687185881</v>
      </c>
      <c r="AL436" t="s">
        <v>346</v>
      </c>
      <c r="AM436" t="s">
        <v>436</v>
      </c>
      <c r="AN436" t="s">
        <v>425</v>
      </c>
      <c r="AO436" t="s">
        <v>26</v>
      </c>
      <c r="AP436">
        <v>111.133</v>
      </c>
      <c r="AQ436">
        <v>1.0368587857491129</v>
      </c>
      <c r="AR436">
        <v>115.2292274366562</v>
      </c>
      <c r="AS436">
        <v>603.45000000000005</v>
      </c>
      <c r="AT436">
        <v>1</v>
      </c>
      <c r="AU436">
        <v>69.535077296650186</v>
      </c>
      <c r="AV436">
        <v>0.96209999999999996</v>
      </c>
      <c r="AW436" s="62">
        <v>66.900000000000006</v>
      </c>
      <c r="AX436">
        <v>8.9176000000000002</v>
      </c>
      <c r="AY436">
        <v>1</v>
      </c>
      <c r="AZ436">
        <v>5579.6748517596734</v>
      </c>
      <c r="BA436">
        <v>0.95992461065370505</v>
      </c>
      <c r="BB436" s="62">
        <v>5356.0672000000004</v>
      </c>
      <c r="BC436" s="60">
        <v>2264.9241687185881</v>
      </c>
    </row>
    <row r="437" spans="1:55" x14ac:dyDescent="0.25">
      <c r="A437">
        <v>103805</v>
      </c>
      <c r="B437" t="s">
        <v>116</v>
      </c>
      <c r="C437">
        <v>2018</v>
      </c>
      <c r="D437">
        <v>12</v>
      </c>
      <c r="E437" t="s">
        <v>100</v>
      </c>
      <c r="F437" t="s">
        <v>426</v>
      </c>
      <c r="G437" t="s">
        <v>84</v>
      </c>
      <c r="H437" t="s">
        <v>381</v>
      </c>
      <c r="I437" t="s">
        <v>427</v>
      </c>
      <c r="J437">
        <v>-9.5779341900000006</v>
      </c>
      <c r="K437" t="s">
        <v>440</v>
      </c>
      <c r="L437" t="s">
        <v>384</v>
      </c>
      <c r="M437">
        <v>4.5811354346740003E-2</v>
      </c>
      <c r="N437">
        <v>0.43877813718820319</v>
      </c>
      <c r="O437">
        <v>30169.468000000001</v>
      </c>
      <c r="P437">
        <v>4.8744250000000003E-6</v>
      </c>
      <c r="Q437">
        <v>0.29411799999999999</v>
      </c>
      <c r="R437" s="60">
        <v>0.12905254815351991</v>
      </c>
      <c r="S437" t="s">
        <v>346</v>
      </c>
      <c r="T437" t="s">
        <v>436</v>
      </c>
      <c r="U437" t="s">
        <v>425</v>
      </c>
      <c r="V437" t="s">
        <v>81</v>
      </c>
      <c r="W437">
        <v>111.133</v>
      </c>
      <c r="X437">
        <v>1.0368587857491129</v>
      </c>
      <c r="Y437">
        <v>115.2292274366562</v>
      </c>
      <c r="Z437">
        <v>603.45000000000005</v>
      </c>
      <c r="AA437">
        <v>1</v>
      </c>
      <c r="AB437">
        <v>69.535077296650186</v>
      </c>
      <c r="AC437">
        <v>0.90990000000000004</v>
      </c>
      <c r="AD437" s="62">
        <v>63.27</v>
      </c>
      <c r="AE437">
        <v>8.9176000000000002</v>
      </c>
      <c r="AF437">
        <v>9.2462919077962926</v>
      </c>
      <c r="AG437">
        <v>1</v>
      </c>
      <c r="AH437">
        <v>5579.6748517596734</v>
      </c>
      <c r="AI437">
        <v>1.053620848708487</v>
      </c>
      <c r="AJ437" s="62">
        <v>5878.8617999999997</v>
      </c>
      <c r="AK437" s="60">
        <v>758.68209553238887</v>
      </c>
      <c r="AL437" t="s">
        <v>346</v>
      </c>
      <c r="AM437" t="s">
        <v>436</v>
      </c>
      <c r="AN437" t="s">
        <v>425</v>
      </c>
      <c r="AO437" t="s">
        <v>81</v>
      </c>
      <c r="AP437">
        <v>111.133</v>
      </c>
      <c r="AQ437">
        <v>1.0368587857491129</v>
      </c>
      <c r="AR437">
        <v>115.2292274366562</v>
      </c>
      <c r="AS437">
        <v>603.45000000000005</v>
      </c>
      <c r="AT437">
        <v>1</v>
      </c>
      <c r="AU437">
        <v>69.535077296650186</v>
      </c>
      <c r="AV437">
        <v>0.90990000000000004</v>
      </c>
      <c r="AW437" s="62">
        <v>63.27</v>
      </c>
      <c r="AX437">
        <v>8.9176000000000002</v>
      </c>
      <c r="AY437">
        <v>1</v>
      </c>
      <c r="AZ437">
        <v>5579.6748517596734</v>
      </c>
      <c r="BA437">
        <v>1.053620848708487</v>
      </c>
      <c r="BB437" s="62">
        <v>5878.8617999999997</v>
      </c>
      <c r="BC437" s="60">
        <v>758.68209553238887</v>
      </c>
    </row>
    <row r="438" spans="1:55" x14ac:dyDescent="0.25">
      <c r="A438">
        <v>103807</v>
      </c>
      <c r="B438" t="s">
        <v>116</v>
      </c>
      <c r="C438">
        <v>2018</v>
      </c>
      <c r="D438">
        <v>12</v>
      </c>
      <c r="E438" t="s">
        <v>100</v>
      </c>
      <c r="F438" t="s">
        <v>426</v>
      </c>
      <c r="G438" t="s">
        <v>84</v>
      </c>
      <c r="H438" t="s">
        <v>381</v>
      </c>
      <c r="I438" t="s">
        <v>427</v>
      </c>
      <c r="J438">
        <v>-9.5779341900000006</v>
      </c>
      <c r="K438" t="s">
        <v>440</v>
      </c>
      <c r="L438" t="s">
        <v>385</v>
      </c>
      <c r="M438">
        <v>0.43232641346992001</v>
      </c>
      <c r="N438">
        <v>4.1407939377607024</v>
      </c>
      <c r="O438">
        <v>30169.468000000001</v>
      </c>
      <c r="P438">
        <v>4.8744250000000003E-6</v>
      </c>
      <c r="Q438">
        <v>0.29411799999999999</v>
      </c>
      <c r="R438" s="60">
        <v>1.2178820313863019</v>
      </c>
      <c r="S438" t="s">
        <v>346</v>
      </c>
      <c r="T438" t="s">
        <v>436</v>
      </c>
      <c r="U438" t="s">
        <v>425</v>
      </c>
      <c r="V438" t="s">
        <v>27</v>
      </c>
      <c r="W438">
        <v>111.133</v>
      </c>
      <c r="X438">
        <v>1.0368587857491129</v>
      </c>
      <c r="Y438">
        <v>115.2292274366562</v>
      </c>
      <c r="Z438">
        <v>603.45000000000005</v>
      </c>
      <c r="AA438">
        <v>1</v>
      </c>
      <c r="AB438">
        <v>69.535077296650186</v>
      </c>
      <c r="AC438">
        <v>0.93979999999999997</v>
      </c>
      <c r="AD438" s="62">
        <v>65.349000000000004</v>
      </c>
      <c r="AE438">
        <v>8.9176000000000002</v>
      </c>
      <c r="AF438">
        <v>9.2462919077962926</v>
      </c>
      <c r="AG438">
        <v>1</v>
      </c>
      <c r="AH438">
        <v>5579.6748517596734</v>
      </c>
      <c r="AI438">
        <v>0.95477850697292876</v>
      </c>
      <c r="AJ438" s="62">
        <v>5327.3536000000004</v>
      </c>
      <c r="AK438" s="60">
        <v>6488.0882242811304</v>
      </c>
      <c r="AL438" t="s">
        <v>346</v>
      </c>
      <c r="AM438" t="s">
        <v>436</v>
      </c>
      <c r="AN438" t="s">
        <v>425</v>
      </c>
      <c r="AO438" t="s">
        <v>27</v>
      </c>
      <c r="AP438">
        <v>111.133</v>
      </c>
      <c r="AQ438">
        <v>1.0368587857491129</v>
      </c>
      <c r="AR438">
        <v>115.2292274366562</v>
      </c>
      <c r="AS438">
        <v>603.45000000000005</v>
      </c>
      <c r="AT438">
        <v>1</v>
      </c>
      <c r="AU438">
        <v>69.535077296650186</v>
      </c>
      <c r="AV438">
        <v>0.93979999999999997</v>
      </c>
      <c r="AW438" s="62">
        <v>65.349000000000004</v>
      </c>
      <c r="AX438">
        <v>8.9176000000000002</v>
      </c>
      <c r="AY438">
        <v>1</v>
      </c>
      <c r="AZ438">
        <v>5579.6748517596734</v>
      </c>
      <c r="BA438">
        <v>0.95477850697292876</v>
      </c>
      <c r="BB438" s="62">
        <v>5327.3536000000004</v>
      </c>
      <c r="BC438" s="60">
        <v>6488.0882242811304</v>
      </c>
    </row>
    <row r="439" spans="1:55" x14ac:dyDescent="0.25">
      <c r="A439">
        <v>103809</v>
      </c>
      <c r="B439" t="s">
        <v>116</v>
      </c>
      <c r="C439">
        <v>2018</v>
      </c>
      <c r="D439">
        <v>12</v>
      </c>
      <c r="E439" t="s">
        <v>100</v>
      </c>
      <c r="F439" t="s">
        <v>426</v>
      </c>
      <c r="G439" t="s">
        <v>84</v>
      </c>
      <c r="H439" t="s">
        <v>381</v>
      </c>
      <c r="I439" t="s">
        <v>427</v>
      </c>
      <c r="J439">
        <v>-9.5779341900000006</v>
      </c>
      <c r="K439" t="s">
        <v>440</v>
      </c>
      <c r="L439" t="s">
        <v>451</v>
      </c>
      <c r="M439">
        <v>1.6825115802299999E-3</v>
      </c>
      <c r="N439">
        <v>1.611498519304165E-2</v>
      </c>
      <c r="O439">
        <v>30169.468000000001</v>
      </c>
      <c r="P439">
        <v>4.8744250000000003E-6</v>
      </c>
      <c r="Q439">
        <v>0.29411799999999999</v>
      </c>
      <c r="R439" s="60">
        <v>4.7397072150070236E-3</v>
      </c>
      <c r="S439" t="s">
        <v>346</v>
      </c>
      <c r="T439" t="s">
        <v>436</v>
      </c>
      <c r="U439" t="s">
        <v>425</v>
      </c>
      <c r="V439" t="s">
        <v>91</v>
      </c>
      <c r="W439">
        <v>111.133</v>
      </c>
      <c r="X439">
        <v>1.0368587857491129</v>
      </c>
      <c r="Y439">
        <v>115.2292274366562</v>
      </c>
      <c r="Z439">
        <v>603.45000000000005</v>
      </c>
      <c r="AA439">
        <v>1</v>
      </c>
      <c r="AB439">
        <v>69.535077296650186</v>
      </c>
      <c r="AC439">
        <v>0.99250000000000005</v>
      </c>
      <c r="AD439" s="62">
        <v>69.013999999999996</v>
      </c>
      <c r="AE439">
        <v>8.9176000000000002</v>
      </c>
      <c r="AF439">
        <v>9.2462919077962926</v>
      </c>
      <c r="AG439">
        <v>1</v>
      </c>
      <c r="AH439">
        <v>5579.6748517596734</v>
      </c>
      <c r="AI439">
        <v>0.96573604060913698</v>
      </c>
      <c r="AJ439" s="62">
        <v>5388.4930999999997</v>
      </c>
      <c r="AK439" s="60">
        <v>25.539879624085561</v>
      </c>
      <c r="AL439" t="s">
        <v>346</v>
      </c>
      <c r="AM439" t="s">
        <v>436</v>
      </c>
      <c r="AN439" t="s">
        <v>425</v>
      </c>
      <c r="AO439" t="s">
        <v>91</v>
      </c>
      <c r="AP439">
        <v>111.133</v>
      </c>
      <c r="AQ439">
        <v>1.0368587857491129</v>
      </c>
      <c r="AR439">
        <v>115.2292274366562</v>
      </c>
      <c r="AS439">
        <v>603.45000000000005</v>
      </c>
      <c r="AT439">
        <v>1</v>
      </c>
      <c r="AU439">
        <v>69.535077296650186</v>
      </c>
      <c r="AV439">
        <v>0.99250000000000005</v>
      </c>
      <c r="AW439" s="62">
        <v>69.013999999999996</v>
      </c>
      <c r="AX439">
        <v>8.9176000000000002</v>
      </c>
      <c r="AY439">
        <v>1</v>
      </c>
      <c r="AZ439">
        <v>5579.6748517596734</v>
      </c>
      <c r="BA439">
        <v>0.96573604060913698</v>
      </c>
      <c r="BB439" s="62">
        <v>5388.4930999999997</v>
      </c>
      <c r="BC439" s="60">
        <v>25.539879624085561</v>
      </c>
    </row>
    <row r="440" spans="1:55" x14ac:dyDescent="0.25">
      <c r="A440">
        <v>103811</v>
      </c>
      <c r="B440" t="s">
        <v>116</v>
      </c>
      <c r="C440">
        <v>2018</v>
      </c>
      <c r="D440">
        <v>12</v>
      </c>
      <c r="E440" t="s">
        <v>100</v>
      </c>
      <c r="F440" t="s">
        <v>426</v>
      </c>
      <c r="G440" t="s">
        <v>84</v>
      </c>
      <c r="H440" t="s">
        <v>381</v>
      </c>
      <c r="I440" t="s">
        <v>427</v>
      </c>
      <c r="J440">
        <v>-9.5779341900000006</v>
      </c>
      <c r="K440" t="s">
        <v>440</v>
      </c>
      <c r="L440" t="s">
        <v>452</v>
      </c>
      <c r="M440">
        <v>1.53682162831E-3</v>
      </c>
      <c r="N440">
        <v>1.4719576421088469E-2</v>
      </c>
      <c r="O440">
        <v>30169.468000000001</v>
      </c>
      <c r="P440">
        <v>4.8744250000000003E-6</v>
      </c>
      <c r="Q440">
        <v>0.29411799999999999</v>
      </c>
      <c r="R440" s="60">
        <v>4.3292923778176983E-3</v>
      </c>
      <c r="S440" t="s">
        <v>346</v>
      </c>
      <c r="T440" t="s">
        <v>436</v>
      </c>
      <c r="U440" t="s">
        <v>425</v>
      </c>
      <c r="V440" t="s">
        <v>28</v>
      </c>
      <c r="W440">
        <v>111.133</v>
      </c>
      <c r="X440">
        <v>1.0368587857491129</v>
      </c>
      <c r="Y440">
        <v>115.2292274366562</v>
      </c>
      <c r="Z440">
        <v>603.45000000000005</v>
      </c>
      <c r="AA440">
        <v>1</v>
      </c>
      <c r="AB440">
        <v>69.535077296650186</v>
      </c>
      <c r="AC440">
        <v>0.99760000000000004</v>
      </c>
      <c r="AD440" s="62">
        <v>69.367999999999995</v>
      </c>
      <c r="AE440">
        <v>8.9176000000000002</v>
      </c>
      <c r="AF440">
        <v>9.2462919077962926</v>
      </c>
      <c r="AG440">
        <v>1</v>
      </c>
      <c r="AH440">
        <v>5579.6748517596734</v>
      </c>
      <c r="AI440">
        <v>0.96062216971844849</v>
      </c>
      <c r="AJ440" s="62">
        <v>5359.9593999999997</v>
      </c>
      <c r="AK440" s="60">
        <v>23.20483137583232</v>
      </c>
      <c r="AL440" t="s">
        <v>346</v>
      </c>
      <c r="AM440" t="s">
        <v>436</v>
      </c>
      <c r="AN440" t="s">
        <v>425</v>
      </c>
      <c r="AO440" t="s">
        <v>28</v>
      </c>
      <c r="AP440">
        <v>111.133</v>
      </c>
      <c r="AQ440">
        <v>1.0368587857491129</v>
      </c>
      <c r="AR440">
        <v>115.2292274366562</v>
      </c>
      <c r="AS440">
        <v>603.45000000000005</v>
      </c>
      <c r="AT440">
        <v>1</v>
      </c>
      <c r="AU440">
        <v>69.535077296650186</v>
      </c>
      <c r="AV440">
        <v>0.99760000000000004</v>
      </c>
      <c r="AW440" s="62">
        <v>69.367999999999995</v>
      </c>
      <c r="AX440">
        <v>8.9176000000000002</v>
      </c>
      <c r="AY440">
        <v>1</v>
      </c>
      <c r="AZ440">
        <v>5579.6748517596734</v>
      </c>
      <c r="BA440">
        <v>0.96062216971844849</v>
      </c>
      <c r="BB440" s="62">
        <v>5359.9593999999997</v>
      </c>
      <c r="BC440" s="60">
        <v>23.20483137583232</v>
      </c>
    </row>
    <row r="441" spans="1:55" x14ac:dyDescent="0.25">
      <c r="A441">
        <v>103813</v>
      </c>
      <c r="B441" t="s">
        <v>116</v>
      </c>
      <c r="C441">
        <v>2018</v>
      </c>
      <c r="D441">
        <v>12</v>
      </c>
      <c r="E441" t="s">
        <v>100</v>
      </c>
      <c r="F441" t="s">
        <v>426</v>
      </c>
      <c r="G441" t="s">
        <v>84</v>
      </c>
      <c r="H441" t="s">
        <v>87</v>
      </c>
      <c r="I441" t="s">
        <v>427</v>
      </c>
      <c r="J441">
        <v>-1.76002901</v>
      </c>
      <c r="K441" t="s">
        <v>440</v>
      </c>
      <c r="L441" t="s">
        <v>450</v>
      </c>
      <c r="M441">
        <v>0.26601384014995</v>
      </c>
      <c r="N441">
        <v>0.46819207513056599</v>
      </c>
      <c r="O441">
        <v>30169.468000000001</v>
      </c>
      <c r="P441">
        <v>4.8744250000000003E-6</v>
      </c>
      <c r="Q441">
        <v>0.29411799999999999</v>
      </c>
      <c r="R441" s="60">
        <v>0.1377037167532518</v>
      </c>
      <c r="S441" t="s">
        <v>346</v>
      </c>
      <c r="T441" t="s">
        <v>436</v>
      </c>
      <c r="U441" t="s">
        <v>425</v>
      </c>
      <c r="V441" t="s">
        <v>26</v>
      </c>
      <c r="W441">
        <v>111.133</v>
      </c>
      <c r="X441">
        <v>1.0368587857491129</v>
      </c>
      <c r="Y441">
        <v>115.2292274366562</v>
      </c>
      <c r="Z441">
        <v>603.45000000000005</v>
      </c>
      <c r="AA441">
        <v>1</v>
      </c>
      <c r="AB441">
        <v>69.535077296650186</v>
      </c>
      <c r="AC441">
        <v>0.96209999999999996</v>
      </c>
      <c r="AD441" s="62">
        <v>66.900000000000006</v>
      </c>
      <c r="AE441">
        <v>8.9176000000000002</v>
      </c>
      <c r="AF441">
        <v>9.2462919077962926</v>
      </c>
      <c r="AG441">
        <v>1</v>
      </c>
      <c r="AH441">
        <v>5579.6748517596734</v>
      </c>
      <c r="AI441">
        <v>0.95992461065370505</v>
      </c>
      <c r="AJ441" s="62">
        <v>5356.0672000000004</v>
      </c>
      <c r="AK441" s="60">
        <v>737.55036062018269</v>
      </c>
      <c r="AL441" t="s">
        <v>346</v>
      </c>
      <c r="AM441" t="s">
        <v>436</v>
      </c>
      <c r="AN441" t="s">
        <v>425</v>
      </c>
      <c r="AO441" t="s">
        <v>26</v>
      </c>
      <c r="AP441">
        <v>111.133</v>
      </c>
      <c r="AQ441">
        <v>1.0368587857491129</v>
      </c>
      <c r="AR441">
        <v>115.2292274366562</v>
      </c>
      <c r="AS441">
        <v>603.45000000000005</v>
      </c>
      <c r="AT441">
        <v>1</v>
      </c>
      <c r="AU441">
        <v>69.535077296650186</v>
      </c>
      <c r="AV441">
        <v>0.96209999999999996</v>
      </c>
      <c r="AW441" s="62">
        <v>66.900000000000006</v>
      </c>
      <c r="AX441">
        <v>8.9176000000000002</v>
      </c>
      <c r="AY441">
        <v>1</v>
      </c>
      <c r="AZ441">
        <v>5579.6748517596734</v>
      </c>
      <c r="BA441">
        <v>0.95992461065370505</v>
      </c>
      <c r="BB441" s="62">
        <v>5356.0672000000004</v>
      </c>
      <c r="BC441" s="60">
        <v>737.55036062018269</v>
      </c>
    </row>
    <row r="442" spans="1:55" x14ac:dyDescent="0.25">
      <c r="A442">
        <v>103815</v>
      </c>
      <c r="B442" t="s">
        <v>116</v>
      </c>
      <c r="C442">
        <v>2018</v>
      </c>
      <c r="D442">
        <v>12</v>
      </c>
      <c r="E442" t="s">
        <v>100</v>
      </c>
      <c r="F442" t="s">
        <v>426</v>
      </c>
      <c r="G442" t="s">
        <v>84</v>
      </c>
      <c r="H442" t="s">
        <v>87</v>
      </c>
      <c r="I442" t="s">
        <v>427</v>
      </c>
      <c r="J442">
        <v>-1.76002901</v>
      </c>
      <c r="K442" t="s">
        <v>440</v>
      </c>
      <c r="L442" t="s">
        <v>384</v>
      </c>
      <c r="M442">
        <v>3.9509559941419997E-2</v>
      </c>
      <c r="N442">
        <v>6.9537971580883512E-2</v>
      </c>
      <c r="O442">
        <v>30169.468000000001</v>
      </c>
      <c r="P442">
        <v>4.8744250000000003E-6</v>
      </c>
      <c r="Q442">
        <v>0.29411799999999999</v>
      </c>
      <c r="R442" s="60">
        <v>2.0452369125426299E-2</v>
      </c>
      <c r="S442" t="s">
        <v>346</v>
      </c>
      <c r="T442" t="s">
        <v>436</v>
      </c>
      <c r="U442" t="s">
        <v>425</v>
      </c>
      <c r="V442" t="s">
        <v>81</v>
      </c>
      <c r="W442">
        <v>111.133</v>
      </c>
      <c r="X442">
        <v>1.0368587857491129</v>
      </c>
      <c r="Y442">
        <v>115.2292274366562</v>
      </c>
      <c r="Z442">
        <v>603.45000000000005</v>
      </c>
      <c r="AA442">
        <v>1</v>
      </c>
      <c r="AB442">
        <v>69.535077296650186</v>
      </c>
      <c r="AC442">
        <v>0.90990000000000004</v>
      </c>
      <c r="AD442" s="62">
        <v>63.27</v>
      </c>
      <c r="AE442">
        <v>8.9176000000000002</v>
      </c>
      <c r="AF442">
        <v>9.2462919077962926</v>
      </c>
      <c r="AG442">
        <v>1</v>
      </c>
      <c r="AH442">
        <v>5579.6748517596734</v>
      </c>
      <c r="AI442">
        <v>1.053620848708487</v>
      </c>
      <c r="AJ442" s="62">
        <v>5878.8617999999997</v>
      </c>
      <c r="AK442" s="60">
        <v>120.23665157096799</v>
      </c>
      <c r="AL442" t="s">
        <v>346</v>
      </c>
      <c r="AM442" t="s">
        <v>436</v>
      </c>
      <c r="AN442" t="s">
        <v>425</v>
      </c>
      <c r="AO442" t="s">
        <v>81</v>
      </c>
      <c r="AP442">
        <v>111.133</v>
      </c>
      <c r="AQ442">
        <v>1.0368587857491129</v>
      </c>
      <c r="AR442">
        <v>115.2292274366562</v>
      </c>
      <c r="AS442">
        <v>603.45000000000005</v>
      </c>
      <c r="AT442">
        <v>1</v>
      </c>
      <c r="AU442">
        <v>69.535077296650186</v>
      </c>
      <c r="AV442">
        <v>0.90990000000000004</v>
      </c>
      <c r="AW442" s="62">
        <v>63.27</v>
      </c>
      <c r="AX442">
        <v>8.9176000000000002</v>
      </c>
      <c r="AY442">
        <v>1</v>
      </c>
      <c r="AZ442">
        <v>5579.6748517596734</v>
      </c>
      <c r="BA442">
        <v>1.053620848708487</v>
      </c>
      <c r="BB442" s="62">
        <v>5878.8617999999997</v>
      </c>
      <c r="BC442" s="60">
        <v>120.23665157096799</v>
      </c>
    </row>
    <row r="443" spans="1:55" x14ac:dyDescent="0.25">
      <c r="A443">
        <v>103817</v>
      </c>
      <c r="B443" t="s">
        <v>116</v>
      </c>
      <c r="C443">
        <v>2018</v>
      </c>
      <c r="D443">
        <v>12</v>
      </c>
      <c r="E443" t="s">
        <v>100</v>
      </c>
      <c r="F443" t="s">
        <v>426</v>
      </c>
      <c r="G443" t="s">
        <v>84</v>
      </c>
      <c r="H443" t="s">
        <v>87</v>
      </c>
      <c r="I443" t="s">
        <v>427</v>
      </c>
      <c r="J443">
        <v>-1.76002901</v>
      </c>
      <c r="K443" t="s">
        <v>440</v>
      </c>
      <c r="L443" t="s">
        <v>385</v>
      </c>
      <c r="M443">
        <v>0.39737542925016001</v>
      </c>
      <c r="N443">
        <v>0.69939228245289031</v>
      </c>
      <c r="O443">
        <v>30169.468000000001</v>
      </c>
      <c r="P443">
        <v>4.8744250000000003E-6</v>
      </c>
      <c r="Q443">
        <v>0.29411799999999999</v>
      </c>
      <c r="R443" s="60">
        <v>0.20570385933047919</v>
      </c>
      <c r="S443" t="s">
        <v>346</v>
      </c>
      <c r="T443" t="s">
        <v>436</v>
      </c>
      <c r="U443" t="s">
        <v>425</v>
      </c>
      <c r="V443" t="s">
        <v>27</v>
      </c>
      <c r="W443">
        <v>111.133</v>
      </c>
      <c r="X443">
        <v>1.0368587857491129</v>
      </c>
      <c r="Y443">
        <v>115.2292274366562</v>
      </c>
      <c r="Z443">
        <v>603.45000000000005</v>
      </c>
      <c r="AA443">
        <v>1</v>
      </c>
      <c r="AB443">
        <v>69.535077296650186</v>
      </c>
      <c r="AC443">
        <v>0.93979999999999997</v>
      </c>
      <c r="AD443" s="62">
        <v>65.349000000000004</v>
      </c>
      <c r="AE443">
        <v>8.9176000000000002</v>
      </c>
      <c r="AF443">
        <v>9.2462919077962926</v>
      </c>
      <c r="AG443">
        <v>1</v>
      </c>
      <c r="AH443">
        <v>5579.6748517596734</v>
      </c>
      <c r="AI443">
        <v>0.95477850697292876</v>
      </c>
      <c r="AJ443" s="62">
        <v>5327.3536000000004</v>
      </c>
      <c r="AK443" s="60">
        <v>1095.8571955381219</v>
      </c>
      <c r="AL443" t="s">
        <v>346</v>
      </c>
      <c r="AM443" t="s">
        <v>436</v>
      </c>
      <c r="AN443" t="s">
        <v>425</v>
      </c>
      <c r="AO443" t="s">
        <v>27</v>
      </c>
      <c r="AP443">
        <v>111.133</v>
      </c>
      <c r="AQ443">
        <v>1.0368587857491129</v>
      </c>
      <c r="AR443">
        <v>115.2292274366562</v>
      </c>
      <c r="AS443">
        <v>603.45000000000005</v>
      </c>
      <c r="AT443">
        <v>1</v>
      </c>
      <c r="AU443">
        <v>69.535077296650186</v>
      </c>
      <c r="AV443">
        <v>0.93979999999999997</v>
      </c>
      <c r="AW443" s="62">
        <v>65.349000000000004</v>
      </c>
      <c r="AX443">
        <v>8.9176000000000002</v>
      </c>
      <c r="AY443">
        <v>1</v>
      </c>
      <c r="AZ443">
        <v>5579.6748517596734</v>
      </c>
      <c r="BA443">
        <v>0.95477850697292876</v>
      </c>
      <c r="BB443" s="62">
        <v>5327.3536000000004</v>
      </c>
      <c r="BC443" s="60">
        <v>1095.8571955381219</v>
      </c>
    </row>
    <row r="444" spans="1:55" x14ac:dyDescent="0.25">
      <c r="A444">
        <v>103819</v>
      </c>
      <c r="B444" t="s">
        <v>116</v>
      </c>
      <c r="C444">
        <v>2018</v>
      </c>
      <c r="D444">
        <v>12</v>
      </c>
      <c r="E444" t="s">
        <v>100</v>
      </c>
      <c r="F444" t="s">
        <v>426</v>
      </c>
      <c r="G444" t="s">
        <v>84</v>
      </c>
      <c r="H444" t="s">
        <v>87</v>
      </c>
      <c r="I444" t="s">
        <v>427</v>
      </c>
      <c r="J444">
        <v>-1.76002901</v>
      </c>
      <c r="K444" t="s">
        <v>440</v>
      </c>
      <c r="L444" t="s">
        <v>452</v>
      </c>
      <c r="M444">
        <v>8.4248020759000004E-4</v>
      </c>
      <c r="N444">
        <v>1.482789603825304E-3</v>
      </c>
      <c r="O444">
        <v>30169.468000000001</v>
      </c>
      <c r="P444">
        <v>4.8744250000000003E-6</v>
      </c>
      <c r="Q444">
        <v>0.29411799999999999</v>
      </c>
      <c r="R444" s="60">
        <v>4.3611511269789078E-4</v>
      </c>
      <c r="S444" t="s">
        <v>346</v>
      </c>
      <c r="T444" t="s">
        <v>436</v>
      </c>
      <c r="U444" t="s">
        <v>425</v>
      </c>
      <c r="V444" t="s">
        <v>28</v>
      </c>
      <c r="W444">
        <v>111.133</v>
      </c>
      <c r="X444">
        <v>1.0368587857491129</v>
      </c>
      <c r="Y444">
        <v>115.2292274366562</v>
      </c>
      <c r="Z444">
        <v>603.45000000000005</v>
      </c>
      <c r="AA444">
        <v>1</v>
      </c>
      <c r="AB444">
        <v>69.535077296650186</v>
      </c>
      <c r="AC444">
        <v>0.99760000000000004</v>
      </c>
      <c r="AD444" s="62">
        <v>69.367999999999995</v>
      </c>
      <c r="AE444">
        <v>8.9176000000000002</v>
      </c>
      <c r="AF444">
        <v>9.2462919077962926</v>
      </c>
      <c r="AG444">
        <v>1</v>
      </c>
      <c r="AH444">
        <v>5579.6748517596734</v>
      </c>
      <c r="AI444">
        <v>0.96062216971844849</v>
      </c>
      <c r="AJ444" s="62">
        <v>5359.9593999999997</v>
      </c>
      <c r="AK444" s="60">
        <v>2.3375592977871191</v>
      </c>
      <c r="AL444" t="s">
        <v>346</v>
      </c>
      <c r="AM444" t="s">
        <v>436</v>
      </c>
      <c r="AN444" t="s">
        <v>425</v>
      </c>
      <c r="AO444" t="s">
        <v>28</v>
      </c>
      <c r="AP444">
        <v>111.133</v>
      </c>
      <c r="AQ444">
        <v>1.0368587857491129</v>
      </c>
      <c r="AR444">
        <v>115.2292274366562</v>
      </c>
      <c r="AS444">
        <v>603.45000000000005</v>
      </c>
      <c r="AT444">
        <v>1</v>
      </c>
      <c r="AU444">
        <v>69.535077296650186</v>
      </c>
      <c r="AV444">
        <v>0.99760000000000004</v>
      </c>
      <c r="AW444" s="62">
        <v>69.367999999999995</v>
      </c>
      <c r="AX444">
        <v>8.9176000000000002</v>
      </c>
      <c r="AY444">
        <v>1</v>
      </c>
      <c r="AZ444">
        <v>5579.6748517596734</v>
      </c>
      <c r="BA444">
        <v>0.96062216971844849</v>
      </c>
      <c r="BB444" s="62">
        <v>5359.9593999999997</v>
      </c>
      <c r="BC444" s="60">
        <v>2.3375592977871191</v>
      </c>
    </row>
    <row r="445" spans="1:55" x14ac:dyDescent="0.25">
      <c r="A445">
        <v>103821</v>
      </c>
      <c r="B445" t="s">
        <v>116</v>
      </c>
      <c r="C445">
        <v>2018</v>
      </c>
      <c r="D445">
        <v>12</v>
      </c>
      <c r="E445" t="s">
        <v>100</v>
      </c>
      <c r="F445" t="s">
        <v>426</v>
      </c>
      <c r="G445" t="s">
        <v>84</v>
      </c>
      <c r="H445" t="s">
        <v>59</v>
      </c>
      <c r="I445" t="s">
        <v>427</v>
      </c>
      <c r="J445">
        <v>-5.0607741099999997</v>
      </c>
      <c r="K445" t="s">
        <v>440</v>
      </c>
      <c r="L445" t="s">
        <v>450</v>
      </c>
      <c r="M445">
        <v>0.15931709696460999</v>
      </c>
      <c r="N445">
        <v>0.80626783946325076</v>
      </c>
      <c r="O445">
        <v>30169.468000000001</v>
      </c>
      <c r="P445">
        <v>4.8744250000000003E-6</v>
      </c>
      <c r="Q445">
        <v>0.29411799999999999</v>
      </c>
      <c r="R445" s="60">
        <v>0.23713788440725239</v>
      </c>
      <c r="S445" t="s">
        <v>346</v>
      </c>
      <c r="T445" t="s">
        <v>436</v>
      </c>
      <c r="U445" t="s">
        <v>425</v>
      </c>
      <c r="V445" t="s">
        <v>26</v>
      </c>
      <c r="W445">
        <v>111.133</v>
      </c>
      <c r="X445">
        <v>1.0368587857491129</v>
      </c>
      <c r="Y445">
        <v>115.2292274366562</v>
      </c>
      <c r="Z445">
        <v>603.45000000000005</v>
      </c>
      <c r="AA445">
        <v>1</v>
      </c>
      <c r="AB445">
        <v>69.535077296650186</v>
      </c>
      <c r="AC445">
        <v>0.96209999999999996</v>
      </c>
      <c r="AD445" s="62">
        <v>66.900000000000006</v>
      </c>
      <c r="AE445">
        <v>8.9176000000000002</v>
      </c>
      <c r="AF445">
        <v>9.2462919077962926</v>
      </c>
      <c r="AG445">
        <v>1</v>
      </c>
      <c r="AH445">
        <v>5579.6748517596734</v>
      </c>
      <c r="AI445">
        <v>0.95992461065370505</v>
      </c>
      <c r="AJ445" s="62">
        <v>5356.0672000000004</v>
      </c>
      <c r="AK445" s="60">
        <v>1270.126444551076</v>
      </c>
      <c r="AL445" t="s">
        <v>346</v>
      </c>
      <c r="AM445" t="s">
        <v>436</v>
      </c>
      <c r="AN445" t="s">
        <v>425</v>
      </c>
      <c r="AO445" t="s">
        <v>26</v>
      </c>
      <c r="AP445">
        <v>111.133</v>
      </c>
      <c r="AQ445">
        <v>1.0368587857491129</v>
      </c>
      <c r="AR445">
        <v>115.2292274366562</v>
      </c>
      <c r="AS445">
        <v>603.45000000000005</v>
      </c>
      <c r="AT445">
        <v>1</v>
      </c>
      <c r="AU445">
        <v>69.535077296650186</v>
      </c>
      <c r="AV445">
        <v>0.96209999999999996</v>
      </c>
      <c r="AW445" s="62">
        <v>66.900000000000006</v>
      </c>
      <c r="AX445">
        <v>8.9176000000000002</v>
      </c>
      <c r="AY445">
        <v>1</v>
      </c>
      <c r="AZ445">
        <v>5579.6748517596734</v>
      </c>
      <c r="BA445">
        <v>0.95992461065370505</v>
      </c>
      <c r="BB445" s="62">
        <v>5356.0672000000004</v>
      </c>
      <c r="BC445" s="60">
        <v>1270.126444551076</v>
      </c>
    </row>
    <row r="446" spans="1:55" x14ac:dyDescent="0.25">
      <c r="A446">
        <v>103823</v>
      </c>
      <c r="B446" t="s">
        <v>116</v>
      </c>
      <c r="C446">
        <v>2018</v>
      </c>
      <c r="D446">
        <v>12</v>
      </c>
      <c r="E446" t="s">
        <v>100</v>
      </c>
      <c r="F446" t="s">
        <v>426</v>
      </c>
      <c r="G446" t="s">
        <v>84</v>
      </c>
      <c r="H446" t="s">
        <v>59</v>
      </c>
      <c r="I446" t="s">
        <v>427</v>
      </c>
      <c r="J446">
        <v>-5.0607741099999997</v>
      </c>
      <c r="K446" t="s">
        <v>440</v>
      </c>
      <c r="L446" t="s">
        <v>384</v>
      </c>
      <c r="M446">
        <v>4.1785183859599999E-2</v>
      </c>
      <c r="N446">
        <v>0.21146537662268691</v>
      </c>
      <c r="O446">
        <v>30169.468000000001</v>
      </c>
      <c r="P446">
        <v>4.8744250000000003E-6</v>
      </c>
      <c r="Q446">
        <v>0.29411799999999999</v>
      </c>
      <c r="R446" s="60">
        <v>6.2195773641511437E-2</v>
      </c>
      <c r="S446" t="s">
        <v>346</v>
      </c>
      <c r="T446" t="s">
        <v>436</v>
      </c>
      <c r="U446" t="s">
        <v>425</v>
      </c>
      <c r="V446" t="s">
        <v>81</v>
      </c>
      <c r="W446">
        <v>111.133</v>
      </c>
      <c r="X446">
        <v>1.0368587857491129</v>
      </c>
      <c r="Y446">
        <v>115.2292274366562</v>
      </c>
      <c r="Z446">
        <v>603.45000000000005</v>
      </c>
      <c r="AA446">
        <v>1</v>
      </c>
      <c r="AB446">
        <v>69.535077296650186</v>
      </c>
      <c r="AC446">
        <v>0.90990000000000004</v>
      </c>
      <c r="AD446" s="62">
        <v>63.27</v>
      </c>
      <c r="AE446">
        <v>8.9176000000000002</v>
      </c>
      <c r="AF446">
        <v>9.2462919077962926</v>
      </c>
      <c r="AG446">
        <v>1</v>
      </c>
      <c r="AH446">
        <v>5579.6748517596734</v>
      </c>
      <c r="AI446">
        <v>1.053620848708487</v>
      </c>
      <c r="AJ446" s="62">
        <v>5878.8617999999997</v>
      </c>
      <c r="AK446" s="60">
        <v>365.64035778252838</v>
      </c>
      <c r="AL446" t="s">
        <v>346</v>
      </c>
      <c r="AM446" t="s">
        <v>436</v>
      </c>
      <c r="AN446" t="s">
        <v>425</v>
      </c>
      <c r="AO446" t="s">
        <v>81</v>
      </c>
      <c r="AP446">
        <v>111.133</v>
      </c>
      <c r="AQ446">
        <v>1.0368587857491129</v>
      </c>
      <c r="AR446">
        <v>115.2292274366562</v>
      </c>
      <c r="AS446">
        <v>603.45000000000005</v>
      </c>
      <c r="AT446">
        <v>1</v>
      </c>
      <c r="AU446">
        <v>69.535077296650186</v>
      </c>
      <c r="AV446">
        <v>0.90990000000000004</v>
      </c>
      <c r="AW446" s="62">
        <v>63.27</v>
      </c>
      <c r="AX446">
        <v>8.9176000000000002</v>
      </c>
      <c r="AY446">
        <v>1</v>
      </c>
      <c r="AZ446">
        <v>5579.6748517596734</v>
      </c>
      <c r="BA446">
        <v>1.053620848708487</v>
      </c>
      <c r="BB446" s="62">
        <v>5878.8617999999997</v>
      </c>
      <c r="BC446" s="60">
        <v>365.64035778252838</v>
      </c>
    </row>
    <row r="447" spans="1:55" x14ac:dyDescent="0.25">
      <c r="A447">
        <v>103825</v>
      </c>
      <c r="B447" t="s">
        <v>116</v>
      </c>
      <c r="C447">
        <v>2018</v>
      </c>
      <c r="D447">
        <v>12</v>
      </c>
      <c r="E447" t="s">
        <v>100</v>
      </c>
      <c r="F447" t="s">
        <v>426</v>
      </c>
      <c r="G447" t="s">
        <v>84</v>
      </c>
      <c r="H447" t="s">
        <v>59</v>
      </c>
      <c r="I447" t="s">
        <v>427</v>
      </c>
      <c r="J447">
        <v>-5.0607741099999997</v>
      </c>
      <c r="K447" t="s">
        <v>440</v>
      </c>
      <c r="L447" t="s">
        <v>385</v>
      </c>
      <c r="M447">
        <v>0.43497567483749999</v>
      </c>
      <c r="N447">
        <v>2.2013136333271568</v>
      </c>
      <c r="O447">
        <v>30169.468000000001</v>
      </c>
      <c r="P447">
        <v>4.8744250000000003E-6</v>
      </c>
      <c r="Q447">
        <v>0.29411799999999999</v>
      </c>
      <c r="R447" s="60">
        <v>0.64744596320691683</v>
      </c>
      <c r="S447" t="s">
        <v>346</v>
      </c>
      <c r="T447" t="s">
        <v>436</v>
      </c>
      <c r="U447" t="s">
        <v>425</v>
      </c>
      <c r="V447" t="s">
        <v>27</v>
      </c>
      <c r="W447">
        <v>111.133</v>
      </c>
      <c r="X447">
        <v>1.0368587857491129</v>
      </c>
      <c r="Y447">
        <v>115.2292274366562</v>
      </c>
      <c r="Z447">
        <v>603.45000000000005</v>
      </c>
      <c r="AA447">
        <v>1</v>
      </c>
      <c r="AB447">
        <v>69.535077296650186</v>
      </c>
      <c r="AC447">
        <v>0.93979999999999997</v>
      </c>
      <c r="AD447" s="62">
        <v>65.349000000000004</v>
      </c>
      <c r="AE447">
        <v>8.9176000000000002</v>
      </c>
      <c r="AF447">
        <v>9.2462919077962926</v>
      </c>
      <c r="AG447">
        <v>1</v>
      </c>
      <c r="AH447">
        <v>5579.6748517596734</v>
      </c>
      <c r="AI447">
        <v>0.95477850697292876</v>
      </c>
      <c r="AJ447" s="62">
        <v>5327.3536000000004</v>
      </c>
      <c r="AK447" s="60">
        <v>3449.1735828958358</v>
      </c>
      <c r="AL447" t="s">
        <v>346</v>
      </c>
      <c r="AM447" t="s">
        <v>436</v>
      </c>
      <c r="AN447" t="s">
        <v>425</v>
      </c>
      <c r="AO447" t="s">
        <v>27</v>
      </c>
      <c r="AP447">
        <v>111.133</v>
      </c>
      <c r="AQ447">
        <v>1.0368587857491129</v>
      </c>
      <c r="AR447">
        <v>115.2292274366562</v>
      </c>
      <c r="AS447">
        <v>603.45000000000005</v>
      </c>
      <c r="AT447">
        <v>1</v>
      </c>
      <c r="AU447">
        <v>69.535077296650186</v>
      </c>
      <c r="AV447">
        <v>0.93979999999999997</v>
      </c>
      <c r="AW447" s="62">
        <v>65.349000000000004</v>
      </c>
      <c r="AX447">
        <v>8.9176000000000002</v>
      </c>
      <c r="AY447">
        <v>1</v>
      </c>
      <c r="AZ447">
        <v>5579.6748517596734</v>
      </c>
      <c r="BA447">
        <v>0.95477850697292876</v>
      </c>
      <c r="BB447" s="62">
        <v>5327.3536000000004</v>
      </c>
      <c r="BC447" s="60">
        <v>3449.1735828958358</v>
      </c>
    </row>
    <row r="448" spans="1:55" x14ac:dyDescent="0.25">
      <c r="A448">
        <v>103827</v>
      </c>
      <c r="B448" t="s">
        <v>116</v>
      </c>
      <c r="C448">
        <v>2018</v>
      </c>
      <c r="D448">
        <v>12</v>
      </c>
      <c r="E448" t="s">
        <v>100</v>
      </c>
      <c r="F448" t="s">
        <v>426</v>
      </c>
      <c r="G448" t="s">
        <v>84</v>
      </c>
      <c r="H448" t="s">
        <v>59</v>
      </c>
      <c r="I448" t="s">
        <v>427</v>
      </c>
      <c r="J448">
        <v>-5.0607741099999997</v>
      </c>
      <c r="K448" t="s">
        <v>440</v>
      </c>
      <c r="L448" t="s">
        <v>451</v>
      </c>
      <c r="M448">
        <v>1.7625750762999999E-3</v>
      </c>
      <c r="N448">
        <v>8.9199943115700498E-3</v>
      </c>
      <c r="O448">
        <v>30169.468000000001</v>
      </c>
      <c r="P448">
        <v>4.8744250000000003E-6</v>
      </c>
      <c r="Q448">
        <v>0.29411799999999999</v>
      </c>
      <c r="R448" s="60">
        <v>2.6235308869303601E-3</v>
      </c>
      <c r="S448" t="s">
        <v>346</v>
      </c>
      <c r="T448" t="s">
        <v>436</v>
      </c>
      <c r="U448" t="s">
        <v>425</v>
      </c>
      <c r="V448" t="s">
        <v>91</v>
      </c>
      <c r="W448">
        <v>111.133</v>
      </c>
      <c r="X448">
        <v>1.0368587857491129</v>
      </c>
      <c r="Y448">
        <v>115.2292274366562</v>
      </c>
      <c r="Z448">
        <v>603.45000000000005</v>
      </c>
      <c r="AA448">
        <v>1</v>
      </c>
      <c r="AB448">
        <v>69.535077296650186</v>
      </c>
      <c r="AC448">
        <v>0.99250000000000005</v>
      </c>
      <c r="AD448" s="62">
        <v>69.013999999999996</v>
      </c>
      <c r="AE448">
        <v>8.9176000000000002</v>
      </c>
      <c r="AF448">
        <v>9.2462919077962926</v>
      </c>
      <c r="AG448">
        <v>1</v>
      </c>
      <c r="AH448">
        <v>5579.6748517596734</v>
      </c>
      <c r="AI448">
        <v>0.96573604060913698</v>
      </c>
      <c r="AJ448" s="62">
        <v>5388.4930999999997</v>
      </c>
      <c r="AK448" s="60">
        <v>14.13687808186112</v>
      </c>
      <c r="AL448" t="s">
        <v>346</v>
      </c>
      <c r="AM448" t="s">
        <v>436</v>
      </c>
      <c r="AN448" t="s">
        <v>425</v>
      </c>
      <c r="AO448" t="s">
        <v>91</v>
      </c>
      <c r="AP448">
        <v>111.133</v>
      </c>
      <c r="AQ448">
        <v>1.0368587857491129</v>
      </c>
      <c r="AR448">
        <v>115.2292274366562</v>
      </c>
      <c r="AS448">
        <v>603.45000000000005</v>
      </c>
      <c r="AT448">
        <v>1</v>
      </c>
      <c r="AU448">
        <v>69.535077296650186</v>
      </c>
      <c r="AV448">
        <v>0.99250000000000005</v>
      </c>
      <c r="AW448" s="62">
        <v>69.013999999999996</v>
      </c>
      <c r="AX448">
        <v>8.9176000000000002</v>
      </c>
      <c r="AY448">
        <v>1</v>
      </c>
      <c r="AZ448">
        <v>5579.6748517596734</v>
      </c>
      <c r="BA448">
        <v>0.96573604060913698</v>
      </c>
      <c r="BB448" s="62">
        <v>5388.4930999999997</v>
      </c>
      <c r="BC448" s="60">
        <v>14.13687808186112</v>
      </c>
    </row>
    <row r="449" spans="1:55" x14ac:dyDescent="0.25">
      <c r="A449">
        <v>103829</v>
      </c>
      <c r="B449" t="s">
        <v>116</v>
      </c>
      <c r="C449">
        <v>2018</v>
      </c>
      <c r="D449">
        <v>12</v>
      </c>
      <c r="E449" t="s">
        <v>100</v>
      </c>
      <c r="F449" t="s">
        <v>426</v>
      </c>
      <c r="G449" t="s">
        <v>84</v>
      </c>
      <c r="H449" t="s">
        <v>59</v>
      </c>
      <c r="I449" t="s">
        <v>427</v>
      </c>
      <c r="J449">
        <v>-5.0607741099999997</v>
      </c>
      <c r="K449" t="s">
        <v>440</v>
      </c>
      <c r="L449" t="s">
        <v>452</v>
      </c>
      <c r="M449">
        <v>1.4858046103299999E-3</v>
      </c>
      <c r="N449">
        <v>7.5193215032120187E-3</v>
      </c>
      <c r="O449">
        <v>30169.468000000001</v>
      </c>
      <c r="P449">
        <v>4.8744250000000003E-6</v>
      </c>
      <c r="Q449">
        <v>0.29411799999999999</v>
      </c>
      <c r="R449" s="60">
        <v>2.2115678018817119E-3</v>
      </c>
      <c r="S449" t="s">
        <v>346</v>
      </c>
      <c r="T449" t="s">
        <v>436</v>
      </c>
      <c r="U449" t="s">
        <v>425</v>
      </c>
      <c r="V449" t="s">
        <v>28</v>
      </c>
      <c r="W449">
        <v>111.133</v>
      </c>
      <c r="X449">
        <v>1.0368587857491129</v>
      </c>
      <c r="Y449">
        <v>115.2292274366562</v>
      </c>
      <c r="Z449">
        <v>603.45000000000005</v>
      </c>
      <c r="AA449">
        <v>1</v>
      </c>
      <c r="AB449">
        <v>69.535077296650186</v>
      </c>
      <c r="AC449">
        <v>0.99760000000000004</v>
      </c>
      <c r="AD449" s="62">
        <v>69.367999999999995</v>
      </c>
      <c r="AE449">
        <v>8.9176000000000002</v>
      </c>
      <c r="AF449">
        <v>9.2462919077962926</v>
      </c>
      <c r="AG449">
        <v>1</v>
      </c>
      <c r="AH449">
        <v>5579.6748517596734</v>
      </c>
      <c r="AI449">
        <v>0.96062216971844849</v>
      </c>
      <c r="AJ449" s="62">
        <v>5359.9593999999997</v>
      </c>
      <c r="AK449" s="60">
        <v>11.85391362843322</v>
      </c>
      <c r="AL449" t="s">
        <v>346</v>
      </c>
      <c r="AM449" t="s">
        <v>436</v>
      </c>
      <c r="AN449" t="s">
        <v>425</v>
      </c>
      <c r="AO449" t="s">
        <v>28</v>
      </c>
      <c r="AP449">
        <v>111.133</v>
      </c>
      <c r="AQ449">
        <v>1.0368587857491129</v>
      </c>
      <c r="AR449">
        <v>115.2292274366562</v>
      </c>
      <c r="AS449">
        <v>603.45000000000005</v>
      </c>
      <c r="AT449">
        <v>1</v>
      </c>
      <c r="AU449">
        <v>69.535077296650186</v>
      </c>
      <c r="AV449">
        <v>0.99760000000000004</v>
      </c>
      <c r="AW449" s="62">
        <v>69.367999999999995</v>
      </c>
      <c r="AX449">
        <v>8.9176000000000002</v>
      </c>
      <c r="AY449">
        <v>1</v>
      </c>
      <c r="AZ449">
        <v>5579.6748517596734</v>
      </c>
      <c r="BA449">
        <v>0.96062216971844849</v>
      </c>
      <c r="BB449" s="62">
        <v>5359.9593999999997</v>
      </c>
      <c r="BC449" s="60">
        <v>11.85391362843322</v>
      </c>
    </row>
    <row r="450" spans="1:55" x14ac:dyDescent="0.25">
      <c r="A450">
        <v>109451</v>
      </c>
      <c r="B450" t="s">
        <v>145</v>
      </c>
      <c r="C450">
        <v>2019</v>
      </c>
      <c r="D450">
        <v>1</v>
      </c>
      <c r="E450" t="s">
        <v>51</v>
      </c>
      <c r="F450" t="s">
        <v>426</v>
      </c>
      <c r="G450" t="s">
        <v>84</v>
      </c>
      <c r="H450" t="s">
        <v>381</v>
      </c>
      <c r="I450" t="s">
        <v>427</v>
      </c>
      <c r="J450">
        <v>-14.5014614</v>
      </c>
      <c r="K450" t="s">
        <v>440</v>
      </c>
      <c r="L450" t="s">
        <v>450</v>
      </c>
      <c r="M450">
        <v>0.15011157993331001</v>
      </c>
      <c r="N450">
        <v>2.1768372816899291</v>
      </c>
      <c r="O450">
        <v>28410.399000000001</v>
      </c>
      <c r="P450">
        <v>2.51417E-6</v>
      </c>
      <c r="Q450">
        <v>0.14285700000000001</v>
      </c>
      <c r="R450" s="60">
        <v>0.31097644355037818</v>
      </c>
      <c r="S450" t="s">
        <v>346</v>
      </c>
      <c r="T450" t="s">
        <v>436</v>
      </c>
      <c r="U450" t="s">
        <v>425</v>
      </c>
      <c r="V450" t="s">
        <v>26</v>
      </c>
      <c r="W450">
        <v>111.133</v>
      </c>
      <c r="X450">
        <v>1.0368587857491129</v>
      </c>
      <c r="Y450">
        <v>115.2292274366562</v>
      </c>
      <c r="Z450">
        <v>603.45000000000005</v>
      </c>
      <c r="AA450">
        <v>1</v>
      </c>
      <c r="AB450">
        <v>69.535077296650186</v>
      </c>
      <c r="AC450">
        <v>0.96209999999999996</v>
      </c>
      <c r="AD450" s="62">
        <v>66.900000000000006</v>
      </c>
      <c r="AE450">
        <v>8.9176000000000002</v>
      </c>
      <c r="AF450">
        <v>9.2462919077962926</v>
      </c>
      <c r="AG450">
        <v>1</v>
      </c>
      <c r="AH450">
        <v>5579.6748517596734</v>
      </c>
      <c r="AI450">
        <v>0.95992461065370505</v>
      </c>
      <c r="AJ450" s="62">
        <v>5356.0672000000004</v>
      </c>
      <c r="AK450" s="60">
        <v>1665.610729272832</v>
      </c>
      <c r="AL450" t="s">
        <v>347</v>
      </c>
      <c r="AM450" t="s">
        <v>437</v>
      </c>
      <c r="AN450" t="s">
        <v>425</v>
      </c>
      <c r="AO450" t="s">
        <v>26</v>
      </c>
      <c r="AP450">
        <v>111.133</v>
      </c>
      <c r="AQ450">
        <v>1.0541007448257309</v>
      </c>
      <c r="AR450">
        <v>117.145378074718</v>
      </c>
      <c r="AS450">
        <v>640.82000000000005</v>
      </c>
      <c r="AT450">
        <v>1</v>
      </c>
      <c r="AU450">
        <v>75.069101177840764</v>
      </c>
      <c r="AV450">
        <v>0.99109999999999998</v>
      </c>
      <c r="AW450" s="62">
        <v>74.400999999999996</v>
      </c>
      <c r="AX450">
        <v>8.9176000000000002</v>
      </c>
      <c r="AY450">
        <v>1</v>
      </c>
      <c r="AZ450">
        <v>6023.7392733347688</v>
      </c>
      <c r="BA450">
        <v>0.9830373970836227</v>
      </c>
      <c r="BB450" s="62">
        <v>5921.5609999999997</v>
      </c>
      <c r="BC450" s="60">
        <v>1841.4659800466211</v>
      </c>
    </row>
    <row r="451" spans="1:55" x14ac:dyDescent="0.25">
      <c r="A451">
        <v>109453</v>
      </c>
      <c r="B451" t="s">
        <v>145</v>
      </c>
      <c r="C451">
        <v>2019</v>
      </c>
      <c r="D451">
        <v>1</v>
      </c>
      <c r="E451" t="s">
        <v>51</v>
      </c>
      <c r="F451" t="s">
        <v>426</v>
      </c>
      <c r="G451" t="s">
        <v>84</v>
      </c>
      <c r="H451" t="s">
        <v>381</v>
      </c>
      <c r="I451" t="s">
        <v>427</v>
      </c>
      <c r="J451">
        <v>-14.5014614</v>
      </c>
      <c r="K451" t="s">
        <v>440</v>
      </c>
      <c r="L451" t="s">
        <v>384</v>
      </c>
      <c r="M451">
        <v>4.5811354346740003E-2</v>
      </c>
      <c r="N451">
        <v>0.66433158661707437</v>
      </c>
      <c r="O451">
        <v>28410.399000000001</v>
      </c>
      <c r="P451">
        <v>2.51417E-6</v>
      </c>
      <c r="Q451">
        <v>0.14285700000000001</v>
      </c>
      <c r="R451" s="60">
        <v>9.4904417469355407E-2</v>
      </c>
      <c r="S451" t="s">
        <v>346</v>
      </c>
      <c r="T451" t="s">
        <v>436</v>
      </c>
      <c r="U451" t="s">
        <v>425</v>
      </c>
      <c r="V451" t="s">
        <v>81</v>
      </c>
      <c r="W451">
        <v>111.133</v>
      </c>
      <c r="X451">
        <v>1.0368587857491129</v>
      </c>
      <c r="Y451">
        <v>115.2292274366562</v>
      </c>
      <c r="Z451">
        <v>603.45000000000005</v>
      </c>
      <c r="AA451">
        <v>1</v>
      </c>
      <c r="AB451">
        <v>69.535077296650186</v>
      </c>
      <c r="AC451">
        <v>0.90990000000000004</v>
      </c>
      <c r="AD451" s="62">
        <v>63.27</v>
      </c>
      <c r="AE451">
        <v>8.9176000000000002</v>
      </c>
      <c r="AF451">
        <v>9.2462919077962926</v>
      </c>
      <c r="AG451">
        <v>1</v>
      </c>
      <c r="AH451">
        <v>5579.6748517596734</v>
      </c>
      <c r="AI451">
        <v>1.053620848708487</v>
      </c>
      <c r="AJ451" s="62">
        <v>5878.8617999999997</v>
      </c>
      <c r="AK451" s="60">
        <v>557.92995451184618</v>
      </c>
      <c r="AL451" t="s">
        <v>347</v>
      </c>
      <c r="AM451" t="s">
        <v>437</v>
      </c>
      <c r="AN451" t="s">
        <v>425</v>
      </c>
      <c r="AO451" t="s">
        <v>81</v>
      </c>
      <c r="AP451">
        <v>111.133</v>
      </c>
      <c r="AQ451">
        <v>1.0541007448257309</v>
      </c>
      <c r="AR451">
        <v>117.145378074718</v>
      </c>
      <c r="AS451">
        <v>640.82000000000005</v>
      </c>
      <c r="AT451">
        <v>1</v>
      </c>
      <c r="AU451">
        <v>75.069101177840764</v>
      </c>
      <c r="AV451">
        <v>0.93830000000000002</v>
      </c>
      <c r="AW451" s="62">
        <v>70.436999999999998</v>
      </c>
      <c r="AX451">
        <v>8.9176000000000002</v>
      </c>
      <c r="AY451">
        <v>1</v>
      </c>
      <c r="AZ451">
        <v>6023.7392733347688</v>
      </c>
      <c r="BA451">
        <v>1.098016605166052</v>
      </c>
      <c r="BB451" s="62">
        <v>6614.1656999999996</v>
      </c>
      <c r="BC451" s="60">
        <v>627.71354280429125</v>
      </c>
    </row>
    <row r="452" spans="1:55" x14ac:dyDescent="0.25">
      <c r="A452">
        <v>109455</v>
      </c>
      <c r="B452" t="s">
        <v>145</v>
      </c>
      <c r="C452">
        <v>2019</v>
      </c>
      <c r="D452">
        <v>1</v>
      </c>
      <c r="E452" t="s">
        <v>51</v>
      </c>
      <c r="F452" t="s">
        <v>426</v>
      </c>
      <c r="G452" t="s">
        <v>84</v>
      </c>
      <c r="H452" t="s">
        <v>381</v>
      </c>
      <c r="I452" t="s">
        <v>427</v>
      </c>
      <c r="J452">
        <v>-14.5014614</v>
      </c>
      <c r="K452" t="s">
        <v>440</v>
      </c>
      <c r="L452" t="s">
        <v>385</v>
      </c>
      <c r="M452">
        <v>0.43232641346992001</v>
      </c>
      <c r="N452">
        <v>6.269364795965247</v>
      </c>
      <c r="O452">
        <v>28410.399000000001</v>
      </c>
      <c r="P452">
        <v>2.51417E-6</v>
      </c>
      <c r="Q452">
        <v>0.14285700000000001</v>
      </c>
      <c r="R452" s="60">
        <v>0.89562264665720737</v>
      </c>
      <c r="S452" t="s">
        <v>346</v>
      </c>
      <c r="T452" t="s">
        <v>436</v>
      </c>
      <c r="U452" t="s">
        <v>425</v>
      </c>
      <c r="V452" t="s">
        <v>27</v>
      </c>
      <c r="W452">
        <v>111.133</v>
      </c>
      <c r="X452">
        <v>1.0368587857491129</v>
      </c>
      <c r="Y452">
        <v>115.2292274366562</v>
      </c>
      <c r="Z452">
        <v>603.45000000000005</v>
      </c>
      <c r="AA452">
        <v>1</v>
      </c>
      <c r="AB452">
        <v>69.535077296650186</v>
      </c>
      <c r="AC452">
        <v>0.93979999999999997</v>
      </c>
      <c r="AD452" s="62">
        <v>65.349000000000004</v>
      </c>
      <c r="AE452">
        <v>8.9176000000000002</v>
      </c>
      <c r="AF452">
        <v>9.2462919077962926</v>
      </c>
      <c r="AG452">
        <v>1</v>
      </c>
      <c r="AH452">
        <v>5579.6748517596734</v>
      </c>
      <c r="AI452">
        <v>0.95477850697292876</v>
      </c>
      <c r="AJ452" s="62">
        <v>5327.3536000000004</v>
      </c>
      <c r="AK452" s="60">
        <v>4771.2985309108017</v>
      </c>
      <c r="AL452" t="s">
        <v>347</v>
      </c>
      <c r="AM452" t="s">
        <v>437</v>
      </c>
      <c r="AN452" t="s">
        <v>425</v>
      </c>
      <c r="AO452" t="s">
        <v>27</v>
      </c>
      <c r="AP452">
        <v>111.133</v>
      </c>
      <c r="AQ452">
        <v>1.0541007448257309</v>
      </c>
      <c r="AR452">
        <v>117.145378074718</v>
      </c>
      <c r="AS452">
        <v>640.82000000000005</v>
      </c>
      <c r="AT452">
        <v>1</v>
      </c>
      <c r="AU452">
        <v>75.069101177840764</v>
      </c>
      <c r="AV452">
        <v>0.95889999999999997</v>
      </c>
      <c r="AW452" s="62">
        <v>71.983999999999995</v>
      </c>
      <c r="AX452">
        <v>8.9176000000000002</v>
      </c>
      <c r="AY452">
        <v>1</v>
      </c>
      <c r="AZ452">
        <v>6023.7392733347688</v>
      </c>
      <c r="BA452">
        <v>0.99097621000820357</v>
      </c>
      <c r="BB452" s="62">
        <v>5969.3823000000002</v>
      </c>
      <c r="BC452" s="60">
        <v>5346.3139744346881</v>
      </c>
    </row>
    <row r="453" spans="1:55" x14ac:dyDescent="0.25">
      <c r="A453">
        <v>109457</v>
      </c>
      <c r="B453" t="s">
        <v>145</v>
      </c>
      <c r="C453">
        <v>2019</v>
      </c>
      <c r="D453">
        <v>1</v>
      </c>
      <c r="E453" t="s">
        <v>51</v>
      </c>
      <c r="F453" t="s">
        <v>426</v>
      </c>
      <c r="G453" t="s">
        <v>84</v>
      </c>
      <c r="H453" t="s">
        <v>381</v>
      </c>
      <c r="I453" t="s">
        <v>427</v>
      </c>
      <c r="J453">
        <v>-14.5014614</v>
      </c>
      <c r="K453" t="s">
        <v>440</v>
      </c>
      <c r="L453" t="s">
        <v>451</v>
      </c>
      <c r="M453">
        <v>1.6825115802299999E-3</v>
      </c>
      <c r="N453">
        <v>2.4398876731207952E-2</v>
      </c>
      <c r="O453">
        <v>28410.399000000001</v>
      </c>
      <c r="P453">
        <v>2.51417E-6</v>
      </c>
      <c r="Q453">
        <v>0.14285700000000001</v>
      </c>
      <c r="R453" s="60">
        <v>3.4855503331901751E-3</v>
      </c>
      <c r="S453" t="s">
        <v>346</v>
      </c>
      <c r="T453" t="s">
        <v>436</v>
      </c>
      <c r="U453" t="s">
        <v>425</v>
      </c>
      <c r="V453" t="s">
        <v>91</v>
      </c>
      <c r="W453">
        <v>111.133</v>
      </c>
      <c r="X453">
        <v>1.0368587857491129</v>
      </c>
      <c r="Y453">
        <v>115.2292274366562</v>
      </c>
      <c r="Z453">
        <v>603.45000000000005</v>
      </c>
      <c r="AA453">
        <v>1</v>
      </c>
      <c r="AB453">
        <v>69.535077296650186</v>
      </c>
      <c r="AC453">
        <v>0.99250000000000005</v>
      </c>
      <c r="AD453" s="62">
        <v>69.013999999999996</v>
      </c>
      <c r="AE453">
        <v>8.9176000000000002</v>
      </c>
      <c r="AF453">
        <v>9.2462919077962926</v>
      </c>
      <c r="AG453">
        <v>1</v>
      </c>
      <c r="AH453">
        <v>5579.6748517596734</v>
      </c>
      <c r="AI453">
        <v>0.96573604060913698</v>
      </c>
      <c r="AJ453" s="62">
        <v>5388.4930999999997</v>
      </c>
      <c r="AK453" s="60">
        <v>18.781863920097951</v>
      </c>
      <c r="AL453" t="s">
        <v>347</v>
      </c>
      <c r="AM453" t="s">
        <v>437</v>
      </c>
      <c r="AN453" t="s">
        <v>425</v>
      </c>
      <c r="AO453" t="s">
        <v>91</v>
      </c>
      <c r="AP453">
        <v>111.133</v>
      </c>
      <c r="AQ453">
        <v>1.0541007448257309</v>
      </c>
      <c r="AR453">
        <v>117.145378074718</v>
      </c>
      <c r="AS453">
        <v>640.82000000000005</v>
      </c>
      <c r="AT453">
        <v>1</v>
      </c>
      <c r="AU453">
        <v>75.069101177840764</v>
      </c>
      <c r="AV453">
        <v>1.0088999999999999</v>
      </c>
      <c r="AW453" s="62">
        <v>75.736999999999995</v>
      </c>
      <c r="AX453">
        <v>8.9176000000000002</v>
      </c>
      <c r="AY453">
        <v>1</v>
      </c>
      <c r="AZ453">
        <v>6023.7392733347688</v>
      </c>
      <c r="BA453">
        <v>0.99316673174541203</v>
      </c>
      <c r="BB453" s="62">
        <v>5982.5774000000001</v>
      </c>
      <c r="BC453" s="60">
        <v>20.852574649906011</v>
      </c>
    </row>
    <row r="454" spans="1:55" x14ac:dyDescent="0.25">
      <c r="A454">
        <v>109459</v>
      </c>
      <c r="B454" t="s">
        <v>145</v>
      </c>
      <c r="C454">
        <v>2019</v>
      </c>
      <c r="D454">
        <v>1</v>
      </c>
      <c r="E454" t="s">
        <v>51</v>
      </c>
      <c r="F454" t="s">
        <v>426</v>
      </c>
      <c r="G454" t="s">
        <v>84</v>
      </c>
      <c r="H454" t="s">
        <v>381</v>
      </c>
      <c r="I454" t="s">
        <v>427</v>
      </c>
      <c r="J454">
        <v>-14.5014614</v>
      </c>
      <c r="K454" t="s">
        <v>440</v>
      </c>
      <c r="L454" t="s">
        <v>452</v>
      </c>
      <c r="M454">
        <v>1.53682162831E-3</v>
      </c>
      <c r="N454">
        <v>2.228615951746624E-2</v>
      </c>
      <c r="O454">
        <v>28410.399000000001</v>
      </c>
      <c r="P454">
        <v>2.51417E-6</v>
      </c>
      <c r="Q454">
        <v>0.14285700000000001</v>
      </c>
      <c r="R454" s="60">
        <v>3.183733890186675E-3</v>
      </c>
      <c r="S454" t="s">
        <v>346</v>
      </c>
      <c r="T454" t="s">
        <v>436</v>
      </c>
      <c r="U454" t="s">
        <v>425</v>
      </c>
      <c r="V454" t="s">
        <v>28</v>
      </c>
      <c r="W454">
        <v>111.133</v>
      </c>
      <c r="X454">
        <v>1.0368587857491129</v>
      </c>
      <c r="Y454">
        <v>115.2292274366562</v>
      </c>
      <c r="Z454">
        <v>603.45000000000005</v>
      </c>
      <c r="AA454">
        <v>1</v>
      </c>
      <c r="AB454">
        <v>69.535077296650186</v>
      </c>
      <c r="AC454">
        <v>0.99760000000000004</v>
      </c>
      <c r="AD454" s="62">
        <v>69.367999999999995</v>
      </c>
      <c r="AE454">
        <v>8.9176000000000002</v>
      </c>
      <c r="AF454">
        <v>9.2462919077962926</v>
      </c>
      <c r="AG454">
        <v>1</v>
      </c>
      <c r="AH454">
        <v>5579.6748517596734</v>
      </c>
      <c r="AI454">
        <v>0.96062216971844849</v>
      </c>
      <c r="AJ454" s="62">
        <v>5359.9593999999997</v>
      </c>
      <c r="AK454" s="60">
        <v>17.064684391804629</v>
      </c>
      <c r="AL454" t="s">
        <v>347</v>
      </c>
      <c r="AM454" t="s">
        <v>437</v>
      </c>
      <c r="AN454" t="s">
        <v>425</v>
      </c>
      <c r="AO454" t="s">
        <v>28</v>
      </c>
      <c r="AP454">
        <v>111.133</v>
      </c>
      <c r="AQ454">
        <v>1.0541007448257309</v>
      </c>
      <c r="AR454">
        <v>117.145378074718</v>
      </c>
      <c r="AS454">
        <v>640.82000000000005</v>
      </c>
      <c r="AT454">
        <v>1</v>
      </c>
      <c r="AU454">
        <v>75.069101177840764</v>
      </c>
      <c r="AV454">
        <v>1.0073000000000001</v>
      </c>
      <c r="AW454" s="62">
        <v>75.617000000000004</v>
      </c>
      <c r="AX454">
        <v>8.9176000000000002</v>
      </c>
      <c r="AY454">
        <v>1</v>
      </c>
      <c r="AZ454">
        <v>6023.7392733347688</v>
      </c>
      <c r="BA454">
        <v>0.99399488088206345</v>
      </c>
      <c r="BB454" s="62">
        <v>5987.5659999999998</v>
      </c>
      <c r="BC454" s="60">
        <v>19.062816793929461</v>
      </c>
    </row>
    <row r="455" spans="1:55" x14ac:dyDescent="0.25">
      <c r="A455">
        <v>109461</v>
      </c>
      <c r="B455" t="s">
        <v>145</v>
      </c>
      <c r="C455">
        <v>2019</v>
      </c>
      <c r="D455">
        <v>1</v>
      </c>
      <c r="E455" t="s">
        <v>51</v>
      </c>
      <c r="F455" t="s">
        <v>426</v>
      </c>
      <c r="G455" t="s">
        <v>84</v>
      </c>
      <c r="H455" t="s">
        <v>87</v>
      </c>
      <c r="I455" t="s">
        <v>427</v>
      </c>
      <c r="J455">
        <v>-2.8894547099999999</v>
      </c>
      <c r="K455" t="s">
        <v>440</v>
      </c>
      <c r="L455" t="s">
        <v>450</v>
      </c>
      <c r="M455">
        <v>0.26601384014995</v>
      </c>
      <c r="N455">
        <v>0.76863494270599686</v>
      </c>
      <c r="O455">
        <v>28410.399000000001</v>
      </c>
      <c r="P455">
        <v>2.51417E-6</v>
      </c>
      <c r="Q455">
        <v>0.14285700000000001</v>
      </c>
      <c r="R455" s="60">
        <v>0.1098048820101506</v>
      </c>
      <c r="S455" t="s">
        <v>346</v>
      </c>
      <c r="T455" t="s">
        <v>436</v>
      </c>
      <c r="U455" t="s">
        <v>425</v>
      </c>
      <c r="V455" t="s">
        <v>26</v>
      </c>
      <c r="W455">
        <v>111.133</v>
      </c>
      <c r="X455">
        <v>1.0368587857491129</v>
      </c>
      <c r="Y455">
        <v>115.2292274366562</v>
      </c>
      <c r="Z455">
        <v>603.45000000000005</v>
      </c>
      <c r="AA455">
        <v>1</v>
      </c>
      <c r="AB455">
        <v>69.535077296650186</v>
      </c>
      <c r="AC455">
        <v>0.96209999999999996</v>
      </c>
      <c r="AD455" s="62">
        <v>66.900000000000006</v>
      </c>
      <c r="AE455">
        <v>8.9176000000000002</v>
      </c>
      <c r="AF455">
        <v>9.2462919077962926</v>
      </c>
      <c r="AG455">
        <v>1</v>
      </c>
      <c r="AH455">
        <v>5579.6748517596734</v>
      </c>
      <c r="AI455">
        <v>0.95992461065370505</v>
      </c>
      <c r="AJ455" s="62">
        <v>5356.0672000000004</v>
      </c>
      <c r="AK455" s="60">
        <v>588.12232693443775</v>
      </c>
      <c r="AL455" t="s">
        <v>347</v>
      </c>
      <c r="AM455" t="s">
        <v>437</v>
      </c>
      <c r="AN455" t="s">
        <v>425</v>
      </c>
      <c r="AO455" t="s">
        <v>26</v>
      </c>
      <c r="AP455">
        <v>111.133</v>
      </c>
      <c r="AQ455">
        <v>1.0541007448257309</v>
      </c>
      <c r="AR455">
        <v>117.145378074718</v>
      </c>
      <c r="AS455">
        <v>640.82000000000005</v>
      </c>
      <c r="AT455">
        <v>1</v>
      </c>
      <c r="AU455">
        <v>75.069101177840764</v>
      </c>
      <c r="AV455">
        <v>0.99109999999999998</v>
      </c>
      <c r="AW455" s="62">
        <v>74.400999999999996</v>
      </c>
      <c r="AX455">
        <v>8.9176000000000002</v>
      </c>
      <c r="AY455">
        <v>1</v>
      </c>
      <c r="AZ455">
        <v>6023.7392733347688</v>
      </c>
      <c r="BA455">
        <v>0.9830373970836227</v>
      </c>
      <c r="BB455" s="62">
        <v>5921.5609999999997</v>
      </c>
      <c r="BC455" s="60">
        <v>650.21630692090946</v>
      </c>
    </row>
    <row r="456" spans="1:55" x14ac:dyDescent="0.25">
      <c r="A456">
        <v>109463</v>
      </c>
      <c r="B456" t="s">
        <v>145</v>
      </c>
      <c r="C456">
        <v>2019</v>
      </c>
      <c r="D456">
        <v>1</v>
      </c>
      <c r="E456" t="s">
        <v>51</v>
      </c>
      <c r="F456" t="s">
        <v>426</v>
      </c>
      <c r="G456" t="s">
        <v>84</v>
      </c>
      <c r="H456" t="s">
        <v>87</v>
      </c>
      <c r="I456" t="s">
        <v>427</v>
      </c>
      <c r="J456">
        <v>-2.8894547099999999</v>
      </c>
      <c r="K456" t="s">
        <v>440</v>
      </c>
      <c r="L456" t="s">
        <v>384</v>
      </c>
      <c r="M456">
        <v>3.9509559941419997E-2</v>
      </c>
      <c r="N456">
        <v>0.1141610839676389</v>
      </c>
      <c r="O456">
        <v>28410.399000000001</v>
      </c>
      <c r="P456">
        <v>2.51417E-6</v>
      </c>
      <c r="Q456">
        <v>0.14285700000000001</v>
      </c>
      <c r="R456" s="60">
        <v>1.6308709972364992E-2</v>
      </c>
      <c r="S456" t="s">
        <v>346</v>
      </c>
      <c r="T456" t="s">
        <v>436</v>
      </c>
      <c r="U456" t="s">
        <v>425</v>
      </c>
      <c r="V456" t="s">
        <v>81</v>
      </c>
      <c r="W456">
        <v>111.133</v>
      </c>
      <c r="X456">
        <v>1.0368587857491129</v>
      </c>
      <c r="Y456">
        <v>115.2292274366562</v>
      </c>
      <c r="Z456">
        <v>603.45000000000005</v>
      </c>
      <c r="AA456">
        <v>1</v>
      </c>
      <c r="AB456">
        <v>69.535077296650186</v>
      </c>
      <c r="AC456">
        <v>0.90990000000000004</v>
      </c>
      <c r="AD456" s="62">
        <v>63.27</v>
      </c>
      <c r="AE456">
        <v>8.9176000000000002</v>
      </c>
      <c r="AF456">
        <v>9.2462919077962926</v>
      </c>
      <c r="AG456">
        <v>1</v>
      </c>
      <c r="AH456">
        <v>5579.6748517596734</v>
      </c>
      <c r="AI456">
        <v>1.053620848708487</v>
      </c>
      <c r="AJ456" s="62">
        <v>5878.8617999999997</v>
      </c>
      <c r="AK456" s="60">
        <v>95.876652063815584</v>
      </c>
      <c r="AL456" t="s">
        <v>347</v>
      </c>
      <c r="AM456" t="s">
        <v>437</v>
      </c>
      <c r="AN456" t="s">
        <v>425</v>
      </c>
      <c r="AO456" t="s">
        <v>81</v>
      </c>
      <c r="AP456">
        <v>111.133</v>
      </c>
      <c r="AQ456">
        <v>1.0541007448257309</v>
      </c>
      <c r="AR456">
        <v>117.145378074718</v>
      </c>
      <c r="AS456">
        <v>640.82000000000005</v>
      </c>
      <c r="AT456">
        <v>1</v>
      </c>
      <c r="AU456">
        <v>75.069101177840764</v>
      </c>
      <c r="AV456">
        <v>0.93830000000000002</v>
      </c>
      <c r="AW456" s="62">
        <v>70.436999999999998</v>
      </c>
      <c r="AX456">
        <v>8.9176000000000002</v>
      </c>
      <c r="AY456">
        <v>1</v>
      </c>
      <c r="AZ456">
        <v>6023.7392733347688</v>
      </c>
      <c r="BA456">
        <v>1.098016605166052</v>
      </c>
      <c r="BB456" s="62">
        <v>6614.1656999999996</v>
      </c>
      <c r="BC456" s="60">
        <v>107.8685101104644</v>
      </c>
    </row>
    <row r="457" spans="1:55" x14ac:dyDescent="0.25">
      <c r="A457">
        <v>109465</v>
      </c>
      <c r="B457" t="s">
        <v>145</v>
      </c>
      <c r="C457">
        <v>2019</v>
      </c>
      <c r="D457">
        <v>1</v>
      </c>
      <c r="E457" t="s">
        <v>51</v>
      </c>
      <c r="F457" t="s">
        <v>426</v>
      </c>
      <c r="G457" t="s">
        <v>84</v>
      </c>
      <c r="H457" t="s">
        <v>87</v>
      </c>
      <c r="I457" t="s">
        <v>427</v>
      </c>
      <c r="J457">
        <v>-2.8894547099999999</v>
      </c>
      <c r="K457" t="s">
        <v>440</v>
      </c>
      <c r="L457" t="s">
        <v>385</v>
      </c>
      <c r="M457">
        <v>0.39737542925016001</v>
      </c>
      <c r="N457">
        <v>1.148198304728413</v>
      </c>
      <c r="O457">
        <v>28410.399000000001</v>
      </c>
      <c r="P457">
        <v>2.51417E-6</v>
      </c>
      <c r="Q457">
        <v>0.14285700000000001</v>
      </c>
      <c r="R457" s="60">
        <v>0.1640281652185869</v>
      </c>
      <c r="S457" t="s">
        <v>346</v>
      </c>
      <c r="T457" t="s">
        <v>436</v>
      </c>
      <c r="U457" t="s">
        <v>425</v>
      </c>
      <c r="V457" t="s">
        <v>27</v>
      </c>
      <c r="W457">
        <v>111.133</v>
      </c>
      <c r="X457">
        <v>1.0368587857491129</v>
      </c>
      <c r="Y457">
        <v>115.2292274366562</v>
      </c>
      <c r="Z457">
        <v>603.45000000000005</v>
      </c>
      <c r="AA457">
        <v>1</v>
      </c>
      <c r="AB457">
        <v>69.535077296650186</v>
      </c>
      <c r="AC457">
        <v>0.93979999999999997</v>
      </c>
      <c r="AD457" s="62">
        <v>65.349000000000004</v>
      </c>
      <c r="AE457">
        <v>8.9176000000000002</v>
      </c>
      <c r="AF457">
        <v>9.2462919077962926</v>
      </c>
      <c r="AG457">
        <v>1</v>
      </c>
      <c r="AH457">
        <v>5579.6748517596734</v>
      </c>
      <c r="AI457">
        <v>0.95477850697292876</v>
      </c>
      <c r="AJ457" s="62">
        <v>5327.3536000000004</v>
      </c>
      <c r="AK457" s="60">
        <v>873.83603647863379</v>
      </c>
      <c r="AL457" t="s">
        <v>347</v>
      </c>
      <c r="AM457" t="s">
        <v>437</v>
      </c>
      <c r="AN457" t="s">
        <v>425</v>
      </c>
      <c r="AO457" t="s">
        <v>27</v>
      </c>
      <c r="AP457">
        <v>111.133</v>
      </c>
      <c r="AQ457">
        <v>1.0541007448257309</v>
      </c>
      <c r="AR457">
        <v>117.145378074718</v>
      </c>
      <c r="AS457">
        <v>640.82000000000005</v>
      </c>
      <c r="AT457">
        <v>1</v>
      </c>
      <c r="AU457">
        <v>75.069101177840764</v>
      </c>
      <c r="AV457">
        <v>0.95889999999999997</v>
      </c>
      <c r="AW457" s="62">
        <v>71.983999999999995</v>
      </c>
      <c r="AX457">
        <v>8.9176000000000002</v>
      </c>
      <c r="AY457">
        <v>1</v>
      </c>
      <c r="AZ457">
        <v>6023.7392733347688</v>
      </c>
      <c r="BA457">
        <v>0.99097621000820357</v>
      </c>
      <c r="BB457" s="62">
        <v>5969.3823000000002</v>
      </c>
      <c r="BC457" s="60">
        <v>979.14682615730828</v>
      </c>
    </row>
    <row r="458" spans="1:55" x14ac:dyDescent="0.25">
      <c r="A458">
        <v>109467</v>
      </c>
      <c r="B458" t="s">
        <v>145</v>
      </c>
      <c r="C458">
        <v>2019</v>
      </c>
      <c r="D458">
        <v>1</v>
      </c>
      <c r="E458" t="s">
        <v>51</v>
      </c>
      <c r="F458" t="s">
        <v>426</v>
      </c>
      <c r="G458" t="s">
        <v>84</v>
      </c>
      <c r="H458" t="s">
        <v>87</v>
      </c>
      <c r="I458" t="s">
        <v>427</v>
      </c>
      <c r="J458">
        <v>-2.8894547099999999</v>
      </c>
      <c r="K458" t="s">
        <v>440</v>
      </c>
      <c r="L458" t="s">
        <v>452</v>
      </c>
      <c r="M458">
        <v>8.4248020759000004E-4</v>
      </c>
      <c r="N458">
        <v>2.4343084018743221E-3</v>
      </c>
      <c r="O458">
        <v>28410.399000000001</v>
      </c>
      <c r="P458">
        <v>2.51417E-6</v>
      </c>
      <c r="Q458">
        <v>0.14285700000000001</v>
      </c>
      <c r="R458" s="60">
        <v>3.4775799536655998E-4</v>
      </c>
      <c r="S458" t="s">
        <v>346</v>
      </c>
      <c r="T458" t="s">
        <v>436</v>
      </c>
      <c r="U458" t="s">
        <v>425</v>
      </c>
      <c r="V458" t="s">
        <v>28</v>
      </c>
      <c r="W458">
        <v>111.133</v>
      </c>
      <c r="X458">
        <v>1.0368587857491129</v>
      </c>
      <c r="Y458">
        <v>115.2292274366562</v>
      </c>
      <c r="Z458">
        <v>603.45000000000005</v>
      </c>
      <c r="AA458">
        <v>1</v>
      </c>
      <c r="AB458">
        <v>69.535077296650186</v>
      </c>
      <c r="AC458">
        <v>0.99760000000000004</v>
      </c>
      <c r="AD458" s="62">
        <v>69.367999999999995</v>
      </c>
      <c r="AE458">
        <v>8.9176000000000002</v>
      </c>
      <c r="AF458">
        <v>9.2462919077962926</v>
      </c>
      <c r="AG458">
        <v>1</v>
      </c>
      <c r="AH458">
        <v>5579.6748517596734</v>
      </c>
      <c r="AI458">
        <v>0.96062216971844849</v>
      </c>
      <c r="AJ458" s="62">
        <v>5359.9593999999997</v>
      </c>
      <c r="AK458" s="60">
        <v>1.86396873619015</v>
      </c>
      <c r="AL458" t="s">
        <v>347</v>
      </c>
      <c r="AM458" t="s">
        <v>437</v>
      </c>
      <c r="AN458" t="s">
        <v>425</v>
      </c>
      <c r="AO458" t="s">
        <v>28</v>
      </c>
      <c r="AP458">
        <v>111.133</v>
      </c>
      <c r="AQ458">
        <v>1.0541007448257309</v>
      </c>
      <c r="AR458">
        <v>117.145378074718</v>
      </c>
      <c r="AS458">
        <v>640.82000000000005</v>
      </c>
      <c r="AT458">
        <v>1</v>
      </c>
      <c r="AU458">
        <v>75.069101177840764</v>
      </c>
      <c r="AV458">
        <v>1.0073000000000001</v>
      </c>
      <c r="AW458" s="62">
        <v>75.617000000000004</v>
      </c>
      <c r="AX458">
        <v>8.9176000000000002</v>
      </c>
      <c r="AY458">
        <v>1</v>
      </c>
      <c r="AZ458">
        <v>6023.7392733347688</v>
      </c>
      <c r="BA458">
        <v>0.99399488088206345</v>
      </c>
      <c r="BB458" s="62">
        <v>5987.5659999999998</v>
      </c>
      <c r="BC458" s="60">
        <v>2.0822239492849719</v>
      </c>
    </row>
    <row r="459" spans="1:55" x14ac:dyDescent="0.25">
      <c r="A459">
        <v>109469</v>
      </c>
      <c r="B459" t="s">
        <v>145</v>
      </c>
      <c r="C459">
        <v>2019</v>
      </c>
      <c r="D459">
        <v>1</v>
      </c>
      <c r="E459" t="s">
        <v>51</v>
      </c>
      <c r="F459" t="s">
        <v>426</v>
      </c>
      <c r="G459" t="s">
        <v>84</v>
      </c>
      <c r="H459" t="s">
        <v>59</v>
      </c>
      <c r="I459" t="s">
        <v>427</v>
      </c>
      <c r="J459">
        <v>-6.8711334500000003</v>
      </c>
      <c r="K459" t="s">
        <v>440</v>
      </c>
      <c r="L459" t="s">
        <v>450</v>
      </c>
      <c r="M459">
        <v>0.15931709696460999</v>
      </c>
      <c r="N459">
        <v>1.0946890348876179</v>
      </c>
      <c r="O459">
        <v>28410.399000000001</v>
      </c>
      <c r="P459">
        <v>2.51417E-6</v>
      </c>
      <c r="Q459">
        <v>0.14285700000000001</v>
      </c>
      <c r="R459" s="60">
        <v>0.15638399145694051</v>
      </c>
      <c r="S459" t="s">
        <v>346</v>
      </c>
      <c r="T459" t="s">
        <v>436</v>
      </c>
      <c r="U459" t="s">
        <v>425</v>
      </c>
      <c r="V459" t="s">
        <v>26</v>
      </c>
      <c r="W459">
        <v>111.133</v>
      </c>
      <c r="X459">
        <v>1.0368587857491129</v>
      </c>
      <c r="Y459">
        <v>115.2292274366562</v>
      </c>
      <c r="Z459">
        <v>603.45000000000005</v>
      </c>
      <c r="AA459">
        <v>1</v>
      </c>
      <c r="AB459">
        <v>69.535077296650186</v>
      </c>
      <c r="AC459">
        <v>0.96209999999999996</v>
      </c>
      <c r="AD459" s="62">
        <v>66.900000000000006</v>
      </c>
      <c r="AE459">
        <v>8.9176000000000002</v>
      </c>
      <c r="AF459">
        <v>9.2462919077962926</v>
      </c>
      <c r="AG459">
        <v>1</v>
      </c>
      <c r="AH459">
        <v>5579.6748517596734</v>
      </c>
      <c r="AI459">
        <v>0.95992461065370505</v>
      </c>
      <c r="AJ459" s="62">
        <v>5356.0672000000004</v>
      </c>
      <c r="AK459" s="60">
        <v>837.60316724759923</v>
      </c>
      <c r="AL459" t="s">
        <v>347</v>
      </c>
      <c r="AM459" t="s">
        <v>437</v>
      </c>
      <c r="AN459" t="s">
        <v>425</v>
      </c>
      <c r="AO459" t="s">
        <v>26</v>
      </c>
      <c r="AP459">
        <v>111.133</v>
      </c>
      <c r="AQ459">
        <v>1.0541007448257309</v>
      </c>
      <c r="AR459">
        <v>117.145378074718</v>
      </c>
      <c r="AS459">
        <v>640.82000000000005</v>
      </c>
      <c r="AT459">
        <v>1</v>
      </c>
      <c r="AU459">
        <v>75.069101177840764</v>
      </c>
      <c r="AV459">
        <v>0.99109999999999998</v>
      </c>
      <c r="AW459" s="62">
        <v>74.400999999999996</v>
      </c>
      <c r="AX459">
        <v>8.9176000000000002</v>
      </c>
      <c r="AY459">
        <v>1</v>
      </c>
      <c r="AZ459">
        <v>6023.7392733347688</v>
      </c>
      <c r="BA459">
        <v>0.9830373970836227</v>
      </c>
      <c r="BB459" s="62">
        <v>5921.5609999999997</v>
      </c>
      <c r="BC459" s="60">
        <v>926.03734483575192</v>
      </c>
    </row>
    <row r="460" spans="1:55" x14ac:dyDescent="0.25">
      <c r="A460">
        <v>109471</v>
      </c>
      <c r="B460" t="s">
        <v>145</v>
      </c>
      <c r="C460">
        <v>2019</v>
      </c>
      <c r="D460">
        <v>1</v>
      </c>
      <c r="E460" t="s">
        <v>51</v>
      </c>
      <c r="F460" t="s">
        <v>426</v>
      </c>
      <c r="G460" t="s">
        <v>84</v>
      </c>
      <c r="H460" t="s">
        <v>59</v>
      </c>
      <c r="I460" t="s">
        <v>427</v>
      </c>
      <c r="J460">
        <v>-6.8711334500000003</v>
      </c>
      <c r="K460" t="s">
        <v>440</v>
      </c>
      <c r="L460" t="s">
        <v>384</v>
      </c>
      <c r="M460">
        <v>4.1785183859599999E-2</v>
      </c>
      <c r="N460">
        <v>0.2871115747359374</v>
      </c>
      <c r="O460">
        <v>28410.399000000001</v>
      </c>
      <c r="P460">
        <v>2.51417E-6</v>
      </c>
      <c r="Q460">
        <v>0.14285700000000001</v>
      </c>
      <c r="R460" s="60">
        <v>4.101589823205181E-2</v>
      </c>
      <c r="S460" t="s">
        <v>346</v>
      </c>
      <c r="T460" t="s">
        <v>436</v>
      </c>
      <c r="U460" t="s">
        <v>425</v>
      </c>
      <c r="V460" t="s">
        <v>81</v>
      </c>
      <c r="W460">
        <v>111.133</v>
      </c>
      <c r="X460">
        <v>1.0368587857491129</v>
      </c>
      <c r="Y460">
        <v>115.2292274366562</v>
      </c>
      <c r="Z460">
        <v>603.45000000000005</v>
      </c>
      <c r="AA460">
        <v>1</v>
      </c>
      <c r="AB460">
        <v>69.535077296650186</v>
      </c>
      <c r="AC460">
        <v>0.90990000000000004</v>
      </c>
      <c r="AD460" s="62">
        <v>63.27</v>
      </c>
      <c r="AE460">
        <v>8.9176000000000002</v>
      </c>
      <c r="AF460">
        <v>9.2462919077962926</v>
      </c>
      <c r="AG460">
        <v>1</v>
      </c>
      <c r="AH460">
        <v>5579.6748517596734</v>
      </c>
      <c r="AI460">
        <v>1.053620848708487</v>
      </c>
      <c r="AJ460" s="62">
        <v>5878.8617999999997</v>
      </c>
      <c r="AK460" s="60">
        <v>241.1267973090969</v>
      </c>
      <c r="AL460" t="s">
        <v>347</v>
      </c>
      <c r="AM460" t="s">
        <v>437</v>
      </c>
      <c r="AN460" t="s">
        <v>425</v>
      </c>
      <c r="AO460" t="s">
        <v>81</v>
      </c>
      <c r="AP460">
        <v>111.133</v>
      </c>
      <c r="AQ460">
        <v>1.0541007448257309</v>
      </c>
      <c r="AR460">
        <v>117.145378074718</v>
      </c>
      <c r="AS460">
        <v>640.82000000000005</v>
      </c>
      <c r="AT460">
        <v>1</v>
      </c>
      <c r="AU460">
        <v>75.069101177840764</v>
      </c>
      <c r="AV460">
        <v>0.93830000000000002</v>
      </c>
      <c r="AW460" s="62">
        <v>70.436999999999998</v>
      </c>
      <c r="AX460">
        <v>8.9176000000000002</v>
      </c>
      <c r="AY460">
        <v>1</v>
      </c>
      <c r="AZ460">
        <v>6023.7392733347688</v>
      </c>
      <c r="BA460">
        <v>1.098016605166052</v>
      </c>
      <c r="BB460" s="62">
        <v>6614.1656999999996</v>
      </c>
      <c r="BC460" s="60">
        <v>271.2859472411277</v>
      </c>
    </row>
    <row r="461" spans="1:55" x14ac:dyDescent="0.25">
      <c r="A461">
        <v>109473</v>
      </c>
      <c r="B461" t="s">
        <v>145</v>
      </c>
      <c r="C461">
        <v>2019</v>
      </c>
      <c r="D461">
        <v>1</v>
      </c>
      <c r="E461" t="s">
        <v>51</v>
      </c>
      <c r="F461" t="s">
        <v>426</v>
      </c>
      <c r="G461" t="s">
        <v>84</v>
      </c>
      <c r="H461" t="s">
        <v>59</v>
      </c>
      <c r="I461" t="s">
        <v>427</v>
      </c>
      <c r="J461">
        <v>-6.8711334500000003</v>
      </c>
      <c r="K461" t="s">
        <v>440</v>
      </c>
      <c r="L461" t="s">
        <v>385</v>
      </c>
      <c r="M461">
        <v>0.43497567483749999</v>
      </c>
      <c r="N461">
        <v>2.988775911434201</v>
      </c>
      <c r="O461">
        <v>28410.399000000001</v>
      </c>
      <c r="P461">
        <v>2.51417E-6</v>
      </c>
      <c r="Q461">
        <v>0.14285700000000001</v>
      </c>
      <c r="R461" s="60">
        <v>0.42696756037975581</v>
      </c>
      <c r="S461" t="s">
        <v>346</v>
      </c>
      <c r="T461" t="s">
        <v>436</v>
      </c>
      <c r="U461" t="s">
        <v>425</v>
      </c>
      <c r="V461" t="s">
        <v>27</v>
      </c>
      <c r="W461">
        <v>111.133</v>
      </c>
      <c r="X461">
        <v>1.0368587857491129</v>
      </c>
      <c r="Y461">
        <v>115.2292274366562</v>
      </c>
      <c r="Z461">
        <v>603.45000000000005</v>
      </c>
      <c r="AA461">
        <v>1</v>
      </c>
      <c r="AB461">
        <v>69.535077296650186</v>
      </c>
      <c r="AC461">
        <v>0.93979999999999997</v>
      </c>
      <c r="AD461" s="62">
        <v>65.349000000000004</v>
      </c>
      <c r="AE461">
        <v>8.9176000000000002</v>
      </c>
      <c r="AF461">
        <v>9.2462919077962926</v>
      </c>
      <c r="AG461">
        <v>1</v>
      </c>
      <c r="AH461">
        <v>5579.6748517596734</v>
      </c>
      <c r="AI461">
        <v>0.95477850697292876</v>
      </c>
      <c r="AJ461" s="62">
        <v>5327.3536000000004</v>
      </c>
      <c r="AK461" s="60">
        <v>2274.607169872309</v>
      </c>
      <c r="AL461" t="s">
        <v>347</v>
      </c>
      <c r="AM461" t="s">
        <v>437</v>
      </c>
      <c r="AN461" t="s">
        <v>425</v>
      </c>
      <c r="AO461" t="s">
        <v>27</v>
      </c>
      <c r="AP461">
        <v>111.133</v>
      </c>
      <c r="AQ461">
        <v>1.0541007448257309</v>
      </c>
      <c r="AR461">
        <v>117.145378074718</v>
      </c>
      <c r="AS461">
        <v>640.82000000000005</v>
      </c>
      <c r="AT461">
        <v>1</v>
      </c>
      <c r="AU461">
        <v>75.069101177840764</v>
      </c>
      <c r="AV461">
        <v>0.95889999999999997</v>
      </c>
      <c r="AW461" s="62">
        <v>71.983999999999995</v>
      </c>
      <c r="AX461">
        <v>8.9176000000000002</v>
      </c>
      <c r="AY461">
        <v>1</v>
      </c>
      <c r="AZ461">
        <v>6023.7392733347688</v>
      </c>
      <c r="BA461">
        <v>0.99097621000820357</v>
      </c>
      <c r="BB461" s="62">
        <v>5969.3823000000002</v>
      </c>
      <c r="BC461" s="60">
        <v>2548.7325976050952</v>
      </c>
    </row>
    <row r="462" spans="1:55" x14ac:dyDescent="0.25">
      <c r="A462">
        <v>109475</v>
      </c>
      <c r="B462" t="s">
        <v>145</v>
      </c>
      <c r="C462">
        <v>2019</v>
      </c>
      <c r="D462">
        <v>1</v>
      </c>
      <c r="E462" t="s">
        <v>51</v>
      </c>
      <c r="F462" t="s">
        <v>426</v>
      </c>
      <c r="G462" t="s">
        <v>84</v>
      </c>
      <c r="H462" t="s">
        <v>59</v>
      </c>
      <c r="I462" t="s">
        <v>427</v>
      </c>
      <c r="J462">
        <v>-6.8711334500000003</v>
      </c>
      <c r="K462" t="s">
        <v>440</v>
      </c>
      <c r="L462" t="s">
        <v>451</v>
      </c>
      <c r="M462">
        <v>1.7625750762999999E-3</v>
      </c>
      <c r="N462">
        <v>1.2110888573499561E-2</v>
      </c>
      <c r="O462">
        <v>28410.399000000001</v>
      </c>
      <c r="P462">
        <v>2.51417E-6</v>
      </c>
      <c r="Q462">
        <v>0.14285700000000001</v>
      </c>
      <c r="R462" s="60">
        <v>1.730125208944427E-3</v>
      </c>
      <c r="S462" t="s">
        <v>346</v>
      </c>
      <c r="T462" t="s">
        <v>436</v>
      </c>
      <c r="U462" t="s">
        <v>425</v>
      </c>
      <c r="V462" t="s">
        <v>91</v>
      </c>
      <c r="W462">
        <v>111.133</v>
      </c>
      <c r="X462">
        <v>1.0368587857491129</v>
      </c>
      <c r="Y462">
        <v>115.2292274366562</v>
      </c>
      <c r="Z462">
        <v>603.45000000000005</v>
      </c>
      <c r="AA462">
        <v>1</v>
      </c>
      <c r="AB462">
        <v>69.535077296650186</v>
      </c>
      <c r="AC462">
        <v>0.99250000000000005</v>
      </c>
      <c r="AD462" s="62">
        <v>69.013999999999996</v>
      </c>
      <c r="AE462">
        <v>8.9176000000000002</v>
      </c>
      <c r="AF462">
        <v>9.2462919077962926</v>
      </c>
      <c r="AG462">
        <v>1</v>
      </c>
      <c r="AH462">
        <v>5579.6748517596734</v>
      </c>
      <c r="AI462">
        <v>0.96573604060913698</v>
      </c>
      <c r="AJ462" s="62">
        <v>5388.4930999999997</v>
      </c>
      <c r="AK462" s="60">
        <v>9.322767750533103</v>
      </c>
      <c r="AL462" t="s">
        <v>347</v>
      </c>
      <c r="AM462" t="s">
        <v>437</v>
      </c>
      <c r="AN462" t="s">
        <v>425</v>
      </c>
      <c r="AO462" t="s">
        <v>91</v>
      </c>
      <c r="AP462">
        <v>111.133</v>
      </c>
      <c r="AQ462">
        <v>1.0541007448257309</v>
      </c>
      <c r="AR462">
        <v>117.145378074718</v>
      </c>
      <c r="AS462">
        <v>640.82000000000005</v>
      </c>
      <c r="AT462">
        <v>1</v>
      </c>
      <c r="AU462">
        <v>75.069101177840764</v>
      </c>
      <c r="AV462">
        <v>1.0088999999999999</v>
      </c>
      <c r="AW462" s="62">
        <v>75.736999999999995</v>
      </c>
      <c r="AX462">
        <v>8.9176000000000002</v>
      </c>
      <c r="AY462">
        <v>1</v>
      </c>
      <c r="AZ462">
        <v>6023.7392733347688</v>
      </c>
      <c r="BA462">
        <v>0.99316673174541203</v>
      </c>
      <c r="BB462" s="62">
        <v>5982.5774000000001</v>
      </c>
      <c r="BC462" s="60">
        <v>10.35060797420121</v>
      </c>
    </row>
    <row r="463" spans="1:55" x14ac:dyDescent="0.25">
      <c r="A463">
        <v>109477</v>
      </c>
      <c r="B463" t="s">
        <v>145</v>
      </c>
      <c r="C463">
        <v>2019</v>
      </c>
      <c r="D463">
        <v>1</v>
      </c>
      <c r="E463" t="s">
        <v>51</v>
      </c>
      <c r="F463" t="s">
        <v>426</v>
      </c>
      <c r="G463" t="s">
        <v>84</v>
      </c>
      <c r="H463" t="s">
        <v>59</v>
      </c>
      <c r="I463" t="s">
        <v>427</v>
      </c>
      <c r="J463">
        <v>-6.8711334500000003</v>
      </c>
      <c r="K463" t="s">
        <v>440</v>
      </c>
      <c r="L463" t="s">
        <v>452</v>
      </c>
      <c r="M463">
        <v>1.4858046103299999E-3</v>
      </c>
      <c r="N463">
        <v>1.020916176545085E-2</v>
      </c>
      <c r="O463">
        <v>28410.399000000001</v>
      </c>
      <c r="P463">
        <v>2.51417E-6</v>
      </c>
      <c r="Q463">
        <v>0.14285700000000001</v>
      </c>
      <c r="R463" s="60">
        <v>1.4584502223270121E-3</v>
      </c>
      <c r="S463" t="s">
        <v>346</v>
      </c>
      <c r="T463" t="s">
        <v>436</v>
      </c>
      <c r="U463" t="s">
        <v>425</v>
      </c>
      <c r="V463" t="s">
        <v>28</v>
      </c>
      <c r="W463">
        <v>111.133</v>
      </c>
      <c r="X463">
        <v>1.0368587857491129</v>
      </c>
      <c r="Y463">
        <v>115.2292274366562</v>
      </c>
      <c r="Z463">
        <v>603.45000000000005</v>
      </c>
      <c r="AA463">
        <v>1</v>
      </c>
      <c r="AB463">
        <v>69.535077296650186</v>
      </c>
      <c r="AC463">
        <v>0.99760000000000004</v>
      </c>
      <c r="AD463" s="62">
        <v>69.367999999999995</v>
      </c>
      <c r="AE463">
        <v>8.9176000000000002</v>
      </c>
      <c r="AF463">
        <v>9.2462919077962926</v>
      </c>
      <c r="AG463">
        <v>1</v>
      </c>
      <c r="AH463">
        <v>5579.6748517596734</v>
      </c>
      <c r="AI463">
        <v>0.96062216971844849</v>
      </c>
      <c r="AJ463" s="62">
        <v>5359.9593999999997</v>
      </c>
      <c r="AK463" s="60">
        <v>7.8172339785937552</v>
      </c>
      <c r="AL463" t="s">
        <v>347</v>
      </c>
      <c r="AM463" t="s">
        <v>437</v>
      </c>
      <c r="AN463" t="s">
        <v>425</v>
      </c>
      <c r="AO463" t="s">
        <v>28</v>
      </c>
      <c r="AP463">
        <v>111.133</v>
      </c>
      <c r="AQ463">
        <v>1.0541007448257309</v>
      </c>
      <c r="AR463">
        <v>117.145378074718</v>
      </c>
      <c r="AS463">
        <v>640.82000000000005</v>
      </c>
      <c r="AT463">
        <v>1</v>
      </c>
      <c r="AU463">
        <v>75.069101177840764</v>
      </c>
      <c r="AV463">
        <v>1.0073000000000001</v>
      </c>
      <c r="AW463" s="62">
        <v>75.617000000000004</v>
      </c>
      <c r="AX463">
        <v>8.9176000000000002</v>
      </c>
      <c r="AY463">
        <v>1</v>
      </c>
      <c r="AZ463">
        <v>6023.7392733347688</v>
      </c>
      <c r="BA463">
        <v>0.99399488088206345</v>
      </c>
      <c r="BB463" s="62">
        <v>5987.5659999999998</v>
      </c>
      <c r="BC463" s="60">
        <v>8.7325669638976553</v>
      </c>
    </row>
    <row r="464" spans="1:55" x14ac:dyDescent="0.25">
      <c r="A464">
        <v>116339</v>
      </c>
      <c r="B464" t="s">
        <v>147</v>
      </c>
      <c r="C464">
        <v>2019</v>
      </c>
      <c r="D464">
        <v>2</v>
      </c>
      <c r="E464" t="s">
        <v>51</v>
      </c>
      <c r="F464" t="s">
        <v>426</v>
      </c>
      <c r="G464" t="s">
        <v>84</v>
      </c>
      <c r="H464" t="s">
        <v>381</v>
      </c>
      <c r="I464" t="s">
        <v>427</v>
      </c>
      <c r="J464">
        <v>-14.47972981</v>
      </c>
      <c r="K464" t="s">
        <v>440</v>
      </c>
      <c r="L464" t="s">
        <v>450</v>
      </c>
      <c r="M464">
        <v>0.15011157993331001</v>
      </c>
      <c r="N464">
        <v>2.1735751184675922</v>
      </c>
      <c r="O464">
        <v>28410.399000000001</v>
      </c>
      <c r="P464">
        <v>2.51417E-6</v>
      </c>
      <c r="Q464">
        <v>0.14285700000000001</v>
      </c>
      <c r="R464" s="60">
        <v>0.31051042069892482</v>
      </c>
      <c r="S464" t="s">
        <v>346</v>
      </c>
      <c r="T464" t="s">
        <v>436</v>
      </c>
      <c r="U464" t="s">
        <v>425</v>
      </c>
      <c r="V464" t="s">
        <v>26</v>
      </c>
      <c r="W464">
        <v>111.133</v>
      </c>
      <c r="X464">
        <v>1.0368587857491129</v>
      </c>
      <c r="Y464">
        <v>115.2292274366562</v>
      </c>
      <c r="Z464">
        <v>603.45000000000005</v>
      </c>
      <c r="AA464">
        <v>1</v>
      </c>
      <c r="AB464">
        <v>69.535077296650186</v>
      </c>
      <c r="AC464">
        <v>0.96209999999999996</v>
      </c>
      <c r="AD464" s="62">
        <v>66.900000000000006</v>
      </c>
      <c r="AE464">
        <v>8.9176000000000002</v>
      </c>
      <c r="AF464">
        <v>9.2462919077962926</v>
      </c>
      <c r="AG464">
        <v>1</v>
      </c>
      <c r="AH464">
        <v>5579.6748517596734</v>
      </c>
      <c r="AI464">
        <v>0.95992461065370505</v>
      </c>
      <c r="AJ464" s="62">
        <v>5356.0672000000004</v>
      </c>
      <c r="AK464" s="60">
        <v>1663.1146795637119</v>
      </c>
      <c r="AL464" t="s">
        <v>347</v>
      </c>
      <c r="AM464" t="s">
        <v>437</v>
      </c>
      <c r="AN464" t="s">
        <v>425</v>
      </c>
      <c r="AO464" t="s">
        <v>26</v>
      </c>
      <c r="AP464">
        <v>111.133</v>
      </c>
      <c r="AQ464">
        <v>1.0541007448257309</v>
      </c>
      <c r="AR464">
        <v>117.145378074718</v>
      </c>
      <c r="AS464">
        <v>640.82000000000005</v>
      </c>
      <c r="AT464">
        <v>1</v>
      </c>
      <c r="AU464">
        <v>75.069101177840764</v>
      </c>
      <c r="AV464">
        <v>0.99109999999999998</v>
      </c>
      <c r="AW464" s="62">
        <v>74.400999999999996</v>
      </c>
      <c r="AX464">
        <v>8.9176000000000002</v>
      </c>
      <c r="AY464">
        <v>1</v>
      </c>
      <c r="AZ464">
        <v>6023.7392733347688</v>
      </c>
      <c r="BA464">
        <v>0.9830373970836227</v>
      </c>
      <c r="BB464" s="62">
        <v>5921.5609999999997</v>
      </c>
      <c r="BC464" s="60">
        <v>1838.706397304346</v>
      </c>
    </row>
    <row r="465" spans="1:55" x14ac:dyDescent="0.25">
      <c r="A465">
        <v>116341</v>
      </c>
      <c r="B465" t="s">
        <v>147</v>
      </c>
      <c r="C465">
        <v>2019</v>
      </c>
      <c r="D465">
        <v>2</v>
      </c>
      <c r="E465" t="s">
        <v>51</v>
      </c>
      <c r="F465" t="s">
        <v>426</v>
      </c>
      <c r="G465" t="s">
        <v>84</v>
      </c>
      <c r="H465" t="s">
        <v>381</v>
      </c>
      <c r="I465" t="s">
        <v>427</v>
      </c>
      <c r="J465">
        <v>-14.47972981</v>
      </c>
      <c r="K465" t="s">
        <v>440</v>
      </c>
      <c r="L465" t="s">
        <v>384</v>
      </c>
      <c r="M465">
        <v>4.5811354346740003E-2</v>
      </c>
      <c r="N465">
        <v>0.66333603307362488</v>
      </c>
      <c r="O465">
        <v>28410.399000000001</v>
      </c>
      <c r="P465">
        <v>2.51417E-6</v>
      </c>
      <c r="Q465">
        <v>0.14285700000000001</v>
      </c>
      <c r="R465" s="60">
        <v>9.4762195676798833E-2</v>
      </c>
      <c r="S465" t="s">
        <v>346</v>
      </c>
      <c r="T465" t="s">
        <v>436</v>
      </c>
      <c r="U465" t="s">
        <v>425</v>
      </c>
      <c r="V465" t="s">
        <v>81</v>
      </c>
      <c r="W465">
        <v>111.133</v>
      </c>
      <c r="X465">
        <v>1.0368587857491129</v>
      </c>
      <c r="Y465">
        <v>115.2292274366562</v>
      </c>
      <c r="Z465">
        <v>603.45000000000005</v>
      </c>
      <c r="AA465">
        <v>1</v>
      </c>
      <c r="AB465">
        <v>69.535077296650186</v>
      </c>
      <c r="AC465">
        <v>0.90990000000000004</v>
      </c>
      <c r="AD465" s="62">
        <v>63.27</v>
      </c>
      <c r="AE465">
        <v>8.9176000000000002</v>
      </c>
      <c r="AF465">
        <v>9.2462919077962926</v>
      </c>
      <c r="AG465">
        <v>1</v>
      </c>
      <c r="AH465">
        <v>5579.6748517596734</v>
      </c>
      <c r="AI465">
        <v>1.053620848708487</v>
      </c>
      <c r="AJ465" s="62">
        <v>5878.8617999999997</v>
      </c>
      <c r="AK465" s="60">
        <v>557.09385224845778</v>
      </c>
      <c r="AL465" t="s">
        <v>347</v>
      </c>
      <c r="AM465" t="s">
        <v>437</v>
      </c>
      <c r="AN465" t="s">
        <v>425</v>
      </c>
      <c r="AO465" t="s">
        <v>81</v>
      </c>
      <c r="AP465">
        <v>111.133</v>
      </c>
      <c r="AQ465">
        <v>1.0541007448257309</v>
      </c>
      <c r="AR465">
        <v>117.145378074718</v>
      </c>
      <c r="AS465">
        <v>640.82000000000005</v>
      </c>
      <c r="AT465">
        <v>1</v>
      </c>
      <c r="AU465">
        <v>75.069101177840764</v>
      </c>
      <c r="AV465">
        <v>0.93830000000000002</v>
      </c>
      <c r="AW465" s="62">
        <v>70.436999999999998</v>
      </c>
      <c r="AX465">
        <v>8.9176000000000002</v>
      </c>
      <c r="AY465">
        <v>1</v>
      </c>
      <c r="AZ465">
        <v>6023.7392733347688</v>
      </c>
      <c r="BA465">
        <v>1.098016605166052</v>
      </c>
      <c r="BB465" s="62">
        <v>6614.1656999999996</v>
      </c>
      <c r="BC465" s="60">
        <v>626.77286430217112</v>
      </c>
    </row>
    <row r="466" spans="1:55" x14ac:dyDescent="0.25">
      <c r="A466">
        <v>116343</v>
      </c>
      <c r="B466" t="s">
        <v>147</v>
      </c>
      <c r="C466">
        <v>2019</v>
      </c>
      <c r="D466">
        <v>2</v>
      </c>
      <c r="E466" t="s">
        <v>51</v>
      </c>
      <c r="F466" t="s">
        <v>426</v>
      </c>
      <c r="G466" t="s">
        <v>84</v>
      </c>
      <c r="H466" t="s">
        <v>381</v>
      </c>
      <c r="I466" t="s">
        <v>427</v>
      </c>
      <c r="J466">
        <v>-14.47972981</v>
      </c>
      <c r="K466" t="s">
        <v>440</v>
      </c>
      <c r="L466" t="s">
        <v>385</v>
      </c>
      <c r="M466">
        <v>0.43232641346992001</v>
      </c>
      <c r="N466">
        <v>6.2599696558521849</v>
      </c>
      <c r="O466">
        <v>28410.399000000001</v>
      </c>
      <c r="P466">
        <v>2.51417E-6</v>
      </c>
      <c r="Q466">
        <v>0.14285700000000001</v>
      </c>
      <c r="R466" s="60">
        <v>0.89428048512607561</v>
      </c>
      <c r="S466" t="s">
        <v>346</v>
      </c>
      <c r="T466" t="s">
        <v>436</v>
      </c>
      <c r="U466" t="s">
        <v>425</v>
      </c>
      <c r="V466" t="s">
        <v>27</v>
      </c>
      <c r="W466">
        <v>111.133</v>
      </c>
      <c r="X466">
        <v>1.0368587857491129</v>
      </c>
      <c r="Y466">
        <v>115.2292274366562</v>
      </c>
      <c r="Z466">
        <v>603.45000000000005</v>
      </c>
      <c r="AA466">
        <v>1</v>
      </c>
      <c r="AB466">
        <v>69.535077296650186</v>
      </c>
      <c r="AC466">
        <v>0.93979999999999997</v>
      </c>
      <c r="AD466" s="62">
        <v>65.349000000000004</v>
      </c>
      <c r="AE466">
        <v>8.9176000000000002</v>
      </c>
      <c r="AF466">
        <v>9.2462919077962926</v>
      </c>
      <c r="AG466">
        <v>1</v>
      </c>
      <c r="AH466">
        <v>5579.6748517596734</v>
      </c>
      <c r="AI466">
        <v>0.95477850697292876</v>
      </c>
      <c r="AJ466" s="62">
        <v>5327.3536000000004</v>
      </c>
      <c r="AK466" s="60">
        <v>4764.1483618461452</v>
      </c>
      <c r="AL466" t="s">
        <v>347</v>
      </c>
      <c r="AM466" t="s">
        <v>437</v>
      </c>
      <c r="AN466" t="s">
        <v>425</v>
      </c>
      <c r="AO466" t="s">
        <v>27</v>
      </c>
      <c r="AP466">
        <v>111.133</v>
      </c>
      <c r="AQ466">
        <v>1.0541007448257309</v>
      </c>
      <c r="AR466">
        <v>117.145378074718</v>
      </c>
      <c r="AS466">
        <v>640.82000000000005</v>
      </c>
      <c r="AT466">
        <v>1</v>
      </c>
      <c r="AU466">
        <v>75.069101177840764</v>
      </c>
      <c r="AV466">
        <v>0.95889999999999997</v>
      </c>
      <c r="AW466" s="62">
        <v>71.983999999999995</v>
      </c>
      <c r="AX466">
        <v>8.9176000000000002</v>
      </c>
      <c r="AY466">
        <v>1</v>
      </c>
      <c r="AZ466">
        <v>6023.7392733347688</v>
      </c>
      <c r="BA466">
        <v>0.99097621000820357</v>
      </c>
      <c r="BB466" s="62">
        <v>5969.3823000000002</v>
      </c>
      <c r="BC466" s="60">
        <v>5338.3020991470094</v>
      </c>
    </row>
    <row r="467" spans="1:55" x14ac:dyDescent="0.25">
      <c r="A467">
        <v>116345</v>
      </c>
      <c r="B467" t="s">
        <v>147</v>
      </c>
      <c r="C467">
        <v>2019</v>
      </c>
      <c r="D467">
        <v>2</v>
      </c>
      <c r="E467" t="s">
        <v>51</v>
      </c>
      <c r="F467" t="s">
        <v>426</v>
      </c>
      <c r="G467" t="s">
        <v>84</v>
      </c>
      <c r="H467" t="s">
        <v>381</v>
      </c>
      <c r="I467" t="s">
        <v>427</v>
      </c>
      <c r="J467">
        <v>-14.47972981</v>
      </c>
      <c r="K467" t="s">
        <v>440</v>
      </c>
      <c r="L467" t="s">
        <v>451</v>
      </c>
      <c r="M467">
        <v>1.6825115802299999E-3</v>
      </c>
      <c r="N467">
        <v>2.4362313080351559E-2</v>
      </c>
      <c r="O467">
        <v>28410.399000000001</v>
      </c>
      <c r="P467">
        <v>2.51417E-6</v>
      </c>
      <c r="Q467">
        <v>0.14285700000000001</v>
      </c>
      <c r="R467" s="60">
        <v>3.480326959719783E-3</v>
      </c>
      <c r="S467" t="s">
        <v>346</v>
      </c>
      <c r="T467" t="s">
        <v>436</v>
      </c>
      <c r="U467" t="s">
        <v>425</v>
      </c>
      <c r="V467" t="s">
        <v>91</v>
      </c>
      <c r="W467">
        <v>111.133</v>
      </c>
      <c r="X467">
        <v>1.0368587857491129</v>
      </c>
      <c r="Y467">
        <v>115.2292274366562</v>
      </c>
      <c r="Z467">
        <v>603.45000000000005</v>
      </c>
      <c r="AA467">
        <v>1</v>
      </c>
      <c r="AB467">
        <v>69.535077296650186</v>
      </c>
      <c r="AC467">
        <v>0.99250000000000005</v>
      </c>
      <c r="AD467" s="62">
        <v>69.013999999999996</v>
      </c>
      <c r="AE467">
        <v>8.9176000000000002</v>
      </c>
      <c r="AF467">
        <v>9.2462919077962926</v>
      </c>
      <c r="AG467">
        <v>1</v>
      </c>
      <c r="AH467">
        <v>5579.6748517596734</v>
      </c>
      <c r="AI467">
        <v>0.96573604060913698</v>
      </c>
      <c r="AJ467" s="62">
        <v>5388.4930999999997</v>
      </c>
      <c r="AK467" s="60">
        <v>18.753717808194029</v>
      </c>
      <c r="AL467" t="s">
        <v>347</v>
      </c>
      <c r="AM467" t="s">
        <v>437</v>
      </c>
      <c r="AN467" t="s">
        <v>425</v>
      </c>
      <c r="AO467" t="s">
        <v>91</v>
      </c>
      <c r="AP467">
        <v>111.133</v>
      </c>
      <c r="AQ467">
        <v>1.0541007448257309</v>
      </c>
      <c r="AR467">
        <v>117.145378074718</v>
      </c>
      <c r="AS467">
        <v>640.82000000000005</v>
      </c>
      <c r="AT467">
        <v>1</v>
      </c>
      <c r="AU467">
        <v>75.069101177840764</v>
      </c>
      <c r="AV467">
        <v>1.0088999999999999</v>
      </c>
      <c r="AW467" s="62">
        <v>75.736999999999995</v>
      </c>
      <c r="AX467">
        <v>8.9176000000000002</v>
      </c>
      <c r="AY467">
        <v>1</v>
      </c>
      <c r="AZ467">
        <v>6023.7392733347688</v>
      </c>
      <c r="BA467">
        <v>0.99316673174541203</v>
      </c>
      <c r="BB467" s="62">
        <v>5982.5774000000001</v>
      </c>
      <c r="BC467" s="60">
        <v>20.82132541383028</v>
      </c>
    </row>
    <row r="468" spans="1:55" x14ac:dyDescent="0.25">
      <c r="A468">
        <v>116347</v>
      </c>
      <c r="B468" t="s">
        <v>147</v>
      </c>
      <c r="C468">
        <v>2019</v>
      </c>
      <c r="D468">
        <v>2</v>
      </c>
      <c r="E468" t="s">
        <v>51</v>
      </c>
      <c r="F468" t="s">
        <v>426</v>
      </c>
      <c r="G468" t="s">
        <v>84</v>
      </c>
      <c r="H468" t="s">
        <v>381</v>
      </c>
      <c r="I468" t="s">
        <v>427</v>
      </c>
      <c r="J468">
        <v>-14.47972981</v>
      </c>
      <c r="K468" t="s">
        <v>440</v>
      </c>
      <c r="L468" t="s">
        <v>452</v>
      </c>
      <c r="M468">
        <v>1.53682162831E-3</v>
      </c>
      <c r="N468">
        <v>2.225276194082763E-2</v>
      </c>
      <c r="O468">
        <v>28410.399000000001</v>
      </c>
      <c r="P468">
        <v>2.51417E-6</v>
      </c>
      <c r="Q468">
        <v>0.14285700000000001</v>
      </c>
      <c r="R468" s="60">
        <v>3.178962812580813E-3</v>
      </c>
      <c r="S468" t="s">
        <v>346</v>
      </c>
      <c r="T468" t="s">
        <v>436</v>
      </c>
      <c r="U468" t="s">
        <v>425</v>
      </c>
      <c r="V468" t="s">
        <v>28</v>
      </c>
      <c r="W468">
        <v>111.133</v>
      </c>
      <c r="X468">
        <v>1.0368587857491129</v>
      </c>
      <c r="Y468">
        <v>115.2292274366562</v>
      </c>
      <c r="Z468">
        <v>603.45000000000005</v>
      </c>
      <c r="AA468">
        <v>1</v>
      </c>
      <c r="AB468">
        <v>69.535077296650186</v>
      </c>
      <c r="AC468">
        <v>0.99760000000000004</v>
      </c>
      <c r="AD468" s="62">
        <v>69.367999999999995</v>
      </c>
      <c r="AE468">
        <v>8.9176000000000002</v>
      </c>
      <c r="AF468">
        <v>9.2462919077962926</v>
      </c>
      <c r="AG468">
        <v>1</v>
      </c>
      <c r="AH468">
        <v>5579.6748517596734</v>
      </c>
      <c r="AI468">
        <v>0.96062216971844849</v>
      </c>
      <c r="AJ468" s="62">
        <v>5359.9593999999997</v>
      </c>
      <c r="AK468" s="60">
        <v>17.03911160954296</v>
      </c>
      <c r="AL468" t="s">
        <v>347</v>
      </c>
      <c r="AM468" t="s">
        <v>437</v>
      </c>
      <c r="AN468" t="s">
        <v>425</v>
      </c>
      <c r="AO468" t="s">
        <v>28</v>
      </c>
      <c r="AP468">
        <v>111.133</v>
      </c>
      <c r="AQ468">
        <v>1.0541007448257309</v>
      </c>
      <c r="AR468">
        <v>117.145378074718</v>
      </c>
      <c r="AS468">
        <v>640.82000000000005</v>
      </c>
      <c r="AT468">
        <v>1</v>
      </c>
      <c r="AU468">
        <v>75.069101177840764</v>
      </c>
      <c r="AV468">
        <v>1.0073000000000001</v>
      </c>
      <c r="AW468" s="62">
        <v>75.617000000000004</v>
      </c>
      <c r="AX468">
        <v>8.9176000000000002</v>
      </c>
      <c r="AY468">
        <v>1</v>
      </c>
      <c r="AZ468">
        <v>6023.7392733347688</v>
      </c>
      <c r="BA468">
        <v>0.99399488088206345</v>
      </c>
      <c r="BB468" s="62">
        <v>5987.5659999999998</v>
      </c>
      <c r="BC468" s="60">
        <v>19.03424965187325</v>
      </c>
    </row>
    <row r="469" spans="1:55" x14ac:dyDescent="0.25">
      <c r="A469">
        <v>116349</v>
      </c>
      <c r="B469" t="s">
        <v>147</v>
      </c>
      <c r="C469">
        <v>2019</v>
      </c>
      <c r="D469">
        <v>2</v>
      </c>
      <c r="E469" t="s">
        <v>51</v>
      </c>
      <c r="F469" t="s">
        <v>426</v>
      </c>
      <c r="G469" t="s">
        <v>84</v>
      </c>
      <c r="H469" t="s">
        <v>87</v>
      </c>
      <c r="I469" t="s">
        <v>427</v>
      </c>
      <c r="J469">
        <v>-2.8894547099999999</v>
      </c>
      <c r="K469" t="s">
        <v>440</v>
      </c>
      <c r="L469" t="s">
        <v>450</v>
      </c>
      <c r="M469">
        <v>0.26601384014995</v>
      </c>
      <c r="N469">
        <v>0.76863494270599675</v>
      </c>
      <c r="O469">
        <v>28410.399000000001</v>
      </c>
      <c r="P469">
        <v>2.51417E-6</v>
      </c>
      <c r="Q469">
        <v>0.14285700000000001</v>
      </c>
      <c r="R469" s="60">
        <v>0.1098048820101506</v>
      </c>
      <c r="S469" t="s">
        <v>346</v>
      </c>
      <c r="T469" t="s">
        <v>436</v>
      </c>
      <c r="U469" t="s">
        <v>425</v>
      </c>
      <c r="V469" t="s">
        <v>26</v>
      </c>
      <c r="W469">
        <v>111.133</v>
      </c>
      <c r="X469">
        <v>1.0368587857491129</v>
      </c>
      <c r="Y469">
        <v>115.2292274366562</v>
      </c>
      <c r="Z469">
        <v>603.45000000000005</v>
      </c>
      <c r="AA469">
        <v>1</v>
      </c>
      <c r="AB469">
        <v>69.535077296650186</v>
      </c>
      <c r="AC469">
        <v>0.96209999999999996</v>
      </c>
      <c r="AD469" s="62">
        <v>66.900000000000006</v>
      </c>
      <c r="AE469">
        <v>8.9176000000000002</v>
      </c>
      <c r="AF469">
        <v>9.2462919077962926</v>
      </c>
      <c r="AG469">
        <v>1</v>
      </c>
      <c r="AH469">
        <v>5579.6748517596734</v>
      </c>
      <c r="AI469">
        <v>0.95992461065370505</v>
      </c>
      <c r="AJ469" s="62">
        <v>5356.0672000000004</v>
      </c>
      <c r="AK469" s="60">
        <v>588.12232693443764</v>
      </c>
      <c r="AL469" t="s">
        <v>347</v>
      </c>
      <c r="AM469" t="s">
        <v>437</v>
      </c>
      <c r="AN469" t="s">
        <v>425</v>
      </c>
      <c r="AO469" t="s">
        <v>26</v>
      </c>
      <c r="AP469">
        <v>111.133</v>
      </c>
      <c r="AQ469">
        <v>1.0541007448257309</v>
      </c>
      <c r="AR469">
        <v>117.145378074718</v>
      </c>
      <c r="AS469">
        <v>640.82000000000005</v>
      </c>
      <c r="AT469">
        <v>1</v>
      </c>
      <c r="AU469">
        <v>75.069101177840764</v>
      </c>
      <c r="AV469">
        <v>0.99109999999999998</v>
      </c>
      <c r="AW469" s="62">
        <v>74.400999999999996</v>
      </c>
      <c r="AX469">
        <v>8.9176000000000002</v>
      </c>
      <c r="AY469">
        <v>1</v>
      </c>
      <c r="AZ469">
        <v>6023.7392733347688</v>
      </c>
      <c r="BA469">
        <v>0.9830373970836227</v>
      </c>
      <c r="BB469" s="62">
        <v>5921.5609999999997</v>
      </c>
      <c r="BC469" s="60">
        <v>650.21630692090923</v>
      </c>
    </row>
    <row r="470" spans="1:55" x14ac:dyDescent="0.25">
      <c r="A470">
        <v>116351</v>
      </c>
      <c r="B470" t="s">
        <v>147</v>
      </c>
      <c r="C470">
        <v>2019</v>
      </c>
      <c r="D470">
        <v>2</v>
      </c>
      <c r="E470" t="s">
        <v>51</v>
      </c>
      <c r="F470" t="s">
        <v>426</v>
      </c>
      <c r="G470" t="s">
        <v>84</v>
      </c>
      <c r="H470" t="s">
        <v>87</v>
      </c>
      <c r="I470" t="s">
        <v>427</v>
      </c>
      <c r="J470">
        <v>-2.8894547099999999</v>
      </c>
      <c r="K470" t="s">
        <v>440</v>
      </c>
      <c r="L470" t="s">
        <v>384</v>
      </c>
      <c r="M470">
        <v>3.9509559941419997E-2</v>
      </c>
      <c r="N470">
        <v>0.1141610839676389</v>
      </c>
      <c r="O470">
        <v>28410.399000000001</v>
      </c>
      <c r="P470">
        <v>2.51417E-6</v>
      </c>
      <c r="Q470">
        <v>0.14285700000000001</v>
      </c>
      <c r="R470" s="60">
        <v>1.6308709972364981E-2</v>
      </c>
      <c r="S470" t="s">
        <v>346</v>
      </c>
      <c r="T470" t="s">
        <v>436</v>
      </c>
      <c r="U470" t="s">
        <v>425</v>
      </c>
      <c r="V470" t="s">
        <v>81</v>
      </c>
      <c r="W470">
        <v>111.133</v>
      </c>
      <c r="X470">
        <v>1.0368587857491129</v>
      </c>
      <c r="Y470">
        <v>115.2292274366562</v>
      </c>
      <c r="Z470">
        <v>603.45000000000005</v>
      </c>
      <c r="AA470">
        <v>1</v>
      </c>
      <c r="AB470">
        <v>69.535077296650186</v>
      </c>
      <c r="AC470">
        <v>0.90990000000000004</v>
      </c>
      <c r="AD470" s="62">
        <v>63.27</v>
      </c>
      <c r="AE470">
        <v>8.9176000000000002</v>
      </c>
      <c r="AF470">
        <v>9.2462919077962926</v>
      </c>
      <c r="AG470">
        <v>1</v>
      </c>
      <c r="AH470">
        <v>5579.6748517596734</v>
      </c>
      <c r="AI470">
        <v>1.053620848708487</v>
      </c>
      <c r="AJ470" s="62">
        <v>5878.8617999999997</v>
      </c>
      <c r="AK470" s="60">
        <v>95.876652063815555</v>
      </c>
      <c r="AL470" t="s">
        <v>347</v>
      </c>
      <c r="AM470" t="s">
        <v>437</v>
      </c>
      <c r="AN470" t="s">
        <v>425</v>
      </c>
      <c r="AO470" t="s">
        <v>81</v>
      </c>
      <c r="AP470">
        <v>111.133</v>
      </c>
      <c r="AQ470">
        <v>1.0541007448257309</v>
      </c>
      <c r="AR470">
        <v>117.145378074718</v>
      </c>
      <c r="AS470">
        <v>640.82000000000005</v>
      </c>
      <c r="AT470">
        <v>1</v>
      </c>
      <c r="AU470">
        <v>75.069101177840764</v>
      </c>
      <c r="AV470">
        <v>0.93830000000000002</v>
      </c>
      <c r="AW470" s="62">
        <v>70.436999999999998</v>
      </c>
      <c r="AX470">
        <v>8.9176000000000002</v>
      </c>
      <c r="AY470">
        <v>1</v>
      </c>
      <c r="AZ470">
        <v>6023.7392733347688</v>
      </c>
      <c r="BA470">
        <v>1.098016605166052</v>
      </c>
      <c r="BB470" s="62">
        <v>6614.1656999999996</v>
      </c>
      <c r="BC470" s="60">
        <v>107.8685101104644</v>
      </c>
    </row>
    <row r="471" spans="1:55" x14ac:dyDescent="0.25">
      <c r="A471">
        <v>116353</v>
      </c>
      <c r="B471" t="s">
        <v>147</v>
      </c>
      <c r="C471">
        <v>2019</v>
      </c>
      <c r="D471">
        <v>2</v>
      </c>
      <c r="E471" t="s">
        <v>51</v>
      </c>
      <c r="F471" t="s">
        <v>426</v>
      </c>
      <c r="G471" t="s">
        <v>84</v>
      </c>
      <c r="H471" t="s">
        <v>87</v>
      </c>
      <c r="I471" t="s">
        <v>427</v>
      </c>
      <c r="J471">
        <v>-2.8894547099999999</v>
      </c>
      <c r="K471" t="s">
        <v>440</v>
      </c>
      <c r="L471" t="s">
        <v>385</v>
      </c>
      <c r="M471">
        <v>0.39737542925016001</v>
      </c>
      <c r="N471">
        <v>1.148198304728413</v>
      </c>
      <c r="O471">
        <v>28410.399000000001</v>
      </c>
      <c r="P471">
        <v>2.51417E-6</v>
      </c>
      <c r="Q471">
        <v>0.14285700000000001</v>
      </c>
      <c r="R471" s="60">
        <v>0.1640281652185869</v>
      </c>
      <c r="S471" t="s">
        <v>346</v>
      </c>
      <c r="T471" t="s">
        <v>436</v>
      </c>
      <c r="U471" t="s">
        <v>425</v>
      </c>
      <c r="V471" t="s">
        <v>27</v>
      </c>
      <c r="W471">
        <v>111.133</v>
      </c>
      <c r="X471">
        <v>1.0368587857491129</v>
      </c>
      <c r="Y471">
        <v>115.2292274366562</v>
      </c>
      <c r="Z471">
        <v>603.45000000000005</v>
      </c>
      <c r="AA471">
        <v>1</v>
      </c>
      <c r="AB471">
        <v>69.535077296650186</v>
      </c>
      <c r="AC471">
        <v>0.93979999999999997</v>
      </c>
      <c r="AD471" s="62">
        <v>65.349000000000004</v>
      </c>
      <c r="AE471">
        <v>8.9176000000000002</v>
      </c>
      <c r="AF471">
        <v>9.2462919077962926</v>
      </c>
      <c r="AG471">
        <v>1</v>
      </c>
      <c r="AH471">
        <v>5579.6748517596734</v>
      </c>
      <c r="AI471">
        <v>0.95477850697292876</v>
      </c>
      <c r="AJ471" s="62">
        <v>5327.3536000000004</v>
      </c>
      <c r="AK471" s="60">
        <v>873.83603647863367</v>
      </c>
      <c r="AL471" t="s">
        <v>347</v>
      </c>
      <c r="AM471" t="s">
        <v>437</v>
      </c>
      <c r="AN471" t="s">
        <v>425</v>
      </c>
      <c r="AO471" t="s">
        <v>27</v>
      </c>
      <c r="AP471">
        <v>111.133</v>
      </c>
      <c r="AQ471">
        <v>1.0541007448257309</v>
      </c>
      <c r="AR471">
        <v>117.145378074718</v>
      </c>
      <c r="AS471">
        <v>640.82000000000005</v>
      </c>
      <c r="AT471">
        <v>1</v>
      </c>
      <c r="AU471">
        <v>75.069101177840764</v>
      </c>
      <c r="AV471">
        <v>0.95889999999999997</v>
      </c>
      <c r="AW471" s="62">
        <v>71.983999999999995</v>
      </c>
      <c r="AX471">
        <v>8.9176000000000002</v>
      </c>
      <c r="AY471">
        <v>1</v>
      </c>
      <c r="AZ471">
        <v>6023.7392733347688</v>
      </c>
      <c r="BA471">
        <v>0.99097621000820357</v>
      </c>
      <c r="BB471" s="62">
        <v>5969.3823000000002</v>
      </c>
      <c r="BC471" s="60">
        <v>979.14682615730817</v>
      </c>
    </row>
    <row r="472" spans="1:55" x14ac:dyDescent="0.25">
      <c r="A472">
        <v>116355</v>
      </c>
      <c r="B472" t="s">
        <v>147</v>
      </c>
      <c r="C472">
        <v>2019</v>
      </c>
      <c r="D472">
        <v>2</v>
      </c>
      <c r="E472" t="s">
        <v>51</v>
      </c>
      <c r="F472" t="s">
        <v>426</v>
      </c>
      <c r="G472" t="s">
        <v>84</v>
      </c>
      <c r="H472" t="s">
        <v>87</v>
      </c>
      <c r="I472" t="s">
        <v>427</v>
      </c>
      <c r="J472">
        <v>-2.8894547099999999</v>
      </c>
      <c r="K472" t="s">
        <v>440</v>
      </c>
      <c r="L472" t="s">
        <v>452</v>
      </c>
      <c r="M472">
        <v>8.4248020759000004E-4</v>
      </c>
      <c r="N472">
        <v>2.4343084018743212E-3</v>
      </c>
      <c r="O472">
        <v>28410.399000000001</v>
      </c>
      <c r="P472">
        <v>2.51417E-6</v>
      </c>
      <c r="Q472">
        <v>0.14285700000000001</v>
      </c>
      <c r="R472" s="60">
        <v>3.4775799536655992E-4</v>
      </c>
      <c r="S472" t="s">
        <v>346</v>
      </c>
      <c r="T472" t="s">
        <v>436</v>
      </c>
      <c r="U472" t="s">
        <v>425</v>
      </c>
      <c r="V472" t="s">
        <v>28</v>
      </c>
      <c r="W472">
        <v>111.133</v>
      </c>
      <c r="X472">
        <v>1.0368587857491129</v>
      </c>
      <c r="Y472">
        <v>115.2292274366562</v>
      </c>
      <c r="Z472">
        <v>603.45000000000005</v>
      </c>
      <c r="AA472">
        <v>1</v>
      </c>
      <c r="AB472">
        <v>69.535077296650186</v>
      </c>
      <c r="AC472">
        <v>0.99760000000000004</v>
      </c>
      <c r="AD472" s="62">
        <v>69.367999999999995</v>
      </c>
      <c r="AE472">
        <v>8.9176000000000002</v>
      </c>
      <c r="AF472">
        <v>9.2462919077962926</v>
      </c>
      <c r="AG472">
        <v>1</v>
      </c>
      <c r="AH472">
        <v>5579.6748517596734</v>
      </c>
      <c r="AI472">
        <v>0.96062216971844849</v>
      </c>
      <c r="AJ472" s="62">
        <v>5359.9593999999997</v>
      </c>
      <c r="AK472" s="60">
        <v>1.8639687361901489</v>
      </c>
      <c r="AL472" t="s">
        <v>347</v>
      </c>
      <c r="AM472" t="s">
        <v>437</v>
      </c>
      <c r="AN472" t="s">
        <v>425</v>
      </c>
      <c r="AO472" t="s">
        <v>28</v>
      </c>
      <c r="AP472">
        <v>111.133</v>
      </c>
      <c r="AQ472">
        <v>1.0541007448257309</v>
      </c>
      <c r="AR472">
        <v>117.145378074718</v>
      </c>
      <c r="AS472">
        <v>640.82000000000005</v>
      </c>
      <c r="AT472">
        <v>1</v>
      </c>
      <c r="AU472">
        <v>75.069101177840764</v>
      </c>
      <c r="AV472">
        <v>1.0073000000000001</v>
      </c>
      <c r="AW472" s="62">
        <v>75.617000000000004</v>
      </c>
      <c r="AX472">
        <v>8.9176000000000002</v>
      </c>
      <c r="AY472">
        <v>1</v>
      </c>
      <c r="AZ472">
        <v>6023.7392733347688</v>
      </c>
      <c r="BA472">
        <v>0.99399488088206345</v>
      </c>
      <c r="BB472" s="62">
        <v>5987.5659999999998</v>
      </c>
      <c r="BC472" s="60">
        <v>2.082223949284971</v>
      </c>
    </row>
    <row r="473" spans="1:55" x14ac:dyDescent="0.25">
      <c r="A473">
        <v>116357</v>
      </c>
      <c r="B473" t="s">
        <v>147</v>
      </c>
      <c r="C473">
        <v>2019</v>
      </c>
      <c r="D473">
        <v>2</v>
      </c>
      <c r="E473" t="s">
        <v>51</v>
      </c>
      <c r="F473" t="s">
        <v>426</v>
      </c>
      <c r="G473" t="s">
        <v>84</v>
      </c>
      <c r="H473" t="s">
        <v>59</v>
      </c>
      <c r="I473" t="s">
        <v>427</v>
      </c>
      <c r="J473">
        <v>-6.8711334500000003</v>
      </c>
      <c r="K473" t="s">
        <v>440</v>
      </c>
      <c r="L473" t="s">
        <v>450</v>
      </c>
      <c r="M473">
        <v>0.15931709696460999</v>
      </c>
      <c r="N473">
        <v>1.0946890348876179</v>
      </c>
      <c r="O473">
        <v>28410.399000000001</v>
      </c>
      <c r="P473">
        <v>2.51417E-6</v>
      </c>
      <c r="Q473">
        <v>0.14285700000000001</v>
      </c>
      <c r="R473" s="60">
        <v>0.15638399145694051</v>
      </c>
      <c r="S473" t="s">
        <v>346</v>
      </c>
      <c r="T473" t="s">
        <v>436</v>
      </c>
      <c r="U473" t="s">
        <v>425</v>
      </c>
      <c r="V473" t="s">
        <v>26</v>
      </c>
      <c r="W473">
        <v>111.133</v>
      </c>
      <c r="X473">
        <v>1.0368587857491129</v>
      </c>
      <c r="Y473">
        <v>115.2292274366562</v>
      </c>
      <c r="Z473">
        <v>603.45000000000005</v>
      </c>
      <c r="AA473">
        <v>1</v>
      </c>
      <c r="AB473">
        <v>69.535077296650186</v>
      </c>
      <c r="AC473">
        <v>0.96209999999999996</v>
      </c>
      <c r="AD473" s="62">
        <v>66.900000000000006</v>
      </c>
      <c r="AE473">
        <v>8.9176000000000002</v>
      </c>
      <c r="AF473">
        <v>9.2462919077962926</v>
      </c>
      <c r="AG473">
        <v>1</v>
      </c>
      <c r="AH473">
        <v>5579.6748517596734</v>
      </c>
      <c r="AI473">
        <v>0.95992461065370505</v>
      </c>
      <c r="AJ473" s="62">
        <v>5356.0672000000004</v>
      </c>
      <c r="AK473" s="60">
        <v>837.60316724759912</v>
      </c>
      <c r="AL473" t="s">
        <v>347</v>
      </c>
      <c r="AM473" t="s">
        <v>437</v>
      </c>
      <c r="AN473" t="s">
        <v>425</v>
      </c>
      <c r="AO473" t="s">
        <v>26</v>
      </c>
      <c r="AP473">
        <v>111.133</v>
      </c>
      <c r="AQ473">
        <v>1.0541007448257309</v>
      </c>
      <c r="AR473">
        <v>117.145378074718</v>
      </c>
      <c r="AS473">
        <v>640.82000000000005</v>
      </c>
      <c r="AT473">
        <v>1</v>
      </c>
      <c r="AU473">
        <v>75.069101177840764</v>
      </c>
      <c r="AV473">
        <v>0.99109999999999998</v>
      </c>
      <c r="AW473" s="62">
        <v>74.400999999999996</v>
      </c>
      <c r="AX473">
        <v>8.9176000000000002</v>
      </c>
      <c r="AY473">
        <v>1</v>
      </c>
      <c r="AZ473">
        <v>6023.7392733347688</v>
      </c>
      <c r="BA473">
        <v>0.9830373970836227</v>
      </c>
      <c r="BB473" s="62">
        <v>5921.5609999999997</v>
      </c>
      <c r="BC473" s="60">
        <v>926.0373448357517</v>
      </c>
    </row>
    <row r="474" spans="1:55" x14ac:dyDescent="0.25">
      <c r="A474">
        <v>116359</v>
      </c>
      <c r="B474" t="s">
        <v>147</v>
      </c>
      <c r="C474">
        <v>2019</v>
      </c>
      <c r="D474">
        <v>2</v>
      </c>
      <c r="E474" t="s">
        <v>51</v>
      </c>
      <c r="F474" t="s">
        <v>426</v>
      </c>
      <c r="G474" t="s">
        <v>84</v>
      </c>
      <c r="H474" t="s">
        <v>59</v>
      </c>
      <c r="I474" t="s">
        <v>427</v>
      </c>
      <c r="J474">
        <v>-6.8711334500000003</v>
      </c>
      <c r="K474" t="s">
        <v>440</v>
      </c>
      <c r="L474" t="s">
        <v>384</v>
      </c>
      <c r="M474">
        <v>4.1785183859599999E-2</v>
      </c>
      <c r="N474">
        <v>0.28711157473593729</v>
      </c>
      <c r="O474">
        <v>28410.399000000001</v>
      </c>
      <c r="P474">
        <v>2.51417E-6</v>
      </c>
      <c r="Q474">
        <v>0.14285700000000001</v>
      </c>
      <c r="R474" s="60">
        <v>4.1015898232051803E-2</v>
      </c>
      <c r="S474" t="s">
        <v>346</v>
      </c>
      <c r="T474" t="s">
        <v>436</v>
      </c>
      <c r="U474" t="s">
        <v>425</v>
      </c>
      <c r="V474" t="s">
        <v>81</v>
      </c>
      <c r="W474">
        <v>111.133</v>
      </c>
      <c r="X474">
        <v>1.0368587857491129</v>
      </c>
      <c r="Y474">
        <v>115.2292274366562</v>
      </c>
      <c r="Z474">
        <v>603.45000000000005</v>
      </c>
      <c r="AA474">
        <v>1</v>
      </c>
      <c r="AB474">
        <v>69.535077296650186</v>
      </c>
      <c r="AC474">
        <v>0.90990000000000004</v>
      </c>
      <c r="AD474" s="62">
        <v>63.27</v>
      </c>
      <c r="AE474">
        <v>8.9176000000000002</v>
      </c>
      <c r="AF474">
        <v>9.2462919077962926</v>
      </c>
      <c r="AG474">
        <v>1</v>
      </c>
      <c r="AH474">
        <v>5579.6748517596734</v>
      </c>
      <c r="AI474">
        <v>1.053620848708487</v>
      </c>
      <c r="AJ474" s="62">
        <v>5878.8617999999997</v>
      </c>
      <c r="AK474" s="60">
        <v>241.12679730909679</v>
      </c>
      <c r="AL474" t="s">
        <v>347</v>
      </c>
      <c r="AM474" t="s">
        <v>437</v>
      </c>
      <c r="AN474" t="s">
        <v>425</v>
      </c>
      <c r="AO474" t="s">
        <v>81</v>
      </c>
      <c r="AP474">
        <v>111.133</v>
      </c>
      <c r="AQ474">
        <v>1.0541007448257309</v>
      </c>
      <c r="AR474">
        <v>117.145378074718</v>
      </c>
      <c r="AS474">
        <v>640.82000000000005</v>
      </c>
      <c r="AT474">
        <v>1</v>
      </c>
      <c r="AU474">
        <v>75.069101177840764</v>
      </c>
      <c r="AV474">
        <v>0.93830000000000002</v>
      </c>
      <c r="AW474" s="62">
        <v>70.436999999999998</v>
      </c>
      <c r="AX474">
        <v>8.9176000000000002</v>
      </c>
      <c r="AY474">
        <v>1</v>
      </c>
      <c r="AZ474">
        <v>6023.7392733347688</v>
      </c>
      <c r="BA474">
        <v>1.098016605166052</v>
      </c>
      <c r="BB474" s="62">
        <v>6614.1656999999996</v>
      </c>
      <c r="BC474" s="60">
        <v>271.28594724112759</v>
      </c>
    </row>
    <row r="475" spans="1:55" x14ac:dyDescent="0.25">
      <c r="A475">
        <v>116361</v>
      </c>
      <c r="B475" t="s">
        <v>147</v>
      </c>
      <c r="C475">
        <v>2019</v>
      </c>
      <c r="D475">
        <v>2</v>
      </c>
      <c r="E475" t="s">
        <v>51</v>
      </c>
      <c r="F475" t="s">
        <v>426</v>
      </c>
      <c r="G475" t="s">
        <v>84</v>
      </c>
      <c r="H475" t="s">
        <v>59</v>
      </c>
      <c r="I475" t="s">
        <v>427</v>
      </c>
      <c r="J475">
        <v>-6.8711334500000003</v>
      </c>
      <c r="K475" t="s">
        <v>440</v>
      </c>
      <c r="L475" t="s">
        <v>385</v>
      </c>
      <c r="M475">
        <v>0.43497567483749999</v>
      </c>
      <c r="N475">
        <v>2.988775911434201</v>
      </c>
      <c r="O475">
        <v>28410.399000000001</v>
      </c>
      <c r="P475">
        <v>2.51417E-6</v>
      </c>
      <c r="Q475">
        <v>0.14285700000000001</v>
      </c>
      <c r="R475" s="60">
        <v>0.4269675603797557</v>
      </c>
      <c r="S475" t="s">
        <v>346</v>
      </c>
      <c r="T475" t="s">
        <v>436</v>
      </c>
      <c r="U475" t="s">
        <v>425</v>
      </c>
      <c r="V475" t="s">
        <v>27</v>
      </c>
      <c r="W475">
        <v>111.133</v>
      </c>
      <c r="X475">
        <v>1.0368587857491129</v>
      </c>
      <c r="Y475">
        <v>115.2292274366562</v>
      </c>
      <c r="Z475">
        <v>603.45000000000005</v>
      </c>
      <c r="AA475">
        <v>1</v>
      </c>
      <c r="AB475">
        <v>69.535077296650186</v>
      </c>
      <c r="AC475">
        <v>0.93979999999999997</v>
      </c>
      <c r="AD475" s="62">
        <v>65.349000000000004</v>
      </c>
      <c r="AE475">
        <v>8.9176000000000002</v>
      </c>
      <c r="AF475">
        <v>9.2462919077962926</v>
      </c>
      <c r="AG475">
        <v>1</v>
      </c>
      <c r="AH475">
        <v>5579.6748517596734</v>
      </c>
      <c r="AI475">
        <v>0.95477850697292876</v>
      </c>
      <c r="AJ475" s="62">
        <v>5327.3536000000004</v>
      </c>
      <c r="AK475" s="60">
        <v>2274.607169872309</v>
      </c>
      <c r="AL475" t="s">
        <v>347</v>
      </c>
      <c r="AM475" t="s">
        <v>437</v>
      </c>
      <c r="AN475" t="s">
        <v>425</v>
      </c>
      <c r="AO475" t="s">
        <v>27</v>
      </c>
      <c r="AP475">
        <v>111.133</v>
      </c>
      <c r="AQ475">
        <v>1.0541007448257309</v>
      </c>
      <c r="AR475">
        <v>117.145378074718</v>
      </c>
      <c r="AS475">
        <v>640.82000000000005</v>
      </c>
      <c r="AT475">
        <v>1</v>
      </c>
      <c r="AU475">
        <v>75.069101177840764</v>
      </c>
      <c r="AV475">
        <v>0.95889999999999997</v>
      </c>
      <c r="AW475" s="62">
        <v>71.983999999999995</v>
      </c>
      <c r="AX475">
        <v>8.9176000000000002</v>
      </c>
      <c r="AY475">
        <v>1</v>
      </c>
      <c r="AZ475">
        <v>6023.7392733347688</v>
      </c>
      <c r="BA475">
        <v>0.99097621000820357</v>
      </c>
      <c r="BB475" s="62">
        <v>5969.3823000000002</v>
      </c>
      <c r="BC475" s="60">
        <v>2548.7325976050952</v>
      </c>
    </row>
    <row r="476" spans="1:55" x14ac:dyDescent="0.25">
      <c r="A476">
        <v>116363</v>
      </c>
      <c r="B476" t="s">
        <v>147</v>
      </c>
      <c r="C476">
        <v>2019</v>
      </c>
      <c r="D476">
        <v>2</v>
      </c>
      <c r="E476" t="s">
        <v>51</v>
      </c>
      <c r="F476" t="s">
        <v>426</v>
      </c>
      <c r="G476" t="s">
        <v>84</v>
      </c>
      <c r="H476" t="s">
        <v>59</v>
      </c>
      <c r="I476" t="s">
        <v>427</v>
      </c>
      <c r="J476">
        <v>-6.8711334500000003</v>
      </c>
      <c r="K476" t="s">
        <v>440</v>
      </c>
      <c r="L476" t="s">
        <v>451</v>
      </c>
      <c r="M476">
        <v>1.7625750762999999E-3</v>
      </c>
      <c r="N476">
        <v>1.2110888573499561E-2</v>
      </c>
      <c r="O476">
        <v>28410.399000000001</v>
      </c>
      <c r="P476">
        <v>2.51417E-6</v>
      </c>
      <c r="Q476">
        <v>0.14285700000000001</v>
      </c>
      <c r="R476" s="60">
        <v>1.730125208944427E-3</v>
      </c>
      <c r="S476" t="s">
        <v>346</v>
      </c>
      <c r="T476" t="s">
        <v>436</v>
      </c>
      <c r="U476" t="s">
        <v>425</v>
      </c>
      <c r="V476" t="s">
        <v>91</v>
      </c>
      <c r="W476">
        <v>111.133</v>
      </c>
      <c r="X476">
        <v>1.0368587857491129</v>
      </c>
      <c r="Y476">
        <v>115.2292274366562</v>
      </c>
      <c r="Z476">
        <v>603.45000000000005</v>
      </c>
      <c r="AA476">
        <v>1</v>
      </c>
      <c r="AB476">
        <v>69.535077296650186</v>
      </c>
      <c r="AC476">
        <v>0.99250000000000005</v>
      </c>
      <c r="AD476" s="62">
        <v>69.013999999999996</v>
      </c>
      <c r="AE476">
        <v>8.9176000000000002</v>
      </c>
      <c r="AF476">
        <v>9.2462919077962926</v>
      </c>
      <c r="AG476">
        <v>1</v>
      </c>
      <c r="AH476">
        <v>5579.6748517596734</v>
      </c>
      <c r="AI476">
        <v>0.96573604060913698</v>
      </c>
      <c r="AJ476" s="62">
        <v>5388.4930999999997</v>
      </c>
      <c r="AK476" s="60">
        <v>9.3227677505330995</v>
      </c>
      <c r="AL476" t="s">
        <v>347</v>
      </c>
      <c r="AM476" t="s">
        <v>437</v>
      </c>
      <c r="AN476" t="s">
        <v>425</v>
      </c>
      <c r="AO476" t="s">
        <v>91</v>
      </c>
      <c r="AP476">
        <v>111.133</v>
      </c>
      <c r="AQ476">
        <v>1.0541007448257309</v>
      </c>
      <c r="AR476">
        <v>117.145378074718</v>
      </c>
      <c r="AS476">
        <v>640.82000000000005</v>
      </c>
      <c r="AT476">
        <v>1</v>
      </c>
      <c r="AU476">
        <v>75.069101177840764</v>
      </c>
      <c r="AV476">
        <v>1.0088999999999999</v>
      </c>
      <c r="AW476" s="62">
        <v>75.736999999999995</v>
      </c>
      <c r="AX476">
        <v>8.9176000000000002</v>
      </c>
      <c r="AY476">
        <v>1</v>
      </c>
      <c r="AZ476">
        <v>6023.7392733347688</v>
      </c>
      <c r="BA476">
        <v>0.99316673174541203</v>
      </c>
      <c r="BB476" s="62">
        <v>5982.5774000000001</v>
      </c>
      <c r="BC476" s="60">
        <v>10.35060797420121</v>
      </c>
    </row>
    <row r="477" spans="1:55" x14ac:dyDescent="0.25">
      <c r="A477">
        <v>116365</v>
      </c>
      <c r="B477" t="s">
        <v>147</v>
      </c>
      <c r="C477">
        <v>2019</v>
      </c>
      <c r="D477">
        <v>2</v>
      </c>
      <c r="E477" t="s">
        <v>51</v>
      </c>
      <c r="F477" t="s">
        <v>426</v>
      </c>
      <c r="G477" t="s">
        <v>84</v>
      </c>
      <c r="H477" t="s">
        <v>59</v>
      </c>
      <c r="I477" t="s">
        <v>427</v>
      </c>
      <c r="J477">
        <v>-6.8711334500000003</v>
      </c>
      <c r="K477" t="s">
        <v>440</v>
      </c>
      <c r="L477" t="s">
        <v>452</v>
      </c>
      <c r="M477">
        <v>1.4858046103299999E-3</v>
      </c>
      <c r="N477">
        <v>1.0209161765450839E-2</v>
      </c>
      <c r="O477">
        <v>28410.399000000001</v>
      </c>
      <c r="P477">
        <v>2.51417E-6</v>
      </c>
      <c r="Q477">
        <v>0.14285700000000001</v>
      </c>
      <c r="R477" s="60">
        <v>1.458450222327011E-3</v>
      </c>
      <c r="S477" t="s">
        <v>346</v>
      </c>
      <c r="T477" t="s">
        <v>436</v>
      </c>
      <c r="U477" t="s">
        <v>425</v>
      </c>
      <c r="V477" t="s">
        <v>28</v>
      </c>
      <c r="W477">
        <v>111.133</v>
      </c>
      <c r="X477">
        <v>1.0368587857491129</v>
      </c>
      <c r="Y477">
        <v>115.2292274366562</v>
      </c>
      <c r="Z477">
        <v>603.45000000000005</v>
      </c>
      <c r="AA477">
        <v>1</v>
      </c>
      <c r="AB477">
        <v>69.535077296650186</v>
      </c>
      <c r="AC477">
        <v>0.99760000000000004</v>
      </c>
      <c r="AD477" s="62">
        <v>69.367999999999995</v>
      </c>
      <c r="AE477">
        <v>8.9176000000000002</v>
      </c>
      <c r="AF477">
        <v>9.2462919077962926</v>
      </c>
      <c r="AG477">
        <v>1</v>
      </c>
      <c r="AH477">
        <v>5579.6748517596734</v>
      </c>
      <c r="AI477">
        <v>0.96062216971844849</v>
      </c>
      <c r="AJ477" s="62">
        <v>5359.9593999999997</v>
      </c>
      <c r="AK477" s="60">
        <v>7.8172339785937526</v>
      </c>
      <c r="AL477" t="s">
        <v>347</v>
      </c>
      <c r="AM477" t="s">
        <v>437</v>
      </c>
      <c r="AN477" t="s">
        <v>425</v>
      </c>
      <c r="AO477" t="s">
        <v>28</v>
      </c>
      <c r="AP477">
        <v>111.133</v>
      </c>
      <c r="AQ477">
        <v>1.0541007448257309</v>
      </c>
      <c r="AR477">
        <v>117.145378074718</v>
      </c>
      <c r="AS477">
        <v>640.82000000000005</v>
      </c>
      <c r="AT477">
        <v>1</v>
      </c>
      <c r="AU477">
        <v>75.069101177840764</v>
      </c>
      <c r="AV477">
        <v>1.0073000000000001</v>
      </c>
      <c r="AW477" s="62">
        <v>75.617000000000004</v>
      </c>
      <c r="AX477">
        <v>8.9176000000000002</v>
      </c>
      <c r="AY477">
        <v>1</v>
      </c>
      <c r="AZ477">
        <v>6023.7392733347688</v>
      </c>
      <c r="BA477">
        <v>0.99399488088206345</v>
      </c>
      <c r="BB477" s="62">
        <v>5987.5659999999998</v>
      </c>
      <c r="BC477" s="60">
        <v>8.7325669638976535</v>
      </c>
    </row>
    <row r="478" spans="1:55" x14ac:dyDescent="0.25">
      <c r="A478">
        <v>123212</v>
      </c>
      <c r="B478" t="s">
        <v>149</v>
      </c>
      <c r="C478">
        <v>2019</v>
      </c>
      <c r="D478">
        <v>3</v>
      </c>
      <c r="E478" t="s">
        <v>51</v>
      </c>
      <c r="F478" t="s">
        <v>426</v>
      </c>
      <c r="G478" t="s">
        <v>84</v>
      </c>
      <c r="H478" t="s">
        <v>381</v>
      </c>
      <c r="I478" t="s">
        <v>427</v>
      </c>
      <c r="J478">
        <v>-14.47972981</v>
      </c>
      <c r="K478" t="s">
        <v>440</v>
      </c>
      <c r="L478" t="s">
        <v>450</v>
      </c>
      <c r="M478">
        <v>0.15011157993331001</v>
      </c>
      <c r="N478">
        <v>2.1735751184675922</v>
      </c>
      <c r="O478">
        <v>28410.399000000001</v>
      </c>
      <c r="P478">
        <v>2.51417E-6</v>
      </c>
      <c r="Q478">
        <v>0.14285700000000001</v>
      </c>
      <c r="R478" s="60">
        <v>0.31051042069892482</v>
      </c>
      <c r="S478" t="s">
        <v>346</v>
      </c>
      <c r="T478" t="s">
        <v>436</v>
      </c>
      <c r="U478" t="s">
        <v>425</v>
      </c>
      <c r="V478" t="s">
        <v>26</v>
      </c>
      <c r="W478">
        <v>111.133</v>
      </c>
      <c r="X478">
        <v>1.0368587857491129</v>
      </c>
      <c r="Y478">
        <v>115.2292274366562</v>
      </c>
      <c r="Z478">
        <v>603.45000000000005</v>
      </c>
      <c r="AA478">
        <v>1</v>
      </c>
      <c r="AB478">
        <v>69.535077296650186</v>
      </c>
      <c r="AC478">
        <v>0.96209999999999996</v>
      </c>
      <c r="AD478" s="62">
        <v>66.900000000000006</v>
      </c>
      <c r="AE478">
        <v>8.9176000000000002</v>
      </c>
      <c r="AF478">
        <v>9.2462919077962926</v>
      </c>
      <c r="AG478">
        <v>1</v>
      </c>
      <c r="AH478">
        <v>5579.6748517596734</v>
      </c>
      <c r="AI478">
        <v>0.95992461065370505</v>
      </c>
      <c r="AJ478" s="62">
        <v>5356.0672000000004</v>
      </c>
      <c r="AK478" s="60">
        <v>1663.1146795637119</v>
      </c>
      <c r="AL478" t="s">
        <v>347</v>
      </c>
      <c r="AM478" t="s">
        <v>437</v>
      </c>
      <c r="AN478" t="s">
        <v>425</v>
      </c>
      <c r="AO478" t="s">
        <v>26</v>
      </c>
      <c r="AP478">
        <v>111.133</v>
      </c>
      <c r="AQ478">
        <v>1.0541007448257309</v>
      </c>
      <c r="AR478">
        <v>117.145378074718</v>
      </c>
      <c r="AS478">
        <v>640.82000000000005</v>
      </c>
      <c r="AT478">
        <v>1</v>
      </c>
      <c r="AU478">
        <v>75.069101177840764</v>
      </c>
      <c r="AV478">
        <v>0.99109999999999998</v>
      </c>
      <c r="AW478" s="62">
        <v>74.400999999999996</v>
      </c>
      <c r="AX478">
        <v>8.9176000000000002</v>
      </c>
      <c r="AY478">
        <v>1</v>
      </c>
      <c r="AZ478">
        <v>6023.7392733347688</v>
      </c>
      <c r="BA478">
        <v>0.9830373970836227</v>
      </c>
      <c r="BB478" s="62">
        <v>5921.5609999999997</v>
      </c>
      <c r="BC478" s="60">
        <v>1838.706397304346</v>
      </c>
    </row>
    <row r="479" spans="1:55" x14ac:dyDescent="0.25">
      <c r="A479">
        <v>123214</v>
      </c>
      <c r="B479" t="s">
        <v>149</v>
      </c>
      <c r="C479">
        <v>2019</v>
      </c>
      <c r="D479">
        <v>3</v>
      </c>
      <c r="E479" t="s">
        <v>51</v>
      </c>
      <c r="F479" t="s">
        <v>426</v>
      </c>
      <c r="G479" t="s">
        <v>84</v>
      </c>
      <c r="H479" t="s">
        <v>381</v>
      </c>
      <c r="I479" t="s">
        <v>427</v>
      </c>
      <c r="J479">
        <v>-14.47972981</v>
      </c>
      <c r="K479" t="s">
        <v>440</v>
      </c>
      <c r="L479" t="s">
        <v>384</v>
      </c>
      <c r="M479">
        <v>4.5811354346740003E-2</v>
      </c>
      <c r="N479">
        <v>0.66333603307362488</v>
      </c>
      <c r="O479">
        <v>28410.399000000001</v>
      </c>
      <c r="P479">
        <v>2.51417E-6</v>
      </c>
      <c r="Q479">
        <v>0.14285700000000001</v>
      </c>
      <c r="R479" s="60">
        <v>9.4762195676798833E-2</v>
      </c>
      <c r="S479" t="s">
        <v>346</v>
      </c>
      <c r="T479" t="s">
        <v>436</v>
      </c>
      <c r="U479" t="s">
        <v>425</v>
      </c>
      <c r="V479" t="s">
        <v>81</v>
      </c>
      <c r="W479">
        <v>111.133</v>
      </c>
      <c r="X479">
        <v>1.0368587857491129</v>
      </c>
      <c r="Y479">
        <v>115.2292274366562</v>
      </c>
      <c r="Z479">
        <v>603.45000000000005</v>
      </c>
      <c r="AA479">
        <v>1</v>
      </c>
      <c r="AB479">
        <v>69.535077296650186</v>
      </c>
      <c r="AC479">
        <v>0.90990000000000004</v>
      </c>
      <c r="AD479" s="62">
        <v>63.27</v>
      </c>
      <c r="AE479">
        <v>8.9176000000000002</v>
      </c>
      <c r="AF479">
        <v>9.2462919077962926</v>
      </c>
      <c r="AG479">
        <v>1</v>
      </c>
      <c r="AH479">
        <v>5579.6748517596734</v>
      </c>
      <c r="AI479">
        <v>1.053620848708487</v>
      </c>
      <c r="AJ479" s="62">
        <v>5878.8617999999997</v>
      </c>
      <c r="AK479" s="60">
        <v>557.09385224845778</v>
      </c>
      <c r="AL479" t="s">
        <v>347</v>
      </c>
      <c r="AM479" t="s">
        <v>437</v>
      </c>
      <c r="AN479" t="s">
        <v>425</v>
      </c>
      <c r="AO479" t="s">
        <v>81</v>
      </c>
      <c r="AP479">
        <v>111.133</v>
      </c>
      <c r="AQ479">
        <v>1.0541007448257309</v>
      </c>
      <c r="AR479">
        <v>117.145378074718</v>
      </c>
      <c r="AS479">
        <v>640.82000000000005</v>
      </c>
      <c r="AT479">
        <v>1</v>
      </c>
      <c r="AU479">
        <v>75.069101177840764</v>
      </c>
      <c r="AV479">
        <v>0.93830000000000002</v>
      </c>
      <c r="AW479" s="62">
        <v>70.436999999999998</v>
      </c>
      <c r="AX479">
        <v>8.9176000000000002</v>
      </c>
      <c r="AY479">
        <v>1</v>
      </c>
      <c r="AZ479">
        <v>6023.7392733347688</v>
      </c>
      <c r="BA479">
        <v>1.098016605166052</v>
      </c>
      <c r="BB479" s="62">
        <v>6614.1656999999996</v>
      </c>
      <c r="BC479" s="60">
        <v>626.77286430217112</v>
      </c>
    </row>
    <row r="480" spans="1:55" x14ac:dyDescent="0.25">
      <c r="A480">
        <v>123216</v>
      </c>
      <c r="B480" t="s">
        <v>149</v>
      </c>
      <c r="C480">
        <v>2019</v>
      </c>
      <c r="D480">
        <v>3</v>
      </c>
      <c r="E480" t="s">
        <v>51</v>
      </c>
      <c r="F480" t="s">
        <v>426</v>
      </c>
      <c r="G480" t="s">
        <v>84</v>
      </c>
      <c r="H480" t="s">
        <v>381</v>
      </c>
      <c r="I480" t="s">
        <v>427</v>
      </c>
      <c r="J480">
        <v>-14.47972981</v>
      </c>
      <c r="K480" t="s">
        <v>440</v>
      </c>
      <c r="L480" t="s">
        <v>385</v>
      </c>
      <c r="M480">
        <v>0.43232641346992001</v>
      </c>
      <c r="N480">
        <v>6.2599696558521849</v>
      </c>
      <c r="O480">
        <v>28410.399000000001</v>
      </c>
      <c r="P480">
        <v>2.51417E-6</v>
      </c>
      <c r="Q480">
        <v>0.14285700000000001</v>
      </c>
      <c r="R480" s="60">
        <v>0.89428048512607561</v>
      </c>
      <c r="S480" t="s">
        <v>346</v>
      </c>
      <c r="T480" t="s">
        <v>436</v>
      </c>
      <c r="U480" t="s">
        <v>425</v>
      </c>
      <c r="V480" t="s">
        <v>27</v>
      </c>
      <c r="W480">
        <v>111.133</v>
      </c>
      <c r="X480">
        <v>1.0368587857491129</v>
      </c>
      <c r="Y480">
        <v>115.2292274366562</v>
      </c>
      <c r="Z480">
        <v>603.45000000000005</v>
      </c>
      <c r="AA480">
        <v>1</v>
      </c>
      <c r="AB480">
        <v>69.535077296650186</v>
      </c>
      <c r="AC480">
        <v>0.93979999999999997</v>
      </c>
      <c r="AD480" s="62">
        <v>65.349000000000004</v>
      </c>
      <c r="AE480">
        <v>8.9176000000000002</v>
      </c>
      <c r="AF480">
        <v>9.2462919077962926</v>
      </c>
      <c r="AG480">
        <v>1</v>
      </c>
      <c r="AH480">
        <v>5579.6748517596734</v>
      </c>
      <c r="AI480">
        <v>0.95477850697292876</v>
      </c>
      <c r="AJ480" s="62">
        <v>5327.3536000000004</v>
      </c>
      <c r="AK480" s="60">
        <v>4764.1483618461452</v>
      </c>
      <c r="AL480" t="s">
        <v>347</v>
      </c>
      <c r="AM480" t="s">
        <v>437</v>
      </c>
      <c r="AN480" t="s">
        <v>425</v>
      </c>
      <c r="AO480" t="s">
        <v>27</v>
      </c>
      <c r="AP480">
        <v>111.133</v>
      </c>
      <c r="AQ480">
        <v>1.0541007448257309</v>
      </c>
      <c r="AR480">
        <v>117.145378074718</v>
      </c>
      <c r="AS480">
        <v>640.82000000000005</v>
      </c>
      <c r="AT480">
        <v>1</v>
      </c>
      <c r="AU480">
        <v>75.069101177840764</v>
      </c>
      <c r="AV480">
        <v>0.95889999999999997</v>
      </c>
      <c r="AW480" s="62">
        <v>71.983999999999995</v>
      </c>
      <c r="AX480">
        <v>8.9176000000000002</v>
      </c>
      <c r="AY480">
        <v>1</v>
      </c>
      <c r="AZ480">
        <v>6023.7392733347688</v>
      </c>
      <c r="BA480">
        <v>0.99097621000820357</v>
      </c>
      <c r="BB480" s="62">
        <v>5969.3823000000002</v>
      </c>
      <c r="BC480" s="60">
        <v>5338.3020991470094</v>
      </c>
    </row>
    <row r="481" spans="1:55" x14ac:dyDescent="0.25">
      <c r="A481">
        <v>123218</v>
      </c>
      <c r="B481" t="s">
        <v>149</v>
      </c>
      <c r="C481">
        <v>2019</v>
      </c>
      <c r="D481">
        <v>3</v>
      </c>
      <c r="E481" t="s">
        <v>51</v>
      </c>
      <c r="F481" t="s">
        <v>426</v>
      </c>
      <c r="G481" t="s">
        <v>84</v>
      </c>
      <c r="H481" t="s">
        <v>381</v>
      </c>
      <c r="I481" t="s">
        <v>427</v>
      </c>
      <c r="J481">
        <v>-14.47972981</v>
      </c>
      <c r="K481" t="s">
        <v>440</v>
      </c>
      <c r="L481" t="s">
        <v>451</v>
      </c>
      <c r="M481">
        <v>1.6825115802299999E-3</v>
      </c>
      <c r="N481">
        <v>2.4362313080351559E-2</v>
      </c>
      <c r="O481">
        <v>28410.399000000001</v>
      </c>
      <c r="P481">
        <v>2.51417E-6</v>
      </c>
      <c r="Q481">
        <v>0.14285700000000001</v>
      </c>
      <c r="R481" s="60">
        <v>3.480326959719783E-3</v>
      </c>
      <c r="S481" t="s">
        <v>346</v>
      </c>
      <c r="T481" t="s">
        <v>436</v>
      </c>
      <c r="U481" t="s">
        <v>425</v>
      </c>
      <c r="V481" t="s">
        <v>91</v>
      </c>
      <c r="W481">
        <v>111.133</v>
      </c>
      <c r="X481">
        <v>1.0368587857491129</v>
      </c>
      <c r="Y481">
        <v>115.2292274366562</v>
      </c>
      <c r="Z481">
        <v>603.45000000000005</v>
      </c>
      <c r="AA481">
        <v>1</v>
      </c>
      <c r="AB481">
        <v>69.535077296650186</v>
      </c>
      <c r="AC481">
        <v>0.99250000000000005</v>
      </c>
      <c r="AD481" s="62">
        <v>69.013999999999996</v>
      </c>
      <c r="AE481">
        <v>8.9176000000000002</v>
      </c>
      <c r="AF481">
        <v>9.2462919077962926</v>
      </c>
      <c r="AG481">
        <v>1</v>
      </c>
      <c r="AH481">
        <v>5579.6748517596734</v>
      </c>
      <c r="AI481">
        <v>0.96573604060913698</v>
      </c>
      <c r="AJ481" s="62">
        <v>5388.4930999999997</v>
      </c>
      <c r="AK481" s="60">
        <v>18.753717808194029</v>
      </c>
      <c r="AL481" t="s">
        <v>347</v>
      </c>
      <c r="AM481" t="s">
        <v>437</v>
      </c>
      <c r="AN481" t="s">
        <v>425</v>
      </c>
      <c r="AO481" t="s">
        <v>91</v>
      </c>
      <c r="AP481">
        <v>111.133</v>
      </c>
      <c r="AQ481">
        <v>1.0541007448257309</v>
      </c>
      <c r="AR481">
        <v>117.145378074718</v>
      </c>
      <c r="AS481">
        <v>640.82000000000005</v>
      </c>
      <c r="AT481">
        <v>1</v>
      </c>
      <c r="AU481">
        <v>75.069101177840764</v>
      </c>
      <c r="AV481">
        <v>1.0088999999999999</v>
      </c>
      <c r="AW481" s="62">
        <v>75.736999999999995</v>
      </c>
      <c r="AX481">
        <v>8.9176000000000002</v>
      </c>
      <c r="AY481">
        <v>1</v>
      </c>
      <c r="AZ481">
        <v>6023.7392733347688</v>
      </c>
      <c r="BA481">
        <v>0.99316673174541203</v>
      </c>
      <c r="BB481" s="62">
        <v>5982.5774000000001</v>
      </c>
      <c r="BC481" s="60">
        <v>20.82132541383028</v>
      </c>
    </row>
    <row r="482" spans="1:55" x14ac:dyDescent="0.25">
      <c r="A482">
        <v>123220</v>
      </c>
      <c r="B482" t="s">
        <v>149</v>
      </c>
      <c r="C482">
        <v>2019</v>
      </c>
      <c r="D482">
        <v>3</v>
      </c>
      <c r="E482" t="s">
        <v>51</v>
      </c>
      <c r="F482" t="s">
        <v>426</v>
      </c>
      <c r="G482" t="s">
        <v>84</v>
      </c>
      <c r="H482" t="s">
        <v>381</v>
      </c>
      <c r="I482" t="s">
        <v>427</v>
      </c>
      <c r="J482">
        <v>-14.47972981</v>
      </c>
      <c r="K482" t="s">
        <v>440</v>
      </c>
      <c r="L482" t="s">
        <v>452</v>
      </c>
      <c r="M482">
        <v>1.53682162831E-3</v>
      </c>
      <c r="N482">
        <v>2.225276194082763E-2</v>
      </c>
      <c r="O482">
        <v>28410.399000000001</v>
      </c>
      <c r="P482">
        <v>2.51417E-6</v>
      </c>
      <c r="Q482">
        <v>0.14285700000000001</v>
      </c>
      <c r="R482" s="60">
        <v>3.178962812580813E-3</v>
      </c>
      <c r="S482" t="s">
        <v>346</v>
      </c>
      <c r="T482" t="s">
        <v>436</v>
      </c>
      <c r="U482" t="s">
        <v>425</v>
      </c>
      <c r="V482" t="s">
        <v>28</v>
      </c>
      <c r="W482">
        <v>111.133</v>
      </c>
      <c r="X482">
        <v>1.0368587857491129</v>
      </c>
      <c r="Y482">
        <v>115.2292274366562</v>
      </c>
      <c r="Z482">
        <v>603.45000000000005</v>
      </c>
      <c r="AA482">
        <v>1</v>
      </c>
      <c r="AB482">
        <v>69.535077296650186</v>
      </c>
      <c r="AC482">
        <v>0.99760000000000004</v>
      </c>
      <c r="AD482" s="62">
        <v>69.367999999999995</v>
      </c>
      <c r="AE482">
        <v>8.9176000000000002</v>
      </c>
      <c r="AF482">
        <v>9.2462919077962926</v>
      </c>
      <c r="AG482">
        <v>1</v>
      </c>
      <c r="AH482">
        <v>5579.6748517596734</v>
      </c>
      <c r="AI482">
        <v>0.96062216971844849</v>
      </c>
      <c r="AJ482" s="62">
        <v>5359.9593999999997</v>
      </c>
      <c r="AK482" s="60">
        <v>17.03911160954296</v>
      </c>
      <c r="AL482" t="s">
        <v>347</v>
      </c>
      <c r="AM482" t="s">
        <v>437</v>
      </c>
      <c r="AN482" t="s">
        <v>425</v>
      </c>
      <c r="AO482" t="s">
        <v>28</v>
      </c>
      <c r="AP482">
        <v>111.133</v>
      </c>
      <c r="AQ482">
        <v>1.0541007448257309</v>
      </c>
      <c r="AR482">
        <v>117.145378074718</v>
      </c>
      <c r="AS482">
        <v>640.82000000000005</v>
      </c>
      <c r="AT482">
        <v>1</v>
      </c>
      <c r="AU482">
        <v>75.069101177840764</v>
      </c>
      <c r="AV482">
        <v>1.0073000000000001</v>
      </c>
      <c r="AW482" s="62">
        <v>75.617000000000004</v>
      </c>
      <c r="AX482">
        <v>8.9176000000000002</v>
      </c>
      <c r="AY482">
        <v>1</v>
      </c>
      <c r="AZ482">
        <v>6023.7392733347688</v>
      </c>
      <c r="BA482">
        <v>0.99399488088206345</v>
      </c>
      <c r="BB482" s="62">
        <v>5987.5659999999998</v>
      </c>
      <c r="BC482" s="60">
        <v>19.03424965187325</v>
      </c>
    </row>
    <row r="483" spans="1:55" x14ac:dyDescent="0.25">
      <c r="A483">
        <v>123222</v>
      </c>
      <c r="B483" t="s">
        <v>149</v>
      </c>
      <c r="C483">
        <v>2019</v>
      </c>
      <c r="D483">
        <v>3</v>
      </c>
      <c r="E483" t="s">
        <v>51</v>
      </c>
      <c r="F483" t="s">
        <v>426</v>
      </c>
      <c r="G483" t="s">
        <v>84</v>
      </c>
      <c r="H483" t="s">
        <v>87</v>
      </c>
      <c r="I483" t="s">
        <v>427</v>
      </c>
      <c r="J483">
        <v>-2.8894547099999999</v>
      </c>
      <c r="K483" t="s">
        <v>440</v>
      </c>
      <c r="L483" t="s">
        <v>450</v>
      </c>
      <c r="M483">
        <v>0.26601384014995</v>
      </c>
      <c r="N483">
        <v>0.76863494270599675</v>
      </c>
      <c r="O483">
        <v>28410.399000000001</v>
      </c>
      <c r="P483">
        <v>2.51417E-6</v>
      </c>
      <c r="Q483">
        <v>0.14285700000000001</v>
      </c>
      <c r="R483" s="60">
        <v>0.1098048820101506</v>
      </c>
      <c r="S483" t="s">
        <v>346</v>
      </c>
      <c r="T483" t="s">
        <v>436</v>
      </c>
      <c r="U483" t="s">
        <v>425</v>
      </c>
      <c r="V483" t="s">
        <v>26</v>
      </c>
      <c r="W483">
        <v>111.133</v>
      </c>
      <c r="X483">
        <v>1.0368587857491129</v>
      </c>
      <c r="Y483">
        <v>115.2292274366562</v>
      </c>
      <c r="Z483">
        <v>603.45000000000005</v>
      </c>
      <c r="AA483">
        <v>1</v>
      </c>
      <c r="AB483">
        <v>69.535077296650186</v>
      </c>
      <c r="AC483">
        <v>0.96209999999999996</v>
      </c>
      <c r="AD483" s="62">
        <v>66.900000000000006</v>
      </c>
      <c r="AE483">
        <v>8.9176000000000002</v>
      </c>
      <c r="AF483">
        <v>9.2462919077962926</v>
      </c>
      <c r="AG483">
        <v>1</v>
      </c>
      <c r="AH483">
        <v>5579.6748517596734</v>
      </c>
      <c r="AI483">
        <v>0.95992461065370505</v>
      </c>
      <c r="AJ483" s="62">
        <v>5356.0672000000004</v>
      </c>
      <c r="AK483" s="60">
        <v>588.12232693443764</v>
      </c>
      <c r="AL483" t="s">
        <v>347</v>
      </c>
      <c r="AM483" t="s">
        <v>437</v>
      </c>
      <c r="AN483" t="s">
        <v>425</v>
      </c>
      <c r="AO483" t="s">
        <v>26</v>
      </c>
      <c r="AP483">
        <v>111.133</v>
      </c>
      <c r="AQ483">
        <v>1.0541007448257309</v>
      </c>
      <c r="AR483">
        <v>117.145378074718</v>
      </c>
      <c r="AS483">
        <v>640.82000000000005</v>
      </c>
      <c r="AT483">
        <v>1</v>
      </c>
      <c r="AU483">
        <v>75.069101177840764</v>
      </c>
      <c r="AV483">
        <v>0.99109999999999998</v>
      </c>
      <c r="AW483" s="62">
        <v>74.400999999999996</v>
      </c>
      <c r="AX483">
        <v>8.9176000000000002</v>
      </c>
      <c r="AY483">
        <v>1</v>
      </c>
      <c r="AZ483">
        <v>6023.7392733347688</v>
      </c>
      <c r="BA483">
        <v>0.9830373970836227</v>
      </c>
      <c r="BB483" s="62">
        <v>5921.5609999999997</v>
      </c>
      <c r="BC483" s="60">
        <v>650.21630692090923</v>
      </c>
    </row>
    <row r="484" spans="1:55" x14ac:dyDescent="0.25">
      <c r="A484">
        <v>123224</v>
      </c>
      <c r="B484" t="s">
        <v>149</v>
      </c>
      <c r="C484">
        <v>2019</v>
      </c>
      <c r="D484">
        <v>3</v>
      </c>
      <c r="E484" t="s">
        <v>51</v>
      </c>
      <c r="F484" t="s">
        <v>426</v>
      </c>
      <c r="G484" t="s">
        <v>84</v>
      </c>
      <c r="H484" t="s">
        <v>87</v>
      </c>
      <c r="I484" t="s">
        <v>427</v>
      </c>
      <c r="J484">
        <v>-2.8894547099999999</v>
      </c>
      <c r="K484" t="s">
        <v>440</v>
      </c>
      <c r="L484" t="s">
        <v>384</v>
      </c>
      <c r="M484">
        <v>3.9509559941419997E-2</v>
      </c>
      <c r="N484">
        <v>0.1141610839676389</v>
      </c>
      <c r="O484">
        <v>28410.399000000001</v>
      </c>
      <c r="P484">
        <v>2.51417E-6</v>
      </c>
      <c r="Q484">
        <v>0.14285700000000001</v>
      </c>
      <c r="R484" s="60">
        <v>1.6308709972364981E-2</v>
      </c>
      <c r="S484" t="s">
        <v>346</v>
      </c>
      <c r="T484" t="s">
        <v>436</v>
      </c>
      <c r="U484" t="s">
        <v>425</v>
      </c>
      <c r="V484" t="s">
        <v>81</v>
      </c>
      <c r="W484">
        <v>111.133</v>
      </c>
      <c r="X484">
        <v>1.0368587857491129</v>
      </c>
      <c r="Y484">
        <v>115.2292274366562</v>
      </c>
      <c r="Z484">
        <v>603.45000000000005</v>
      </c>
      <c r="AA484">
        <v>1</v>
      </c>
      <c r="AB484">
        <v>69.535077296650186</v>
      </c>
      <c r="AC484">
        <v>0.90990000000000004</v>
      </c>
      <c r="AD484" s="62">
        <v>63.27</v>
      </c>
      <c r="AE484">
        <v>8.9176000000000002</v>
      </c>
      <c r="AF484">
        <v>9.2462919077962926</v>
      </c>
      <c r="AG484">
        <v>1</v>
      </c>
      <c r="AH484">
        <v>5579.6748517596734</v>
      </c>
      <c r="AI484">
        <v>1.053620848708487</v>
      </c>
      <c r="AJ484" s="62">
        <v>5878.8617999999997</v>
      </c>
      <c r="AK484" s="60">
        <v>95.876652063815555</v>
      </c>
      <c r="AL484" t="s">
        <v>347</v>
      </c>
      <c r="AM484" t="s">
        <v>437</v>
      </c>
      <c r="AN484" t="s">
        <v>425</v>
      </c>
      <c r="AO484" t="s">
        <v>81</v>
      </c>
      <c r="AP484">
        <v>111.133</v>
      </c>
      <c r="AQ484">
        <v>1.0541007448257309</v>
      </c>
      <c r="AR484">
        <v>117.145378074718</v>
      </c>
      <c r="AS484">
        <v>640.82000000000005</v>
      </c>
      <c r="AT484">
        <v>1</v>
      </c>
      <c r="AU484">
        <v>75.069101177840764</v>
      </c>
      <c r="AV484">
        <v>0.93830000000000002</v>
      </c>
      <c r="AW484" s="62">
        <v>70.436999999999998</v>
      </c>
      <c r="AX484">
        <v>8.9176000000000002</v>
      </c>
      <c r="AY484">
        <v>1</v>
      </c>
      <c r="AZ484">
        <v>6023.7392733347688</v>
      </c>
      <c r="BA484">
        <v>1.098016605166052</v>
      </c>
      <c r="BB484" s="62">
        <v>6614.1656999999996</v>
      </c>
      <c r="BC484" s="60">
        <v>107.8685101104644</v>
      </c>
    </row>
    <row r="485" spans="1:55" x14ac:dyDescent="0.25">
      <c r="A485">
        <v>123226</v>
      </c>
      <c r="B485" t="s">
        <v>149</v>
      </c>
      <c r="C485">
        <v>2019</v>
      </c>
      <c r="D485">
        <v>3</v>
      </c>
      <c r="E485" t="s">
        <v>51</v>
      </c>
      <c r="F485" t="s">
        <v>426</v>
      </c>
      <c r="G485" t="s">
        <v>84</v>
      </c>
      <c r="H485" t="s">
        <v>87</v>
      </c>
      <c r="I485" t="s">
        <v>427</v>
      </c>
      <c r="J485">
        <v>-2.8894547099999999</v>
      </c>
      <c r="K485" t="s">
        <v>440</v>
      </c>
      <c r="L485" t="s">
        <v>385</v>
      </c>
      <c r="M485">
        <v>0.39737542925016001</v>
      </c>
      <c r="N485">
        <v>1.148198304728413</v>
      </c>
      <c r="O485">
        <v>28410.399000000001</v>
      </c>
      <c r="P485">
        <v>2.51417E-6</v>
      </c>
      <c r="Q485">
        <v>0.14285700000000001</v>
      </c>
      <c r="R485" s="60">
        <v>0.1640281652185869</v>
      </c>
      <c r="S485" t="s">
        <v>346</v>
      </c>
      <c r="T485" t="s">
        <v>436</v>
      </c>
      <c r="U485" t="s">
        <v>425</v>
      </c>
      <c r="V485" t="s">
        <v>27</v>
      </c>
      <c r="W485">
        <v>111.133</v>
      </c>
      <c r="X485">
        <v>1.0368587857491129</v>
      </c>
      <c r="Y485">
        <v>115.2292274366562</v>
      </c>
      <c r="Z485">
        <v>603.45000000000005</v>
      </c>
      <c r="AA485">
        <v>1</v>
      </c>
      <c r="AB485">
        <v>69.535077296650186</v>
      </c>
      <c r="AC485">
        <v>0.93979999999999997</v>
      </c>
      <c r="AD485" s="62">
        <v>65.349000000000004</v>
      </c>
      <c r="AE485">
        <v>8.9176000000000002</v>
      </c>
      <c r="AF485">
        <v>9.2462919077962926</v>
      </c>
      <c r="AG485">
        <v>1</v>
      </c>
      <c r="AH485">
        <v>5579.6748517596734</v>
      </c>
      <c r="AI485">
        <v>0.95477850697292876</v>
      </c>
      <c r="AJ485" s="62">
        <v>5327.3536000000004</v>
      </c>
      <c r="AK485" s="60">
        <v>873.83603647863367</v>
      </c>
      <c r="AL485" t="s">
        <v>347</v>
      </c>
      <c r="AM485" t="s">
        <v>437</v>
      </c>
      <c r="AN485" t="s">
        <v>425</v>
      </c>
      <c r="AO485" t="s">
        <v>27</v>
      </c>
      <c r="AP485">
        <v>111.133</v>
      </c>
      <c r="AQ485">
        <v>1.0541007448257309</v>
      </c>
      <c r="AR485">
        <v>117.145378074718</v>
      </c>
      <c r="AS485">
        <v>640.82000000000005</v>
      </c>
      <c r="AT485">
        <v>1</v>
      </c>
      <c r="AU485">
        <v>75.069101177840764</v>
      </c>
      <c r="AV485">
        <v>0.95889999999999997</v>
      </c>
      <c r="AW485" s="62">
        <v>71.983999999999995</v>
      </c>
      <c r="AX485">
        <v>8.9176000000000002</v>
      </c>
      <c r="AY485">
        <v>1</v>
      </c>
      <c r="AZ485">
        <v>6023.7392733347688</v>
      </c>
      <c r="BA485">
        <v>0.99097621000820357</v>
      </c>
      <c r="BB485" s="62">
        <v>5969.3823000000002</v>
      </c>
      <c r="BC485" s="60">
        <v>979.14682615730817</v>
      </c>
    </row>
    <row r="486" spans="1:55" x14ac:dyDescent="0.25">
      <c r="A486">
        <v>123228</v>
      </c>
      <c r="B486" t="s">
        <v>149</v>
      </c>
      <c r="C486">
        <v>2019</v>
      </c>
      <c r="D486">
        <v>3</v>
      </c>
      <c r="E486" t="s">
        <v>51</v>
      </c>
      <c r="F486" t="s">
        <v>426</v>
      </c>
      <c r="G486" t="s">
        <v>84</v>
      </c>
      <c r="H486" t="s">
        <v>87</v>
      </c>
      <c r="I486" t="s">
        <v>427</v>
      </c>
      <c r="J486">
        <v>-2.8894547099999999</v>
      </c>
      <c r="K486" t="s">
        <v>440</v>
      </c>
      <c r="L486" t="s">
        <v>452</v>
      </c>
      <c r="M486">
        <v>8.4248020759000004E-4</v>
      </c>
      <c r="N486">
        <v>2.4343084018743212E-3</v>
      </c>
      <c r="O486">
        <v>28410.399000000001</v>
      </c>
      <c r="P486">
        <v>2.51417E-6</v>
      </c>
      <c r="Q486">
        <v>0.14285700000000001</v>
      </c>
      <c r="R486" s="60">
        <v>3.4775799536655992E-4</v>
      </c>
      <c r="S486" t="s">
        <v>346</v>
      </c>
      <c r="T486" t="s">
        <v>436</v>
      </c>
      <c r="U486" t="s">
        <v>425</v>
      </c>
      <c r="V486" t="s">
        <v>28</v>
      </c>
      <c r="W486">
        <v>111.133</v>
      </c>
      <c r="X486">
        <v>1.0368587857491129</v>
      </c>
      <c r="Y486">
        <v>115.2292274366562</v>
      </c>
      <c r="Z486">
        <v>603.45000000000005</v>
      </c>
      <c r="AA486">
        <v>1</v>
      </c>
      <c r="AB486">
        <v>69.535077296650186</v>
      </c>
      <c r="AC486">
        <v>0.99760000000000004</v>
      </c>
      <c r="AD486" s="62">
        <v>69.367999999999995</v>
      </c>
      <c r="AE486">
        <v>8.9176000000000002</v>
      </c>
      <c r="AF486">
        <v>9.2462919077962926</v>
      </c>
      <c r="AG486">
        <v>1</v>
      </c>
      <c r="AH486">
        <v>5579.6748517596734</v>
      </c>
      <c r="AI486">
        <v>0.96062216971844849</v>
      </c>
      <c r="AJ486" s="62">
        <v>5359.9593999999997</v>
      </c>
      <c r="AK486" s="60">
        <v>1.8639687361901489</v>
      </c>
      <c r="AL486" t="s">
        <v>347</v>
      </c>
      <c r="AM486" t="s">
        <v>437</v>
      </c>
      <c r="AN486" t="s">
        <v>425</v>
      </c>
      <c r="AO486" t="s">
        <v>28</v>
      </c>
      <c r="AP486">
        <v>111.133</v>
      </c>
      <c r="AQ486">
        <v>1.0541007448257309</v>
      </c>
      <c r="AR486">
        <v>117.145378074718</v>
      </c>
      <c r="AS486">
        <v>640.82000000000005</v>
      </c>
      <c r="AT486">
        <v>1</v>
      </c>
      <c r="AU486">
        <v>75.069101177840764</v>
      </c>
      <c r="AV486">
        <v>1.0073000000000001</v>
      </c>
      <c r="AW486" s="62">
        <v>75.617000000000004</v>
      </c>
      <c r="AX486">
        <v>8.9176000000000002</v>
      </c>
      <c r="AY486">
        <v>1</v>
      </c>
      <c r="AZ486">
        <v>6023.7392733347688</v>
      </c>
      <c r="BA486">
        <v>0.99399488088206345</v>
      </c>
      <c r="BB486" s="62">
        <v>5987.5659999999998</v>
      </c>
      <c r="BC486" s="60">
        <v>2.082223949284971</v>
      </c>
    </row>
    <row r="487" spans="1:55" x14ac:dyDescent="0.25">
      <c r="A487">
        <v>123230</v>
      </c>
      <c r="B487" t="s">
        <v>149</v>
      </c>
      <c r="C487">
        <v>2019</v>
      </c>
      <c r="D487">
        <v>3</v>
      </c>
      <c r="E487" t="s">
        <v>51</v>
      </c>
      <c r="F487" t="s">
        <v>426</v>
      </c>
      <c r="G487" t="s">
        <v>84</v>
      </c>
      <c r="H487" t="s">
        <v>59</v>
      </c>
      <c r="I487" t="s">
        <v>427</v>
      </c>
      <c r="J487">
        <v>-6.8711334500000003</v>
      </c>
      <c r="K487" t="s">
        <v>440</v>
      </c>
      <c r="L487" t="s">
        <v>450</v>
      </c>
      <c r="M487">
        <v>0.15931709696460999</v>
      </c>
      <c r="N487">
        <v>1.0946890348876179</v>
      </c>
      <c r="O487">
        <v>28410.399000000001</v>
      </c>
      <c r="P487">
        <v>2.51417E-6</v>
      </c>
      <c r="Q487">
        <v>0.14285700000000001</v>
      </c>
      <c r="R487" s="60">
        <v>0.15638399145694051</v>
      </c>
      <c r="S487" t="s">
        <v>346</v>
      </c>
      <c r="T487" t="s">
        <v>436</v>
      </c>
      <c r="U487" t="s">
        <v>425</v>
      </c>
      <c r="V487" t="s">
        <v>26</v>
      </c>
      <c r="W487">
        <v>111.133</v>
      </c>
      <c r="X487">
        <v>1.0368587857491129</v>
      </c>
      <c r="Y487">
        <v>115.2292274366562</v>
      </c>
      <c r="Z487">
        <v>603.45000000000005</v>
      </c>
      <c r="AA487">
        <v>1</v>
      </c>
      <c r="AB487">
        <v>69.535077296650186</v>
      </c>
      <c r="AC487">
        <v>0.96209999999999996</v>
      </c>
      <c r="AD487" s="62">
        <v>66.900000000000006</v>
      </c>
      <c r="AE487">
        <v>8.9176000000000002</v>
      </c>
      <c r="AF487">
        <v>9.2462919077962926</v>
      </c>
      <c r="AG487">
        <v>1</v>
      </c>
      <c r="AH487">
        <v>5579.6748517596734</v>
      </c>
      <c r="AI487">
        <v>0.95992461065370505</v>
      </c>
      <c r="AJ487" s="62">
        <v>5356.0672000000004</v>
      </c>
      <c r="AK487" s="60">
        <v>837.60316724759912</v>
      </c>
      <c r="AL487" t="s">
        <v>347</v>
      </c>
      <c r="AM487" t="s">
        <v>437</v>
      </c>
      <c r="AN487" t="s">
        <v>425</v>
      </c>
      <c r="AO487" t="s">
        <v>26</v>
      </c>
      <c r="AP487">
        <v>111.133</v>
      </c>
      <c r="AQ487">
        <v>1.0541007448257309</v>
      </c>
      <c r="AR487">
        <v>117.145378074718</v>
      </c>
      <c r="AS487">
        <v>640.82000000000005</v>
      </c>
      <c r="AT487">
        <v>1</v>
      </c>
      <c r="AU487">
        <v>75.069101177840764</v>
      </c>
      <c r="AV487">
        <v>0.99109999999999998</v>
      </c>
      <c r="AW487" s="62">
        <v>74.400999999999996</v>
      </c>
      <c r="AX487">
        <v>8.9176000000000002</v>
      </c>
      <c r="AY487">
        <v>1</v>
      </c>
      <c r="AZ487">
        <v>6023.7392733347688</v>
      </c>
      <c r="BA487">
        <v>0.9830373970836227</v>
      </c>
      <c r="BB487" s="62">
        <v>5921.5609999999997</v>
      </c>
      <c r="BC487" s="60">
        <v>926.0373448357517</v>
      </c>
    </row>
    <row r="488" spans="1:55" x14ac:dyDescent="0.25">
      <c r="A488">
        <v>123232</v>
      </c>
      <c r="B488" t="s">
        <v>149</v>
      </c>
      <c r="C488">
        <v>2019</v>
      </c>
      <c r="D488">
        <v>3</v>
      </c>
      <c r="E488" t="s">
        <v>51</v>
      </c>
      <c r="F488" t="s">
        <v>426</v>
      </c>
      <c r="G488" t="s">
        <v>84</v>
      </c>
      <c r="H488" t="s">
        <v>59</v>
      </c>
      <c r="I488" t="s">
        <v>427</v>
      </c>
      <c r="J488">
        <v>-6.8711334500000003</v>
      </c>
      <c r="K488" t="s">
        <v>440</v>
      </c>
      <c r="L488" t="s">
        <v>384</v>
      </c>
      <c r="M488">
        <v>4.1785183859599999E-2</v>
      </c>
      <c r="N488">
        <v>0.28711157473593729</v>
      </c>
      <c r="O488">
        <v>28410.399000000001</v>
      </c>
      <c r="P488">
        <v>2.51417E-6</v>
      </c>
      <c r="Q488">
        <v>0.14285700000000001</v>
      </c>
      <c r="R488" s="60">
        <v>4.1015898232051803E-2</v>
      </c>
      <c r="S488" t="s">
        <v>346</v>
      </c>
      <c r="T488" t="s">
        <v>436</v>
      </c>
      <c r="U488" t="s">
        <v>425</v>
      </c>
      <c r="V488" t="s">
        <v>81</v>
      </c>
      <c r="W488">
        <v>111.133</v>
      </c>
      <c r="X488">
        <v>1.0368587857491129</v>
      </c>
      <c r="Y488">
        <v>115.2292274366562</v>
      </c>
      <c r="Z488">
        <v>603.45000000000005</v>
      </c>
      <c r="AA488">
        <v>1</v>
      </c>
      <c r="AB488">
        <v>69.535077296650186</v>
      </c>
      <c r="AC488">
        <v>0.90990000000000004</v>
      </c>
      <c r="AD488" s="62">
        <v>63.27</v>
      </c>
      <c r="AE488">
        <v>8.9176000000000002</v>
      </c>
      <c r="AF488">
        <v>9.2462919077962926</v>
      </c>
      <c r="AG488">
        <v>1</v>
      </c>
      <c r="AH488">
        <v>5579.6748517596734</v>
      </c>
      <c r="AI488">
        <v>1.053620848708487</v>
      </c>
      <c r="AJ488" s="62">
        <v>5878.8617999999997</v>
      </c>
      <c r="AK488" s="60">
        <v>241.12679730909679</v>
      </c>
      <c r="AL488" t="s">
        <v>347</v>
      </c>
      <c r="AM488" t="s">
        <v>437</v>
      </c>
      <c r="AN488" t="s">
        <v>425</v>
      </c>
      <c r="AO488" t="s">
        <v>81</v>
      </c>
      <c r="AP488">
        <v>111.133</v>
      </c>
      <c r="AQ488">
        <v>1.0541007448257309</v>
      </c>
      <c r="AR488">
        <v>117.145378074718</v>
      </c>
      <c r="AS488">
        <v>640.82000000000005</v>
      </c>
      <c r="AT488">
        <v>1</v>
      </c>
      <c r="AU488">
        <v>75.069101177840764</v>
      </c>
      <c r="AV488">
        <v>0.93830000000000002</v>
      </c>
      <c r="AW488" s="62">
        <v>70.436999999999998</v>
      </c>
      <c r="AX488">
        <v>8.9176000000000002</v>
      </c>
      <c r="AY488">
        <v>1</v>
      </c>
      <c r="AZ488">
        <v>6023.7392733347688</v>
      </c>
      <c r="BA488">
        <v>1.098016605166052</v>
      </c>
      <c r="BB488" s="62">
        <v>6614.1656999999996</v>
      </c>
      <c r="BC488" s="60">
        <v>271.28594724112759</v>
      </c>
    </row>
    <row r="489" spans="1:55" x14ac:dyDescent="0.25">
      <c r="A489">
        <v>123234</v>
      </c>
      <c r="B489" t="s">
        <v>149</v>
      </c>
      <c r="C489">
        <v>2019</v>
      </c>
      <c r="D489">
        <v>3</v>
      </c>
      <c r="E489" t="s">
        <v>51</v>
      </c>
      <c r="F489" t="s">
        <v>426</v>
      </c>
      <c r="G489" t="s">
        <v>84</v>
      </c>
      <c r="H489" t="s">
        <v>59</v>
      </c>
      <c r="I489" t="s">
        <v>427</v>
      </c>
      <c r="J489">
        <v>-6.8711334500000003</v>
      </c>
      <c r="K489" t="s">
        <v>440</v>
      </c>
      <c r="L489" t="s">
        <v>385</v>
      </c>
      <c r="M489">
        <v>0.43497567483749999</v>
      </c>
      <c r="N489">
        <v>2.988775911434201</v>
      </c>
      <c r="O489">
        <v>28410.399000000001</v>
      </c>
      <c r="P489">
        <v>2.51417E-6</v>
      </c>
      <c r="Q489">
        <v>0.14285700000000001</v>
      </c>
      <c r="R489" s="60">
        <v>0.4269675603797557</v>
      </c>
      <c r="S489" t="s">
        <v>346</v>
      </c>
      <c r="T489" t="s">
        <v>436</v>
      </c>
      <c r="U489" t="s">
        <v>425</v>
      </c>
      <c r="V489" t="s">
        <v>27</v>
      </c>
      <c r="W489">
        <v>111.133</v>
      </c>
      <c r="X489">
        <v>1.0368587857491129</v>
      </c>
      <c r="Y489">
        <v>115.2292274366562</v>
      </c>
      <c r="Z489">
        <v>603.45000000000005</v>
      </c>
      <c r="AA489">
        <v>1</v>
      </c>
      <c r="AB489">
        <v>69.535077296650186</v>
      </c>
      <c r="AC489">
        <v>0.93979999999999997</v>
      </c>
      <c r="AD489" s="62">
        <v>65.349000000000004</v>
      </c>
      <c r="AE489">
        <v>8.9176000000000002</v>
      </c>
      <c r="AF489">
        <v>9.2462919077962926</v>
      </c>
      <c r="AG489">
        <v>1</v>
      </c>
      <c r="AH489">
        <v>5579.6748517596734</v>
      </c>
      <c r="AI489">
        <v>0.95477850697292876</v>
      </c>
      <c r="AJ489" s="62">
        <v>5327.3536000000004</v>
      </c>
      <c r="AK489" s="60">
        <v>2274.607169872309</v>
      </c>
      <c r="AL489" t="s">
        <v>347</v>
      </c>
      <c r="AM489" t="s">
        <v>437</v>
      </c>
      <c r="AN489" t="s">
        <v>425</v>
      </c>
      <c r="AO489" t="s">
        <v>27</v>
      </c>
      <c r="AP489">
        <v>111.133</v>
      </c>
      <c r="AQ489">
        <v>1.0541007448257309</v>
      </c>
      <c r="AR489">
        <v>117.145378074718</v>
      </c>
      <c r="AS489">
        <v>640.82000000000005</v>
      </c>
      <c r="AT489">
        <v>1</v>
      </c>
      <c r="AU489">
        <v>75.069101177840764</v>
      </c>
      <c r="AV489">
        <v>0.95889999999999997</v>
      </c>
      <c r="AW489" s="62">
        <v>71.983999999999995</v>
      </c>
      <c r="AX489">
        <v>8.9176000000000002</v>
      </c>
      <c r="AY489">
        <v>1</v>
      </c>
      <c r="AZ489">
        <v>6023.7392733347688</v>
      </c>
      <c r="BA489">
        <v>0.99097621000820357</v>
      </c>
      <c r="BB489" s="62">
        <v>5969.3823000000002</v>
      </c>
      <c r="BC489" s="60">
        <v>2548.7325976050952</v>
      </c>
    </row>
    <row r="490" spans="1:55" x14ac:dyDescent="0.25">
      <c r="A490">
        <v>123236</v>
      </c>
      <c r="B490" t="s">
        <v>149</v>
      </c>
      <c r="C490">
        <v>2019</v>
      </c>
      <c r="D490">
        <v>3</v>
      </c>
      <c r="E490" t="s">
        <v>51</v>
      </c>
      <c r="F490" t="s">
        <v>426</v>
      </c>
      <c r="G490" t="s">
        <v>84</v>
      </c>
      <c r="H490" t="s">
        <v>59</v>
      </c>
      <c r="I490" t="s">
        <v>427</v>
      </c>
      <c r="J490">
        <v>-6.8711334500000003</v>
      </c>
      <c r="K490" t="s">
        <v>440</v>
      </c>
      <c r="L490" t="s">
        <v>451</v>
      </c>
      <c r="M490">
        <v>1.7625750762999999E-3</v>
      </c>
      <c r="N490">
        <v>1.2110888573499561E-2</v>
      </c>
      <c r="O490">
        <v>28410.399000000001</v>
      </c>
      <c r="P490">
        <v>2.51417E-6</v>
      </c>
      <c r="Q490">
        <v>0.14285700000000001</v>
      </c>
      <c r="R490" s="60">
        <v>1.730125208944427E-3</v>
      </c>
      <c r="S490" t="s">
        <v>346</v>
      </c>
      <c r="T490" t="s">
        <v>436</v>
      </c>
      <c r="U490" t="s">
        <v>425</v>
      </c>
      <c r="V490" t="s">
        <v>91</v>
      </c>
      <c r="W490">
        <v>111.133</v>
      </c>
      <c r="X490">
        <v>1.0368587857491129</v>
      </c>
      <c r="Y490">
        <v>115.2292274366562</v>
      </c>
      <c r="Z490">
        <v>603.45000000000005</v>
      </c>
      <c r="AA490">
        <v>1</v>
      </c>
      <c r="AB490">
        <v>69.535077296650186</v>
      </c>
      <c r="AC490">
        <v>0.99250000000000005</v>
      </c>
      <c r="AD490" s="62">
        <v>69.013999999999996</v>
      </c>
      <c r="AE490">
        <v>8.9176000000000002</v>
      </c>
      <c r="AF490">
        <v>9.2462919077962926</v>
      </c>
      <c r="AG490">
        <v>1</v>
      </c>
      <c r="AH490">
        <v>5579.6748517596734</v>
      </c>
      <c r="AI490">
        <v>0.96573604060913698</v>
      </c>
      <c r="AJ490" s="62">
        <v>5388.4930999999997</v>
      </c>
      <c r="AK490" s="60">
        <v>9.3227677505330995</v>
      </c>
      <c r="AL490" t="s">
        <v>347</v>
      </c>
      <c r="AM490" t="s">
        <v>437</v>
      </c>
      <c r="AN490" t="s">
        <v>425</v>
      </c>
      <c r="AO490" t="s">
        <v>91</v>
      </c>
      <c r="AP490">
        <v>111.133</v>
      </c>
      <c r="AQ490">
        <v>1.0541007448257309</v>
      </c>
      <c r="AR490">
        <v>117.145378074718</v>
      </c>
      <c r="AS490">
        <v>640.82000000000005</v>
      </c>
      <c r="AT490">
        <v>1</v>
      </c>
      <c r="AU490">
        <v>75.069101177840764</v>
      </c>
      <c r="AV490">
        <v>1.0088999999999999</v>
      </c>
      <c r="AW490" s="62">
        <v>75.736999999999995</v>
      </c>
      <c r="AX490">
        <v>8.9176000000000002</v>
      </c>
      <c r="AY490">
        <v>1</v>
      </c>
      <c r="AZ490">
        <v>6023.7392733347688</v>
      </c>
      <c r="BA490">
        <v>0.99316673174541203</v>
      </c>
      <c r="BB490" s="62">
        <v>5982.5774000000001</v>
      </c>
      <c r="BC490" s="60">
        <v>10.35060797420121</v>
      </c>
    </row>
    <row r="491" spans="1:55" x14ac:dyDescent="0.25">
      <c r="A491">
        <v>123238</v>
      </c>
      <c r="B491" t="s">
        <v>149</v>
      </c>
      <c r="C491">
        <v>2019</v>
      </c>
      <c r="D491">
        <v>3</v>
      </c>
      <c r="E491" t="s">
        <v>51</v>
      </c>
      <c r="F491" t="s">
        <v>426</v>
      </c>
      <c r="G491" t="s">
        <v>84</v>
      </c>
      <c r="H491" t="s">
        <v>59</v>
      </c>
      <c r="I491" t="s">
        <v>427</v>
      </c>
      <c r="J491">
        <v>-6.8711334500000003</v>
      </c>
      <c r="K491" t="s">
        <v>440</v>
      </c>
      <c r="L491" t="s">
        <v>452</v>
      </c>
      <c r="M491">
        <v>1.4858046103299999E-3</v>
      </c>
      <c r="N491">
        <v>1.0209161765450839E-2</v>
      </c>
      <c r="O491">
        <v>28410.399000000001</v>
      </c>
      <c r="P491">
        <v>2.51417E-6</v>
      </c>
      <c r="Q491">
        <v>0.14285700000000001</v>
      </c>
      <c r="R491" s="60">
        <v>1.458450222327011E-3</v>
      </c>
      <c r="S491" t="s">
        <v>346</v>
      </c>
      <c r="T491" t="s">
        <v>436</v>
      </c>
      <c r="U491" t="s">
        <v>425</v>
      </c>
      <c r="V491" t="s">
        <v>28</v>
      </c>
      <c r="W491">
        <v>111.133</v>
      </c>
      <c r="X491">
        <v>1.0368587857491129</v>
      </c>
      <c r="Y491">
        <v>115.2292274366562</v>
      </c>
      <c r="Z491">
        <v>603.45000000000005</v>
      </c>
      <c r="AA491">
        <v>1</v>
      </c>
      <c r="AB491">
        <v>69.535077296650186</v>
      </c>
      <c r="AC491">
        <v>0.99760000000000004</v>
      </c>
      <c r="AD491" s="62">
        <v>69.367999999999995</v>
      </c>
      <c r="AE491">
        <v>8.9176000000000002</v>
      </c>
      <c r="AF491">
        <v>9.2462919077962926</v>
      </c>
      <c r="AG491">
        <v>1</v>
      </c>
      <c r="AH491">
        <v>5579.6748517596734</v>
      </c>
      <c r="AI491">
        <v>0.96062216971844849</v>
      </c>
      <c r="AJ491" s="62">
        <v>5359.9593999999997</v>
      </c>
      <c r="AK491" s="60">
        <v>7.8172339785937526</v>
      </c>
      <c r="AL491" t="s">
        <v>347</v>
      </c>
      <c r="AM491" t="s">
        <v>437</v>
      </c>
      <c r="AN491" t="s">
        <v>425</v>
      </c>
      <c r="AO491" t="s">
        <v>28</v>
      </c>
      <c r="AP491">
        <v>111.133</v>
      </c>
      <c r="AQ491">
        <v>1.0541007448257309</v>
      </c>
      <c r="AR491">
        <v>117.145378074718</v>
      </c>
      <c r="AS491">
        <v>640.82000000000005</v>
      </c>
      <c r="AT491">
        <v>1</v>
      </c>
      <c r="AU491">
        <v>75.069101177840764</v>
      </c>
      <c r="AV491">
        <v>1.0073000000000001</v>
      </c>
      <c r="AW491" s="62">
        <v>75.617000000000004</v>
      </c>
      <c r="AX491">
        <v>8.9176000000000002</v>
      </c>
      <c r="AY491">
        <v>1</v>
      </c>
      <c r="AZ491">
        <v>6023.7392733347688</v>
      </c>
      <c r="BA491">
        <v>0.99399488088206345</v>
      </c>
      <c r="BB491" s="62">
        <v>5987.5659999999998</v>
      </c>
      <c r="BC491" s="60">
        <v>8.7325669638976535</v>
      </c>
    </row>
    <row r="492" spans="1:55" x14ac:dyDescent="0.25">
      <c r="A492">
        <v>130085</v>
      </c>
      <c r="B492" t="s">
        <v>150</v>
      </c>
      <c r="C492">
        <v>2019</v>
      </c>
      <c r="D492">
        <v>4</v>
      </c>
      <c r="E492" t="s">
        <v>51</v>
      </c>
      <c r="F492" t="s">
        <v>426</v>
      </c>
      <c r="G492" t="s">
        <v>84</v>
      </c>
      <c r="H492" t="s">
        <v>381</v>
      </c>
      <c r="I492" t="s">
        <v>427</v>
      </c>
      <c r="J492">
        <v>-13.3024606</v>
      </c>
      <c r="K492" t="s">
        <v>440</v>
      </c>
      <c r="L492" t="s">
        <v>450</v>
      </c>
      <c r="M492">
        <v>0.15011157993331001</v>
      </c>
      <c r="N492">
        <v>1.996853378259037</v>
      </c>
      <c r="O492">
        <v>28410.399000000001</v>
      </c>
      <c r="P492">
        <v>2.51417E-6</v>
      </c>
      <c r="Q492">
        <v>0.14285700000000001</v>
      </c>
      <c r="R492" s="60">
        <v>0.28526448305795132</v>
      </c>
      <c r="S492" t="s">
        <v>347</v>
      </c>
      <c r="T492" t="s">
        <v>437</v>
      </c>
      <c r="U492" t="s">
        <v>425</v>
      </c>
      <c r="V492" t="s">
        <v>26</v>
      </c>
      <c r="W492">
        <v>111.133</v>
      </c>
      <c r="X492">
        <v>1.0541007448257309</v>
      </c>
      <c r="Y492">
        <v>117.145378074718</v>
      </c>
      <c r="Z492">
        <v>640.82000000000005</v>
      </c>
      <c r="AA492">
        <v>1</v>
      </c>
      <c r="AB492">
        <v>75.069101177840764</v>
      </c>
      <c r="AC492">
        <v>0.99109999999999998</v>
      </c>
      <c r="AD492" s="62">
        <v>74.400999999999996</v>
      </c>
      <c r="AE492">
        <v>8.9176000000000002</v>
      </c>
      <c r="AF492">
        <v>9.4000488020579382</v>
      </c>
      <c r="AG492">
        <v>1</v>
      </c>
      <c r="AH492">
        <v>6023.7392733347688</v>
      </c>
      <c r="AI492">
        <v>0.9830373970836227</v>
      </c>
      <c r="AJ492" s="62">
        <v>5921.5609999999997</v>
      </c>
      <c r="AK492" s="60">
        <v>1689.2110375611251</v>
      </c>
      <c r="AL492" t="s">
        <v>347</v>
      </c>
      <c r="AM492" t="s">
        <v>437</v>
      </c>
      <c r="AN492" t="s">
        <v>425</v>
      </c>
      <c r="AO492" t="s">
        <v>26</v>
      </c>
      <c r="AP492">
        <v>111.133</v>
      </c>
      <c r="AQ492">
        <v>1.0541007448257309</v>
      </c>
      <c r="AR492">
        <v>117.145378074718</v>
      </c>
      <c r="AS492">
        <v>640.82000000000005</v>
      </c>
      <c r="AT492">
        <v>1</v>
      </c>
      <c r="AU492">
        <v>75.069101177840764</v>
      </c>
      <c r="AV492">
        <v>0.99109999999999998</v>
      </c>
      <c r="AW492" s="62">
        <v>74.400999999999996</v>
      </c>
      <c r="AX492">
        <v>8.9176000000000002</v>
      </c>
      <c r="AY492">
        <v>1</v>
      </c>
      <c r="AZ492">
        <v>6023.7392733347688</v>
      </c>
      <c r="BA492">
        <v>0.9830373970836227</v>
      </c>
      <c r="BB492" s="62">
        <v>5921.5609999999997</v>
      </c>
      <c r="BC492" s="60">
        <v>1689.2110375611251</v>
      </c>
    </row>
    <row r="493" spans="1:55" x14ac:dyDescent="0.25">
      <c r="A493">
        <v>130087</v>
      </c>
      <c r="B493" t="s">
        <v>150</v>
      </c>
      <c r="C493">
        <v>2019</v>
      </c>
      <c r="D493">
        <v>4</v>
      </c>
      <c r="E493" t="s">
        <v>51</v>
      </c>
      <c r="F493" t="s">
        <v>426</v>
      </c>
      <c r="G493" t="s">
        <v>84</v>
      </c>
      <c r="H493" t="s">
        <v>381</v>
      </c>
      <c r="I493" t="s">
        <v>427</v>
      </c>
      <c r="J493">
        <v>-13.3024606</v>
      </c>
      <c r="K493" t="s">
        <v>440</v>
      </c>
      <c r="L493" t="s">
        <v>384</v>
      </c>
      <c r="M493">
        <v>4.5811354346740003E-2</v>
      </c>
      <c r="N493">
        <v>0.60940373641094669</v>
      </c>
      <c r="O493">
        <v>28410.399000000001</v>
      </c>
      <c r="P493">
        <v>2.51417E-6</v>
      </c>
      <c r="Q493">
        <v>0.14285700000000001</v>
      </c>
      <c r="R493" s="60">
        <v>8.7057589572458613E-2</v>
      </c>
      <c r="S493" t="s">
        <v>347</v>
      </c>
      <c r="T493" t="s">
        <v>437</v>
      </c>
      <c r="U493" t="s">
        <v>425</v>
      </c>
      <c r="V493" t="s">
        <v>81</v>
      </c>
      <c r="W493">
        <v>111.133</v>
      </c>
      <c r="X493">
        <v>1.0541007448257309</v>
      </c>
      <c r="Y493">
        <v>117.145378074718</v>
      </c>
      <c r="Z493">
        <v>640.82000000000005</v>
      </c>
      <c r="AA493">
        <v>1</v>
      </c>
      <c r="AB493">
        <v>75.069101177840764</v>
      </c>
      <c r="AC493">
        <v>0.93830000000000002</v>
      </c>
      <c r="AD493" s="62">
        <v>70.436999999999998</v>
      </c>
      <c r="AE493">
        <v>8.9176000000000002</v>
      </c>
      <c r="AF493">
        <v>9.4000488020579382</v>
      </c>
      <c r="AG493">
        <v>1</v>
      </c>
      <c r="AH493">
        <v>6023.7392733347688</v>
      </c>
      <c r="AI493">
        <v>1.098016605166052</v>
      </c>
      <c r="AJ493" s="62">
        <v>6614.1656999999996</v>
      </c>
      <c r="AK493" s="60">
        <v>575.81332287483337</v>
      </c>
      <c r="AL493" t="s">
        <v>347</v>
      </c>
      <c r="AM493" t="s">
        <v>437</v>
      </c>
      <c r="AN493" t="s">
        <v>425</v>
      </c>
      <c r="AO493" t="s">
        <v>81</v>
      </c>
      <c r="AP493">
        <v>111.133</v>
      </c>
      <c r="AQ493">
        <v>1.0541007448257309</v>
      </c>
      <c r="AR493">
        <v>117.145378074718</v>
      </c>
      <c r="AS493">
        <v>640.82000000000005</v>
      </c>
      <c r="AT493">
        <v>1</v>
      </c>
      <c r="AU493">
        <v>75.069101177840764</v>
      </c>
      <c r="AV493">
        <v>0.93830000000000002</v>
      </c>
      <c r="AW493" s="62">
        <v>70.436999999999998</v>
      </c>
      <c r="AX493">
        <v>8.9176000000000002</v>
      </c>
      <c r="AY493">
        <v>1</v>
      </c>
      <c r="AZ493">
        <v>6023.7392733347688</v>
      </c>
      <c r="BA493">
        <v>1.098016605166052</v>
      </c>
      <c r="BB493" s="62">
        <v>6614.1656999999996</v>
      </c>
      <c r="BC493" s="60">
        <v>575.81332287483337</v>
      </c>
    </row>
    <row r="494" spans="1:55" x14ac:dyDescent="0.25">
      <c r="A494">
        <v>130089</v>
      </c>
      <c r="B494" t="s">
        <v>150</v>
      </c>
      <c r="C494">
        <v>2019</v>
      </c>
      <c r="D494">
        <v>4</v>
      </c>
      <c r="E494" t="s">
        <v>51</v>
      </c>
      <c r="F494" t="s">
        <v>426</v>
      </c>
      <c r="G494" t="s">
        <v>84</v>
      </c>
      <c r="H494" t="s">
        <v>381</v>
      </c>
      <c r="I494" t="s">
        <v>427</v>
      </c>
      <c r="J494">
        <v>-13.3024606</v>
      </c>
      <c r="K494" t="s">
        <v>440</v>
      </c>
      <c r="L494" t="s">
        <v>385</v>
      </c>
      <c r="M494">
        <v>0.43232641346992001</v>
      </c>
      <c r="N494">
        <v>5.7510050832291393</v>
      </c>
      <c r="O494">
        <v>28410.399000000001</v>
      </c>
      <c r="P494">
        <v>2.51417E-6</v>
      </c>
      <c r="Q494">
        <v>0.14285700000000001</v>
      </c>
      <c r="R494" s="60">
        <v>0.82157133317486519</v>
      </c>
      <c r="S494" t="s">
        <v>347</v>
      </c>
      <c r="T494" t="s">
        <v>437</v>
      </c>
      <c r="U494" t="s">
        <v>425</v>
      </c>
      <c r="V494" t="s">
        <v>27</v>
      </c>
      <c r="W494">
        <v>111.133</v>
      </c>
      <c r="X494">
        <v>1.0541007448257309</v>
      </c>
      <c r="Y494">
        <v>117.145378074718</v>
      </c>
      <c r="Z494">
        <v>640.82000000000005</v>
      </c>
      <c r="AA494">
        <v>1</v>
      </c>
      <c r="AB494">
        <v>75.069101177840764</v>
      </c>
      <c r="AC494">
        <v>0.95889999999999997</v>
      </c>
      <c r="AD494" s="62">
        <v>71.983999999999995</v>
      </c>
      <c r="AE494">
        <v>8.9176000000000002</v>
      </c>
      <c r="AF494">
        <v>9.4000488020579382</v>
      </c>
      <c r="AG494">
        <v>1</v>
      </c>
      <c r="AH494">
        <v>6023.7392733347688</v>
      </c>
      <c r="AI494">
        <v>0.99097621000820357</v>
      </c>
      <c r="AJ494" s="62">
        <v>5969.3823000000002</v>
      </c>
      <c r="AK494" s="60">
        <v>4904.2733744414436</v>
      </c>
      <c r="AL494" t="s">
        <v>347</v>
      </c>
      <c r="AM494" t="s">
        <v>437</v>
      </c>
      <c r="AN494" t="s">
        <v>425</v>
      </c>
      <c r="AO494" t="s">
        <v>27</v>
      </c>
      <c r="AP494">
        <v>111.133</v>
      </c>
      <c r="AQ494">
        <v>1.0541007448257309</v>
      </c>
      <c r="AR494">
        <v>117.145378074718</v>
      </c>
      <c r="AS494">
        <v>640.82000000000005</v>
      </c>
      <c r="AT494">
        <v>1</v>
      </c>
      <c r="AU494">
        <v>75.069101177840764</v>
      </c>
      <c r="AV494">
        <v>0.95889999999999997</v>
      </c>
      <c r="AW494" s="62">
        <v>71.983999999999995</v>
      </c>
      <c r="AX494">
        <v>8.9176000000000002</v>
      </c>
      <c r="AY494">
        <v>1</v>
      </c>
      <c r="AZ494">
        <v>6023.7392733347688</v>
      </c>
      <c r="BA494">
        <v>0.99097621000820357</v>
      </c>
      <c r="BB494" s="62">
        <v>5969.3823000000002</v>
      </c>
      <c r="BC494" s="60">
        <v>4904.2733744414436</v>
      </c>
    </row>
    <row r="495" spans="1:55" x14ac:dyDescent="0.25">
      <c r="A495">
        <v>130091</v>
      </c>
      <c r="B495" t="s">
        <v>150</v>
      </c>
      <c r="C495">
        <v>2019</v>
      </c>
      <c r="D495">
        <v>4</v>
      </c>
      <c r="E495" t="s">
        <v>51</v>
      </c>
      <c r="F495" t="s">
        <v>426</v>
      </c>
      <c r="G495" t="s">
        <v>84</v>
      </c>
      <c r="H495" t="s">
        <v>381</v>
      </c>
      <c r="I495" t="s">
        <v>427</v>
      </c>
      <c r="J495">
        <v>-13.3024606</v>
      </c>
      <c r="K495" t="s">
        <v>440</v>
      </c>
      <c r="L495" t="s">
        <v>451</v>
      </c>
      <c r="M495">
        <v>1.6825115802299999E-3</v>
      </c>
      <c r="N495">
        <v>2.238154401169351E-2</v>
      </c>
      <c r="O495">
        <v>28410.399000000001</v>
      </c>
      <c r="P495">
        <v>2.51417E-6</v>
      </c>
      <c r="Q495">
        <v>0.14285700000000001</v>
      </c>
      <c r="R495" s="60">
        <v>3.1973602328785001E-3</v>
      </c>
      <c r="S495" t="s">
        <v>347</v>
      </c>
      <c r="T495" t="s">
        <v>437</v>
      </c>
      <c r="U495" t="s">
        <v>425</v>
      </c>
      <c r="V495" t="s">
        <v>91</v>
      </c>
      <c r="W495">
        <v>111.133</v>
      </c>
      <c r="X495">
        <v>1.0541007448257309</v>
      </c>
      <c r="Y495">
        <v>117.145378074718</v>
      </c>
      <c r="Z495">
        <v>640.82000000000005</v>
      </c>
      <c r="AA495">
        <v>1</v>
      </c>
      <c r="AB495">
        <v>75.069101177840764</v>
      </c>
      <c r="AC495">
        <v>1.0088999999999999</v>
      </c>
      <c r="AD495" s="62">
        <v>75.736999999999995</v>
      </c>
      <c r="AE495">
        <v>8.9176000000000002</v>
      </c>
      <c r="AF495">
        <v>9.4000488020579382</v>
      </c>
      <c r="AG495">
        <v>1</v>
      </c>
      <c r="AH495">
        <v>6023.7392733347688</v>
      </c>
      <c r="AI495">
        <v>0.99316673174541203</v>
      </c>
      <c r="AJ495" s="62">
        <v>5982.5774000000001</v>
      </c>
      <c r="AK495" s="60">
        <v>19.128455068877649</v>
      </c>
      <c r="AL495" t="s">
        <v>347</v>
      </c>
      <c r="AM495" t="s">
        <v>437</v>
      </c>
      <c r="AN495" t="s">
        <v>425</v>
      </c>
      <c r="AO495" t="s">
        <v>91</v>
      </c>
      <c r="AP495">
        <v>111.133</v>
      </c>
      <c r="AQ495">
        <v>1.0541007448257309</v>
      </c>
      <c r="AR495">
        <v>117.145378074718</v>
      </c>
      <c r="AS495">
        <v>640.82000000000005</v>
      </c>
      <c r="AT495">
        <v>1</v>
      </c>
      <c r="AU495">
        <v>75.069101177840764</v>
      </c>
      <c r="AV495">
        <v>1.0088999999999999</v>
      </c>
      <c r="AW495" s="62">
        <v>75.736999999999995</v>
      </c>
      <c r="AX495">
        <v>8.9176000000000002</v>
      </c>
      <c r="AY495">
        <v>1</v>
      </c>
      <c r="AZ495">
        <v>6023.7392733347688</v>
      </c>
      <c r="BA495">
        <v>0.99316673174541203</v>
      </c>
      <c r="BB495" s="62">
        <v>5982.5774000000001</v>
      </c>
      <c r="BC495" s="60">
        <v>19.128455068877649</v>
      </c>
    </row>
    <row r="496" spans="1:55" x14ac:dyDescent="0.25">
      <c r="A496">
        <v>130093</v>
      </c>
      <c r="B496" t="s">
        <v>150</v>
      </c>
      <c r="C496">
        <v>2019</v>
      </c>
      <c r="D496">
        <v>4</v>
      </c>
      <c r="E496" t="s">
        <v>51</v>
      </c>
      <c r="F496" t="s">
        <v>426</v>
      </c>
      <c r="G496" t="s">
        <v>84</v>
      </c>
      <c r="H496" t="s">
        <v>381</v>
      </c>
      <c r="I496" t="s">
        <v>427</v>
      </c>
      <c r="J496">
        <v>-13.3024606</v>
      </c>
      <c r="K496" t="s">
        <v>440</v>
      </c>
      <c r="L496" t="s">
        <v>452</v>
      </c>
      <c r="M496">
        <v>1.53682162831E-3</v>
      </c>
      <c r="N496">
        <v>2.0443509165886841E-2</v>
      </c>
      <c r="O496">
        <v>28410.399000000001</v>
      </c>
      <c r="P496">
        <v>2.51417E-6</v>
      </c>
      <c r="Q496">
        <v>0.14285700000000001</v>
      </c>
      <c r="R496" s="60">
        <v>2.9204983889110961E-3</v>
      </c>
      <c r="S496" t="s">
        <v>347</v>
      </c>
      <c r="T496" t="s">
        <v>437</v>
      </c>
      <c r="U496" t="s">
        <v>425</v>
      </c>
      <c r="V496" t="s">
        <v>28</v>
      </c>
      <c r="W496">
        <v>111.133</v>
      </c>
      <c r="X496">
        <v>1.0541007448257309</v>
      </c>
      <c r="Y496">
        <v>117.145378074718</v>
      </c>
      <c r="Z496">
        <v>640.82000000000005</v>
      </c>
      <c r="AA496">
        <v>1</v>
      </c>
      <c r="AB496">
        <v>75.069101177840764</v>
      </c>
      <c r="AC496">
        <v>1.0073000000000001</v>
      </c>
      <c r="AD496" s="62">
        <v>75.617000000000004</v>
      </c>
      <c r="AE496">
        <v>8.9176000000000002</v>
      </c>
      <c r="AF496">
        <v>9.4000488020579382</v>
      </c>
      <c r="AG496">
        <v>1</v>
      </c>
      <c r="AH496">
        <v>6023.7392733347688</v>
      </c>
      <c r="AI496">
        <v>0.99399488088206345</v>
      </c>
      <c r="AJ496" s="62">
        <v>5987.5659999999998</v>
      </c>
      <c r="AK496" s="60">
        <v>17.48667685649886</v>
      </c>
      <c r="AL496" t="s">
        <v>347</v>
      </c>
      <c r="AM496" t="s">
        <v>437</v>
      </c>
      <c r="AN496" t="s">
        <v>425</v>
      </c>
      <c r="AO496" t="s">
        <v>28</v>
      </c>
      <c r="AP496">
        <v>111.133</v>
      </c>
      <c r="AQ496">
        <v>1.0541007448257309</v>
      </c>
      <c r="AR496">
        <v>117.145378074718</v>
      </c>
      <c r="AS496">
        <v>640.82000000000005</v>
      </c>
      <c r="AT496">
        <v>1</v>
      </c>
      <c r="AU496">
        <v>75.069101177840764</v>
      </c>
      <c r="AV496">
        <v>1.0073000000000001</v>
      </c>
      <c r="AW496" s="62">
        <v>75.617000000000004</v>
      </c>
      <c r="AX496">
        <v>8.9176000000000002</v>
      </c>
      <c r="AY496">
        <v>1</v>
      </c>
      <c r="AZ496">
        <v>6023.7392733347688</v>
      </c>
      <c r="BA496">
        <v>0.99399488088206345</v>
      </c>
      <c r="BB496" s="62">
        <v>5987.5659999999998</v>
      </c>
      <c r="BC496" s="60">
        <v>17.48667685649886</v>
      </c>
    </row>
    <row r="497" spans="1:55" x14ac:dyDescent="0.25">
      <c r="A497">
        <v>130095</v>
      </c>
      <c r="B497" t="s">
        <v>150</v>
      </c>
      <c r="C497">
        <v>2019</v>
      </c>
      <c r="D497">
        <v>4</v>
      </c>
      <c r="E497" t="s">
        <v>51</v>
      </c>
      <c r="F497" t="s">
        <v>426</v>
      </c>
      <c r="G497" t="s">
        <v>84</v>
      </c>
      <c r="H497" t="s">
        <v>87</v>
      </c>
      <c r="I497" t="s">
        <v>427</v>
      </c>
      <c r="J497">
        <v>-2.6545286400000001</v>
      </c>
      <c r="K497" t="s">
        <v>440</v>
      </c>
      <c r="L497" t="s">
        <v>450</v>
      </c>
      <c r="M497">
        <v>0.26601384014995</v>
      </c>
      <c r="N497">
        <v>0.70614135621524232</v>
      </c>
      <c r="O497">
        <v>28410.399000000001</v>
      </c>
      <c r="P497">
        <v>2.51417E-6</v>
      </c>
      <c r="Q497">
        <v>0.14285700000000001</v>
      </c>
      <c r="R497" s="60">
        <v>0.10087723572484091</v>
      </c>
      <c r="S497" t="s">
        <v>347</v>
      </c>
      <c r="T497" t="s">
        <v>437</v>
      </c>
      <c r="U497" t="s">
        <v>425</v>
      </c>
      <c r="V497" t="s">
        <v>26</v>
      </c>
      <c r="W497">
        <v>111.133</v>
      </c>
      <c r="X497">
        <v>1.0541007448257309</v>
      </c>
      <c r="Y497">
        <v>117.145378074718</v>
      </c>
      <c r="Z497">
        <v>640.82000000000005</v>
      </c>
      <c r="AA497">
        <v>1</v>
      </c>
      <c r="AB497">
        <v>75.069101177840764</v>
      </c>
      <c r="AC497">
        <v>0.99109999999999998</v>
      </c>
      <c r="AD497" s="62">
        <v>74.400999999999996</v>
      </c>
      <c r="AE497">
        <v>8.9176000000000002</v>
      </c>
      <c r="AF497">
        <v>9.4000488020579382</v>
      </c>
      <c r="AG497">
        <v>1</v>
      </c>
      <c r="AH497">
        <v>6023.7392733347688</v>
      </c>
      <c r="AI497">
        <v>0.9830373970836227</v>
      </c>
      <c r="AJ497" s="62">
        <v>5921.5609999999997</v>
      </c>
      <c r="AK497" s="60">
        <v>597.35070485602444</v>
      </c>
      <c r="AL497" t="s">
        <v>347</v>
      </c>
      <c r="AM497" t="s">
        <v>437</v>
      </c>
      <c r="AN497" t="s">
        <v>425</v>
      </c>
      <c r="AO497" t="s">
        <v>26</v>
      </c>
      <c r="AP497">
        <v>111.133</v>
      </c>
      <c r="AQ497">
        <v>1.0541007448257309</v>
      </c>
      <c r="AR497">
        <v>117.145378074718</v>
      </c>
      <c r="AS497">
        <v>640.82000000000005</v>
      </c>
      <c r="AT497">
        <v>1</v>
      </c>
      <c r="AU497">
        <v>75.069101177840764</v>
      </c>
      <c r="AV497">
        <v>0.99109999999999998</v>
      </c>
      <c r="AW497" s="62">
        <v>74.400999999999996</v>
      </c>
      <c r="AX497">
        <v>8.9176000000000002</v>
      </c>
      <c r="AY497">
        <v>1</v>
      </c>
      <c r="AZ497">
        <v>6023.7392733347688</v>
      </c>
      <c r="BA497">
        <v>0.9830373970836227</v>
      </c>
      <c r="BB497" s="62">
        <v>5921.5609999999997</v>
      </c>
      <c r="BC497" s="60">
        <v>597.35070485602444</v>
      </c>
    </row>
    <row r="498" spans="1:55" x14ac:dyDescent="0.25">
      <c r="A498">
        <v>130097</v>
      </c>
      <c r="B498" t="s">
        <v>150</v>
      </c>
      <c r="C498">
        <v>2019</v>
      </c>
      <c r="D498">
        <v>4</v>
      </c>
      <c r="E498" t="s">
        <v>51</v>
      </c>
      <c r="F498" t="s">
        <v>426</v>
      </c>
      <c r="G498" t="s">
        <v>84</v>
      </c>
      <c r="H498" t="s">
        <v>87</v>
      </c>
      <c r="I498" t="s">
        <v>427</v>
      </c>
      <c r="J498">
        <v>-2.6545286400000001</v>
      </c>
      <c r="K498" t="s">
        <v>440</v>
      </c>
      <c r="L498" t="s">
        <v>384</v>
      </c>
      <c r="M498">
        <v>3.9509559941419997E-2</v>
      </c>
      <c r="N498">
        <v>0.1048792582550407</v>
      </c>
      <c r="O498">
        <v>28410.399000000001</v>
      </c>
      <c r="P498">
        <v>2.51417E-6</v>
      </c>
      <c r="Q498">
        <v>0.14285700000000001</v>
      </c>
      <c r="R498" s="60">
        <v>1.498273619654036E-2</v>
      </c>
      <c r="S498" t="s">
        <v>347</v>
      </c>
      <c r="T498" t="s">
        <v>437</v>
      </c>
      <c r="U498" t="s">
        <v>425</v>
      </c>
      <c r="V498" t="s">
        <v>81</v>
      </c>
      <c r="W498">
        <v>111.133</v>
      </c>
      <c r="X498">
        <v>1.0541007448257309</v>
      </c>
      <c r="Y498">
        <v>117.145378074718</v>
      </c>
      <c r="Z498">
        <v>640.82000000000005</v>
      </c>
      <c r="AA498">
        <v>1</v>
      </c>
      <c r="AB498">
        <v>75.069101177840764</v>
      </c>
      <c r="AC498">
        <v>0.93830000000000002</v>
      </c>
      <c r="AD498" s="62">
        <v>70.436999999999998</v>
      </c>
      <c r="AE498">
        <v>8.9176000000000002</v>
      </c>
      <c r="AF498">
        <v>9.4000488020579382</v>
      </c>
      <c r="AG498">
        <v>1</v>
      </c>
      <c r="AH498">
        <v>6023.7392733347688</v>
      </c>
      <c r="AI498">
        <v>1.098016605166052</v>
      </c>
      <c r="AJ498" s="62">
        <v>6614.1656999999996</v>
      </c>
      <c r="AK498" s="60">
        <v>99.098299843305668</v>
      </c>
      <c r="AL498" t="s">
        <v>347</v>
      </c>
      <c r="AM498" t="s">
        <v>437</v>
      </c>
      <c r="AN498" t="s">
        <v>425</v>
      </c>
      <c r="AO498" t="s">
        <v>81</v>
      </c>
      <c r="AP498">
        <v>111.133</v>
      </c>
      <c r="AQ498">
        <v>1.0541007448257309</v>
      </c>
      <c r="AR498">
        <v>117.145378074718</v>
      </c>
      <c r="AS498">
        <v>640.82000000000005</v>
      </c>
      <c r="AT498">
        <v>1</v>
      </c>
      <c r="AU498">
        <v>75.069101177840764</v>
      </c>
      <c r="AV498">
        <v>0.93830000000000002</v>
      </c>
      <c r="AW498" s="62">
        <v>70.436999999999998</v>
      </c>
      <c r="AX498">
        <v>8.9176000000000002</v>
      </c>
      <c r="AY498">
        <v>1</v>
      </c>
      <c r="AZ498">
        <v>6023.7392733347688</v>
      </c>
      <c r="BA498">
        <v>1.098016605166052</v>
      </c>
      <c r="BB498" s="62">
        <v>6614.1656999999996</v>
      </c>
      <c r="BC498" s="60">
        <v>99.098299843305668</v>
      </c>
    </row>
    <row r="499" spans="1:55" x14ac:dyDescent="0.25">
      <c r="A499">
        <v>130099</v>
      </c>
      <c r="B499" t="s">
        <v>150</v>
      </c>
      <c r="C499">
        <v>2019</v>
      </c>
      <c r="D499">
        <v>4</v>
      </c>
      <c r="E499" t="s">
        <v>51</v>
      </c>
      <c r="F499" t="s">
        <v>426</v>
      </c>
      <c r="G499" t="s">
        <v>84</v>
      </c>
      <c r="H499" t="s">
        <v>87</v>
      </c>
      <c r="I499" t="s">
        <v>427</v>
      </c>
      <c r="J499">
        <v>-2.6545286400000001</v>
      </c>
      <c r="K499" t="s">
        <v>440</v>
      </c>
      <c r="L499" t="s">
        <v>385</v>
      </c>
      <c r="M499">
        <v>0.39737542925016001</v>
      </c>
      <c r="N499">
        <v>1.0548444561348691</v>
      </c>
      <c r="O499">
        <v>28410.399000000001</v>
      </c>
      <c r="P499">
        <v>2.51417E-6</v>
      </c>
      <c r="Q499">
        <v>0.14285700000000001</v>
      </c>
      <c r="R499" s="60">
        <v>0.150691914470059</v>
      </c>
      <c r="S499" t="s">
        <v>347</v>
      </c>
      <c r="T499" t="s">
        <v>437</v>
      </c>
      <c r="U499" t="s">
        <v>425</v>
      </c>
      <c r="V499" t="s">
        <v>27</v>
      </c>
      <c r="W499">
        <v>111.133</v>
      </c>
      <c r="X499">
        <v>1.0541007448257309</v>
      </c>
      <c r="Y499">
        <v>117.145378074718</v>
      </c>
      <c r="Z499">
        <v>640.82000000000005</v>
      </c>
      <c r="AA499">
        <v>1</v>
      </c>
      <c r="AB499">
        <v>75.069101177840764</v>
      </c>
      <c r="AC499">
        <v>0.95889999999999997</v>
      </c>
      <c r="AD499" s="62">
        <v>71.983999999999995</v>
      </c>
      <c r="AE499">
        <v>8.9176000000000002</v>
      </c>
      <c r="AF499">
        <v>9.4000488020579382</v>
      </c>
      <c r="AG499">
        <v>1</v>
      </c>
      <c r="AH499">
        <v>6023.7392733347688</v>
      </c>
      <c r="AI499">
        <v>0.99097621000820357</v>
      </c>
      <c r="AJ499" s="62">
        <v>5969.3823000000002</v>
      </c>
      <c r="AK499" s="60">
        <v>899.53764699068427</v>
      </c>
      <c r="AL499" t="s">
        <v>347</v>
      </c>
      <c r="AM499" t="s">
        <v>437</v>
      </c>
      <c r="AN499" t="s">
        <v>425</v>
      </c>
      <c r="AO499" t="s">
        <v>27</v>
      </c>
      <c r="AP499">
        <v>111.133</v>
      </c>
      <c r="AQ499">
        <v>1.0541007448257309</v>
      </c>
      <c r="AR499">
        <v>117.145378074718</v>
      </c>
      <c r="AS499">
        <v>640.82000000000005</v>
      </c>
      <c r="AT499">
        <v>1</v>
      </c>
      <c r="AU499">
        <v>75.069101177840764</v>
      </c>
      <c r="AV499">
        <v>0.95889999999999997</v>
      </c>
      <c r="AW499" s="62">
        <v>71.983999999999995</v>
      </c>
      <c r="AX499">
        <v>8.9176000000000002</v>
      </c>
      <c r="AY499">
        <v>1</v>
      </c>
      <c r="AZ499">
        <v>6023.7392733347688</v>
      </c>
      <c r="BA499">
        <v>0.99097621000820357</v>
      </c>
      <c r="BB499" s="62">
        <v>5969.3823000000002</v>
      </c>
      <c r="BC499" s="60">
        <v>899.53764699068427</v>
      </c>
    </row>
    <row r="500" spans="1:55" x14ac:dyDescent="0.25">
      <c r="A500">
        <v>130101</v>
      </c>
      <c r="B500" t="s">
        <v>150</v>
      </c>
      <c r="C500">
        <v>2019</v>
      </c>
      <c r="D500">
        <v>4</v>
      </c>
      <c r="E500" t="s">
        <v>51</v>
      </c>
      <c r="F500" t="s">
        <v>426</v>
      </c>
      <c r="G500" t="s">
        <v>84</v>
      </c>
      <c r="H500" t="s">
        <v>87</v>
      </c>
      <c r="I500" t="s">
        <v>427</v>
      </c>
      <c r="J500">
        <v>-2.6545286400000001</v>
      </c>
      <c r="K500" t="s">
        <v>440</v>
      </c>
      <c r="L500" t="s">
        <v>452</v>
      </c>
      <c r="M500">
        <v>8.4248020759000004E-4</v>
      </c>
      <c r="N500">
        <v>2.2363878361996319E-3</v>
      </c>
      <c r="O500">
        <v>28410.399000000001</v>
      </c>
      <c r="P500">
        <v>2.51417E-6</v>
      </c>
      <c r="Q500">
        <v>0.14285700000000001</v>
      </c>
      <c r="R500" s="60">
        <v>3.1948365711597092E-4</v>
      </c>
      <c r="S500" t="s">
        <v>347</v>
      </c>
      <c r="T500" t="s">
        <v>437</v>
      </c>
      <c r="U500" t="s">
        <v>425</v>
      </c>
      <c r="V500" t="s">
        <v>28</v>
      </c>
      <c r="W500">
        <v>111.133</v>
      </c>
      <c r="X500">
        <v>1.0541007448257309</v>
      </c>
      <c r="Y500">
        <v>117.145378074718</v>
      </c>
      <c r="Z500">
        <v>640.82000000000005</v>
      </c>
      <c r="AA500">
        <v>1</v>
      </c>
      <c r="AB500">
        <v>75.069101177840764</v>
      </c>
      <c r="AC500">
        <v>1.0073000000000001</v>
      </c>
      <c r="AD500" s="62">
        <v>75.617000000000004</v>
      </c>
      <c r="AE500">
        <v>8.9176000000000002</v>
      </c>
      <c r="AF500">
        <v>9.4000488020579382</v>
      </c>
      <c r="AG500">
        <v>1</v>
      </c>
      <c r="AH500">
        <v>6023.7392733347688</v>
      </c>
      <c r="AI500">
        <v>0.99399488088206345</v>
      </c>
      <c r="AJ500" s="62">
        <v>5987.5659999999998</v>
      </c>
      <c r="AK500" s="60">
        <v>1.912929482903245</v>
      </c>
      <c r="AL500" t="s">
        <v>347</v>
      </c>
      <c r="AM500" t="s">
        <v>437</v>
      </c>
      <c r="AN500" t="s">
        <v>425</v>
      </c>
      <c r="AO500" t="s">
        <v>28</v>
      </c>
      <c r="AP500">
        <v>111.133</v>
      </c>
      <c r="AQ500">
        <v>1.0541007448257309</v>
      </c>
      <c r="AR500">
        <v>117.145378074718</v>
      </c>
      <c r="AS500">
        <v>640.82000000000005</v>
      </c>
      <c r="AT500">
        <v>1</v>
      </c>
      <c r="AU500">
        <v>75.069101177840764</v>
      </c>
      <c r="AV500">
        <v>1.0073000000000001</v>
      </c>
      <c r="AW500" s="62">
        <v>75.617000000000004</v>
      </c>
      <c r="AX500">
        <v>8.9176000000000002</v>
      </c>
      <c r="AY500">
        <v>1</v>
      </c>
      <c r="AZ500">
        <v>6023.7392733347688</v>
      </c>
      <c r="BA500">
        <v>0.99399488088206345</v>
      </c>
      <c r="BB500" s="62">
        <v>5987.5659999999998</v>
      </c>
      <c r="BC500" s="60">
        <v>1.912929482903245</v>
      </c>
    </row>
    <row r="501" spans="1:55" x14ac:dyDescent="0.25">
      <c r="A501">
        <v>130103</v>
      </c>
      <c r="B501" t="s">
        <v>150</v>
      </c>
      <c r="C501">
        <v>2019</v>
      </c>
      <c r="D501">
        <v>4</v>
      </c>
      <c r="E501" t="s">
        <v>51</v>
      </c>
      <c r="F501" t="s">
        <v>426</v>
      </c>
      <c r="G501" t="s">
        <v>84</v>
      </c>
      <c r="H501" t="s">
        <v>59</v>
      </c>
      <c r="I501" t="s">
        <v>427</v>
      </c>
      <c r="J501">
        <v>-6.3124784299999996</v>
      </c>
      <c r="K501" t="s">
        <v>440</v>
      </c>
      <c r="L501" t="s">
        <v>450</v>
      </c>
      <c r="M501">
        <v>0.15931709696460999</v>
      </c>
      <c r="N501">
        <v>1.0056857381582409</v>
      </c>
      <c r="O501">
        <v>28410.399000000001</v>
      </c>
      <c r="P501">
        <v>2.51417E-6</v>
      </c>
      <c r="Q501">
        <v>0.14285700000000001</v>
      </c>
      <c r="R501" s="60">
        <v>0.14366924749607179</v>
      </c>
      <c r="S501" t="s">
        <v>347</v>
      </c>
      <c r="T501" t="s">
        <v>437</v>
      </c>
      <c r="U501" t="s">
        <v>425</v>
      </c>
      <c r="V501" t="s">
        <v>26</v>
      </c>
      <c r="W501">
        <v>111.133</v>
      </c>
      <c r="X501">
        <v>1.0541007448257309</v>
      </c>
      <c r="Y501">
        <v>117.145378074718</v>
      </c>
      <c r="Z501">
        <v>640.82000000000005</v>
      </c>
      <c r="AA501">
        <v>1</v>
      </c>
      <c r="AB501">
        <v>75.069101177840764</v>
      </c>
      <c r="AC501">
        <v>0.99109999999999998</v>
      </c>
      <c r="AD501" s="62">
        <v>74.400999999999996</v>
      </c>
      <c r="AE501">
        <v>8.9176000000000002</v>
      </c>
      <c r="AF501">
        <v>9.4000488020579382</v>
      </c>
      <c r="AG501">
        <v>1</v>
      </c>
      <c r="AH501">
        <v>6023.7392733347688</v>
      </c>
      <c r="AI501">
        <v>0.9830373970836227</v>
      </c>
      <c r="AJ501" s="62">
        <v>5921.5609999999997</v>
      </c>
      <c r="AK501" s="60">
        <v>850.7462128720864</v>
      </c>
      <c r="AL501" t="s">
        <v>347</v>
      </c>
      <c r="AM501" t="s">
        <v>437</v>
      </c>
      <c r="AN501" t="s">
        <v>425</v>
      </c>
      <c r="AO501" t="s">
        <v>26</v>
      </c>
      <c r="AP501">
        <v>111.133</v>
      </c>
      <c r="AQ501">
        <v>1.0541007448257309</v>
      </c>
      <c r="AR501">
        <v>117.145378074718</v>
      </c>
      <c r="AS501">
        <v>640.82000000000005</v>
      </c>
      <c r="AT501">
        <v>1</v>
      </c>
      <c r="AU501">
        <v>75.069101177840764</v>
      </c>
      <c r="AV501">
        <v>0.99109999999999998</v>
      </c>
      <c r="AW501" s="62">
        <v>74.400999999999996</v>
      </c>
      <c r="AX501">
        <v>8.9176000000000002</v>
      </c>
      <c r="AY501">
        <v>1</v>
      </c>
      <c r="AZ501">
        <v>6023.7392733347688</v>
      </c>
      <c r="BA501">
        <v>0.9830373970836227</v>
      </c>
      <c r="BB501" s="62">
        <v>5921.5609999999997</v>
      </c>
      <c r="BC501" s="60">
        <v>850.7462128720864</v>
      </c>
    </row>
    <row r="502" spans="1:55" x14ac:dyDescent="0.25">
      <c r="A502">
        <v>130105</v>
      </c>
      <c r="B502" t="s">
        <v>150</v>
      </c>
      <c r="C502">
        <v>2019</v>
      </c>
      <c r="D502">
        <v>4</v>
      </c>
      <c r="E502" t="s">
        <v>51</v>
      </c>
      <c r="F502" t="s">
        <v>426</v>
      </c>
      <c r="G502" t="s">
        <v>84</v>
      </c>
      <c r="H502" t="s">
        <v>59</v>
      </c>
      <c r="I502" t="s">
        <v>427</v>
      </c>
      <c r="J502">
        <v>-6.3124784299999996</v>
      </c>
      <c r="K502" t="s">
        <v>440</v>
      </c>
      <c r="L502" t="s">
        <v>384</v>
      </c>
      <c r="M502">
        <v>4.1785183859599999E-2</v>
      </c>
      <c r="N502">
        <v>0.26376807181751738</v>
      </c>
      <c r="O502">
        <v>28410.399000000001</v>
      </c>
      <c r="P502">
        <v>2.51417E-6</v>
      </c>
      <c r="Q502">
        <v>0.14285700000000001</v>
      </c>
      <c r="R502" s="60">
        <v>3.7681115435635078E-2</v>
      </c>
      <c r="S502" t="s">
        <v>347</v>
      </c>
      <c r="T502" t="s">
        <v>437</v>
      </c>
      <c r="U502" t="s">
        <v>425</v>
      </c>
      <c r="V502" t="s">
        <v>81</v>
      </c>
      <c r="W502">
        <v>111.133</v>
      </c>
      <c r="X502">
        <v>1.0541007448257309</v>
      </c>
      <c r="Y502">
        <v>117.145378074718</v>
      </c>
      <c r="Z502">
        <v>640.82000000000005</v>
      </c>
      <c r="AA502">
        <v>1</v>
      </c>
      <c r="AB502">
        <v>75.069101177840764</v>
      </c>
      <c r="AC502">
        <v>0.93830000000000002</v>
      </c>
      <c r="AD502" s="62">
        <v>70.436999999999998</v>
      </c>
      <c r="AE502">
        <v>8.9176000000000002</v>
      </c>
      <c r="AF502">
        <v>9.4000488020579382</v>
      </c>
      <c r="AG502">
        <v>1</v>
      </c>
      <c r="AH502">
        <v>6023.7392733347688</v>
      </c>
      <c r="AI502">
        <v>1.098016605166052</v>
      </c>
      <c r="AJ502" s="62">
        <v>6614.1656999999996</v>
      </c>
      <c r="AK502" s="60">
        <v>249.2291412521181</v>
      </c>
      <c r="AL502" t="s">
        <v>347</v>
      </c>
      <c r="AM502" t="s">
        <v>437</v>
      </c>
      <c r="AN502" t="s">
        <v>425</v>
      </c>
      <c r="AO502" t="s">
        <v>81</v>
      </c>
      <c r="AP502">
        <v>111.133</v>
      </c>
      <c r="AQ502">
        <v>1.0541007448257309</v>
      </c>
      <c r="AR502">
        <v>117.145378074718</v>
      </c>
      <c r="AS502">
        <v>640.82000000000005</v>
      </c>
      <c r="AT502">
        <v>1</v>
      </c>
      <c r="AU502">
        <v>75.069101177840764</v>
      </c>
      <c r="AV502">
        <v>0.93830000000000002</v>
      </c>
      <c r="AW502" s="62">
        <v>70.436999999999998</v>
      </c>
      <c r="AX502">
        <v>8.9176000000000002</v>
      </c>
      <c r="AY502">
        <v>1</v>
      </c>
      <c r="AZ502">
        <v>6023.7392733347688</v>
      </c>
      <c r="BA502">
        <v>1.098016605166052</v>
      </c>
      <c r="BB502" s="62">
        <v>6614.1656999999996</v>
      </c>
      <c r="BC502" s="60">
        <v>249.2291412521181</v>
      </c>
    </row>
    <row r="503" spans="1:55" x14ac:dyDescent="0.25">
      <c r="A503">
        <v>130107</v>
      </c>
      <c r="B503" t="s">
        <v>150</v>
      </c>
      <c r="C503">
        <v>2019</v>
      </c>
      <c r="D503">
        <v>4</v>
      </c>
      <c r="E503" t="s">
        <v>51</v>
      </c>
      <c r="F503" t="s">
        <v>426</v>
      </c>
      <c r="G503" t="s">
        <v>84</v>
      </c>
      <c r="H503" t="s">
        <v>59</v>
      </c>
      <c r="I503" t="s">
        <v>427</v>
      </c>
      <c r="J503">
        <v>-6.3124784299999996</v>
      </c>
      <c r="K503" t="s">
        <v>440</v>
      </c>
      <c r="L503" t="s">
        <v>385</v>
      </c>
      <c r="M503">
        <v>0.43497567483749999</v>
      </c>
      <c r="N503">
        <v>2.7457745650926779</v>
      </c>
      <c r="O503">
        <v>28410.399000000001</v>
      </c>
      <c r="P503">
        <v>2.51417E-6</v>
      </c>
      <c r="Q503">
        <v>0.14285700000000001</v>
      </c>
      <c r="R503" s="60">
        <v>0.3922531170454448</v>
      </c>
      <c r="S503" t="s">
        <v>347</v>
      </c>
      <c r="T503" t="s">
        <v>437</v>
      </c>
      <c r="U503" t="s">
        <v>425</v>
      </c>
      <c r="V503" t="s">
        <v>27</v>
      </c>
      <c r="W503">
        <v>111.133</v>
      </c>
      <c r="X503">
        <v>1.0541007448257309</v>
      </c>
      <c r="Y503">
        <v>117.145378074718</v>
      </c>
      <c r="Z503">
        <v>640.82000000000005</v>
      </c>
      <c r="AA503">
        <v>1</v>
      </c>
      <c r="AB503">
        <v>75.069101177840764</v>
      </c>
      <c r="AC503">
        <v>0.95889999999999997</v>
      </c>
      <c r="AD503" s="62">
        <v>71.983999999999995</v>
      </c>
      <c r="AE503">
        <v>8.9176000000000002</v>
      </c>
      <c r="AF503">
        <v>9.4000488020579382</v>
      </c>
      <c r="AG503">
        <v>1</v>
      </c>
      <c r="AH503">
        <v>6023.7392733347688</v>
      </c>
      <c r="AI503">
        <v>0.99097621000820357</v>
      </c>
      <c r="AJ503" s="62">
        <v>5969.3823000000002</v>
      </c>
      <c r="AK503" s="60">
        <v>2341.508814010906</v>
      </c>
      <c r="AL503" t="s">
        <v>347</v>
      </c>
      <c r="AM503" t="s">
        <v>437</v>
      </c>
      <c r="AN503" t="s">
        <v>425</v>
      </c>
      <c r="AO503" t="s">
        <v>27</v>
      </c>
      <c r="AP503">
        <v>111.133</v>
      </c>
      <c r="AQ503">
        <v>1.0541007448257309</v>
      </c>
      <c r="AR503">
        <v>117.145378074718</v>
      </c>
      <c r="AS503">
        <v>640.82000000000005</v>
      </c>
      <c r="AT503">
        <v>1</v>
      </c>
      <c r="AU503">
        <v>75.069101177840764</v>
      </c>
      <c r="AV503">
        <v>0.95889999999999997</v>
      </c>
      <c r="AW503" s="62">
        <v>71.983999999999995</v>
      </c>
      <c r="AX503">
        <v>8.9176000000000002</v>
      </c>
      <c r="AY503">
        <v>1</v>
      </c>
      <c r="AZ503">
        <v>6023.7392733347688</v>
      </c>
      <c r="BA503">
        <v>0.99097621000820357</v>
      </c>
      <c r="BB503" s="62">
        <v>5969.3823000000002</v>
      </c>
      <c r="BC503" s="60">
        <v>2341.508814010906</v>
      </c>
    </row>
    <row r="504" spans="1:55" x14ac:dyDescent="0.25">
      <c r="A504">
        <v>130109</v>
      </c>
      <c r="B504" t="s">
        <v>150</v>
      </c>
      <c r="C504">
        <v>2019</v>
      </c>
      <c r="D504">
        <v>4</v>
      </c>
      <c r="E504" t="s">
        <v>51</v>
      </c>
      <c r="F504" t="s">
        <v>426</v>
      </c>
      <c r="G504" t="s">
        <v>84</v>
      </c>
      <c r="H504" t="s">
        <v>59</v>
      </c>
      <c r="I504" t="s">
        <v>427</v>
      </c>
      <c r="J504">
        <v>-6.3124784299999996</v>
      </c>
      <c r="K504" t="s">
        <v>440</v>
      </c>
      <c r="L504" t="s">
        <v>451</v>
      </c>
      <c r="M504">
        <v>1.7625750762999999E-3</v>
      </c>
      <c r="N504">
        <v>1.112621715082996E-2</v>
      </c>
      <c r="O504">
        <v>28410.399000000001</v>
      </c>
      <c r="P504">
        <v>2.51417E-6</v>
      </c>
      <c r="Q504">
        <v>0.14285700000000001</v>
      </c>
      <c r="R504" s="60">
        <v>1.5894580035161151E-3</v>
      </c>
      <c r="S504" t="s">
        <v>347</v>
      </c>
      <c r="T504" t="s">
        <v>437</v>
      </c>
      <c r="U504" t="s">
        <v>425</v>
      </c>
      <c r="V504" t="s">
        <v>91</v>
      </c>
      <c r="W504">
        <v>111.133</v>
      </c>
      <c r="X504">
        <v>1.0541007448257309</v>
      </c>
      <c r="Y504">
        <v>117.145378074718</v>
      </c>
      <c r="Z504">
        <v>640.82000000000005</v>
      </c>
      <c r="AA504">
        <v>1</v>
      </c>
      <c r="AB504">
        <v>75.069101177840764</v>
      </c>
      <c r="AC504">
        <v>1.0088999999999999</v>
      </c>
      <c r="AD504" s="62">
        <v>75.736999999999995</v>
      </c>
      <c r="AE504">
        <v>8.9176000000000002</v>
      </c>
      <c r="AF504">
        <v>9.4000488020579382</v>
      </c>
      <c r="AG504">
        <v>1</v>
      </c>
      <c r="AH504">
        <v>6023.7392733347688</v>
      </c>
      <c r="AI504">
        <v>0.99316673174541203</v>
      </c>
      <c r="AJ504" s="62">
        <v>5982.5774000000001</v>
      </c>
      <c r="AK504" s="60">
        <v>9.5090555300846304</v>
      </c>
      <c r="AL504" t="s">
        <v>347</v>
      </c>
      <c r="AM504" t="s">
        <v>437</v>
      </c>
      <c r="AN504" t="s">
        <v>425</v>
      </c>
      <c r="AO504" t="s">
        <v>91</v>
      </c>
      <c r="AP504">
        <v>111.133</v>
      </c>
      <c r="AQ504">
        <v>1.0541007448257309</v>
      </c>
      <c r="AR504">
        <v>117.145378074718</v>
      </c>
      <c r="AS504">
        <v>640.82000000000005</v>
      </c>
      <c r="AT504">
        <v>1</v>
      </c>
      <c r="AU504">
        <v>75.069101177840764</v>
      </c>
      <c r="AV504">
        <v>1.0088999999999999</v>
      </c>
      <c r="AW504" s="62">
        <v>75.736999999999995</v>
      </c>
      <c r="AX504">
        <v>8.9176000000000002</v>
      </c>
      <c r="AY504">
        <v>1</v>
      </c>
      <c r="AZ504">
        <v>6023.7392733347688</v>
      </c>
      <c r="BA504">
        <v>0.99316673174541203</v>
      </c>
      <c r="BB504" s="62">
        <v>5982.5774000000001</v>
      </c>
      <c r="BC504" s="60">
        <v>9.5090555300846304</v>
      </c>
    </row>
    <row r="505" spans="1:55" x14ac:dyDescent="0.25">
      <c r="A505">
        <v>130111</v>
      </c>
      <c r="B505" t="s">
        <v>150</v>
      </c>
      <c r="C505">
        <v>2019</v>
      </c>
      <c r="D505">
        <v>4</v>
      </c>
      <c r="E505" t="s">
        <v>51</v>
      </c>
      <c r="F505" t="s">
        <v>426</v>
      </c>
      <c r="G505" t="s">
        <v>84</v>
      </c>
      <c r="H505" t="s">
        <v>59</v>
      </c>
      <c r="I505" t="s">
        <v>427</v>
      </c>
      <c r="J505">
        <v>-6.3124784299999996</v>
      </c>
      <c r="K505" t="s">
        <v>440</v>
      </c>
      <c r="L505" t="s">
        <v>452</v>
      </c>
      <c r="M505">
        <v>1.4858046103299999E-3</v>
      </c>
      <c r="N505">
        <v>9.3791095542656664E-3</v>
      </c>
      <c r="O505">
        <v>28410.399000000001</v>
      </c>
      <c r="P505">
        <v>2.51417E-6</v>
      </c>
      <c r="Q505">
        <v>0.14285700000000001</v>
      </c>
      <c r="R505" s="60">
        <v>1.3398714535937299E-3</v>
      </c>
      <c r="S505" t="s">
        <v>347</v>
      </c>
      <c r="T505" t="s">
        <v>437</v>
      </c>
      <c r="U505" t="s">
        <v>425</v>
      </c>
      <c r="V505" t="s">
        <v>28</v>
      </c>
      <c r="W505">
        <v>111.133</v>
      </c>
      <c r="X505">
        <v>1.0541007448257309</v>
      </c>
      <c r="Y505">
        <v>117.145378074718</v>
      </c>
      <c r="Z505">
        <v>640.82000000000005</v>
      </c>
      <c r="AA505">
        <v>1</v>
      </c>
      <c r="AB505">
        <v>75.069101177840764</v>
      </c>
      <c r="AC505">
        <v>1.0073000000000001</v>
      </c>
      <c r="AD505" s="62">
        <v>75.617000000000004</v>
      </c>
      <c r="AE505">
        <v>8.9176000000000002</v>
      </c>
      <c r="AF505">
        <v>9.4000488020579382</v>
      </c>
      <c r="AG505">
        <v>1</v>
      </c>
      <c r="AH505">
        <v>6023.7392733347688</v>
      </c>
      <c r="AI505">
        <v>0.99399488088206345</v>
      </c>
      <c r="AJ505" s="62">
        <v>5987.5659999999998</v>
      </c>
      <c r="AK505" s="60">
        <v>8.0225687599083972</v>
      </c>
      <c r="AL505" t="s">
        <v>347</v>
      </c>
      <c r="AM505" t="s">
        <v>437</v>
      </c>
      <c r="AN505" t="s">
        <v>425</v>
      </c>
      <c r="AO505" t="s">
        <v>28</v>
      </c>
      <c r="AP505">
        <v>111.133</v>
      </c>
      <c r="AQ505">
        <v>1.0541007448257309</v>
      </c>
      <c r="AR505">
        <v>117.145378074718</v>
      </c>
      <c r="AS505">
        <v>640.82000000000005</v>
      </c>
      <c r="AT505">
        <v>1</v>
      </c>
      <c r="AU505">
        <v>75.069101177840764</v>
      </c>
      <c r="AV505">
        <v>1.0073000000000001</v>
      </c>
      <c r="AW505" s="62">
        <v>75.617000000000004</v>
      </c>
      <c r="AX505">
        <v>8.9176000000000002</v>
      </c>
      <c r="AY505">
        <v>1</v>
      </c>
      <c r="AZ505">
        <v>6023.7392733347688</v>
      </c>
      <c r="BA505">
        <v>0.99399488088206345</v>
      </c>
      <c r="BB505" s="62">
        <v>5987.5659999999998</v>
      </c>
      <c r="BC505" s="60">
        <v>8.0225687599083972</v>
      </c>
    </row>
    <row r="506" spans="1:55" x14ac:dyDescent="0.25">
      <c r="A506">
        <v>137267</v>
      </c>
      <c r="B506" t="s">
        <v>152</v>
      </c>
      <c r="C506">
        <v>2019</v>
      </c>
      <c r="D506">
        <v>5</v>
      </c>
      <c r="E506" t="s">
        <v>51</v>
      </c>
      <c r="F506" t="s">
        <v>426</v>
      </c>
      <c r="G506" t="s">
        <v>84</v>
      </c>
      <c r="H506" t="s">
        <v>381</v>
      </c>
      <c r="I506" t="s">
        <v>427</v>
      </c>
      <c r="J506">
        <v>-13.3024606</v>
      </c>
      <c r="K506" t="s">
        <v>440</v>
      </c>
      <c r="L506" t="s">
        <v>450</v>
      </c>
      <c r="M506">
        <v>0.15011157993331001</v>
      </c>
      <c r="N506">
        <v>1.9968533782590381</v>
      </c>
      <c r="O506">
        <v>28410.399000000001</v>
      </c>
      <c r="P506">
        <v>2.51417E-6</v>
      </c>
      <c r="Q506">
        <v>0.14285700000000001</v>
      </c>
      <c r="R506" s="60">
        <v>0.28526448305795138</v>
      </c>
      <c r="S506" t="s">
        <v>347</v>
      </c>
      <c r="T506" t="s">
        <v>437</v>
      </c>
      <c r="U506" t="s">
        <v>425</v>
      </c>
      <c r="V506" t="s">
        <v>26</v>
      </c>
      <c r="W506">
        <v>111.133</v>
      </c>
      <c r="X506">
        <v>1.0541007448257309</v>
      </c>
      <c r="Y506">
        <v>117.145378074718</v>
      </c>
      <c r="Z506">
        <v>640.82000000000005</v>
      </c>
      <c r="AA506">
        <v>1</v>
      </c>
      <c r="AB506">
        <v>75.069101177840764</v>
      </c>
      <c r="AC506">
        <v>0.99109999999999998</v>
      </c>
      <c r="AD506" s="62">
        <v>74.400999999999996</v>
      </c>
      <c r="AE506">
        <v>8.9176000000000002</v>
      </c>
      <c r="AF506">
        <v>9.4000488020579382</v>
      </c>
      <c r="AG506">
        <v>1</v>
      </c>
      <c r="AH506">
        <v>6023.7392733347688</v>
      </c>
      <c r="AI506">
        <v>0.9830373970836227</v>
      </c>
      <c r="AJ506" s="62">
        <v>5921.5609999999997</v>
      </c>
      <c r="AK506" s="60">
        <v>1689.211037561126</v>
      </c>
      <c r="AL506" t="s">
        <v>347</v>
      </c>
      <c r="AM506" t="s">
        <v>437</v>
      </c>
      <c r="AN506" t="s">
        <v>425</v>
      </c>
      <c r="AO506" t="s">
        <v>26</v>
      </c>
      <c r="AP506">
        <v>111.133</v>
      </c>
      <c r="AQ506">
        <v>1.0541007448257309</v>
      </c>
      <c r="AR506">
        <v>117.145378074718</v>
      </c>
      <c r="AS506">
        <v>640.82000000000005</v>
      </c>
      <c r="AT506">
        <v>1</v>
      </c>
      <c r="AU506">
        <v>75.069101177840764</v>
      </c>
      <c r="AV506">
        <v>0.99109999999999998</v>
      </c>
      <c r="AW506" s="62">
        <v>74.400999999999996</v>
      </c>
      <c r="AX506">
        <v>8.9176000000000002</v>
      </c>
      <c r="AY506">
        <v>1</v>
      </c>
      <c r="AZ506">
        <v>6023.7392733347688</v>
      </c>
      <c r="BA506">
        <v>0.9830373970836227</v>
      </c>
      <c r="BB506" s="62">
        <v>5921.5609999999997</v>
      </c>
      <c r="BC506" s="60">
        <v>1689.211037561126</v>
      </c>
    </row>
    <row r="507" spans="1:55" x14ac:dyDescent="0.25">
      <c r="A507">
        <v>137269</v>
      </c>
      <c r="B507" t="s">
        <v>152</v>
      </c>
      <c r="C507">
        <v>2019</v>
      </c>
      <c r="D507">
        <v>5</v>
      </c>
      <c r="E507" t="s">
        <v>51</v>
      </c>
      <c r="F507" t="s">
        <v>426</v>
      </c>
      <c r="G507" t="s">
        <v>84</v>
      </c>
      <c r="H507" t="s">
        <v>381</v>
      </c>
      <c r="I507" t="s">
        <v>427</v>
      </c>
      <c r="J507">
        <v>-13.3024606</v>
      </c>
      <c r="K507" t="s">
        <v>440</v>
      </c>
      <c r="L507" t="s">
        <v>384</v>
      </c>
      <c r="M507">
        <v>4.5811354346740003E-2</v>
      </c>
      <c r="N507">
        <v>0.60940373641094681</v>
      </c>
      <c r="O507">
        <v>28410.399000000001</v>
      </c>
      <c r="P507">
        <v>2.51417E-6</v>
      </c>
      <c r="Q507">
        <v>0.14285700000000001</v>
      </c>
      <c r="R507" s="60">
        <v>8.7057589572458641E-2</v>
      </c>
      <c r="S507" t="s">
        <v>347</v>
      </c>
      <c r="T507" t="s">
        <v>437</v>
      </c>
      <c r="U507" t="s">
        <v>425</v>
      </c>
      <c r="V507" t="s">
        <v>81</v>
      </c>
      <c r="W507">
        <v>111.133</v>
      </c>
      <c r="X507">
        <v>1.0541007448257309</v>
      </c>
      <c r="Y507">
        <v>117.145378074718</v>
      </c>
      <c r="Z507">
        <v>640.82000000000005</v>
      </c>
      <c r="AA507">
        <v>1</v>
      </c>
      <c r="AB507">
        <v>75.069101177840764</v>
      </c>
      <c r="AC507">
        <v>0.93830000000000002</v>
      </c>
      <c r="AD507" s="62">
        <v>70.436999999999998</v>
      </c>
      <c r="AE507">
        <v>8.9176000000000002</v>
      </c>
      <c r="AF507">
        <v>9.4000488020579382</v>
      </c>
      <c r="AG507">
        <v>1</v>
      </c>
      <c r="AH507">
        <v>6023.7392733347688</v>
      </c>
      <c r="AI507">
        <v>1.098016605166052</v>
      </c>
      <c r="AJ507" s="62">
        <v>6614.1656999999996</v>
      </c>
      <c r="AK507" s="60">
        <v>575.8133228748336</v>
      </c>
      <c r="AL507" t="s">
        <v>347</v>
      </c>
      <c r="AM507" t="s">
        <v>437</v>
      </c>
      <c r="AN507" t="s">
        <v>425</v>
      </c>
      <c r="AO507" t="s">
        <v>81</v>
      </c>
      <c r="AP507">
        <v>111.133</v>
      </c>
      <c r="AQ507">
        <v>1.0541007448257309</v>
      </c>
      <c r="AR507">
        <v>117.145378074718</v>
      </c>
      <c r="AS507">
        <v>640.82000000000005</v>
      </c>
      <c r="AT507">
        <v>1</v>
      </c>
      <c r="AU507">
        <v>75.069101177840764</v>
      </c>
      <c r="AV507">
        <v>0.93830000000000002</v>
      </c>
      <c r="AW507" s="62">
        <v>70.436999999999998</v>
      </c>
      <c r="AX507">
        <v>8.9176000000000002</v>
      </c>
      <c r="AY507">
        <v>1</v>
      </c>
      <c r="AZ507">
        <v>6023.7392733347688</v>
      </c>
      <c r="BA507">
        <v>1.098016605166052</v>
      </c>
      <c r="BB507" s="62">
        <v>6614.1656999999996</v>
      </c>
      <c r="BC507" s="60">
        <v>575.8133228748336</v>
      </c>
    </row>
    <row r="508" spans="1:55" x14ac:dyDescent="0.25">
      <c r="A508">
        <v>137271</v>
      </c>
      <c r="B508" t="s">
        <v>152</v>
      </c>
      <c r="C508">
        <v>2019</v>
      </c>
      <c r="D508">
        <v>5</v>
      </c>
      <c r="E508" t="s">
        <v>51</v>
      </c>
      <c r="F508" t="s">
        <v>426</v>
      </c>
      <c r="G508" t="s">
        <v>84</v>
      </c>
      <c r="H508" t="s">
        <v>381</v>
      </c>
      <c r="I508" t="s">
        <v>427</v>
      </c>
      <c r="J508">
        <v>-13.3024606</v>
      </c>
      <c r="K508" t="s">
        <v>440</v>
      </c>
      <c r="L508" t="s">
        <v>385</v>
      </c>
      <c r="M508">
        <v>0.43232641346992001</v>
      </c>
      <c r="N508">
        <v>5.7510050832291411</v>
      </c>
      <c r="O508">
        <v>28410.399000000001</v>
      </c>
      <c r="P508">
        <v>2.51417E-6</v>
      </c>
      <c r="Q508">
        <v>0.14285700000000001</v>
      </c>
      <c r="R508" s="60">
        <v>0.82157133317486553</v>
      </c>
      <c r="S508" t="s">
        <v>347</v>
      </c>
      <c r="T508" t="s">
        <v>437</v>
      </c>
      <c r="U508" t="s">
        <v>425</v>
      </c>
      <c r="V508" t="s">
        <v>27</v>
      </c>
      <c r="W508">
        <v>111.133</v>
      </c>
      <c r="X508">
        <v>1.0541007448257309</v>
      </c>
      <c r="Y508">
        <v>117.145378074718</v>
      </c>
      <c r="Z508">
        <v>640.82000000000005</v>
      </c>
      <c r="AA508">
        <v>1</v>
      </c>
      <c r="AB508">
        <v>75.069101177840764</v>
      </c>
      <c r="AC508">
        <v>0.95889999999999997</v>
      </c>
      <c r="AD508" s="62">
        <v>71.983999999999995</v>
      </c>
      <c r="AE508">
        <v>8.9176000000000002</v>
      </c>
      <c r="AF508">
        <v>9.4000488020579382</v>
      </c>
      <c r="AG508">
        <v>1</v>
      </c>
      <c r="AH508">
        <v>6023.7392733347688</v>
      </c>
      <c r="AI508">
        <v>0.99097621000820357</v>
      </c>
      <c r="AJ508" s="62">
        <v>5969.3823000000002</v>
      </c>
      <c r="AK508" s="60">
        <v>4904.2733744414454</v>
      </c>
      <c r="AL508" t="s">
        <v>347</v>
      </c>
      <c r="AM508" t="s">
        <v>437</v>
      </c>
      <c r="AN508" t="s">
        <v>425</v>
      </c>
      <c r="AO508" t="s">
        <v>27</v>
      </c>
      <c r="AP508">
        <v>111.133</v>
      </c>
      <c r="AQ508">
        <v>1.0541007448257309</v>
      </c>
      <c r="AR508">
        <v>117.145378074718</v>
      </c>
      <c r="AS508">
        <v>640.82000000000005</v>
      </c>
      <c r="AT508">
        <v>1</v>
      </c>
      <c r="AU508">
        <v>75.069101177840764</v>
      </c>
      <c r="AV508">
        <v>0.95889999999999997</v>
      </c>
      <c r="AW508" s="62">
        <v>71.983999999999995</v>
      </c>
      <c r="AX508">
        <v>8.9176000000000002</v>
      </c>
      <c r="AY508">
        <v>1</v>
      </c>
      <c r="AZ508">
        <v>6023.7392733347688</v>
      </c>
      <c r="BA508">
        <v>0.99097621000820357</v>
      </c>
      <c r="BB508" s="62">
        <v>5969.3823000000002</v>
      </c>
      <c r="BC508" s="60">
        <v>4904.2733744414454</v>
      </c>
    </row>
    <row r="509" spans="1:55" x14ac:dyDescent="0.25">
      <c r="A509">
        <v>137273</v>
      </c>
      <c r="B509" t="s">
        <v>152</v>
      </c>
      <c r="C509">
        <v>2019</v>
      </c>
      <c r="D509">
        <v>5</v>
      </c>
      <c r="E509" t="s">
        <v>51</v>
      </c>
      <c r="F509" t="s">
        <v>426</v>
      </c>
      <c r="G509" t="s">
        <v>84</v>
      </c>
      <c r="H509" t="s">
        <v>381</v>
      </c>
      <c r="I509" t="s">
        <v>427</v>
      </c>
      <c r="J509">
        <v>-13.3024606</v>
      </c>
      <c r="K509" t="s">
        <v>440</v>
      </c>
      <c r="L509" t="s">
        <v>451</v>
      </c>
      <c r="M509">
        <v>1.6825115802299999E-3</v>
      </c>
      <c r="N509">
        <v>2.2381544011693521E-2</v>
      </c>
      <c r="O509">
        <v>28410.399000000001</v>
      </c>
      <c r="P509">
        <v>2.51417E-6</v>
      </c>
      <c r="Q509">
        <v>0.14285700000000001</v>
      </c>
      <c r="R509" s="60">
        <v>3.197360232878501E-3</v>
      </c>
      <c r="S509" t="s">
        <v>347</v>
      </c>
      <c r="T509" t="s">
        <v>437</v>
      </c>
      <c r="U509" t="s">
        <v>425</v>
      </c>
      <c r="V509" t="s">
        <v>91</v>
      </c>
      <c r="W509">
        <v>111.133</v>
      </c>
      <c r="X509">
        <v>1.0541007448257309</v>
      </c>
      <c r="Y509">
        <v>117.145378074718</v>
      </c>
      <c r="Z509">
        <v>640.82000000000005</v>
      </c>
      <c r="AA509">
        <v>1</v>
      </c>
      <c r="AB509">
        <v>75.069101177840764</v>
      </c>
      <c r="AC509">
        <v>1.0088999999999999</v>
      </c>
      <c r="AD509" s="62">
        <v>75.736999999999995</v>
      </c>
      <c r="AE509">
        <v>8.9176000000000002</v>
      </c>
      <c r="AF509">
        <v>9.4000488020579382</v>
      </c>
      <c r="AG509">
        <v>1</v>
      </c>
      <c r="AH509">
        <v>6023.7392733347688</v>
      </c>
      <c r="AI509">
        <v>0.99316673174541203</v>
      </c>
      <c r="AJ509" s="62">
        <v>5982.5774000000001</v>
      </c>
      <c r="AK509" s="60">
        <v>19.12845506887766</v>
      </c>
      <c r="AL509" t="s">
        <v>347</v>
      </c>
      <c r="AM509" t="s">
        <v>437</v>
      </c>
      <c r="AN509" t="s">
        <v>425</v>
      </c>
      <c r="AO509" t="s">
        <v>91</v>
      </c>
      <c r="AP509">
        <v>111.133</v>
      </c>
      <c r="AQ509">
        <v>1.0541007448257309</v>
      </c>
      <c r="AR509">
        <v>117.145378074718</v>
      </c>
      <c r="AS509">
        <v>640.82000000000005</v>
      </c>
      <c r="AT509">
        <v>1</v>
      </c>
      <c r="AU509">
        <v>75.069101177840764</v>
      </c>
      <c r="AV509">
        <v>1.0088999999999999</v>
      </c>
      <c r="AW509" s="62">
        <v>75.736999999999995</v>
      </c>
      <c r="AX509">
        <v>8.9176000000000002</v>
      </c>
      <c r="AY509">
        <v>1</v>
      </c>
      <c r="AZ509">
        <v>6023.7392733347688</v>
      </c>
      <c r="BA509">
        <v>0.99316673174541203</v>
      </c>
      <c r="BB509" s="62">
        <v>5982.5774000000001</v>
      </c>
      <c r="BC509" s="60">
        <v>19.12845506887766</v>
      </c>
    </row>
    <row r="510" spans="1:55" x14ac:dyDescent="0.25">
      <c r="A510">
        <v>137275</v>
      </c>
      <c r="B510" t="s">
        <v>152</v>
      </c>
      <c r="C510">
        <v>2019</v>
      </c>
      <c r="D510">
        <v>5</v>
      </c>
      <c r="E510" t="s">
        <v>51</v>
      </c>
      <c r="F510" t="s">
        <v>426</v>
      </c>
      <c r="G510" t="s">
        <v>84</v>
      </c>
      <c r="H510" t="s">
        <v>381</v>
      </c>
      <c r="I510" t="s">
        <v>427</v>
      </c>
      <c r="J510">
        <v>-13.3024606</v>
      </c>
      <c r="K510" t="s">
        <v>440</v>
      </c>
      <c r="L510" t="s">
        <v>452</v>
      </c>
      <c r="M510">
        <v>1.53682162831E-3</v>
      </c>
      <c r="N510">
        <v>2.0443509165886841E-2</v>
      </c>
      <c r="O510">
        <v>28410.399000000001</v>
      </c>
      <c r="P510">
        <v>2.51417E-6</v>
      </c>
      <c r="Q510">
        <v>0.14285700000000001</v>
      </c>
      <c r="R510" s="60">
        <v>2.920498388911097E-3</v>
      </c>
      <c r="S510" t="s">
        <v>347</v>
      </c>
      <c r="T510" t="s">
        <v>437</v>
      </c>
      <c r="U510" t="s">
        <v>425</v>
      </c>
      <c r="V510" t="s">
        <v>28</v>
      </c>
      <c r="W510">
        <v>111.133</v>
      </c>
      <c r="X510">
        <v>1.0541007448257309</v>
      </c>
      <c r="Y510">
        <v>117.145378074718</v>
      </c>
      <c r="Z510">
        <v>640.82000000000005</v>
      </c>
      <c r="AA510">
        <v>1</v>
      </c>
      <c r="AB510">
        <v>75.069101177840764</v>
      </c>
      <c r="AC510">
        <v>1.0073000000000001</v>
      </c>
      <c r="AD510" s="62">
        <v>75.617000000000004</v>
      </c>
      <c r="AE510">
        <v>8.9176000000000002</v>
      </c>
      <c r="AF510">
        <v>9.4000488020579382</v>
      </c>
      <c r="AG510">
        <v>1</v>
      </c>
      <c r="AH510">
        <v>6023.7392733347688</v>
      </c>
      <c r="AI510">
        <v>0.99399488088206345</v>
      </c>
      <c r="AJ510" s="62">
        <v>5987.5659999999998</v>
      </c>
      <c r="AK510" s="60">
        <v>17.48667685649886</v>
      </c>
      <c r="AL510" t="s">
        <v>347</v>
      </c>
      <c r="AM510" t="s">
        <v>437</v>
      </c>
      <c r="AN510" t="s">
        <v>425</v>
      </c>
      <c r="AO510" t="s">
        <v>28</v>
      </c>
      <c r="AP510">
        <v>111.133</v>
      </c>
      <c r="AQ510">
        <v>1.0541007448257309</v>
      </c>
      <c r="AR510">
        <v>117.145378074718</v>
      </c>
      <c r="AS510">
        <v>640.82000000000005</v>
      </c>
      <c r="AT510">
        <v>1</v>
      </c>
      <c r="AU510">
        <v>75.069101177840764</v>
      </c>
      <c r="AV510">
        <v>1.0073000000000001</v>
      </c>
      <c r="AW510" s="62">
        <v>75.617000000000004</v>
      </c>
      <c r="AX510">
        <v>8.9176000000000002</v>
      </c>
      <c r="AY510">
        <v>1</v>
      </c>
      <c r="AZ510">
        <v>6023.7392733347688</v>
      </c>
      <c r="BA510">
        <v>0.99399488088206345</v>
      </c>
      <c r="BB510" s="62">
        <v>5987.5659999999998</v>
      </c>
      <c r="BC510" s="60">
        <v>17.48667685649886</v>
      </c>
    </row>
    <row r="511" spans="1:55" x14ac:dyDescent="0.25">
      <c r="A511">
        <v>137277</v>
      </c>
      <c r="B511" t="s">
        <v>152</v>
      </c>
      <c r="C511">
        <v>2019</v>
      </c>
      <c r="D511">
        <v>5</v>
      </c>
      <c r="E511" t="s">
        <v>51</v>
      </c>
      <c r="F511" t="s">
        <v>426</v>
      </c>
      <c r="G511" t="s">
        <v>84</v>
      </c>
      <c r="H511" t="s">
        <v>87</v>
      </c>
      <c r="I511" t="s">
        <v>427</v>
      </c>
      <c r="J511">
        <v>-2.6545286400000001</v>
      </c>
      <c r="K511" t="s">
        <v>440</v>
      </c>
      <c r="L511" t="s">
        <v>450</v>
      </c>
      <c r="M511">
        <v>0.26601384014995</v>
      </c>
      <c r="N511">
        <v>0.70614135621524243</v>
      </c>
      <c r="O511">
        <v>28410.399000000001</v>
      </c>
      <c r="P511">
        <v>2.51417E-6</v>
      </c>
      <c r="Q511">
        <v>0.14285700000000001</v>
      </c>
      <c r="R511" s="60">
        <v>0.10087723572484091</v>
      </c>
      <c r="S511" t="s">
        <v>347</v>
      </c>
      <c r="T511" t="s">
        <v>437</v>
      </c>
      <c r="U511" t="s">
        <v>425</v>
      </c>
      <c r="V511" t="s">
        <v>26</v>
      </c>
      <c r="W511">
        <v>111.133</v>
      </c>
      <c r="X511">
        <v>1.0541007448257309</v>
      </c>
      <c r="Y511">
        <v>117.145378074718</v>
      </c>
      <c r="Z511">
        <v>640.82000000000005</v>
      </c>
      <c r="AA511">
        <v>1</v>
      </c>
      <c r="AB511">
        <v>75.069101177840764</v>
      </c>
      <c r="AC511">
        <v>0.99109999999999998</v>
      </c>
      <c r="AD511" s="62">
        <v>74.400999999999996</v>
      </c>
      <c r="AE511">
        <v>8.9176000000000002</v>
      </c>
      <c r="AF511">
        <v>9.4000488020579382</v>
      </c>
      <c r="AG511">
        <v>1</v>
      </c>
      <c r="AH511">
        <v>6023.7392733347688</v>
      </c>
      <c r="AI511">
        <v>0.9830373970836227</v>
      </c>
      <c r="AJ511" s="62">
        <v>5921.5609999999997</v>
      </c>
      <c r="AK511" s="60">
        <v>597.35070485602455</v>
      </c>
      <c r="AL511" t="s">
        <v>347</v>
      </c>
      <c r="AM511" t="s">
        <v>437</v>
      </c>
      <c r="AN511" t="s">
        <v>425</v>
      </c>
      <c r="AO511" t="s">
        <v>26</v>
      </c>
      <c r="AP511">
        <v>111.133</v>
      </c>
      <c r="AQ511">
        <v>1.0541007448257309</v>
      </c>
      <c r="AR511">
        <v>117.145378074718</v>
      </c>
      <c r="AS511">
        <v>640.82000000000005</v>
      </c>
      <c r="AT511">
        <v>1</v>
      </c>
      <c r="AU511">
        <v>75.069101177840764</v>
      </c>
      <c r="AV511">
        <v>0.99109999999999998</v>
      </c>
      <c r="AW511" s="62">
        <v>74.400999999999996</v>
      </c>
      <c r="AX511">
        <v>8.9176000000000002</v>
      </c>
      <c r="AY511">
        <v>1</v>
      </c>
      <c r="AZ511">
        <v>6023.7392733347688</v>
      </c>
      <c r="BA511">
        <v>0.9830373970836227</v>
      </c>
      <c r="BB511" s="62">
        <v>5921.5609999999997</v>
      </c>
      <c r="BC511" s="60">
        <v>597.35070485602455</v>
      </c>
    </row>
    <row r="512" spans="1:55" x14ac:dyDescent="0.25">
      <c r="A512">
        <v>137279</v>
      </c>
      <c r="B512" t="s">
        <v>152</v>
      </c>
      <c r="C512">
        <v>2019</v>
      </c>
      <c r="D512">
        <v>5</v>
      </c>
      <c r="E512" t="s">
        <v>51</v>
      </c>
      <c r="F512" t="s">
        <v>426</v>
      </c>
      <c r="G512" t="s">
        <v>84</v>
      </c>
      <c r="H512" t="s">
        <v>87</v>
      </c>
      <c r="I512" t="s">
        <v>427</v>
      </c>
      <c r="J512">
        <v>-2.6545286400000001</v>
      </c>
      <c r="K512" t="s">
        <v>440</v>
      </c>
      <c r="L512" t="s">
        <v>384</v>
      </c>
      <c r="M512">
        <v>3.9509559941419997E-2</v>
      </c>
      <c r="N512">
        <v>0.1048792582550407</v>
      </c>
      <c r="O512">
        <v>28410.399000000001</v>
      </c>
      <c r="P512">
        <v>2.51417E-6</v>
      </c>
      <c r="Q512">
        <v>0.14285700000000001</v>
      </c>
      <c r="R512" s="60">
        <v>1.498273619654036E-2</v>
      </c>
      <c r="S512" t="s">
        <v>347</v>
      </c>
      <c r="T512" t="s">
        <v>437</v>
      </c>
      <c r="U512" t="s">
        <v>425</v>
      </c>
      <c r="V512" t="s">
        <v>81</v>
      </c>
      <c r="W512">
        <v>111.133</v>
      </c>
      <c r="X512">
        <v>1.0541007448257309</v>
      </c>
      <c r="Y512">
        <v>117.145378074718</v>
      </c>
      <c r="Z512">
        <v>640.82000000000005</v>
      </c>
      <c r="AA512">
        <v>1</v>
      </c>
      <c r="AB512">
        <v>75.069101177840764</v>
      </c>
      <c r="AC512">
        <v>0.93830000000000002</v>
      </c>
      <c r="AD512" s="62">
        <v>70.436999999999998</v>
      </c>
      <c r="AE512">
        <v>8.9176000000000002</v>
      </c>
      <c r="AF512">
        <v>9.4000488020579382</v>
      </c>
      <c r="AG512">
        <v>1</v>
      </c>
      <c r="AH512">
        <v>6023.7392733347688</v>
      </c>
      <c r="AI512">
        <v>1.098016605166052</v>
      </c>
      <c r="AJ512" s="62">
        <v>6614.1656999999996</v>
      </c>
      <c r="AK512" s="60">
        <v>99.098299843305682</v>
      </c>
      <c r="AL512" t="s">
        <v>347</v>
      </c>
      <c r="AM512" t="s">
        <v>437</v>
      </c>
      <c r="AN512" t="s">
        <v>425</v>
      </c>
      <c r="AO512" t="s">
        <v>81</v>
      </c>
      <c r="AP512">
        <v>111.133</v>
      </c>
      <c r="AQ512">
        <v>1.0541007448257309</v>
      </c>
      <c r="AR512">
        <v>117.145378074718</v>
      </c>
      <c r="AS512">
        <v>640.82000000000005</v>
      </c>
      <c r="AT512">
        <v>1</v>
      </c>
      <c r="AU512">
        <v>75.069101177840764</v>
      </c>
      <c r="AV512">
        <v>0.93830000000000002</v>
      </c>
      <c r="AW512" s="62">
        <v>70.436999999999998</v>
      </c>
      <c r="AX512">
        <v>8.9176000000000002</v>
      </c>
      <c r="AY512">
        <v>1</v>
      </c>
      <c r="AZ512">
        <v>6023.7392733347688</v>
      </c>
      <c r="BA512">
        <v>1.098016605166052</v>
      </c>
      <c r="BB512" s="62">
        <v>6614.1656999999996</v>
      </c>
      <c r="BC512" s="60">
        <v>99.098299843305682</v>
      </c>
    </row>
    <row r="513" spans="1:55" x14ac:dyDescent="0.25">
      <c r="A513">
        <v>137281</v>
      </c>
      <c r="B513" t="s">
        <v>152</v>
      </c>
      <c r="C513">
        <v>2019</v>
      </c>
      <c r="D513">
        <v>5</v>
      </c>
      <c r="E513" t="s">
        <v>51</v>
      </c>
      <c r="F513" t="s">
        <v>426</v>
      </c>
      <c r="G513" t="s">
        <v>84</v>
      </c>
      <c r="H513" t="s">
        <v>87</v>
      </c>
      <c r="I513" t="s">
        <v>427</v>
      </c>
      <c r="J513">
        <v>-2.6545286400000001</v>
      </c>
      <c r="K513" t="s">
        <v>440</v>
      </c>
      <c r="L513" t="s">
        <v>385</v>
      </c>
      <c r="M513">
        <v>0.39737542925016001</v>
      </c>
      <c r="N513">
        <v>1.05484445613487</v>
      </c>
      <c r="O513">
        <v>28410.399000000001</v>
      </c>
      <c r="P513">
        <v>2.51417E-6</v>
      </c>
      <c r="Q513">
        <v>0.14285700000000001</v>
      </c>
      <c r="R513" s="60">
        <v>0.15069191447005911</v>
      </c>
      <c r="S513" t="s">
        <v>347</v>
      </c>
      <c r="T513" t="s">
        <v>437</v>
      </c>
      <c r="U513" t="s">
        <v>425</v>
      </c>
      <c r="V513" t="s">
        <v>27</v>
      </c>
      <c r="W513">
        <v>111.133</v>
      </c>
      <c r="X513">
        <v>1.0541007448257309</v>
      </c>
      <c r="Y513">
        <v>117.145378074718</v>
      </c>
      <c r="Z513">
        <v>640.82000000000005</v>
      </c>
      <c r="AA513">
        <v>1</v>
      </c>
      <c r="AB513">
        <v>75.069101177840764</v>
      </c>
      <c r="AC513">
        <v>0.95889999999999997</v>
      </c>
      <c r="AD513" s="62">
        <v>71.983999999999995</v>
      </c>
      <c r="AE513">
        <v>8.9176000000000002</v>
      </c>
      <c r="AF513">
        <v>9.4000488020579382</v>
      </c>
      <c r="AG513">
        <v>1</v>
      </c>
      <c r="AH513">
        <v>6023.7392733347688</v>
      </c>
      <c r="AI513">
        <v>0.99097621000820357</v>
      </c>
      <c r="AJ513" s="62">
        <v>5969.3823000000002</v>
      </c>
      <c r="AK513" s="60">
        <v>899.53764699068449</v>
      </c>
      <c r="AL513" t="s">
        <v>347</v>
      </c>
      <c r="AM513" t="s">
        <v>437</v>
      </c>
      <c r="AN513" t="s">
        <v>425</v>
      </c>
      <c r="AO513" t="s">
        <v>27</v>
      </c>
      <c r="AP513">
        <v>111.133</v>
      </c>
      <c r="AQ513">
        <v>1.0541007448257309</v>
      </c>
      <c r="AR513">
        <v>117.145378074718</v>
      </c>
      <c r="AS513">
        <v>640.82000000000005</v>
      </c>
      <c r="AT513">
        <v>1</v>
      </c>
      <c r="AU513">
        <v>75.069101177840764</v>
      </c>
      <c r="AV513">
        <v>0.95889999999999997</v>
      </c>
      <c r="AW513" s="62">
        <v>71.983999999999995</v>
      </c>
      <c r="AX513">
        <v>8.9176000000000002</v>
      </c>
      <c r="AY513">
        <v>1</v>
      </c>
      <c r="AZ513">
        <v>6023.7392733347688</v>
      </c>
      <c r="BA513">
        <v>0.99097621000820357</v>
      </c>
      <c r="BB513" s="62">
        <v>5969.3823000000002</v>
      </c>
      <c r="BC513" s="60">
        <v>899.53764699068449</v>
      </c>
    </row>
    <row r="514" spans="1:55" x14ac:dyDescent="0.25">
      <c r="A514">
        <v>137283</v>
      </c>
      <c r="B514" t="s">
        <v>152</v>
      </c>
      <c r="C514">
        <v>2019</v>
      </c>
      <c r="D514">
        <v>5</v>
      </c>
      <c r="E514" t="s">
        <v>51</v>
      </c>
      <c r="F514" t="s">
        <v>426</v>
      </c>
      <c r="G514" t="s">
        <v>84</v>
      </c>
      <c r="H514" t="s">
        <v>87</v>
      </c>
      <c r="I514" t="s">
        <v>427</v>
      </c>
      <c r="J514">
        <v>-2.6545286400000001</v>
      </c>
      <c r="K514" t="s">
        <v>440</v>
      </c>
      <c r="L514" t="s">
        <v>452</v>
      </c>
      <c r="M514">
        <v>8.4248020759000004E-4</v>
      </c>
      <c r="N514">
        <v>2.2363878361996328E-3</v>
      </c>
      <c r="O514">
        <v>28410.399000000001</v>
      </c>
      <c r="P514">
        <v>2.51417E-6</v>
      </c>
      <c r="Q514">
        <v>0.14285700000000001</v>
      </c>
      <c r="R514" s="60">
        <v>3.1948365711597097E-4</v>
      </c>
      <c r="S514" t="s">
        <v>347</v>
      </c>
      <c r="T514" t="s">
        <v>437</v>
      </c>
      <c r="U514" t="s">
        <v>425</v>
      </c>
      <c r="V514" t="s">
        <v>28</v>
      </c>
      <c r="W514">
        <v>111.133</v>
      </c>
      <c r="X514">
        <v>1.0541007448257309</v>
      </c>
      <c r="Y514">
        <v>117.145378074718</v>
      </c>
      <c r="Z514">
        <v>640.82000000000005</v>
      </c>
      <c r="AA514">
        <v>1</v>
      </c>
      <c r="AB514">
        <v>75.069101177840764</v>
      </c>
      <c r="AC514">
        <v>1.0073000000000001</v>
      </c>
      <c r="AD514" s="62">
        <v>75.617000000000004</v>
      </c>
      <c r="AE514">
        <v>8.9176000000000002</v>
      </c>
      <c r="AF514">
        <v>9.4000488020579382</v>
      </c>
      <c r="AG514">
        <v>1</v>
      </c>
      <c r="AH514">
        <v>6023.7392733347688</v>
      </c>
      <c r="AI514">
        <v>0.99399488088206345</v>
      </c>
      <c r="AJ514" s="62">
        <v>5987.5659999999998</v>
      </c>
      <c r="AK514" s="60">
        <v>1.9129294829032459</v>
      </c>
      <c r="AL514" t="s">
        <v>347</v>
      </c>
      <c r="AM514" t="s">
        <v>437</v>
      </c>
      <c r="AN514" t="s">
        <v>425</v>
      </c>
      <c r="AO514" t="s">
        <v>28</v>
      </c>
      <c r="AP514">
        <v>111.133</v>
      </c>
      <c r="AQ514">
        <v>1.0541007448257309</v>
      </c>
      <c r="AR514">
        <v>117.145378074718</v>
      </c>
      <c r="AS514">
        <v>640.82000000000005</v>
      </c>
      <c r="AT514">
        <v>1</v>
      </c>
      <c r="AU514">
        <v>75.069101177840764</v>
      </c>
      <c r="AV514">
        <v>1.0073000000000001</v>
      </c>
      <c r="AW514" s="62">
        <v>75.617000000000004</v>
      </c>
      <c r="AX514">
        <v>8.9176000000000002</v>
      </c>
      <c r="AY514">
        <v>1</v>
      </c>
      <c r="AZ514">
        <v>6023.7392733347688</v>
      </c>
      <c r="BA514">
        <v>0.99399488088206345</v>
      </c>
      <c r="BB514" s="62">
        <v>5987.5659999999998</v>
      </c>
      <c r="BC514" s="60">
        <v>1.9129294829032459</v>
      </c>
    </row>
    <row r="515" spans="1:55" x14ac:dyDescent="0.25">
      <c r="A515">
        <v>137285</v>
      </c>
      <c r="B515" t="s">
        <v>152</v>
      </c>
      <c r="C515">
        <v>2019</v>
      </c>
      <c r="D515">
        <v>5</v>
      </c>
      <c r="E515" t="s">
        <v>51</v>
      </c>
      <c r="F515" t="s">
        <v>426</v>
      </c>
      <c r="G515" t="s">
        <v>84</v>
      </c>
      <c r="H515" t="s">
        <v>59</v>
      </c>
      <c r="I515" t="s">
        <v>427</v>
      </c>
      <c r="J515">
        <v>-6.3124784299999996</v>
      </c>
      <c r="K515" t="s">
        <v>440</v>
      </c>
      <c r="L515" t="s">
        <v>450</v>
      </c>
      <c r="M515">
        <v>0.15931709696460999</v>
      </c>
      <c r="N515">
        <v>1.0056857381582409</v>
      </c>
      <c r="O515">
        <v>28410.399000000001</v>
      </c>
      <c r="P515">
        <v>2.51417E-6</v>
      </c>
      <c r="Q515">
        <v>0.14285700000000001</v>
      </c>
      <c r="R515" s="60">
        <v>0.14366924749607179</v>
      </c>
      <c r="S515" t="s">
        <v>347</v>
      </c>
      <c r="T515" t="s">
        <v>437</v>
      </c>
      <c r="U515" t="s">
        <v>425</v>
      </c>
      <c r="V515" t="s">
        <v>26</v>
      </c>
      <c r="W515">
        <v>111.133</v>
      </c>
      <c r="X515">
        <v>1.0541007448257309</v>
      </c>
      <c r="Y515">
        <v>117.145378074718</v>
      </c>
      <c r="Z515">
        <v>640.82000000000005</v>
      </c>
      <c r="AA515">
        <v>1</v>
      </c>
      <c r="AB515">
        <v>75.069101177840764</v>
      </c>
      <c r="AC515">
        <v>0.99109999999999998</v>
      </c>
      <c r="AD515" s="62">
        <v>74.400999999999996</v>
      </c>
      <c r="AE515">
        <v>8.9176000000000002</v>
      </c>
      <c r="AF515">
        <v>9.4000488020579382</v>
      </c>
      <c r="AG515">
        <v>1</v>
      </c>
      <c r="AH515">
        <v>6023.7392733347688</v>
      </c>
      <c r="AI515">
        <v>0.9830373970836227</v>
      </c>
      <c r="AJ515" s="62">
        <v>5921.5609999999997</v>
      </c>
      <c r="AK515" s="60">
        <v>850.74621287208652</v>
      </c>
      <c r="AL515" t="s">
        <v>347</v>
      </c>
      <c r="AM515" t="s">
        <v>437</v>
      </c>
      <c r="AN515" t="s">
        <v>425</v>
      </c>
      <c r="AO515" t="s">
        <v>26</v>
      </c>
      <c r="AP515">
        <v>111.133</v>
      </c>
      <c r="AQ515">
        <v>1.0541007448257309</v>
      </c>
      <c r="AR515">
        <v>117.145378074718</v>
      </c>
      <c r="AS515">
        <v>640.82000000000005</v>
      </c>
      <c r="AT515">
        <v>1</v>
      </c>
      <c r="AU515">
        <v>75.069101177840764</v>
      </c>
      <c r="AV515">
        <v>0.99109999999999998</v>
      </c>
      <c r="AW515" s="62">
        <v>74.400999999999996</v>
      </c>
      <c r="AX515">
        <v>8.9176000000000002</v>
      </c>
      <c r="AY515">
        <v>1</v>
      </c>
      <c r="AZ515">
        <v>6023.7392733347688</v>
      </c>
      <c r="BA515">
        <v>0.9830373970836227</v>
      </c>
      <c r="BB515" s="62">
        <v>5921.5609999999997</v>
      </c>
      <c r="BC515" s="60">
        <v>850.74621287208652</v>
      </c>
    </row>
    <row r="516" spans="1:55" x14ac:dyDescent="0.25">
      <c r="A516">
        <v>137287</v>
      </c>
      <c r="B516" t="s">
        <v>152</v>
      </c>
      <c r="C516">
        <v>2019</v>
      </c>
      <c r="D516">
        <v>5</v>
      </c>
      <c r="E516" t="s">
        <v>51</v>
      </c>
      <c r="F516" t="s">
        <v>426</v>
      </c>
      <c r="G516" t="s">
        <v>84</v>
      </c>
      <c r="H516" t="s">
        <v>59</v>
      </c>
      <c r="I516" t="s">
        <v>427</v>
      </c>
      <c r="J516">
        <v>-6.3124784299999996</v>
      </c>
      <c r="K516" t="s">
        <v>440</v>
      </c>
      <c r="L516" t="s">
        <v>384</v>
      </c>
      <c r="M516">
        <v>4.1785183859599999E-2</v>
      </c>
      <c r="N516">
        <v>0.26376807181751738</v>
      </c>
      <c r="O516">
        <v>28410.399000000001</v>
      </c>
      <c r="P516">
        <v>2.51417E-6</v>
      </c>
      <c r="Q516">
        <v>0.14285700000000001</v>
      </c>
      <c r="R516" s="60">
        <v>3.7681115435635092E-2</v>
      </c>
      <c r="S516" t="s">
        <v>347</v>
      </c>
      <c r="T516" t="s">
        <v>437</v>
      </c>
      <c r="U516" t="s">
        <v>425</v>
      </c>
      <c r="V516" t="s">
        <v>81</v>
      </c>
      <c r="W516">
        <v>111.133</v>
      </c>
      <c r="X516">
        <v>1.0541007448257309</v>
      </c>
      <c r="Y516">
        <v>117.145378074718</v>
      </c>
      <c r="Z516">
        <v>640.82000000000005</v>
      </c>
      <c r="AA516">
        <v>1</v>
      </c>
      <c r="AB516">
        <v>75.069101177840764</v>
      </c>
      <c r="AC516">
        <v>0.93830000000000002</v>
      </c>
      <c r="AD516" s="62">
        <v>70.436999999999998</v>
      </c>
      <c r="AE516">
        <v>8.9176000000000002</v>
      </c>
      <c r="AF516">
        <v>9.4000488020579382</v>
      </c>
      <c r="AG516">
        <v>1</v>
      </c>
      <c r="AH516">
        <v>6023.7392733347688</v>
      </c>
      <c r="AI516">
        <v>1.098016605166052</v>
      </c>
      <c r="AJ516" s="62">
        <v>6614.1656999999996</v>
      </c>
      <c r="AK516" s="60">
        <v>249.22914125211821</v>
      </c>
      <c r="AL516" t="s">
        <v>347</v>
      </c>
      <c r="AM516" t="s">
        <v>437</v>
      </c>
      <c r="AN516" t="s">
        <v>425</v>
      </c>
      <c r="AO516" t="s">
        <v>81</v>
      </c>
      <c r="AP516">
        <v>111.133</v>
      </c>
      <c r="AQ516">
        <v>1.0541007448257309</v>
      </c>
      <c r="AR516">
        <v>117.145378074718</v>
      </c>
      <c r="AS516">
        <v>640.82000000000005</v>
      </c>
      <c r="AT516">
        <v>1</v>
      </c>
      <c r="AU516">
        <v>75.069101177840764</v>
      </c>
      <c r="AV516">
        <v>0.93830000000000002</v>
      </c>
      <c r="AW516" s="62">
        <v>70.436999999999998</v>
      </c>
      <c r="AX516">
        <v>8.9176000000000002</v>
      </c>
      <c r="AY516">
        <v>1</v>
      </c>
      <c r="AZ516">
        <v>6023.7392733347688</v>
      </c>
      <c r="BA516">
        <v>1.098016605166052</v>
      </c>
      <c r="BB516" s="62">
        <v>6614.1656999999996</v>
      </c>
      <c r="BC516" s="60">
        <v>249.22914125211821</v>
      </c>
    </row>
    <row r="517" spans="1:55" x14ac:dyDescent="0.25">
      <c r="A517">
        <v>137289</v>
      </c>
      <c r="B517" t="s">
        <v>152</v>
      </c>
      <c r="C517">
        <v>2019</v>
      </c>
      <c r="D517">
        <v>5</v>
      </c>
      <c r="E517" t="s">
        <v>51</v>
      </c>
      <c r="F517" t="s">
        <v>426</v>
      </c>
      <c r="G517" t="s">
        <v>84</v>
      </c>
      <c r="H517" t="s">
        <v>59</v>
      </c>
      <c r="I517" t="s">
        <v>427</v>
      </c>
      <c r="J517">
        <v>-6.3124784299999996</v>
      </c>
      <c r="K517" t="s">
        <v>440</v>
      </c>
      <c r="L517" t="s">
        <v>385</v>
      </c>
      <c r="M517">
        <v>0.43497567483749999</v>
      </c>
      <c r="N517">
        <v>2.7457745650926788</v>
      </c>
      <c r="O517">
        <v>28410.399000000001</v>
      </c>
      <c r="P517">
        <v>2.51417E-6</v>
      </c>
      <c r="Q517">
        <v>0.14285700000000001</v>
      </c>
      <c r="R517" s="60">
        <v>0.39225311704544491</v>
      </c>
      <c r="S517" t="s">
        <v>347</v>
      </c>
      <c r="T517" t="s">
        <v>437</v>
      </c>
      <c r="U517" t="s">
        <v>425</v>
      </c>
      <c r="V517" t="s">
        <v>27</v>
      </c>
      <c r="W517">
        <v>111.133</v>
      </c>
      <c r="X517">
        <v>1.0541007448257309</v>
      </c>
      <c r="Y517">
        <v>117.145378074718</v>
      </c>
      <c r="Z517">
        <v>640.82000000000005</v>
      </c>
      <c r="AA517">
        <v>1</v>
      </c>
      <c r="AB517">
        <v>75.069101177840764</v>
      </c>
      <c r="AC517">
        <v>0.95889999999999997</v>
      </c>
      <c r="AD517" s="62">
        <v>71.983999999999995</v>
      </c>
      <c r="AE517">
        <v>8.9176000000000002</v>
      </c>
      <c r="AF517">
        <v>9.4000488020579382</v>
      </c>
      <c r="AG517">
        <v>1</v>
      </c>
      <c r="AH517">
        <v>6023.7392733347688</v>
      </c>
      <c r="AI517">
        <v>0.99097621000820357</v>
      </c>
      <c r="AJ517" s="62">
        <v>5969.3823000000002</v>
      </c>
      <c r="AK517" s="60">
        <v>2341.5088140109069</v>
      </c>
      <c r="AL517" t="s">
        <v>347</v>
      </c>
      <c r="AM517" t="s">
        <v>437</v>
      </c>
      <c r="AN517" t="s">
        <v>425</v>
      </c>
      <c r="AO517" t="s">
        <v>27</v>
      </c>
      <c r="AP517">
        <v>111.133</v>
      </c>
      <c r="AQ517">
        <v>1.0541007448257309</v>
      </c>
      <c r="AR517">
        <v>117.145378074718</v>
      </c>
      <c r="AS517">
        <v>640.82000000000005</v>
      </c>
      <c r="AT517">
        <v>1</v>
      </c>
      <c r="AU517">
        <v>75.069101177840764</v>
      </c>
      <c r="AV517">
        <v>0.95889999999999997</v>
      </c>
      <c r="AW517" s="62">
        <v>71.983999999999995</v>
      </c>
      <c r="AX517">
        <v>8.9176000000000002</v>
      </c>
      <c r="AY517">
        <v>1</v>
      </c>
      <c r="AZ517">
        <v>6023.7392733347688</v>
      </c>
      <c r="BA517">
        <v>0.99097621000820357</v>
      </c>
      <c r="BB517" s="62">
        <v>5969.3823000000002</v>
      </c>
      <c r="BC517" s="60">
        <v>2341.5088140109069</v>
      </c>
    </row>
    <row r="518" spans="1:55" x14ac:dyDescent="0.25">
      <c r="A518">
        <v>137291</v>
      </c>
      <c r="B518" t="s">
        <v>152</v>
      </c>
      <c r="C518">
        <v>2019</v>
      </c>
      <c r="D518">
        <v>5</v>
      </c>
      <c r="E518" t="s">
        <v>51</v>
      </c>
      <c r="F518" t="s">
        <v>426</v>
      </c>
      <c r="G518" t="s">
        <v>84</v>
      </c>
      <c r="H518" t="s">
        <v>59</v>
      </c>
      <c r="I518" t="s">
        <v>427</v>
      </c>
      <c r="J518">
        <v>-6.3124784299999996</v>
      </c>
      <c r="K518" t="s">
        <v>440</v>
      </c>
      <c r="L518" t="s">
        <v>451</v>
      </c>
      <c r="M518">
        <v>1.7625750762999999E-3</v>
      </c>
      <c r="N518">
        <v>1.112621715082996E-2</v>
      </c>
      <c r="O518">
        <v>28410.399000000001</v>
      </c>
      <c r="P518">
        <v>2.51417E-6</v>
      </c>
      <c r="Q518">
        <v>0.14285700000000001</v>
      </c>
      <c r="R518" s="60">
        <v>1.5894580035161151E-3</v>
      </c>
      <c r="S518" t="s">
        <v>347</v>
      </c>
      <c r="T518" t="s">
        <v>437</v>
      </c>
      <c r="U518" t="s">
        <v>425</v>
      </c>
      <c r="V518" t="s">
        <v>91</v>
      </c>
      <c r="W518">
        <v>111.133</v>
      </c>
      <c r="X518">
        <v>1.0541007448257309</v>
      </c>
      <c r="Y518">
        <v>117.145378074718</v>
      </c>
      <c r="Z518">
        <v>640.82000000000005</v>
      </c>
      <c r="AA518">
        <v>1</v>
      </c>
      <c r="AB518">
        <v>75.069101177840764</v>
      </c>
      <c r="AC518">
        <v>1.0088999999999999</v>
      </c>
      <c r="AD518" s="62">
        <v>75.736999999999995</v>
      </c>
      <c r="AE518">
        <v>8.9176000000000002</v>
      </c>
      <c r="AF518">
        <v>9.4000488020579382</v>
      </c>
      <c r="AG518">
        <v>1</v>
      </c>
      <c r="AH518">
        <v>6023.7392733347688</v>
      </c>
      <c r="AI518">
        <v>0.99316673174541203</v>
      </c>
      <c r="AJ518" s="62">
        <v>5982.5774000000001</v>
      </c>
      <c r="AK518" s="60">
        <v>9.5090555300846322</v>
      </c>
      <c r="AL518" t="s">
        <v>347</v>
      </c>
      <c r="AM518" t="s">
        <v>437</v>
      </c>
      <c r="AN518" t="s">
        <v>425</v>
      </c>
      <c r="AO518" t="s">
        <v>91</v>
      </c>
      <c r="AP518">
        <v>111.133</v>
      </c>
      <c r="AQ518">
        <v>1.0541007448257309</v>
      </c>
      <c r="AR518">
        <v>117.145378074718</v>
      </c>
      <c r="AS518">
        <v>640.82000000000005</v>
      </c>
      <c r="AT518">
        <v>1</v>
      </c>
      <c r="AU518">
        <v>75.069101177840764</v>
      </c>
      <c r="AV518">
        <v>1.0088999999999999</v>
      </c>
      <c r="AW518" s="62">
        <v>75.736999999999995</v>
      </c>
      <c r="AX518">
        <v>8.9176000000000002</v>
      </c>
      <c r="AY518">
        <v>1</v>
      </c>
      <c r="AZ518">
        <v>6023.7392733347688</v>
      </c>
      <c r="BA518">
        <v>0.99316673174541203</v>
      </c>
      <c r="BB518" s="62">
        <v>5982.5774000000001</v>
      </c>
      <c r="BC518" s="60">
        <v>9.5090555300846322</v>
      </c>
    </row>
    <row r="519" spans="1:55" x14ac:dyDescent="0.25">
      <c r="A519">
        <v>137293</v>
      </c>
      <c r="B519" t="s">
        <v>152</v>
      </c>
      <c r="C519">
        <v>2019</v>
      </c>
      <c r="D519">
        <v>5</v>
      </c>
      <c r="E519" t="s">
        <v>51</v>
      </c>
      <c r="F519" t="s">
        <v>426</v>
      </c>
      <c r="G519" t="s">
        <v>84</v>
      </c>
      <c r="H519" t="s">
        <v>59</v>
      </c>
      <c r="I519" t="s">
        <v>427</v>
      </c>
      <c r="J519">
        <v>-6.3124784299999996</v>
      </c>
      <c r="K519" t="s">
        <v>440</v>
      </c>
      <c r="L519" t="s">
        <v>452</v>
      </c>
      <c r="M519">
        <v>1.4858046103299999E-3</v>
      </c>
      <c r="N519">
        <v>9.3791095542656681E-3</v>
      </c>
      <c r="O519">
        <v>28410.399000000001</v>
      </c>
      <c r="P519">
        <v>2.51417E-6</v>
      </c>
      <c r="Q519">
        <v>0.14285700000000001</v>
      </c>
      <c r="R519" s="60">
        <v>1.339871453593731E-3</v>
      </c>
      <c r="S519" t="s">
        <v>347</v>
      </c>
      <c r="T519" t="s">
        <v>437</v>
      </c>
      <c r="U519" t="s">
        <v>425</v>
      </c>
      <c r="V519" t="s">
        <v>28</v>
      </c>
      <c r="W519">
        <v>111.133</v>
      </c>
      <c r="X519">
        <v>1.0541007448257309</v>
      </c>
      <c r="Y519">
        <v>117.145378074718</v>
      </c>
      <c r="Z519">
        <v>640.82000000000005</v>
      </c>
      <c r="AA519">
        <v>1</v>
      </c>
      <c r="AB519">
        <v>75.069101177840764</v>
      </c>
      <c r="AC519">
        <v>1.0073000000000001</v>
      </c>
      <c r="AD519" s="62">
        <v>75.617000000000004</v>
      </c>
      <c r="AE519">
        <v>8.9176000000000002</v>
      </c>
      <c r="AF519">
        <v>9.4000488020579382</v>
      </c>
      <c r="AG519">
        <v>1</v>
      </c>
      <c r="AH519">
        <v>6023.7392733347688</v>
      </c>
      <c r="AI519">
        <v>0.99399488088206345</v>
      </c>
      <c r="AJ519" s="62">
        <v>5987.5659999999998</v>
      </c>
      <c r="AK519" s="60">
        <v>8.022568759908399</v>
      </c>
      <c r="AL519" t="s">
        <v>347</v>
      </c>
      <c r="AM519" t="s">
        <v>437</v>
      </c>
      <c r="AN519" t="s">
        <v>425</v>
      </c>
      <c r="AO519" t="s">
        <v>28</v>
      </c>
      <c r="AP519">
        <v>111.133</v>
      </c>
      <c r="AQ519">
        <v>1.0541007448257309</v>
      </c>
      <c r="AR519">
        <v>117.145378074718</v>
      </c>
      <c r="AS519">
        <v>640.82000000000005</v>
      </c>
      <c r="AT519">
        <v>1</v>
      </c>
      <c r="AU519">
        <v>75.069101177840764</v>
      </c>
      <c r="AV519">
        <v>1.0073000000000001</v>
      </c>
      <c r="AW519" s="62">
        <v>75.617000000000004</v>
      </c>
      <c r="AX519">
        <v>8.9176000000000002</v>
      </c>
      <c r="AY519">
        <v>1</v>
      </c>
      <c r="AZ519">
        <v>6023.7392733347688</v>
      </c>
      <c r="BA519">
        <v>0.99399488088206345</v>
      </c>
      <c r="BB519" s="62">
        <v>5987.5659999999998</v>
      </c>
      <c r="BC519" s="60">
        <v>8.022568759908399</v>
      </c>
    </row>
    <row r="520" spans="1:55" x14ac:dyDescent="0.25">
      <c r="A520">
        <v>144449</v>
      </c>
      <c r="B520" t="s">
        <v>153</v>
      </c>
      <c r="C520">
        <v>2019</v>
      </c>
      <c r="D520">
        <v>6</v>
      </c>
      <c r="E520" t="s">
        <v>51</v>
      </c>
      <c r="F520" t="s">
        <v>426</v>
      </c>
      <c r="G520" t="s">
        <v>84</v>
      </c>
      <c r="H520" t="s">
        <v>381</v>
      </c>
      <c r="I520" t="s">
        <v>427</v>
      </c>
      <c r="J520">
        <v>-13.3024606</v>
      </c>
      <c r="K520" t="s">
        <v>440</v>
      </c>
      <c r="L520" t="s">
        <v>450</v>
      </c>
      <c r="M520">
        <v>0.15011157993331001</v>
      </c>
      <c r="N520">
        <v>1.9968533782590381</v>
      </c>
      <c r="O520">
        <v>28410.399000000001</v>
      </c>
      <c r="P520">
        <v>2.51417E-6</v>
      </c>
      <c r="Q520">
        <v>0.14285700000000001</v>
      </c>
      <c r="R520" s="60">
        <v>0.28526448305795138</v>
      </c>
      <c r="S520" t="s">
        <v>347</v>
      </c>
      <c r="T520" t="s">
        <v>437</v>
      </c>
      <c r="U520" t="s">
        <v>425</v>
      </c>
      <c r="V520" t="s">
        <v>26</v>
      </c>
      <c r="W520">
        <v>111.133</v>
      </c>
      <c r="X520">
        <v>1.0541007448257309</v>
      </c>
      <c r="Y520">
        <v>117.145378074718</v>
      </c>
      <c r="Z520">
        <v>640.82000000000005</v>
      </c>
      <c r="AA520">
        <v>1</v>
      </c>
      <c r="AB520">
        <v>75.069101177840764</v>
      </c>
      <c r="AC520">
        <v>0.99109999999999998</v>
      </c>
      <c r="AD520" s="62">
        <v>74.400999999999996</v>
      </c>
      <c r="AE520">
        <v>8.9176000000000002</v>
      </c>
      <c r="AF520">
        <v>9.4000488020579382</v>
      </c>
      <c r="AG520">
        <v>1</v>
      </c>
      <c r="AH520">
        <v>6023.7392733347688</v>
      </c>
      <c r="AI520">
        <v>0.9830373970836227</v>
      </c>
      <c r="AJ520" s="62">
        <v>5921.5609999999997</v>
      </c>
      <c r="AK520" s="60">
        <v>1689.211037561126</v>
      </c>
      <c r="AL520" t="s">
        <v>347</v>
      </c>
      <c r="AM520" t="s">
        <v>437</v>
      </c>
      <c r="AN520" t="s">
        <v>425</v>
      </c>
      <c r="AO520" t="s">
        <v>26</v>
      </c>
      <c r="AP520">
        <v>111.133</v>
      </c>
      <c r="AQ520">
        <v>1.0541007448257309</v>
      </c>
      <c r="AR520">
        <v>117.145378074718</v>
      </c>
      <c r="AS520">
        <v>640.82000000000005</v>
      </c>
      <c r="AT520">
        <v>1</v>
      </c>
      <c r="AU520">
        <v>75.069101177840764</v>
      </c>
      <c r="AV520">
        <v>0.99109999999999998</v>
      </c>
      <c r="AW520" s="62">
        <v>74.400999999999996</v>
      </c>
      <c r="AX520">
        <v>8.9176000000000002</v>
      </c>
      <c r="AY520">
        <v>1</v>
      </c>
      <c r="AZ520">
        <v>6023.7392733347688</v>
      </c>
      <c r="BA520">
        <v>0.9830373970836227</v>
      </c>
      <c r="BB520" s="62">
        <v>5921.5609999999997</v>
      </c>
      <c r="BC520" s="60">
        <v>1689.211037561126</v>
      </c>
    </row>
    <row r="521" spans="1:55" x14ac:dyDescent="0.25">
      <c r="A521">
        <v>144451</v>
      </c>
      <c r="B521" t="s">
        <v>153</v>
      </c>
      <c r="C521">
        <v>2019</v>
      </c>
      <c r="D521">
        <v>6</v>
      </c>
      <c r="E521" t="s">
        <v>51</v>
      </c>
      <c r="F521" t="s">
        <v>426</v>
      </c>
      <c r="G521" t="s">
        <v>84</v>
      </c>
      <c r="H521" t="s">
        <v>381</v>
      </c>
      <c r="I521" t="s">
        <v>427</v>
      </c>
      <c r="J521">
        <v>-13.3024606</v>
      </c>
      <c r="K521" t="s">
        <v>440</v>
      </c>
      <c r="L521" t="s">
        <v>384</v>
      </c>
      <c r="M521">
        <v>4.5811354346740003E-2</v>
      </c>
      <c r="N521">
        <v>0.60940373641094681</v>
      </c>
      <c r="O521">
        <v>28410.399000000001</v>
      </c>
      <c r="P521">
        <v>2.51417E-6</v>
      </c>
      <c r="Q521">
        <v>0.14285700000000001</v>
      </c>
      <c r="R521" s="60">
        <v>8.7057589572458641E-2</v>
      </c>
      <c r="S521" t="s">
        <v>347</v>
      </c>
      <c r="T521" t="s">
        <v>437</v>
      </c>
      <c r="U521" t="s">
        <v>425</v>
      </c>
      <c r="V521" t="s">
        <v>81</v>
      </c>
      <c r="W521">
        <v>111.133</v>
      </c>
      <c r="X521">
        <v>1.0541007448257309</v>
      </c>
      <c r="Y521">
        <v>117.145378074718</v>
      </c>
      <c r="Z521">
        <v>640.82000000000005</v>
      </c>
      <c r="AA521">
        <v>1</v>
      </c>
      <c r="AB521">
        <v>75.069101177840764</v>
      </c>
      <c r="AC521">
        <v>0.93830000000000002</v>
      </c>
      <c r="AD521" s="62">
        <v>70.436999999999998</v>
      </c>
      <c r="AE521">
        <v>8.9176000000000002</v>
      </c>
      <c r="AF521">
        <v>9.4000488020579382</v>
      </c>
      <c r="AG521">
        <v>1</v>
      </c>
      <c r="AH521">
        <v>6023.7392733347688</v>
      </c>
      <c r="AI521">
        <v>1.098016605166052</v>
      </c>
      <c r="AJ521" s="62">
        <v>6614.1656999999996</v>
      </c>
      <c r="AK521" s="60">
        <v>575.8133228748336</v>
      </c>
      <c r="AL521" t="s">
        <v>347</v>
      </c>
      <c r="AM521" t="s">
        <v>437</v>
      </c>
      <c r="AN521" t="s">
        <v>425</v>
      </c>
      <c r="AO521" t="s">
        <v>81</v>
      </c>
      <c r="AP521">
        <v>111.133</v>
      </c>
      <c r="AQ521">
        <v>1.0541007448257309</v>
      </c>
      <c r="AR521">
        <v>117.145378074718</v>
      </c>
      <c r="AS521">
        <v>640.82000000000005</v>
      </c>
      <c r="AT521">
        <v>1</v>
      </c>
      <c r="AU521">
        <v>75.069101177840764</v>
      </c>
      <c r="AV521">
        <v>0.93830000000000002</v>
      </c>
      <c r="AW521" s="62">
        <v>70.436999999999998</v>
      </c>
      <c r="AX521">
        <v>8.9176000000000002</v>
      </c>
      <c r="AY521">
        <v>1</v>
      </c>
      <c r="AZ521">
        <v>6023.7392733347688</v>
      </c>
      <c r="BA521">
        <v>1.098016605166052</v>
      </c>
      <c r="BB521" s="62">
        <v>6614.1656999999996</v>
      </c>
      <c r="BC521" s="60">
        <v>575.8133228748336</v>
      </c>
    </row>
    <row r="522" spans="1:55" x14ac:dyDescent="0.25">
      <c r="A522">
        <v>144453</v>
      </c>
      <c r="B522" t="s">
        <v>153</v>
      </c>
      <c r="C522">
        <v>2019</v>
      </c>
      <c r="D522">
        <v>6</v>
      </c>
      <c r="E522" t="s">
        <v>51</v>
      </c>
      <c r="F522" t="s">
        <v>426</v>
      </c>
      <c r="G522" t="s">
        <v>84</v>
      </c>
      <c r="H522" t="s">
        <v>381</v>
      </c>
      <c r="I522" t="s">
        <v>427</v>
      </c>
      <c r="J522">
        <v>-13.3024606</v>
      </c>
      <c r="K522" t="s">
        <v>440</v>
      </c>
      <c r="L522" t="s">
        <v>385</v>
      </c>
      <c r="M522">
        <v>0.43232641346992001</v>
      </c>
      <c r="N522">
        <v>5.7510050832291411</v>
      </c>
      <c r="O522">
        <v>28410.399000000001</v>
      </c>
      <c r="P522">
        <v>2.51417E-6</v>
      </c>
      <c r="Q522">
        <v>0.14285700000000001</v>
      </c>
      <c r="R522" s="60">
        <v>0.82157133317486553</v>
      </c>
      <c r="S522" t="s">
        <v>347</v>
      </c>
      <c r="T522" t="s">
        <v>437</v>
      </c>
      <c r="U522" t="s">
        <v>425</v>
      </c>
      <c r="V522" t="s">
        <v>27</v>
      </c>
      <c r="W522">
        <v>111.133</v>
      </c>
      <c r="X522">
        <v>1.0541007448257309</v>
      </c>
      <c r="Y522">
        <v>117.145378074718</v>
      </c>
      <c r="Z522">
        <v>640.82000000000005</v>
      </c>
      <c r="AA522">
        <v>1</v>
      </c>
      <c r="AB522">
        <v>75.069101177840764</v>
      </c>
      <c r="AC522">
        <v>0.95889999999999997</v>
      </c>
      <c r="AD522" s="62">
        <v>71.983999999999995</v>
      </c>
      <c r="AE522">
        <v>8.9176000000000002</v>
      </c>
      <c r="AF522">
        <v>9.4000488020579382</v>
      </c>
      <c r="AG522">
        <v>1</v>
      </c>
      <c r="AH522">
        <v>6023.7392733347688</v>
      </c>
      <c r="AI522">
        <v>0.99097621000820357</v>
      </c>
      <c r="AJ522" s="62">
        <v>5969.3823000000002</v>
      </c>
      <c r="AK522" s="60">
        <v>4904.2733744414454</v>
      </c>
      <c r="AL522" t="s">
        <v>347</v>
      </c>
      <c r="AM522" t="s">
        <v>437</v>
      </c>
      <c r="AN522" t="s">
        <v>425</v>
      </c>
      <c r="AO522" t="s">
        <v>27</v>
      </c>
      <c r="AP522">
        <v>111.133</v>
      </c>
      <c r="AQ522">
        <v>1.0541007448257309</v>
      </c>
      <c r="AR522">
        <v>117.145378074718</v>
      </c>
      <c r="AS522">
        <v>640.82000000000005</v>
      </c>
      <c r="AT522">
        <v>1</v>
      </c>
      <c r="AU522">
        <v>75.069101177840764</v>
      </c>
      <c r="AV522">
        <v>0.95889999999999997</v>
      </c>
      <c r="AW522" s="62">
        <v>71.983999999999995</v>
      </c>
      <c r="AX522">
        <v>8.9176000000000002</v>
      </c>
      <c r="AY522">
        <v>1</v>
      </c>
      <c r="AZ522">
        <v>6023.7392733347688</v>
      </c>
      <c r="BA522">
        <v>0.99097621000820357</v>
      </c>
      <c r="BB522" s="62">
        <v>5969.3823000000002</v>
      </c>
      <c r="BC522" s="60">
        <v>4904.2733744414454</v>
      </c>
    </row>
    <row r="523" spans="1:55" x14ac:dyDescent="0.25">
      <c r="A523">
        <v>144455</v>
      </c>
      <c r="B523" t="s">
        <v>153</v>
      </c>
      <c r="C523">
        <v>2019</v>
      </c>
      <c r="D523">
        <v>6</v>
      </c>
      <c r="E523" t="s">
        <v>51</v>
      </c>
      <c r="F523" t="s">
        <v>426</v>
      </c>
      <c r="G523" t="s">
        <v>84</v>
      </c>
      <c r="H523" t="s">
        <v>381</v>
      </c>
      <c r="I523" t="s">
        <v>427</v>
      </c>
      <c r="J523">
        <v>-13.3024606</v>
      </c>
      <c r="K523" t="s">
        <v>440</v>
      </c>
      <c r="L523" t="s">
        <v>451</v>
      </c>
      <c r="M523">
        <v>1.6825115802299999E-3</v>
      </c>
      <c r="N523">
        <v>2.2381544011693521E-2</v>
      </c>
      <c r="O523">
        <v>28410.399000000001</v>
      </c>
      <c r="P523">
        <v>2.51417E-6</v>
      </c>
      <c r="Q523">
        <v>0.14285700000000001</v>
      </c>
      <c r="R523" s="60">
        <v>3.197360232878501E-3</v>
      </c>
      <c r="S523" t="s">
        <v>347</v>
      </c>
      <c r="T523" t="s">
        <v>437</v>
      </c>
      <c r="U523" t="s">
        <v>425</v>
      </c>
      <c r="V523" t="s">
        <v>91</v>
      </c>
      <c r="W523">
        <v>111.133</v>
      </c>
      <c r="X523">
        <v>1.0541007448257309</v>
      </c>
      <c r="Y523">
        <v>117.145378074718</v>
      </c>
      <c r="Z523">
        <v>640.82000000000005</v>
      </c>
      <c r="AA523">
        <v>1</v>
      </c>
      <c r="AB523">
        <v>75.069101177840764</v>
      </c>
      <c r="AC523">
        <v>1.0088999999999999</v>
      </c>
      <c r="AD523" s="62">
        <v>75.736999999999995</v>
      </c>
      <c r="AE523">
        <v>8.9176000000000002</v>
      </c>
      <c r="AF523">
        <v>9.4000488020579382</v>
      </c>
      <c r="AG523">
        <v>1</v>
      </c>
      <c r="AH523">
        <v>6023.7392733347688</v>
      </c>
      <c r="AI523">
        <v>0.99316673174541203</v>
      </c>
      <c r="AJ523" s="62">
        <v>5982.5774000000001</v>
      </c>
      <c r="AK523" s="60">
        <v>19.12845506887766</v>
      </c>
      <c r="AL523" t="s">
        <v>347</v>
      </c>
      <c r="AM523" t="s">
        <v>437</v>
      </c>
      <c r="AN523" t="s">
        <v>425</v>
      </c>
      <c r="AO523" t="s">
        <v>91</v>
      </c>
      <c r="AP523">
        <v>111.133</v>
      </c>
      <c r="AQ523">
        <v>1.0541007448257309</v>
      </c>
      <c r="AR523">
        <v>117.145378074718</v>
      </c>
      <c r="AS523">
        <v>640.82000000000005</v>
      </c>
      <c r="AT523">
        <v>1</v>
      </c>
      <c r="AU523">
        <v>75.069101177840764</v>
      </c>
      <c r="AV523">
        <v>1.0088999999999999</v>
      </c>
      <c r="AW523" s="62">
        <v>75.736999999999995</v>
      </c>
      <c r="AX523">
        <v>8.9176000000000002</v>
      </c>
      <c r="AY523">
        <v>1</v>
      </c>
      <c r="AZ523">
        <v>6023.7392733347688</v>
      </c>
      <c r="BA523">
        <v>0.99316673174541203</v>
      </c>
      <c r="BB523" s="62">
        <v>5982.5774000000001</v>
      </c>
      <c r="BC523" s="60">
        <v>19.12845506887766</v>
      </c>
    </row>
    <row r="524" spans="1:55" x14ac:dyDescent="0.25">
      <c r="A524">
        <v>144457</v>
      </c>
      <c r="B524" t="s">
        <v>153</v>
      </c>
      <c r="C524">
        <v>2019</v>
      </c>
      <c r="D524">
        <v>6</v>
      </c>
      <c r="E524" t="s">
        <v>51</v>
      </c>
      <c r="F524" t="s">
        <v>426</v>
      </c>
      <c r="G524" t="s">
        <v>84</v>
      </c>
      <c r="H524" t="s">
        <v>381</v>
      </c>
      <c r="I524" t="s">
        <v>427</v>
      </c>
      <c r="J524">
        <v>-13.3024606</v>
      </c>
      <c r="K524" t="s">
        <v>440</v>
      </c>
      <c r="L524" t="s">
        <v>452</v>
      </c>
      <c r="M524">
        <v>1.53682162831E-3</v>
      </c>
      <c r="N524">
        <v>2.0443509165886841E-2</v>
      </c>
      <c r="O524">
        <v>28410.399000000001</v>
      </c>
      <c r="P524">
        <v>2.51417E-6</v>
      </c>
      <c r="Q524">
        <v>0.14285700000000001</v>
      </c>
      <c r="R524" s="60">
        <v>2.920498388911097E-3</v>
      </c>
      <c r="S524" t="s">
        <v>347</v>
      </c>
      <c r="T524" t="s">
        <v>437</v>
      </c>
      <c r="U524" t="s">
        <v>425</v>
      </c>
      <c r="V524" t="s">
        <v>28</v>
      </c>
      <c r="W524">
        <v>111.133</v>
      </c>
      <c r="X524">
        <v>1.0541007448257309</v>
      </c>
      <c r="Y524">
        <v>117.145378074718</v>
      </c>
      <c r="Z524">
        <v>640.82000000000005</v>
      </c>
      <c r="AA524">
        <v>1</v>
      </c>
      <c r="AB524">
        <v>75.069101177840764</v>
      </c>
      <c r="AC524">
        <v>1.0073000000000001</v>
      </c>
      <c r="AD524" s="62">
        <v>75.617000000000004</v>
      </c>
      <c r="AE524">
        <v>8.9176000000000002</v>
      </c>
      <c r="AF524">
        <v>9.4000488020579382</v>
      </c>
      <c r="AG524">
        <v>1</v>
      </c>
      <c r="AH524">
        <v>6023.7392733347688</v>
      </c>
      <c r="AI524">
        <v>0.99399488088206345</v>
      </c>
      <c r="AJ524" s="62">
        <v>5987.5659999999998</v>
      </c>
      <c r="AK524" s="60">
        <v>17.48667685649886</v>
      </c>
      <c r="AL524" t="s">
        <v>347</v>
      </c>
      <c r="AM524" t="s">
        <v>437</v>
      </c>
      <c r="AN524" t="s">
        <v>425</v>
      </c>
      <c r="AO524" t="s">
        <v>28</v>
      </c>
      <c r="AP524">
        <v>111.133</v>
      </c>
      <c r="AQ524">
        <v>1.0541007448257309</v>
      </c>
      <c r="AR524">
        <v>117.145378074718</v>
      </c>
      <c r="AS524">
        <v>640.82000000000005</v>
      </c>
      <c r="AT524">
        <v>1</v>
      </c>
      <c r="AU524">
        <v>75.069101177840764</v>
      </c>
      <c r="AV524">
        <v>1.0073000000000001</v>
      </c>
      <c r="AW524" s="62">
        <v>75.617000000000004</v>
      </c>
      <c r="AX524">
        <v>8.9176000000000002</v>
      </c>
      <c r="AY524">
        <v>1</v>
      </c>
      <c r="AZ524">
        <v>6023.7392733347688</v>
      </c>
      <c r="BA524">
        <v>0.99399488088206345</v>
      </c>
      <c r="BB524" s="62">
        <v>5987.5659999999998</v>
      </c>
      <c r="BC524" s="60">
        <v>17.48667685649886</v>
      </c>
    </row>
    <row r="525" spans="1:55" x14ac:dyDescent="0.25">
      <c r="A525">
        <v>144459</v>
      </c>
      <c r="B525" t="s">
        <v>153</v>
      </c>
      <c r="C525">
        <v>2019</v>
      </c>
      <c r="D525">
        <v>6</v>
      </c>
      <c r="E525" t="s">
        <v>51</v>
      </c>
      <c r="F525" t="s">
        <v>426</v>
      </c>
      <c r="G525" t="s">
        <v>84</v>
      </c>
      <c r="H525" t="s">
        <v>87</v>
      </c>
      <c r="I525" t="s">
        <v>427</v>
      </c>
      <c r="J525">
        <v>-2.6545286400000001</v>
      </c>
      <c r="K525" t="s">
        <v>440</v>
      </c>
      <c r="L525" t="s">
        <v>450</v>
      </c>
      <c r="M525">
        <v>0.26601384014995</v>
      </c>
      <c r="N525">
        <v>0.70614135621524243</v>
      </c>
      <c r="O525">
        <v>28410.399000000001</v>
      </c>
      <c r="P525">
        <v>2.51417E-6</v>
      </c>
      <c r="Q525">
        <v>0.14285700000000001</v>
      </c>
      <c r="R525" s="60">
        <v>0.10087723572484091</v>
      </c>
      <c r="S525" t="s">
        <v>347</v>
      </c>
      <c r="T525" t="s">
        <v>437</v>
      </c>
      <c r="U525" t="s">
        <v>425</v>
      </c>
      <c r="V525" t="s">
        <v>26</v>
      </c>
      <c r="W525">
        <v>111.133</v>
      </c>
      <c r="X525">
        <v>1.0541007448257309</v>
      </c>
      <c r="Y525">
        <v>117.145378074718</v>
      </c>
      <c r="Z525">
        <v>640.82000000000005</v>
      </c>
      <c r="AA525">
        <v>1</v>
      </c>
      <c r="AB525">
        <v>75.069101177840764</v>
      </c>
      <c r="AC525">
        <v>0.99109999999999998</v>
      </c>
      <c r="AD525" s="62">
        <v>74.400999999999996</v>
      </c>
      <c r="AE525">
        <v>8.9176000000000002</v>
      </c>
      <c r="AF525">
        <v>9.4000488020579382</v>
      </c>
      <c r="AG525">
        <v>1</v>
      </c>
      <c r="AH525">
        <v>6023.7392733347688</v>
      </c>
      <c r="AI525">
        <v>0.9830373970836227</v>
      </c>
      <c r="AJ525" s="62">
        <v>5921.5609999999997</v>
      </c>
      <c r="AK525" s="60">
        <v>597.35070485602455</v>
      </c>
      <c r="AL525" t="s">
        <v>347</v>
      </c>
      <c r="AM525" t="s">
        <v>437</v>
      </c>
      <c r="AN525" t="s">
        <v>425</v>
      </c>
      <c r="AO525" t="s">
        <v>26</v>
      </c>
      <c r="AP525">
        <v>111.133</v>
      </c>
      <c r="AQ525">
        <v>1.0541007448257309</v>
      </c>
      <c r="AR525">
        <v>117.145378074718</v>
      </c>
      <c r="AS525">
        <v>640.82000000000005</v>
      </c>
      <c r="AT525">
        <v>1</v>
      </c>
      <c r="AU525">
        <v>75.069101177840764</v>
      </c>
      <c r="AV525">
        <v>0.99109999999999998</v>
      </c>
      <c r="AW525" s="62">
        <v>74.400999999999996</v>
      </c>
      <c r="AX525">
        <v>8.9176000000000002</v>
      </c>
      <c r="AY525">
        <v>1</v>
      </c>
      <c r="AZ525">
        <v>6023.7392733347688</v>
      </c>
      <c r="BA525">
        <v>0.9830373970836227</v>
      </c>
      <c r="BB525" s="62">
        <v>5921.5609999999997</v>
      </c>
      <c r="BC525" s="60">
        <v>597.35070485602455</v>
      </c>
    </row>
    <row r="526" spans="1:55" x14ac:dyDescent="0.25">
      <c r="A526">
        <v>144461</v>
      </c>
      <c r="B526" t="s">
        <v>153</v>
      </c>
      <c r="C526">
        <v>2019</v>
      </c>
      <c r="D526">
        <v>6</v>
      </c>
      <c r="E526" t="s">
        <v>51</v>
      </c>
      <c r="F526" t="s">
        <v>426</v>
      </c>
      <c r="G526" t="s">
        <v>84</v>
      </c>
      <c r="H526" t="s">
        <v>87</v>
      </c>
      <c r="I526" t="s">
        <v>427</v>
      </c>
      <c r="J526">
        <v>-2.6545286400000001</v>
      </c>
      <c r="K526" t="s">
        <v>440</v>
      </c>
      <c r="L526" t="s">
        <v>384</v>
      </c>
      <c r="M526">
        <v>3.9509559941419997E-2</v>
      </c>
      <c r="N526">
        <v>0.1048792582550407</v>
      </c>
      <c r="O526">
        <v>28410.399000000001</v>
      </c>
      <c r="P526">
        <v>2.51417E-6</v>
      </c>
      <c r="Q526">
        <v>0.14285700000000001</v>
      </c>
      <c r="R526" s="60">
        <v>1.498273619654036E-2</v>
      </c>
      <c r="S526" t="s">
        <v>347</v>
      </c>
      <c r="T526" t="s">
        <v>437</v>
      </c>
      <c r="U526" t="s">
        <v>425</v>
      </c>
      <c r="V526" t="s">
        <v>81</v>
      </c>
      <c r="W526">
        <v>111.133</v>
      </c>
      <c r="X526">
        <v>1.0541007448257309</v>
      </c>
      <c r="Y526">
        <v>117.145378074718</v>
      </c>
      <c r="Z526">
        <v>640.82000000000005</v>
      </c>
      <c r="AA526">
        <v>1</v>
      </c>
      <c r="AB526">
        <v>75.069101177840764</v>
      </c>
      <c r="AC526">
        <v>0.93830000000000002</v>
      </c>
      <c r="AD526" s="62">
        <v>70.436999999999998</v>
      </c>
      <c r="AE526">
        <v>8.9176000000000002</v>
      </c>
      <c r="AF526">
        <v>9.4000488020579382</v>
      </c>
      <c r="AG526">
        <v>1</v>
      </c>
      <c r="AH526">
        <v>6023.7392733347688</v>
      </c>
      <c r="AI526">
        <v>1.098016605166052</v>
      </c>
      <c r="AJ526" s="62">
        <v>6614.1656999999996</v>
      </c>
      <c r="AK526" s="60">
        <v>99.098299843305682</v>
      </c>
      <c r="AL526" t="s">
        <v>347</v>
      </c>
      <c r="AM526" t="s">
        <v>437</v>
      </c>
      <c r="AN526" t="s">
        <v>425</v>
      </c>
      <c r="AO526" t="s">
        <v>81</v>
      </c>
      <c r="AP526">
        <v>111.133</v>
      </c>
      <c r="AQ526">
        <v>1.0541007448257309</v>
      </c>
      <c r="AR526">
        <v>117.145378074718</v>
      </c>
      <c r="AS526">
        <v>640.82000000000005</v>
      </c>
      <c r="AT526">
        <v>1</v>
      </c>
      <c r="AU526">
        <v>75.069101177840764</v>
      </c>
      <c r="AV526">
        <v>0.93830000000000002</v>
      </c>
      <c r="AW526" s="62">
        <v>70.436999999999998</v>
      </c>
      <c r="AX526">
        <v>8.9176000000000002</v>
      </c>
      <c r="AY526">
        <v>1</v>
      </c>
      <c r="AZ526">
        <v>6023.7392733347688</v>
      </c>
      <c r="BA526">
        <v>1.098016605166052</v>
      </c>
      <c r="BB526" s="62">
        <v>6614.1656999999996</v>
      </c>
      <c r="BC526" s="60">
        <v>99.098299843305682</v>
      </c>
    </row>
    <row r="527" spans="1:55" x14ac:dyDescent="0.25">
      <c r="A527">
        <v>144463</v>
      </c>
      <c r="B527" t="s">
        <v>153</v>
      </c>
      <c r="C527">
        <v>2019</v>
      </c>
      <c r="D527">
        <v>6</v>
      </c>
      <c r="E527" t="s">
        <v>51</v>
      </c>
      <c r="F527" t="s">
        <v>426</v>
      </c>
      <c r="G527" t="s">
        <v>84</v>
      </c>
      <c r="H527" t="s">
        <v>87</v>
      </c>
      <c r="I527" t="s">
        <v>427</v>
      </c>
      <c r="J527">
        <v>-2.6545286400000001</v>
      </c>
      <c r="K527" t="s">
        <v>440</v>
      </c>
      <c r="L527" t="s">
        <v>385</v>
      </c>
      <c r="M527">
        <v>0.39737542925016001</v>
      </c>
      <c r="N527">
        <v>1.05484445613487</v>
      </c>
      <c r="O527">
        <v>28410.399000000001</v>
      </c>
      <c r="P527">
        <v>2.51417E-6</v>
      </c>
      <c r="Q527">
        <v>0.14285700000000001</v>
      </c>
      <c r="R527" s="60">
        <v>0.15069191447005911</v>
      </c>
      <c r="S527" t="s">
        <v>347</v>
      </c>
      <c r="T527" t="s">
        <v>437</v>
      </c>
      <c r="U527" t="s">
        <v>425</v>
      </c>
      <c r="V527" t="s">
        <v>27</v>
      </c>
      <c r="W527">
        <v>111.133</v>
      </c>
      <c r="X527">
        <v>1.0541007448257309</v>
      </c>
      <c r="Y527">
        <v>117.145378074718</v>
      </c>
      <c r="Z527">
        <v>640.82000000000005</v>
      </c>
      <c r="AA527">
        <v>1</v>
      </c>
      <c r="AB527">
        <v>75.069101177840764</v>
      </c>
      <c r="AC527">
        <v>0.95889999999999997</v>
      </c>
      <c r="AD527" s="62">
        <v>71.983999999999995</v>
      </c>
      <c r="AE527">
        <v>8.9176000000000002</v>
      </c>
      <c r="AF527">
        <v>9.4000488020579382</v>
      </c>
      <c r="AG527">
        <v>1</v>
      </c>
      <c r="AH527">
        <v>6023.7392733347688</v>
      </c>
      <c r="AI527">
        <v>0.99097621000820357</v>
      </c>
      <c r="AJ527" s="62">
        <v>5969.3823000000002</v>
      </c>
      <c r="AK527" s="60">
        <v>899.53764699068449</v>
      </c>
      <c r="AL527" t="s">
        <v>347</v>
      </c>
      <c r="AM527" t="s">
        <v>437</v>
      </c>
      <c r="AN527" t="s">
        <v>425</v>
      </c>
      <c r="AO527" t="s">
        <v>27</v>
      </c>
      <c r="AP527">
        <v>111.133</v>
      </c>
      <c r="AQ527">
        <v>1.0541007448257309</v>
      </c>
      <c r="AR527">
        <v>117.145378074718</v>
      </c>
      <c r="AS527">
        <v>640.82000000000005</v>
      </c>
      <c r="AT527">
        <v>1</v>
      </c>
      <c r="AU527">
        <v>75.069101177840764</v>
      </c>
      <c r="AV527">
        <v>0.95889999999999997</v>
      </c>
      <c r="AW527" s="62">
        <v>71.983999999999995</v>
      </c>
      <c r="AX527">
        <v>8.9176000000000002</v>
      </c>
      <c r="AY527">
        <v>1</v>
      </c>
      <c r="AZ527">
        <v>6023.7392733347688</v>
      </c>
      <c r="BA527">
        <v>0.99097621000820357</v>
      </c>
      <c r="BB527" s="62">
        <v>5969.3823000000002</v>
      </c>
      <c r="BC527" s="60">
        <v>899.53764699068449</v>
      </c>
    </row>
    <row r="528" spans="1:55" x14ac:dyDescent="0.25">
      <c r="A528">
        <v>144465</v>
      </c>
      <c r="B528" t="s">
        <v>153</v>
      </c>
      <c r="C528">
        <v>2019</v>
      </c>
      <c r="D528">
        <v>6</v>
      </c>
      <c r="E528" t="s">
        <v>51</v>
      </c>
      <c r="F528" t="s">
        <v>426</v>
      </c>
      <c r="G528" t="s">
        <v>84</v>
      </c>
      <c r="H528" t="s">
        <v>87</v>
      </c>
      <c r="I528" t="s">
        <v>427</v>
      </c>
      <c r="J528">
        <v>-2.6545286400000001</v>
      </c>
      <c r="K528" t="s">
        <v>440</v>
      </c>
      <c r="L528" t="s">
        <v>452</v>
      </c>
      <c r="M528">
        <v>8.4248020759000004E-4</v>
      </c>
      <c r="N528">
        <v>2.2363878361996328E-3</v>
      </c>
      <c r="O528">
        <v>28410.399000000001</v>
      </c>
      <c r="P528">
        <v>2.51417E-6</v>
      </c>
      <c r="Q528">
        <v>0.14285700000000001</v>
      </c>
      <c r="R528" s="60">
        <v>3.1948365711597097E-4</v>
      </c>
      <c r="S528" t="s">
        <v>347</v>
      </c>
      <c r="T528" t="s">
        <v>437</v>
      </c>
      <c r="U528" t="s">
        <v>425</v>
      </c>
      <c r="V528" t="s">
        <v>28</v>
      </c>
      <c r="W528">
        <v>111.133</v>
      </c>
      <c r="X528">
        <v>1.0541007448257309</v>
      </c>
      <c r="Y528">
        <v>117.145378074718</v>
      </c>
      <c r="Z528">
        <v>640.82000000000005</v>
      </c>
      <c r="AA528">
        <v>1</v>
      </c>
      <c r="AB528">
        <v>75.069101177840764</v>
      </c>
      <c r="AC528">
        <v>1.0073000000000001</v>
      </c>
      <c r="AD528" s="62">
        <v>75.617000000000004</v>
      </c>
      <c r="AE528">
        <v>8.9176000000000002</v>
      </c>
      <c r="AF528">
        <v>9.4000488020579382</v>
      </c>
      <c r="AG528">
        <v>1</v>
      </c>
      <c r="AH528">
        <v>6023.7392733347688</v>
      </c>
      <c r="AI528">
        <v>0.99399488088206345</v>
      </c>
      <c r="AJ528" s="62">
        <v>5987.5659999999998</v>
      </c>
      <c r="AK528" s="60">
        <v>1.9129294829032459</v>
      </c>
      <c r="AL528" t="s">
        <v>347</v>
      </c>
      <c r="AM528" t="s">
        <v>437</v>
      </c>
      <c r="AN528" t="s">
        <v>425</v>
      </c>
      <c r="AO528" t="s">
        <v>28</v>
      </c>
      <c r="AP528">
        <v>111.133</v>
      </c>
      <c r="AQ528">
        <v>1.0541007448257309</v>
      </c>
      <c r="AR528">
        <v>117.145378074718</v>
      </c>
      <c r="AS528">
        <v>640.82000000000005</v>
      </c>
      <c r="AT528">
        <v>1</v>
      </c>
      <c r="AU528">
        <v>75.069101177840764</v>
      </c>
      <c r="AV528">
        <v>1.0073000000000001</v>
      </c>
      <c r="AW528" s="62">
        <v>75.617000000000004</v>
      </c>
      <c r="AX528">
        <v>8.9176000000000002</v>
      </c>
      <c r="AY528">
        <v>1</v>
      </c>
      <c r="AZ528">
        <v>6023.7392733347688</v>
      </c>
      <c r="BA528">
        <v>0.99399488088206345</v>
      </c>
      <c r="BB528" s="62">
        <v>5987.5659999999998</v>
      </c>
      <c r="BC528" s="60">
        <v>1.9129294829032459</v>
      </c>
    </row>
    <row r="529" spans="1:55" x14ac:dyDescent="0.25">
      <c r="A529">
        <v>144467</v>
      </c>
      <c r="B529" t="s">
        <v>153</v>
      </c>
      <c r="C529">
        <v>2019</v>
      </c>
      <c r="D529">
        <v>6</v>
      </c>
      <c r="E529" t="s">
        <v>51</v>
      </c>
      <c r="F529" t="s">
        <v>426</v>
      </c>
      <c r="G529" t="s">
        <v>84</v>
      </c>
      <c r="H529" t="s">
        <v>59</v>
      </c>
      <c r="I529" t="s">
        <v>427</v>
      </c>
      <c r="J529">
        <v>-6.3124784299999996</v>
      </c>
      <c r="K529" t="s">
        <v>440</v>
      </c>
      <c r="L529" t="s">
        <v>450</v>
      </c>
      <c r="M529">
        <v>0.15931709696460999</v>
      </c>
      <c r="N529">
        <v>1.0056857381582409</v>
      </c>
      <c r="O529">
        <v>28410.399000000001</v>
      </c>
      <c r="P529">
        <v>2.51417E-6</v>
      </c>
      <c r="Q529">
        <v>0.14285700000000001</v>
      </c>
      <c r="R529" s="60">
        <v>0.14366924749607179</v>
      </c>
      <c r="S529" t="s">
        <v>347</v>
      </c>
      <c r="T529" t="s">
        <v>437</v>
      </c>
      <c r="U529" t="s">
        <v>425</v>
      </c>
      <c r="V529" t="s">
        <v>26</v>
      </c>
      <c r="W529">
        <v>111.133</v>
      </c>
      <c r="X529">
        <v>1.0541007448257309</v>
      </c>
      <c r="Y529">
        <v>117.145378074718</v>
      </c>
      <c r="Z529">
        <v>640.82000000000005</v>
      </c>
      <c r="AA529">
        <v>1</v>
      </c>
      <c r="AB529">
        <v>75.069101177840764</v>
      </c>
      <c r="AC529">
        <v>0.99109999999999998</v>
      </c>
      <c r="AD529" s="62">
        <v>74.400999999999996</v>
      </c>
      <c r="AE529">
        <v>8.9176000000000002</v>
      </c>
      <c r="AF529">
        <v>9.4000488020579382</v>
      </c>
      <c r="AG529">
        <v>1</v>
      </c>
      <c r="AH529">
        <v>6023.7392733347688</v>
      </c>
      <c r="AI529">
        <v>0.9830373970836227</v>
      </c>
      <c r="AJ529" s="62">
        <v>5921.5609999999997</v>
      </c>
      <c r="AK529" s="60">
        <v>850.74621287208652</v>
      </c>
      <c r="AL529" t="s">
        <v>347</v>
      </c>
      <c r="AM529" t="s">
        <v>437</v>
      </c>
      <c r="AN529" t="s">
        <v>425</v>
      </c>
      <c r="AO529" t="s">
        <v>26</v>
      </c>
      <c r="AP529">
        <v>111.133</v>
      </c>
      <c r="AQ529">
        <v>1.0541007448257309</v>
      </c>
      <c r="AR529">
        <v>117.145378074718</v>
      </c>
      <c r="AS529">
        <v>640.82000000000005</v>
      </c>
      <c r="AT529">
        <v>1</v>
      </c>
      <c r="AU529">
        <v>75.069101177840764</v>
      </c>
      <c r="AV529">
        <v>0.99109999999999998</v>
      </c>
      <c r="AW529" s="62">
        <v>74.400999999999996</v>
      </c>
      <c r="AX529">
        <v>8.9176000000000002</v>
      </c>
      <c r="AY529">
        <v>1</v>
      </c>
      <c r="AZ529">
        <v>6023.7392733347688</v>
      </c>
      <c r="BA529">
        <v>0.9830373970836227</v>
      </c>
      <c r="BB529" s="62">
        <v>5921.5609999999997</v>
      </c>
      <c r="BC529" s="60">
        <v>850.74621287208652</v>
      </c>
    </row>
    <row r="530" spans="1:55" x14ac:dyDescent="0.25">
      <c r="A530">
        <v>144469</v>
      </c>
      <c r="B530" t="s">
        <v>153</v>
      </c>
      <c r="C530">
        <v>2019</v>
      </c>
      <c r="D530">
        <v>6</v>
      </c>
      <c r="E530" t="s">
        <v>51</v>
      </c>
      <c r="F530" t="s">
        <v>426</v>
      </c>
      <c r="G530" t="s">
        <v>84</v>
      </c>
      <c r="H530" t="s">
        <v>59</v>
      </c>
      <c r="I530" t="s">
        <v>427</v>
      </c>
      <c r="J530">
        <v>-6.3124784299999996</v>
      </c>
      <c r="K530" t="s">
        <v>440</v>
      </c>
      <c r="L530" t="s">
        <v>384</v>
      </c>
      <c r="M530">
        <v>4.1785183859599999E-2</v>
      </c>
      <c r="N530">
        <v>0.26376807181751738</v>
      </c>
      <c r="O530">
        <v>28410.399000000001</v>
      </c>
      <c r="P530">
        <v>2.51417E-6</v>
      </c>
      <c r="Q530">
        <v>0.14285700000000001</v>
      </c>
      <c r="R530" s="60">
        <v>3.7681115435635092E-2</v>
      </c>
      <c r="S530" t="s">
        <v>347</v>
      </c>
      <c r="T530" t="s">
        <v>437</v>
      </c>
      <c r="U530" t="s">
        <v>425</v>
      </c>
      <c r="V530" t="s">
        <v>81</v>
      </c>
      <c r="W530">
        <v>111.133</v>
      </c>
      <c r="X530">
        <v>1.0541007448257309</v>
      </c>
      <c r="Y530">
        <v>117.145378074718</v>
      </c>
      <c r="Z530">
        <v>640.82000000000005</v>
      </c>
      <c r="AA530">
        <v>1</v>
      </c>
      <c r="AB530">
        <v>75.069101177840764</v>
      </c>
      <c r="AC530">
        <v>0.93830000000000002</v>
      </c>
      <c r="AD530" s="62">
        <v>70.436999999999998</v>
      </c>
      <c r="AE530">
        <v>8.9176000000000002</v>
      </c>
      <c r="AF530">
        <v>9.4000488020579382</v>
      </c>
      <c r="AG530">
        <v>1</v>
      </c>
      <c r="AH530">
        <v>6023.7392733347688</v>
      </c>
      <c r="AI530">
        <v>1.098016605166052</v>
      </c>
      <c r="AJ530" s="62">
        <v>6614.1656999999996</v>
      </c>
      <c r="AK530" s="60">
        <v>249.22914125211821</v>
      </c>
      <c r="AL530" t="s">
        <v>347</v>
      </c>
      <c r="AM530" t="s">
        <v>437</v>
      </c>
      <c r="AN530" t="s">
        <v>425</v>
      </c>
      <c r="AO530" t="s">
        <v>81</v>
      </c>
      <c r="AP530">
        <v>111.133</v>
      </c>
      <c r="AQ530">
        <v>1.0541007448257309</v>
      </c>
      <c r="AR530">
        <v>117.145378074718</v>
      </c>
      <c r="AS530">
        <v>640.82000000000005</v>
      </c>
      <c r="AT530">
        <v>1</v>
      </c>
      <c r="AU530">
        <v>75.069101177840764</v>
      </c>
      <c r="AV530">
        <v>0.93830000000000002</v>
      </c>
      <c r="AW530" s="62">
        <v>70.436999999999998</v>
      </c>
      <c r="AX530">
        <v>8.9176000000000002</v>
      </c>
      <c r="AY530">
        <v>1</v>
      </c>
      <c r="AZ530">
        <v>6023.7392733347688</v>
      </c>
      <c r="BA530">
        <v>1.098016605166052</v>
      </c>
      <c r="BB530" s="62">
        <v>6614.1656999999996</v>
      </c>
      <c r="BC530" s="60">
        <v>249.22914125211821</v>
      </c>
    </row>
    <row r="531" spans="1:55" x14ac:dyDescent="0.25">
      <c r="A531">
        <v>144471</v>
      </c>
      <c r="B531" t="s">
        <v>153</v>
      </c>
      <c r="C531">
        <v>2019</v>
      </c>
      <c r="D531">
        <v>6</v>
      </c>
      <c r="E531" t="s">
        <v>51</v>
      </c>
      <c r="F531" t="s">
        <v>426</v>
      </c>
      <c r="G531" t="s">
        <v>84</v>
      </c>
      <c r="H531" t="s">
        <v>59</v>
      </c>
      <c r="I531" t="s">
        <v>427</v>
      </c>
      <c r="J531">
        <v>-6.3124784299999996</v>
      </c>
      <c r="K531" t="s">
        <v>440</v>
      </c>
      <c r="L531" t="s">
        <v>385</v>
      </c>
      <c r="M531">
        <v>0.43497567483749999</v>
      </c>
      <c r="N531">
        <v>2.7457745650926788</v>
      </c>
      <c r="O531">
        <v>28410.399000000001</v>
      </c>
      <c r="P531">
        <v>2.51417E-6</v>
      </c>
      <c r="Q531">
        <v>0.14285700000000001</v>
      </c>
      <c r="R531" s="60">
        <v>0.39225311704544491</v>
      </c>
      <c r="S531" t="s">
        <v>347</v>
      </c>
      <c r="T531" t="s">
        <v>437</v>
      </c>
      <c r="U531" t="s">
        <v>425</v>
      </c>
      <c r="V531" t="s">
        <v>27</v>
      </c>
      <c r="W531">
        <v>111.133</v>
      </c>
      <c r="X531">
        <v>1.0541007448257309</v>
      </c>
      <c r="Y531">
        <v>117.145378074718</v>
      </c>
      <c r="Z531">
        <v>640.82000000000005</v>
      </c>
      <c r="AA531">
        <v>1</v>
      </c>
      <c r="AB531">
        <v>75.069101177840764</v>
      </c>
      <c r="AC531">
        <v>0.95889999999999997</v>
      </c>
      <c r="AD531" s="62">
        <v>71.983999999999995</v>
      </c>
      <c r="AE531">
        <v>8.9176000000000002</v>
      </c>
      <c r="AF531">
        <v>9.4000488020579382</v>
      </c>
      <c r="AG531">
        <v>1</v>
      </c>
      <c r="AH531">
        <v>6023.7392733347688</v>
      </c>
      <c r="AI531">
        <v>0.99097621000820357</v>
      </c>
      <c r="AJ531" s="62">
        <v>5969.3823000000002</v>
      </c>
      <c r="AK531" s="60">
        <v>2341.5088140109069</v>
      </c>
      <c r="AL531" t="s">
        <v>347</v>
      </c>
      <c r="AM531" t="s">
        <v>437</v>
      </c>
      <c r="AN531" t="s">
        <v>425</v>
      </c>
      <c r="AO531" t="s">
        <v>27</v>
      </c>
      <c r="AP531">
        <v>111.133</v>
      </c>
      <c r="AQ531">
        <v>1.0541007448257309</v>
      </c>
      <c r="AR531">
        <v>117.145378074718</v>
      </c>
      <c r="AS531">
        <v>640.82000000000005</v>
      </c>
      <c r="AT531">
        <v>1</v>
      </c>
      <c r="AU531">
        <v>75.069101177840764</v>
      </c>
      <c r="AV531">
        <v>0.95889999999999997</v>
      </c>
      <c r="AW531" s="62">
        <v>71.983999999999995</v>
      </c>
      <c r="AX531">
        <v>8.9176000000000002</v>
      </c>
      <c r="AY531">
        <v>1</v>
      </c>
      <c r="AZ531">
        <v>6023.7392733347688</v>
      </c>
      <c r="BA531">
        <v>0.99097621000820357</v>
      </c>
      <c r="BB531" s="62">
        <v>5969.3823000000002</v>
      </c>
      <c r="BC531" s="60">
        <v>2341.5088140109069</v>
      </c>
    </row>
    <row r="532" spans="1:55" x14ac:dyDescent="0.25">
      <c r="A532">
        <v>144473</v>
      </c>
      <c r="B532" t="s">
        <v>153</v>
      </c>
      <c r="C532">
        <v>2019</v>
      </c>
      <c r="D532">
        <v>6</v>
      </c>
      <c r="E532" t="s">
        <v>51</v>
      </c>
      <c r="F532" t="s">
        <v>426</v>
      </c>
      <c r="G532" t="s">
        <v>84</v>
      </c>
      <c r="H532" t="s">
        <v>59</v>
      </c>
      <c r="I532" t="s">
        <v>427</v>
      </c>
      <c r="J532">
        <v>-6.3124784299999996</v>
      </c>
      <c r="K532" t="s">
        <v>440</v>
      </c>
      <c r="L532" t="s">
        <v>451</v>
      </c>
      <c r="M532">
        <v>1.7625750762999999E-3</v>
      </c>
      <c r="N532">
        <v>1.112621715082996E-2</v>
      </c>
      <c r="O532">
        <v>28410.399000000001</v>
      </c>
      <c r="P532">
        <v>2.51417E-6</v>
      </c>
      <c r="Q532">
        <v>0.14285700000000001</v>
      </c>
      <c r="R532" s="60">
        <v>1.5894580035161151E-3</v>
      </c>
      <c r="S532" t="s">
        <v>347</v>
      </c>
      <c r="T532" t="s">
        <v>437</v>
      </c>
      <c r="U532" t="s">
        <v>425</v>
      </c>
      <c r="V532" t="s">
        <v>91</v>
      </c>
      <c r="W532">
        <v>111.133</v>
      </c>
      <c r="X532">
        <v>1.0541007448257309</v>
      </c>
      <c r="Y532">
        <v>117.145378074718</v>
      </c>
      <c r="Z532">
        <v>640.82000000000005</v>
      </c>
      <c r="AA532">
        <v>1</v>
      </c>
      <c r="AB532">
        <v>75.069101177840764</v>
      </c>
      <c r="AC532">
        <v>1.0088999999999999</v>
      </c>
      <c r="AD532" s="62">
        <v>75.736999999999995</v>
      </c>
      <c r="AE532">
        <v>8.9176000000000002</v>
      </c>
      <c r="AF532">
        <v>9.4000488020579382</v>
      </c>
      <c r="AG532">
        <v>1</v>
      </c>
      <c r="AH532">
        <v>6023.7392733347688</v>
      </c>
      <c r="AI532">
        <v>0.99316673174541203</v>
      </c>
      <c r="AJ532" s="62">
        <v>5982.5774000000001</v>
      </c>
      <c r="AK532" s="60">
        <v>9.5090555300846322</v>
      </c>
      <c r="AL532" t="s">
        <v>347</v>
      </c>
      <c r="AM532" t="s">
        <v>437</v>
      </c>
      <c r="AN532" t="s">
        <v>425</v>
      </c>
      <c r="AO532" t="s">
        <v>91</v>
      </c>
      <c r="AP532">
        <v>111.133</v>
      </c>
      <c r="AQ532">
        <v>1.0541007448257309</v>
      </c>
      <c r="AR532">
        <v>117.145378074718</v>
      </c>
      <c r="AS532">
        <v>640.82000000000005</v>
      </c>
      <c r="AT532">
        <v>1</v>
      </c>
      <c r="AU532">
        <v>75.069101177840764</v>
      </c>
      <c r="AV532">
        <v>1.0088999999999999</v>
      </c>
      <c r="AW532" s="62">
        <v>75.736999999999995</v>
      </c>
      <c r="AX532">
        <v>8.9176000000000002</v>
      </c>
      <c r="AY532">
        <v>1</v>
      </c>
      <c r="AZ532">
        <v>6023.7392733347688</v>
      </c>
      <c r="BA532">
        <v>0.99316673174541203</v>
      </c>
      <c r="BB532" s="62">
        <v>5982.5774000000001</v>
      </c>
      <c r="BC532" s="60">
        <v>9.5090555300846322</v>
      </c>
    </row>
    <row r="533" spans="1:55" x14ac:dyDescent="0.25">
      <c r="A533">
        <v>144475</v>
      </c>
      <c r="B533" t="s">
        <v>153</v>
      </c>
      <c r="C533">
        <v>2019</v>
      </c>
      <c r="D533">
        <v>6</v>
      </c>
      <c r="E533" t="s">
        <v>51</v>
      </c>
      <c r="F533" t="s">
        <v>426</v>
      </c>
      <c r="G533" t="s">
        <v>84</v>
      </c>
      <c r="H533" t="s">
        <v>59</v>
      </c>
      <c r="I533" t="s">
        <v>427</v>
      </c>
      <c r="J533">
        <v>-6.3124784299999996</v>
      </c>
      <c r="K533" t="s">
        <v>440</v>
      </c>
      <c r="L533" t="s">
        <v>452</v>
      </c>
      <c r="M533">
        <v>1.4858046103299999E-3</v>
      </c>
      <c r="N533">
        <v>9.3791095542656681E-3</v>
      </c>
      <c r="O533">
        <v>28410.399000000001</v>
      </c>
      <c r="P533">
        <v>2.51417E-6</v>
      </c>
      <c r="Q533">
        <v>0.14285700000000001</v>
      </c>
      <c r="R533" s="60">
        <v>1.339871453593731E-3</v>
      </c>
      <c r="S533" t="s">
        <v>347</v>
      </c>
      <c r="T533" t="s">
        <v>437</v>
      </c>
      <c r="U533" t="s">
        <v>425</v>
      </c>
      <c r="V533" t="s">
        <v>28</v>
      </c>
      <c r="W533">
        <v>111.133</v>
      </c>
      <c r="X533">
        <v>1.0541007448257309</v>
      </c>
      <c r="Y533">
        <v>117.145378074718</v>
      </c>
      <c r="Z533">
        <v>640.82000000000005</v>
      </c>
      <c r="AA533">
        <v>1</v>
      </c>
      <c r="AB533">
        <v>75.069101177840764</v>
      </c>
      <c r="AC533">
        <v>1.0073000000000001</v>
      </c>
      <c r="AD533" s="62">
        <v>75.617000000000004</v>
      </c>
      <c r="AE533">
        <v>8.9176000000000002</v>
      </c>
      <c r="AF533">
        <v>9.4000488020579382</v>
      </c>
      <c r="AG533">
        <v>1</v>
      </c>
      <c r="AH533">
        <v>6023.7392733347688</v>
      </c>
      <c r="AI533">
        <v>0.99399488088206345</v>
      </c>
      <c r="AJ533" s="62">
        <v>5987.5659999999998</v>
      </c>
      <c r="AK533" s="60">
        <v>8.022568759908399</v>
      </c>
      <c r="AL533" t="s">
        <v>347</v>
      </c>
      <c r="AM533" t="s">
        <v>437</v>
      </c>
      <c r="AN533" t="s">
        <v>425</v>
      </c>
      <c r="AO533" t="s">
        <v>28</v>
      </c>
      <c r="AP533">
        <v>111.133</v>
      </c>
      <c r="AQ533">
        <v>1.0541007448257309</v>
      </c>
      <c r="AR533">
        <v>117.145378074718</v>
      </c>
      <c r="AS533">
        <v>640.82000000000005</v>
      </c>
      <c r="AT533">
        <v>1</v>
      </c>
      <c r="AU533">
        <v>75.069101177840764</v>
      </c>
      <c r="AV533">
        <v>1.0073000000000001</v>
      </c>
      <c r="AW533" s="62">
        <v>75.617000000000004</v>
      </c>
      <c r="AX533">
        <v>8.9176000000000002</v>
      </c>
      <c r="AY533">
        <v>1</v>
      </c>
      <c r="AZ533">
        <v>6023.7392733347688</v>
      </c>
      <c r="BA533">
        <v>0.99399488088206345</v>
      </c>
      <c r="BB533" s="62">
        <v>5987.5659999999998</v>
      </c>
      <c r="BC533" s="60">
        <v>8.022568759908399</v>
      </c>
    </row>
    <row r="534" spans="1:55" x14ac:dyDescent="0.25">
      <c r="A534">
        <v>151631</v>
      </c>
      <c r="B534" t="s">
        <v>146</v>
      </c>
      <c r="C534">
        <v>2019</v>
      </c>
      <c r="D534">
        <v>7</v>
      </c>
      <c r="E534" t="s">
        <v>51</v>
      </c>
      <c r="F534" t="s">
        <v>426</v>
      </c>
      <c r="G534" t="s">
        <v>84</v>
      </c>
      <c r="H534" t="s">
        <v>381</v>
      </c>
      <c r="I534" t="s">
        <v>427</v>
      </c>
      <c r="J534">
        <v>-13.3024606</v>
      </c>
      <c r="K534" t="s">
        <v>440</v>
      </c>
      <c r="L534" t="s">
        <v>450</v>
      </c>
      <c r="M534">
        <v>0.15011157993331001</v>
      </c>
      <c r="N534">
        <v>1.996853378259037</v>
      </c>
      <c r="O534">
        <v>28410.399000000001</v>
      </c>
      <c r="P534">
        <v>2.51417E-6</v>
      </c>
      <c r="Q534">
        <v>0.14285700000000001</v>
      </c>
      <c r="R534" s="60">
        <v>0.28526448305795132</v>
      </c>
      <c r="S534" t="s">
        <v>347</v>
      </c>
      <c r="T534" t="s">
        <v>437</v>
      </c>
      <c r="U534" t="s">
        <v>425</v>
      </c>
      <c r="V534" t="s">
        <v>26</v>
      </c>
      <c r="W534">
        <v>111.133</v>
      </c>
      <c r="X534">
        <v>1.0541007448257309</v>
      </c>
      <c r="Y534">
        <v>117.145378074718</v>
      </c>
      <c r="Z534">
        <v>640.82000000000005</v>
      </c>
      <c r="AA534">
        <v>1</v>
      </c>
      <c r="AB534">
        <v>75.069101177840764</v>
      </c>
      <c r="AC534">
        <v>0.99109999999999998</v>
      </c>
      <c r="AD534" s="62">
        <v>74.400999999999996</v>
      </c>
      <c r="AE534">
        <v>8.9176000000000002</v>
      </c>
      <c r="AF534">
        <v>9.4000488020579382</v>
      </c>
      <c r="AG534">
        <v>1</v>
      </c>
      <c r="AH534">
        <v>6023.7392733347688</v>
      </c>
      <c r="AI534">
        <v>0.9830373970836227</v>
      </c>
      <c r="AJ534" s="62">
        <v>5921.5609999999997</v>
      </c>
      <c r="AK534" s="60">
        <v>1689.2110375611251</v>
      </c>
      <c r="AL534" t="s">
        <v>347</v>
      </c>
      <c r="AM534" t="s">
        <v>437</v>
      </c>
      <c r="AN534" t="s">
        <v>425</v>
      </c>
      <c r="AO534" t="s">
        <v>26</v>
      </c>
      <c r="AP534">
        <v>111.133</v>
      </c>
      <c r="AQ534">
        <v>1.0541007448257309</v>
      </c>
      <c r="AR534">
        <v>117.145378074718</v>
      </c>
      <c r="AS534">
        <v>640.82000000000005</v>
      </c>
      <c r="AT534">
        <v>1</v>
      </c>
      <c r="AU534">
        <v>75.069101177840764</v>
      </c>
      <c r="AV534">
        <v>0.99109999999999998</v>
      </c>
      <c r="AW534" s="62">
        <v>74.400999999999996</v>
      </c>
      <c r="AX534">
        <v>8.9176000000000002</v>
      </c>
      <c r="AY534">
        <v>1</v>
      </c>
      <c r="AZ534">
        <v>6023.7392733347688</v>
      </c>
      <c r="BA534">
        <v>0.9830373970836227</v>
      </c>
      <c r="BB534" s="62">
        <v>5921.5609999999997</v>
      </c>
      <c r="BC534" s="60">
        <v>1689.2110375611251</v>
      </c>
    </row>
    <row r="535" spans="1:55" x14ac:dyDescent="0.25">
      <c r="A535">
        <v>151633</v>
      </c>
      <c r="B535" t="s">
        <v>146</v>
      </c>
      <c r="C535">
        <v>2019</v>
      </c>
      <c r="D535">
        <v>7</v>
      </c>
      <c r="E535" t="s">
        <v>51</v>
      </c>
      <c r="F535" t="s">
        <v>426</v>
      </c>
      <c r="G535" t="s">
        <v>84</v>
      </c>
      <c r="H535" t="s">
        <v>381</v>
      </c>
      <c r="I535" t="s">
        <v>427</v>
      </c>
      <c r="J535">
        <v>-13.3024606</v>
      </c>
      <c r="K535" t="s">
        <v>440</v>
      </c>
      <c r="L535" t="s">
        <v>384</v>
      </c>
      <c r="M535">
        <v>4.5811354346740003E-2</v>
      </c>
      <c r="N535">
        <v>0.60940373641094669</v>
      </c>
      <c r="O535">
        <v>28410.399000000001</v>
      </c>
      <c r="P535">
        <v>2.51417E-6</v>
      </c>
      <c r="Q535">
        <v>0.14285700000000001</v>
      </c>
      <c r="R535" s="60">
        <v>8.7057589572458613E-2</v>
      </c>
      <c r="S535" t="s">
        <v>347</v>
      </c>
      <c r="T535" t="s">
        <v>437</v>
      </c>
      <c r="U535" t="s">
        <v>425</v>
      </c>
      <c r="V535" t="s">
        <v>81</v>
      </c>
      <c r="W535">
        <v>111.133</v>
      </c>
      <c r="X535">
        <v>1.0541007448257309</v>
      </c>
      <c r="Y535">
        <v>117.145378074718</v>
      </c>
      <c r="Z535">
        <v>640.82000000000005</v>
      </c>
      <c r="AA535">
        <v>1</v>
      </c>
      <c r="AB535">
        <v>75.069101177840764</v>
      </c>
      <c r="AC535">
        <v>0.93830000000000002</v>
      </c>
      <c r="AD535" s="62">
        <v>70.436999999999998</v>
      </c>
      <c r="AE535">
        <v>8.9176000000000002</v>
      </c>
      <c r="AF535">
        <v>9.4000488020579382</v>
      </c>
      <c r="AG535">
        <v>1</v>
      </c>
      <c r="AH535">
        <v>6023.7392733347688</v>
      </c>
      <c r="AI535">
        <v>1.098016605166052</v>
      </c>
      <c r="AJ535" s="62">
        <v>6614.1656999999996</v>
      </c>
      <c r="AK535" s="60">
        <v>575.81332287483337</v>
      </c>
      <c r="AL535" t="s">
        <v>347</v>
      </c>
      <c r="AM535" t="s">
        <v>437</v>
      </c>
      <c r="AN535" t="s">
        <v>425</v>
      </c>
      <c r="AO535" t="s">
        <v>81</v>
      </c>
      <c r="AP535">
        <v>111.133</v>
      </c>
      <c r="AQ535">
        <v>1.0541007448257309</v>
      </c>
      <c r="AR535">
        <v>117.145378074718</v>
      </c>
      <c r="AS535">
        <v>640.82000000000005</v>
      </c>
      <c r="AT535">
        <v>1</v>
      </c>
      <c r="AU535">
        <v>75.069101177840764</v>
      </c>
      <c r="AV535">
        <v>0.93830000000000002</v>
      </c>
      <c r="AW535" s="62">
        <v>70.436999999999998</v>
      </c>
      <c r="AX535">
        <v>8.9176000000000002</v>
      </c>
      <c r="AY535">
        <v>1</v>
      </c>
      <c r="AZ535">
        <v>6023.7392733347688</v>
      </c>
      <c r="BA535">
        <v>1.098016605166052</v>
      </c>
      <c r="BB535" s="62">
        <v>6614.1656999999996</v>
      </c>
      <c r="BC535" s="60">
        <v>575.81332287483337</v>
      </c>
    </row>
    <row r="536" spans="1:55" x14ac:dyDescent="0.25">
      <c r="A536">
        <v>151635</v>
      </c>
      <c r="B536" t="s">
        <v>146</v>
      </c>
      <c r="C536">
        <v>2019</v>
      </c>
      <c r="D536">
        <v>7</v>
      </c>
      <c r="E536" t="s">
        <v>51</v>
      </c>
      <c r="F536" t="s">
        <v>426</v>
      </c>
      <c r="G536" t="s">
        <v>84</v>
      </c>
      <c r="H536" t="s">
        <v>381</v>
      </c>
      <c r="I536" t="s">
        <v>427</v>
      </c>
      <c r="J536">
        <v>-13.3024606</v>
      </c>
      <c r="K536" t="s">
        <v>440</v>
      </c>
      <c r="L536" t="s">
        <v>385</v>
      </c>
      <c r="M536">
        <v>0.43232641346992001</v>
      </c>
      <c r="N536">
        <v>5.7510050832291393</v>
      </c>
      <c r="O536">
        <v>28410.399000000001</v>
      </c>
      <c r="P536">
        <v>2.51417E-6</v>
      </c>
      <c r="Q536">
        <v>0.14285700000000001</v>
      </c>
      <c r="R536" s="60">
        <v>0.82157133317486519</v>
      </c>
      <c r="S536" t="s">
        <v>347</v>
      </c>
      <c r="T536" t="s">
        <v>437</v>
      </c>
      <c r="U536" t="s">
        <v>425</v>
      </c>
      <c r="V536" t="s">
        <v>27</v>
      </c>
      <c r="W536">
        <v>111.133</v>
      </c>
      <c r="X536">
        <v>1.0541007448257309</v>
      </c>
      <c r="Y536">
        <v>117.145378074718</v>
      </c>
      <c r="Z536">
        <v>640.82000000000005</v>
      </c>
      <c r="AA536">
        <v>1</v>
      </c>
      <c r="AB536">
        <v>75.069101177840764</v>
      </c>
      <c r="AC536">
        <v>0.95889999999999997</v>
      </c>
      <c r="AD536" s="62">
        <v>71.983999999999995</v>
      </c>
      <c r="AE536">
        <v>8.9176000000000002</v>
      </c>
      <c r="AF536">
        <v>9.4000488020579382</v>
      </c>
      <c r="AG536">
        <v>1</v>
      </c>
      <c r="AH536">
        <v>6023.7392733347688</v>
      </c>
      <c r="AI536">
        <v>0.99097621000820357</v>
      </c>
      <c r="AJ536" s="62">
        <v>5969.3823000000002</v>
      </c>
      <c r="AK536" s="60">
        <v>4904.2733744414436</v>
      </c>
      <c r="AL536" t="s">
        <v>347</v>
      </c>
      <c r="AM536" t="s">
        <v>437</v>
      </c>
      <c r="AN536" t="s">
        <v>425</v>
      </c>
      <c r="AO536" t="s">
        <v>27</v>
      </c>
      <c r="AP536">
        <v>111.133</v>
      </c>
      <c r="AQ536">
        <v>1.0541007448257309</v>
      </c>
      <c r="AR536">
        <v>117.145378074718</v>
      </c>
      <c r="AS536">
        <v>640.82000000000005</v>
      </c>
      <c r="AT536">
        <v>1</v>
      </c>
      <c r="AU536">
        <v>75.069101177840764</v>
      </c>
      <c r="AV536">
        <v>0.95889999999999997</v>
      </c>
      <c r="AW536" s="62">
        <v>71.983999999999995</v>
      </c>
      <c r="AX536">
        <v>8.9176000000000002</v>
      </c>
      <c r="AY536">
        <v>1</v>
      </c>
      <c r="AZ536">
        <v>6023.7392733347688</v>
      </c>
      <c r="BA536">
        <v>0.99097621000820357</v>
      </c>
      <c r="BB536" s="62">
        <v>5969.3823000000002</v>
      </c>
      <c r="BC536" s="60">
        <v>4904.2733744414436</v>
      </c>
    </row>
    <row r="537" spans="1:55" x14ac:dyDescent="0.25">
      <c r="A537">
        <v>151637</v>
      </c>
      <c r="B537" t="s">
        <v>146</v>
      </c>
      <c r="C537">
        <v>2019</v>
      </c>
      <c r="D537">
        <v>7</v>
      </c>
      <c r="E537" t="s">
        <v>51</v>
      </c>
      <c r="F537" t="s">
        <v>426</v>
      </c>
      <c r="G537" t="s">
        <v>84</v>
      </c>
      <c r="H537" t="s">
        <v>381</v>
      </c>
      <c r="I537" t="s">
        <v>427</v>
      </c>
      <c r="J537">
        <v>-13.3024606</v>
      </c>
      <c r="K537" t="s">
        <v>440</v>
      </c>
      <c r="L537" t="s">
        <v>451</v>
      </c>
      <c r="M537">
        <v>1.6825115802299999E-3</v>
      </c>
      <c r="N537">
        <v>2.238154401169351E-2</v>
      </c>
      <c r="O537">
        <v>28410.399000000001</v>
      </c>
      <c r="P537">
        <v>2.51417E-6</v>
      </c>
      <c r="Q537">
        <v>0.14285700000000001</v>
      </c>
      <c r="R537" s="60">
        <v>3.1973602328785001E-3</v>
      </c>
      <c r="S537" t="s">
        <v>347</v>
      </c>
      <c r="T537" t="s">
        <v>437</v>
      </c>
      <c r="U537" t="s">
        <v>425</v>
      </c>
      <c r="V537" t="s">
        <v>91</v>
      </c>
      <c r="W537">
        <v>111.133</v>
      </c>
      <c r="X537">
        <v>1.0541007448257309</v>
      </c>
      <c r="Y537">
        <v>117.145378074718</v>
      </c>
      <c r="Z537">
        <v>640.82000000000005</v>
      </c>
      <c r="AA537">
        <v>1</v>
      </c>
      <c r="AB537">
        <v>75.069101177840764</v>
      </c>
      <c r="AC537">
        <v>1.0088999999999999</v>
      </c>
      <c r="AD537" s="62">
        <v>75.736999999999995</v>
      </c>
      <c r="AE537">
        <v>8.9176000000000002</v>
      </c>
      <c r="AF537">
        <v>9.4000488020579382</v>
      </c>
      <c r="AG537">
        <v>1</v>
      </c>
      <c r="AH537">
        <v>6023.7392733347688</v>
      </c>
      <c r="AI537">
        <v>0.99316673174541203</v>
      </c>
      <c r="AJ537" s="62">
        <v>5982.5774000000001</v>
      </c>
      <c r="AK537" s="60">
        <v>19.128455068877649</v>
      </c>
      <c r="AL537" t="s">
        <v>347</v>
      </c>
      <c r="AM537" t="s">
        <v>437</v>
      </c>
      <c r="AN537" t="s">
        <v>425</v>
      </c>
      <c r="AO537" t="s">
        <v>91</v>
      </c>
      <c r="AP537">
        <v>111.133</v>
      </c>
      <c r="AQ537">
        <v>1.0541007448257309</v>
      </c>
      <c r="AR537">
        <v>117.145378074718</v>
      </c>
      <c r="AS537">
        <v>640.82000000000005</v>
      </c>
      <c r="AT537">
        <v>1</v>
      </c>
      <c r="AU537">
        <v>75.069101177840764</v>
      </c>
      <c r="AV537">
        <v>1.0088999999999999</v>
      </c>
      <c r="AW537" s="62">
        <v>75.736999999999995</v>
      </c>
      <c r="AX537">
        <v>8.9176000000000002</v>
      </c>
      <c r="AY537">
        <v>1</v>
      </c>
      <c r="AZ537">
        <v>6023.7392733347688</v>
      </c>
      <c r="BA537">
        <v>0.99316673174541203</v>
      </c>
      <c r="BB537" s="62">
        <v>5982.5774000000001</v>
      </c>
      <c r="BC537" s="60">
        <v>19.128455068877649</v>
      </c>
    </row>
    <row r="538" spans="1:55" x14ac:dyDescent="0.25">
      <c r="A538">
        <v>151639</v>
      </c>
      <c r="B538" t="s">
        <v>146</v>
      </c>
      <c r="C538">
        <v>2019</v>
      </c>
      <c r="D538">
        <v>7</v>
      </c>
      <c r="E538" t="s">
        <v>51</v>
      </c>
      <c r="F538" t="s">
        <v>426</v>
      </c>
      <c r="G538" t="s">
        <v>84</v>
      </c>
      <c r="H538" t="s">
        <v>381</v>
      </c>
      <c r="I538" t="s">
        <v>427</v>
      </c>
      <c r="J538">
        <v>-13.3024606</v>
      </c>
      <c r="K538" t="s">
        <v>440</v>
      </c>
      <c r="L538" t="s">
        <v>452</v>
      </c>
      <c r="M538">
        <v>1.53682162831E-3</v>
      </c>
      <c r="N538">
        <v>2.0443509165886841E-2</v>
      </c>
      <c r="O538">
        <v>28410.399000000001</v>
      </c>
      <c r="P538">
        <v>2.51417E-6</v>
      </c>
      <c r="Q538">
        <v>0.14285700000000001</v>
      </c>
      <c r="R538" s="60">
        <v>2.9204983889110961E-3</v>
      </c>
      <c r="S538" t="s">
        <v>347</v>
      </c>
      <c r="T538" t="s">
        <v>437</v>
      </c>
      <c r="U538" t="s">
        <v>425</v>
      </c>
      <c r="V538" t="s">
        <v>28</v>
      </c>
      <c r="W538">
        <v>111.133</v>
      </c>
      <c r="X538">
        <v>1.0541007448257309</v>
      </c>
      <c r="Y538">
        <v>117.145378074718</v>
      </c>
      <c r="Z538">
        <v>640.82000000000005</v>
      </c>
      <c r="AA538">
        <v>1</v>
      </c>
      <c r="AB538">
        <v>75.069101177840764</v>
      </c>
      <c r="AC538">
        <v>1.0073000000000001</v>
      </c>
      <c r="AD538" s="62">
        <v>75.617000000000004</v>
      </c>
      <c r="AE538">
        <v>8.9176000000000002</v>
      </c>
      <c r="AF538">
        <v>9.4000488020579382</v>
      </c>
      <c r="AG538">
        <v>1</v>
      </c>
      <c r="AH538">
        <v>6023.7392733347688</v>
      </c>
      <c r="AI538">
        <v>0.99399488088206345</v>
      </c>
      <c r="AJ538" s="62">
        <v>5987.5659999999998</v>
      </c>
      <c r="AK538" s="60">
        <v>17.48667685649886</v>
      </c>
      <c r="AL538" t="s">
        <v>347</v>
      </c>
      <c r="AM538" t="s">
        <v>437</v>
      </c>
      <c r="AN538" t="s">
        <v>425</v>
      </c>
      <c r="AO538" t="s">
        <v>28</v>
      </c>
      <c r="AP538">
        <v>111.133</v>
      </c>
      <c r="AQ538">
        <v>1.0541007448257309</v>
      </c>
      <c r="AR538">
        <v>117.145378074718</v>
      </c>
      <c r="AS538">
        <v>640.82000000000005</v>
      </c>
      <c r="AT538">
        <v>1</v>
      </c>
      <c r="AU538">
        <v>75.069101177840764</v>
      </c>
      <c r="AV538">
        <v>1.0073000000000001</v>
      </c>
      <c r="AW538" s="62">
        <v>75.617000000000004</v>
      </c>
      <c r="AX538">
        <v>8.9176000000000002</v>
      </c>
      <c r="AY538">
        <v>1</v>
      </c>
      <c r="AZ538">
        <v>6023.7392733347688</v>
      </c>
      <c r="BA538">
        <v>0.99399488088206345</v>
      </c>
      <c r="BB538" s="62">
        <v>5987.5659999999998</v>
      </c>
      <c r="BC538" s="60">
        <v>17.48667685649886</v>
      </c>
    </row>
    <row r="539" spans="1:55" x14ac:dyDescent="0.25">
      <c r="A539">
        <v>151641</v>
      </c>
      <c r="B539" t="s">
        <v>146</v>
      </c>
      <c r="C539">
        <v>2019</v>
      </c>
      <c r="D539">
        <v>7</v>
      </c>
      <c r="E539" t="s">
        <v>51</v>
      </c>
      <c r="F539" t="s">
        <v>426</v>
      </c>
      <c r="G539" t="s">
        <v>84</v>
      </c>
      <c r="H539" t="s">
        <v>87</v>
      </c>
      <c r="I539" t="s">
        <v>427</v>
      </c>
      <c r="J539">
        <v>-2.6545286400000001</v>
      </c>
      <c r="K539" t="s">
        <v>440</v>
      </c>
      <c r="L539" t="s">
        <v>450</v>
      </c>
      <c r="M539">
        <v>0.26601384014995</v>
      </c>
      <c r="N539">
        <v>0.70614135621524232</v>
      </c>
      <c r="O539">
        <v>28410.399000000001</v>
      </c>
      <c r="P539">
        <v>2.51417E-6</v>
      </c>
      <c r="Q539">
        <v>0.14285700000000001</v>
      </c>
      <c r="R539" s="60">
        <v>0.10087723572484091</v>
      </c>
      <c r="S539" t="s">
        <v>347</v>
      </c>
      <c r="T539" t="s">
        <v>437</v>
      </c>
      <c r="U539" t="s">
        <v>425</v>
      </c>
      <c r="V539" t="s">
        <v>26</v>
      </c>
      <c r="W539">
        <v>111.133</v>
      </c>
      <c r="X539">
        <v>1.0541007448257309</v>
      </c>
      <c r="Y539">
        <v>117.145378074718</v>
      </c>
      <c r="Z539">
        <v>640.82000000000005</v>
      </c>
      <c r="AA539">
        <v>1</v>
      </c>
      <c r="AB539">
        <v>75.069101177840764</v>
      </c>
      <c r="AC539">
        <v>0.99109999999999998</v>
      </c>
      <c r="AD539" s="62">
        <v>74.400999999999996</v>
      </c>
      <c r="AE539">
        <v>8.9176000000000002</v>
      </c>
      <c r="AF539">
        <v>9.4000488020579382</v>
      </c>
      <c r="AG539">
        <v>1</v>
      </c>
      <c r="AH539">
        <v>6023.7392733347688</v>
      </c>
      <c r="AI539">
        <v>0.9830373970836227</v>
      </c>
      <c r="AJ539" s="62">
        <v>5921.5609999999997</v>
      </c>
      <c r="AK539" s="60">
        <v>597.35070485602444</v>
      </c>
      <c r="AL539" t="s">
        <v>347</v>
      </c>
      <c r="AM539" t="s">
        <v>437</v>
      </c>
      <c r="AN539" t="s">
        <v>425</v>
      </c>
      <c r="AO539" t="s">
        <v>26</v>
      </c>
      <c r="AP539">
        <v>111.133</v>
      </c>
      <c r="AQ539">
        <v>1.0541007448257309</v>
      </c>
      <c r="AR539">
        <v>117.145378074718</v>
      </c>
      <c r="AS539">
        <v>640.82000000000005</v>
      </c>
      <c r="AT539">
        <v>1</v>
      </c>
      <c r="AU539">
        <v>75.069101177840764</v>
      </c>
      <c r="AV539">
        <v>0.99109999999999998</v>
      </c>
      <c r="AW539" s="62">
        <v>74.400999999999996</v>
      </c>
      <c r="AX539">
        <v>8.9176000000000002</v>
      </c>
      <c r="AY539">
        <v>1</v>
      </c>
      <c r="AZ539">
        <v>6023.7392733347688</v>
      </c>
      <c r="BA539">
        <v>0.9830373970836227</v>
      </c>
      <c r="BB539" s="62">
        <v>5921.5609999999997</v>
      </c>
      <c r="BC539" s="60">
        <v>597.35070485602444</v>
      </c>
    </row>
    <row r="540" spans="1:55" x14ac:dyDescent="0.25">
      <c r="A540">
        <v>151643</v>
      </c>
      <c r="B540" t="s">
        <v>146</v>
      </c>
      <c r="C540">
        <v>2019</v>
      </c>
      <c r="D540">
        <v>7</v>
      </c>
      <c r="E540" t="s">
        <v>51</v>
      </c>
      <c r="F540" t="s">
        <v>426</v>
      </c>
      <c r="G540" t="s">
        <v>84</v>
      </c>
      <c r="H540" t="s">
        <v>87</v>
      </c>
      <c r="I540" t="s">
        <v>427</v>
      </c>
      <c r="J540">
        <v>-2.6545286400000001</v>
      </c>
      <c r="K540" t="s">
        <v>440</v>
      </c>
      <c r="L540" t="s">
        <v>384</v>
      </c>
      <c r="M540">
        <v>3.9509559941419997E-2</v>
      </c>
      <c r="N540">
        <v>0.1048792582550407</v>
      </c>
      <c r="O540">
        <v>28410.399000000001</v>
      </c>
      <c r="P540">
        <v>2.51417E-6</v>
      </c>
      <c r="Q540">
        <v>0.14285700000000001</v>
      </c>
      <c r="R540" s="60">
        <v>1.498273619654036E-2</v>
      </c>
      <c r="S540" t="s">
        <v>347</v>
      </c>
      <c r="T540" t="s">
        <v>437</v>
      </c>
      <c r="U540" t="s">
        <v>425</v>
      </c>
      <c r="V540" t="s">
        <v>81</v>
      </c>
      <c r="W540">
        <v>111.133</v>
      </c>
      <c r="X540">
        <v>1.0541007448257309</v>
      </c>
      <c r="Y540">
        <v>117.145378074718</v>
      </c>
      <c r="Z540">
        <v>640.82000000000005</v>
      </c>
      <c r="AA540">
        <v>1</v>
      </c>
      <c r="AB540">
        <v>75.069101177840764</v>
      </c>
      <c r="AC540">
        <v>0.93830000000000002</v>
      </c>
      <c r="AD540" s="62">
        <v>70.436999999999998</v>
      </c>
      <c r="AE540">
        <v>8.9176000000000002</v>
      </c>
      <c r="AF540">
        <v>9.4000488020579382</v>
      </c>
      <c r="AG540">
        <v>1</v>
      </c>
      <c r="AH540">
        <v>6023.7392733347688</v>
      </c>
      <c r="AI540">
        <v>1.098016605166052</v>
      </c>
      <c r="AJ540" s="62">
        <v>6614.1656999999996</v>
      </c>
      <c r="AK540" s="60">
        <v>99.098299843305668</v>
      </c>
      <c r="AL540" t="s">
        <v>347</v>
      </c>
      <c r="AM540" t="s">
        <v>437</v>
      </c>
      <c r="AN540" t="s">
        <v>425</v>
      </c>
      <c r="AO540" t="s">
        <v>81</v>
      </c>
      <c r="AP540">
        <v>111.133</v>
      </c>
      <c r="AQ540">
        <v>1.0541007448257309</v>
      </c>
      <c r="AR540">
        <v>117.145378074718</v>
      </c>
      <c r="AS540">
        <v>640.82000000000005</v>
      </c>
      <c r="AT540">
        <v>1</v>
      </c>
      <c r="AU540">
        <v>75.069101177840764</v>
      </c>
      <c r="AV540">
        <v>0.93830000000000002</v>
      </c>
      <c r="AW540" s="62">
        <v>70.436999999999998</v>
      </c>
      <c r="AX540">
        <v>8.9176000000000002</v>
      </c>
      <c r="AY540">
        <v>1</v>
      </c>
      <c r="AZ540">
        <v>6023.7392733347688</v>
      </c>
      <c r="BA540">
        <v>1.098016605166052</v>
      </c>
      <c r="BB540" s="62">
        <v>6614.1656999999996</v>
      </c>
      <c r="BC540" s="60">
        <v>99.098299843305668</v>
      </c>
    </row>
    <row r="541" spans="1:55" x14ac:dyDescent="0.25">
      <c r="A541">
        <v>151645</v>
      </c>
      <c r="B541" t="s">
        <v>146</v>
      </c>
      <c r="C541">
        <v>2019</v>
      </c>
      <c r="D541">
        <v>7</v>
      </c>
      <c r="E541" t="s">
        <v>51</v>
      </c>
      <c r="F541" t="s">
        <v>426</v>
      </c>
      <c r="G541" t="s">
        <v>84</v>
      </c>
      <c r="H541" t="s">
        <v>87</v>
      </c>
      <c r="I541" t="s">
        <v>427</v>
      </c>
      <c r="J541">
        <v>-2.6545286400000001</v>
      </c>
      <c r="K541" t="s">
        <v>440</v>
      </c>
      <c r="L541" t="s">
        <v>385</v>
      </c>
      <c r="M541">
        <v>0.39737542925016001</v>
      </c>
      <c r="N541">
        <v>1.0548444561348691</v>
      </c>
      <c r="O541">
        <v>28410.399000000001</v>
      </c>
      <c r="P541">
        <v>2.51417E-6</v>
      </c>
      <c r="Q541">
        <v>0.14285700000000001</v>
      </c>
      <c r="R541" s="60">
        <v>0.150691914470059</v>
      </c>
      <c r="S541" t="s">
        <v>347</v>
      </c>
      <c r="T541" t="s">
        <v>437</v>
      </c>
      <c r="U541" t="s">
        <v>425</v>
      </c>
      <c r="V541" t="s">
        <v>27</v>
      </c>
      <c r="W541">
        <v>111.133</v>
      </c>
      <c r="X541">
        <v>1.0541007448257309</v>
      </c>
      <c r="Y541">
        <v>117.145378074718</v>
      </c>
      <c r="Z541">
        <v>640.82000000000005</v>
      </c>
      <c r="AA541">
        <v>1</v>
      </c>
      <c r="AB541">
        <v>75.069101177840764</v>
      </c>
      <c r="AC541">
        <v>0.95889999999999997</v>
      </c>
      <c r="AD541" s="62">
        <v>71.983999999999995</v>
      </c>
      <c r="AE541">
        <v>8.9176000000000002</v>
      </c>
      <c r="AF541">
        <v>9.4000488020579382</v>
      </c>
      <c r="AG541">
        <v>1</v>
      </c>
      <c r="AH541">
        <v>6023.7392733347688</v>
      </c>
      <c r="AI541">
        <v>0.99097621000820357</v>
      </c>
      <c r="AJ541" s="62">
        <v>5969.3823000000002</v>
      </c>
      <c r="AK541" s="60">
        <v>899.53764699068427</v>
      </c>
      <c r="AL541" t="s">
        <v>347</v>
      </c>
      <c r="AM541" t="s">
        <v>437</v>
      </c>
      <c r="AN541" t="s">
        <v>425</v>
      </c>
      <c r="AO541" t="s">
        <v>27</v>
      </c>
      <c r="AP541">
        <v>111.133</v>
      </c>
      <c r="AQ541">
        <v>1.0541007448257309</v>
      </c>
      <c r="AR541">
        <v>117.145378074718</v>
      </c>
      <c r="AS541">
        <v>640.82000000000005</v>
      </c>
      <c r="AT541">
        <v>1</v>
      </c>
      <c r="AU541">
        <v>75.069101177840764</v>
      </c>
      <c r="AV541">
        <v>0.95889999999999997</v>
      </c>
      <c r="AW541" s="62">
        <v>71.983999999999995</v>
      </c>
      <c r="AX541">
        <v>8.9176000000000002</v>
      </c>
      <c r="AY541">
        <v>1</v>
      </c>
      <c r="AZ541">
        <v>6023.7392733347688</v>
      </c>
      <c r="BA541">
        <v>0.99097621000820357</v>
      </c>
      <c r="BB541" s="62">
        <v>5969.3823000000002</v>
      </c>
      <c r="BC541" s="60">
        <v>899.53764699068427</v>
      </c>
    </row>
    <row r="542" spans="1:55" x14ac:dyDescent="0.25">
      <c r="A542">
        <v>151647</v>
      </c>
      <c r="B542" t="s">
        <v>146</v>
      </c>
      <c r="C542">
        <v>2019</v>
      </c>
      <c r="D542">
        <v>7</v>
      </c>
      <c r="E542" t="s">
        <v>51</v>
      </c>
      <c r="F542" t="s">
        <v>426</v>
      </c>
      <c r="G542" t="s">
        <v>84</v>
      </c>
      <c r="H542" t="s">
        <v>87</v>
      </c>
      <c r="I542" t="s">
        <v>427</v>
      </c>
      <c r="J542">
        <v>-2.6545286400000001</v>
      </c>
      <c r="K542" t="s">
        <v>440</v>
      </c>
      <c r="L542" t="s">
        <v>452</v>
      </c>
      <c r="M542">
        <v>8.4248020759000004E-4</v>
      </c>
      <c r="N542">
        <v>2.2363878361996319E-3</v>
      </c>
      <c r="O542">
        <v>28410.399000000001</v>
      </c>
      <c r="P542">
        <v>2.51417E-6</v>
      </c>
      <c r="Q542">
        <v>0.14285700000000001</v>
      </c>
      <c r="R542" s="60">
        <v>3.1948365711597092E-4</v>
      </c>
      <c r="S542" t="s">
        <v>347</v>
      </c>
      <c r="T542" t="s">
        <v>437</v>
      </c>
      <c r="U542" t="s">
        <v>425</v>
      </c>
      <c r="V542" t="s">
        <v>28</v>
      </c>
      <c r="W542">
        <v>111.133</v>
      </c>
      <c r="X542">
        <v>1.0541007448257309</v>
      </c>
      <c r="Y542">
        <v>117.145378074718</v>
      </c>
      <c r="Z542">
        <v>640.82000000000005</v>
      </c>
      <c r="AA542">
        <v>1</v>
      </c>
      <c r="AB542">
        <v>75.069101177840764</v>
      </c>
      <c r="AC542">
        <v>1.0073000000000001</v>
      </c>
      <c r="AD542" s="62">
        <v>75.617000000000004</v>
      </c>
      <c r="AE542">
        <v>8.9176000000000002</v>
      </c>
      <c r="AF542">
        <v>9.4000488020579382</v>
      </c>
      <c r="AG542">
        <v>1</v>
      </c>
      <c r="AH542">
        <v>6023.7392733347688</v>
      </c>
      <c r="AI542">
        <v>0.99399488088206345</v>
      </c>
      <c r="AJ542" s="62">
        <v>5987.5659999999998</v>
      </c>
      <c r="AK542" s="60">
        <v>1.912929482903245</v>
      </c>
      <c r="AL542" t="s">
        <v>347</v>
      </c>
      <c r="AM542" t="s">
        <v>437</v>
      </c>
      <c r="AN542" t="s">
        <v>425</v>
      </c>
      <c r="AO542" t="s">
        <v>28</v>
      </c>
      <c r="AP542">
        <v>111.133</v>
      </c>
      <c r="AQ542">
        <v>1.0541007448257309</v>
      </c>
      <c r="AR542">
        <v>117.145378074718</v>
      </c>
      <c r="AS542">
        <v>640.82000000000005</v>
      </c>
      <c r="AT542">
        <v>1</v>
      </c>
      <c r="AU542">
        <v>75.069101177840764</v>
      </c>
      <c r="AV542">
        <v>1.0073000000000001</v>
      </c>
      <c r="AW542" s="62">
        <v>75.617000000000004</v>
      </c>
      <c r="AX542">
        <v>8.9176000000000002</v>
      </c>
      <c r="AY542">
        <v>1</v>
      </c>
      <c r="AZ542">
        <v>6023.7392733347688</v>
      </c>
      <c r="BA542">
        <v>0.99399488088206345</v>
      </c>
      <c r="BB542" s="62">
        <v>5987.5659999999998</v>
      </c>
      <c r="BC542" s="60">
        <v>1.912929482903245</v>
      </c>
    </row>
    <row r="543" spans="1:55" x14ac:dyDescent="0.25">
      <c r="A543">
        <v>151649</v>
      </c>
      <c r="B543" t="s">
        <v>146</v>
      </c>
      <c r="C543">
        <v>2019</v>
      </c>
      <c r="D543">
        <v>7</v>
      </c>
      <c r="E543" t="s">
        <v>51</v>
      </c>
      <c r="F543" t="s">
        <v>426</v>
      </c>
      <c r="G543" t="s">
        <v>84</v>
      </c>
      <c r="H543" t="s">
        <v>59</v>
      </c>
      <c r="I543" t="s">
        <v>427</v>
      </c>
      <c r="J543">
        <v>-6.3124784299999996</v>
      </c>
      <c r="K543" t="s">
        <v>440</v>
      </c>
      <c r="L543" t="s">
        <v>450</v>
      </c>
      <c r="M543">
        <v>0.15931709696460999</v>
      </c>
      <c r="N543">
        <v>1.0056857381582409</v>
      </c>
      <c r="O543">
        <v>28410.399000000001</v>
      </c>
      <c r="P543">
        <v>2.51417E-6</v>
      </c>
      <c r="Q543">
        <v>0.14285700000000001</v>
      </c>
      <c r="R543" s="60">
        <v>0.14366924749607179</v>
      </c>
      <c r="S543" t="s">
        <v>347</v>
      </c>
      <c r="T543" t="s">
        <v>437</v>
      </c>
      <c r="U543" t="s">
        <v>425</v>
      </c>
      <c r="V543" t="s">
        <v>26</v>
      </c>
      <c r="W543">
        <v>111.133</v>
      </c>
      <c r="X543">
        <v>1.0541007448257309</v>
      </c>
      <c r="Y543">
        <v>117.145378074718</v>
      </c>
      <c r="Z543">
        <v>640.82000000000005</v>
      </c>
      <c r="AA543">
        <v>1</v>
      </c>
      <c r="AB543">
        <v>75.069101177840764</v>
      </c>
      <c r="AC543">
        <v>0.99109999999999998</v>
      </c>
      <c r="AD543" s="62">
        <v>74.400999999999996</v>
      </c>
      <c r="AE543">
        <v>8.9176000000000002</v>
      </c>
      <c r="AF543">
        <v>9.4000488020579382</v>
      </c>
      <c r="AG543">
        <v>1</v>
      </c>
      <c r="AH543">
        <v>6023.7392733347688</v>
      </c>
      <c r="AI543">
        <v>0.9830373970836227</v>
      </c>
      <c r="AJ543" s="62">
        <v>5921.5609999999997</v>
      </c>
      <c r="AK543" s="60">
        <v>850.7462128720864</v>
      </c>
      <c r="AL543" t="s">
        <v>347</v>
      </c>
      <c r="AM543" t="s">
        <v>437</v>
      </c>
      <c r="AN543" t="s">
        <v>425</v>
      </c>
      <c r="AO543" t="s">
        <v>26</v>
      </c>
      <c r="AP543">
        <v>111.133</v>
      </c>
      <c r="AQ543">
        <v>1.0541007448257309</v>
      </c>
      <c r="AR543">
        <v>117.145378074718</v>
      </c>
      <c r="AS543">
        <v>640.82000000000005</v>
      </c>
      <c r="AT543">
        <v>1</v>
      </c>
      <c r="AU543">
        <v>75.069101177840764</v>
      </c>
      <c r="AV543">
        <v>0.99109999999999998</v>
      </c>
      <c r="AW543" s="62">
        <v>74.400999999999996</v>
      </c>
      <c r="AX543">
        <v>8.9176000000000002</v>
      </c>
      <c r="AY543">
        <v>1</v>
      </c>
      <c r="AZ543">
        <v>6023.7392733347688</v>
      </c>
      <c r="BA543">
        <v>0.9830373970836227</v>
      </c>
      <c r="BB543" s="62">
        <v>5921.5609999999997</v>
      </c>
      <c r="BC543" s="60">
        <v>850.7462128720864</v>
      </c>
    </row>
    <row r="544" spans="1:55" x14ac:dyDescent="0.25">
      <c r="A544">
        <v>151651</v>
      </c>
      <c r="B544" t="s">
        <v>146</v>
      </c>
      <c r="C544">
        <v>2019</v>
      </c>
      <c r="D544">
        <v>7</v>
      </c>
      <c r="E544" t="s">
        <v>51</v>
      </c>
      <c r="F544" t="s">
        <v>426</v>
      </c>
      <c r="G544" t="s">
        <v>84</v>
      </c>
      <c r="H544" t="s">
        <v>59</v>
      </c>
      <c r="I544" t="s">
        <v>427</v>
      </c>
      <c r="J544">
        <v>-6.3124784299999996</v>
      </c>
      <c r="K544" t="s">
        <v>440</v>
      </c>
      <c r="L544" t="s">
        <v>384</v>
      </c>
      <c r="M544">
        <v>4.1785183859599999E-2</v>
      </c>
      <c r="N544">
        <v>0.26376807181751738</v>
      </c>
      <c r="O544">
        <v>28410.399000000001</v>
      </c>
      <c r="P544">
        <v>2.51417E-6</v>
      </c>
      <c r="Q544">
        <v>0.14285700000000001</v>
      </c>
      <c r="R544" s="60">
        <v>3.7681115435635078E-2</v>
      </c>
      <c r="S544" t="s">
        <v>347</v>
      </c>
      <c r="T544" t="s">
        <v>437</v>
      </c>
      <c r="U544" t="s">
        <v>425</v>
      </c>
      <c r="V544" t="s">
        <v>81</v>
      </c>
      <c r="W544">
        <v>111.133</v>
      </c>
      <c r="X544">
        <v>1.0541007448257309</v>
      </c>
      <c r="Y544">
        <v>117.145378074718</v>
      </c>
      <c r="Z544">
        <v>640.82000000000005</v>
      </c>
      <c r="AA544">
        <v>1</v>
      </c>
      <c r="AB544">
        <v>75.069101177840764</v>
      </c>
      <c r="AC544">
        <v>0.93830000000000002</v>
      </c>
      <c r="AD544" s="62">
        <v>70.436999999999998</v>
      </c>
      <c r="AE544">
        <v>8.9176000000000002</v>
      </c>
      <c r="AF544">
        <v>9.4000488020579382</v>
      </c>
      <c r="AG544">
        <v>1</v>
      </c>
      <c r="AH544">
        <v>6023.7392733347688</v>
      </c>
      <c r="AI544">
        <v>1.098016605166052</v>
      </c>
      <c r="AJ544" s="62">
        <v>6614.1656999999996</v>
      </c>
      <c r="AK544" s="60">
        <v>249.2291412521181</v>
      </c>
      <c r="AL544" t="s">
        <v>347</v>
      </c>
      <c r="AM544" t="s">
        <v>437</v>
      </c>
      <c r="AN544" t="s">
        <v>425</v>
      </c>
      <c r="AO544" t="s">
        <v>81</v>
      </c>
      <c r="AP544">
        <v>111.133</v>
      </c>
      <c r="AQ544">
        <v>1.0541007448257309</v>
      </c>
      <c r="AR544">
        <v>117.145378074718</v>
      </c>
      <c r="AS544">
        <v>640.82000000000005</v>
      </c>
      <c r="AT544">
        <v>1</v>
      </c>
      <c r="AU544">
        <v>75.069101177840764</v>
      </c>
      <c r="AV544">
        <v>0.93830000000000002</v>
      </c>
      <c r="AW544" s="62">
        <v>70.436999999999998</v>
      </c>
      <c r="AX544">
        <v>8.9176000000000002</v>
      </c>
      <c r="AY544">
        <v>1</v>
      </c>
      <c r="AZ544">
        <v>6023.7392733347688</v>
      </c>
      <c r="BA544">
        <v>1.098016605166052</v>
      </c>
      <c r="BB544" s="62">
        <v>6614.1656999999996</v>
      </c>
      <c r="BC544" s="60">
        <v>249.2291412521181</v>
      </c>
    </row>
    <row r="545" spans="1:55" x14ac:dyDescent="0.25">
      <c r="A545">
        <v>151653</v>
      </c>
      <c r="B545" t="s">
        <v>146</v>
      </c>
      <c r="C545">
        <v>2019</v>
      </c>
      <c r="D545">
        <v>7</v>
      </c>
      <c r="E545" t="s">
        <v>51</v>
      </c>
      <c r="F545" t="s">
        <v>426</v>
      </c>
      <c r="G545" t="s">
        <v>84</v>
      </c>
      <c r="H545" t="s">
        <v>59</v>
      </c>
      <c r="I545" t="s">
        <v>427</v>
      </c>
      <c r="J545">
        <v>-6.3124784299999996</v>
      </c>
      <c r="K545" t="s">
        <v>440</v>
      </c>
      <c r="L545" t="s">
        <v>385</v>
      </c>
      <c r="M545">
        <v>0.43497567483749999</v>
      </c>
      <c r="N545">
        <v>2.7457745650926779</v>
      </c>
      <c r="O545">
        <v>28410.399000000001</v>
      </c>
      <c r="P545">
        <v>2.51417E-6</v>
      </c>
      <c r="Q545">
        <v>0.14285700000000001</v>
      </c>
      <c r="R545" s="60">
        <v>0.3922531170454448</v>
      </c>
      <c r="S545" t="s">
        <v>347</v>
      </c>
      <c r="T545" t="s">
        <v>437</v>
      </c>
      <c r="U545" t="s">
        <v>425</v>
      </c>
      <c r="V545" t="s">
        <v>27</v>
      </c>
      <c r="W545">
        <v>111.133</v>
      </c>
      <c r="X545">
        <v>1.0541007448257309</v>
      </c>
      <c r="Y545">
        <v>117.145378074718</v>
      </c>
      <c r="Z545">
        <v>640.82000000000005</v>
      </c>
      <c r="AA545">
        <v>1</v>
      </c>
      <c r="AB545">
        <v>75.069101177840764</v>
      </c>
      <c r="AC545">
        <v>0.95889999999999997</v>
      </c>
      <c r="AD545" s="62">
        <v>71.983999999999995</v>
      </c>
      <c r="AE545">
        <v>8.9176000000000002</v>
      </c>
      <c r="AF545">
        <v>9.4000488020579382</v>
      </c>
      <c r="AG545">
        <v>1</v>
      </c>
      <c r="AH545">
        <v>6023.7392733347688</v>
      </c>
      <c r="AI545">
        <v>0.99097621000820357</v>
      </c>
      <c r="AJ545" s="62">
        <v>5969.3823000000002</v>
      </c>
      <c r="AK545" s="60">
        <v>2341.508814010906</v>
      </c>
      <c r="AL545" t="s">
        <v>347</v>
      </c>
      <c r="AM545" t="s">
        <v>437</v>
      </c>
      <c r="AN545" t="s">
        <v>425</v>
      </c>
      <c r="AO545" t="s">
        <v>27</v>
      </c>
      <c r="AP545">
        <v>111.133</v>
      </c>
      <c r="AQ545">
        <v>1.0541007448257309</v>
      </c>
      <c r="AR545">
        <v>117.145378074718</v>
      </c>
      <c r="AS545">
        <v>640.82000000000005</v>
      </c>
      <c r="AT545">
        <v>1</v>
      </c>
      <c r="AU545">
        <v>75.069101177840764</v>
      </c>
      <c r="AV545">
        <v>0.95889999999999997</v>
      </c>
      <c r="AW545" s="62">
        <v>71.983999999999995</v>
      </c>
      <c r="AX545">
        <v>8.9176000000000002</v>
      </c>
      <c r="AY545">
        <v>1</v>
      </c>
      <c r="AZ545">
        <v>6023.7392733347688</v>
      </c>
      <c r="BA545">
        <v>0.99097621000820357</v>
      </c>
      <c r="BB545" s="62">
        <v>5969.3823000000002</v>
      </c>
      <c r="BC545" s="60">
        <v>2341.508814010906</v>
      </c>
    </row>
    <row r="546" spans="1:55" x14ac:dyDescent="0.25">
      <c r="A546">
        <v>151655</v>
      </c>
      <c r="B546" t="s">
        <v>146</v>
      </c>
      <c r="C546">
        <v>2019</v>
      </c>
      <c r="D546">
        <v>7</v>
      </c>
      <c r="E546" t="s">
        <v>51</v>
      </c>
      <c r="F546" t="s">
        <v>426</v>
      </c>
      <c r="G546" t="s">
        <v>84</v>
      </c>
      <c r="H546" t="s">
        <v>59</v>
      </c>
      <c r="I546" t="s">
        <v>427</v>
      </c>
      <c r="J546">
        <v>-6.3124784299999996</v>
      </c>
      <c r="K546" t="s">
        <v>440</v>
      </c>
      <c r="L546" t="s">
        <v>451</v>
      </c>
      <c r="M546">
        <v>1.7625750762999999E-3</v>
      </c>
      <c r="N546">
        <v>1.112621715082996E-2</v>
      </c>
      <c r="O546">
        <v>28410.399000000001</v>
      </c>
      <c r="P546">
        <v>2.51417E-6</v>
      </c>
      <c r="Q546">
        <v>0.14285700000000001</v>
      </c>
      <c r="R546" s="60">
        <v>1.5894580035161151E-3</v>
      </c>
      <c r="S546" t="s">
        <v>347</v>
      </c>
      <c r="T546" t="s">
        <v>437</v>
      </c>
      <c r="U546" t="s">
        <v>425</v>
      </c>
      <c r="V546" t="s">
        <v>91</v>
      </c>
      <c r="W546">
        <v>111.133</v>
      </c>
      <c r="X546">
        <v>1.0541007448257309</v>
      </c>
      <c r="Y546">
        <v>117.145378074718</v>
      </c>
      <c r="Z546">
        <v>640.82000000000005</v>
      </c>
      <c r="AA546">
        <v>1</v>
      </c>
      <c r="AB546">
        <v>75.069101177840764</v>
      </c>
      <c r="AC546">
        <v>1.0088999999999999</v>
      </c>
      <c r="AD546" s="62">
        <v>75.736999999999995</v>
      </c>
      <c r="AE546">
        <v>8.9176000000000002</v>
      </c>
      <c r="AF546">
        <v>9.4000488020579382</v>
      </c>
      <c r="AG546">
        <v>1</v>
      </c>
      <c r="AH546">
        <v>6023.7392733347688</v>
      </c>
      <c r="AI546">
        <v>0.99316673174541203</v>
      </c>
      <c r="AJ546" s="62">
        <v>5982.5774000000001</v>
      </c>
      <c r="AK546" s="60">
        <v>9.5090555300846304</v>
      </c>
      <c r="AL546" t="s">
        <v>347</v>
      </c>
      <c r="AM546" t="s">
        <v>437</v>
      </c>
      <c r="AN546" t="s">
        <v>425</v>
      </c>
      <c r="AO546" t="s">
        <v>91</v>
      </c>
      <c r="AP546">
        <v>111.133</v>
      </c>
      <c r="AQ546">
        <v>1.0541007448257309</v>
      </c>
      <c r="AR546">
        <v>117.145378074718</v>
      </c>
      <c r="AS546">
        <v>640.82000000000005</v>
      </c>
      <c r="AT546">
        <v>1</v>
      </c>
      <c r="AU546">
        <v>75.069101177840764</v>
      </c>
      <c r="AV546">
        <v>1.0088999999999999</v>
      </c>
      <c r="AW546" s="62">
        <v>75.736999999999995</v>
      </c>
      <c r="AX546">
        <v>8.9176000000000002</v>
      </c>
      <c r="AY546">
        <v>1</v>
      </c>
      <c r="AZ546">
        <v>6023.7392733347688</v>
      </c>
      <c r="BA546">
        <v>0.99316673174541203</v>
      </c>
      <c r="BB546" s="62">
        <v>5982.5774000000001</v>
      </c>
      <c r="BC546" s="60">
        <v>9.5090555300846304</v>
      </c>
    </row>
    <row r="547" spans="1:55" x14ac:dyDescent="0.25">
      <c r="A547">
        <v>151657</v>
      </c>
      <c r="B547" t="s">
        <v>146</v>
      </c>
      <c r="C547">
        <v>2019</v>
      </c>
      <c r="D547">
        <v>7</v>
      </c>
      <c r="E547" t="s">
        <v>51</v>
      </c>
      <c r="F547" t="s">
        <v>426</v>
      </c>
      <c r="G547" t="s">
        <v>84</v>
      </c>
      <c r="H547" t="s">
        <v>59</v>
      </c>
      <c r="I547" t="s">
        <v>427</v>
      </c>
      <c r="J547">
        <v>-6.3124784299999996</v>
      </c>
      <c r="K547" t="s">
        <v>440</v>
      </c>
      <c r="L547" t="s">
        <v>452</v>
      </c>
      <c r="M547">
        <v>1.4858046103299999E-3</v>
      </c>
      <c r="N547">
        <v>9.3791095542656664E-3</v>
      </c>
      <c r="O547">
        <v>28410.399000000001</v>
      </c>
      <c r="P547">
        <v>2.51417E-6</v>
      </c>
      <c r="Q547">
        <v>0.14285700000000001</v>
      </c>
      <c r="R547" s="60">
        <v>1.3398714535937299E-3</v>
      </c>
      <c r="S547" t="s">
        <v>347</v>
      </c>
      <c r="T547" t="s">
        <v>437</v>
      </c>
      <c r="U547" t="s">
        <v>425</v>
      </c>
      <c r="V547" t="s">
        <v>28</v>
      </c>
      <c r="W547">
        <v>111.133</v>
      </c>
      <c r="X547">
        <v>1.0541007448257309</v>
      </c>
      <c r="Y547">
        <v>117.145378074718</v>
      </c>
      <c r="Z547">
        <v>640.82000000000005</v>
      </c>
      <c r="AA547">
        <v>1</v>
      </c>
      <c r="AB547">
        <v>75.069101177840764</v>
      </c>
      <c r="AC547">
        <v>1.0073000000000001</v>
      </c>
      <c r="AD547" s="62">
        <v>75.617000000000004</v>
      </c>
      <c r="AE547">
        <v>8.9176000000000002</v>
      </c>
      <c r="AF547">
        <v>9.4000488020579382</v>
      </c>
      <c r="AG547">
        <v>1</v>
      </c>
      <c r="AH547">
        <v>6023.7392733347688</v>
      </c>
      <c r="AI547">
        <v>0.99399488088206345</v>
      </c>
      <c r="AJ547" s="62">
        <v>5987.5659999999998</v>
      </c>
      <c r="AK547" s="60">
        <v>8.0225687599083972</v>
      </c>
      <c r="AL547" t="s">
        <v>347</v>
      </c>
      <c r="AM547" t="s">
        <v>437</v>
      </c>
      <c r="AN547" t="s">
        <v>425</v>
      </c>
      <c r="AO547" t="s">
        <v>28</v>
      </c>
      <c r="AP547">
        <v>111.133</v>
      </c>
      <c r="AQ547">
        <v>1.0541007448257309</v>
      </c>
      <c r="AR547">
        <v>117.145378074718</v>
      </c>
      <c r="AS547">
        <v>640.82000000000005</v>
      </c>
      <c r="AT547">
        <v>1</v>
      </c>
      <c r="AU547">
        <v>75.069101177840764</v>
      </c>
      <c r="AV547">
        <v>1.0073000000000001</v>
      </c>
      <c r="AW547" s="62">
        <v>75.617000000000004</v>
      </c>
      <c r="AX547">
        <v>8.9176000000000002</v>
      </c>
      <c r="AY547">
        <v>1</v>
      </c>
      <c r="AZ547">
        <v>6023.7392733347688</v>
      </c>
      <c r="BA547">
        <v>0.99399488088206345</v>
      </c>
      <c r="BB547" s="62">
        <v>5987.5659999999998</v>
      </c>
      <c r="BC547" s="60">
        <v>8.0225687599083972</v>
      </c>
    </row>
    <row r="548" spans="1:55" x14ac:dyDescent="0.25">
      <c r="A548">
        <v>158821</v>
      </c>
      <c r="B548" t="s">
        <v>151</v>
      </c>
      <c r="C548">
        <v>2019</v>
      </c>
      <c r="D548">
        <v>8</v>
      </c>
      <c r="E548" t="s">
        <v>51</v>
      </c>
      <c r="F548" t="s">
        <v>426</v>
      </c>
      <c r="G548" t="s">
        <v>84</v>
      </c>
      <c r="H548" t="s">
        <v>381</v>
      </c>
      <c r="I548" t="s">
        <v>427</v>
      </c>
      <c r="J548">
        <v>-13.3024606</v>
      </c>
      <c r="K548" t="s">
        <v>440</v>
      </c>
      <c r="L548" t="s">
        <v>450</v>
      </c>
      <c r="M548">
        <v>0.15011157993331001</v>
      </c>
      <c r="N548">
        <v>1.9968533782590381</v>
      </c>
      <c r="O548">
        <v>28410.399000000001</v>
      </c>
      <c r="P548">
        <v>2.51417E-6</v>
      </c>
      <c r="Q548">
        <v>0.14285700000000001</v>
      </c>
      <c r="R548" s="60">
        <v>0.28526448305795138</v>
      </c>
      <c r="S548" t="s">
        <v>347</v>
      </c>
      <c r="T548" t="s">
        <v>437</v>
      </c>
      <c r="U548" t="s">
        <v>425</v>
      </c>
      <c r="V548" t="s">
        <v>26</v>
      </c>
      <c r="W548">
        <v>111.133</v>
      </c>
      <c r="X548">
        <v>1.0541007448257309</v>
      </c>
      <c r="Y548">
        <v>117.145378074718</v>
      </c>
      <c r="Z548">
        <v>640.82000000000005</v>
      </c>
      <c r="AA548">
        <v>1</v>
      </c>
      <c r="AB548">
        <v>75.069101177840764</v>
      </c>
      <c r="AC548">
        <v>0.99109999999999998</v>
      </c>
      <c r="AD548" s="62">
        <v>74.400999999999996</v>
      </c>
      <c r="AE548">
        <v>8.9176000000000002</v>
      </c>
      <c r="AF548">
        <v>9.4000488020579382</v>
      </c>
      <c r="AG548">
        <v>1</v>
      </c>
      <c r="AH548">
        <v>6023.7392733347688</v>
      </c>
      <c r="AI548">
        <v>0.9830373970836227</v>
      </c>
      <c r="AJ548" s="62">
        <v>5921.5609999999997</v>
      </c>
      <c r="AK548" s="60">
        <v>1689.211037561126</v>
      </c>
      <c r="AL548" t="s">
        <v>347</v>
      </c>
      <c r="AM548" t="s">
        <v>437</v>
      </c>
      <c r="AN548" t="s">
        <v>425</v>
      </c>
      <c r="AO548" t="s">
        <v>26</v>
      </c>
      <c r="AP548">
        <v>111.133</v>
      </c>
      <c r="AQ548">
        <v>1.0541007448257309</v>
      </c>
      <c r="AR548">
        <v>117.145378074718</v>
      </c>
      <c r="AS548">
        <v>640.82000000000005</v>
      </c>
      <c r="AT548">
        <v>1</v>
      </c>
      <c r="AU548">
        <v>75.069101177840764</v>
      </c>
      <c r="AV548">
        <v>0.99109999999999998</v>
      </c>
      <c r="AW548" s="62">
        <v>74.400999999999996</v>
      </c>
      <c r="AX548">
        <v>8.9176000000000002</v>
      </c>
      <c r="AY548">
        <v>1</v>
      </c>
      <c r="AZ548">
        <v>6023.7392733347688</v>
      </c>
      <c r="BA548">
        <v>0.9830373970836227</v>
      </c>
      <c r="BB548" s="62">
        <v>5921.5609999999997</v>
      </c>
      <c r="BC548" s="60">
        <v>1689.211037561126</v>
      </c>
    </row>
    <row r="549" spans="1:55" x14ac:dyDescent="0.25">
      <c r="A549">
        <v>158823</v>
      </c>
      <c r="B549" t="s">
        <v>151</v>
      </c>
      <c r="C549">
        <v>2019</v>
      </c>
      <c r="D549">
        <v>8</v>
      </c>
      <c r="E549" t="s">
        <v>51</v>
      </c>
      <c r="F549" t="s">
        <v>426</v>
      </c>
      <c r="G549" t="s">
        <v>84</v>
      </c>
      <c r="H549" t="s">
        <v>381</v>
      </c>
      <c r="I549" t="s">
        <v>427</v>
      </c>
      <c r="J549">
        <v>-13.3024606</v>
      </c>
      <c r="K549" t="s">
        <v>440</v>
      </c>
      <c r="L549" t="s">
        <v>384</v>
      </c>
      <c r="M549">
        <v>4.5811354346740003E-2</v>
      </c>
      <c r="N549">
        <v>0.60940373641094692</v>
      </c>
      <c r="O549">
        <v>28410.399000000001</v>
      </c>
      <c r="P549">
        <v>2.51417E-6</v>
      </c>
      <c r="Q549">
        <v>0.14285700000000001</v>
      </c>
      <c r="R549" s="60">
        <v>8.7057589572458655E-2</v>
      </c>
      <c r="S549" t="s">
        <v>347</v>
      </c>
      <c r="T549" t="s">
        <v>437</v>
      </c>
      <c r="U549" t="s">
        <v>425</v>
      </c>
      <c r="V549" t="s">
        <v>81</v>
      </c>
      <c r="W549">
        <v>111.133</v>
      </c>
      <c r="X549">
        <v>1.0541007448257309</v>
      </c>
      <c r="Y549">
        <v>117.145378074718</v>
      </c>
      <c r="Z549">
        <v>640.82000000000005</v>
      </c>
      <c r="AA549">
        <v>1</v>
      </c>
      <c r="AB549">
        <v>75.069101177840764</v>
      </c>
      <c r="AC549">
        <v>0.93830000000000002</v>
      </c>
      <c r="AD549" s="62">
        <v>70.436999999999998</v>
      </c>
      <c r="AE549">
        <v>8.9176000000000002</v>
      </c>
      <c r="AF549">
        <v>9.4000488020579382</v>
      </c>
      <c r="AG549">
        <v>1</v>
      </c>
      <c r="AH549">
        <v>6023.7392733347688</v>
      </c>
      <c r="AI549">
        <v>1.098016605166052</v>
      </c>
      <c r="AJ549" s="62">
        <v>6614.1656999999996</v>
      </c>
      <c r="AK549" s="60">
        <v>575.81332287483372</v>
      </c>
      <c r="AL549" t="s">
        <v>347</v>
      </c>
      <c r="AM549" t="s">
        <v>437</v>
      </c>
      <c r="AN549" t="s">
        <v>425</v>
      </c>
      <c r="AO549" t="s">
        <v>81</v>
      </c>
      <c r="AP549">
        <v>111.133</v>
      </c>
      <c r="AQ549">
        <v>1.0541007448257309</v>
      </c>
      <c r="AR549">
        <v>117.145378074718</v>
      </c>
      <c r="AS549">
        <v>640.82000000000005</v>
      </c>
      <c r="AT549">
        <v>1</v>
      </c>
      <c r="AU549">
        <v>75.069101177840764</v>
      </c>
      <c r="AV549">
        <v>0.93830000000000002</v>
      </c>
      <c r="AW549" s="62">
        <v>70.436999999999998</v>
      </c>
      <c r="AX549">
        <v>8.9176000000000002</v>
      </c>
      <c r="AY549">
        <v>1</v>
      </c>
      <c r="AZ549">
        <v>6023.7392733347688</v>
      </c>
      <c r="BA549">
        <v>1.098016605166052</v>
      </c>
      <c r="BB549" s="62">
        <v>6614.1656999999996</v>
      </c>
      <c r="BC549" s="60">
        <v>575.81332287483372</v>
      </c>
    </row>
    <row r="550" spans="1:55" x14ac:dyDescent="0.25">
      <c r="A550">
        <v>158825</v>
      </c>
      <c r="B550" t="s">
        <v>151</v>
      </c>
      <c r="C550">
        <v>2019</v>
      </c>
      <c r="D550">
        <v>8</v>
      </c>
      <c r="E550" t="s">
        <v>51</v>
      </c>
      <c r="F550" t="s">
        <v>426</v>
      </c>
      <c r="G550" t="s">
        <v>84</v>
      </c>
      <c r="H550" t="s">
        <v>381</v>
      </c>
      <c r="I550" t="s">
        <v>427</v>
      </c>
      <c r="J550">
        <v>-13.3024606</v>
      </c>
      <c r="K550" t="s">
        <v>440</v>
      </c>
      <c r="L550" t="s">
        <v>385</v>
      </c>
      <c r="M550">
        <v>0.43232641346992001</v>
      </c>
      <c r="N550">
        <v>5.7510050832291419</v>
      </c>
      <c r="O550">
        <v>28410.399000000001</v>
      </c>
      <c r="P550">
        <v>2.51417E-6</v>
      </c>
      <c r="Q550">
        <v>0.14285700000000001</v>
      </c>
      <c r="R550" s="60">
        <v>0.82157133317486564</v>
      </c>
      <c r="S550" t="s">
        <v>347</v>
      </c>
      <c r="T550" t="s">
        <v>437</v>
      </c>
      <c r="U550" t="s">
        <v>425</v>
      </c>
      <c r="V550" t="s">
        <v>27</v>
      </c>
      <c r="W550">
        <v>111.133</v>
      </c>
      <c r="X550">
        <v>1.0541007448257309</v>
      </c>
      <c r="Y550">
        <v>117.145378074718</v>
      </c>
      <c r="Z550">
        <v>640.82000000000005</v>
      </c>
      <c r="AA550">
        <v>1</v>
      </c>
      <c r="AB550">
        <v>75.069101177840764</v>
      </c>
      <c r="AC550">
        <v>0.95889999999999997</v>
      </c>
      <c r="AD550" s="62">
        <v>71.983999999999995</v>
      </c>
      <c r="AE550">
        <v>8.9176000000000002</v>
      </c>
      <c r="AF550">
        <v>9.4000488020579382</v>
      </c>
      <c r="AG550">
        <v>1</v>
      </c>
      <c r="AH550">
        <v>6023.7392733347688</v>
      </c>
      <c r="AI550">
        <v>0.99097621000820357</v>
      </c>
      <c r="AJ550" s="62">
        <v>5969.3823000000002</v>
      </c>
      <c r="AK550" s="60">
        <v>4904.2733744414463</v>
      </c>
      <c r="AL550" t="s">
        <v>347</v>
      </c>
      <c r="AM550" t="s">
        <v>437</v>
      </c>
      <c r="AN550" t="s">
        <v>425</v>
      </c>
      <c r="AO550" t="s">
        <v>27</v>
      </c>
      <c r="AP550">
        <v>111.133</v>
      </c>
      <c r="AQ550">
        <v>1.0541007448257309</v>
      </c>
      <c r="AR550">
        <v>117.145378074718</v>
      </c>
      <c r="AS550">
        <v>640.82000000000005</v>
      </c>
      <c r="AT550">
        <v>1</v>
      </c>
      <c r="AU550">
        <v>75.069101177840764</v>
      </c>
      <c r="AV550">
        <v>0.95889999999999997</v>
      </c>
      <c r="AW550" s="62">
        <v>71.983999999999995</v>
      </c>
      <c r="AX550">
        <v>8.9176000000000002</v>
      </c>
      <c r="AY550">
        <v>1</v>
      </c>
      <c r="AZ550">
        <v>6023.7392733347688</v>
      </c>
      <c r="BA550">
        <v>0.99097621000820357</v>
      </c>
      <c r="BB550" s="62">
        <v>5969.3823000000002</v>
      </c>
      <c r="BC550" s="60">
        <v>4904.2733744414463</v>
      </c>
    </row>
    <row r="551" spans="1:55" x14ac:dyDescent="0.25">
      <c r="A551">
        <v>158827</v>
      </c>
      <c r="B551" t="s">
        <v>151</v>
      </c>
      <c r="C551">
        <v>2019</v>
      </c>
      <c r="D551">
        <v>8</v>
      </c>
      <c r="E551" t="s">
        <v>51</v>
      </c>
      <c r="F551" t="s">
        <v>426</v>
      </c>
      <c r="G551" t="s">
        <v>84</v>
      </c>
      <c r="H551" t="s">
        <v>381</v>
      </c>
      <c r="I551" t="s">
        <v>427</v>
      </c>
      <c r="J551">
        <v>-13.3024606</v>
      </c>
      <c r="K551" t="s">
        <v>440</v>
      </c>
      <c r="L551" t="s">
        <v>451</v>
      </c>
      <c r="M551">
        <v>1.6825115802299999E-3</v>
      </c>
      <c r="N551">
        <v>2.2381544011693521E-2</v>
      </c>
      <c r="O551">
        <v>28410.399000000001</v>
      </c>
      <c r="P551">
        <v>2.51417E-6</v>
      </c>
      <c r="Q551">
        <v>0.14285700000000001</v>
      </c>
      <c r="R551" s="60">
        <v>3.197360232878501E-3</v>
      </c>
      <c r="S551" t="s">
        <v>347</v>
      </c>
      <c r="T551" t="s">
        <v>437</v>
      </c>
      <c r="U551" t="s">
        <v>425</v>
      </c>
      <c r="V551" t="s">
        <v>91</v>
      </c>
      <c r="W551">
        <v>111.133</v>
      </c>
      <c r="X551">
        <v>1.0541007448257309</v>
      </c>
      <c r="Y551">
        <v>117.145378074718</v>
      </c>
      <c r="Z551">
        <v>640.82000000000005</v>
      </c>
      <c r="AA551">
        <v>1</v>
      </c>
      <c r="AB551">
        <v>75.069101177840764</v>
      </c>
      <c r="AC551">
        <v>1.0088999999999999</v>
      </c>
      <c r="AD551" s="62">
        <v>75.736999999999995</v>
      </c>
      <c r="AE551">
        <v>8.9176000000000002</v>
      </c>
      <c r="AF551">
        <v>9.4000488020579382</v>
      </c>
      <c r="AG551">
        <v>1</v>
      </c>
      <c r="AH551">
        <v>6023.7392733347688</v>
      </c>
      <c r="AI551">
        <v>0.99316673174541203</v>
      </c>
      <c r="AJ551" s="62">
        <v>5982.5774000000001</v>
      </c>
      <c r="AK551" s="60">
        <v>19.12845506887766</v>
      </c>
      <c r="AL551" t="s">
        <v>347</v>
      </c>
      <c r="AM551" t="s">
        <v>437</v>
      </c>
      <c r="AN551" t="s">
        <v>425</v>
      </c>
      <c r="AO551" t="s">
        <v>91</v>
      </c>
      <c r="AP551">
        <v>111.133</v>
      </c>
      <c r="AQ551">
        <v>1.0541007448257309</v>
      </c>
      <c r="AR551">
        <v>117.145378074718</v>
      </c>
      <c r="AS551">
        <v>640.82000000000005</v>
      </c>
      <c r="AT551">
        <v>1</v>
      </c>
      <c r="AU551">
        <v>75.069101177840764</v>
      </c>
      <c r="AV551">
        <v>1.0088999999999999</v>
      </c>
      <c r="AW551" s="62">
        <v>75.736999999999995</v>
      </c>
      <c r="AX551">
        <v>8.9176000000000002</v>
      </c>
      <c r="AY551">
        <v>1</v>
      </c>
      <c r="AZ551">
        <v>6023.7392733347688</v>
      </c>
      <c r="BA551">
        <v>0.99316673174541203</v>
      </c>
      <c r="BB551" s="62">
        <v>5982.5774000000001</v>
      </c>
      <c r="BC551" s="60">
        <v>19.12845506887766</v>
      </c>
    </row>
    <row r="552" spans="1:55" x14ac:dyDescent="0.25">
      <c r="A552">
        <v>158829</v>
      </c>
      <c r="B552" t="s">
        <v>151</v>
      </c>
      <c r="C552">
        <v>2019</v>
      </c>
      <c r="D552">
        <v>8</v>
      </c>
      <c r="E552" t="s">
        <v>51</v>
      </c>
      <c r="F552" t="s">
        <v>426</v>
      </c>
      <c r="G552" t="s">
        <v>84</v>
      </c>
      <c r="H552" t="s">
        <v>381</v>
      </c>
      <c r="I552" t="s">
        <v>427</v>
      </c>
      <c r="J552">
        <v>-13.3024606</v>
      </c>
      <c r="K552" t="s">
        <v>440</v>
      </c>
      <c r="L552" t="s">
        <v>452</v>
      </c>
      <c r="M552">
        <v>1.53682162831E-3</v>
      </c>
      <c r="N552">
        <v>2.0443509165886851E-2</v>
      </c>
      <c r="O552">
        <v>28410.399000000001</v>
      </c>
      <c r="P552">
        <v>2.51417E-6</v>
      </c>
      <c r="Q552">
        <v>0.14285700000000001</v>
      </c>
      <c r="R552" s="60">
        <v>2.9204983889110979E-3</v>
      </c>
      <c r="S552" t="s">
        <v>347</v>
      </c>
      <c r="T552" t="s">
        <v>437</v>
      </c>
      <c r="U552" t="s">
        <v>425</v>
      </c>
      <c r="V552" t="s">
        <v>28</v>
      </c>
      <c r="W552">
        <v>111.133</v>
      </c>
      <c r="X552">
        <v>1.0541007448257309</v>
      </c>
      <c r="Y552">
        <v>117.145378074718</v>
      </c>
      <c r="Z552">
        <v>640.82000000000005</v>
      </c>
      <c r="AA552">
        <v>1</v>
      </c>
      <c r="AB552">
        <v>75.069101177840764</v>
      </c>
      <c r="AC552">
        <v>1.0073000000000001</v>
      </c>
      <c r="AD552" s="62">
        <v>75.617000000000004</v>
      </c>
      <c r="AE552">
        <v>8.9176000000000002</v>
      </c>
      <c r="AF552">
        <v>9.4000488020579382</v>
      </c>
      <c r="AG552">
        <v>1</v>
      </c>
      <c r="AH552">
        <v>6023.7392733347688</v>
      </c>
      <c r="AI552">
        <v>0.99399488088206345</v>
      </c>
      <c r="AJ552" s="62">
        <v>5987.5659999999998</v>
      </c>
      <c r="AK552" s="60">
        <v>17.486676856498871</v>
      </c>
      <c r="AL552" t="s">
        <v>347</v>
      </c>
      <c r="AM552" t="s">
        <v>437</v>
      </c>
      <c r="AN552" t="s">
        <v>425</v>
      </c>
      <c r="AO552" t="s">
        <v>28</v>
      </c>
      <c r="AP552">
        <v>111.133</v>
      </c>
      <c r="AQ552">
        <v>1.0541007448257309</v>
      </c>
      <c r="AR552">
        <v>117.145378074718</v>
      </c>
      <c r="AS552">
        <v>640.82000000000005</v>
      </c>
      <c r="AT552">
        <v>1</v>
      </c>
      <c r="AU552">
        <v>75.069101177840764</v>
      </c>
      <c r="AV552">
        <v>1.0073000000000001</v>
      </c>
      <c r="AW552" s="62">
        <v>75.617000000000004</v>
      </c>
      <c r="AX552">
        <v>8.9176000000000002</v>
      </c>
      <c r="AY552">
        <v>1</v>
      </c>
      <c r="AZ552">
        <v>6023.7392733347688</v>
      </c>
      <c r="BA552">
        <v>0.99399488088206345</v>
      </c>
      <c r="BB552" s="62">
        <v>5987.5659999999998</v>
      </c>
      <c r="BC552" s="60">
        <v>17.486676856498871</v>
      </c>
    </row>
    <row r="553" spans="1:55" x14ac:dyDescent="0.25">
      <c r="A553">
        <v>158831</v>
      </c>
      <c r="B553" t="s">
        <v>151</v>
      </c>
      <c r="C553">
        <v>2019</v>
      </c>
      <c r="D553">
        <v>8</v>
      </c>
      <c r="E553" t="s">
        <v>51</v>
      </c>
      <c r="F553" t="s">
        <v>426</v>
      </c>
      <c r="G553" t="s">
        <v>84</v>
      </c>
      <c r="H553" t="s">
        <v>87</v>
      </c>
      <c r="I553" t="s">
        <v>427</v>
      </c>
      <c r="J553">
        <v>-2.6545286400000001</v>
      </c>
      <c r="K553" t="s">
        <v>440</v>
      </c>
      <c r="L553" t="s">
        <v>450</v>
      </c>
      <c r="M553">
        <v>0.26601384014995</v>
      </c>
      <c r="N553">
        <v>0.70614135621524254</v>
      </c>
      <c r="O553">
        <v>28410.399000000001</v>
      </c>
      <c r="P553">
        <v>2.51417E-6</v>
      </c>
      <c r="Q553">
        <v>0.14285700000000001</v>
      </c>
      <c r="R553" s="60">
        <v>0.10087723572484091</v>
      </c>
      <c r="S553" t="s">
        <v>347</v>
      </c>
      <c r="T553" t="s">
        <v>437</v>
      </c>
      <c r="U553" t="s">
        <v>425</v>
      </c>
      <c r="V553" t="s">
        <v>26</v>
      </c>
      <c r="W553">
        <v>111.133</v>
      </c>
      <c r="X553">
        <v>1.0541007448257309</v>
      </c>
      <c r="Y553">
        <v>117.145378074718</v>
      </c>
      <c r="Z553">
        <v>640.82000000000005</v>
      </c>
      <c r="AA553">
        <v>1</v>
      </c>
      <c r="AB553">
        <v>75.069101177840764</v>
      </c>
      <c r="AC553">
        <v>0.99109999999999998</v>
      </c>
      <c r="AD553" s="62">
        <v>74.400999999999996</v>
      </c>
      <c r="AE553">
        <v>8.9176000000000002</v>
      </c>
      <c r="AF553">
        <v>9.4000488020579382</v>
      </c>
      <c r="AG553">
        <v>1</v>
      </c>
      <c r="AH553">
        <v>6023.7392733347688</v>
      </c>
      <c r="AI553">
        <v>0.9830373970836227</v>
      </c>
      <c r="AJ553" s="62">
        <v>5921.5609999999997</v>
      </c>
      <c r="AK553" s="60">
        <v>597.35070485602466</v>
      </c>
      <c r="AL553" t="s">
        <v>347</v>
      </c>
      <c r="AM553" t="s">
        <v>437</v>
      </c>
      <c r="AN553" t="s">
        <v>425</v>
      </c>
      <c r="AO553" t="s">
        <v>26</v>
      </c>
      <c r="AP553">
        <v>111.133</v>
      </c>
      <c r="AQ553">
        <v>1.0541007448257309</v>
      </c>
      <c r="AR553">
        <v>117.145378074718</v>
      </c>
      <c r="AS553">
        <v>640.82000000000005</v>
      </c>
      <c r="AT553">
        <v>1</v>
      </c>
      <c r="AU553">
        <v>75.069101177840764</v>
      </c>
      <c r="AV553">
        <v>0.99109999999999998</v>
      </c>
      <c r="AW553" s="62">
        <v>74.400999999999996</v>
      </c>
      <c r="AX553">
        <v>8.9176000000000002</v>
      </c>
      <c r="AY553">
        <v>1</v>
      </c>
      <c r="AZ553">
        <v>6023.7392733347688</v>
      </c>
      <c r="BA553">
        <v>0.9830373970836227</v>
      </c>
      <c r="BB553" s="62">
        <v>5921.5609999999997</v>
      </c>
      <c r="BC553" s="60">
        <v>597.35070485602466</v>
      </c>
    </row>
    <row r="554" spans="1:55" x14ac:dyDescent="0.25">
      <c r="A554">
        <v>158833</v>
      </c>
      <c r="B554" t="s">
        <v>151</v>
      </c>
      <c r="C554">
        <v>2019</v>
      </c>
      <c r="D554">
        <v>8</v>
      </c>
      <c r="E554" t="s">
        <v>51</v>
      </c>
      <c r="F554" t="s">
        <v>426</v>
      </c>
      <c r="G554" t="s">
        <v>84</v>
      </c>
      <c r="H554" t="s">
        <v>87</v>
      </c>
      <c r="I554" t="s">
        <v>427</v>
      </c>
      <c r="J554">
        <v>-2.6545286400000001</v>
      </c>
      <c r="K554" t="s">
        <v>440</v>
      </c>
      <c r="L554" t="s">
        <v>384</v>
      </c>
      <c r="M554">
        <v>3.9509559941419997E-2</v>
      </c>
      <c r="N554">
        <v>0.1048792582550408</v>
      </c>
      <c r="O554">
        <v>28410.399000000001</v>
      </c>
      <c r="P554">
        <v>2.51417E-6</v>
      </c>
      <c r="Q554">
        <v>0.14285700000000001</v>
      </c>
      <c r="R554" s="60">
        <v>1.498273619654036E-2</v>
      </c>
      <c r="S554" t="s">
        <v>347</v>
      </c>
      <c r="T554" t="s">
        <v>437</v>
      </c>
      <c r="U554" t="s">
        <v>425</v>
      </c>
      <c r="V554" t="s">
        <v>81</v>
      </c>
      <c r="W554">
        <v>111.133</v>
      </c>
      <c r="X554">
        <v>1.0541007448257309</v>
      </c>
      <c r="Y554">
        <v>117.145378074718</v>
      </c>
      <c r="Z554">
        <v>640.82000000000005</v>
      </c>
      <c r="AA554">
        <v>1</v>
      </c>
      <c r="AB554">
        <v>75.069101177840764</v>
      </c>
      <c r="AC554">
        <v>0.93830000000000002</v>
      </c>
      <c r="AD554" s="62">
        <v>70.436999999999998</v>
      </c>
      <c r="AE554">
        <v>8.9176000000000002</v>
      </c>
      <c r="AF554">
        <v>9.4000488020579382</v>
      </c>
      <c r="AG554">
        <v>1</v>
      </c>
      <c r="AH554">
        <v>6023.7392733347688</v>
      </c>
      <c r="AI554">
        <v>1.098016605166052</v>
      </c>
      <c r="AJ554" s="62">
        <v>6614.1656999999996</v>
      </c>
      <c r="AK554" s="60">
        <v>99.098299843305696</v>
      </c>
      <c r="AL554" t="s">
        <v>347</v>
      </c>
      <c r="AM554" t="s">
        <v>437</v>
      </c>
      <c r="AN554" t="s">
        <v>425</v>
      </c>
      <c r="AO554" t="s">
        <v>81</v>
      </c>
      <c r="AP554">
        <v>111.133</v>
      </c>
      <c r="AQ554">
        <v>1.0541007448257309</v>
      </c>
      <c r="AR554">
        <v>117.145378074718</v>
      </c>
      <c r="AS554">
        <v>640.82000000000005</v>
      </c>
      <c r="AT554">
        <v>1</v>
      </c>
      <c r="AU554">
        <v>75.069101177840764</v>
      </c>
      <c r="AV554">
        <v>0.93830000000000002</v>
      </c>
      <c r="AW554" s="62">
        <v>70.436999999999998</v>
      </c>
      <c r="AX554">
        <v>8.9176000000000002</v>
      </c>
      <c r="AY554">
        <v>1</v>
      </c>
      <c r="AZ554">
        <v>6023.7392733347688</v>
      </c>
      <c r="BA554">
        <v>1.098016605166052</v>
      </c>
      <c r="BB554" s="62">
        <v>6614.1656999999996</v>
      </c>
      <c r="BC554" s="60">
        <v>99.098299843305696</v>
      </c>
    </row>
    <row r="555" spans="1:55" x14ac:dyDescent="0.25">
      <c r="A555">
        <v>158835</v>
      </c>
      <c r="B555" t="s">
        <v>151</v>
      </c>
      <c r="C555">
        <v>2019</v>
      </c>
      <c r="D555">
        <v>8</v>
      </c>
      <c r="E555" t="s">
        <v>51</v>
      </c>
      <c r="F555" t="s">
        <v>426</v>
      </c>
      <c r="G555" t="s">
        <v>84</v>
      </c>
      <c r="H555" t="s">
        <v>87</v>
      </c>
      <c r="I555" t="s">
        <v>427</v>
      </c>
      <c r="J555">
        <v>-2.6545286400000001</v>
      </c>
      <c r="K555" t="s">
        <v>440</v>
      </c>
      <c r="L555" t="s">
        <v>385</v>
      </c>
      <c r="M555">
        <v>0.39737542925016001</v>
      </c>
      <c r="N555">
        <v>1.05484445613487</v>
      </c>
      <c r="O555">
        <v>28410.399000000001</v>
      </c>
      <c r="P555">
        <v>2.51417E-6</v>
      </c>
      <c r="Q555">
        <v>0.14285700000000001</v>
      </c>
      <c r="R555" s="60">
        <v>0.15069191447005911</v>
      </c>
      <c r="S555" t="s">
        <v>347</v>
      </c>
      <c r="T555" t="s">
        <v>437</v>
      </c>
      <c r="U555" t="s">
        <v>425</v>
      </c>
      <c r="V555" t="s">
        <v>27</v>
      </c>
      <c r="W555">
        <v>111.133</v>
      </c>
      <c r="X555">
        <v>1.0541007448257309</v>
      </c>
      <c r="Y555">
        <v>117.145378074718</v>
      </c>
      <c r="Z555">
        <v>640.82000000000005</v>
      </c>
      <c r="AA555">
        <v>1</v>
      </c>
      <c r="AB555">
        <v>75.069101177840764</v>
      </c>
      <c r="AC555">
        <v>0.95889999999999997</v>
      </c>
      <c r="AD555" s="62">
        <v>71.983999999999995</v>
      </c>
      <c r="AE555">
        <v>8.9176000000000002</v>
      </c>
      <c r="AF555">
        <v>9.4000488020579382</v>
      </c>
      <c r="AG555">
        <v>1</v>
      </c>
      <c r="AH555">
        <v>6023.7392733347688</v>
      </c>
      <c r="AI555">
        <v>0.99097621000820357</v>
      </c>
      <c r="AJ555" s="62">
        <v>5969.3823000000002</v>
      </c>
      <c r="AK555" s="60">
        <v>899.53764699068483</v>
      </c>
      <c r="AL555" t="s">
        <v>347</v>
      </c>
      <c r="AM555" t="s">
        <v>437</v>
      </c>
      <c r="AN555" t="s">
        <v>425</v>
      </c>
      <c r="AO555" t="s">
        <v>27</v>
      </c>
      <c r="AP555">
        <v>111.133</v>
      </c>
      <c r="AQ555">
        <v>1.0541007448257309</v>
      </c>
      <c r="AR555">
        <v>117.145378074718</v>
      </c>
      <c r="AS555">
        <v>640.82000000000005</v>
      </c>
      <c r="AT555">
        <v>1</v>
      </c>
      <c r="AU555">
        <v>75.069101177840764</v>
      </c>
      <c r="AV555">
        <v>0.95889999999999997</v>
      </c>
      <c r="AW555" s="62">
        <v>71.983999999999995</v>
      </c>
      <c r="AX555">
        <v>8.9176000000000002</v>
      </c>
      <c r="AY555">
        <v>1</v>
      </c>
      <c r="AZ555">
        <v>6023.7392733347688</v>
      </c>
      <c r="BA555">
        <v>0.99097621000820357</v>
      </c>
      <c r="BB555" s="62">
        <v>5969.3823000000002</v>
      </c>
      <c r="BC555" s="60">
        <v>899.53764699068483</v>
      </c>
    </row>
    <row r="556" spans="1:55" x14ac:dyDescent="0.25">
      <c r="A556">
        <v>158837</v>
      </c>
      <c r="B556" t="s">
        <v>151</v>
      </c>
      <c r="C556">
        <v>2019</v>
      </c>
      <c r="D556">
        <v>8</v>
      </c>
      <c r="E556" t="s">
        <v>51</v>
      </c>
      <c r="F556" t="s">
        <v>426</v>
      </c>
      <c r="G556" t="s">
        <v>84</v>
      </c>
      <c r="H556" t="s">
        <v>87</v>
      </c>
      <c r="I556" t="s">
        <v>427</v>
      </c>
      <c r="J556">
        <v>-2.6545286400000001</v>
      </c>
      <c r="K556" t="s">
        <v>440</v>
      </c>
      <c r="L556" t="s">
        <v>452</v>
      </c>
      <c r="M556">
        <v>8.4248020759000004E-4</v>
      </c>
      <c r="N556">
        <v>2.2363878361996328E-3</v>
      </c>
      <c r="O556">
        <v>28410.399000000001</v>
      </c>
      <c r="P556">
        <v>2.51417E-6</v>
      </c>
      <c r="Q556">
        <v>0.14285700000000001</v>
      </c>
      <c r="R556" s="60">
        <v>3.1948365711597097E-4</v>
      </c>
      <c r="S556" t="s">
        <v>347</v>
      </c>
      <c r="T556" t="s">
        <v>437</v>
      </c>
      <c r="U556" t="s">
        <v>425</v>
      </c>
      <c r="V556" t="s">
        <v>28</v>
      </c>
      <c r="W556">
        <v>111.133</v>
      </c>
      <c r="X556">
        <v>1.0541007448257309</v>
      </c>
      <c r="Y556">
        <v>117.145378074718</v>
      </c>
      <c r="Z556">
        <v>640.82000000000005</v>
      </c>
      <c r="AA556">
        <v>1</v>
      </c>
      <c r="AB556">
        <v>75.069101177840764</v>
      </c>
      <c r="AC556">
        <v>1.0073000000000001</v>
      </c>
      <c r="AD556" s="62">
        <v>75.617000000000004</v>
      </c>
      <c r="AE556">
        <v>8.9176000000000002</v>
      </c>
      <c r="AF556">
        <v>9.4000488020579382</v>
      </c>
      <c r="AG556">
        <v>1</v>
      </c>
      <c r="AH556">
        <v>6023.7392733347688</v>
      </c>
      <c r="AI556">
        <v>0.99399488088206345</v>
      </c>
      <c r="AJ556" s="62">
        <v>5987.5659999999998</v>
      </c>
      <c r="AK556" s="60">
        <v>1.9129294829032459</v>
      </c>
      <c r="AL556" t="s">
        <v>347</v>
      </c>
      <c r="AM556" t="s">
        <v>437</v>
      </c>
      <c r="AN556" t="s">
        <v>425</v>
      </c>
      <c r="AO556" t="s">
        <v>28</v>
      </c>
      <c r="AP556">
        <v>111.133</v>
      </c>
      <c r="AQ556">
        <v>1.0541007448257309</v>
      </c>
      <c r="AR556">
        <v>117.145378074718</v>
      </c>
      <c r="AS556">
        <v>640.82000000000005</v>
      </c>
      <c r="AT556">
        <v>1</v>
      </c>
      <c r="AU556">
        <v>75.069101177840764</v>
      </c>
      <c r="AV556">
        <v>1.0073000000000001</v>
      </c>
      <c r="AW556" s="62">
        <v>75.617000000000004</v>
      </c>
      <c r="AX556">
        <v>8.9176000000000002</v>
      </c>
      <c r="AY556">
        <v>1</v>
      </c>
      <c r="AZ556">
        <v>6023.7392733347688</v>
      </c>
      <c r="BA556">
        <v>0.99399488088206345</v>
      </c>
      <c r="BB556" s="62">
        <v>5987.5659999999998</v>
      </c>
      <c r="BC556" s="60">
        <v>1.9129294829032459</v>
      </c>
    </row>
    <row r="557" spans="1:55" x14ac:dyDescent="0.25">
      <c r="A557">
        <v>158839</v>
      </c>
      <c r="B557" t="s">
        <v>151</v>
      </c>
      <c r="C557">
        <v>2019</v>
      </c>
      <c r="D557">
        <v>8</v>
      </c>
      <c r="E557" t="s">
        <v>51</v>
      </c>
      <c r="F557" t="s">
        <v>426</v>
      </c>
      <c r="G557" t="s">
        <v>84</v>
      </c>
      <c r="H557" t="s">
        <v>59</v>
      </c>
      <c r="I557" t="s">
        <v>427</v>
      </c>
      <c r="J557">
        <v>-6.3124784299999996</v>
      </c>
      <c r="K557" t="s">
        <v>440</v>
      </c>
      <c r="L557" t="s">
        <v>450</v>
      </c>
      <c r="M557">
        <v>0.15931709696460999</v>
      </c>
      <c r="N557">
        <v>1.0056857381582409</v>
      </c>
      <c r="O557">
        <v>28410.399000000001</v>
      </c>
      <c r="P557">
        <v>2.51417E-6</v>
      </c>
      <c r="Q557">
        <v>0.14285700000000001</v>
      </c>
      <c r="R557" s="60">
        <v>0.14366924749607179</v>
      </c>
      <c r="S557" t="s">
        <v>347</v>
      </c>
      <c r="T557" t="s">
        <v>437</v>
      </c>
      <c r="U557" t="s">
        <v>425</v>
      </c>
      <c r="V557" t="s">
        <v>26</v>
      </c>
      <c r="W557">
        <v>111.133</v>
      </c>
      <c r="X557">
        <v>1.0541007448257309</v>
      </c>
      <c r="Y557">
        <v>117.145378074718</v>
      </c>
      <c r="Z557">
        <v>640.82000000000005</v>
      </c>
      <c r="AA557">
        <v>1</v>
      </c>
      <c r="AB557">
        <v>75.069101177840764</v>
      </c>
      <c r="AC557">
        <v>0.99109999999999998</v>
      </c>
      <c r="AD557" s="62">
        <v>74.400999999999996</v>
      </c>
      <c r="AE557">
        <v>8.9176000000000002</v>
      </c>
      <c r="AF557">
        <v>9.4000488020579382</v>
      </c>
      <c r="AG557">
        <v>1</v>
      </c>
      <c r="AH557">
        <v>6023.7392733347688</v>
      </c>
      <c r="AI557">
        <v>0.9830373970836227</v>
      </c>
      <c r="AJ557" s="62">
        <v>5921.5609999999997</v>
      </c>
      <c r="AK557" s="60">
        <v>850.74621287208652</v>
      </c>
      <c r="AL557" t="s">
        <v>347</v>
      </c>
      <c r="AM557" t="s">
        <v>437</v>
      </c>
      <c r="AN557" t="s">
        <v>425</v>
      </c>
      <c r="AO557" t="s">
        <v>26</v>
      </c>
      <c r="AP557">
        <v>111.133</v>
      </c>
      <c r="AQ557">
        <v>1.0541007448257309</v>
      </c>
      <c r="AR557">
        <v>117.145378074718</v>
      </c>
      <c r="AS557">
        <v>640.82000000000005</v>
      </c>
      <c r="AT557">
        <v>1</v>
      </c>
      <c r="AU557">
        <v>75.069101177840764</v>
      </c>
      <c r="AV557">
        <v>0.99109999999999998</v>
      </c>
      <c r="AW557" s="62">
        <v>74.400999999999996</v>
      </c>
      <c r="AX557">
        <v>8.9176000000000002</v>
      </c>
      <c r="AY557">
        <v>1</v>
      </c>
      <c r="AZ557">
        <v>6023.7392733347688</v>
      </c>
      <c r="BA557">
        <v>0.9830373970836227</v>
      </c>
      <c r="BB557" s="62">
        <v>5921.5609999999997</v>
      </c>
      <c r="BC557" s="60">
        <v>850.74621287208652</v>
      </c>
    </row>
    <row r="558" spans="1:55" x14ac:dyDescent="0.25">
      <c r="A558">
        <v>158841</v>
      </c>
      <c r="B558" t="s">
        <v>151</v>
      </c>
      <c r="C558">
        <v>2019</v>
      </c>
      <c r="D558">
        <v>8</v>
      </c>
      <c r="E558" t="s">
        <v>51</v>
      </c>
      <c r="F558" t="s">
        <v>426</v>
      </c>
      <c r="G558" t="s">
        <v>84</v>
      </c>
      <c r="H558" t="s">
        <v>59</v>
      </c>
      <c r="I558" t="s">
        <v>427</v>
      </c>
      <c r="J558">
        <v>-6.3124784299999996</v>
      </c>
      <c r="K558" t="s">
        <v>440</v>
      </c>
      <c r="L558" t="s">
        <v>384</v>
      </c>
      <c r="M558">
        <v>4.1785183859599999E-2</v>
      </c>
      <c r="N558">
        <v>0.26376807181751738</v>
      </c>
      <c r="O558">
        <v>28410.399000000001</v>
      </c>
      <c r="P558">
        <v>2.51417E-6</v>
      </c>
      <c r="Q558">
        <v>0.14285700000000001</v>
      </c>
      <c r="R558" s="60">
        <v>3.7681115435635092E-2</v>
      </c>
      <c r="S558" t="s">
        <v>347</v>
      </c>
      <c r="T558" t="s">
        <v>437</v>
      </c>
      <c r="U558" t="s">
        <v>425</v>
      </c>
      <c r="V558" t="s">
        <v>81</v>
      </c>
      <c r="W558">
        <v>111.133</v>
      </c>
      <c r="X558">
        <v>1.0541007448257309</v>
      </c>
      <c r="Y558">
        <v>117.145378074718</v>
      </c>
      <c r="Z558">
        <v>640.82000000000005</v>
      </c>
      <c r="AA558">
        <v>1</v>
      </c>
      <c r="AB558">
        <v>75.069101177840764</v>
      </c>
      <c r="AC558">
        <v>0.93830000000000002</v>
      </c>
      <c r="AD558" s="62">
        <v>70.436999999999998</v>
      </c>
      <c r="AE558">
        <v>8.9176000000000002</v>
      </c>
      <c r="AF558">
        <v>9.4000488020579382</v>
      </c>
      <c r="AG558">
        <v>1</v>
      </c>
      <c r="AH558">
        <v>6023.7392733347688</v>
      </c>
      <c r="AI558">
        <v>1.098016605166052</v>
      </c>
      <c r="AJ558" s="62">
        <v>6614.1656999999996</v>
      </c>
      <c r="AK558" s="60">
        <v>249.22914125211821</v>
      </c>
      <c r="AL558" t="s">
        <v>347</v>
      </c>
      <c r="AM558" t="s">
        <v>437</v>
      </c>
      <c r="AN558" t="s">
        <v>425</v>
      </c>
      <c r="AO558" t="s">
        <v>81</v>
      </c>
      <c r="AP558">
        <v>111.133</v>
      </c>
      <c r="AQ558">
        <v>1.0541007448257309</v>
      </c>
      <c r="AR558">
        <v>117.145378074718</v>
      </c>
      <c r="AS558">
        <v>640.82000000000005</v>
      </c>
      <c r="AT558">
        <v>1</v>
      </c>
      <c r="AU558">
        <v>75.069101177840764</v>
      </c>
      <c r="AV558">
        <v>0.93830000000000002</v>
      </c>
      <c r="AW558" s="62">
        <v>70.436999999999998</v>
      </c>
      <c r="AX558">
        <v>8.9176000000000002</v>
      </c>
      <c r="AY558">
        <v>1</v>
      </c>
      <c r="AZ558">
        <v>6023.7392733347688</v>
      </c>
      <c r="BA558">
        <v>1.098016605166052</v>
      </c>
      <c r="BB558" s="62">
        <v>6614.1656999999996</v>
      </c>
      <c r="BC558" s="60">
        <v>249.22914125211821</v>
      </c>
    </row>
    <row r="559" spans="1:55" x14ac:dyDescent="0.25">
      <c r="A559">
        <v>158843</v>
      </c>
      <c r="B559" t="s">
        <v>151</v>
      </c>
      <c r="C559">
        <v>2019</v>
      </c>
      <c r="D559">
        <v>8</v>
      </c>
      <c r="E559" t="s">
        <v>51</v>
      </c>
      <c r="F559" t="s">
        <v>426</v>
      </c>
      <c r="G559" t="s">
        <v>84</v>
      </c>
      <c r="H559" t="s">
        <v>59</v>
      </c>
      <c r="I559" t="s">
        <v>427</v>
      </c>
      <c r="J559">
        <v>-6.3124784299999996</v>
      </c>
      <c r="K559" t="s">
        <v>440</v>
      </c>
      <c r="L559" t="s">
        <v>385</v>
      </c>
      <c r="M559">
        <v>0.43497567483749999</v>
      </c>
      <c r="N559">
        <v>2.7457745650926788</v>
      </c>
      <c r="O559">
        <v>28410.399000000001</v>
      </c>
      <c r="P559">
        <v>2.51417E-6</v>
      </c>
      <c r="Q559">
        <v>0.14285700000000001</v>
      </c>
      <c r="R559" s="60">
        <v>0.39225311704544491</v>
      </c>
      <c r="S559" t="s">
        <v>347</v>
      </c>
      <c r="T559" t="s">
        <v>437</v>
      </c>
      <c r="U559" t="s">
        <v>425</v>
      </c>
      <c r="V559" t="s">
        <v>27</v>
      </c>
      <c r="W559">
        <v>111.133</v>
      </c>
      <c r="X559">
        <v>1.0541007448257309</v>
      </c>
      <c r="Y559">
        <v>117.145378074718</v>
      </c>
      <c r="Z559">
        <v>640.82000000000005</v>
      </c>
      <c r="AA559">
        <v>1</v>
      </c>
      <c r="AB559">
        <v>75.069101177840764</v>
      </c>
      <c r="AC559">
        <v>0.95889999999999997</v>
      </c>
      <c r="AD559" s="62">
        <v>71.983999999999995</v>
      </c>
      <c r="AE559">
        <v>8.9176000000000002</v>
      </c>
      <c r="AF559">
        <v>9.4000488020579382</v>
      </c>
      <c r="AG559">
        <v>1</v>
      </c>
      <c r="AH559">
        <v>6023.7392733347688</v>
      </c>
      <c r="AI559">
        <v>0.99097621000820357</v>
      </c>
      <c r="AJ559" s="62">
        <v>5969.3823000000002</v>
      </c>
      <c r="AK559" s="60">
        <v>2341.5088140109069</v>
      </c>
      <c r="AL559" t="s">
        <v>347</v>
      </c>
      <c r="AM559" t="s">
        <v>437</v>
      </c>
      <c r="AN559" t="s">
        <v>425</v>
      </c>
      <c r="AO559" t="s">
        <v>27</v>
      </c>
      <c r="AP559">
        <v>111.133</v>
      </c>
      <c r="AQ559">
        <v>1.0541007448257309</v>
      </c>
      <c r="AR559">
        <v>117.145378074718</v>
      </c>
      <c r="AS559">
        <v>640.82000000000005</v>
      </c>
      <c r="AT559">
        <v>1</v>
      </c>
      <c r="AU559">
        <v>75.069101177840764</v>
      </c>
      <c r="AV559">
        <v>0.95889999999999997</v>
      </c>
      <c r="AW559" s="62">
        <v>71.983999999999995</v>
      </c>
      <c r="AX559">
        <v>8.9176000000000002</v>
      </c>
      <c r="AY559">
        <v>1</v>
      </c>
      <c r="AZ559">
        <v>6023.7392733347688</v>
      </c>
      <c r="BA559">
        <v>0.99097621000820357</v>
      </c>
      <c r="BB559" s="62">
        <v>5969.3823000000002</v>
      </c>
      <c r="BC559" s="60">
        <v>2341.5088140109069</v>
      </c>
    </row>
    <row r="560" spans="1:55" x14ac:dyDescent="0.25">
      <c r="A560">
        <v>158845</v>
      </c>
      <c r="B560" t="s">
        <v>151</v>
      </c>
      <c r="C560">
        <v>2019</v>
      </c>
      <c r="D560">
        <v>8</v>
      </c>
      <c r="E560" t="s">
        <v>51</v>
      </c>
      <c r="F560" t="s">
        <v>426</v>
      </c>
      <c r="G560" t="s">
        <v>84</v>
      </c>
      <c r="H560" t="s">
        <v>59</v>
      </c>
      <c r="I560" t="s">
        <v>427</v>
      </c>
      <c r="J560">
        <v>-6.3124784299999996</v>
      </c>
      <c r="K560" t="s">
        <v>440</v>
      </c>
      <c r="L560" t="s">
        <v>451</v>
      </c>
      <c r="M560">
        <v>1.7625750762999999E-3</v>
      </c>
      <c r="N560">
        <v>1.112621715082996E-2</v>
      </c>
      <c r="O560">
        <v>28410.399000000001</v>
      </c>
      <c r="P560">
        <v>2.51417E-6</v>
      </c>
      <c r="Q560">
        <v>0.14285700000000001</v>
      </c>
      <c r="R560" s="60">
        <v>1.589458003516116E-3</v>
      </c>
      <c r="S560" t="s">
        <v>347</v>
      </c>
      <c r="T560" t="s">
        <v>437</v>
      </c>
      <c r="U560" t="s">
        <v>425</v>
      </c>
      <c r="V560" t="s">
        <v>91</v>
      </c>
      <c r="W560">
        <v>111.133</v>
      </c>
      <c r="X560">
        <v>1.0541007448257309</v>
      </c>
      <c r="Y560">
        <v>117.145378074718</v>
      </c>
      <c r="Z560">
        <v>640.82000000000005</v>
      </c>
      <c r="AA560">
        <v>1</v>
      </c>
      <c r="AB560">
        <v>75.069101177840764</v>
      </c>
      <c r="AC560">
        <v>1.0088999999999999</v>
      </c>
      <c r="AD560" s="62">
        <v>75.736999999999995</v>
      </c>
      <c r="AE560">
        <v>8.9176000000000002</v>
      </c>
      <c r="AF560">
        <v>9.4000488020579382</v>
      </c>
      <c r="AG560">
        <v>1</v>
      </c>
      <c r="AH560">
        <v>6023.7392733347688</v>
      </c>
      <c r="AI560">
        <v>0.99316673174541203</v>
      </c>
      <c r="AJ560" s="62">
        <v>5982.5774000000001</v>
      </c>
      <c r="AK560" s="60">
        <v>9.509055530084634</v>
      </c>
      <c r="AL560" t="s">
        <v>347</v>
      </c>
      <c r="AM560" t="s">
        <v>437</v>
      </c>
      <c r="AN560" t="s">
        <v>425</v>
      </c>
      <c r="AO560" t="s">
        <v>91</v>
      </c>
      <c r="AP560">
        <v>111.133</v>
      </c>
      <c r="AQ560">
        <v>1.0541007448257309</v>
      </c>
      <c r="AR560">
        <v>117.145378074718</v>
      </c>
      <c r="AS560">
        <v>640.82000000000005</v>
      </c>
      <c r="AT560">
        <v>1</v>
      </c>
      <c r="AU560">
        <v>75.069101177840764</v>
      </c>
      <c r="AV560">
        <v>1.0088999999999999</v>
      </c>
      <c r="AW560" s="62">
        <v>75.736999999999995</v>
      </c>
      <c r="AX560">
        <v>8.9176000000000002</v>
      </c>
      <c r="AY560">
        <v>1</v>
      </c>
      <c r="AZ560">
        <v>6023.7392733347688</v>
      </c>
      <c r="BA560">
        <v>0.99316673174541203</v>
      </c>
      <c r="BB560" s="62">
        <v>5982.5774000000001</v>
      </c>
      <c r="BC560" s="60">
        <v>9.509055530084634</v>
      </c>
    </row>
    <row r="561" spans="1:55" x14ac:dyDescent="0.25">
      <c r="A561">
        <v>158847</v>
      </c>
      <c r="B561" t="s">
        <v>151</v>
      </c>
      <c r="C561">
        <v>2019</v>
      </c>
      <c r="D561">
        <v>8</v>
      </c>
      <c r="E561" t="s">
        <v>51</v>
      </c>
      <c r="F561" t="s">
        <v>426</v>
      </c>
      <c r="G561" t="s">
        <v>84</v>
      </c>
      <c r="H561" t="s">
        <v>59</v>
      </c>
      <c r="I561" t="s">
        <v>427</v>
      </c>
      <c r="J561">
        <v>-6.3124784299999996</v>
      </c>
      <c r="K561" t="s">
        <v>440</v>
      </c>
      <c r="L561" t="s">
        <v>452</v>
      </c>
      <c r="M561">
        <v>1.4858046103299999E-3</v>
      </c>
      <c r="N561">
        <v>9.3791095542656681E-3</v>
      </c>
      <c r="O561">
        <v>28410.399000000001</v>
      </c>
      <c r="P561">
        <v>2.51417E-6</v>
      </c>
      <c r="Q561">
        <v>0.14285700000000001</v>
      </c>
      <c r="R561" s="60">
        <v>1.339871453593731E-3</v>
      </c>
      <c r="S561" t="s">
        <v>347</v>
      </c>
      <c r="T561" t="s">
        <v>437</v>
      </c>
      <c r="U561" t="s">
        <v>425</v>
      </c>
      <c r="V561" t="s">
        <v>28</v>
      </c>
      <c r="W561">
        <v>111.133</v>
      </c>
      <c r="X561">
        <v>1.0541007448257309</v>
      </c>
      <c r="Y561">
        <v>117.145378074718</v>
      </c>
      <c r="Z561">
        <v>640.82000000000005</v>
      </c>
      <c r="AA561">
        <v>1</v>
      </c>
      <c r="AB561">
        <v>75.069101177840764</v>
      </c>
      <c r="AC561">
        <v>1.0073000000000001</v>
      </c>
      <c r="AD561" s="62">
        <v>75.617000000000004</v>
      </c>
      <c r="AE561">
        <v>8.9176000000000002</v>
      </c>
      <c r="AF561">
        <v>9.4000488020579382</v>
      </c>
      <c r="AG561">
        <v>1</v>
      </c>
      <c r="AH561">
        <v>6023.7392733347688</v>
      </c>
      <c r="AI561">
        <v>0.99399488088206345</v>
      </c>
      <c r="AJ561" s="62">
        <v>5987.5659999999998</v>
      </c>
      <c r="AK561" s="60">
        <v>8.022568759908399</v>
      </c>
      <c r="AL561" t="s">
        <v>347</v>
      </c>
      <c r="AM561" t="s">
        <v>437</v>
      </c>
      <c r="AN561" t="s">
        <v>425</v>
      </c>
      <c r="AO561" t="s">
        <v>28</v>
      </c>
      <c r="AP561">
        <v>111.133</v>
      </c>
      <c r="AQ561">
        <v>1.0541007448257309</v>
      </c>
      <c r="AR561">
        <v>117.145378074718</v>
      </c>
      <c r="AS561">
        <v>640.82000000000005</v>
      </c>
      <c r="AT561">
        <v>1</v>
      </c>
      <c r="AU561">
        <v>75.069101177840764</v>
      </c>
      <c r="AV561">
        <v>1.0073000000000001</v>
      </c>
      <c r="AW561" s="62">
        <v>75.617000000000004</v>
      </c>
      <c r="AX561">
        <v>8.9176000000000002</v>
      </c>
      <c r="AY561">
        <v>1</v>
      </c>
      <c r="AZ561">
        <v>6023.7392733347688</v>
      </c>
      <c r="BA561">
        <v>0.99399488088206345</v>
      </c>
      <c r="BB561" s="62">
        <v>5987.5659999999998</v>
      </c>
      <c r="BC561" s="60">
        <v>8.022568759908399</v>
      </c>
    </row>
    <row r="562" spans="1:55" x14ac:dyDescent="0.25">
      <c r="A562">
        <v>166011</v>
      </c>
      <c r="B562" t="s">
        <v>154</v>
      </c>
      <c r="C562">
        <v>2019</v>
      </c>
      <c r="D562">
        <v>9</v>
      </c>
      <c r="E562" t="s">
        <v>51</v>
      </c>
      <c r="F562" t="s">
        <v>426</v>
      </c>
      <c r="G562" t="s">
        <v>84</v>
      </c>
      <c r="H562" t="s">
        <v>381</v>
      </c>
      <c r="I562" t="s">
        <v>427</v>
      </c>
      <c r="J562">
        <v>-13.3024606</v>
      </c>
      <c r="K562" t="s">
        <v>440</v>
      </c>
      <c r="L562" t="s">
        <v>450</v>
      </c>
      <c r="M562">
        <v>0.15011157993331001</v>
      </c>
      <c r="N562">
        <v>1.9968533782590381</v>
      </c>
      <c r="O562">
        <v>28410.399000000001</v>
      </c>
      <c r="P562">
        <v>2.51417E-6</v>
      </c>
      <c r="Q562">
        <v>0.14285700000000001</v>
      </c>
      <c r="R562" s="60">
        <v>0.28526448305795138</v>
      </c>
      <c r="S562" t="s">
        <v>347</v>
      </c>
      <c r="T562" t="s">
        <v>437</v>
      </c>
      <c r="U562" t="s">
        <v>425</v>
      </c>
      <c r="V562" t="s">
        <v>26</v>
      </c>
      <c r="W562">
        <v>111.133</v>
      </c>
      <c r="X562">
        <v>1.0541007448257309</v>
      </c>
      <c r="Y562">
        <v>117.145378074718</v>
      </c>
      <c r="Z562">
        <v>640.82000000000005</v>
      </c>
      <c r="AA562">
        <v>1</v>
      </c>
      <c r="AB562">
        <v>75.069101177840764</v>
      </c>
      <c r="AC562">
        <v>0.99109999999999998</v>
      </c>
      <c r="AD562" s="62">
        <v>74.400999999999996</v>
      </c>
      <c r="AE562">
        <v>8.9176000000000002</v>
      </c>
      <c r="AF562">
        <v>9.4000488020579382</v>
      </c>
      <c r="AG562">
        <v>1</v>
      </c>
      <c r="AH562">
        <v>6023.7392733347688</v>
      </c>
      <c r="AI562">
        <v>0.9830373970836227</v>
      </c>
      <c r="AJ562" s="62">
        <v>5921.5609999999997</v>
      </c>
      <c r="AK562" s="60">
        <v>1689.211037561126</v>
      </c>
      <c r="AL562" t="s">
        <v>347</v>
      </c>
      <c r="AM562" t="s">
        <v>437</v>
      </c>
      <c r="AN562" t="s">
        <v>425</v>
      </c>
      <c r="AO562" t="s">
        <v>26</v>
      </c>
      <c r="AP562">
        <v>111.133</v>
      </c>
      <c r="AQ562">
        <v>1.0541007448257309</v>
      </c>
      <c r="AR562">
        <v>117.145378074718</v>
      </c>
      <c r="AS562">
        <v>640.82000000000005</v>
      </c>
      <c r="AT562">
        <v>1</v>
      </c>
      <c r="AU562">
        <v>75.069101177840764</v>
      </c>
      <c r="AV562">
        <v>0.99109999999999998</v>
      </c>
      <c r="AW562" s="62">
        <v>74.400999999999996</v>
      </c>
      <c r="AX562">
        <v>8.9176000000000002</v>
      </c>
      <c r="AY562">
        <v>1</v>
      </c>
      <c r="AZ562">
        <v>6023.7392733347688</v>
      </c>
      <c r="BA562">
        <v>0.9830373970836227</v>
      </c>
      <c r="BB562" s="62">
        <v>5921.5609999999997</v>
      </c>
      <c r="BC562" s="60">
        <v>1689.211037561126</v>
      </c>
    </row>
    <row r="563" spans="1:55" x14ac:dyDescent="0.25">
      <c r="A563">
        <v>166013</v>
      </c>
      <c r="B563" t="s">
        <v>154</v>
      </c>
      <c r="C563">
        <v>2019</v>
      </c>
      <c r="D563">
        <v>9</v>
      </c>
      <c r="E563" t="s">
        <v>51</v>
      </c>
      <c r="F563" t="s">
        <v>426</v>
      </c>
      <c r="G563" t="s">
        <v>84</v>
      </c>
      <c r="H563" t="s">
        <v>381</v>
      </c>
      <c r="I563" t="s">
        <v>427</v>
      </c>
      <c r="J563">
        <v>-13.3024606</v>
      </c>
      <c r="K563" t="s">
        <v>440</v>
      </c>
      <c r="L563" t="s">
        <v>384</v>
      </c>
      <c r="M563">
        <v>4.5811354346740003E-2</v>
      </c>
      <c r="N563">
        <v>0.60940373641094681</v>
      </c>
      <c r="O563">
        <v>28410.399000000001</v>
      </c>
      <c r="P563">
        <v>2.51417E-6</v>
      </c>
      <c r="Q563">
        <v>0.14285700000000001</v>
      </c>
      <c r="R563" s="60">
        <v>8.7057589572458641E-2</v>
      </c>
      <c r="S563" t="s">
        <v>347</v>
      </c>
      <c r="T563" t="s">
        <v>437</v>
      </c>
      <c r="U563" t="s">
        <v>425</v>
      </c>
      <c r="V563" t="s">
        <v>81</v>
      </c>
      <c r="W563">
        <v>111.133</v>
      </c>
      <c r="X563">
        <v>1.0541007448257309</v>
      </c>
      <c r="Y563">
        <v>117.145378074718</v>
      </c>
      <c r="Z563">
        <v>640.82000000000005</v>
      </c>
      <c r="AA563">
        <v>1</v>
      </c>
      <c r="AB563">
        <v>75.069101177840764</v>
      </c>
      <c r="AC563">
        <v>0.93830000000000002</v>
      </c>
      <c r="AD563" s="62">
        <v>70.436999999999998</v>
      </c>
      <c r="AE563">
        <v>8.9176000000000002</v>
      </c>
      <c r="AF563">
        <v>9.4000488020579382</v>
      </c>
      <c r="AG563">
        <v>1</v>
      </c>
      <c r="AH563">
        <v>6023.7392733347688</v>
      </c>
      <c r="AI563">
        <v>1.098016605166052</v>
      </c>
      <c r="AJ563" s="62">
        <v>6614.1656999999996</v>
      </c>
      <c r="AK563" s="60">
        <v>575.8133228748336</v>
      </c>
      <c r="AL563" t="s">
        <v>347</v>
      </c>
      <c r="AM563" t="s">
        <v>437</v>
      </c>
      <c r="AN563" t="s">
        <v>425</v>
      </c>
      <c r="AO563" t="s">
        <v>81</v>
      </c>
      <c r="AP563">
        <v>111.133</v>
      </c>
      <c r="AQ563">
        <v>1.0541007448257309</v>
      </c>
      <c r="AR563">
        <v>117.145378074718</v>
      </c>
      <c r="AS563">
        <v>640.82000000000005</v>
      </c>
      <c r="AT563">
        <v>1</v>
      </c>
      <c r="AU563">
        <v>75.069101177840764</v>
      </c>
      <c r="AV563">
        <v>0.93830000000000002</v>
      </c>
      <c r="AW563" s="62">
        <v>70.436999999999998</v>
      </c>
      <c r="AX563">
        <v>8.9176000000000002</v>
      </c>
      <c r="AY563">
        <v>1</v>
      </c>
      <c r="AZ563">
        <v>6023.7392733347688</v>
      </c>
      <c r="BA563">
        <v>1.098016605166052</v>
      </c>
      <c r="BB563" s="62">
        <v>6614.1656999999996</v>
      </c>
      <c r="BC563" s="60">
        <v>575.8133228748336</v>
      </c>
    </row>
    <row r="564" spans="1:55" x14ac:dyDescent="0.25">
      <c r="A564">
        <v>166015</v>
      </c>
      <c r="B564" t="s">
        <v>154</v>
      </c>
      <c r="C564">
        <v>2019</v>
      </c>
      <c r="D564">
        <v>9</v>
      </c>
      <c r="E564" t="s">
        <v>51</v>
      </c>
      <c r="F564" t="s">
        <v>426</v>
      </c>
      <c r="G564" t="s">
        <v>84</v>
      </c>
      <c r="H564" t="s">
        <v>381</v>
      </c>
      <c r="I564" t="s">
        <v>427</v>
      </c>
      <c r="J564">
        <v>-13.3024606</v>
      </c>
      <c r="K564" t="s">
        <v>440</v>
      </c>
      <c r="L564" t="s">
        <v>385</v>
      </c>
      <c r="M564">
        <v>0.43232641346992001</v>
      </c>
      <c r="N564">
        <v>5.7510050832291411</v>
      </c>
      <c r="O564">
        <v>28410.399000000001</v>
      </c>
      <c r="P564">
        <v>2.51417E-6</v>
      </c>
      <c r="Q564">
        <v>0.14285700000000001</v>
      </c>
      <c r="R564" s="60">
        <v>0.82157133317486553</v>
      </c>
      <c r="S564" t="s">
        <v>347</v>
      </c>
      <c r="T564" t="s">
        <v>437</v>
      </c>
      <c r="U564" t="s">
        <v>425</v>
      </c>
      <c r="V564" t="s">
        <v>27</v>
      </c>
      <c r="W564">
        <v>111.133</v>
      </c>
      <c r="X564">
        <v>1.0541007448257309</v>
      </c>
      <c r="Y564">
        <v>117.145378074718</v>
      </c>
      <c r="Z564">
        <v>640.82000000000005</v>
      </c>
      <c r="AA564">
        <v>1</v>
      </c>
      <c r="AB564">
        <v>75.069101177840764</v>
      </c>
      <c r="AC564">
        <v>0.95889999999999997</v>
      </c>
      <c r="AD564" s="62">
        <v>71.983999999999995</v>
      </c>
      <c r="AE564">
        <v>8.9176000000000002</v>
      </c>
      <c r="AF564">
        <v>9.4000488020579382</v>
      </c>
      <c r="AG564">
        <v>1</v>
      </c>
      <c r="AH564">
        <v>6023.7392733347688</v>
      </c>
      <c r="AI564">
        <v>0.99097621000820357</v>
      </c>
      <c r="AJ564" s="62">
        <v>5969.3823000000002</v>
      </c>
      <c r="AK564" s="60">
        <v>4904.2733744414454</v>
      </c>
      <c r="AL564" t="s">
        <v>347</v>
      </c>
      <c r="AM564" t="s">
        <v>437</v>
      </c>
      <c r="AN564" t="s">
        <v>425</v>
      </c>
      <c r="AO564" t="s">
        <v>27</v>
      </c>
      <c r="AP564">
        <v>111.133</v>
      </c>
      <c r="AQ564">
        <v>1.0541007448257309</v>
      </c>
      <c r="AR564">
        <v>117.145378074718</v>
      </c>
      <c r="AS564">
        <v>640.82000000000005</v>
      </c>
      <c r="AT564">
        <v>1</v>
      </c>
      <c r="AU564">
        <v>75.069101177840764</v>
      </c>
      <c r="AV564">
        <v>0.95889999999999997</v>
      </c>
      <c r="AW564" s="62">
        <v>71.983999999999995</v>
      </c>
      <c r="AX564">
        <v>8.9176000000000002</v>
      </c>
      <c r="AY564">
        <v>1</v>
      </c>
      <c r="AZ564">
        <v>6023.7392733347688</v>
      </c>
      <c r="BA564">
        <v>0.99097621000820357</v>
      </c>
      <c r="BB564" s="62">
        <v>5969.3823000000002</v>
      </c>
      <c r="BC564" s="60">
        <v>4904.2733744414454</v>
      </c>
    </row>
    <row r="565" spans="1:55" x14ac:dyDescent="0.25">
      <c r="A565">
        <v>166017</v>
      </c>
      <c r="B565" t="s">
        <v>154</v>
      </c>
      <c r="C565">
        <v>2019</v>
      </c>
      <c r="D565">
        <v>9</v>
      </c>
      <c r="E565" t="s">
        <v>51</v>
      </c>
      <c r="F565" t="s">
        <v>426</v>
      </c>
      <c r="G565" t="s">
        <v>84</v>
      </c>
      <c r="H565" t="s">
        <v>381</v>
      </c>
      <c r="I565" t="s">
        <v>427</v>
      </c>
      <c r="J565">
        <v>-13.3024606</v>
      </c>
      <c r="K565" t="s">
        <v>440</v>
      </c>
      <c r="L565" t="s">
        <v>451</v>
      </c>
      <c r="M565">
        <v>1.6825115802299999E-3</v>
      </c>
      <c r="N565">
        <v>2.2381544011693521E-2</v>
      </c>
      <c r="O565">
        <v>28410.399000000001</v>
      </c>
      <c r="P565">
        <v>2.51417E-6</v>
      </c>
      <c r="Q565">
        <v>0.14285700000000001</v>
      </c>
      <c r="R565" s="60">
        <v>3.197360232878501E-3</v>
      </c>
      <c r="S565" t="s">
        <v>347</v>
      </c>
      <c r="T565" t="s">
        <v>437</v>
      </c>
      <c r="U565" t="s">
        <v>425</v>
      </c>
      <c r="V565" t="s">
        <v>91</v>
      </c>
      <c r="W565">
        <v>111.133</v>
      </c>
      <c r="X565">
        <v>1.0541007448257309</v>
      </c>
      <c r="Y565">
        <v>117.145378074718</v>
      </c>
      <c r="Z565">
        <v>640.82000000000005</v>
      </c>
      <c r="AA565">
        <v>1</v>
      </c>
      <c r="AB565">
        <v>75.069101177840764</v>
      </c>
      <c r="AC565">
        <v>1.0088999999999999</v>
      </c>
      <c r="AD565" s="62">
        <v>75.736999999999995</v>
      </c>
      <c r="AE565">
        <v>8.9176000000000002</v>
      </c>
      <c r="AF565">
        <v>9.4000488020579382</v>
      </c>
      <c r="AG565">
        <v>1</v>
      </c>
      <c r="AH565">
        <v>6023.7392733347688</v>
      </c>
      <c r="AI565">
        <v>0.99316673174541203</v>
      </c>
      <c r="AJ565" s="62">
        <v>5982.5774000000001</v>
      </c>
      <c r="AK565" s="60">
        <v>19.12845506887766</v>
      </c>
      <c r="AL565" t="s">
        <v>347</v>
      </c>
      <c r="AM565" t="s">
        <v>437</v>
      </c>
      <c r="AN565" t="s">
        <v>425</v>
      </c>
      <c r="AO565" t="s">
        <v>91</v>
      </c>
      <c r="AP565">
        <v>111.133</v>
      </c>
      <c r="AQ565">
        <v>1.0541007448257309</v>
      </c>
      <c r="AR565">
        <v>117.145378074718</v>
      </c>
      <c r="AS565">
        <v>640.82000000000005</v>
      </c>
      <c r="AT565">
        <v>1</v>
      </c>
      <c r="AU565">
        <v>75.069101177840764</v>
      </c>
      <c r="AV565">
        <v>1.0088999999999999</v>
      </c>
      <c r="AW565" s="62">
        <v>75.736999999999995</v>
      </c>
      <c r="AX565">
        <v>8.9176000000000002</v>
      </c>
      <c r="AY565">
        <v>1</v>
      </c>
      <c r="AZ565">
        <v>6023.7392733347688</v>
      </c>
      <c r="BA565">
        <v>0.99316673174541203</v>
      </c>
      <c r="BB565" s="62">
        <v>5982.5774000000001</v>
      </c>
      <c r="BC565" s="60">
        <v>19.12845506887766</v>
      </c>
    </row>
    <row r="566" spans="1:55" x14ac:dyDescent="0.25">
      <c r="A566">
        <v>166019</v>
      </c>
      <c r="B566" t="s">
        <v>154</v>
      </c>
      <c r="C566">
        <v>2019</v>
      </c>
      <c r="D566">
        <v>9</v>
      </c>
      <c r="E566" t="s">
        <v>51</v>
      </c>
      <c r="F566" t="s">
        <v>426</v>
      </c>
      <c r="G566" t="s">
        <v>84</v>
      </c>
      <c r="H566" t="s">
        <v>381</v>
      </c>
      <c r="I566" t="s">
        <v>427</v>
      </c>
      <c r="J566">
        <v>-13.3024606</v>
      </c>
      <c r="K566" t="s">
        <v>440</v>
      </c>
      <c r="L566" t="s">
        <v>452</v>
      </c>
      <c r="M566">
        <v>1.53682162831E-3</v>
      </c>
      <c r="N566">
        <v>2.0443509165886841E-2</v>
      </c>
      <c r="O566">
        <v>28410.399000000001</v>
      </c>
      <c r="P566">
        <v>2.51417E-6</v>
      </c>
      <c r="Q566">
        <v>0.14285700000000001</v>
      </c>
      <c r="R566" s="60">
        <v>2.920498388911097E-3</v>
      </c>
      <c r="S566" t="s">
        <v>347</v>
      </c>
      <c r="T566" t="s">
        <v>437</v>
      </c>
      <c r="U566" t="s">
        <v>425</v>
      </c>
      <c r="V566" t="s">
        <v>28</v>
      </c>
      <c r="W566">
        <v>111.133</v>
      </c>
      <c r="X566">
        <v>1.0541007448257309</v>
      </c>
      <c r="Y566">
        <v>117.145378074718</v>
      </c>
      <c r="Z566">
        <v>640.82000000000005</v>
      </c>
      <c r="AA566">
        <v>1</v>
      </c>
      <c r="AB566">
        <v>75.069101177840764</v>
      </c>
      <c r="AC566">
        <v>1.0073000000000001</v>
      </c>
      <c r="AD566" s="62">
        <v>75.617000000000004</v>
      </c>
      <c r="AE566">
        <v>8.9176000000000002</v>
      </c>
      <c r="AF566">
        <v>9.4000488020579382</v>
      </c>
      <c r="AG566">
        <v>1</v>
      </c>
      <c r="AH566">
        <v>6023.7392733347688</v>
      </c>
      <c r="AI566">
        <v>0.99399488088206345</v>
      </c>
      <c r="AJ566" s="62">
        <v>5987.5659999999998</v>
      </c>
      <c r="AK566" s="60">
        <v>17.48667685649886</v>
      </c>
      <c r="AL566" t="s">
        <v>347</v>
      </c>
      <c r="AM566" t="s">
        <v>437</v>
      </c>
      <c r="AN566" t="s">
        <v>425</v>
      </c>
      <c r="AO566" t="s">
        <v>28</v>
      </c>
      <c r="AP566">
        <v>111.133</v>
      </c>
      <c r="AQ566">
        <v>1.0541007448257309</v>
      </c>
      <c r="AR566">
        <v>117.145378074718</v>
      </c>
      <c r="AS566">
        <v>640.82000000000005</v>
      </c>
      <c r="AT566">
        <v>1</v>
      </c>
      <c r="AU566">
        <v>75.069101177840764</v>
      </c>
      <c r="AV566">
        <v>1.0073000000000001</v>
      </c>
      <c r="AW566" s="62">
        <v>75.617000000000004</v>
      </c>
      <c r="AX566">
        <v>8.9176000000000002</v>
      </c>
      <c r="AY566">
        <v>1</v>
      </c>
      <c r="AZ566">
        <v>6023.7392733347688</v>
      </c>
      <c r="BA566">
        <v>0.99399488088206345</v>
      </c>
      <c r="BB566" s="62">
        <v>5987.5659999999998</v>
      </c>
      <c r="BC566" s="60">
        <v>17.48667685649886</v>
      </c>
    </row>
    <row r="567" spans="1:55" x14ac:dyDescent="0.25">
      <c r="A567">
        <v>166021</v>
      </c>
      <c r="B567" t="s">
        <v>154</v>
      </c>
      <c r="C567">
        <v>2019</v>
      </c>
      <c r="D567">
        <v>9</v>
      </c>
      <c r="E567" t="s">
        <v>51</v>
      </c>
      <c r="F567" t="s">
        <v>426</v>
      </c>
      <c r="G567" t="s">
        <v>84</v>
      </c>
      <c r="H567" t="s">
        <v>87</v>
      </c>
      <c r="I567" t="s">
        <v>427</v>
      </c>
      <c r="J567">
        <v>-2.6545286400000001</v>
      </c>
      <c r="K567" t="s">
        <v>440</v>
      </c>
      <c r="L567" t="s">
        <v>450</v>
      </c>
      <c r="M567">
        <v>0.26601384014995</v>
      </c>
      <c r="N567">
        <v>0.70614135621524243</v>
      </c>
      <c r="O567">
        <v>28410.399000000001</v>
      </c>
      <c r="P567">
        <v>2.51417E-6</v>
      </c>
      <c r="Q567">
        <v>0.14285700000000001</v>
      </c>
      <c r="R567" s="60">
        <v>0.10087723572484091</v>
      </c>
      <c r="S567" t="s">
        <v>347</v>
      </c>
      <c r="T567" t="s">
        <v>437</v>
      </c>
      <c r="U567" t="s">
        <v>425</v>
      </c>
      <c r="V567" t="s">
        <v>26</v>
      </c>
      <c r="W567">
        <v>111.133</v>
      </c>
      <c r="X567">
        <v>1.0541007448257309</v>
      </c>
      <c r="Y567">
        <v>117.145378074718</v>
      </c>
      <c r="Z567">
        <v>640.82000000000005</v>
      </c>
      <c r="AA567">
        <v>1</v>
      </c>
      <c r="AB567">
        <v>75.069101177840764</v>
      </c>
      <c r="AC567">
        <v>0.99109999999999998</v>
      </c>
      <c r="AD567" s="62">
        <v>74.400999999999996</v>
      </c>
      <c r="AE567">
        <v>8.9176000000000002</v>
      </c>
      <c r="AF567">
        <v>9.4000488020579382</v>
      </c>
      <c r="AG567">
        <v>1</v>
      </c>
      <c r="AH567">
        <v>6023.7392733347688</v>
      </c>
      <c r="AI567">
        <v>0.9830373970836227</v>
      </c>
      <c r="AJ567" s="62">
        <v>5921.5609999999997</v>
      </c>
      <c r="AK567" s="60">
        <v>597.35070485602455</v>
      </c>
      <c r="AL567" t="s">
        <v>347</v>
      </c>
      <c r="AM567" t="s">
        <v>437</v>
      </c>
      <c r="AN567" t="s">
        <v>425</v>
      </c>
      <c r="AO567" t="s">
        <v>26</v>
      </c>
      <c r="AP567">
        <v>111.133</v>
      </c>
      <c r="AQ567">
        <v>1.0541007448257309</v>
      </c>
      <c r="AR567">
        <v>117.145378074718</v>
      </c>
      <c r="AS567">
        <v>640.82000000000005</v>
      </c>
      <c r="AT567">
        <v>1</v>
      </c>
      <c r="AU567">
        <v>75.069101177840764</v>
      </c>
      <c r="AV567">
        <v>0.99109999999999998</v>
      </c>
      <c r="AW567" s="62">
        <v>74.400999999999996</v>
      </c>
      <c r="AX567">
        <v>8.9176000000000002</v>
      </c>
      <c r="AY567">
        <v>1</v>
      </c>
      <c r="AZ567">
        <v>6023.7392733347688</v>
      </c>
      <c r="BA567">
        <v>0.9830373970836227</v>
      </c>
      <c r="BB567" s="62">
        <v>5921.5609999999997</v>
      </c>
      <c r="BC567" s="60">
        <v>597.35070485602455</v>
      </c>
    </row>
    <row r="568" spans="1:55" x14ac:dyDescent="0.25">
      <c r="A568">
        <v>166023</v>
      </c>
      <c r="B568" t="s">
        <v>154</v>
      </c>
      <c r="C568">
        <v>2019</v>
      </c>
      <c r="D568">
        <v>9</v>
      </c>
      <c r="E568" t="s">
        <v>51</v>
      </c>
      <c r="F568" t="s">
        <v>426</v>
      </c>
      <c r="G568" t="s">
        <v>84</v>
      </c>
      <c r="H568" t="s">
        <v>87</v>
      </c>
      <c r="I568" t="s">
        <v>427</v>
      </c>
      <c r="J568">
        <v>-2.6545286400000001</v>
      </c>
      <c r="K568" t="s">
        <v>440</v>
      </c>
      <c r="L568" t="s">
        <v>384</v>
      </c>
      <c r="M568">
        <v>3.9509559941419997E-2</v>
      </c>
      <c r="N568">
        <v>0.1048792582550407</v>
      </c>
      <c r="O568">
        <v>28410.399000000001</v>
      </c>
      <c r="P568">
        <v>2.51417E-6</v>
      </c>
      <c r="Q568">
        <v>0.14285700000000001</v>
      </c>
      <c r="R568" s="60">
        <v>1.498273619654036E-2</v>
      </c>
      <c r="S568" t="s">
        <v>347</v>
      </c>
      <c r="T568" t="s">
        <v>437</v>
      </c>
      <c r="U568" t="s">
        <v>425</v>
      </c>
      <c r="V568" t="s">
        <v>81</v>
      </c>
      <c r="W568">
        <v>111.133</v>
      </c>
      <c r="X568">
        <v>1.0541007448257309</v>
      </c>
      <c r="Y568">
        <v>117.145378074718</v>
      </c>
      <c r="Z568">
        <v>640.82000000000005</v>
      </c>
      <c r="AA568">
        <v>1</v>
      </c>
      <c r="AB568">
        <v>75.069101177840764</v>
      </c>
      <c r="AC568">
        <v>0.93830000000000002</v>
      </c>
      <c r="AD568" s="62">
        <v>70.436999999999998</v>
      </c>
      <c r="AE568">
        <v>8.9176000000000002</v>
      </c>
      <c r="AF568">
        <v>9.4000488020579382</v>
      </c>
      <c r="AG568">
        <v>1</v>
      </c>
      <c r="AH568">
        <v>6023.7392733347688</v>
      </c>
      <c r="AI568">
        <v>1.098016605166052</v>
      </c>
      <c r="AJ568" s="62">
        <v>6614.1656999999996</v>
      </c>
      <c r="AK568" s="60">
        <v>99.098299843305682</v>
      </c>
      <c r="AL568" t="s">
        <v>347</v>
      </c>
      <c r="AM568" t="s">
        <v>437</v>
      </c>
      <c r="AN568" t="s">
        <v>425</v>
      </c>
      <c r="AO568" t="s">
        <v>81</v>
      </c>
      <c r="AP568">
        <v>111.133</v>
      </c>
      <c r="AQ568">
        <v>1.0541007448257309</v>
      </c>
      <c r="AR568">
        <v>117.145378074718</v>
      </c>
      <c r="AS568">
        <v>640.82000000000005</v>
      </c>
      <c r="AT568">
        <v>1</v>
      </c>
      <c r="AU568">
        <v>75.069101177840764</v>
      </c>
      <c r="AV568">
        <v>0.93830000000000002</v>
      </c>
      <c r="AW568" s="62">
        <v>70.436999999999998</v>
      </c>
      <c r="AX568">
        <v>8.9176000000000002</v>
      </c>
      <c r="AY568">
        <v>1</v>
      </c>
      <c r="AZ568">
        <v>6023.7392733347688</v>
      </c>
      <c r="BA568">
        <v>1.098016605166052</v>
      </c>
      <c r="BB568" s="62">
        <v>6614.1656999999996</v>
      </c>
      <c r="BC568" s="60">
        <v>99.098299843305682</v>
      </c>
    </row>
    <row r="569" spans="1:55" x14ac:dyDescent="0.25">
      <c r="A569">
        <v>166025</v>
      </c>
      <c r="B569" t="s">
        <v>154</v>
      </c>
      <c r="C569">
        <v>2019</v>
      </c>
      <c r="D569">
        <v>9</v>
      </c>
      <c r="E569" t="s">
        <v>51</v>
      </c>
      <c r="F569" t="s">
        <v>426</v>
      </c>
      <c r="G569" t="s">
        <v>84</v>
      </c>
      <c r="H569" t="s">
        <v>87</v>
      </c>
      <c r="I569" t="s">
        <v>427</v>
      </c>
      <c r="J569">
        <v>-2.6545286400000001</v>
      </c>
      <c r="K569" t="s">
        <v>440</v>
      </c>
      <c r="L569" t="s">
        <v>385</v>
      </c>
      <c r="M569">
        <v>0.39737542925016001</v>
      </c>
      <c r="N569">
        <v>1.05484445613487</v>
      </c>
      <c r="O569">
        <v>28410.399000000001</v>
      </c>
      <c r="P569">
        <v>2.51417E-6</v>
      </c>
      <c r="Q569">
        <v>0.14285700000000001</v>
      </c>
      <c r="R569" s="60">
        <v>0.15069191447005911</v>
      </c>
      <c r="S569" t="s">
        <v>347</v>
      </c>
      <c r="T569" t="s">
        <v>437</v>
      </c>
      <c r="U569" t="s">
        <v>425</v>
      </c>
      <c r="V569" t="s">
        <v>27</v>
      </c>
      <c r="W569">
        <v>111.133</v>
      </c>
      <c r="X569">
        <v>1.0541007448257309</v>
      </c>
      <c r="Y569">
        <v>117.145378074718</v>
      </c>
      <c r="Z569">
        <v>640.82000000000005</v>
      </c>
      <c r="AA569">
        <v>1</v>
      </c>
      <c r="AB569">
        <v>75.069101177840764</v>
      </c>
      <c r="AC569">
        <v>0.95889999999999997</v>
      </c>
      <c r="AD569" s="62">
        <v>71.983999999999995</v>
      </c>
      <c r="AE569">
        <v>8.9176000000000002</v>
      </c>
      <c r="AF569">
        <v>9.4000488020579382</v>
      </c>
      <c r="AG569">
        <v>1</v>
      </c>
      <c r="AH569">
        <v>6023.7392733347688</v>
      </c>
      <c r="AI569">
        <v>0.99097621000820357</v>
      </c>
      <c r="AJ569" s="62">
        <v>5969.3823000000002</v>
      </c>
      <c r="AK569" s="60">
        <v>899.53764699068449</v>
      </c>
      <c r="AL569" t="s">
        <v>347</v>
      </c>
      <c r="AM569" t="s">
        <v>437</v>
      </c>
      <c r="AN569" t="s">
        <v>425</v>
      </c>
      <c r="AO569" t="s">
        <v>27</v>
      </c>
      <c r="AP569">
        <v>111.133</v>
      </c>
      <c r="AQ569">
        <v>1.0541007448257309</v>
      </c>
      <c r="AR569">
        <v>117.145378074718</v>
      </c>
      <c r="AS569">
        <v>640.82000000000005</v>
      </c>
      <c r="AT569">
        <v>1</v>
      </c>
      <c r="AU569">
        <v>75.069101177840764</v>
      </c>
      <c r="AV569">
        <v>0.95889999999999997</v>
      </c>
      <c r="AW569" s="62">
        <v>71.983999999999995</v>
      </c>
      <c r="AX569">
        <v>8.9176000000000002</v>
      </c>
      <c r="AY569">
        <v>1</v>
      </c>
      <c r="AZ569">
        <v>6023.7392733347688</v>
      </c>
      <c r="BA569">
        <v>0.99097621000820357</v>
      </c>
      <c r="BB569" s="62">
        <v>5969.3823000000002</v>
      </c>
      <c r="BC569" s="60">
        <v>899.53764699068449</v>
      </c>
    </row>
    <row r="570" spans="1:55" x14ac:dyDescent="0.25">
      <c r="A570">
        <v>166027</v>
      </c>
      <c r="B570" t="s">
        <v>154</v>
      </c>
      <c r="C570">
        <v>2019</v>
      </c>
      <c r="D570">
        <v>9</v>
      </c>
      <c r="E570" t="s">
        <v>51</v>
      </c>
      <c r="F570" t="s">
        <v>426</v>
      </c>
      <c r="G570" t="s">
        <v>84</v>
      </c>
      <c r="H570" t="s">
        <v>87</v>
      </c>
      <c r="I570" t="s">
        <v>427</v>
      </c>
      <c r="J570">
        <v>-2.6545286400000001</v>
      </c>
      <c r="K570" t="s">
        <v>440</v>
      </c>
      <c r="L570" t="s">
        <v>452</v>
      </c>
      <c r="M570">
        <v>8.4248020759000004E-4</v>
      </c>
      <c r="N570">
        <v>2.2363878361996328E-3</v>
      </c>
      <c r="O570">
        <v>28410.399000000001</v>
      </c>
      <c r="P570">
        <v>2.51417E-6</v>
      </c>
      <c r="Q570">
        <v>0.14285700000000001</v>
      </c>
      <c r="R570" s="60">
        <v>3.1948365711597097E-4</v>
      </c>
      <c r="S570" t="s">
        <v>347</v>
      </c>
      <c r="T570" t="s">
        <v>437</v>
      </c>
      <c r="U570" t="s">
        <v>425</v>
      </c>
      <c r="V570" t="s">
        <v>28</v>
      </c>
      <c r="W570">
        <v>111.133</v>
      </c>
      <c r="X570">
        <v>1.0541007448257309</v>
      </c>
      <c r="Y570">
        <v>117.145378074718</v>
      </c>
      <c r="Z570">
        <v>640.82000000000005</v>
      </c>
      <c r="AA570">
        <v>1</v>
      </c>
      <c r="AB570">
        <v>75.069101177840764</v>
      </c>
      <c r="AC570">
        <v>1.0073000000000001</v>
      </c>
      <c r="AD570" s="62">
        <v>75.617000000000004</v>
      </c>
      <c r="AE570">
        <v>8.9176000000000002</v>
      </c>
      <c r="AF570">
        <v>9.4000488020579382</v>
      </c>
      <c r="AG570">
        <v>1</v>
      </c>
      <c r="AH570">
        <v>6023.7392733347688</v>
      </c>
      <c r="AI570">
        <v>0.99399488088206345</v>
      </c>
      <c r="AJ570" s="62">
        <v>5987.5659999999998</v>
      </c>
      <c r="AK570" s="60">
        <v>1.9129294829032459</v>
      </c>
      <c r="AL570" t="s">
        <v>347</v>
      </c>
      <c r="AM570" t="s">
        <v>437</v>
      </c>
      <c r="AN570" t="s">
        <v>425</v>
      </c>
      <c r="AO570" t="s">
        <v>28</v>
      </c>
      <c r="AP570">
        <v>111.133</v>
      </c>
      <c r="AQ570">
        <v>1.0541007448257309</v>
      </c>
      <c r="AR570">
        <v>117.145378074718</v>
      </c>
      <c r="AS570">
        <v>640.82000000000005</v>
      </c>
      <c r="AT570">
        <v>1</v>
      </c>
      <c r="AU570">
        <v>75.069101177840764</v>
      </c>
      <c r="AV570">
        <v>1.0073000000000001</v>
      </c>
      <c r="AW570" s="62">
        <v>75.617000000000004</v>
      </c>
      <c r="AX570">
        <v>8.9176000000000002</v>
      </c>
      <c r="AY570">
        <v>1</v>
      </c>
      <c r="AZ570">
        <v>6023.7392733347688</v>
      </c>
      <c r="BA570">
        <v>0.99399488088206345</v>
      </c>
      <c r="BB570" s="62">
        <v>5987.5659999999998</v>
      </c>
      <c r="BC570" s="60">
        <v>1.9129294829032459</v>
      </c>
    </row>
    <row r="571" spans="1:55" x14ac:dyDescent="0.25">
      <c r="A571">
        <v>166029</v>
      </c>
      <c r="B571" t="s">
        <v>154</v>
      </c>
      <c r="C571">
        <v>2019</v>
      </c>
      <c r="D571">
        <v>9</v>
      </c>
      <c r="E571" t="s">
        <v>51</v>
      </c>
      <c r="F571" t="s">
        <v>426</v>
      </c>
      <c r="G571" t="s">
        <v>84</v>
      </c>
      <c r="H571" t="s">
        <v>59</v>
      </c>
      <c r="I571" t="s">
        <v>427</v>
      </c>
      <c r="J571">
        <v>-6.3124784299999996</v>
      </c>
      <c r="K571" t="s">
        <v>440</v>
      </c>
      <c r="L571" t="s">
        <v>450</v>
      </c>
      <c r="M571">
        <v>0.15931709696460999</v>
      </c>
      <c r="N571">
        <v>1.0056857381582409</v>
      </c>
      <c r="O571">
        <v>28410.399000000001</v>
      </c>
      <c r="P571">
        <v>2.51417E-6</v>
      </c>
      <c r="Q571">
        <v>0.14285700000000001</v>
      </c>
      <c r="R571" s="60">
        <v>0.14366924749607179</v>
      </c>
      <c r="S571" t="s">
        <v>347</v>
      </c>
      <c r="T571" t="s">
        <v>437</v>
      </c>
      <c r="U571" t="s">
        <v>425</v>
      </c>
      <c r="V571" t="s">
        <v>26</v>
      </c>
      <c r="W571">
        <v>111.133</v>
      </c>
      <c r="X571">
        <v>1.0541007448257309</v>
      </c>
      <c r="Y571">
        <v>117.145378074718</v>
      </c>
      <c r="Z571">
        <v>640.82000000000005</v>
      </c>
      <c r="AA571">
        <v>1</v>
      </c>
      <c r="AB571">
        <v>75.069101177840764</v>
      </c>
      <c r="AC571">
        <v>0.99109999999999998</v>
      </c>
      <c r="AD571" s="62">
        <v>74.400999999999996</v>
      </c>
      <c r="AE571">
        <v>8.9176000000000002</v>
      </c>
      <c r="AF571">
        <v>9.4000488020579382</v>
      </c>
      <c r="AG571">
        <v>1</v>
      </c>
      <c r="AH571">
        <v>6023.7392733347688</v>
      </c>
      <c r="AI571">
        <v>0.9830373970836227</v>
      </c>
      <c r="AJ571" s="62">
        <v>5921.5609999999997</v>
      </c>
      <c r="AK571" s="60">
        <v>850.74621287208652</v>
      </c>
      <c r="AL571" t="s">
        <v>347</v>
      </c>
      <c r="AM571" t="s">
        <v>437</v>
      </c>
      <c r="AN571" t="s">
        <v>425</v>
      </c>
      <c r="AO571" t="s">
        <v>26</v>
      </c>
      <c r="AP571">
        <v>111.133</v>
      </c>
      <c r="AQ571">
        <v>1.0541007448257309</v>
      </c>
      <c r="AR571">
        <v>117.145378074718</v>
      </c>
      <c r="AS571">
        <v>640.82000000000005</v>
      </c>
      <c r="AT571">
        <v>1</v>
      </c>
      <c r="AU571">
        <v>75.069101177840764</v>
      </c>
      <c r="AV571">
        <v>0.99109999999999998</v>
      </c>
      <c r="AW571" s="62">
        <v>74.400999999999996</v>
      </c>
      <c r="AX571">
        <v>8.9176000000000002</v>
      </c>
      <c r="AY571">
        <v>1</v>
      </c>
      <c r="AZ571">
        <v>6023.7392733347688</v>
      </c>
      <c r="BA571">
        <v>0.9830373970836227</v>
      </c>
      <c r="BB571" s="62">
        <v>5921.5609999999997</v>
      </c>
      <c r="BC571" s="60">
        <v>850.74621287208652</v>
      </c>
    </row>
    <row r="572" spans="1:55" x14ac:dyDescent="0.25">
      <c r="A572">
        <v>166031</v>
      </c>
      <c r="B572" t="s">
        <v>154</v>
      </c>
      <c r="C572">
        <v>2019</v>
      </c>
      <c r="D572">
        <v>9</v>
      </c>
      <c r="E572" t="s">
        <v>51</v>
      </c>
      <c r="F572" t="s">
        <v>426</v>
      </c>
      <c r="G572" t="s">
        <v>84</v>
      </c>
      <c r="H572" t="s">
        <v>59</v>
      </c>
      <c r="I572" t="s">
        <v>427</v>
      </c>
      <c r="J572">
        <v>-6.3124784299999996</v>
      </c>
      <c r="K572" t="s">
        <v>440</v>
      </c>
      <c r="L572" t="s">
        <v>384</v>
      </c>
      <c r="M572">
        <v>4.1785183859599999E-2</v>
      </c>
      <c r="N572">
        <v>0.26376807181751738</v>
      </c>
      <c r="O572">
        <v>28410.399000000001</v>
      </c>
      <c r="P572">
        <v>2.51417E-6</v>
      </c>
      <c r="Q572">
        <v>0.14285700000000001</v>
      </c>
      <c r="R572" s="60">
        <v>3.7681115435635092E-2</v>
      </c>
      <c r="S572" t="s">
        <v>347</v>
      </c>
      <c r="T572" t="s">
        <v>437</v>
      </c>
      <c r="U572" t="s">
        <v>425</v>
      </c>
      <c r="V572" t="s">
        <v>81</v>
      </c>
      <c r="W572">
        <v>111.133</v>
      </c>
      <c r="X572">
        <v>1.0541007448257309</v>
      </c>
      <c r="Y572">
        <v>117.145378074718</v>
      </c>
      <c r="Z572">
        <v>640.82000000000005</v>
      </c>
      <c r="AA572">
        <v>1</v>
      </c>
      <c r="AB572">
        <v>75.069101177840764</v>
      </c>
      <c r="AC572">
        <v>0.93830000000000002</v>
      </c>
      <c r="AD572" s="62">
        <v>70.436999999999998</v>
      </c>
      <c r="AE572">
        <v>8.9176000000000002</v>
      </c>
      <c r="AF572">
        <v>9.4000488020579382</v>
      </c>
      <c r="AG572">
        <v>1</v>
      </c>
      <c r="AH572">
        <v>6023.7392733347688</v>
      </c>
      <c r="AI572">
        <v>1.098016605166052</v>
      </c>
      <c r="AJ572" s="62">
        <v>6614.1656999999996</v>
      </c>
      <c r="AK572" s="60">
        <v>249.22914125211821</v>
      </c>
      <c r="AL572" t="s">
        <v>347</v>
      </c>
      <c r="AM572" t="s">
        <v>437</v>
      </c>
      <c r="AN572" t="s">
        <v>425</v>
      </c>
      <c r="AO572" t="s">
        <v>81</v>
      </c>
      <c r="AP572">
        <v>111.133</v>
      </c>
      <c r="AQ572">
        <v>1.0541007448257309</v>
      </c>
      <c r="AR572">
        <v>117.145378074718</v>
      </c>
      <c r="AS572">
        <v>640.82000000000005</v>
      </c>
      <c r="AT572">
        <v>1</v>
      </c>
      <c r="AU572">
        <v>75.069101177840764</v>
      </c>
      <c r="AV572">
        <v>0.93830000000000002</v>
      </c>
      <c r="AW572" s="62">
        <v>70.436999999999998</v>
      </c>
      <c r="AX572">
        <v>8.9176000000000002</v>
      </c>
      <c r="AY572">
        <v>1</v>
      </c>
      <c r="AZ572">
        <v>6023.7392733347688</v>
      </c>
      <c r="BA572">
        <v>1.098016605166052</v>
      </c>
      <c r="BB572" s="62">
        <v>6614.1656999999996</v>
      </c>
      <c r="BC572" s="60">
        <v>249.22914125211821</v>
      </c>
    </row>
    <row r="573" spans="1:55" x14ac:dyDescent="0.25">
      <c r="A573">
        <v>166033</v>
      </c>
      <c r="B573" t="s">
        <v>154</v>
      </c>
      <c r="C573">
        <v>2019</v>
      </c>
      <c r="D573">
        <v>9</v>
      </c>
      <c r="E573" t="s">
        <v>51</v>
      </c>
      <c r="F573" t="s">
        <v>426</v>
      </c>
      <c r="G573" t="s">
        <v>84</v>
      </c>
      <c r="H573" t="s">
        <v>59</v>
      </c>
      <c r="I573" t="s">
        <v>427</v>
      </c>
      <c r="J573">
        <v>-6.3124784299999996</v>
      </c>
      <c r="K573" t="s">
        <v>440</v>
      </c>
      <c r="L573" t="s">
        <v>385</v>
      </c>
      <c r="M573">
        <v>0.43497567483749999</v>
      </c>
      <c r="N573">
        <v>2.7457745650926788</v>
      </c>
      <c r="O573">
        <v>28410.399000000001</v>
      </c>
      <c r="P573">
        <v>2.51417E-6</v>
      </c>
      <c r="Q573">
        <v>0.14285700000000001</v>
      </c>
      <c r="R573" s="60">
        <v>0.39225311704544491</v>
      </c>
      <c r="S573" t="s">
        <v>347</v>
      </c>
      <c r="T573" t="s">
        <v>437</v>
      </c>
      <c r="U573" t="s">
        <v>425</v>
      </c>
      <c r="V573" t="s">
        <v>27</v>
      </c>
      <c r="W573">
        <v>111.133</v>
      </c>
      <c r="X573">
        <v>1.0541007448257309</v>
      </c>
      <c r="Y573">
        <v>117.145378074718</v>
      </c>
      <c r="Z573">
        <v>640.82000000000005</v>
      </c>
      <c r="AA573">
        <v>1</v>
      </c>
      <c r="AB573">
        <v>75.069101177840764</v>
      </c>
      <c r="AC573">
        <v>0.95889999999999997</v>
      </c>
      <c r="AD573" s="62">
        <v>71.983999999999995</v>
      </c>
      <c r="AE573">
        <v>8.9176000000000002</v>
      </c>
      <c r="AF573">
        <v>9.4000488020579382</v>
      </c>
      <c r="AG573">
        <v>1</v>
      </c>
      <c r="AH573">
        <v>6023.7392733347688</v>
      </c>
      <c r="AI573">
        <v>0.99097621000820357</v>
      </c>
      <c r="AJ573" s="62">
        <v>5969.3823000000002</v>
      </c>
      <c r="AK573" s="60">
        <v>2341.5088140109069</v>
      </c>
      <c r="AL573" t="s">
        <v>347</v>
      </c>
      <c r="AM573" t="s">
        <v>437</v>
      </c>
      <c r="AN573" t="s">
        <v>425</v>
      </c>
      <c r="AO573" t="s">
        <v>27</v>
      </c>
      <c r="AP573">
        <v>111.133</v>
      </c>
      <c r="AQ573">
        <v>1.0541007448257309</v>
      </c>
      <c r="AR573">
        <v>117.145378074718</v>
      </c>
      <c r="AS573">
        <v>640.82000000000005</v>
      </c>
      <c r="AT573">
        <v>1</v>
      </c>
      <c r="AU573">
        <v>75.069101177840764</v>
      </c>
      <c r="AV573">
        <v>0.95889999999999997</v>
      </c>
      <c r="AW573" s="62">
        <v>71.983999999999995</v>
      </c>
      <c r="AX573">
        <v>8.9176000000000002</v>
      </c>
      <c r="AY573">
        <v>1</v>
      </c>
      <c r="AZ573">
        <v>6023.7392733347688</v>
      </c>
      <c r="BA573">
        <v>0.99097621000820357</v>
      </c>
      <c r="BB573" s="62">
        <v>5969.3823000000002</v>
      </c>
      <c r="BC573" s="60">
        <v>2341.5088140109069</v>
      </c>
    </row>
    <row r="574" spans="1:55" x14ac:dyDescent="0.25">
      <c r="A574">
        <v>166035</v>
      </c>
      <c r="B574" t="s">
        <v>154</v>
      </c>
      <c r="C574">
        <v>2019</v>
      </c>
      <c r="D574">
        <v>9</v>
      </c>
      <c r="E574" t="s">
        <v>51</v>
      </c>
      <c r="F574" t="s">
        <v>426</v>
      </c>
      <c r="G574" t="s">
        <v>84</v>
      </c>
      <c r="H574" t="s">
        <v>59</v>
      </c>
      <c r="I574" t="s">
        <v>427</v>
      </c>
      <c r="J574">
        <v>-6.3124784299999996</v>
      </c>
      <c r="K574" t="s">
        <v>440</v>
      </c>
      <c r="L574" t="s">
        <v>451</v>
      </c>
      <c r="M574">
        <v>1.7625750762999999E-3</v>
      </c>
      <c r="N574">
        <v>1.112621715082996E-2</v>
      </c>
      <c r="O574">
        <v>28410.399000000001</v>
      </c>
      <c r="P574">
        <v>2.51417E-6</v>
      </c>
      <c r="Q574">
        <v>0.14285700000000001</v>
      </c>
      <c r="R574" s="60">
        <v>1.5894580035161151E-3</v>
      </c>
      <c r="S574" t="s">
        <v>347</v>
      </c>
      <c r="T574" t="s">
        <v>437</v>
      </c>
      <c r="U574" t="s">
        <v>425</v>
      </c>
      <c r="V574" t="s">
        <v>91</v>
      </c>
      <c r="W574">
        <v>111.133</v>
      </c>
      <c r="X574">
        <v>1.0541007448257309</v>
      </c>
      <c r="Y574">
        <v>117.145378074718</v>
      </c>
      <c r="Z574">
        <v>640.82000000000005</v>
      </c>
      <c r="AA574">
        <v>1</v>
      </c>
      <c r="AB574">
        <v>75.069101177840764</v>
      </c>
      <c r="AC574">
        <v>1.0088999999999999</v>
      </c>
      <c r="AD574" s="62">
        <v>75.736999999999995</v>
      </c>
      <c r="AE574">
        <v>8.9176000000000002</v>
      </c>
      <c r="AF574">
        <v>9.4000488020579382</v>
      </c>
      <c r="AG574">
        <v>1</v>
      </c>
      <c r="AH574">
        <v>6023.7392733347688</v>
      </c>
      <c r="AI574">
        <v>0.99316673174541203</v>
      </c>
      <c r="AJ574" s="62">
        <v>5982.5774000000001</v>
      </c>
      <c r="AK574" s="60">
        <v>9.5090555300846322</v>
      </c>
      <c r="AL574" t="s">
        <v>347</v>
      </c>
      <c r="AM574" t="s">
        <v>437</v>
      </c>
      <c r="AN574" t="s">
        <v>425</v>
      </c>
      <c r="AO574" t="s">
        <v>91</v>
      </c>
      <c r="AP574">
        <v>111.133</v>
      </c>
      <c r="AQ574">
        <v>1.0541007448257309</v>
      </c>
      <c r="AR574">
        <v>117.145378074718</v>
      </c>
      <c r="AS574">
        <v>640.82000000000005</v>
      </c>
      <c r="AT574">
        <v>1</v>
      </c>
      <c r="AU574">
        <v>75.069101177840764</v>
      </c>
      <c r="AV574">
        <v>1.0088999999999999</v>
      </c>
      <c r="AW574" s="62">
        <v>75.736999999999995</v>
      </c>
      <c r="AX574">
        <v>8.9176000000000002</v>
      </c>
      <c r="AY574">
        <v>1</v>
      </c>
      <c r="AZ574">
        <v>6023.7392733347688</v>
      </c>
      <c r="BA574">
        <v>0.99316673174541203</v>
      </c>
      <c r="BB574" s="62">
        <v>5982.5774000000001</v>
      </c>
      <c r="BC574" s="60">
        <v>9.5090555300846322</v>
      </c>
    </row>
    <row r="575" spans="1:55" x14ac:dyDescent="0.25">
      <c r="A575">
        <v>166037</v>
      </c>
      <c r="B575" t="s">
        <v>154</v>
      </c>
      <c r="C575">
        <v>2019</v>
      </c>
      <c r="D575">
        <v>9</v>
      </c>
      <c r="E575" t="s">
        <v>51</v>
      </c>
      <c r="F575" t="s">
        <v>426</v>
      </c>
      <c r="G575" t="s">
        <v>84</v>
      </c>
      <c r="H575" t="s">
        <v>59</v>
      </c>
      <c r="I575" t="s">
        <v>427</v>
      </c>
      <c r="J575">
        <v>-6.3124784299999996</v>
      </c>
      <c r="K575" t="s">
        <v>440</v>
      </c>
      <c r="L575" t="s">
        <v>452</v>
      </c>
      <c r="M575">
        <v>1.4858046103299999E-3</v>
      </c>
      <c r="N575">
        <v>9.3791095542656681E-3</v>
      </c>
      <c r="O575">
        <v>28410.399000000001</v>
      </c>
      <c r="P575">
        <v>2.51417E-6</v>
      </c>
      <c r="Q575">
        <v>0.14285700000000001</v>
      </c>
      <c r="R575" s="60">
        <v>1.339871453593731E-3</v>
      </c>
      <c r="S575" t="s">
        <v>347</v>
      </c>
      <c r="T575" t="s">
        <v>437</v>
      </c>
      <c r="U575" t="s">
        <v>425</v>
      </c>
      <c r="V575" t="s">
        <v>28</v>
      </c>
      <c r="W575">
        <v>111.133</v>
      </c>
      <c r="X575">
        <v>1.0541007448257309</v>
      </c>
      <c r="Y575">
        <v>117.145378074718</v>
      </c>
      <c r="Z575">
        <v>640.82000000000005</v>
      </c>
      <c r="AA575">
        <v>1</v>
      </c>
      <c r="AB575">
        <v>75.069101177840764</v>
      </c>
      <c r="AC575">
        <v>1.0073000000000001</v>
      </c>
      <c r="AD575" s="62">
        <v>75.617000000000004</v>
      </c>
      <c r="AE575">
        <v>8.9176000000000002</v>
      </c>
      <c r="AF575">
        <v>9.4000488020579382</v>
      </c>
      <c r="AG575">
        <v>1</v>
      </c>
      <c r="AH575">
        <v>6023.7392733347688</v>
      </c>
      <c r="AI575">
        <v>0.99399488088206345</v>
      </c>
      <c r="AJ575" s="62">
        <v>5987.5659999999998</v>
      </c>
      <c r="AK575" s="60">
        <v>8.022568759908399</v>
      </c>
      <c r="AL575" t="s">
        <v>347</v>
      </c>
      <c r="AM575" t="s">
        <v>437</v>
      </c>
      <c r="AN575" t="s">
        <v>425</v>
      </c>
      <c r="AO575" t="s">
        <v>28</v>
      </c>
      <c r="AP575">
        <v>111.133</v>
      </c>
      <c r="AQ575">
        <v>1.0541007448257309</v>
      </c>
      <c r="AR575">
        <v>117.145378074718</v>
      </c>
      <c r="AS575">
        <v>640.82000000000005</v>
      </c>
      <c r="AT575">
        <v>1</v>
      </c>
      <c r="AU575">
        <v>75.069101177840764</v>
      </c>
      <c r="AV575">
        <v>1.0073000000000001</v>
      </c>
      <c r="AW575" s="62">
        <v>75.617000000000004</v>
      </c>
      <c r="AX575">
        <v>8.9176000000000002</v>
      </c>
      <c r="AY575">
        <v>1</v>
      </c>
      <c r="AZ575">
        <v>6023.7392733347688</v>
      </c>
      <c r="BA575">
        <v>0.99399488088206345</v>
      </c>
      <c r="BB575" s="62">
        <v>5987.5659999999998</v>
      </c>
      <c r="BC575" s="60">
        <v>8.022568759908399</v>
      </c>
    </row>
    <row r="576" spans="1:55" x14ac:dyDescent="0.25">
      <c r="A576">
        <v>173201</v>
      </c>
      <c r="B576" t="s">
        <v>156</v>
      </c>
      <c r="C576">
        <v>2019</v>
      </c>
      <c r="D576">
        <v>10</v>
      </c>
      <c r="E576" t="s">
        <v>51</v>
      </c>
      <c r="F576" t="s">
        <v>426</v>
      </c>
      <c r="G576" t="s">
        <v>84</v>
      </c>
      <c r="H576" t="s">
        <v>381</v>
      </c>
      <c r="I576" t="s">
        <v>427</v>
      </c>
      <c r="J576">
        <v>-12.780785310000001</v>
      </c>
      <c r="K576" t="s">
        <v>440</v>
      </c>
      <c r="L576" t="s">
        <v>450</v>
      </c>
      <c r="M576">
        <v>0.15011157993331001</v>
      </c>
      <c r="N576">
        <v>1.918543876318541</v>
      </c>
      <c r="O576">
        <v>28410.399000000001</v>
      </c>
      <c r="P576">
        <v>2.51417E-6</v>
      </c>
      <c r="Q576">
        <v>0.14285700000000001</v>
      </c>
      <c r="R576" s="60">
        <v>0.27407742253923778</v>
      </c>
      <c r="S576" t="s">
        <v>347</v>
      </c>
      <c r="T576" t="s">
        <v>437</v>
      </c>
      <c r="U576" t="s">
        <v>425</v>
      </c>
      <c r="V576" t="s">
        <v>26</v>
      </c>
      <c r="W576">
        <v>111.133</v>
      </c>
      <c r="X576">
        <v>1.0541007448257309</v>
      </c>
      <c r="Y576">
        <v>117.145378074718</v>
      </c>
      <c r="Z576">
        <v>640.82000000000005</v>
      </c>
      <c r="AA576">
        <v>1</v>
      </c>
      <c r="AB576">
        <v>75.069101177840764</v>
      </c>
      <c r="AC576">
        <v>0.99109999999999998</v>
      </c>
      <c r="AD576" s="62">
        <v>74.400999999999996</v>
      </c>
      <c r="AE576">
        <v>8.9176000000000002</v>
      </c>
      <c r="AF576">
        <v>9.4000488020579382</v>
      </c>
      <c r="AG576">
        <v>1</v>
      </c>
      <c r="AH576">
        <v>6023.7392733347688</v>
      </c>
      <c r="AI576">
        <v>0.9830373970836227</v>
      </c>
      <c r="AJ576" s="62">
        <v>5921.5609999999997</v>
      </c>
      <c r="AK576" s="60">
        <v>1622.966176288872</v>
      </c>
      <c r="AL576" t="s">
        <v>347</v>
      </c>
      <c r="AM576" t="s">
        <v>437</v>
      </c>
      <c r="AN576" t="s">
        <v>425</v>
      </c>
      <c r="AO576" t="s">
        <v>26</v>
      </c>
      <c r="AP576">
        <v>111.133</v>
      </c>
      <c r="AQ576">
        <v>1.0541007448257309</v>
      </c>
      <c r="AR576">
        <v>117.145378074718</v>
      </c>
      <c r="AS576">
        <v>640.82000000000005</v>
      </c>
      <c r="AT576">
        <v>1</v>
      </c>
      <c r="AU576">
        <v>75.069101177840764</v>
      </c>
      <c r="AV576">
        <v>0.99109999999999998</v>
      </c>
      <c r="AW576" s="62">
        <v>74.400999999999996</v>
      </c>
      <c r="AX576">
        <v>8.9176000000000002</v>
      </c>
      <c r="AY576">
        <v>1</v>
      </c>
      <c r="AZ576">
        <v>6023.7392733347688</v>
      </c>
      <c r="BA576">
        <v>0.9830373970836227</v>
      </c>
      <c r="BB576" s="62">
        <v>5921.5609999999997</v>
      </c>
      <c r="BC576" s="60">
        <v>1622.966176288872</v>
      </c>
    </row>
    <row r="577" spans="1:55" x14ac:dyDescent="0.25">
      <c r="A577">
        <v>173203</v>
      </c>
      <c r="B577" t="s">
        <v>156</v>
      </c>
      <c r="C577">
        <v>2019</v>
      </c>
      <c r="D577">
        <v>10</v>
      </c>
      <c r="E577" t="s">
        <v>51</v>
      </c>
      <c r="F577" t="s">
        <v>426</v>
      </c>
      <c r="G577" t="s">
        <v>84</v>
      </c>
      <c r="H577" t="s">
        <v>381</v>
      </c>
      <c r="I577" t="s">
        <v>427</v>
      </c>
      <c r="J577">
        <v>-12.780785310000001</v>
      </c>
      <c r="K577" t="s">
        <v>440</v>
      </c>
      <c r="L577" t="s">
        <v>384</v>
      </c>
      <c r="M577">
        <v>4.5811354346740003E-2</v>
      </c>
      <c r="N577">
        <v>0.58550508486316744</v>
      </c>
      <c r="O577">
        <v>28410.399000000001</v>
      </c>
      <c r="P577">
        <v>2.51417E-6</v>
      </c>
      <c r="Q577">
        <v>0.14285700000000001</v>
      </c>
      <c r="R577" s="60">
        <v>8.3643499908297517E-2</v>
      </c>
      <c r="S577" t="s">
        <v>347</v>
      </c>
      <c r="T577" t="s">
        <v>437</v>
      </c>
      <c r="U577" t="s">
        <v>425</v>
      </c>
      <c r="V577" t="s">
        <v>81</v>
      </c>
      <c r="W577">
        <v>111.133</v>
      </c>
      <c r="X577">
        <v>1.0541007448257309</v>
      </c>
      <c r="Y577">
        <v>117.145378074718</v>
      </c>
      <c r="Z577">
        <v>640.82000000000005</v>
      </c>
      <c r="AA577">
        <v>1</v>
      </c>
      <c r="AB577">
        <v>75.069101177840764</v>
      </c>
      <c r="AC577">
        <v>0.93830000000000002</v>
      </c>
      <c r="AD577" s="62">
        <v>70.436999999999998</v>
      </c>
      <c r="AE577">
        <v>8.9176000000000002</v>
      </c>
      <c r="AF577">
        <v>9.4000488020579382</v>
      </c>
      <c r="AG577">
        <v>1</v>
      </c>
      <c r="AH577">
        <v>6023.7392733347688</v>
      </c>
      <c r="AI577">
        <v>1.098016605166052</v>
      </c>
      <c r="AJ577" s="62">
        <v>6614.1656999999996</v>
      </c>
      <c r="AK577" s="60">
        <v>553.23196812141452</v>
      </c>
      <c r="AL577" t="s">
        <v>347</v>
      </c>
      <c r="AM577" t="s">
        <v>437</v>
      </c>
      <c r="AN577" t="s">
        <v>425</v>
      </c>
      <c r="AO577" t="s">
        <v>81</v>
      </c>
      <c r="AP577">
        <v>111.133</v>
      </c>
      <c r="AQ577">
        <v>1.0541007448257309</v>
      </c>
      <c r="AR577">
        <v>117.145378074718</v>
      </c>
      <c r="AS577">
        <v>640.82000000000005</v>
      </c>
      <c r="AT577">
        <v>1</v>
      </c>
      <c r="AU577">
        <v>75.069101177840764</v>
      </c>
      <c r="AV577">
        <v>0.93830000000000002</v>
      </c>
      <c r="AW577" s="62">
        <v>70.436999999999998</v>
      </c>
      <c r="AX577">
        <v>8.9176000000000002</v>
      </c>
      <c r="AY577">
        <v>1</v>
      </c>
      <c r="AZ577">
        <v>6023.7392733347688</v>
      </c>
      <c r="BA577">
        <v>1.098016605166052</v>
      </c>
      <c r="BB577" s="62">
        <v>6614.1656999999996</v>
      </c>
      <c r="BC577" s="60">
        <v>553.23196812141452</v>
      </c>
    </row>
    <row r="578" spans="1:55" x14ac:dyDescent="0.25">
      <c r="A578">
        <v>173205</v>
      </c>
      <c r="B578" t="s">
        <v>156</v>
      </c>
      <c r="C578">
        <v>2019</v>
      </c>
      <c r="D578">
        <v>10</v>
      </c>
      <c r="E578" t="s">
        <v>51</v>
      </c>
      <c r="F578" t="s">
        <v>426</v>
      </c>
      <c r="G578" t="s">
        <v>84</v>
      </c>
      <c r="H578" t="s">
        <v>381</v>
      </c>
      <c r="I578" t="s">
        <v>427</v>
      </c>
      <c r="J578">
        <v>-12.780785310000001</v>
      </c>
      <c r="K578" t="s">
        <v>440</v>
      </c>
      <c r="L578" t="s">
        <v>385</v>
      </c>
      <c r="M578">
        <v>0.43232641346992001</v>
      </c>
      <c r="N578">
        <v>5.5254710762618471</v>
      </c>
      <c r="O578">
        <v>28410.399000000001</v>
      </c>
      <c r="P578">
        <v>2.51417E-6</v>
      </c>
      <c r="Q578">
        <v>0.14285700000000001</v>
      </c>
      <c r="R578" s="60">
        <v>0.78935222154153872</v>
      </c>
      <c r="S578" t="s">
        <v>347</v>
      </c>
      <c r="T578" t="s">
        <v>437</v>
      </c>
      <c r="U578" t="s">
        <v>425</v>
      </c>
      <c r="V578" t="s">
        <v>27</v>
      </c>
      <c r="W578">
        <v>111.133</v>
      </c>
      <c r="X578">
        <v>1.0541007448257309</v>
      </c>
      <c r="Y578">
        <v>117.145378074718</v>
      </c>
      <c r="Z578">
        <v>640.82000000000005</v>
      </c>
      <c r="AA578">
        <v>1</v>
      </c>
      <c r="AB578">
        <v>75.069101177840764</v>
      </c>
      <c r="AC578">
        <v>0.95889999999999997</v>
      </c>
      <c r="AD578" s="62">
        <v>71.983999999999995</v>
      </c>
      <c r="AE578">
        <v>8.9176000000000002</v>
      </c>
      <c r="AF578">
        <v>9.4000488020579382</v>
      </c>
      <c r="AG578">
        <v>1</v>
      </c>
      <c r="AH578">
        <v>6023.7392733347688</v>
      </c>
      <c r="AI578">
        <v>0.99097621000820357</v>
      </c>
      <c r="AJ578" s="62">
        <v>5969.3823000000002</v>
      </c>
      <c r="AK578" s="60">
        <v>4711.9451797357406</v>
      </c>
      <c r="AL578" t="s">
        <v>347</v>
      </c>
      <c r="AM578" t="s">
        <v>437</v>
      </c>
      <c r="AN578" t="s">
        <v>425</v>
      </c>
      <c r="AO578" t="s">
        <v>27</v>
      </c>
      <c r="AP578">
        <v>111.133</v>
      </c>
      <c r="AQ578">
        <v>1.0541007448257309</v>
      </c>
      <c r="AR578">
        <v>117.145378074718</v>
      </c>
      <c r="AS578">
        <v>640.82000000000005</v>
      </c>
      <c r="AT578">
        <v>1</v>
      </c>
      <c r="AU578">
        <v>75.069101177840764</v>
      </c>
      <c r="AV578">
        <v>0.95889999999999997</v>
      </c>
      <c r="AW578" s="62">
        <v>71.983999999999995</v>
      </c>
      <c r="AX578">
        <v>8.9176000000000002</v>
      </c>
      <c r="AY578">
        <v>1</v>
      </c>
      <c r="AZ578">
        <v>6023.7392733347688</v>
      </c>
      <c r="BA578">
        <v>0.99097621000820357</v>
      </c>
      <c r="BB578" s="62">
        <v>5969.3823000000002</v>
      </c>
      <c r="BC578" s="60">
        <v>4711.9451797357406</v>
      </c>
    </row>
    <row r="579" spans="1:55" x14ac:dyDescent="0.25">
      <c r="A579">
        <v>173207</v>
      </c>
      <c r="B579" t="s">
        <v>156</v>
      </c>
      <c r="C579">
        <v>2019</v>
      </c>
      <c r="D579">
        <v>10</v>
      </c>
      <c r="E579" t="s">
        <v>51</v>
      </c>
      <c r="F579" t="s">
        <v>426</v>
      </c>
      <c r="G579" t="s">
        <v>84</v>
      </c>
      <c r="H579" t="s">
        <v>381</v>
      </c>
      <c r="I579" t="s">
        <v>427</v>
      </c>
      <c r="J579">
        <v>-12.780785310000001</v>
      </c>
      <c r="K579" t="s">
        <v>440</v>
      </c>
      <c r="L579" t="s">
        <v>451</v>
      </c>
      <c r="M579">
        <v>1.6825115802299999E-3</v>
      </c>
      <c r="N579">
        <v>2.150381929574912E-2</v>
      </c>
      <c r="O579">
        <v>28410.399000000001</v>
      </c>
      <c r="P579">
        <v>2.51417E-6</v>
      </c>
      <c r="Q579">
        <v>0.14285700000000001</v>
      </c>
      <c r="R579" s="60">
        <v>3.0719711131328318E-3</v>
      </c>
      <c r="S579" t="s">
        <v>347</v>
      </c>
      <c r="T579" t="s">
        <v>437</v>
      </c>
      <c r="U579" t="s">
        <v>425</v>
      </c>
      <c r="V579" t="s">
        <v>91</v>
      </c>
      <c r="W579">
        <v>111.133</v>
      </c>
      <c r="X579">
        <v>1.0541007448257309</v>
      </c>
      <c r="Y579">
        <v>117.145378074718</v>
      </c>
      <c r="Z579">
        <v>640.82000000000005</v>
      </c>
      <c r="AA579">
        <v>1</v>
      </c>
      <c r="AB579">
        <v>75.069101177840764</v>
      </c>
      <c r="AC579">
        <v>1.0088999999999999</v>
      </c>
      <c r="AD579" s="62">
        <v>75.736999999999995</v>
      </c>
      <c r="AE579">
        <v>8.9176000000000002</v>
      </c>
      <c r="AF579">
        <v>9.4000488020579382</v>
      </c>
      <c r="AG579">
        <v>1</v>
      </c>
      <c r="AH579">
        <v>6023.7392733347688</v>
      </c>
      <c r="AI579">
        <v>0.99316673174541203</v>
      </c>
      <c r="AJ579" s="62">
        <v>5982.5774000000001</v>
      </c>
      <c r="AK579" s="60">
        <v>18.37830495488133</v>
      </c>
      <c r="AL579" t="s">
        <v>347</v>
      </c>
      <c r="AM579" t="s">
        <v>437</v>
      </c>
      <c r="AN579" t="s">
        <v>425</v>
      </c>
      <c r="AO579" t="s">
        <v>91</v>
      </c>
      <c r="AP579">
        <v>111.133</v>
      </c>
      <c r="AQ579">
        <v>1.0541007448257309</v>
      </c>
      <c r="AR579">
        <v>117.145378074718</v>
      </c>
      <c r="AS579">
        <v>640.82000000000005</v>
      </c>
      <c r="AT579">
        <v>1</v>
      </c>
      <c r="AU579">
        <v>75.069101177840764</v>
      </c>
      <c r="AV579">
        <v>1.0088999999999999</v>
      </c>
      <c r="AW579" s="62">
        <v>75.736999999999995</v>
      </c>
      <c r="AX579">
        <v>8.9176000000000002</v>
      </c>
      <c r="AY579">
        <v>1</v>
      </c>
      <c r="AZ579">
        <v>6023.7392733347688</v>
      </c>
      <c r="BA579">
        <v>0.99316673174541203</v>
      </c>
      <c r="BB579" s="62">
        <v>5982.5774000000001</v>
      </c>
      <c r="BC579" s="60">
        <v>18.37830495488133</v>
      </c>
    </row>
    <row r="580" spans="1:55" x14ac:dyDescent="0.25">
      <c r="A580">
        <v>173209</v>
      </c>
      <c r="B580" t="s">
        <v>156</v>
      </c>
      <c r="C580">
        <v>2019</v>
      </c>
      <c r="D580">
        <v>10</v>
      </c>
      <c r="E580" t="s">
        <v>51</v>
      </c>
      <c r="F580" t="s">
        <v>426</v>
      </c>
      <c r="G580" t="s">
        <v>84</v>
      </c>
      <c r="H580" t="s">
        <v>381</v>
      </c>
      <c r="I580" t="s">
        <v>427</v>
      </c>
      <c r="J580">
        <v>-12.780785310000001</v>
      </c>
      <c r="K580" t="s">
        <v>440</v>
      </c>
      <c r="L580" t="s">
        <v>452</v>
      </c>
      <c r="M580">
        <v>1.53682162831E-3</v>
      </c>
      <c r="N580">
        <v>1.96417872978084E-2</v>
      </c>
      <c r="O580">
        <v>28410.399000000001</v>
      </c>
      <c r="P580">
        <v>2.51417E-6</v>
      </c>
      <c r="Q580">
        <v>0.14285700000000001</v>
      </c>
      <c r="R580" s="60">
        <v>2.8059668080030152E-3</v>
      </c>
      <c r="S580" t="s">
        <v>347</v>
      </c>
      <c r="T580" t="s">
        <v>437</v>
      </c>
      <c r="U580" t="s">
        <v>425</v>
      </c>
      <c r="V580" t="s">
        <v>28</v>
      </c>
      <c r="W580">
        <v>111.133</v>
      </c>
      <c r="X580">
        <v>1.0541007448257309</v>
      </c>
      <c r="Y580">
        <v>117.145378074718</v>
      </c>
      <c r="Z580">
        <v>640.82000000000005</v>
      </c>
      <c r="AA580">
        <v>1</v>
      </c>
      <c r="AB580">
        <v>75.069101177840764</v>
      </c>
      <c r="AC580">
        <v>1.0073000000000001</v>
      </c>
      <c r="AD580" s="62">
        <v>75.617000000000004</v>
      </c>
      <c r="AE580">
        <v>8.9176000000000002</v>
      </c>
      <c r="AF580">
        <v>9.4000488020579382</v>
      </c>
      <c r="AG580">
        <v>1</v>
      </c>
      <c r="AH580">
        <v>6023.7392733347688</v>
      </c>
      <c r="AI580">
        <v>0.99399488088206345</v>
      </c>
      <c r="AJ580" s="62">
        <v>5987.5659999999998</v>
      </c>
      <c r="AK580" s="60">
        <v>16.800911456727381</v>
      </c>
      <c r="AL580" t="s">
        <v>347</v>
      </c>
      <c r="AM580" t="s">
        <v>437</v>
      </c>
      <c r="AN580" t="s">
        <v>425</v>
      </c>
      <c r="AO580" t="s">
        <v>28</v>
      </c>
      <c r="AP580">
        <v>111.133</v>
      </c>
      <c r="AQ580">
        <v>1.0541007448257309</v>
      </c>
      <c r="AR580">
        <v>117.145378074718</v>
      </c>
      <c r="AS580">
        <v>640.82000000000005</v>
      </c>
      <c r="AT580">
        <v>1</v>
      </c>
      <c r="AU580">
        <v>75.069101177840764</v>
      </c>
      <c r="AV580">
        <v>1.0073000000000001</v>
      </c>
      <c r="AW580" s="62">
        <v>75.617000000000004</v>
      </c>
      <c r="AX580">
        <v>8.9176000000000002</v>
      </c>
      <c r="AY580">
        <v>1</v>
      </c>
      <c r="AZ580">
        <v>6023.7392733347688</v>
      </c>
      <c r="BA580">
        <v>0.99399488088206345</v>
      </c>
      <c r="BB580" s="62">
        <v>5987.5659999999998</v>
      </c>
      <c r="BC580" s="60">
        <v>16.800911456727381</v>
      </c>
    </row>
    <row r="581" spans="1:55" x14ac:dyDescent="0.25">
      <c r="A581">
        <v>173211</v>
      </c>
      <c r="B581" t="s">
        <v>156</v>
      </c>
      <c r="C581">
        <v>2019</v>
      </c>
      <c r="D581">
        <v>10</v>
      </c>
      <c r="E581" t="s">
        <v>51</v>
      </c>
      <c r="F581" t="s">
        <v>426</v>
      </c>
      <c r="G581" t="s">
        <v>84</v>
      </c>
      <c r="H581" t="s">
        <v>87</v>
      </c>
      <c r="I581" t="s">
        <v>427</v>
      </c>
      <c r="J581">
        <v>-2.5502972900000001</v>
      </c>
      <c r="K581" t="s">
        <v>440</v>
      </c>
      <c r="L581" t="s">
        <v>450</v>
      </c>
      <c r="M581">
        <v>0.26601384014995</v>
      </c>
      <c r="N581">
        <v>0.67841437582859199</v>
      </c>
      <c r="O581">
        <v>28410.399000000001</v>
      </c>
      <c r="P581">
        <v>2.51417E-6</v>
      </c>
      <c r="Q581">
        <v>0.14285700000000001</v>
      </c>
      <c r="R581" s="60">
        <v>9.6916242487745177E-2</v>
      </c>
      <c r="S581" t="s">
        <v>347</v>
      </c>
      <c r="T581" t="s">
        <v>437</v>
      </c>
      <c r="U581" t="s">
        <v>425</v>
      </c>
      <c r="V581" t="s">
        <v>26</v>
      </c>
      <c r="W581">
        <v>111.133</v>
      </c>
      <c r="X581">
        <v>1.0541007448257309</v>
      </c>
      <c r="Y581">
        <v>117.145378074718</v>
      </c>
      <c r="Z581">
        <v>640.82000000000005</v>
      </c>
      <c r="AA581">
        <v>1</v>
      </c>
      <c r="AB581">
        <v>75.069101177840764</v>
      </c>
      <c r="AC581">
        <v>0.99109999999999998</v>
      </c>
      <c r="AD581" s="62">
        <v>74.400999999999996</v>
      </c>
      <c r="AE581">
        <v>8.9176000000000002</v>
      </c>
      <c r="AF581">
        <v>9.4000488020579382</v>
      </c>
      <c r="AG581">
        <v>1</v>
      </c>
      <c r="AH581">
        <v>6023.7392733347688</v>
      </c>
      <c r="AI581">
        <v>0.9830373970836227</v>
      </c>
      <c r="AJ581" s="62">
        <v>5921.5609999999997</v>
      </c>
      <c r="AK581" s="60">
        <v>573.8954417819748</v>
      </c>
      <c r="AL581" t="s">
        <v>347</v>
      </c>
      <c r="AM581" t="s">
        <v>437</v>
      </c>
      <c r="AN581" t="s">
        <v>425</v>
      </c>
      <c r="AO581" t="s">
        <v>26</v>
      </c>
      <c r="AP581">
        <v>111.133</v>
      </c>
      <c r="AQ581">
        <v>1.0541007448257309</v>
      </c>
      <c r="AR581">
        <v>117.145378074718</v>
      </c>
      <c r="AS581">
        <v>640.82000000000005</v>
      </c>
      <c r="AT581">
        <v>1</v>
      </c>
      <c r="AU581">
        <v>75.069101177840764</v>
      </c>
      <c r="AV581">
        <v>0.99109999999999998</v>
      </c>
      <c r="AW581" s="62">
        <v>74.400999999999996</v>
      </c>
      <c r="AX581">
        <v>8.9176000000000002</v>
      </c>
      <c r="AY581">
        <v>1</v>
      </c>
      <c r="AZ581">
        <v>6023.7392733347688</v>
      </c>
      <c r="BA581">
        <v>0.9830373970836227</v>
      </c>
      <c r="BB581" s="62">
        <v>5921.5609999999997</v>
      </c>
      <c r="BC581" s="60">
        <v>573.8954417819748</v>
      </c>
    </row>
    <row r="582" spans="1:55" x14ac:dyDescent="0.25">
      <c r="A582">
        <v>173213</v>
      </c>
      <c r="B582" t="s">
        <v>156</v>
      </c>
      <c r="C582">
        <v>2019</v>
      </c>
      <c r="D582">
        <v>10</v>
      </c>
      <c r="E582" t="s">
        <v>51</v>
      </c>
      <c r="F582" t="s">
        <v>426</v>
      </c>
      <c r="G582" t="s">
        <v>84</v>
      </c>
      <c r="H582" t="s">
        <v>87</v>
      </c>
      <c r="I582" t="s">
        <v>427</v>
      </c>
      <c r="J582">
        <v>-2.5502972900000001</v>
      </c>
      <c r="K582" t="s">
        <v>440</v>
      </c>
      <c r="L582" t="s">
        <v>384</v>
      </c>
      <c r="M582">
        <v>3.9509559941419997E-2</v>
      </c>
      <c r="N582">
        <v>0.1007611236761653</v>
      </c>
      <c r="O582">
        <v>28410.399000000001</v>
      </c>
      <c r="P582">
        <v>2.51417E-6</v>
      </c>
      <c r="Q582">
        <v>0.14285700000000001</v>
      </c>
      <c r="R582" s="60">
        <v>1.439443184500595E-2</v>
      </c>
      <c r="S582" t="s">
        <v>347</v>
      </c>
      <c r="T582" t="s">
        <v>437</v>
      </c>
      <c r="U582" t="s">
        <v>425</v>
      </c>
      <c r="V582" t="s">
        <v>81</v>
      </c>
      <c r="W582">
        <v>111.133</v>
      </c>
      <c r="X582">
        <v>1.0541007448257309</v>
      </c>
      <c r="Y582">
        <v>117.145378074718</v>
      </c>
      <c r="Z582">
        <v>640.82000000000005</v>
      </c>
      <c r="AA582">
        <v>1</v>
      </c>
      <c r="AB582">
        <v>75.069101177840764</v>
      </c>
      <c r="AC582">
        <v>0.93830000000000002</v>
      </c>
      <c r="AD582" s="62">
        <v>70.436999999999998</v>
      </c>
      <c r="AE582">
        <v>8.9176000000000002</v>
      </c>
      <c r="AF582">
        <v>9.4000488020579382</v>
      </c>
      <c r="AG582">
        <v>1</v>
      </c>
      <c r="AH582">
        <v>6023.7392733347688</v>
      </c>
      <c r="AI582">
        <v>1.098016605166052</v>
      </c>
      <c r="AJ582" s="62">
        <v>6614.1656999999996</v>
      </c>
      <c r="AK582" s="60">
        <v>95.207157380226093</v>
      </c>
      <c r="AL582" t="s">
        <v>347</v>
      </c>
      <c r="AM582" t="s">
        <v>437</v>
      </c>
      <c r="AN582" t="s">
        <v>425</v>
      </c>
      <c r="AO582" t="s">
        <v>81</v>
      </c>
      <c r="AP582">
        <v>111.133</v>
      </c>
      <c r="AQ582">
        <v>1.0541007448257309</v>
      </c>
      <c r="AR582">
        <v>117.145378074718</v>
      </c>
      <c r="AS582">
        <v>640.82000000000005</v>
      </c>
      <c r="AT582">
        <v>1</v>
      </c>
      <c r="AU582">
        <v>75.069101177840764</v>
      </c>
      <c r="AV582">
        <v>0.93830000000000002</v>
      </c>
      <c r="AW582" s="62">
        <v>70.436999999999998</v>
      </c>
      <c r="AX582">
        <v>8.9176000000000002</v>
      </c>
      <c r="AY582">
        <v>1</v>
      </c>
      <c r="AZ582">
        <v>6023.7392733347688</v>
      </c>
      <c r="BA582">
        <v>1.098016605166052</v>
      </c>
      <c r="BB582" s="62">
        <v>6614.1656999999996</v>
      </c>
      <c r="BC582" s="60">
        <v>95.207157380226093</v>
      </c>
    </row>
    <row r="583" spans="1:55" x14ac:dyDescent="0.25">
      <c r="A583">
        <v>173215</v>
      </c>
      <c r="B583" t="s">
        <v>156</v>
      </c>
      <c r="C583">
        <v>2019</v>
      </c>
      <c r="D583">
        <v>10</v>
      </c>
      <c r="E583" t="s">
        <v>51</v>
      </c>
      <c r="F583" t="s">
        <v>426</v>
      </c>
      <c r="G583" t="s">
        <v>84</v>
      </c>
      <c r="H583" t="s">
        <v>87</v>
      </c>
      <c r="I583" t="s">
        <v>427</v>
      </c>
      <c r="J583">
        <v>-2.5502972900000001</v>
      </c>
      <c r="K583" t="s">
        <v>440</v>
      </c>
      <c r="L583" t="s">
        <v>385</v>
      </c>
      <c r="M583">
        <v>0.39737542925016001</v>
      </c>
      <c r="N583">
        <v>1.013425480615606</v>
      </c>
      <c r="O583">
        <v>28410.399000000001</v>
      </c>
      <c r="P583">
        <v>2.51417E-6</v>
      </c>
      <c r="Q583">
        <v>0.14285700000000001</v>
      </c>
      <c r="R583" s="60">
        <v>0.14477492388430371</v>
      </c>
      <c r="S583" t="s">
        <v>347</v>
      </c>
      <c r="T583" t="s">
        <v>437</v>
      </c>
      <c r="U583" t="s">
        <v>425</v>
      </c>
      <c r="V583" t="s">
        <v>27</v>
      </c>
      <c r="W583">
        <v>111.133</v>
      </c>
      <c r="X583">
        <v>1.0541007448257309</v>
      </c>
      <c r="Y583">
        <v>117.145378074718</v>
      </c>
      <c r="Z583">
        <v>640.82000000000005</v>
      </c>
      <c r="AA583">
        <v>1</v>
      </c>
      <c r="AB583">
        <v>75.069101177840764</v>
      </c>
      <c r="AC583">
        <v>0.95889999999999997</v>
      </c>
      <c r="AD583" s="62">
        <v>71.983999999999995</v>
      </c>
      <c r="AE583">
        <v>8.9176000000000002</v>
      </c>
      <c r="AF583">
        <v>9.4000488020579382</v>
      </c>
      <c r="AG583">
        <v>1</v>
      </c>
      <c r="AH583">
        <v>6023.7392733347688</v>
      </c>
      <c r="AI583">
        <v>0.99097621000820357</v>
      </c>
      <c r="AJ583" s="62">
        <v>5969.3823000000002</v>
      </c>
      <c r="AK583" s="60">
        <v>864.21686811880954</v>
      </c>
      <c r="AL583" t="s">
        <v>347</v>
      </c>
      <c r="AM583" t="s">
        <v>437</v>
      </c>
      <c r="AN583" t="s">
        <v>425</v>
      </c>
      <c r="AO583" t="s">
        <v>27</v>
      </c>
      <c r="AP583">
        <v>111.133</v>
      </c>
      <c r="AQ583">
        <v>1.0541007448257309</v>
      </c>
      <c r="AR583">
        <v>117.145378074718</v>
      </c>
      <c r="AS583">
        <v>640.82000000000005</v>
      </c>
      <c r="AT583">
        <v>1</v>
      </c>
      <c r="AU583">
        <v>75.069101177840764</v>
      </c>
      <c r="AV583">
        <v>0.95889999999999997</v>
      </c>
      <c r="AW583" s="62">
        <v>71.983999999999995</v>
      </c>
      <c r="AX583">
        <v>8.9176000000000002</v>
      </c>
      <c r="AY583">
        <v>1</v>
      </c>
      <c r="AZ583">
        <v>6023.7392733347688</v>
      </c>
      <c r="BA583">
        <v>0.99097621000820357</v>
      </c>
      <c r="BB583" s="62">
        <v>5969.3823000000002</v>
      </c>
      <c r="BC583" s="60">
        <v>864.21686811880954</v>
      </c>
    </row>
    <row r="584" spans="1:55" x14ac:dyDescent="0.25">
      <c r="A584">
        <v>173217</v>
      </c>
      <c r="B584" t="s">
        <v>156</v>
      </c>
      <c r="C584">
        <v>2019</v>
      </c>
      <c r="D584">
        <v>10</v>
      </c>
      <c r="E584" t="s">
        <v>51</v>
      </c>
      <c r="F584" t="s">
        <v>426</v>
      </c>
      <c r="G584" t="s">
        <v>84</v>
      </c>
      <c r="H584" t="s">
        <v>87</v>
      </c>
      <c r="I584" t="s">
        <v>427</v>
      </c>
      <c r="J584">
        <v>-2.5502972900000001</v>
      </c>
      <c r="K584" t="s">
        <v>440</v>
      </c>
      <c r="L584" t="s">
        <v>452</v>
      </c>
      <c r="M584">
        <v>8.4248020759000004E-4</v>
      </c>
      <c r="N584">
        <v>2.1485749909024802E-3</v>
      </c>
      <c r="O584">
        <v>28410.399000000001</v>
      </c>
      <c r="P584">
        <v>2.51417E-6</v>
      </c>
      <c r="Q584">
        <v>0.14285700000000001</v>
      </c>
      <c r="R584" s="60">
        <v>3.0693897747535557E-4</v>
      </c>
      <c r="S584" t="s">
        <v>347</v>
      </c>
      <c r="T584" t="s">
        <v>437</v>
      </c>
      <c r="U584" t="s">
        <v>425</v>
      </c>
      <c r="V584" t="s">
        <v>28</v>
      </c>
      <c r="W584">
        <v>111.133</v>
      </c>
      <c r="X584">
        <v>1.0541007448257309</v>
      </c>
      <c r="Y584">
        <v>117.145378074718</v>
      </c>
      <c r="Z584">
        <v>640.82000000000005</v>
      </c>
      <c r="AA584">
        <v>1</v>
      </c>
      <c r="AB584">
        <v>75.069101177840764</v>
      </c>
      <c r="AC584">
        <v>1.0073000000000001</v>
      </c>
      <c r="AD584" s="62">
        <v>75.617000000000004</v>
      </c>
      <c r="AE584">
        <v>8.9176000000000002</v>
      </c>
      <c r="AF584">
        <v>9.4000488020579382</v>
      </c>
      <c r="AG584">
        <v>1</v>
      </c>
      <c r="AH584">
        <v>6023.7392733347688</v>
      </c>
      <c r="AI584">
        <v>0.99399488088206345</v>
      </c>
      <c r="AJ584" s="62">
        <v>5987.5659999999998</v>
      </c>
      <c r="AK584" s="60">
        <v>1.837817385606205</v>
      </c>
      <c r="AL584" t="s">
        <v>347</v>
      </c>
      <c r="AM584" t="s">
        <v>437</v>
      </c>
      <c r="AN584" t="s">
        <v>425</v>
      </c>
      <c r="AO584" t="s">
        <v>28</v>
      </c>
      <c r="AP584">
        <v>111.133</v>
      </c>
      <c r="AQ584">
        <v>1.0541007448257309</v>
      </c>
      <c r="AR584">
        <v>117.145378074718</v>
      </c>
      <c r="AS584">
        <v>640.82000000000005</v>
      </c>
      <c r="AT584">
        <v>1</v>
      </c>
      <c r="AU584">
        <v>75.069101177840764</v>
      </c>
      <c r="AV584">
        <v>1.0073000000000001</v>
      </c>
      <c r="AW584" s="62">
        <v>75.617000000000004</v>
      </c>
      <c r="AX584">
        <v>8.9176000000000002</v>
      </c>
      <c r="AY584">
        <v>1</v>
      </c>
      <c r="AZ584">
        <v>6023.7392733347688</v>
      </c>
      <c r="BA584">
        <v>0.99399488088206345</v>
      </c>
      <c r="BB584" s="62">
        <v>5987.5659999999998</v>
      </c>
      <c r="BC584" s="60">
        <v>1.837817385606205</v>
      </c>
    </row>
    <row r="585" spans="1:55" x14ac:dyDescent="0.25">
      <c r="A585">
        <v>173219</v>
      </c>
      <c r="B585" t="s">
        <v>156</v>
      </c>
      <c r="C585">
        <v>2019</v>
      </c>
      <c r="D585">
        <v>10</v>
      </c>
      <c r="E585" t="s">
        <v>51</v>
      </c>
      <c r="F585" t="s">
        <v>426</v>
      </c>
      <c r="G585" t="s">
        <v>84</v>
      </c>
      <c r="H585" t="s">
        <v>59</v>
      </c>
      <c r="I585" t="s">
        <v>427</v>
      </c>
      <c r="J585">
        <v>-6.0651234499999997</v>
      </c>
      <c r="K585" t="s">
        <v>440</v>
      </c>
      <c r="L585" t="s">
        <v>450</v>
      </c>
      <c r="M585">
        <v>0.15931709696460999</v>
      </c>
      <c r="N585">
        <v>0.96627786030549434</v>
      </c>
      <c r="O585">
        <v>28410.399000000001</v>
      </c>
      <c r="P585">
        <v>2.51417E-6</v>
      </c>
      <c r="Q585">
        <v>0.14285700000000001</v>
      </c>
      <c r="R585" s="60">
        <v>0.138039556289662</v>
      </c>
      <c r="S585" t="s">
        <v>347</v>
      </c>
      <c r="T585" t="s">
        <v>437</v>
      </c>
      <c r="U585" t="s">
        <v>425</v>
      </c>
      <c r="V585" t="s">
        <v>26</v>
      </c>
      <c r="W585">
        <v>111.133</v>
      </c>
      <c r="X585">
        <v>1.0541007448257309</v>
      </c>
      <c r="Y585">
        <v>117.145378074718</v>
      </c>
      <c r="Z585">
        <v>640.82000000000005</v>
      </c>
      <c r="AA585">
        <v>1</v>
      </c>
      <c r="AB585">
        <v>75.069101177840764</v>
      </c>
      <c r="AC585">
        <v>0.99109999999999998</v>
      </c>
      <c r="AD585" s="62">
        <v>74.400999999999996</v>
      </c>
      <c r="AE585">
        <v>8.9176000000000002</v>
      </c>
      <c r="AF585">
        <v>9.4000488020579382</v>
      </c>
      <c r="AG585">
        <v>1</v>
      </c>
      <c r="AH585">
        <v>6023.7392733347688</v>
      </c>
      <c r="AI585">
        <v>0.9830373970836227</v>
      </c>
      <c r="AJ585" s="62">
        <v>5921.5609999999997</v>
      </c>
      <c r="AK585" s="60">
        <v>817.40965298216736</v>
      </c>
      <c r="AL585" t="s">
        <v>347</v>
      </c>
      <c r="AM585" t="s">
        <v>437</v>
      </c>
      <c r="AN585" t="s">
        <v>425</v>
      </c>
      <c r="AO585" t="s">
        <v>26</v>
      </c>
      <c r="AP585">
        <v>111.133</v>
      </c>
      <c r="AQ585">
        <v>1.0541007448257309</v>
      </c>
      <c r="AR585">
        <v>117.145378074718</v>
      </c>
      <c r="AS585">
        <v>640.82000000000005</v>
      </c>
      <c r="AT585">
        <v>1</v>
      </c>
      <c r="AU585">
        <v>75.069101177840764</v>
      </c>
      <c r="AV585">
        <v>0.99109999999999998</v>
      </c>
      <c r="AW585" s="62">
        <v>74.400999999999996</v>
      </c>
      <c r="AX585">
        <v>8.9176000000000002</v>
      </c>
      <c r="AY585">
        <v>1</v>
      </c>
      <c r="AZ585">
        <v>6023.7392733347688</v>
      </c>
      <c r="BA585">
        <v>0.9830373970836227</v>
      </c>
      <c r="BB585" s="62">
        <v>5921.5609999999997</v>
      </c>
      <c r="BC585" s="60">
        <v>817.40965298216736</v>
      </c>
    </row>
    <row r="586" spans="1:55" x14ac:dyDescent="0.25">
      <c r="A586">
        <v>173221</v>
      </c>
      <c r="B586" t="s">
        <v>156</v>
      </c>
      <c r="C586">
        <v>2019</v>
      </c>
      <c r="D586">
        <v>10</v>
      </c>
      <c r="E586" t="s">
        <v>51</v>
      </c>
      <c r="F586" t="s">
        <v>426</v>
      </c>
      <c r="G586" t="s">
        <v>84</v>
      </c>
      <c r="H586" t="s">
        <v>59</v>
      </c>
      <c r="I586" t="s">
        <v>427</v>
      </c>
      <c r="J586">
        <v>-6.0651234499999997</v>
      </c>
      <c r="K586" t="s">
        <v>440</v>
      </c>
      <c r="L586" t="s">
        <v>384</v>
      </c>
      <c r="M586">
        <v>4.1785183859599999E-2</v>
      </c>
      <c r="N586">
        <v>0.25343229836340131</v>
      </c>
      <c r="O586">
        <v>28410.399000000001</v>
      </c>
      <c r="P586">
        <v>2.51417E-6</v>
      </c>
      <c r="Q586">
        <v>0.14285700000000001</v>
      </c>
      <c r="R586" s="60">
        <v>3.6204577847300419E-2</v>
      </c>
      <c r="S586" t="s">
        <v>347</v>
      </c>
      <c r="T586" t="s">
        <v>437</v>
      </c>
      <c r="U586" t="s">
        <v>425</v>
      </c>
      <c r="V586" t="s">
        <v>81</v>
      </c>
      <c r="W586">
        <v>111.133</v>
      </c>
      <c r="X586">
        <v>1.0541007448257309</v>
      </c>
      <c r="Y586">
        <v>117.145378074718</v>
      </c>
      <c r="Z586">
        <v>640.82000000000005</v>
      </c>
      <c r="AA586">
        <v>1</v>
      </c>
      <c r="AB586">
        <v>75.069101177840764</v>
      </c>
      <c r="AC586">
        <v>0.93830000000000002</v>
      </c>
      <c r="AD586" s="62">
        <v>70.436999999999998</v>
      </c>
      <c r="AE586">
        <v>8.9176000000000002</v>
      </c>
      <c r="AF586">
        <v>9.4000488020579382</v>
      </c>
      <c r="AG586">
        <v>1</v>
      </c>
      <c r="AH586">
        <v>6023.7392733347688</v>
      </c>
      <c r="AI586">
        <v>1.098016605166052</v>
      </c>
      <c r="AJ586" s="62">
        <v>6614.1656999999996</v>
      </c>
      <c r="AK586" s="60">
        <v>239.46307698059431</v>
      </c>
      <c r="AL586" t="s">
        <v>347</v>
      </c>
      <c r="AM586" t="s">
        <v>437</v>
      </c>
      <c r="AN586" t="s">
        <v>425</v>
      </c>
      <c r="AO586" t="s">
        <v>81</v>
      </c>
      <c r="AP586">
        <v>111.133</v>
      </c>
      <c r="AQ586">
        <v>1.0541007448257309</v>
      </c>
      <c r="AR586">
        <v>117.145378074718</v>
      </c>
      <c r="AS586">
        <v>640.82000000000005</v>
      </c>
      <c r="AT586">
        <v>1</v>
      </c>
      <c r="AU586">
        <v>75.069101177840764</v>
      </c>
      <c r="AV586">
        <v>0.93830000000000002</v>
      </c>
      <c r="AW586" s="62">
        <v>70.436999999999998</v>
      </c>
      <c r="AX586">
        <v>8.9176000000000002</v>
      </c>
      <c r="AY586">
        <v>1</v>
      </c>
      <c r="AZ586">
        <v>6023.7392733347688</v>
      </c>
      <c r="BA586">
        <v>1.098016605166052</v>
      </c>
      <c r="BB586" s="62">
        <v>6614.1656999999996</v>
      </c>
      <c r="BC586" s="60">
        <v>239.46307698059431</v>
      </c>
    </row>
    <row r="587" spans="1:55" x14ac:dyDescent="0.25">
      <c r="A587">
        <v>173223</v>
      </c>
      <c r="B587" t="s">
        <v>156</v>
      </c>
      <c r="C587">
        <v>2019</v>
      </c>
      <c r="D587">
        <v>10</v>
      </c>
      <c r="E587" t="s">
        <v>51</v>
      </c>
      <c r="F587" t="s">
        <v>426</v>
      </c>
      <c r="G587" t="s">
        <v>84</v>
      </c>
      <c r="H587" t="s">
        <v>59</v>
      </c>
      <c r="I587" t="s">
        <v>427</v>
      </c>
      <c r="J587">
        <v>-6.0651234499999997</v>
      </c>
      <c r="K587" t="s">
        <v>440</v>
      </c>
      <c r="L587" t="s">
        <v>385</v>
      </c>
      <c r="M587">
        <v>0.43497567483749999</v>
      </c>
      <c r="N587">
        <v>2.6381811643246502</v>
      </c>
      <c r="O587">
        <v>28410.399000000001</v>
      </c>
      <c r="P587">
        <v>2.51417E-6</v>
      </c>
      <c r="Q587">
        <v>0.14285700000000001</v>
      </c>
      <c r="R587" s="60">
        <v>0.37688264659192661</v>
      </c>
      <c r="S587" t="s">
        <v>347</v>
      </c>
      <c r="T587" t="s">
        <v>437</v>
      </c>
      <c r="U587" t="s">
        <v>425</v>
      </c>
      <c r="V587" t="s">
        <v>27</v>
      </c>
      <c r="W587">
        <v>111.133</v>
      </c>
      <c r="X587">
        <v>1.0541007448257309</v>
      </c>
      <c r="Y587">
        <v>117.145378074718</v>
      </c>
      <c r="Z587">
        <v>640.82000000000005</v>
      </c>
      <c r="AA587">
        <v>1</v>
      </c>
      <c r="AB587">
        <v>75.069101177840764</v>
      </c>
      <c r="AC587">
        <v>0.95889999999999997</v>
      </c>
      <c r="AD587" s="62">
        <v>71.983999999999995</v>
      </c>
      <c r="AE587">
        <v>8.9176000000000002</v>
      </c>
      <c r="AF587">
        <v>9.4000488020579382</v>
      </c>
      <c r="AG587">
        <v>1</v>
      </c>
      <c r="AH587">
        <v>6023.7392733347688</v>
      </c>
      <c r="AI587">
        <v>0.99097621000820357</v>
      </c>
      <c r="AJ587" s="62">
        <v>5969.3823000000002</v>
      </c>
      <c r="AK587" s="60">
        <v>2249.756599743002</v>
      </c>
      <c r="AL587" t="s">
        <v>347</v>
      </c>
      <c r="AM587" t="s">
        <v>437</v>
      </c>
      <c r="AN587" t="s">
        <v>425</v>
      </c>
      <c r="AO587" t="s">
        <v>27</v>
      </c>
      <c r="AP587">
        <v>111.133</v>
      </c>
      <c r="AQ587">
        <v>1.0541007448257309</v>
      </c>
      <c r="AR587">
        <v>117.145378074718</v>
      </c>
      <c r="AS587">
        <v>640.82000000000005</v>
      </c>
      <c r="AT587">
        <v>1</v>
      </c>
      <c r="AU587">
        <v>75.069101177840764</v>
      </c>
      <c r="AV587">
        <v>0.95889999999999997</v>
      </c>
      <c r="AW587" s="62">
        <v>71.983999999999995</v>
      </c>
      <c r="AX587">
        <v>8.9176000000000002</v>
      </c>
      <c r="AY587">
        <v>1</v>
      </c>
      <c r="AZ587">
        <v>6023.7392733347688</v>
      </c>
      <c r="BA587">
        <v>0.99097621000820357</v>
      </c>
      <c r="BB587" s="62">
        <v>5969.3823000000002</v>
      </c>
      <c r="BC587" s="60">
        <v>2249.756599743002</v>
      </c>
    </row>
    <row r="588" spans="1:55" x14ac:dyDescent="0.25">
      <c r="A588">
        <v>173225</v>
      </c>
      <c r="B588" t="s">
        <v>156</v>
      </c>
      <c r="C588">
        <v>2019</v>
      </c>
      <c r="D588">
        <v>10</v>
      </c>
      <c r="E588" t="s">
        <v>51</v>
      </c>
      <c r="F588" t="s">
        <v>426</v>
      </c>
      <c r="G588" t="s">
        <v>84</v>
      </c>
      <c r="H588" t="s">
        <v>59</v>
      </c>
      <c r="I588" t="s">
        <v>427</v>
      </c>
      <c r="J588">
        <v>-6.0651234499999997</v>
      </c>
      <c r="K588" t="s">
        <v>440</v>
      </c>
      <c r="L588" t="s">
        <v>451</v>
      </c>
      <c r="M588">
        <v>1.7625750762999999E-3</v>
      </c>
      <c r="N588">
        <v>1.069023542233691E-2</v>
      </c>
      <c r="O588">
        <v>28410.399000000001</v>
      </c>
      <c r="P588">
        <v>2.51417E-6</v>
      </c>
      <c r="Q588">
        <v>0.14285700000000001</v>
      </c>
      <c r="R588" s="60">
        <v>1.527174961728783E-3</v>
      </c>
      <c r="S588" t="s">
        <v>347</v>
      </c>
      <c r="T588" t="s">
        <v>437</v>
      </c>
      <c r="U588" t="s">
        <v>425</v>
      </c>
      <c r="V588" t="s">
        <v>91</v>
      </c>
      <c r="W588">
        <v>111.133</v>
      </c>
      <c r="X588">
        <v>1.0541007448257309</v>
      </c>
      <c r="Y588">
        <v>117.145378074718</v>
      </c>
      <c r="Z588">
        <v>640.82000000000005</v>
      </c>
      <c r="AA588">
        <v>1</v>
      </c>
      <c r="AB588">
        <v>75.069101177840764</v>
      </c>
      <c r="AC588">
        <v>1.0088999999999999</v>
      </c>
      <c r="AD588" s="62">
        <v>75.736999999999995</v>
      </c>
      <c r="AE588">
        <v>8.9176000000000002</v>
      </c>
      <c r="AF588">
        <v>9.4000488020579382</v>
      </c>
      <c r="AG588">
        <v>1</v>
      </c>
      <c r="AH588">
        <v>6023.7392733347688</v>
      </c>
      <c r="AI588">
        <v>0.99316673174541203</v>
      </c>
      <c r="AJ588" s="62">
        <v>5982.5774000000001</v>
      </c>
      <c r="AK588" s="60">
        <v>9.1364424118844845</v>
      </c>
      <c r="AL588" t="s">
        <v>347</v>
      </c>
      <c r="AM588" t="s">
        <v>437</v>
      </c>
      <c r="AN588" t="s">
        <v>425</v>
      </c>
      <c r="AO588" t="s">
        <v>91</v>
      </c>
      <c r="AP588">
        <v>111.133</v>
      </c>
      <c r="AQ588">
        <v>1.0541007448257309</v>
      </c>
      <c r="AR588">
        <v>117.145378074718</v>
      </c>
      <c r="AS588">
        <v>640.82000000000005</v>
      </c>
      <c r="AT588">
        <v>1</v>
      </c>
      <c r="AU588">
        <v>75.069101177840764</v>
      </c>
      <c r="AV588">
        <v>1.0088999999999999</v>
      </c>
      <c r="AW588" s="62">
        <v>75.736999999999995</v>
      </c>
      <c r="AX588">
        <v>8.9176000000000002</v>
      </c>
      <c r="AY588">
        <v>1</v>
      </c>
      <c r="AZ588">
        <v>6023.7392733347688</v>
      </c>
      <c r="BA588">
        <v>0.99316673174541203</v>
      </c>
      <c r="BB588" s="62">
        <v>5982.5774000000001</v>
      </c>
      <c r="BC588" s="60">
        <v>9.1364424118844845</v>
      </c>
    </row>
    <row r="589" spans="1:55" x14ac:dyDescent="0.25">
      <c r="A589">
        <v>173227</v>
      </c>
      <c r="B589" t="s">
        <v>156</v>
      </c>
      <c r="C589">
        <v>2019</v>
      </c>
      <c r="D589">
        <v>10</v>
      </c>
      <c r="E589" t="s">
        <v>51</v>
      </c>
      <c r="F589" t="s">
        <v>426</v>
      </c>
      <c r="G589" t="s">
        <v>84</v>
      </c>
      <c r="H589" t="s">
        <v>59</v>
      </c>
      <c r="I589" t="s">
        <v>427</v>
      </c>
      <c r="J589">
        <v>-6.0651234499999997</v>
      </c>
      <c r="K589" t="s">
        <v>440</v>
      </c>
      <c r="L589" t="s">
        <v>452</v>
      </c>
      <c r="M589">
        <v>1.4858046103299999E-3</v>
      </c>
      <c r="N589">
        <v>9.011588379749547E-3</v>
      </c>
      <c r="O589">
        <v>28410.399000000001</v>
      </c>
      <c r="P589">
        <v>2.51417E-6</v>
      </c>
      <c r="Q589">
        <v>0.14285700000000001</v>
      </c>
      <c r="R589" s="60">
        <v>1.2873684811658809E-3</v>
      </c>
      <c r="S589" t="s">
        <v>347</v>
      </c>
      <c r="T589" t="s">
        <v>437</v>
      </c>
      <c r="U589" t="s">
        <v>425</v>
      </c>
      <c r="V589" t="s">
        <v>28</v>
      </c>
      <c r="W589">
        <v>111.133</v>
      </c>
      <c r="X589">
        <v>1.0541007448257309</v>
      </c>
      <c r="Y589">
        <v>117.145378074718</v>
      </c>
      <c r="Z589">
        <v>640.82000000000005</v>
      </c>
      <c r="AA589">
        <v>1</v>
      </c>
      <c r="AB589">
        <v>75.069101177840764</v>
      </c>
      <c r="AC589">
        <v>1.0073000000000001</v>
      </c>
      <c r="AD589" s="62">
        <v>75.617000000000004</v>
      </c>
      <c r="AE589">
        <v>8.9176000000000002</v>
      </c>
      <c r="AF589">
        <v>9.4000488020579382</v>
      </c>
      <c r="AG589">
        <v>1</v>
      </c>
      <c r="AH589">
        <v>6023.7392733347688</v>
      </c>
      <c r="AI589">
        <v>0.99399488088206345</v>
      </c>
      <c r="AJ589" s="62">
        <v>5987.5659999999998</v>
      </c>
      <c r="AK589" s="60">
        <v>7.7082037473004696</v>
      </c>
      <c r="AL589" t="s">
        <v>347</v>
      </c>
      <c r="AM589" t="s">
        <v>437</v>
      </c>
      <c r="AN589" t="s">
        <v>425</v>
      </c>
      <c r="AO589" t="s">
        <v>28</v>
      </c>
      <c r="AP589">
        <v>111.133</v>
      </c>
      <c r="AQ589">
        <v>1.0541007448257309</v>
      </c>
      <c r="AR589">
        <v>117.145378074718</v>
      </c>
      <c r="AS589">
        <v>640.82000000000005</v>
      </c>
      <c r="AT589">
        <v>1</v>
      </c>
      <c r="AU589">
        <v>75.069101177840764</v>
      </c>
      <c r="AV589">
        <v>1.0073000000000001</v>
      </c>
      <c r="AW589" s="62">
        <v>75.617000000000004</v>
      </c>
      <c r="AX589">
        <v>8.9176000000000002</v>
      </c>
      <c r="AY589">
        <v>1</v>
      </c>
      <c r="AZ589">
        <v>6023.7392733347688</v>
      </c>
      <c r="BA589">
        <v>0.99399488088206345</v>
      </c>
      <c r="BB589" s="62">
        <v>5987.5659999999998</v>
      </c>
      <c r="BC589" s="60">
        <v>7.7082037473004696</v>
      </c>
    </row>
    <row r="590" spans="1:55" x14ac:dyDescent="0.25">
      <c r="A590">
        <v>180391</v>
      </c>
      <c r="B590" t="s">
        <v>155</v>
      </c>
      <c r="C590">
        <v>2019</v>
      </c>
      <c r="D590">
        <v>11</v>
      </c>
      <c r="E590" t="s">
        <v>51</v>
      </c>
      <c r="F590" t="s">
        <v>426</v>
      </c>
      <c r="G590" t="s">
        <v>84</v>
      </c>
      <c r="H590" t="s">
        <v>381</v>
      </c>
      <c r="I590" t="s">
        <v>427</v>
      </c>
      <c r="J590">
        <v>-12.7766368</v>
      </c>
      <c r="K590" t="s">
        <v>440</v>
      </c>
      <c r="L590" t="s">
        <v>450</v>
      </c>
      <c r="M590">
        <v>0.15011157993331001</v>
      </c>
      <c r="N590">
        <v>1.9179211367404849</v>
      </c>
      <c r="O590">
        <v>28410.399000000001</v>
      </c>
      <c r="P590">
        <v>2.51417E-6</v>
      </c>
      <c r="Q590">
        <v>0.14285700000000001</v>
      </c>
      <c r="R590" s="60">
        <v>0.27398845983133552</v>
      </c>
      <c r="S590" t="s">
        <v>347</v>
      </c>
      <c r="T590" t="s">
        <v>437</v>
      </c>
      <c r="U590" t="s">
        <v>425</v>
      </c>
      <c r="V590" t="s">
        <v>26</v>
      </c>
      <c r="W590">
        <v>111.133</v>
      </c>
      <c r="X590">
        <v>1.0541007448257309</v>
      </c>
      <c r="Y590">
        <v>117.145378074718</v>
      </c>
      <c r="Z590">
        <v>640.82000000000005</v>
      </c>
      <c r="AA590">
        <v>1</v>
      </c>
      <c r="AB590">
        <v>75.069101177840764</v>
      </c>
      <c r="AC590">
        <v>0.99109999999999998</v>
      </c>
      <c r="AD590" s="62">
        <v>74.400999999999996</v>
      </c>
      <c r="AE590">
        <v>8.9176000000000002</v>
      </c>
      <c r="AF590">
        <v>9.4000488020579382</v>
      </c>
      <c r="AG590">
        <v>1</v>
      </c>
      <c r="AH590">
        <v>6023.7392733347688</v>
      </c>
      <c r="AI590">
        <v>0.9830373970836227</v>
      </c>
      <c r="AJ590" s="62">
        <v>5921.5609999999997</v>
      </c>
      <c r="AK590" s="60">
        <v>1622.439378187303</v>
      </c>
      <c r="AL590" t="s">
        <v>347</v>
      </c>
      <c r="AM590" t="s">
        <v>437</v>
      </c>
      <c r="AN590" t="s">
        <v>425</v>
      </c>
      <c r="AO590" t="s">
        <v>26</v>
      </c>
      <c r="AP590">
        <v>111.133</v>
      </c>
      <c r="AQ590">
        <v>1.0541007448257309</v>
      </c>
      <c r="AR590">
        <v>117.145378074718</v>
      </c>
      <c r="AS590">
        <v>640.82000000000005</v>
      </c>
      <c r="AT590">
        <v>1</v>
      </c>
      <c r="AU590">
        <v>75.069101177840764</v>
      </c>
      <c r="AV590">
        <v>0.99109999999999998</v>
      </c>
      <c r="AW590" s="62">
        <v>74.400999999999996</v>
      </c>
      <c r="AX590">
        <v>8.9176000000000002</v>
      </c>
      <c r="AY590">
        <v>1</v>
      </c>
      <c r="AZ590">
        <v>6023.7392733347688</v>
      </c>
      <c r="BA590">
        <v>0.9830373970836227</v>
      </c>
      <c r="BB590" s="62">
        <v>5921.5609999999997</v>
      </c>
      <c r="BC590" s="60">
        <v>1622.439378187303</v>
      </c>
    </row>
    <row r="591" spans="1:55" x14ac:dyDescent="0.25">
      <c r="A591">
        <v>180393</v>
      </c>
      <c r="B591" t="s">
        <v>155</v>
      </c>
      <c r="C591">
        <v>2019</v>
      </c>
      <c r="D591">
        <v>11</v>
      </c>
      <c r="E591" t="s">
        <v>51</v>
      </c>
      <c r="F591" t="s">
        <v>426</v>
      </c>
      <c r="G591" t="s">
        <v>84</v>
      </c>
      <c r="H591" t="s">
        <v>381</v>
      </c>
      <c r="I591" t="s">
        <v>427</v>
      </c>
      <c r="J591">
        <v>-12.7766368</v>
      </c>
      <c r="K591" t="s">
        <v>440</v>
      </c>
      <c r="L591" t="s">
        <v>384</v>
      </c>
      <c r="M591">
        <v>4.5811354346740003E-2</v>
      </c>
      <c r="N591">
        <v>0.58531503594429823</v>
      </c>
      <c r="O591">
        <v>28410.399000000001</v>
      </c>
      <c r="P591">
        <v>2.51417E-6</v>
      </c>
      <c r="Q591">
        <v>0.14285700000000001</v>
      </c>
      <c r="R591" s="60">
        <v>8.3616350089894625E-2</v>
      </c>
      <c r="S591" t="s">
        <v>347</v>
      </c>
      <c r="T591" t="s">
        <v>437</v>
      </c>
      <c r="U591" t="s">
        <v>425</v>
      </c>
      <c r="V591" t="s">
        <v>81</v>
      </c>
      <c r="W591">
        <v>111.133</v>
      </c>
      <c r="X591">
        <v>1.0541007448257309</v>
      </c>
      <c r="Y591">
        <v>117.145378074718</v>
      </c>
      <c r="Z591">
        <v>640.82000000000005</v>
      </c>
      <c r="AA591">
        <v>1</v>
      </c>
      <c r="AB591">
        <v>75.069101177840764</v>
      </c>
      <c r="AC591">
        <v>0.93830000000000002</v>
      </c>
      <c r="AD591" s="62">
        <v>70.436999999999998</v>
      </c>
      <c r="AE591">
        <v>8.9176000000000002</v>
      </c>
      <c r="AF591">
        <v>9.4000488020579382</v>
      </c>
      <c r="AG591">
        <v>1</v>
      </c>
      <c r="AH591">
        <v>6023.7392733347688</v>
      </c>
      <c r="AI591">
        <v>1.098016605166052</v>
      </c>
      <c r="AJ591" s="62">
        <v>6614.1656999999996</v>
      </c>
      <c r="AK591" s="60">
        <v>553.05239472377286</v>
      </c>
      <c r="AL591" t="s">
        <v>347</v>
      </c>
      <c r="AM591" t="s">
        <v>437</v>
      </c>
      <c r="AN591" t="s">
        <v>425</v>
      </c>
      <c r="AO591" t="s">
        <v>81</v>
      </c>
      <c r="AP591">
        <v>111.133</v>
      </c>
      <c r="AQ591">
        <v>1.0541007448257309</v>
      </c>
      <c r="AR591">
        <v>117.145378074718</v>
      </c>
      <c r="AS591">
        <v>640.82000000000005</v>
      </c>
      <c r="AT591">
        <v>1</v>
      </c>
      <c r="AU591">
        <v>75.069101177840764</v>
      </c>
      <c r="AV591">
        <v>0.93830000000000002</v>
      </c>
      <c r="AW591" s="62">
        <v>70.436999999999998</v>
      </c>
      <c r="AX591">
        <v>8.9176000000000002</v>
      </c>
      <c r="AY591">
        <v>1</v>
      </c>
      <c r="AZ591">
        <v>6023.7392733347688</v>
      </c>
      <c r="BA591">
        <v>1.098016605166052</v>
      </c>
      <c r="BB591" s="62">
        <v>6614.1656999999996</v>
      </c>
      <c r="BC591" s="60">
        <v>553.05239472377286</v>
      </c>
    </row>
    <row r="592" spans="1:55" x14ac:dyDescent="0.25">
      <c r="A592">
        <v>180395</v>
      </c>
      <c r="B592" t="s">
        <v>155</v>
      </c>
      <c r="C592">
        <v>2019</v>
      </c>
      <c r="D592">
        <v>11</v>
      </c>
      <c r="E592" t="s">
        <v>51</v>
      </c>
      <c r="F592" t="s">
        <v>426</v>
      </c>
      <c r="G592" t="s">
        <v>84</v>
      </c>
      <c r="H592" t="s">
        <v>381</v>
      </c>
      <c r="I592" t="s">
        <v>427</v>
      </c>
      <c r="J592">
        <v>-12.7766368</v>
      </c>
      <c r="K592" t="s">
        <v>440</v>
      </c>
      <c r="L592" t="s">
        <v>385</v>
      </c>
      <c r="M592">
        <v>0.43232641346992001</v>
      </c>
      <c r="N592">
        <v>5.5236775652720462</v>
      </c>
      <c r="O592">
        <v>28410.399000000001</v>
      </c>
      <c r="P592">
        <v>2.51417E-6</v>
      </c>
      <c r="Q592">
        <v>0.14285700000000001</v>
      </c>
      <c r="R592" s="60">
        <v>0.78909600594206875</v>
      </c>
      <c r="S592" t="s">
        <v>347</v>
      </c>
      <c r="T592" t="s">
        <v>437</v>
      </c>
      <c r="U592" t="s">
        <v>425</v>
      </c>
      <c r="V592" t="s">
        <v>27</v>
      </c>
      <c r="W592">
        <v>111.133</v>
      </c>
      <c r="X592">
        <v>1.0541007448257309</v>
      </c>
      <c r="Y592">
        <v>117.145378074718</v>
      </c>
      <c r="Z592">
        <v>640.82000000000005</v>
      </c>
      <c r="AA592">
        <v>1</v>
      </c>
      <c r="AB592">
        <v>75.069101177840764</v>
      </c>
      <c r="AC592">
        <v>0.95889999999999997</v>
      </c>
      <c r="AD592" s="62">
        <v>71.983999999999995</v>
      </c>
      <c r="AE592">
        <v>8.9176000000000002</v>
      </c>
      <c r="AF592">
        <v>9.4000488020579382</v>
      </c>
      <c r="AG592">
        <v>1</v>
      </c>
      <c r="AH592">
        <v>6023.7392733347688</v>
      </c>
      <c r="AI592">
        <v>0.99097621000820357</v>
      </c>
      <c r="AJ592" s="62">
        <v>5969.3823000000002</v>
      </c>
      <c r="AK592" s="60">
        <v>4710.4157308712802</v>
      </c>
      <c r="AL592" t="s">
        <v>347</v>
      </c>
      <c r="AM592" t="s">
        <v>437</v>
      </c>
      <c r="AN592" t="s">
        <v>425</v>
      </c>
      <c r="AO592" t="s">
        <v>27</v>
      </c>
      <c r="AP592">
        <v>111.133</v>
      </c>
      <c r="AQ592">
        <v>1.0541007448257309</v>
      </c>
      <c r="AR592">
        <v>117.145378074718</v>
      </c>
      <c r="AS592">
        <v>640.82000000000005</v>
      </c>
      <c r="AT592">
        <v>1</v>
      </c>
      <c r="AU592">
        <v>75.069101177840764</v>
      </c>
      <c r="AV592">
        <v>0.95889999999999997</v>
      </c>
      <c r="AW592" s="62">
        <v>71.983999999999995</v>
      </c>
      <c r="AX592">
        <v>8.9176000000000002</v>
      </c>
      <c r="AY592">
        <v>1</v>
      </c>
      <c r="AZ592">
        <v>6023.7392733347688</v>
      </c>
      <c r="BA592">
        <v>0.99097621000820357</v>
      </c>
      <c r="BB592" s="62">
        <v>5969.3823000000002</v>
      </c>
      <c r="BC592" s="60">
        <v>4710.4157308712802</v>
      </c>
    </row>
    <row r="593" spans="1:55" x14ac:dyDescent="0.25">
      <c r="A593">
        <v>180397</v>
      </c>
      <c r="B593" t="s">
        <v>155</v>
      </c>
      <c r="C593">
        <v>2019</v>
      </c>
      <c r="D593">
        <v>11</v>
      </c>
      <c r="E593" t="s">
        <v>51</v>
      </c>
      <c r="F593" t="s">
        <v>426</v>
      </c>
      <c r="G593" t="s">
        <v>84</v>
      </c>
      <c r="H593" t="s">
        <v>381</v>
      </c>
      <c r="I593" t="s">
        <v>427</v>
      </c>
      <c r="J593">
        <v>-12.7766368</v>
      </c>
      <c r="K593" t="s">
        <v>440</v>
      </c>
      <c r="L593" t="s">
        <v>451</v>
      </c>
      <c r="M593">
        <v>1.6825115802299999E-3</v>
      </c>
      <c r="N593">
        <v>2.1496839377530871E-2</v>
      </c>
      <c r="O593">
        <v>28410.399000000001</v>
      </c>
      <c r="P593">
        <v>2.51417E-6</v>
      </c>
      <c r="Q593">
        <v>0.14285700000000001</v>
      </c>
      <c r="R593" s="60">
        <v>3.0709739829559279E-3</v>
      </c>
      <c r="S593" t="s">
        <v>347</v>
      </c>
      <c r="T593" t="s">
        <v>437</v>
      </c>
      <c r="U593" t="s">
        <v>425</v>
      </c>
      <c r="V593" t="s">
        <v>91</v>
      </c>
      <c r="W593">
        <v>111.133</v>
      </c>
      <c r="X593">
        <v>1.0541007448257309</v>
      </c>
      <c r="Y593">
        <v>117.145378074718</v>
      </c>
      <c r="Z593">
        <v>640.82000000000005</v>
      </c>
      <c r="AA593">
        <v>1</v>
      </c>
      <c r="AB593">
        <v>75.069101177840764</v>
      </c>
      <c r="AC593">
        <v>1.0088999999999999</v>
      </c>
      <c r="AD593" s="62">
        <v>75.736999999999995</v>
      </c>
      <c r="AE593">
        <v>8.9176000000000002</v>
      </c>
      <c r="AF593">
        <v>9.4000488020579382</v>
      </c>
      <c r="AG593">
        <v>1</v>
      </c>
      <c r="AH593">
        <v>6023.7392733347688</v>
      </c>
      <c r="AI593">
        <v>0.99316673174541203</v>
      </c>
      <c r="AJ593" s="62">
        <v>5982.5774000000001</v>
      </c>
      <c r="AK593" s="60">
        <v>18.372339546420118</v>
      </c>
      <c r="AL593" t="s">
        <v>347</v>
      </c>
      <c r="AM593" t="s">
        <v>437</v>
      </c>
      <c r="AN593" t="s">
        <v>425</v>
      </c>
      <c r="AO593" t="s">
        <v>91</v>
      </c>
      <c r="AP593">
        <v>111.133</v>
      </c>
      <c r="AQ593">
        <v>1.0541007448257309</v>
      </c>
      <c r="AR593">
        <v>117.145378074718</v>
      </c>
      <c r="AS593">
        <v>640.82000000000005</v>
      </c>
      <c r="AT593">
        <v>1</v>
      </c>
      <c r="AU593">
        <v>75.069101177840764</v>
      </c>
      <c r="AV593">
        <v>1.0088999999999999</v>
      </c>
      <c r="AW593" s="62">
        <v>75.736999999999995</v>
      </c>
      <c r="AX593">
        <v>8.9176000000000002</v>
      </c>
      <c r="AY593">
        <v>1</v>
      </c>
      <c r="AZ593">
        <v>6023.7392733347688</v>
      </c>
      <c r="BA593">
        <v>0.99316673174541203</v>
      </c>
      <c r="BB593" s="62">
        <v>5982.5774000000001</v>
      </c>
      <c r="BC593" s="60">
        <v>18.372339546420118</v>
      </c>
    </row>
    <row r="594" spans="1:55" x14ac:dyDescent="0.25">
      <c r="A594">
        <v>180399</v>
      </c>
      <c r="B594" t="s">
        <v>155</v>
      </c>
      <c r="C594">
        <v>2019</v>
      </c>
      <c r="D594">
        <v>11</v>
      </c>
      <c r="E594" t="s">
        <v>51</v>
      </c>
      <c r="F594" t="s">
        <v>426</v>
      </c>
      <c r="G594" t="s">
        <v>84</v>
      </c>
      <c r="H594" t="s">
        <v>381</v>
      </c>
      <c r="I594" t="s">
        <v>427</v>
      </c>
      <c r="J594">
        <v>-12.7766368</v>
      </c>
      <c r="K594" t="s">
        <v>440</v>
      </c>
      <c r="L594" t="s">
        <v>452</v>
      </c>
      <c r="M594">
        <v>1.53682162831E-3</v>
      </c>
      <c r="N594">
        <v>1.9635411775994659E-2</v>
      </c>
      <c r="O594">
        <v>28410.399000000001</v>
      </c>
      <c r="P594">
        <v>2.51417E-6</v>
      </c>
      <c r="Q594">
        <v>0.14285700000000001</v>
      </c>
      <c r="R594" s="60">
        <v>2.805056020083269E-3</v>
      </c>
      <c r="S594" t="s">
        <v>347</v>
      </c>
      <c r="T594" t="s">
        <v>437</v>
      </c>
      <c r="U594" t="s">
        <v>425</v>
      </c>
      <c r="V594" t="s">
        <v>28</v>
      </c>
      <c r="W594">
        <v>111.133</v>
      </c>
      <c r="X594">
        <v>1.0541007448257309</v>
      </c>
      <c r="Y594">
        <v>117.145378074718</v>
      </c>
      <c r="Z594">
        <v>640.82000000000005</v>
      </c>
      <c r="AA594">
        <v>1</v>
      </c>
      <c r="AB594">
        <v>75.069101177840764</v>
      </c>
      <c r="AC594">
        <v>1.0073000000000001</v>
      </c>
      <c r="AD594" s="62">
        <v>75.617000000000004</v>
      </c>
      <c r="AE594">
        <v>8.9176000000000002</v>
      </c>
      <c r="AF594">
        <v>9.4000488020579382</v>
      </c>
      <c r="AG594">
        <v>1</v>
      </c>
      <c r="AH594">
        <v>6023.7392733347688</v>
      </c>
      <c r="AI594">
        <v>0.99399488088206345</v>
      </c>
      <c r="AJ594" s="62">
        <v>5987.5659999999998</v>
      </c>
      <c r="AK594" s="60">
        <v>16.7954580539459</v>
      </c>
      <c r="AL594" t="s">
        <v>347</v>
      </c>
      <c r="AM594" t="s">
        <v>437</v>
      </c>
      <c r="AN594" t="s">
        <v>425</v>
      </c>
      <c r="AO594" t="s">
        <v>28</v>
      </c>
      <c r="AP594">
        <v>111.133</v>
      </c>
      <c r="AQ594">
        <v>1.0541007448257309</v>
      </c>
      <c r="AR594">
        <v>117.145378074718</v>
      </c>
      <c r="AS594">
        <v>640.82000000000005</v>
      </c>
      <c r="AT594">
        <v>1</v>
      </c>
      <c r="AU594">
        <v>75.069101177840764</v>
      </c>
      <c r="AV594">
        <v>1.0073000000000001</v>
      </c>
      <c r="AW594" s="62">
        <v>75.617000000000004</v>
      </c>
      <c r="AX594">
        <v>8.9176000000000002</v>
      </c>
      <c r="AY594">
        <v>1</v>
      </c>
      <c r="AZ594">
        <v>6023.7392733347688</v>
      </c>
      <c r="BA594">
        <v>0.99399488088206345</v>
      </c>
      <c r="BB594" s="62">
        <v>5987.5659999999998</v>
      </c>
      <c r="BC594" s="60">
        <v>16.7954580539459</v>
      </c>
    </row>
    <row r="595" spans="1:55" x14ac:dyDescent="0.25">
      <c r="A595">
        <v>180401</v>
      </c>
      <c r="B595" t="s">
        <v>155</v>
      </c>
      <c r="C595">
        <v>2019</v>
      </c>
      <c r="D595">
        <v>11</v>
      </c>
      <c r="E595" t="s">
        <v>51</v>
      </c>
      <c r="F595" t="s">
        <v>426</v>
      </c>
      <c r="G595" t="s">
        <v>84</v>
      </c>
      <c r="H595" t="s">
        <v>87</v>
      </c>
      <c r="I595" t="s">
        <v>427</v>
      </c>
      <c r="J595">
        <v>-2.5502972900000001</v>
      </c>
      <c r="K595" t="s">
        <v>440</v>
      </c>
      <c r="L595" t="s">
        <v>450</v>
      </c>
      <c r="M595">
        <v>0.26601384014995</v>
      </c>
      <c r="N595">
        <v>0.67841437582859188</v>
      </c>
      <c r="O595">
        <v>28410.399000000001</v>
      </c>
      <c r="P595">
        <v>2.51417E-6</v>
      </c>
      <c r="Q595">
        <v>0.14285700000000001</v>
      </c>
      <c r="R595" s="60">
        <v>9.6916242487745163E-2</v>
      </c>
      <c r="S595" t="s">
        <v>347</v>
      </c>
      <c r="T595" t="s">
        <v>437</v>
      </c>
      <c r="U595" t="s">
        <v>425</v>
      </c>
      <c r="V595" t="s">
        <v>26</v>
      </c>
      <c r="W595">
        <v>111.133</v>
      </c>
      <c r="X595">
        <v>1.0541007448257309</v>
      </c>
      <c r="Y595">
        <v>117.145378074718</v>
      </c>
      <c r="Z595">
        <v>640.82000000000005</v>
      </c>
      <c r="AA595">
        <v>1</v>
      </c>
      <c r="AB595">
        <v>75.069101177840764</v>
      </c>
      <c r="AC595">
        <v>0.99109999999999998</v>
      </c>
      <c r="AD595" s="62">
        <v>74.400999999999996</v>
      </c>
      <c r="AE595">
        <v>8.9176000000000002</v>
      </c>
      <c r="AF595">
        <v>9.4000488020579382</v>
      </c>
      <c r="AG595">
        <v>1</v>
      </c>
      <c r="AH595">
        <v>6023.7392733347688</v>
      </c>
      <c r="AI595">
        <v>0.9830373970836227</v>
      </c>
      <c r="AJ595" s="62">
        <v>5921.5609999999997</v>
      </c>
      <c r="AK595" s="60">
        <v>573.89544178197468</v>
      </c>
      <c r="AL595" t="s">
        <v>347</v>
      </c>
      <c r="AM595" t="s">
        <v>437</v>
      </c>
      <c r="AN595" t="s">
        <v>425</v>
      </c>
      <c r="AO595" t="s">
        <v>26</v>
      </c>
      <c r="AP595">
        <v>111.133</v>
      </c>
      <c r="AQ595">
        <v>1.0541007448257309</v>
      </c>
      <c r="AR595">
        <v>117.145378074718</v>
      </c>
      <c r="AS595">
        <v>640.82000000000005</v>
      </c>
      <c r="AT595">
        <v>1</v>
      </c>
      <c r="AU595">
        <v>75.069101177840764</v>
      </c>
      <c r="AV595">
        <v>0.99109999999999998</v>
      </c>
      <c r="AW595" s="62">
        <v>74.400999999999996</v>
      </c>
      <c r="AX595">
        <v>8.9176000000000002</v>
      </c>
      <c r="AY595">
        <v>1</v>
      </c>
      <c r="AZ595">
        <v>6023.7392733347688</v>
      </c>
      <c r="BA595">
        <v>0.9830373970836227</v>
      </c>
      <c r="BB595" s="62">
        <v>5921.5609999999997</v>
      </c>
      <c r="BC595" s="60">
        <v>573.89544178197468</v>
      </c>
    </row>
    <row r="596" spans="1:55" x14ac:dyDescent="0.25">
      <c r="A596">
        <v>180403</v>
      </c>
      <c r="B596" t="s">
        <v>155</v>
      </c>
      <c r="C596">
        <v>2019</v>
      </c>
      <c r="D596">
        <v>11</v>
      </c>
      <c r="E596" t="s">
        <v>51</v>
      </c>
      <c r="F596" t="s">
        <v>426</v>
      </c>
      <c r="G596" t="s">
        <v>84</v>
      </c>
      <c r="H596" t="s">
        <v>87</v>
      </c>
      <c r="I596" t="s">
        <v>427</v>
      </c>
      <c r="J596">
        <v>-2.5502972900000001</v>
      </c>
      <c r="K596" t="s">
        <v>440</v>
      </c>
      <c r="L596" t="s">
        <v>384</v>
      </c>
      <c r="M596">
        <v>3.9509559941419997E-2</v>
      </c>
      <c r="N596">
        <v>0.1007611236761653</v>
      </c>
      <c r="O596">
        <v>28410.399000000001</v>
      </c>
      <c r="P596">
        <v>2.51417E-6</v>
      </c>
      <c r="Q596">
        <v>0.14285700000000001</v>
      </c>
      <c r="R596" s="60">
        <v>1.439443184500595E-2</v>
      </c>
      <c r="S596" t="s">
        <v>347</v>
      </c>
      <c r="T596" t="s">
        <v>437</v>
      </c>
      <c r="U596" t="s">
        <v>425</v>
      </c>
      <c r="V596" t="s">
        <v>81</v>
      </c>
      <c r="W596">
        <v>111.133</v>
      </c>
      <c r="X596">
        <v>1.0541007448257309</v>
      </c>
      <c r="Y596">
        <v>117.145378074718</v>
      </c>
      <c r="Z596">
        <v>640.82000000000005</v>
      </c>
      <c r="AA596">
        <v>1</v>
      </c>
      <c r="AB596">
        <v>75.069101177840764</v>
      </c>
      <c r="AC596">
        <v>0.93830000000000002</v>
      </c>
      <c r="AD596" s="62">
        <v>70.436999999999998</v>
      </c>
      <c r="AE596">
        <v>8.9176000000000002</v>
      </c>
      <c r="AF596">
        <v>9.4000488020579382</v>
      </c>
      <c r="AG596">
        <v>1</v>
      </c>
      <c r="AH596">
        <v>6023.7392733347688</v>
      </c>
      <c r="AI596">
        <v>1.098016605166052</v>
      </c>
      <c r="AJ596" s="62">
        <v>6614.1656999999996</v>
      </c>
      <c r="AK596" s="60">
        <v>95.207157380226079</v>
      </c>
      <c r="AL596" t="s">
        <v>347</v>
      </c>
      <c r="AM596" t="s">
        <v>437</v>
      </c>
      <c r="AN596" t="s">
        <v>425</v>
      </c>
      <c r="AO596" t="s">
        <v>81</v>
      </c>
      <c r="AP596">
        <v>111.133</v>
      </c>
      <c r="AQ596">
        <v>1.0541007448257309</v>
      </c>
      <c r="AR596">
        <v>117.145378074718</v>
      </c>
      <c r="AS596">
        <v>640.82000000000005</v>
      </c>
      <c r="AT596">
        <v>1</v>
      </c>
      <c r="AU596">
        <v>75.069101177840764</v>
      </c>
      <c r="AV596">
        <v>0.93830000000000002</v>
      </c>
      <c r="AW596" s="62">
        <v>70.436999999999998</v>
      </c>
      <c r="AX596">
        <v>8.9176000000000002</v>
      </c>
      <c r="AY596">
        <v>1</v>
      </c>
      <c r="AZ596">
        <v>6023.7392733347688</v>
      </c>
      <c r="BA596">
        <v>1.098016605166052</v>
      </c>
      <c r="BB596" s="62">
        <v>6614.1656999999996</v>
      </c>
      <c r="BC596" s="60">
        <v>95.207157380226079</v>
      </c>
    </row>
    <row r="597" spans="1:55" x14ac:dyDescent="0.25">
      <c r="A597">
        <v>180405</v>
      </c>
      <c r="B597" t="s">
        <v>155</v>
      </c>
      <c r="C597">
        <v>2019</v>
      </c>
      <c r="D597">
        <v>11</v>
      </c>
      <c r="E597" t="s">
        <v>51</v>
      </c>
      <c r="F597" t="s">
        <v>426</v>
      </c>
      <c r="G597" t="s">
        <v>84</v>
      </c>
      <c r="H597" t="s">
        <v>87</v>
      </c>
      <c r="I597" t="s">
        <v>427</v>
      </c>
      <c r="J597">
        <v>-2.5502972900000001</v>
      </c>
      <c r="K597" t="s">
        <v>440</v>
      </c>
      <c r="L597" t="s">
        <v>385</v>
      </c>
      <c r="M597">
        <v>0.39737542925016001</v>
      </c>
      <c r="N597">
        <v>1.013425480615606</v>
      </c>
      <c r="O597">
        <v>28410.399000000001</v>
      </c>
      <c r="P597">
        <v>2.51417E-6</v>
      </c>
      <c r="Q597">
        <v>0.14285700000000001</v>
      </c>
      <c r="R597" s="60">
        <v>0.1447749238843036</v>
      </c>
      <c r="S597" t="s">
        <v>347</v>
      </c>
      <c r="T597" t="s">
        <v>437</v>
      </c>
      <c r="U597" t="s">
        <v>425</v>
      </c>
      <c r="V597" t="s">
        <v>27</v>
      </c>
      <c r="W597">
        <v>111.133</v>
      </c>
      <c r="X597">
        <v>1.0541007448257309</v>
      </c>
      <c r="Y597">
        <v>117.145378074718</v>
      </c>
      <c r="Z597">
        <v>640.82000000000005</v>
      </c>
      <c r="AA597">
        <v>1</v>
      </c>
      <c r="AB597">
        <v>75.069101177840764</v>
      </c>
      <c r="AC597">
        <v>0.95889999999999997</v>
      </c>
      <c r="AD597" s="62">
        <v>71.983999999999995</v>
      </c>
      <c r="AE597">
        <v>8.9176000000000002</v>
      </c>
      <c r="AF597">
        <v>9.4000488020579382</v>
      </c>
      <c r="AG597">
        <v>1</v>
      </c>
      <c r="AH597">
        <v>6023.7392733347688</v>
      </c>
      <c r="AI597">
        <v>0.99097621000820357</v>
      </c>
      <c r="AJ597" s="62">
        <v>5969.3823000000002</v>
      </c>
      <c r="AK597" s="60">
        <v>864.21686811880932</v>
      </c>
      <c r="AL597" t="s">
        <v>347</v>
      </c>
      <c r="AM597" t="s">
        <v>437</v>
      </c>
      <c r="AN597" t="s">
        <v>425</v>
      </c>
      <c r="AO597" t="s">
        <v>27</v>
      </c>
      <c r="AP597">
        <v>111.133</v>
      </c>
      <c r="AQ597">
        <v>1.0541007448257309</v>
      </c>
      <c r="AR597">
        <v>117.145378074718</v>
      </c>
      <c r="AS597">
        <v>640.82000000000005</v>
      </c>
      <c r="AT597">
        <v>1</v>
      </c>
      <c r="AU597">
        <v>75.069101177840764</v>
      </c>
      <c r="AV597">
        <v>0.95889999999999997</v>
      </c>
      <c r="AW597" s="62">
        <v>71.983999999999995</v>
      </c>
      <c r="AX597">
        <v>8.9176000000000002</v>
      </c>
      <c r="AY597">
        <v>1</v>
      </c>
      <c r="AZ597">
        <v>6023.7392733347688</v>
      </c>
      <c r="BA597">
        <v>0.99097621000820357</v>
      </c>
      <c r="BB597" s="62">
        <v>5969.3823000000002</v>
      </c>
      <c r="BC597" s="60">
        <v>864.21686811880932</v>
      </c>
    </row>
    <row r="598" spans="1:55" x14ac:dyDescent="0.25">
      <c r="A598">
        <v>180407</v>
      </c>
      <c r="B598" t="s">
        <v>155</v>
      </c>
      <c r="C598">
        <v>2019</v>
      </c>
      <c r="D598">
        <v>11</v>
      </c>
      <c r="E598" t="s">
        <v>51</v>
      </c>
      <c r="F598" t="s">
        <v>426</v>
      </c>
      <c r="G598" t="s">
        <v>84</v>
      </c>
      <c r="H598" t="s">
        <v>87</v>
      </c>
      <c r="I598" t="s">
        <v>427</v>
      </c>
      <c r="J598">
        <v>-2.5502972900000001</v>
      </c>
      <c r="K598" t="s">
        <v>440</v>
      </c>
      <c r="L598" t="s">
        <v>452</v>
      </c>
      <c r="M598">
        <v>8.4248020759000004E-4</v>
      </c>
      <c r="N598">
        <v>2.1485749909024789E-3</v>
      </c>
      <c r="O598">
        <v>28410.399000000001</v>
      </c>
      <c r="P598">
        <v>2.51417E-6</v>
      </c>
      <c r="Q598">
        <v>0.14285700000000001</v>
      </c>
      <c r="R598" s="60">
        <v>3.0693897747535552E-4</v>
      </c>
      <c r="S598" t="s">
        <v>347</v>
      </c>
      <c r="T598" t="s">
        <v>437</v>
      </c>
      <c r="U598" t="s">
        <v>425</v>
      </c>
      <c r="V598" t="s">
        <v>28</v>
      </c>
      <c r="W598">
        <v>111.133</v>
      </c>
      <c r="X598">
        <v>1.0541007448257309</v>
      </c>
      <c r="Y598">
        <v>117.145378074718</v>
      </c>
      <c r="Z598">
        <v>640.82000000000005</v>
      </c>
      <c r="AA598">
        <v>1</v>
      </c>
      <c r="AB598">
        <v>75.069101177840764</v>
      </c>
      <c r="AC598">
        <v>1.0073000000000001</v>
      </c>
      <c r="AD598" s="62">
        <v>75.617000000000004</v>
      </c>
      <c r="AE598">
        <v>8.9176000000000002</v>
      </c>
      <c r="AF598">
        <v>9.4000488020579382</v>
      </c>
      <c r="AG598">
        <v>1</v>
      </c>
      <c r="AH598">
        <v>6023.7392733347688</v>
      </c>
      <c r="AI598">
        <v>0.99399488088206345</v>
      </c>
      <c r="AJ598" s="62">
        <v>5987.5659999999998</v>
      </c>
      <c r="AK598" s="60">
        <v>1.837817385606205</v>
      </c>
      <c r="AL598" t="s">
        <v>347</v>
      </c>
      <c r="AM598" t="s">
        <v>437</v>
      </c>
      <c r="AN598" t="s">
        <v>425</v>
      </c>
      <c r="AO598" t="s">
        <v>28</v>
      </c>
      <c r="AP598">
        <v>111.133</v>
      </c>
      <c r="AQ598">
        <v>1.0541007448257309</v>
      </c>
      <c r="AR598">
        <v>117.145378074718</v>
      </c>
      <c r="AS598">
        <v>640.82000000000005</v>
      </c>
      <c r="AT598">
        <v>1</v>
      </c>
      <c r="AU598">
        <v>75.069101177840764</v>
      </c>
      <c r="AV598">
        <v>1.0073000000000001</v>
      </c>
      <c r="AW598" s="62">
        <v>75.617000000000004</v>
      </c>
      <c r="AX598">
        <v>8.9176000000000002</v>
      </c>
      <c r="AY598">
        <v>1</v>
      </c>
      <c r="AZ598">
        <v>6023.7392733347688</v>
      </c>
      <c r="BA598">
        <v>0.99399488088206345</v>
      </c>
      <c r="BB598" s="62">
        <v>5987.5659999999998</v>
      </c>
      <c r="BC598" s="60">
        <v>1.837817385606205</v>
      </c>
    </row>
    <row r="599" spans="1:55" x14ac:dyDescent="0.25">
      <c r="A599">
        <v>180409</v>
      </c>
      <c r="B599" t="s">
        <v>155</v>
      </c>
      <c r="C599">
        <v>2019</v>
      </c>
      <c r="D599">
        <v>11</v>
      </c>
      <c r="E599" t="s">
        <v>51</v>
      </c>
      <c r="F599" t="s">
        <v>426</v>
      </c>
      <c r="G599" t="s">
        <v>84</v>
      </c>
      <c r="H599" t="s">
        <v>59</v>
      </c>
      <c r="I599" t="s">
        <v>427</v>
      </c>
      <c r="J599">
        <v>-6.0651234499999997</v>
      </c>
      <c r="K599" t="s">
        <v>440</v>
      </c>
      <c r="L599" t="s">
        <v>450</v>
      </c>
      <c r="M599">
        <v>0.15931709696460999</v>
      </c>
      <c r="N599">
        <v>0.96627786030549423</v>
      </c>
      <c r="O599">
        <v>28410.399000000001</v>
      </c>
      <c r="P599">
        <v>2.51417E-6</v>
      </c>
      <c r="Q599">
        <v>0.14285700000000001</v>
      </c>
      <c r="R599" s="60">
        <v>0.138039556289662</v>
      </c>
      <c r="S599" t="s">
        <v>347</v>
      </c>
      <c r="T599" t="s">
        <v>437</v>
      </c>
      <c r="U599" t="s">
        <v>425</v>
      </c>
      <c r="V599" t="s">
        <v>26</v>
      </c>
      <c r="W599">
        <v>111.133</v>
      </c>
      <c r="X599">
        <v>1.0541007448257309</v>
      </c>
      <c r="Y599">
        <v>117.145378074718</v>
      </c>
      <c r="Z599">
        <v>640.82000000000005</v>
      </c>
      <c r="AA599">
        <v>1</v>
      </c>
      <c r="AB599">
        <v>75.069101177840764</v>
      </c>
      <c r="AC599">
        <v>0.99109999999999998</v>
      </c>
      <c r="AD599" s="62">
        <v>74.400999999999996</v>
      </c>
      <c r="AE599">
        <v>8.9176000000000002</v>
      </c>
      <c r="AF599">
        <v>9.4000488020579382</v>
      </c>
      <c r="AG599">
        <v>1</v>
      </c>
      <c r="AH599">
        <v>6023.7392733347688</v>
      </c>
      <c r="AI599">
        <v>0.9830373970836227</v>
      </c>
      <c r="AJ599" s="62">
        <v>5921.5609999999997</v>
      </c>
      <c r="AK599" s="60">
        <v>817.40965298216713</v>
      </c>
      <c r="AL599" t="s">
        <v>347</v>
      </c>
      <c r="AM599" t="s">
        <v>437</v>
      </c>
      <c r="AN599" t="s">
        <v>425</v>
      </c>
      <c r="AO599" t="s">
        <v>26</v>
      </c>
      <c r="AP599">
        <v>111.133</v>
      </c>
      <c r="AQ599">
        <v>1.0541007448257309</v>
      </c>
      <c r="AR599">
        <v>117.145378074718</v>
      </c>
      <c r="AS599">
        <v>640.82000000000005</v>
      </c>
      <c r="AT599">
        <v>1</v>
      </c>
      <c r="AU599">
        <v>75.069101177840764</v>
      </c>
      <c r="AV599">
        <v>0.99109999999999998</v>
      </c>
      <c r="AW599" s="62">
        <v>74.400999999999996</v>
      </c>
      <c r="AX599">
        <v>8.9176000000000002</v>
      </c>
      <c r="AY599">
        <v>1</v>
      </c>
      <c r="AZ599">
        <v>6023.7392733347688</v>
      </c>
      <c r="BA599">
        <v>0.9830373970836227</v>
      </c>
      <c r="BB599" s="62">
        <v>5921.5609999999997</v>
      </c>
      <c r="BC599" s="60">
        <v>817.40965298216713</v>
      </c>
    </row>
    <row r="600" spans="1:55" x14ac:dyDescent="0.25">
      <c r="A600">
        <v>180411</v>
      </c>
      <c r="B600" t="s">
        <v>155</v>
      </c>
      <c r="C600">
        <v>2019</v>
      </c>
      <c r="D600">
        <v>11</v>
      </c>
      <c r="E600" t="s">
        <v>51</v>
      </c>
      <c r="F600" t="s">
        <v>426</v>
      </c>
      <c r="G600" t="s">
        <v>84</v>
      </c>
      <c r="H600" t="s">
        <v>59</v>
      </c>
      <c r="I600" t="s">
        <v>427</v>
      </c>
      <c r="J600">
        <v>-6.0651234499999997</v>
      </c>
      <c r="K600" t="s">
        <v>440</v>
      </c>
      <c r="L600" t="s">
        <v>384</v>
      </c>
      <c r="M600">
        <v>4.1785183859599999E-2</v>
      </c>
      <c r="N600">
        <v>0.2534322983634012</v>
      </c>
      <c r="O600">
        <v>28410.399000000001</v>
      </c>
      <c r="P600">
        <v>2.51417E-6</v>
      </c>
      <c r="Q600">
        <v>0.14285700000000001</v>
      </c>
      <c r="R600" s="60">
        <v>3.6204577847300412E-2</v>
      </c>
      <c r="S600" t="s">
        <v>347</v>
      </c>
      <c r="T600" t="s">
        <v>437</v>
      </c>
      <c r="U600" t="s">
        <v>425</v>
      </c>
      <c r="V600" t="s">
        <v>81</v>
      </c>
      <c r="W600">
        <v>111.133</v>
      </c>
      <c r="X600">
        <v>1.0541007448257309</v>
      </c>
      <c r="Y600">
        <v>117.145378074718</v>
      </c>
      <c r="Z600">
        <v>640.82000000000005</v>
      </c>
      <c r="AA600">
        <v>1</v>
      </c>
      <c r="AB600">
        <v>75.069101177840764</v>
      </c>
      <c r="AC600">
        <v>0.93830000000000002</v>
      </c>
      <c r="AD600" s="62">
        <v>70.436999999999998</v>
      </c>
      <c r="AE600">
        <v>8.9176000000000002</v>
      </c>
      <c r="AF600">
        <v>9.4000488020579382</v>
      </c>
      <c r="AG600">
        <v>1</v>
      </c>
      <c r="AH600">
        <v>6023.7392733347688</v>
      </c>
      <c r="AI600">
        <v>1.098016605166052</v>
      </c>
      <c r="AJ600" s="62">
        <v>6614.1656999999996</v>
      </c>
      <c r="AK600" s="60">
        <v>239.4630769805942</v>
      </c>
      <c r="AL600" t="s">
        <v>347</v>
      </c>
      <c r="AM600" t="s">
        <v>437</v>
      </c>
      <c r="AN600" t="s">
        <v>425</v>
      </c>
      <c r="AO600" t="s">
        <v>81</v>
      </c>
      <c r="AP600">
        <v>111.133</v>
      </c>
      <c r="AQ600">
        <v>1.0541007448257309</v>
      </c>
      <c r="AR600">
        <v>117.145378074718</v>
      </c>
      <c r="AS600">
        <v>640.82000000000005</v>
      </c>
      <c r="AT600">
        <v>1</v>
      </c>
      <c r="AU600">
        <v>75.069101177840764</v>
      </c>
      <c r="AV600">
        <v>0.93830000000000002</v>
      </c>
      <c r="AW600" s="62">
        <v>70.436999999999998</v>
      </c>
      <c r="AX600">
        <v>8.9176000000000002</v>
      </c>
      <c r="AY600">
        <v>1</v>
      </c>
      <c r="AZ600">
        <v>6023.7392733347688</v>
      </c>
      <c r="BA600">
        <v>1.098016605166052</v>
      </c>
      <c r="BB600" s="62">
        <v>6614.1656999999996</v>
      </c>
      <c r="BC600" s="60">
        <v>239.4630769805942</v>
      </c>
    </row>
    <row r="601" spans="1:55" x14ac:dyDescent="0.25">
      <c r="A601">
        <v>180413</v>
      </c>
      <c r="B601" t="s">
        <v>155</v>
      </c>
      <c r="C601">
        <v>2019</v>
      </c>
      <c r="D601">
        <v>11</v>
      </c>
      <c r="E601" t="s">
        <v>51</v>
      </c>
      <c r="F601" t="s">
        <v>426</v>
      </c>
      <c r="G601" t="s">
        <v>84</v>
      </c>
      <c r="H601" t="s">
        <v>59</v>
      </c>
      <c r="I601" t="s">
        <v>427</v>
      </c>
      <c r="J601">
        <v>-6.0651234499999997</v>
      </c>
      <c r="K601" t="s">
        <v>440</v>
      </c>
      <c r="L601" t="s">
        <v>385</v>
      </c>
      <c r="M601">
        <v>0.43497567483749999</v>
      </c>
      <c r="N601">
        <v>2.6381811643246502</v>
      </c>
      <c r="O601">
        <v>28410.399000000001</v>
      </c>
      <c r="P601">
        <v>2.51417E-6</v>
      </c>
      <c r="Q601">
        <v>0.14285700000000001</v>
      </c>
      <c r="R601" s="60">
        <v>0.37688264659192661</v>
      </c>
      <c r="S601" t="s">
        <v>347</v>
      </c>
      <c r="T601" t="s">
        <v>437</v>
      </c>
      <c r="U601" t="s">
        <v>425</v>
      </c>
      <c r="V601" t="s">
        <v>27</v>
      </c>
      <c r="W601">
        <v>111.133</v>
      </c>
      <c r="X601">
        <v>1.0541007448257309</v>
      </c>
      <c r="Y601">
        <v>117.145378074718</v>
      </c>
      <c r="Z601">
        <v>640.82000000000005</v>
      </c>
      <c r="AA601">
        <v>1</v>
      </c>
      <c r="AB601">
        <v>75.069101177840764</v>
      </c>
      <c r="AC601">
        <v>0.95889999999999997</v>
      </c>
      <c r="AD601" s="62">
        <v>71.983999999999995</v>
      </c>
      <c r="AE601">
        <v>8.9176000000000002</v>
      </c>
      <c r="AF601">
        <v>9.4000488020579382</v>
      </c>
      <c r="AG601">
        <v>1</v>
      </c>
      <c r="AH601">
        <v>6023.7392733347688</v>
      </c>
      <c r="AI601">
        <v>0.99097621000820357</v>
      </c>
      <c r="AJ601" s="62">
        <v>5969.3823000000002</v>
      </c>
      <c r="AK601" s="60">
        <v>2249.756599743002</v>
      </c>
      <c r="AL601" t="s">
        <v>347</v>
      </c>
      <c r="AM601" t="s">
        <v>437</v>
      </c>
      <c r="AN601" t="s">
        <v>425</v>
      </c>
      <c r="AO601" t="s">
        <v>27</v>
      </c>
      <c r="AP601">
        <v>111.133</v>
      </c>
      <c r="AQ601">
        <v>1.0541007448257309</v>
      </c>
      <c r="AR601">
        <v>117.145378074718</v>
      </c>
      <c r="AS601">
        <v>640.82000000000005</v>
      </c>
      <c r="AT601">
        <v>1</v>
      </c>
      <c r="AU601">
        <v>75.069101177840764</v>
      </c>
      <c r="AV601">
        <v>0.95889999999999997</v>
      </c>
      <c r="AW601" s="62">
        <v>71.983999999999995</v>
      </c>
      <c r="AX601">
        <v>8.9176000000000002</v>
      </c>
      <c r="AY601">
        <v>1</v>
      </c>
      <c r="AZ601">
        <v>6023.7392733347688</v>
      </c>
      <c r="BA601">
        <v>0.99097621000820357</v>
      </c>
      <c r="BB601" s="62">
        <v>5969.3823000000002</v>
      </c>
      <c r="BC601" s="60">
        <v>2249.756599743002</v>
      </c>
    </row>
    <row r="602" spans="1:55" x14ac:dyDescent="0.25">
      <c r="A602">
        <v>180415</v>
      </c>
      <c r="B602" t="s">
        <v>155</v>
      </c>
      <c r="C602">
        <v>2019</v>
      </c>
      <c r="D602">
        <v>11</v>
      </c>
      <c r="E602" t="s">
        <v>51</v>
      </c>
      <c r="F602" t="s">
        <v>426</v>
      </c>
      <c r="G602" t="s">
        <v>84</v>
      </c>
      <c r="H602" t="s">
        <v>59</v>
      </c>
      <c r="I602" t="s">
        <v>427</v>
      </c>
      <c r="J602">
        <v>-6.0651234499999997</v>
      </c>
      <c r="K602" t="s">
        <v>440</v>
      </c>
      <c r="L602" t="s">
        <v>451</v>
      </c>
      <c r="M602">
        <v>1.7625750762999999E-3</v>
      </c>
      <c r="N602">
        <v>1.0690235422336899E-2</v>
      </c>
      <c r="O602">
        <v>28410.399000000001</v>
      </c>
      <c r="P602">
        <v>2.51417E-6</v>
      </c>
      <c r="Q602">
        <v>0.14285700000000001</v>
      </c>
      <c r="R602" s="60">
        <v>1.527174961728783E-3</v>
      </c>
      <c r="S602" t="s">
        <v>347</v>
      </c>
      <c r="T602" t="s">
        <v>437</v>
      </c>
      <c r="U602" t="s">
        <v>425</v>
      </c>
      <c r="V602" t="s">
        <v>91</v>
      </c>
      <c r="W602">
        <v>111.133</v>
      </c>
      <c r="X602">
        <v>1.0541007448257309</v>
      </c>
      <c r="Y602">
        <v>117.145378074718</v>
      </c>
      <c r="Z602">
        <v>640.82000000000005</v>
      </c>
      <c r="AA602">
        <v>1</v>
      </c>
      <c r="AB602">
        <v>75.069101177840764</v>
      </c>
      <c r="AC602">
        <v>1.0088999999999999</v>
      </c>
      <c r="AD602" s="62">
        <v>75.736999999999995</v>
      </c>
      <c r="AE602">
        <v>8.9176000000000002</v>
      </c>
      <c r="AF602">
        <v>9.4000488020579382</v>
      </c>
      <c r="AG602">
        <v>1</v>
      </c>
      <c r="AH602">
        <v>6023.7392733347688</v>
      </c>
      <c r="AI602">
        <v>0.99316673174541203</v>
      </c>
      <c r="AJ602" s="62">
        <v>5982.5774000000001</v>
      </c>
      <c r="AK602" s="60">
        <v>9.1364424118844845</v>
      </c>
      <c r="AL602" t="s">
        <v>347</v>
      </c>
      <c r="AM602" t="s">
        <v>437</v>
      </c>
      <c r="AN602" t="s">
        <v>425</v>
      </c>
      <c r="AO602" t="s">
        <v>91</v>
      </c>
      <c r="AP602">
        <v>111.133</v>
      </c>
      <c r="AQ602">
        <v>1.0541007448257309</v>
      </c>
      <c r="AR602">
        <v>117.145378074718</v>
      </c>
      <c r="AS602">
        <v>640.82000000000005</v>
      </c>
      <c r="AT602">
        <v>1</v>
      </c>
      <c r="AU602">
        <v>75.069101177840764</v>
      </c>
      <c r="AV602">
        <v>1.0088999999999999</v>
      </c>
      <c r="AW602" s="62">
        <v>75.736999999999995</v>
      </c>
      <c r="AX602">
        <v>8.9176000000000002</v>
      </c>
      <c r="AY602">
        <v>1</v>
      </c>
      <c r="AZ602">
        <v>6023.7392733347688</v>
      </c>
      <c r="BA602">
        <v>0.99316673174541203</v>
      </c>
      <c r="BB602" s="62">
        <v>5982.5774000000001</v>
      </c>
      <c r="BC602" s="60">
        <v>9.1364424118844845</v>
      </c>
    </row>
    <row r="603" spans="1:55" x14ac:dyDescent="0.25">
      <c r="A603">
        <v>180417</v>
      </c>
      <c r="B603" t="s">
        <v>155</v>
      </c>
      <c r="C603">
        <v>2019</v>
      </c>
      <c r="D603">
        <v>11</v>
      </c>
      <c r="E603" t="s">
        <v>51</v>
      </c>
      <c r="F603" t="s">
        <v>426</v>
      </c>
      <c r="G603" t="s">
        <v>84</v>
      </c>
      <c r="H603" t="s">
        <v>59</v>
      </c>
      <c r="I603" t="s">
        <v>427</v>
      </c>
      <c r="J603">
        <v>-6.0651234499999997</v>
      </c>
      <c r="K603" t="s">
        <v>440</v>
      </c>
      <c r="L603" t="s">
        <v>452</v>
      </c>
      <c r="M603">
        <v>1.4858046103299999E-3</v>
      </c>
      <c r="N603">
        <v>9.0115883797495452E-3</v>
      </c>
      <c r="O603">
        <v>28410.399000000001</v>
      </c>
      <c r="P603">
        <v>2.51417E-6</v>
      </c>
      <c r="Q603">
        <v>0.14285700000000001</v>
      </c>
      <c r="R603" s="60">
        <v>1.2873684811658809E-3</v>
      </c>
      <c r="S603" t="s">
        <v>347</v>
      </c>
      <c r="T603" t="s">
        <v>437</v>
      </c>
      <c r="U603" t="s">
        <v>425</v>
      </c>
      <c r="V603" t="s">
        <v>28</v>
      </c>
      <c r="W603">
        <v>111.133</v>
      </c>
      <c r="X603">
        <v>1.0541007448257309</v>
      </c>
      <c r="Y603">
        <v>117.145378074718</v>
      </c>
      <c r="Z603">
        <v>640.82000000000005</v>
      </c>
      <c r="AA603">
        <v>1</v>
      </c>
      <c r="AB603">
        <v>75.069101177840764</v>
      </c>
      <c r="AC603">
        <v>1.0073000000000001</v>
      </c>
      <c r="AD603" s="62">
        <v>75.617000000000004</v>
      </c>
      <c r="AE603">
        <v>8.9176000000000002</v>
      </c>
      <c r="AF603">
        <v>9.4000488020579382</v>
      </c>
      <c r="AG603">
        <v>1</v>
      </c>
      <c r="AH603">
        <v>6023.7392733347688</v>
      </c>
      <c r="AI603">
        <v>0.99399488088206345</v>
      </c>
      <c r="AJ603" s="62">
        <v>5987.5659999999998</v>
      </c>
      <c r="AK603" s="60">
        <v>7.7082037473004688</v>
      </c>
      <c r="AL603" t="s">
        <v>347</v>
      </c>
      <c r="AM603" t="s">
        <v>437</v>
      </c>
      <c r="AN603" t="s">
        <v>425</v>
      </c>
      <c r="AO603" t="s">
        <v>28</v>
      </c>
      <c r="AP603">
        <v>111.133</v>
      </c>
      <c r="AQ603">
        <v>1.0541007448257309</v>
      </c>
      <c r="AR603">
        <v>117.145378074718</v>
      </c>
      <c r="AS603">
        <v>640.82000000000005</v>
      </c>
      <c r="AT603">
        <v>1</v>
      </c>
      <c r="AU603">
        <v>75.069101177840764</v>
      </c>
      <c r="AV603">
        <v>1.0073000000000001</v>
      </c>
      <c r="AW603" s="62">
        <v>75.617000000000004</v>
      </c>
      <c r="AX603">
        <v>8.9176000000000002</v>
      </c>
      <c r="AY603">
        <v>1</v>
      </c>
      <c r="AZ603">
        <v>6023.7392733347688</v>
      </c>
      <c r="BA603">
        <v>0.99399488088206345</v>
      </c>
      <c r="BB603" s="62">
        <v>5987.5659999999998</v>
      </c>
      <c r="BC603" s="60">
        <v>7.7082037473004688</v>
      </c>
    </row>
    <row r="604" spans="1:55" x14ac:dyDescent="0.25">
      <c r="A604">
        <v>187581</v>
      </c>
      <c r="B604" t="s">
        <v>148</v>
      </c>
      <c r="C604">
        <v>2019</v>
      </c>
      <c r="D604">
        <v>12</v>
      </c>
      <c r="E604" t="s">
        <v>51</v>
      </c>
      <c r="F604" t="s">
        <v>426</v>
      </c>
      <c r="G604" t="s">
        <v>84</v>
      </c>
      <c r="H604" t="s">
        <v>381</v>
      </c>
      <c r="I604" t="s">
        <v>427</v>
      </c>
      <c r="J604">
        <v>-12.7766368</v>
      </c>
      <c r="K604" t="s">
        <v>440</v>
      </c>
      <c r="L604" t="s">
        <v>450</v>
      </c>
      <c r="M604">
        <v>0.15011157993331001</v>
      </c>
      <c r="N604">
        <v>1.9179211367404849</v>
      </c>
      <c r="O604">
        <v>28410.399000000001</v>
      </c>
      <c r="P604">
        <v>2.51417E-6</v>
      </c>
      <c r="Q604">
        <v>0.14285700000000001</v>
      </c>
      <c r="R604" s="60">
        <v>0.27398845983133552</v>
      </c>
      <c r="S604" t="s">
        <v>347</v>
      </c>
      <c r="T604" t="s">
        <v>437</v>
      </c>
      <c r="U604" t="s">
        <v>425</v>
      </c>
      <c r="V604" t="s">
        <v>26</v>
      </c>
      <c r="W604">
        <v>111.133</v>
      </c>
      <c r="X604">
        <v>1.0541007448257309</v>
      </c>
      <c r="Y604">
        <v>117.145378074718</v>
      </c>
      <c r="Z604">
        <v>640.82000000000005</v>
      </c>
      <c r="AA604">
        <v>1</v>
      </c>
      <c r="AB604">
        <v>75.069101177840764</v>
      </c>
      <c r="AC604">
        <v>0.99109999999999998</v>
      </c>
      <c r="AD604" s="62">
        <v>74.400999999999996</v>
      </c>
      <c r="AE604">
        <v>8.9176000000000002</v>
      </c>
      <c r="AF604">
        <v>9.4000488020579382</v>
      </c>
      <c r="AG604">
        <v>1</v>
      </c>
      <c r="AH604">
        <v>6023.7392733347688</v>
      </c>
      <c r="AI604">
        <v>0.9830373970836227</v>
      </c>
      <c r="AJ604" s="62">
        <v>5921.5609999999997</v>
      </c>
      <c r="AK604" s="60">
        <v>1622.439378187303</v>
      </c>
      <c r="AL604" t="s">
        <v>347</v>
      </c>
      <c r="AM604" t="s">
        <v>437</v>
      </c>
      <c r="AN604" t="s">
        <v>425</v>
      </c>
      <c r="AO604" t="s">
        <v>26</v>
      </c>
      <c r="AP604">
        <v>111.133</v>
      </c>
      <c r="AQ604">
        <v>1.0541007448257309</v>
      </c>
      <c r="AR604">
        <v>117.145378074718</v>
      </c>
      <c r="AS604">
        <v>640.82000000000005</v>
      </c>
      <c r="AT604">
        <v>1</v>
      </c>
      <c r="AU604">
        <v>75.069101177840764</v>
      </c>
      <c r="AV604">
        <v>0.99109999999999998</v>
      </c>
      <c r="AW604" s="62">
        <v>74.400999999999996</v>
      </c>
      <c r="AX604">
        <v>8.9176000000000002</v>
      </c>
      <c r="AY604">
        <v>1</v>
      </c>
      <c r="AZ604">
        <v>6023.7392733347688</v>
      </c>
      <c r="BA604">
        <v>0.9830373970836227</v>
      </c>
      <c r="BB604" s="62">
        <v>5921.5609999999997</v>
      </c>
      <c r="BC604" s="60">
        <v>1622.439378187303</v>
      </c>
    </row>
    <row r="605" spans="1:55" x14ac:dyDescent="0.25">
      <c r="A605">
        <v>187583</v>
      </c>
      <c r="B605" t="s">
        <v>148</v>
      </c>
      <c r="C605">
        <v>2019</v>
      </c>
      <c r="D605">
        <v>12</v>
      </c>
      <c r="E605" t="s">
        <v>51</v>
      </c>
      <c r="F605" t="s">
        <v>426</v>
      </c>
      <c r="G605" t="s">
        <v>84</v>
      </c>
      <c r="H605" t="s">
        <v>381</v>
      </c>
      <c r="I605" t="s">
        <v>427</v>
      </c>
      <c r="J605">
        <v>-12.7766368</v>
      </c>
      <c r="K605" t="s">
        <v>440</v>
      </c>
      <c r="L605" t="s">
        <v>384</v>
      </c>
      <c r="M605">
        <v>4.5811354346740003E-2</v>
      </c>
      <c r="N605">
        <v>0.58531503594429823</v>
      </c>
      <c r="O605">
        <v>28410.399000000001</v>
      </c>
      <c r="P605">
        <v>2.51417E-6</v>
      </c>
      <c r="Q605">
        <v>0.14285700000000001</v>
      </c>
      <c r="R605" s="60">
        <v>8.3616350089894625E-2</v>
      </c>
      <c r="S605" t="s">
        <v>347</v>
      </c>
      <c r="T605" t="s">
        <v>437</v>
      </c>
      <c r="U605" t="s">
        <v>425</v>
      </c>
      <c r="V605" t="s">
        <v>81</v>
      </c>
      <c r="W605">
        <v>111.133</v>
      </c>
      <c r="X605">
        <v>1.0541007448257309</v>
      </c>
      <c r="Y605">
        <v>117.145378074718</v>
      </c>
      <c r="Z605">
        <v>640.82000000000005</v>
      </c>
      <c r="AA605">
        <v>1</v>
      </c>
      <c r="AB605">
        <v>75.069101177840764</v>
      </c>
      <c r="AC605">
        <v>0.93830000000000002</v>
      </c>
      <c r="AD605" s="62">
        <v>70.436999999999998</v>
      </c>
      <c r="AE605">
        <v>8.9176000000000002</v>
      </c>
      <c r="AF605">
        <v>9.4000488020579382</v>
      </c>
      <c r="AG605">
        <v>1</v>
      </c>
      <c r="AH605">
        <v>6023.7392733347688</v>
      </c>
      <c r="AI605">
        <v>1.098016605166052</v>
      </c>
      <c r="AJ605" s="62">
        <v>6614.1656999999996</v>
      </c>
      <c r="AK605" s="60">
        <v>553.05239472377286</v>
      </c>
      <c r="AL605" t="s">
        <v>347</v>
      </c>
      <c r="AM605" t="s">
        <v>437</v>
      </c>
      <c r="AN605" t="s">
        <v>425</v>
      </c>
      <c r="AO605" t="s">
        <v>81</v>
      </c>
      <c r="AP605">
        <v>111.133</v>
      </c>
      <c r="AQ605">
        <v>1.0541007448257309</v>
      </c>
      <c r="AR605">
        <v>117.145378074718</v>
      </c>
      <c r="AS605">
        <v>640.82000000000005</v>
      </c>
      <c r="AT605">
        <v>1</v>
      </c>
      <c r="AU605">
        <v>75.069101177840764</v>
      </c>
      <c r="AV605">
        <v>0.93830000000000002</v>
      </c>
      <c r="AW605" s="62">
        <v>70.436999999999998</v>
      </c>
      <c r="AX605">
        <v>8.9176000000000002</v>
      </c>
      <c r="AY605">
        <v>1</v>
      </c>
      <c r="AZ605">
        <v>6023.7392733347688</v>
      </c>
      <c r="BA605">
        <v>1.098016605166052</v>
      </c>
      <c r="BB605" s="62">
        <v>6614.1656999999996</v>
      </c>
      <c r="BC605" s="60">
        <v>553.05239472377286</v>
      </c>
    </row>
    <row r="606" spans="1:55" x14ac:dyDescent="0.25">
      <c r="A606">
        <v>187585</v>
      </c>
      <c r="B606" t="s">
        <v>148</v>
      </c>
      <c r="C606">
        <v>2019</v>
      </c>
      <c r="D606">
        <v>12</v>
      </c>
      <c r="E606" t="s">
        <v>51</v>
      </c>
      <c r="F606" t="s">
        <v>426</v>
      </c>
      <c r="G606" t="s">
        <v>84</v>
      </c>
      <c r="H606" t="s">
        <v>381</v>
      </c>
      <c r="I606" t="s">
        <v>427</v>
      </c>
      <c r="J606">
        <v>-12.7766368</v>
      </c>
      <c r="K606" t="s">
        <v>440</v>
      </c>
      <c r="L606" t="s">
        <v>385</v>
      </c>
      <c r="M606">
        <v>0.43232641346992001</v>
      </c>
      <c r="N606">
        <v>5.5236775652720462</v>
      </c>
      <c r="O606">
        <v>28410.399000000001</v>
      </c>
      <c r="P606">
        <v>2.51417E-6</v>
      </c>
      <c r="Q606">
        <v>0.14285700000000001</v>
      </c>
      <c r="R606" s="60">
        <v>0.78909600594206875</v>
      </c>
      <c r="S606" t="s">
        <v>347</v>
      </c>
      <c r="T606" t="s">
        <v>437</v>
      </c>
      <c r="U606" t="s">
        <v>425</v>
      </c>
      <c r="V606" t="s">
        <v>27</v>
      </c>
      <c r="W606">
        <v>111.133</v>
      </c>
      <c r="X606">
        <v>1.0541007448257309</v>
      </c>
      <c r="Y606">
        <v>117.145378074718</v>
      </c>
      <c r="Z606">
        <v>640.82000000000005</v>
      </c>
      <c r="AA606">
        <v>1</v>
      </c>
      <c r="AB606">
        <v>75.069101177840764</v>
      </c>
      <c r="AC606">
        <v>0.95889999999999997</v>
      </c>
      <c r="AD606" s="62">
        <v>71.983999999999995</v>
      </c>
      <c r="AE606">
        <v>8.9176000000000002</v>
      </c>
      <c r="AF606">
        <v>9.4000488020579382</v>
      </c>
      <c r="AG606">
        <v>1</v>
      </c>
      <c r="AH606">
        <v>6023.7392733347688</v>
      </c>
      <c r="AI606">
        <v>0.99097621000820357</v>
      </c>
      <c r="AJ606" s="62">
        <v>5969.3823000000002</v>
      </c>
      <c r="AK606" s="60">
        <v>4710.4157308712802</v>
      </c>
      <c r="AL606" t="s">
        <v>347</v>
      </c>
      <c r="AM606" t="s">
        <v>437</v>
      </c>
      <c r="AN606" t="s">
        <v>425</v>
      </c>
      <c r="AO606" t="s">
        <v>27</v>
      </c>
      <c r="AP606">
        <v>111.133</v>
      </c>
      <c r="AQ606">
        <v>1.0541007448257309</v>
      </c>
      <c r="AR606">
        <v>117.145378074718</v>
      </c>
      <c r="AS606">
        <v>640.82000000000005</v>
      </c>
      <c r="AT606">
        <v>1</v>
      </c>
      <c r="AU606">
        <v>75.069101177840764</v>
      </c>
      <c r="AV606">
        <v>0.95889999999999997</v>
      </c>
      <c r="AW606" s="62">
        <v>71.983999999999995</v>
      </c>
      <c r="AX606">
        <v>8.9176000000000002</v>
      </c>
      <c r="AY606">
        <v>1</v>
      </c>
      <c r="AZ606">
        <v>6023.7392733347688</v>
      </c>
      <c r="BA606">
        <v>0.99097621000820357</v>
      </c>
      <c r="BB606" s="62">
        <v>5969.3823000000002</v>
      </c>
      <c r="BC606" s="60">
        <v>4710.4157308712802</v>
      </c>
    </row>
    <row r="607" spans="1:55" x14ac:dyDescent="0.25">
      <c r="A607">
        <v>187587</v>
      </c>
      <c r="B607" t="s">
        <v>148</v>
      </c>
      <c r="C607">
        <v>2019</v>
      </c>
      <c r="D607">
        <v>12</v>
      </c>
      <c r="E607" t="s">
        <v>51</v>
      </c>
      <c r="F607" t="s">
        <v>426</v>
      </c>
      <c r="G607" t="s">
        <v>84</v>
      </c>
      <c r="H607" t="s">
        <v>381</v>
      </c>
      <c r="I607" t="s">
        <v>427</v>
      </c>
      <c r="J607">
        <v>-12.7766368</v>
      </c>
      <c r="K607" t="s">
        <v>440</v>
      </c>
      <c r="L607" t="s">
        <v>451</v>
      </c>
      <c r="M607">
        <v>1.6825115802299999E-3</v>
      </c>
      <c r="N607">
        <v>2.1496839377530871E-2</v>
      </c>
      <c r="O607">
        <v>28410.399000000001</v>
      </c>
      <c r="P607">
        <v>2.51417E-6</v>
      </c>
      <c r="Q607">
        <v>0.14285700000000001</v>
      </c>
      <c r="R607" s="60">
        <v>3.0709739829559279E-3</v>
      </c>
      <c r="S607" t="s">
        <v>347</v>
      </c>
      <c r="T607" t="s">
        <v>437</v>
      </c>
      <c r="U607" t="s">
        <v>425</v>
      </c>
      <c r="V607" t="s">
        <v>91</v>
      </c>
      <c r="W607">
        <v>111.133</v>
      </c>
      <c r="X607">
        <v>1.0541007448257309</v>
      </c>
      <c r="Y607">
        <v>117.145378074718</v>
      </c>
      <c r="Z607">
        <v>640.82000000000005</v>
      </c>
      <c r="AA607">
        <v>1</v>
      </c>
      <c r="AB607">
        <v>75.069101177840764</v>
      </c>
      <c r="AC607">
        <v>1.0088999999999999</v>
      </c>
      <c r="AD607" s="62">
        <v>75.736999999999995</v>
      </c>
      <c r="AE607">
        <v>8.9176000000000002</v>
      </c>
      <c r="AF607">
        <v>9.4000488020579382</v>
      </c>
      <c r="AG607">
        <v>1</v>
      </c>
      <c r="AH607">
        <v>6023.7392733347688</v>
      </c>
      <c r="AI607">
        <v>0.99316673174541203</v>
      </c>
      <c r="AJ607" s="62">
        <v>5982.5774000000001</v>
      </c>
      <c r="AK607" s="60">
        <v>18.372339546420118</v>
      </c>
      <c r="AL607" t="s">
        <v>347</v>
      </c>
      <c r="AM607" t="s">
        <v>437</v>
      </c>
      <c r="AN607" t="s">
        <v>425</v>
      </c>
      <c r="AO607" t="s">
        <v>91</v>
      </c>
      <c r="AP607">
        <v>111.133</v>
      </c>
      <c r="AQ607">
        <v>1.0541007448257309</v>
      </c>
      <c r="AR607">
        <v>117.145378074718</v>
      </c>
      <c r="AS607">
        <v>640.82000000000005</v>
      </c>
      <c r="AT607">
        <v>1</v>
      </c>
      <c r="AU607">
        <v>75.069101177840764</v>
      </c>
      <c r="AV607">
        <v>1.0088999999999999</v>
      </c>
      <c r="AW607" s="62">
        <v>75.736999999999995</v>
      </c>
      <c r="AX607">
        <v>8.9176000000000002</v>
      </c>
      <c r="AY607">
        <v>1</v>
      </c>
      <c r="AZ607">
        <v>6023.7392733347688</v>
      </c>
      <c r="BA607">
        <v>0.99316673174541203</v>
      </c>
      <c r="BB607" s="62">
        <v>5982.5774000000001</v>
      </c>
      <c r="BC607" s="60">
        <v>18.372339546420118</v>
      </c>
    </row>
    <row r="608" spans="1:55" x14ac:dyDescent="0.25">
      <c r="A608">
        <v>187589</v>
      </c>
      <c r="B608" t="s">
        <v>148</v>
      </c>
      <c r="C608">
        <v>2019</v>
      </c>
      <c r="D608">
        <v>12</v>
      </c>
      <c r="E608" t="s">
        <v>51</v>
      </c>
      <c r="F608" t="s">
        <v>426</v>
      </c>
      <c r="G608" t="s">
        <v>84</v>
      </c>
      <c r="H608" t="s">
        <v>381</v>
      </c>
      <c r="I608" t="s">
        <v>427</v>
      </c>
      <c r="J608">
        <v>-12.7766368</v>
      </c>
      <c r="K608" t="s">
        <v>440</v>
      </c>
      <c r="L608" t="s">
        <v>452</v>
      </c>
      <c r="M608">
        <v>1.53682162831E-3</v>
      </c>
      <c r="N608">
        <v>1.9635411775994659E-2</v>
      </c>
      <c r="O608">
        <v>28410.399000000001</v>
      </c>
      <c r="P608">
        <v>2.51417E-6</v>
      </c>
      <c r="Q608">
        <v>0.14285700000000001</v>
      </c>
      <c r="R608" s="60">
        <v>2.805056020083269E-3</v>
      </c>
      <c r="S608" t="s">
        <v>347</v>
      </c>
      <c r="T608" t="s">
        <v>437</v>
      </c>
      <c r="U608" t="s">
        <v>425</v>
      </c>
      <c r="V608" t="s">
        <v>28</v>
      </c>
      <c r="W608">
        <v>111.133</v>
      </c>
      <c r="X608">
        <v>1.0541007448257309</v>
      </c>
      <c r="Y608">
        <v>117.145378074718</v>
      </c>
      <c r="Z608">
        <v>640.82000000000005</v>
      </c>
      <c r="AA608">
        <v>1</v>
      </c>
      <c r="AB608">
        <v>75.069101177840764</v>
      </c>
      <c r="AC608">
        <v>1.0073000000000001</v>
      </c>
      <c r="AD608" s="62">
        <v>75.617000000000004</v>
      </c>
      <c r="AE608">
        <v>8.9176000000000002</v>
      </c>
      <c r="AF608">
        <v>9.4000488020579382</v>
      </c>
      <c r="AG608">
        <v>1</v>
      </c>
      <c r="AH608">
        <v>6023.7392733347688</v>
      </c>
      <c r="AI608">
        <v>0.99399488088206345</v>
      </c>
      <c r="AJ608" s="62">
        <v>5987.5659999999998</v>
      </c>
      <c r="AK608" s="60">
        <v>16.7954580539459</v>
      </c>
      <c r="AL608" t="s">
        <v>347</v>
      </c>
      <c r="AM608" t="s">
        <v>437</v>
      </c>
      <c r="AN608" t="s">
        <v>425</v>
      </c>
      <c r="AO608" t="s">
        <v>28</v>
      </c>
      <c r="AP608">
        <v>111.133</v>
      </c>
      <c r="AQ608">
        <v>1.0541007448257309</v>
      </c>
      <c r="AR608">
        <v>117.145378074718</v>
      </c>
      <c r="AS608">
        <v>640.82000000000005</v>
      </c>
      <c r="AT608">
        <v>1</v>
      </c>
      <c r="AU608">
        <v>75.069101177840764</v>
      </c>
      <c r="AV608">
        <v>1.0073000000000001</v>
      </c>
      <c r="AW608" s="62">
        <v>75.617000000000004</v>
      </c>
      <c r="AX608">
        <v>8.9176000000000002</v>
      </c>
      <c r="AY608">
        <v>1</v>
      </c>
      <c r="AZ608">
        <v>6023.7392733347688</v>
      </c>
      <c r="BA608">
        <v>0.99399488088206345</v>
      </c>
      <c r="BB608" s="62">
        <v>5987.5659999999998</v>
      </c>
      <c r="BC608" s="60">
        <v>16.7954580539459</v>
      </c>
    </row>
    <row r="609" spans="1:55" x14ac:dyDescent="0.25">
      <c r="A609">
        <v>187591</v>
      </c>
      <c r="B609" t="s">
        <v>148</v>
      </c>
      <c r="C609">
        <v>2019</v>
      </c>
      <c r="D609">
        <v>12</v>
      </c>
      <c r="E609" t="s">
        <v>51</v>
      </c>
      <c r="F609" t="s">
        <v>426</v>
      </c>
      <c r="G609" t="s">
        <v>84</v>
      </c>
      <c r="H609" t="s">
        <v>87</v>
      </c>
      <c r="I609" t="s">
        <v>427</v>
      </c>
      <c r="J609">
        <v>-2.5502972900000001</v>
      </c>
      <c r="K609" t="s">
        <v>440</v>
      </c>
      <c r="L609" t="s">
        <v>450</v>
      </c>
      <c r="M609">
        <v>0.26601384014995</v>
      </c>
      <c r="N609">
        <v>0.67841437582859188</v>
      </c>
      <c r="O609">
        <v>28410.399000000001</v>
      </c>
      <c r="P609">
        <v>2.51417E-6</v>
      </c>
      <c r="Q609">
        <v>0.14285700000000001</v>
      </c>
      <c r="R609" s="60">
        <v>9.6916242487745163E-2</v>
      </c>
      <c r="S609" t="s">
        <v>347</v>
      </c>
      <c r="T609" t="s">
        <v>437</v>
      </c>
      <c r="U609" t="s">
        <v>425</v>
      </c>
      <c r="V609" t="s">
        <v>26</v>
      </c>
      <c r="W609">
        <v>111.133</v>
      </c>
      <c r="X609">
        <v>1.0541007448257309</v>
      </c>
      <c r="Y609">
        <v>117.145378074718</v>
      </c>
      <c r="Z609">
        <v>640.82000000000005</v>
      </c>
      <c r="AA609">
        <v>1</v>
      </c>
      <c r="AB609">
        <v>75.069101177840764</v>
      </c>
      <c r="AC609">
        <v>0.99109999999999998</v>
      </c>
      <c r="AD609" s="62">
        <v>74.400999999999996</v>
      </c>
      <c r="AE609">
        <v>8.9176000000000002</v>
      </c>
      <c r="AF609">
        <v>9.4000488020579382</v>
      </c>
      <c r="AG609">
        <v>1</v>
      </c>
      <c r="AH609">
        <v>6023.7392733347688</v>
      </c>
      <c r="AI609">
        <v>0.9830373970836227</v>
      </c>
      <c r="AJ609" s="62">
        <v>5921.5609999999997</v>
      </c>
      <c r="AK609" s="60">
        <v>573.89544178197468</v>
      </c>
      <c r="AL609" t="s">
        <v>347</v>
      </c>
      <c r="AM609" t="s">
        <v>437</v>
      </c>
      <c r="AN609" t="s">
        <v>425</v>
      </c>
      <c r="AO609" t="s">
        <v>26</v>
      </c>
      <c r="AP609">
        <v>111.133</v>
      </c>
      <c r="AQ609">
        <v>1.0541007448257309</v>
      </c>
      <c r="AR609">
        <v>117.145378074718</v>
      </c>
      <c r="AS609">
        <v>640.82000000000005</v>
      </c>
      <c r="AT609">
        <v>1</v>
      </c>
      <c r="AU609">
        <v>75.069101177840764</v>
      </c>
      <c r="AV609">
        <v>0.99109999999999998</v>
      </c>
      <c r="AW609" s="62">
        <v>74.400999999999996</v>
      </c>
      <c r="AX609">
        <v>8.9176000000000002</v>
      </c>
      <c r="AY609">
        <v>1</v>
      </c>
      <c r="AZ609">
        <v>6023.7392733347688</v>
      </c>
      <c r="BA609">
        <v>0.9830373970836227</v>
      </c>
      <c r="BB609" s="62">
        <v>5921.5609999999997</v>
      </c>
      <c r="BC609" s="60">
        <v>573.89544178197468</v>
      </c>
    </row>
    <row r="610" spans="1:55" x14ac:dyDescent="0.25">
      <c r="A610">
        <v>187593</v>
      </c>
      <c r="B610" t="s">
        <v>148</v>
      </c>
      <c r="C610">
        <v>2019</v>
      </c>
      <c r="D610">
        <v>12</v>
      </c>
      <c r="E610" t="s">
        <v>51</v>
      </c>
      <c r="F610" t="s">
        <v>426</v>
      </c>
      <c r="G610" t="s">
        <v>84</v>
      </c>
      <c r="H610" t="s">
        <v>87</v>
      </c>
      <c r="I610" t="s">
        <v>427</v>
      </c>
      <c r="J610">
        <v>-2.5502972900000001</v>
      </c>
      <c r="K610" t="s">
        <v>440</v>
      </c>
      <c r="L610" t="s">
        <v>384</v>
      </c>
      <c r="M610">
        <v>3.9509559941419997E-2</v>
      </c>
      <c r="N610">
        <v>0.1007611236761653</v>
      </c>
      <c r="O610">
        <v>28410.399000000001</v>
      </c>
      <c r="P610">
        <v>2.51417E-6</v>
      </c>
      <c r="Q610">
        <v>0.14285700000000001</v>
      </c>
      <c r="R610" s="60">
        <v>1.439443184500595E-2</v>
      </c>
      <c r="S610" t="s">
        <v>347</v>
      </c>
      <c r="T610" t="s">
        <v>437</v>
      </c>
      <c r="U610" t="s">
        <v>425</v>
      </c>
      <c r="V610" t="s">
        <v>81</v>
      </c>
      <c r="W610">
        <v>111.133</v>
      </c>
      <c r="X610">
        <v>1.0541007448257309</v>
      </c>
      <c r="Y610">
        <v>117.145378074718</v>
      </c>
      <c r="Z610">
        <v>640.82000000000005</v>
      </c>
      <c r="AA610">
        <v>1</v>
      </c>
      <c r="AB610">
        <v>75.069101177840764</v>
      </c>
      <c r="AC610">
        <v>0.93830000000000002</v>
      </c>
      <c r="AD610" s="62">
        <v>70.436999999999998</v>
      </c>
      <c r="AE610">
        <v>8.9176000000000002</v>
      </c>
      <c r="AF610">
        <v>9.4000488020579382</v>
      </c>
      <c r="AG610">
        <v>1</v>
      </c>
      <c r="AH610">
        <v>6023.7392733347688</v>
      </c>
      <c r="AI610">
        <v>1.098016605166052</v>
      </c>
      <c r="AJ610" s="62">
        <v>6614.1656999999996</v>
      </c>
      <c r="AK610" s="60">
        <v>95.207157380226079</v>
      </c>
      <c r="AL610" t="s">
        <v>347</v>
      </c>
      <c r="AM610" t="s">
        <v>437</v>
      </c>
      <c r="AN610" t="s">
        <v>425</v>
      </c>
      <c r="AO610" t="s">
        <v>81</v>
      </c>
      <c r="AP610">
        <v>111.133</v>
      </c>
      <c r="AQ610">
        <v>1.0541007448257309</v>
      </c>
      <c r="AR610">
        <v>117.145378074718</v>
      </c>
      <c r="AS610">
        <v>640.82000000000005</v>
      </c>
      <c r="AT610">
        <v>1</v>
      </c>
      <c r="AU610">
        <v>75.069101177840764</v>
      </c>
      <c r="AV610">
        <v>0.93830000000000002</v>
      </c>
      <c r="AW610" s="62">
        <v>70.436999999999998</v>
      </c>
      <c r="AX610">
        <v>8.9176000000000002</v>
      </c>
      <c r="AY610">
        <v>1</v>
      </c>
      <c r="AZ610">
        <v>6023.7392733347688</v>
      </c>
      <c r="BA610">
        <v>1.098016605166052</v>
      </c>
      <c r="BB610" s="62">
        <v>6614.1656999999996</v>
      </c>
      <c r="BC610" s="60">
        <v>95.207157380226079</v>
      </c>
    </row>
    <row r="611" spans="1:55" x14ac:dyDescent="0.25">
      <c r="A611">
        <v>187595</v>
      </c>
      <c r="B611" t="s">
        <v>148</v>
      </c>
      <c r="C611">
        <v>2019</v>
      </c>
      <c r="D611">
        <v>12</v>
      </c>
      <c r="E611" t="s">
        <v>51</v>
      </c>
      <c r="F611" t="s">
        <v>426</v>
      </c>
      <c r="G611" t="s">
        <v>84</v>
      </c>
      <c r="H611" t="s">
        <v>87</v>
      </c>
      <c r="I611" t="s">
        <v>427</v>
      </c>
      <c r="J611">
        <v>-2.5502972900000001</v>
      </c>
      <c r="K611" t="s">
        <v>440</v>
      </c>
      <c r="L611" t="s">
        <v>385</v>
      </c>
      <c r="M611">
        <v>0.39737542925016001</v>
      </c>
      <c r="N611">
        <v>1.013425480615606</v>
      </c>
      <c r="O611">
        <v>28410.399000000001</v>
      </c>
      <c r="P611">
        <v>2.51417E-6</v>
      </c>
      <c r="Q611">
        <v>0.14285700000000001</v>
      </c>
      <c r="R611" s="60">
        <v>0.1447749238843036</v>
      </c>
      <c r="S611" t="s">
        <v>347</v>
      </c>
      <c r="T611" t="s">
        <v>437</v>
      </c>
      <c r="U611" t="s">
        <v>425</v>
      </c>
      <c r="V611" t="s">
        <v>27</v>
      </c>
      <c r="W611">
        <v>111.133</v>
      </c>
      <c r="X611">
        <v>1.0541007448257309</v>
      </c>
      <c r="Y611">
        <v>117.145378074718</v>
      </c>
      <c r="Z611">
        <v>640.82000000000005</v>
      </c>
      <c r="AA611">
        <v>1</v>
      </c>
      <c r="AB611">
        <v>75.069101177840764</v>
      </c>
      <c r="AC611">
        <v>0.95889999999999997</v>
      </c>
      <c r="AD611" s="62">
        <v>71.983999999999995</v>
      </c>
      <c r="AE611">
        <v>8.9176000000000002</v>
      </c>
      <c r="AF611">
        <v>9.4000488020579382</v>
      </c>
      <c r="AG611">
        <v>1</v>
      </c>
      <c r="AH611">
        <v>6023.7392733347688</v>
      </c>
      <c r="AI611">
        <v>0.99097621000820357</v>
      </c>
      <c r="AJ611" s="62">
        <v>5969.3823000000002</v>
      </c>
      <c r="AK611" s="60">
        <v>864.21686811880932</v>
      </c>
      <c r="AL611" t="s">
        <v>347</v>
      </c>
      <c r="AM611" t="s">
        <v>437</v>
      </c>
      <c r="AN611" t="s">
        <v>425</v>
      </c>
      <c r="AO611" t="s">
        <v>27</v>
      </c>
      <c r="AP611">
        <v>111.133</v>
      </c>
      <c r="AQ611">
        <v>1.0541007448257309</v>
      </c>
      <c r="AR611">
        <v>117.145378074718</v>
      </c>
      <c r="AS611">
        <v>640.82000000000005</v>
      </c>
      <c r="AT611">
        <v>1</v>
      </c>
      <c r="AU611">
        <v>75.069101177840764</v>
      </c>
      <c r="AV611">
        <v>0.95889999999999997</v>
      </c>
      <c r="AW611" s="62">
        <v>71.983999999999995</v>
      </c>
      <c r="AX611">
        <v>8.9176000000000002</v>
      </c>
      <c r="AY611">
        <v>1</v>
      </c>
      <c r="AZ611">
        <v>6023.7392733347688</v>
      </c>
      <c r="BA611">
        <v>0.99097621000820357</v>
      </c>
      <c r="BB611" s="62">
        <v>5969.3823000000002</v>
      </c>
      <c r="BC611" s="60">
        <v>864.21686811880932</v>
      </c>
    </row>
    <row r="612" spans="1:55" x14ac:dyDescent="0.25">
      <c r="A612">
        <v>187597</v>
      </c>
      <c r="B612" t="s">
        <v>148</v>
      </c>
      <c r="C612">
        <v>2019</v>
      </c>
      <c r="D612">
        <v>12</v>
      </c>
      <c r="E612" t="s">
        <v>51</v>
      </c>
      <c r="F612" t="s">
        <v>426</v>
      </c>
      <c r="G612" t="s">
        <v>84</v>
      </c>
      <c r="H612" t="s">
        <v>87</v>
      </c>
      <c r="I612" t="s">
        <v>427</v>
      </c>
      <c r="J612">
        <v>-2.5502972900000001</v>
      </c>
      <c r="K612" t="s">
        <v>440</v>
      </c>
      <c r="L612" t="s">
        <v>452</v>
      </c>
      <c r="M612">
        <v>8.4248020759000004E-4</v>
      </c>
      <c r="N612">
        <v>2.1485749909024789E-3</v>
      </c>
      <c r="O612">
        <v>28410.399000000001</v>
      </c>
      <c r="P612">
        <v>2.51417E-6</v>
      </c>
      <c r="Q612">
        <v>0.14285700000000001</v>
      </c>
      <c r="R612" s="60">
        <v>3.0693897747535552E-4</v>
      </c>
      <c r="S612" t="s">
        <v>347</v>
      </c>
      <c r="T612" t="s">
        <v>437</v>
      </c>
      <c r="U612" t="s">
        <v>425</v>
      </c>
      <c r="V612" t="s">
        <v>28</v>
      </c>
      <c r="W612">
        <v>111.133</v>
      </c>
      <c r="X612">
        <v>1.0541007448257309</v>
      </c>
      <c r="Y612">
        <v>117.145378074718</v>
      </c>
      <c r="Z612">
        <v>640.82000000000005</v>
      </c>
      <c r="AA612">
        <v>1</v>
      </c>
      <c r="AB612">
        <v>75.069101177840764</v>
      </c>
      <c r="AC612">
        <v>1.0073000000000001</v>
      </c>
      <c r="AD612" s="62">
        <v>75.617000000000004</v>
      </c>
      <c r="AE612">
        <v>8.9176000000000002</v>
      </c>
      <c r="AF612">
        <v>9.4000488020579382</v>
      </c>
      <c r="AG612">
        <v>1</v>
      </c>
      <c r="AH612">
        <v>6023.7392733347688</v>
      </c>
      <c r="AI612">
        <v>0.99399488088206345</v>
      </c>
      <c r="AJ612" s="62">
        <v>5987.5659999999998</v>
      </c>
      <c r="AK612" s="60">
        <v>1.837817385606205</v>
      </c>
      <c r="AL612" t="s">
        <v>347</v>
      </c>
      <c r="AM612" t="s">
        <v>437</v>
      </c>
      <c r="AN612" t="s">
        <v>425</v>
      </c>
      <c r="AO612" t="s">
        <v>28</v>
      </c>
      <c r="AP612">
        <v>111.133</v>
      </c>
      <c r="AQ612">
        <v>1.0541007448257309</v>
      </c>
      <c r="AR612">
        <v>117.145378074718</v>
      </c>
      <c r="AS612">
        <v>640.82000000000005</v>
      </c>
      <c r="AT612">
        <v>1</v>
      </c>
      <c r="AU612">
        <v>75.069101177840764</v>
      </c>
      <c r="AV612">
        <v>1.0073000000000001</v>
      </c>
      <c r="AW612" s="62">
        <v>75.617000000000004</v>
      </c>
      <c r="AX612">
        <v>8.9176000000000002</v>
      </c>
      <c r="AY612">
        <v>1</v>
      </c>
      <c r="AZ612">
        <v>6023.7392733347688</v>
      </c>
      <c r="BA612">
        <v>0.99399488088206345</v>
      </c>
      <c r="BB612" s="62">
        <v>5987.5659999999998</v>
      </c>
      <c r="BC612" s="60">
        <v>1.837817385606205</v>
      </c>
    </row>
    <row r="613" spans="1:55" x14ac:dyDescent="0.25">
      <c r="A613">
        <v>187599</v>
      </c>
      <c r="B613" t="s">
        <v>148</v>
      </c>
      <c r="C613">
        <v>2019</v>
      </c>
      <c r="D613">
        <v>12</v>
      </c>
      <c r="E613" t="s">
        <v>51</v>
      </c>
      <c r="F613" t="s">
        <v>426</v>
      </c>
      <c r="G613" t="s">
        <v>84</v>
      </c>
      <c r="H613" t="s">
        <v>59</v>
      </c>
      <c r="I613" t="s">
        <v>427</v>
      </c>
      <c r="J613">
        <v>-6.0651234499999997</v>
      </c>
      <c r="K613" t="s">
        <v>440</v>
      </c>
      <c r="L613" t="s">
        <v>450</v>
      </c>
      <c r="M613">
        <v>0.15931709696460999</v>
      </c>
      <c r="N613">
        <v>0.96627786030549423</v>
      </c>
      <c r="O613">
        <v>28410.399000000001</v>
      </c>
      <c r="P613">
        <v>2.51417E-6</v>
      </c>
      <c r="Q613">
        <v>0.14285700000000001</v>
      </c>
      <c r="R613" s="60">
        <v>0.138039556289662</v>
      </c>
      <c r="S613" t="s">
        <v>347</v>
      </c>
      <c r="T613" t="s">
        <v>437</v>
      </c>
      <c r="U613" t="s">
        <v>425</v>
      </c>
      <c r="V613" t="s">
        <v>26</v>
      </c>
      <c r="W613">
        <v>111.133</v>
      </c>
      <c r="X613">
        <v>1.0541007448257309</v>
      </c>
      <c r="Y613">
        <v>117.145378074718</v>
      </c>
      <c r="Z613">
        <v>640.82000000000005</v>
      </c>
      <c r="AA613">
        <v>1</v>
      </c>
      <c r="AB613">
        <v>75.069101177840764</v>
      </c>
      <c r="AC613">
        <v>0.99109999999999998</v>
      </c>
      <c r="AD613" s="62">
        <v>74.400999999999996</v>
      </c>
      <c r="AE613">
        <v>8.9176000000000002</v>
      </c>
      <c r="AF613">
        <v>9.4000488020579382</v>
      </c>
      <c r="AG613">
        <v>1</v>
      </c>
      <c r="AH613">
        <v>6023.7392733347688</v>
      </c>
      <c r="AI613">
        <v>0.9830373970836227</v>
      </c>
      <c r="AJ613" s="62">
        <v>5921.5609999999997</v>
      </c>
      <c r="AK613" s="60">
        <v>817.40965298216713</v>
      </c>
      <c r="AL613" t="s">
        <v>347</v>
      </c>
      <c r="AM613" t="s">
        <v>437</v>
      </c>
      <c r="AN613" t="s">
        <v>425</v>
      </c>
      <c r="AO613" t="s">
        <v>26</v>
      </c>
      <c r="AP613">
        <v>111.133</v>
      </c>
      <c r="AQ613">
        <v>1.0541007448257309</v>
      </c>
      <c r="AR613">
        <v>117.145378074718</v>
      </c>
      <c r="AS613">
        <v>640.82000000000005</v>
      </c>
      <c r="AT613">
        <v>1</v>
      </c>
      <c r="AU613">
        <v>75.069101177840764</v>
      </c>
      <c r="AV613">
        <v>0.99109999999999998</v>
      </c>
      <c r="AW613" s="62">
        <v>74.400999999999996</v>
      </c>
      <c r="AX613">
        <v>8.9176000000000002</v>
      </c>
      <c r="AY613">
        <v>1</v>
      </c>
      <c r="AZ613">
        <v>6023.7392733347688</v>
      </c>
      <c r="BA613">
        <v>0.9830373970836227</v>
      </c>
      <c r="BB613" s="62">
        <v>5921.5609999999997</v>
      </c>
      <c r="BC613" s="60">
        <v>817.40965298216713</v>
      </c>
    </row>
    <row r="614" spans="1:55" x14ac:dyDescent="0.25">
      <c r="A614">
        <v>187601</v>
      </c>
      <c r="B614" t="s">
        <v>148</v>
      </c>
      <c r="C614">
        <v>2019</v>
      </c>
      <c r="D614">
        <v>12</v>
      </c>
      <c r="E614" t="s">
        <v>51</v>
      </c>
      <c r="F614" t="s">
        <v>426</v>
      </c>
      <c r="G614" t="s">
        <v>84</v>
      </c>
      <c r="H614" t="s">
        <v>59</v>
      </c>
      <c r="I614" t="s">
        <v>427</v>
      </c>
      <c r="J614">
        <v>-6.0651234499999997</v>
      </c>
      <c r="K614" t="s">
        <v>440</v>
      </c>
      <c r="L614" t="s">
        <v>384</v>
      </c>
      <c r="M614">
        <v>4.1785183859599999E-2</v>
      </c>
      <c r="N614">
        <v>0.2534322983634012</v>
      </c>
      <c r="O614">
        <v>28410.399000000001</v>
      </c>
      <c r="P614">
        <v>2.51417E-6</v>
      </c>
      <c r="Q614">
        <v>0.14285700000000001</v>
      </c>
      <c r="R614" s="60">
        <v>3.6204577847300412E-2</v>
      </c>
      <c r="S614" t="s">
        <v>347</v>
      </c>
      <c r="T614" t="s">
        <v>437</v>
      </c>
      <c r="U614" t="s">
        <v>425</v>
      </c>
      <c r="V614" t="s">
        <v>81</v>
      </c>
      <c r="W614">
        <v>111.133</v>
      </c>
      <c r="X614">
        <v>1.0541007448257309</v>
      </c>
      <c r="Y614">
        <v>117.145378074718</v>
      </c>
      <c r="Z614">
        <v>640.82000000000005</v>
      </c>
      <c r="AA614">
        <v>1</v>
      </c>
      <c r="AB614">
        <v>75.069101177840764</v>
      </c>
      <c r="AC614">
        <v>0.93830000000000002</v>
      </c>
      <c r="AD614" s="62">
        <v>70.436999999999998</v>
      </c>
      <c r="AE614">
        <v>8.9176000000000002</v>
      </c>
      <c r="AF614">
        <v>9.4000488020579382</v>
      </c>
      <c r="AG614">
        <v>1</v>
      </c>
      <c r="AH614">
        <v>6023.7392733347688</v>
      </c>
      <c r="AI614">
        <v>1.098016605166052</v>
      </c>
      <c r="AJ614" s="62">
        <v>6614.1656999999996</v>
      </c>
      <c r="AK614" s="60">
        <v>239.4630769805942</v>
      </c>
      <c r="AL614" t="s">
        <v>347</v>
      </c>
      <c r="AM614" t="s">
        <v>437</v>
      </c>
      <c r="AN614" t="s">
        <v>425</v>
      </c>
      <c r="AO614" t="s">
        <v>81</v>
      </c>
      <c r="AP614">
        <v>111.133</v>
      </c>
      <c r="AQ614">
        <v>1.0541007448257309</v>
      </c>
      <c r="AR614">
        <v>117.145378074718</v>
      </c>
      <c r="AS614">
        <v>640.82000000000005</v>
      </c>
      <c r="AT614">
        <v>1</v>
      </c>
      <c r="AU614">
        <v>75.069101177840764</v>
      </c>
      <c r="AV614">
        <v>0.93830000000000002</v>
      </c>
      <c r="AW614" s="62">
        <v>70.436999999999998</v>
      </c>
      <c r="AX614">
        <v>8.9176000000000002</v>
      </c>
      <c r="AY614">
        <v>1</v>
      </c>
      <c r="AZ614">
        <v>6023.7392733347688</v>
      </c>
      <c r="BA614">
        <v>1.098016605166052</v>
      </c>
      <c r="BB614" s="62">
        <v>6614.1656999999996</v>
      </c>
      <c r="BC614" s="60">
        <v>239.4630769805942</v>
      </c>
    </row>
    <row r="615" spans="1:55" x14ac:dyDescent="0.25">
      <c r="A615">
        <v>187603</v>
      </c>
      <c r="B615" t="s">
        <v>148</v>
      </c>
      <c r="C615">
        <v>2019</v>
      </c>
      <c r="D615">
        <v>12</v>
      </c>
      <c r="E615" t="s">
        <v>51</v>
      </c>
      <c r="F615" t="s">
        <v>426</v>
      </c>
      <c r="G615" t="s">
        <v>84</v>
      </c>
      <c r="H615" t="s">
        <v>59</v>
      </c>
      <c r="I615" t="s">
        <v>427</v>
      </c>
      <c r="J615">
        <v>-6.0651234499999997</v>
      </c>
      <c r="K615" t="s">
        <v>440</v>
      </c>
      <c r="L615" t="s">
        <v>385</v>
      </c>
      <c r="M615">
        <v>0.43497567483749999</v>
      </c>
      <c r="N615">
        <v>2.6381811643246502</v>
      </c>
      <c r="O615">
        <v>28410.399000000001</v>
      </c>
      <c r="P615">
        <v>2.51417E-6</v>
      </c>
      <c r="Q615">
        <v>0.14285700000000001</v>
      </c>
      <c r="R615" s="60">
        <v>0.37688264659192661</v>
      </c>
      <c r="S615" t="s">
        <v>347</v>
      </c>
      <c r="T615" t="s">
        <v>437</v>
      </c>
      <c r="U615" t="s">
        <v>425</v>
      </c>
      <c r="V615" t="s">
        <v>27</v>
      </c>
      <c r="W615">
        <v>111.133</v>
      </c>
      <c r="X615">
        <v>1.0541007448257309</v>
      </c>
      <c r="Y615">
        <v>117.145378074718</v>
      </c>
      <c r="Z615">
        <v>640.82000000000005</v>
      </c>
      <c r="AA615">
        <v>1</v>
      </c>
      <c r="AB615">
        <v>75.069101177840764</v>
      </c>
      <c r="AC615">
        <v>0.95889999999999997</v>
      </c>
      <c r="AD615" s="62">
        <v>71.983999999999995</v>
      </c>
      <c r="AE615">
        <v>8.9176000000000002</v>
      </c>
      <c r="AF615">
        <v>9.4000488020579382</v>
      </c>
      <c r="AG615">
        <v>1</v>
      </c>
      <c r="AH615">
        <v>6023.7392733347688</v>
      </c>
      <c r="AI615">
        <v>0.99097621000820357</v>
      </c>
      <c r="AJ615" s="62">
        <v>5969.3823000000002</v>
      </c>
      <c r="AK615" s="60">
        <v>2249.756599743002</v>
      </c>
      <c r="AL615" t="s">
        <v>347</v>
      </c>
      <c r="AM615" t="s">
        <v>437</v>
      </c>
      <c r="AN615" t="s">
        <v>425</v>
      </c>
      <c r="AO615" t="s">
        <v>27</v>
      </c>
      <c r="AP615">
        <v>111.133</v>
      </c>
      <c r="AQ615">
        <v>1.0541007448257309</v>
      </c>
      <c r="AR615">
        <v>117.145378074718</v>
      </c>
      <c r="AS615">
        <v>640.82000000000005</v>
      </c>
      <c r="AT615">
        <v>1</v>
      </c>
      <c r="AU615">
        <v>75.069101177840764</v>
      </c>
      <c r="AV615">
        <v>0.95889999999999997</v>
      </c>
      <c r="AW615" s="62">
        <v>71.983999999999995</v>
      </c>
      <c r="AX615">
        <v>8.9176000000000002</v>
      </c>
      <c r="AY615">
        <v>1</v>
      </c>
      <c r="AZ615">
        <v>6023.7392733347688</v>
      </c>
      <c r="BA615">
        <v>0.99097621000820357</v>
      </c>
      <c r="BB615" s="62">
        <v>5969.3823000000002</v>
      </c>
      <c r="BC615" s="60">
        <v>2249.756599743002</v>
      </c>
    </row>
    <row r="616" spans="1:55" x14ac:dyDescent="0.25">
      <c r="A616">
        <v>187605</v>
      </c>
      <c r="B616" t="s">
        <v>148</v>
      </c>
      <c r="C616">
        <v>2019</v>
      </c>
      <c r="D616">
        <v>12</v>
      </c>
      <c r="E616" t="s">
        <v>51</v>
      </c>
      <c r="F616" t="s">
        <v>426</v>
      </c>
      <c r="G616" t="s">
        <v>84</v>
      </c>
      <c r="H616" t="s">
        <v>59</v>
      </c>
      <c r="I616" t="s">
        <v>427</v>
      </c>
      <c r="J616">
        <v>-6.0651234499999997</v>
      </c>
      <c r="K616" t="s">
        <v>440</v>
      </c>
      <c r="L616" t="s">
        <v>451</v>
      </c>
      <c r="M616">
        <v>1.7625750762999999E-3</v>
      </c>
      <c r="N616">
        <v>1.0690235422336899E-2</v>
      </c>
      <c r="O616">
        <v>28410.399000000001</v>
      </c>
      <c r="P616">
        <v>2.51417E-6</v>
      </c>
      <c r="Q616">
        <v>0.14285700000000001</v>
      </c>
      <c r="R616" s="60">
        <v>1.527174961728783E-3</v>
      </c>
      <c r="S616" t="s">
        <v>347</v>
      </c>
      <c r="T616" t="s">
        <v>437</v>
      </c>
      <c r="U616" t="s">
        <v>425</v>
      </c>
      <c r="V616" t="s">
        <v>91</v>
      </c>
      <c r="W616">
        <v>111.133</v>
      </c>
      <c r="X616">
        <v>1.0541007448257309</v>
      </c>
      <c r="Y616">
        <v>117.145378074718</v>
      </c>
      <c r="Z616">
        <v>640.82000000000005</v>
      </c>
      <c r="AA616">
        <v>1</v>
      </c>
      <c r="AB616">
        <v>75.069101177840764</v>
      </c>
      <c r="AC616">
        <v>1.0088999999999999</v>
      </c>
      <c r="AD616" s="62">
        <v>75.736999999999995</v>
      </c>
      <c r="AE616">
        <v>8.9176000000000002</v>
      </c>
      <c r="AF616">
        <v>9.4000488020579382</v>
      </c>
      <c r="AG616">
        <v>1</v>
      </c>
      <c r="AH616">
        <v>6023.7392733347688</v>
      </c>
      <c r="AI616">
        <v>0.99316673174541203</v>
      </c>
      <c r="AJ616" s="62">
        <v>5982.5774000000001</v>
      </c>
      <c r="AK616" s="60">
        <v>9.1364424118844845</v>
      </c>
      <c r="AL616" t="s">
        <v>347</v>
      </c>
      <c r="AM616" t="s">
        <v>437</v>
      </c>
      <c r="AN616" t="s">
        <v>425</v>
      </c>
      <c r="AO616" t="s">
        <v>91</v>
      </c>
      <c r="AP616">
        <v>111.133</v>
      </c>
      <c r="AQ616">
        <v>1.0541007448257309</v>
      </c>
      <c r="AR616">
        <v>117.145378074718</v>
      </c>
      <c r="AS616">
        <v>640.82000000000005</v>
      </c>
      <c r="AT616">
        <v>1</v>
      </c>
      <c r="AU616">
        <v>75.069101177840764</v>
      </c>
      <c r="AV616">
        <v>1.0088999999999999</v>
      </c>
      <c r="AW616" s="62">
        <v>75.736999999999995</v>
      </c>
      <c r="AX616">
        <v>8.9176000000000002</v>
      </c>
      <c r="AY616">
        <v>1</v>
      </c>
      <c r="AZ616">
        <v>6023.7392733347688</v>
      </c>
      <c r="BA616">
        <v>0.99316673174541203</v>
      </c>
      <c r="BB616" s="62">
        <v>5982.5774000000001</v>
      </c>
      <c r="BC616" s="60">
        <v>9.1364424118844845</v>
      </c>
    </row>
    <row r="617" spans="1:55" x14ac:dyDescent="0.25">
      <c r="A617">
        <v>187607</v>
      </c>
      <c r="B617" t="s">
        <v>148</v>
      </c>
      <c r="C617">
        <v>2019</v>
      </c>
      <c r="D617">
        <v>12</v>
      </c>
      <c r="E617" t="s">
        <v>51</v>
      </c>
      <c r="F617" t="s">
        <v>426</v>
      </c>
      <c r="G617" t="s">
        <v>84</v>
      </c>
      <c r="H617" t="s">
        <v>59</v>
      </c>
      <c r="I617" t="s">
        <v>427</v>
      </c>
      <c r="J617">
        <v>-6.0651234499999997</v>
      </c>
      <c r="K617" t="s">
        <v>440</v>
      </c>
      <c r="L617" t="s">
        <v>452</v>
      </c>
      <c r="M617">
        <v>1.4858046103299999E-3</v>
      </c>
      <c r="N617">
        <v>9.0115883797495452E-3</v>
      </c>
      <c r="O617">
        <v>28410.399000000001</v>
      </c>
      <c r="P617">
        <v>2.51417E-6</v>
      </c>
      <c r="Q617">
        <v>0.14285700000000001</v>
      </c>
      <c r="R617" s="60">
        <v>1.2873684811658809E-3</v>
      </c>
      <c r="S617" t="s">
        <v>347</v>
      </c>
      <c r="T617" t="s">
        <v>437</v>
      </c>
      <c r="U617" t="s">
        <v>425</v>
      </c>
      <c r="V617" t="s">
        <v>28</v>
      </c>
      <c r="W617">
        <v>111.133</v>
      </c>
      <c r="X617">
        <v>1.0541007448257309</v>
      </c>
      <c r="Y617">
        <v>117.145378074718</v>
      </c>
      <c r="Z617">
        <v>640.82000000000005</v>
      </c>
      <c r="AA617">
        <v>1</v>
      </c>
      <c r="AB617">
        <v>75.069101177840764</v>
      </c>
      <c r="AC617">
        <v>1.0073000000000001</v>
      </c>
      <c r="AD617" s="62">
        <v>75.617000000000004</v>
      </c>
      <c r="AE617">
        <v>8.9176000000000002</v>
      </c>
      <c r="AF617">
        <v>9.4000488020579382</v>
      </c>
      <c r="AG617">
        <v>1</v>
      </c>
      <c r="AH617">
        <v>6023.7392733347688</v>
      </c>
      <c r="AI617">
        <v>0.99399488088206345</v>
      </c>
      <c r="AJ617" s="62">
        <v>5987.5659999999998</v>
      </c>
      <c r="AK617" s="60">
        <v>7.7082037473004688</v>
      </c>
      <c r="AL617" t="s">
        <v>347</v>
      </c>
      <c r="AM617" t="s">
        <v>437</v>
      </c>
      <c r="AN617" t="s">
        <v>425</v>
      </c>
      <c r="AO617" t="s">
        <v>28</v>
      </c>
      <c r="AP617">
        <v>111.133</v>
      </c>
      <c r="AQ617">
        <v>1.0541007448257309</v>
      </c>
      <c r="AR617">
        <v>117.145378074718</v>
      </c>
      <c r="AS617">
        <v>640.82000000000005</v>
      </c>
      <c r="AT617">
        <v>1</v>
      </c>
      <c r="AU617">
        <v>75.069101177840764</v>
      </c>
      <c r="AV617">
        <v>1.0073000000000001</v>
      </c>
      <c r="AW617" s="62">
        <v>75.617000000000004</v>
      </c>
      <c r="AX617">
        <v>8.9176000000000002</v>
      </c>
      <c r="AY617">
        <v>1</v>
      </c>
      <c r="AZ617">
        <v>6023.7392733347688</v>
      </c>
      <c r="BA617">
        <v>0.99399488088206345</v>
      </c>
      <c r="BB617" s="62">
        <v>5987.5659999999998</v>
      </c>
      <c r="BC617" s="60">
        <v>7.7082037473004688</v>
      </c>
    </row>
    <row r="618" spans="1:55" x14ac:dyDescent="0.25">
      <c r="A618">
        <v>194771</v>
      </c>
      <c r="B618" t="s">
        <v>197</v>
      </c>
      <c r="C618">
        <v>2020</v>
      </c>
      <c r="D618">
        <v>1</v>
      </c>
      <c r="E618" t="s">
        <v>100</v>
      </c>
      <c r="F618" t="s">
        <v>426</v>
      </c>
      <c r="G618" t="s">
        <v>84</v>
      </c>
      <c r="H618" t="s">
        <v>381</v>
      </c>
      <c r="I618" t="s">
        <v>427</v>
      </c>
      <c r="J618">
        <v>-32.004159540000003</v>
      </c>
      <c r="K618" t="s">
        <v>440</v>
      </c>
      <c r="L618" t="s">
        <v>450</v>
      </c>
      <c r="M618">
        <v>0.15011157993331001</v>
      </c>
      <c r="N618">
        <v>4.8041949533081789</v>
      </c>
      <c r="O618">
        <v>47588.953000000001</v>
      </c>
      <c r="P618">
        <v>1.500949E-6</v>
      </c>
      <c r="Q618">
        <v>0.14285700000000001</v>
      </c>
      <c r="R618" s="60">
        <v>0.68631287844474653</v>
      </c>
      <c r="S618" t="s">
        <v>347</v>
      </c>
      <c r="T618" t="s">
        <v>437</v>
      </c>
      <c r="U618" t="s">
        <v>425</v>
      </c>
      <c r="V618" t="s">
        <v>26</v>
      </c>
      <c r="W618">
        <v>111.133</v>
      </c>
      <c r="X618">
        <v>1.0541007448257309</v>
      </c>
      <c r="Y618">
        <v>117.145378074718</v>
      </c>
      <c r="Z618">
        <v>640.82000000000005</v>
      </c>
      <c r="AA618">
        <v>1</v>
      </c>
      <c r="AB618">
        <v>75.069101177840764</v>
      </c>
      <c r="AC618">
        <v>0.99109999999999998</v>
      </c>
      <c r="AD618" s="62">
        <v>74.400999999999996</v>
      </c>
      <c r="AE618">
        <v>8.9176000000000002</v>
      </c>
      <c r="AF618">
        <v>9.4000488020579382</v>
      </c>
      <c r="AG618">
        <v>1</v>
      </c>
      <c r="AH618">
        <v>6023.7392733347688</v>
      </c>
      <c r="AI618">
        <v>0.9830373970836227</v>
      </c>
      <c r="AJ618" s="62">
        <v>5921.5609999999997</v>
      </c>
      <c r="AK618" s="60">
        <v>4064.043574796151</v>
      </c>
      <c r="AL618" t="s">
        <v>348</v>
      </c>
      <c r="AM618" t="s">
        <v>438</v>
      </c>
      <c r="AN618" t="s">
        <v>425</v>
      </c>
      <c r="AO618" t="s">
        <v>26</v>
      </c>
      <c r="AP618">
        <v>111.133</v>
      </c>
      <c r="AQ618">
        <v>1.0727760310708341</v>
      </c>
      <c r="AR618">
        <v>119.22081866099499</v>
      </c>
      <c r="AS618">
        <v>694.38</v>
      </c>
      <c r="AT618">
        <v>0.875</v>
      </c>
      <c r="AU618">
        <v>72.436483054094012</v>
      </c>
      <c r="AV618">
        <v>0.98270000000000002</v>
      </c>
      <c r="AW618" s="62">
        <v>71.183000000000007</v>
      </c>
      <c r="AX618">
        <v>8.9176000000000002</v>
      </c>
      <c r="AY618">
        <v>0.91300000000000003</v>
      </c>
      <c r="AZ618">
        <v>6064.9193587765631</v>
      </c>
      <c r="BA618">
        <v>0.99365142346989388</v>
      </c>
      <c r="BB618" s="62">
        <v>6026.4157999999998</v>
      </c>
      <c r="BC618" s="60">
        <v>4136.0067744029002</v>
      </c>
    </row>
    <row r="619" spans="1:55" x14ac:dyDescent="0.25">
      <c r="A619">
        <v>194773</v>
      </c>
      <c r="B619" t="s">
        <v>197</v>
      </c>
      <c r="C619">
        <v>2020</v>
      </c>
      <c r="D619">
        <v>1</v>
      </c>
      <c r="E619" t="s">
        <v>100</v>
      </c>
      <c r="F619" t="s">
        <v>426</v>
      </c>
      <c r="G619" t="s">
        <v>84</v>
      </c>
      <c r="H619" t="s">
        <v>381</v>
      </c>
      <c r="I619" t="s">
        <v>427</v>
      </c>
      <c r="J619">
        <v>-32.004159540000003</v>
      </c>
      <c r="K619" t="s">
        <v>440</v>
      </c>
      <c r="L619" t="s">
        <v>384</v>
      </c>
      <c r="M619">
        <v>4.5811354346740003E-2</v>
      </c>
      <c r="N619">
        <v>1.466153893354522</v>
      </c>
      <c r="O619">
        <v>47588.953000000001</v>
      </c>
      <c r="P619">
        <v>1.500949E-6</v>
      </c>
      <c r="Q619">
        <v>0.14285700000000001</v>
      </c>
      <c r="R619" s="60">
        <v>0.20945034674294699</v>
      </c>
      <c r="S619" t="s">
        <v>347</v>
      </c>
      <c r="T619" t="s">
        <v>437</v>
      </c>
      <c r="U619" t="s">
        <v>425</v>
      </c>
      <c r="V619" t="s">
        <v>81</v>
      </c>
      <c r="W619">
        <v>111.133</v>
      </c>
      <c r="X619">
        <v>1.0541007448257309</v>
      </c>
      <c r="Y619">
        <v>117.145378074718</v>
      </c>
      <c r="Z619">
        <v>640.82000000000005</v>
      </c>
      <c r="AA619">
        <v>1</v>
      </c>
      <c r="AB619">
        <v>75.069101177840764</v>
      </c>
      <c r="AC619">
        <v>0.93830000000000002</v>
      </c>
      <c r="AD619" s="62">
        <v>70.436999999999998</v>
      </c>
      <c r="AE619">
        <v>8.9176000000000002</v>
      </c>
      <c r="AF619">
        <v>9.4000488020579382</v>
      </c>
      <c r="AG619">
        <v>1</v>
      </c>
      <c r="AH619">
        <v>6023.7392733347688</v>
      </c>
      <c r="AI619">
        <v>1.098016605166052</v>
      </c>
      <c r="AJ619" s="62">
        <v>6614.1656999999996</v>
      </c>
      <c r="AK619" s="60">
        <v>1385.3392992803069</v>
      </c>
      <c r="AL619" t="s">
        <v>348</v>
      </c>
      <c r="AM619" t="s">
        <v>438</v>
      </c>
      <c r="AN619" t="s">
        <v>425</v>
      </c>
      <c r="AO619" t="s">
        <v>81</v>
      </c>
      <c r="AP619">
        <v>111.133</v>
      </c>
      <c r="AQ619">
        <v>1.0727760310708341</v>
      </c>
      <c r="AR619">
        <v>119.22081866099499</v>
      </c>
      <c r="AS619">
        <v>694.38</v>
      </c>
      <c r="AT619">
        <v>0.875</v>
      </c>
      <c r="AU619">
        <v>72.436483054094012</v>
      </c>
      <c r="AV619">
        <v>0.93500000000000005</v>
      </c>
      <c r="AW619" s="62">
        <v>67.727999999999994</v>
      </c>
      <c r="AX619">
        <v>8.9176000000000002</v>
      </c>
      <c r="AY619">
        <v>0.91300000000000003</v>
      </c>
      <c r="AZ619">
        <v>6064.9193587765631</v>
      </c>
      <c r="BA619">
        <v>1.096171586715867</v>
      </c>
      <c r="BB619" s="62">
        <v>6648.1922999999997</v>
      </c>
      <c r="BC619" s="60">
        <v>1392.4661824487901</v>
      </c>
    </row>
    <row r="620" spans="1:55" x14ac:dyDescent="0.25">
      <c r="A620">
        <v>194775</v>
      </c>
      <c r="B620" t="s">
        <v>197</v>
      </c>
      <c r="C620">
        <v>2020</v>
      </c>
      <c r="D620">
        <v>1</v>
      </c>
      <c r="E620" t="s">
        <v>100</v>
      </c>
      <c r="F620" t="s">
        <v>426</v>
      </c>
      <c r="G620" t="s">
        <v>84</v>
      </c>
      <c r="H620" t="s">
        <v>381</v>
      </c>
      <c r="I620" t="s">
        <v>427</v>
      </c>
      <c r="J620">
        <v>-32.004159540000003</v>
      </c>
      <c r="K620" t="s">
        <v>440</v>
      </c>
      <c r="L620" t="s">
        <v>385</v>
      </c>
      <c r="M620">
        <v>0.43232641346992001</v>
      </c>
      <c r="N620">
        <v>13.836243510972</v>
      </c>
      <c r="O620">
        <v>47588.953000000001</v>
      </c>
      <c r="P620">
        <v>1.500949E-6</v>
      </c>
      <c r="Q620">
        <v>0.14285700000000001</v>
      </c>
      <c r="R620" s="60">
        <v>1.976604239246927</v>
      </c>
      <c r="S620" t="s">
        <v>347</v>
      </c>
      <c r="T620" t="s">
        <v>437</v>
      </c>
      <c r="U620" t="s">
        <v>425</v>
      </c>
      <c r="V620" t="s">
        <v>27</v>
      </c>
      <c r="W620">
        <v>111.133</v>
      </c>
      <c r="X620">
        <v>1.0541007448257309</v>
      </c>
      <c r="Y620">
        <v>117.145378074718</v>
      </c>
      <c r="Z620">
        <v>640.82000000000005</v>
      </c>
      <c r="AA620">
        <v>1</v>
      </c>
      <c r="AB620">
        <v>75.069101177840764</v>
      </c>
      <c r="AC620">
        <v>0.95889999999999997</v>
      </c>
      <c r="AD620" s="62">
        <v>71.983999999999995</v>
      </c>
      <c r="AE620">
        <v>8.9176000000000002</v>
      </c>
      <c r="AF620">
        <v>9.4000488020579382</v>
      </c>
      <c r="AG620">
        <v>1</v>
      </c>
      <c r="AH620">
        <v>6023.7392733347688</v>
      </c>
      <c r="AI620">
        <v>0.99097621000820357</v>
      </c>
      <c r="AJ620" s="62">
        <v>5969.3823000000002</v>
      </c>
      <c r="AK620" s="60">
        <v>11799.106359865569</v>
      </c>
      <c r="AL620" t="s">
        <v>348</v>
      </c>
      <c r="AM620" t="s">
        <v>438</v>
      </c>
      <c r="AN620" t="s">
        <v>425</v>
      </c>
      <c r="AO620" t="s">
        <v>27</v>
      </c>
      <c r="AP620">
        <v>111.133</v>
      </c>
      <c r="AQ620">
        <v>1.0727760310708341</v>
      </c>
      <c r="AR620">
        <v>119.22081866099499</v>
      </c>
      <c r="AS620">
        <v>694.38</v>
      </c>
      <c r="AT620">
        <v>0.875</v>
      </c>
      <c r="AU620">
        <v>72.436483054094012</v>
      </c>
      <c r="AV620">
        <v>0.95369999999999999</v>
      </c>
      <c r="AW620" s="62">
        <v>69.082999999999998</v>
      </c>
      <c r="AX620">
        <v>8.9176000000000002</v>
      </c>
      <c r="AY620">
        <v>0.91300000000000003</v>
      </c>
      <c r="AZ620">
        <v>6064.9193587765631</v>
      </c>
      <c r="BA620">
        <v>1.007895816242822</v>
      </c>
      <c r="BB620" s="62">
        <v>6112.8068000000003</v>
      </c>
      <c r="BC620" s="60">
        <v>12082.599834577441</v>
      </c>
    </row>
    <row r="621" spans="1:55" x14ac:dyDescent="0.25">
      <c r="A621">
        <v>194777</v>
      </c>
      <c r="B621" t="s">
        <v>197</v>
      </c>
      <c r="C621">
        <v>2020</v>
      </c>
      <c r="D621">
        <v>1</v>
      </c>
      <c r="E621" t="s">
        <v>100</v>
      </c>
      <c r="F621" t="s">
        <v>426</v>
      </c>
      <c r="G621" t="s">
        <v>84</v>
      </c>
      <c r="H621" t="s">
        <v>381</v>
      </c>
      <c r="I621" t="s">
        <v>427</v>
      </c>
      <c r="J621">
        <v>-32.004159540000003</v>
      </c>
      <c r="K621" t="s">
        <v>440</v>
      </c>
      <c r="L621" t="s">
        <v>451</v>
      </c>
      <c r="M621">
        <v>1.6825115802299999E-3</v>
      </c>
      <c r="N621">
        <v>5.3847369045177028E-2</v>
      </c>
      <c r="O621">
        <v>47588.953000000001</v>
      </c>
      <c r="P621">
        <v>1.500949E-6</v>
      </c>
      <c r="Q621">
        <v>0.14285700000000001</v>
      </c>
      <c r="R621" s="60">
        <v>7.6924735996868566E-3</v>
      </c>
      <c r="S621" t="s">
        <v>347</v>
      </c>
      <c r="T621" t="s">
        <v>437</v>
      </c>
      <c r="U621" t="s">
        <v>425</v>
      </c>
      <c r="V621" t="s">
        <v>91</v>
      </c>
      <c r="W621">
        <v>111.133</v>
      </c>
      <c r="X621">
        <v>1.0541007448257309</v>
      </c>
      <c r="Y621">
        <v>117.145378074718</v>
      </c>
      <c r="Z621">
        <v>640.82000000000005</v>
      </c>
      <c r="AA621">
        <v>1</v>
      </c>
      <c r="AB621">
        <v>75.069101177840764</v>
      </c>
      <c r="AC621">
        <v>1.0088999999999999</v>
      </c>
      <c r="AD621" s="62">
        <v>75.736999999999995</v>
      </c>
      <c r="AE621">
        <v>8.9176000000000002</v>
      </c>
      <c r="AF621">
        <v>9.4000488020579382</v>
      </c>
      <c r="AG621">
        <v>1</v>
      </c>
      <c r="AH621">
        <v>6023.7392733347688</v>
      </c>
      <c r="AI621">
        <v>0.99316673174541203</v>
      </c>
      <c r="AJ621" s="62">
        <v>5982.5774000000001</v>
      </c>
      <c r="AK621" s="60">
        <v>46.020818707583238</v>
      </c>
      <c r="AL621" t="s">
        <v>348</v>
      </c>
      <c r="AM621" t="s">
        <v>438</v>
      </c>
      <c r="AN621" t="s">
        <v>425</v>
      </c>
      <c r="AO621" t="s">
        <v>91</v>
      </c>
      <c r="AP621">
        <v>111.133</v>
      </c>
      <c r="AQ621">
        <v>1.0727760310708341</v>
      </c>
      <c r="AR621">
        <v>119.22081866099499</v>
      </c>
      <c r="AS621">
        <v>694.38</v>
      </c>
      <c r="AT621">
        <v>0.875</v>
      </c>
      <c r="AU621">
        <v>72.436483054094012</v>
      </c>
      <c r="AV621">
        <v>1.0179</v>
      </c>
      <c r="AW621" s="62">
        <v>73.733000000000004</v>
      </c>
      <c r="AX621">
        <v>8.9176000000000002</v>
      </c>
      <c r="AY621">
        <v>0.91300000000000003</v>
      </c>
      <c r="AZ621">
        <v>6064.9193587765631</v>
      </c>
      <c r="BA621">
        <v>0.98975009761811794</v>
      </c>
      <c r="BB621" s="62">
        <v>6002.7545</v>
      </c>
      <c r="BC621" s="60">
        <v>46.17603051665148</v>
      </c>
    </row>
    <row r="622" spans="1:55" x14ac:dyDescent="0.25">
      <c r="A622">
        <v>194779</v>
      </c>
      <c r="B622" t="s">
        <v>197</v>
      </c>
      <c r="C622">
        <v>2020</v>
      </c>
      <c r="D622">
        <v>1</v>
      </c>
      <c r="E622" t="s">
        <v>100</v>
      </c>
      <c r="F622" t="s">
        <v>426</v>
      </c>
      <c r="G622" t="s">
        <v>84</v>
      </c>
      <c r="H622" t="s">
        <v>381</v>
      </c>
      <c r="I622" t="s">
        <v>427</v>
      </c>
      <c r="J622">
        <v>-32.004159540000003</v>
      </c>
      <c r="K622" t="s">
        <v>440</v>
      </c>
      <c r="L622" t="s">
        <v>452</v>
      </c>
      <c r="M622">
        <v>1.53682162831E-3</v>
      </c>
      <c r="N622">
        <v>4.9184684580242818E-2</v>
      </c>
      <c r="O622">
        <v>47588.953000000001</v>
      </c>
      <c r="P622">
        <v>1.500949E-6</v>
      </c>
      <c r="Q622">
        <v>0.14285700000000001</v>
      </c>
      <c r="R622" s="60">
        <v>7.0263764850797489E-3</v>
      </c>
      <c r="S622" t="s">
        <v>347</v>
      </c>
      <c r="T622" t="s">
        <v>437</v>
      </c>
      <c r="U622" t="s">
        <v>425</v>
      </c>
      <c r="V622" t="s">
        <v>28</v>
      </c>
      <c r="W622">
        <v>111.133</v>
      </c>
      <c r="X622">
        <v>1.0541007448257309</v>
      </c>
      <c r="Y622">
        <v>117.145378074718</v>
      </c>
      <c r="Z622">
        <v>640.82000000000005</v>
      </c>
      <c r="AA622">
        <v>1</v>
      </c>
      <c r="AB622">
        <v>75.069101177840764</v>
      </c>
      <c r="AC622">
        <v>1.0073000000000001</v>
      </c>
      <c r="AD622" s="62">
        <v>75.617000000000004</v>
      </c>
      <c r="AE622">
        <v>8.9176000000000002</v>
      </c>
      <c r="AF622">
        <v>9.4000488020579382</v>
      </c>
      <c r="AG622">
        <v>1</v>
      </c>
      <c r="AH622">
        <v>6023.7392733347688</v>
      </c>
      <c r="AI622">
        <v>0.99399488088206345</v>
      </c>
      <c r="AJ622" s="62">
        <v>5987.5659999999998</v>
      </c>
      <c r="AK622" s="60">
        <v>42.070892945263012</v>
      </c>
      <c r="AL622" t="s">
        <v>348</v>
      </c>
      <c r="AM622" t="s">
        <v>438</v>
      </c>
      <c r="AN622" t="s">
        <v>425</v>
      </c>
      <c r="AO622" t="s">
        <v>28</v>
      </c>
      <c r="AP622">
        <v>111.133</v>
      </c>
      <c r="AQ622">
        <v>1.0727760310708341</v>
      </c>
      <c r="AR622">
        <v>119.22081866099499</v>
      </c>
      <c r="AS622">
        <v>694.38</v>
      </c>
      <c r="AT622">
        <v>0.875</v>
      </c>
      <c r="AU622">
        <v>72.436483054094012</v>
      </c>
      <c r="AV622">
        <v>0.99250000000000005</v>
      </c>
      <c r="AW622" s="62">
        <v>71.893000000000001</v>
      </c>
      <c r="AX622">
        <v>8.9176000000000002</v>
      </c>
      <c r="AY622">
        <v>0.91300000000000003</v>
      </c>
      <c r="AZ622">
        <v>6064.9193587765631</v>
      </c>
      <c r="BA622">
        <v>0.93847214018507585</v>
      </c>
      <c r="BB622" s="62">
        <v>5691.7578999999996</v>
      </c>
      <c r="BC622" s="60">
        <v>39.992433867326888</v>
      </c>
    </row>
    <row r="623" spans="1:55" x14ac:dyDescent="0.25">
      <c r="A623">
        <v>194781</v>
      </c>
      <c r="B623" t="s">
        <v>197</v>
      </c>
      <c r="C623">
        <v>2020</v>
      </c>
      <c r="D623">
        <v>1</v>
      </c>
      <c r="E623" t="s">
        <v>100</v>
      </c>
      <c r="F623" t="s">
        <v>426</v>
      </c>
      <c r="G623" t="s">
        <v>84</v>
      </c>
      <c r="H623" t="s">
        <v>87</v>
      </c>
      <c r="I623" t="s">
        <v>427</v>
      </c>
      <c r="J623">
        <v>-6.2812062099999997</v>
      </c>
      <c r="K623" t="s">
        <v>440</v>
      </c>
      <c r="L623" t="s">
        <v>450</v>
      </c>
      <c r="M623">
        <v>0.26601384014995</v>
      </c>
      <c r="N623">
        <v>1.6708877840747089</v>
      </c>
      <c r="O623">
        <v>47588.953000000001</v>
      </c>
      <c r="P623">
        <v>1.500949E-6</v>
      </c>
      <c r="Q623">
        <v>0.14285700000000001</v>
      </c>
      <c r="R623" s="60">
        <v>0.23869801616956071</v>
      </c>
      <c r="S623" t="s">
        <v>347</v>
      </c>
      <c r="T623" t="s">
        <v>437</v>
      </c>
      <c r="U623" t="s">
        <v>425</v>
      </c>
      <c r="V623" t="s">
        <v>26</v>
      </c>
      <c r="W623">
        <v>111.133</v>
      </c>
      <c r="X623">
        <v>1.0541007448257309</v>
      </c>
      <c r="Y623">
        <v>117.145378074718</v>
      </c>
      <c r="Z623">
        <v>640.82000000000005</v>
      </c>
      <c r="AA623">
        <v>1</v>
      </c>
      <c r="AB623">
        <v>75.069101177840764</v>
      </c>
      <c r="AC623">
        <v>0.99109999999999998</v>
      </c>
      <c r="AD623" s="62">
        <v>74.400999999999996</v>
      </c>
      <c r="AE623">
        <v>8.9176000000000002</v>
      </c>
      <c r="AF623">
        <v>9.4000488020579382</v>
      </c>
      <c r="AG623">
        <v>1</v>
      </c>
      <c r="AH623">
        <v>6023.7392733347688</v>
      </c>
      <c r="AI623">
        <v>0.9830373970836227</v>
      </c>
      <c r="AJ623" s="62">
        <v>5921.5609999999997</v>
      </c>
      <c r="AK623" s="60">
        <v>1413.4648633270399</v>
      </c>
      <c r="AL623" t="s">
        <v>348</v>
      </c>
      <c r="AM623" t="s">
        <v>438</v>
      </c>
      <c r="AN623" t="s">
        <v>425</v>
      </c>
      <c r="AO623" t="s">
        <v>26</v>
      </c>
      <c r="AP623">
        <v>111.133</v>
      </c>
      <c r="AQ623">
        <v>1.0727760310708341</v>
      </c>
      <c r="AR623">
        <v>119.22081866099499</v>
      </c>
      <c r="AS623">
        <v>694.38</v>
      </c>
      <c r="AT623">
        <v>0.875</v>
      </c>
      <c r="AU623">
        <v>72.436483054094012</v>
      </c>
      <c r="AV623">
        <v>0.98270000000000002</v>
      </c>
      <c r="AW623" s="62">
        <v>71.183000000000007</v>
      </c>
      <c r="AX623">
        <v>8.9176000000000002</v>
      </c>
      <c r="AY623">
        <v>0.91300000000000003</v>
      </c>
      <c r="AZ623">
        <v>6064.9193587765631</v>
      </c>
      <c r="BA623">
        <v>0.99365142346989388</v>
      </c>
      <c r="BB623" s="62">
        <v>6026.4157999999998</v>
      </c>
      <c r="BC623" s="60">
        <v>1438.4934960728961</v>
      </c>
    </row>
    <row r="624" spans="1:55" x14ac:dyDescent="0.25">
      <c r="A624">
        <v>194783</v>
      </c>
      <c r="B624" t="s">
        <v>197</v>
      </c>
      <c r="C624">
        <v>2020</v>
      </c>
      <c r="D624">
        <v>1</v>
      </c>
      <c r="E624" t="s">
        <v>100</v>
      </c>
      <c r="F624" t="s">
        <v>426</v>
      </c>
      <c r="G624" t="s">
        <v>84</v>
      </c>
      <c r="H624" t="s">
        <v>87</v>
      </c>
      <c r="I624" t="s">
        <v>427</v>
      </c>
      <c r="J624">
        <v>-6.2812062099999997</v>
      </c>
      <c r="K624" t="s">
        <v>440</v>
      </c>
      <c r="L624" t="s">
        <v>384</v>
      </c>
      <c r="M624">
        <v>3.9509559941419997E-2</v>
      </c>
      <c r="N624">
        <v>0.2481676931661653</v>
      </c>
      <c r="O624">
        <v>47588.953000000001</v>
      </c>
      <c r="P624">
        <v>1.500949E-6</v>
      </c>
      <c r="Q624">
        <v>0.14285700000000001</v>
      </c>
      <c r="R624" s="60">
        <v>3.5452492142638882E-2</v>
      </c>
      <c r="S624" t="s">
        <v>347</v>
      </c>
      <c r="T624" t="s">
        <v>437</v>
      </c>
      <c r="U624" t="s">
        <v>425</v>
      </c>
      <c r="V624" t="s">
        <v>81</v>
      </c>
      <c r="W624">
        <v>111.133</v>
      </c>
      <c r="X624">
        <v>1.0541007448257309</v>
      </c>
      <c r="Y624">
        <v>117.145378074718</v>
      </c>
      <c r="Z624">
        <v>640.82000000000005</v>
      </c>
      <c r="AA624">
        <v>1</v>
      </c>
      <c r="AB624">
        <v>75.069101177840764</v>
      </c>
      <c r="AC624">
        <v>0.93830000000000002</v>
      </c>
      <c r="AD624" s="62">
        <v>70.436999999999998</v>
      </c>
      <c r="AE624">
        <v>8.9176000000000002</v>
      </c>
      <c r="AF624">
        <v>9.4000488020579382</v>
      </c>
      <c r="AG624">
        <v>1</v>
      </c>
      <c r="AH624">
        <v>6023.7392733347688</v>
      </c>
      <c r="AI624">
        <v>1.098016605166052</v>
      </c>
      <c r="AJ624" s="62">
        <v>6614.1656999999996</v>
      </c>
      <c r="AK624" s="60">
        <v>234.4886575093615</v>
      </c>
      <c r="AL624" t="s">
        <v>348</v>
      </c>
      <c r="AM624" t="s">
        <v>438</v>
      </c>
      <c r="AN624" t="s">
        <v>425</v>
      </c>
      <c r="AO624" t="s">
        <v>81</v>
      </c>
      <c r="AP624">
        <v>111.133</v>
      </c>
      <c r="AQ624">
        <v>1.0727760310708341</v>
      </c>
      <c r="AR624">
        <v>119.22081866099499</v>
      </c>
      <c r="AS624">
        <v>694.38</v>
      </c>
      <c r="AT624">
        <v>0.875</v>
      </c>
      <c r="AU624">
        <v>72.436483054094012</v>
      </c>
      <c r="AV624">
        <v>0.93500000000000005</v>
      </c>
      <c r="AW624" s="62">
        <v>67.727999999999994</v>
      </c>
      <c r="AX624">
        <v>8.9176000000000002</v>
      </c>
      <c r="AY624">
        <v>0.91300000000000003</v>
      </c>
      <c r="AZ624">
        <v>6064.9193587765631</v>
      </c>
      <c r="BA624">
        <v>1.096171586715867</v>
      </c>
      <c r="BB624" s="62">
        <v>6648.1922999999997</v>
      </c>
      <c r="BC624" s="60">
        <v>235.69498527850229</v>
      </c>
    </row>
    <row r="625" spans="1:55" x14ac:dyDescent="0.25">
      <c r="A625">
        <v>194785</v>
      </c>
      <c r="B625" t="s">
        <v>197</v>
      </c>
      <c r="C625">
        <v>2020</v>
      </c>
      <c r="D625">
        <v>1</v>
      </c>
      <c r="E625" t="s">
        <v>100</v>
      </c>
      <c r="F625" t="s">
        <v>426</v>
      </c>
      <c r="G625" t="s">
        <v>84</v>
      </c>
      <c r="H625" t="s">
        <v>87</v>
      </c>
      <c r="I625" t="s">
        <v>427</v>
      </c>
      <c r="J625">
        <v>-6.2812062099999997</v>
      </c>
      <c r="K625" t="s">
        <v>440</v>
      </c>
      <c r="L625" t="s">
        <v>385</v>
      </c>
      <c r="M625">
        <v>0.39737542925016001</v>
      </c>
      <c r="N625">
        <v>2.4959970129797049</v>
      </c>
      <c r="O625">
        <v>47588.953000000001</v>
      </c>
      <c r="P625">
        <v>1.500949E-6</v>
      </c>
      <c r="Q625">
        <v>0.14285700000000001</v>
      </c>
      <c r="R625" s="60">
        <v>0.35657064528324178</v>
      </c>
      <c r="S625" t="s">
        <v>347</v>
      </c>
      <c r="T625" t="s">
        <v>437</v>
      </c>
      <c r="U625" t="s">
        <v>425</v>
      </c>
      <c r="V625" t="s">
        <v>27</v>
      </c>
      <c r="W625">
        <v>111.133</v>
      </c>
      <c r="X625">
        <v>1.0541007448257309</v>
      </c>
      <c r="Y625">
        <v>117.145378074718</v>
      </c>
      <c r="Z625">
        <v>640.82000000000005</v>
      </c>
      <c r="AA625">
        <v>1</v>
      </c>
      <c r="AB625">
        <v>75.069101177840764</v>
      </c>
      <c r="AC625">
        <v>0.95889999999999997</v>
      </c>
      <c r="AD625" s="62">
        <v>71.983999999999995</v>
      </c>
      <c r="AE625">
        <v>8.9176000000000002</v>
      </c>
      <c r="AF625">
        <v>9.4000488020579382</v>
      </c>
      <c r="AG625">
        <v>1</v>
      </c>
      <c r="AH625">
        <v>6023.7392733347688</v>
      </c>
      <c r="AI625">
        <v>0.99097621000820357</v>
      </c>
      <c r="AJ625" s="62">
        <v>5969.3823000000002</v>
      </c>
      <c r="AK625" s="60">
        <v>2128.5064986533621</v>
      </c>
      <c r="AL625" t="s">
        <v>348</v>
      </c>
      <c r="AM625" t="s">
        <v>438</v>
      </c>
      <c r="AN625" t="s">
        <v>425</v>
      </c>
      <c r="AO625" t="s">
        <v>27</v>
      </c>
      <c r="AP625">
        <v>111.133</v>
      </c>
      <c r="AQ625">
        <v>1.0727760310708341</v>
      </c>
      <c r="AR625">
        <v>119.22081866099499</v>
      </c>
      <c r="AS625">
        <v>694.38</v>
      </c>
      <c r="AT625">
        <v>0.875</v>
      </c>
      <c r="AU625">
        <v>72.436483054094012</v>
      </c>
      <c r="AV625">
        <v>0.95369999999999999</v>
      </c>
      <c r="AW625" s="62">
        <v>69.082999999999998</v>
      </c>
      <c r="AX625">
        <v>8.9176000000000002</v>
      </c>
      <c r="AY625">
        <v>0.91300000000000003</v>
      </c>
      <c r="AZ625">
        <v>6064.9193587765631</v>
      </c>
      <c r="BA625">
        <v>1.007895816242822</v>
      </c>
      <c r="BB625" s="62">
        <v>6112.8068000000003</v>
      </c>
      <c r="BC625" s="60">
        <v>2179.6474651677891</v>
      </c>
    </row>
    <row r="626" spans="1:55" x14ac:dyDescent="0.25">
      <c r="A626">
        <v>194787</v>
      </c>
      <c r="B626" t="s">
        <v>197</v>
      </c>
      <c r="C626">
        <v>2020</v>
      </c>
      <c r="D626">
        <v>1</v>
      </c>
      <c r="E626" t="s">
        <v>100</v>
      </c>
      <c r="F626" t="s">
        <v>426</v>
      </c>
      <c r="G626" t="s">
        <v>84</v>
      </c>
      <c r="H626" t="s">
        <v>87</v>
      </c>
      <c r="I626" t="s">
        <v>427</v>
      </c>
      <c r="J626">
        <v>-6.2812062099999997</v>
      </c>
      <c r="K626" t="s">
        <v>440</v>
      </c>
      <c r="L626" t="s">
        <v>452</v>
      </c>
      <c r="M626">
        <v>8.4248020759000004E-4</v>
      </c>
      <c r="N626">
        <v>5.291791909749325E-3</v>
      </c>
      <c r="O626">
        <v>47588.953000000001</v>
      </c>
      <c r="P626">
        <v>1.500949E-6</v>
      </c>
      <c r="Q626">
        <v>0.14285700000000001</v>
      </c>
      <c r="R626" s="60">
        <v>7.5596951685105935E-4</v>
      </c>
      <c r="S626" t="s">
        <v>347</v>
      </c>
      <c r="T626" t="s">
        <v>437</v>
      </c>
      <c r="U626" t="s">
        <v>425</v>
      </c>
      <c r="V626" t="s">
        <v>28</v>
      </c>
      <c r="W626">
        <v>111.133</v>
      </c>
      <c r="X626">
        <v>1.0541007448257309</v>
      </c>
      <c r="Y626">
        <v>117.145378074718</v>
      </c>
      <c r="Z626">
        <v>640.82000000000005</v>
      </c>
      <c r="AA626">
        <v>1</v>
      </c>
      <c r="AB626">
        <v>75.069101177840764</v>
      </c>
      <c r="AC626">
        <v>1.0073000000000001</v>
      </c>
      <c r="AD626" s="62">
        <v>75.617000000000004</v>
      </c>
      <c r="AE626">
        <v>8.9176000000000002</v>
      </c>
      <c r="AF626">
        <v>9.4000488020579382</v>
      </c>
      <c r="AG626">
        <v>1</v>
      </c>
      <c r="AH626">
        <v>6023.7392733347688</v>
      </c>
      <c r="AI626">
        <v>0.99399488088206345</v>
      </c>
      <c r="AJ626" s="62">
        <v>5987.5659999999998</v>
      </c>
      <c r="AK626" s="60">
        <v>4.5264173761338302</v>
      </c>
      <c r="AL626" t="s">
        <v>348</v>
      </c>
      <c r="AM626" t="s">
        <v>438</v>
      </c>
      <c r="AN626" t="s">
        <v>425</v>
      </c>
      <c r="AO626" t="s">
        <v>28</v>
      </c>
      <c r="AP626">
        <v>111.133</v>
      </c>
      <c r="AQ626">
        <v>1.0727760310708341</v>
      </c>
      <c r="AR626">
        <v>119.22081866099499</v>
      </c>
      <c r="AS626">
        <v>694.38</v>
      </c>
      <c r="AT626">
        <v>0.875</v>
      </c>
      <c r="AU626">
        <v>72.436483054094012</v>
      </c>
      <c r="AV626">
        <v>0.99250000000000005</v>
      </c>
      <c r="AW626" s="62">
        <v>71.893000000000001</v>
      </c>
      <c r="AX626">
        <v>8.9176000000000002</v>
      </c>
      <c r="AY626">
        <v>0.91300000000000003</v>
      </c>
      <c r="AZ626">
        <v>6064.9193587765631</v>
      </c>
      <c r="BA626">
        <v>0.93847214018507585</v>
      </c>
      <c r="BB626" s="62">
        <v>5691.7578999999996</v>
      </c>
      <c r="BC626" s="60">
        <v>4.3027954696961999</v>
      </c>
    </row>
    <row r="627" spans="1:55" x14ac:dyDescent="0.25">
      <c r="A627">
        <v>194789</v>
      </c>
      <c r="B627" t="s">
        <v>197</v>
      </c>
      <c r="C627">
        <v>2020</v>
      </c>
      <c r="D627">
        <v>1</v>
      </c>
      <c r="E627" t="s">
        <v>100</v>
      </c>
      <c r="F627" t="s">
        <v>426</v>
      </c>
      <c r="G627" t="s">
        <v>84</v>
      </c>
      <c r="H627" t="s">
        <v>59</v>
      </c>
      <c r="I627" t="s">
        <v>427</v>
      </c>
      <c r="J627">
        <v>-17.42913326</v>
      </c>
      <c r="K627" t="s">
        <v>440</v>
      </c>
      <c r="L627" t="s">
        <v>450</v>
      </c>
      <c r="M627">
        <v>0.15931709696460999</v>
      </c>
      <c r="N627">
        <v>2.7767589135339281</v>
      </c>
      <c r="O627">
        <v>47588.953000000001</v>
      </c>
      <c r="P627">
        <v>1.500949E-6</v>
      </c>
      <c r="Q627">
        <v>0.14285700000000001</v>
      </c>
      <c r="R627" s="60">
        <v>0.39667944811071643</v>
      </c>
      <c r="S627" t="s">
        <v>347</v>
      </c>
      <c r="T627" t="s">
        <v>437</v>
      </c>
      <c r="U627" t="s">
        <v>425</v>
      </c>
      <c r="V627" t="s">
        <v>26</v>
      </c>
      <c r="W627">
        <v>111.133</v>
      </c>
      <c r="X627">
        <v>1.0541007448257309</v>
      </c>
      <c r="Y627">
        <v>117.145378074718</v>
      </c>
      <c r="Z627">
        <v>640.82000000000005</v>
      </c>
      <c r="AA627">
        <v>1</v>
      </c>
      <c r="AB627">
        <v>75.069101177840764</v>
      </c>
      <c r="AC627">
        <v>0.99109999999999998</v>
      </c>
      <c r="AD627" s="62">
        <v>74.400999999999996</v>
      </c>
      <c r="AE627">
        <v>8.9176000000000002</v>
      </c>
      <c r="AF627">
        <v>9.4000488020579382</v>
      </c>
      <c r="AG627">
        <v>1</v>
      </c>
      <c r="AH627">
        <v>6023.7392733347688</v>
      </c>
      <c r="AI627">
        <v>0.9830373970836227</v>
      </c>
      <c r="AJ627" s="62">
        <v>5921.5609999999997</v>
      </c>
      <c r="AK627" s="60">
        <v>2348.9615494339419</v>
      </c>
      <c r="AL627" t="s">
        <v>348</v>
      </c>
      <c r="AM627" t="s">
        <v>438</v>
      </c>
      <c r="AN627" t="s">
        <v>425</v>
      </c>
      <c r="AO627" t="s">
        <v>26</v>
      </c>
      <c r="AP627">
        <v>111.133</v>
      </c>
      <c r="AQ627">
        <v>1.0727760310708341</v>
      </c>
      <c r="AR627">
        <v>119.22081866099499</v>
      </c>
      <c r="AS627">
        <v>694.38</v>
      </c>
      <c r="AT627">
        <v>0.875</v>
      </c>
      <c r="AU627">
        <v>72.436483054094012</v>
      </c>
      <c r="AV627">
        <v>0.98270000000000002</v>
      </c>
      <c r="AW627" s="62">
        <v>71.183000000000007</v>
      </c>
      <c r="AX627">
        <v>8.9176000000000002</v>
      </c>
      <c r="AY627">
        <v>0.91300000000000003</v>
      </c>
      <c r="AZ627">
        <v>6064.9193587765631</v>
      </c>
      <c r="BA627">
        <v>0.99365142346989388</v>
      </c>
      <c r="BB627" s="62">
        <v>6026.4157999999998</v>
      </c>
      <c r="BC627" s="60">
        <v>2390.5552936297022</v>
      </c>
    </row>
    <row r="628" spans="1:55" x14ac:dyDescent="0.25">
      <c r="A628">
        <v>194791</v>
      </c>
      <c r="B628" t="s">
        <v>197</v>
      </c>
      <c r="C628">
        <v>2020</v>
      </c>
      <c r="D628">
        <v>1</v>
      </c>
      <c r="E628" t="s">
        <v>100</v>
      </c>
      <c r="F628" t="s">
        <v>426</v>
      </c>
      <c r="G628" t="s">
        <v>84</v>
      </c>
      <c r="H628" t="s">
        <v>59</v>
      </c>
      <c r="I628" t="s">
        <v>427</v>
      </c>
      <c r="J628">
        <v>-17.42913326</v>
      </c>
      <c r="K628" t="s">
        <v>440</v>
      </c>
      <c r="L628" t="s">
        <v>384</v>
      </c>
      <c r="M628">
        <v>4.1785183859599999E-2</v>
      </c>
      <c r="N628">
        <v>0.72827953776719978</v>
      </c>
      <c r="O628">
        <v>47588.953000000001</v>
      </c>
      <c r="P628">
        <v>1.500949E-6</v>
      </c>
      <c r="Q628">
        <v>0.14285700000000001</v>
      </c>
      <c r="R628" s="60">
        <v>0.10403982992680889</v>
      </c>
      <c r="S628" t="s">
        <v>347</v>
      </c>
      <c r="T628" t="s">
        <v>437</v>
      </c>
      <c r="U628" t="s">
        <v>425</v>
      </c>
      <c r="V628" t="s">
        <v>81</v>
      </c>
      <c r="W628">
        <v>111.133</v>
      </c>
      <c r="X628">
        <v>1.0541007448257309</v>
      </c>
      <c r="Y628">
        <v>117.145378074718</v>
      </c>
      <c r="Z628">
        <v>640.82000000000005</v>
      </c>
      <c r="AA628">
        <v>1</v>
      </c>
      <c r="AB628">
        <v>75.069101177840764</v>
      </c>
      <c r="AC628">
        <v>0.93830000000000002</v>
      </c>
      <c r="AD628" s="62">
        <v>70.436999999999998</v>
      </c>
      <c r="AE628">
        <v>8.9176000000000002</v>
      </c>
      <c r="AF628">
        <v>9.4000488020579382</v>
      </c>
      <c r="AG628">
        <v>1</v>
      </c>
      <c r="AH628">
        <v>6023.7392733347688</v>
      </c>
      <c r="AI628">
        <v>1.098016605166052</v>
      </c>
      <c r="AJ628" s="62">
        <v>6614.1656999999996</v>
      </c>
      <c r="AK628" s="60">
        <v>688.13667453573271</v>
      </c>
      <c r="AL628" t="s">
        <v>348</v>
      </c>
      <c r="AM628" t="s">
        <v>438</v>
      </c>
      <c r="AN628" t="s">
        <v>425</v>
      </c>
      <c r="AO628" t="s">
        <v>81</v>
      </c>
      <c r="AP628">
        <v>111.133</v>
      </c>
      <c r="AQ628">
        <v>1.0727760310708341</v>
      </c>
      <c r="AR628">
        <v>119.22081866099499</v>
      </c>
      <c r="AS628">
        <v>694.38</v>
      </c>
      <c r="AT628">
        <v>0.875</v>
      </c>
      <c r="AU628">
        <v>72.436483054094012</v>
      </c>
      <c r="AV628">
        <v>0.93500000000000005</v>
      </c>
      <c r="AW628" s="62">
        <v>67.727999999999994</v>
      </c>
      <c r="AX628">
        <v>8.9176000000000002</v>
      </c>
      <c r="AY628">
        <v>0.91300000000000003</v>
      </c>
      <c r="AZ628">
        <v>6064.9193587765631</v>
      </c>
      <c r="BA628">
        <v>1.096171586715867</v>
      </c>
      <c r="BB628" s="62">
        <v>6648.1922999999997</v>
      </c>
      <c r="BC628" s="60">
        <v>691.67679621272021</v>
      </c>
    </row>
    <row r="629" spans="1:55" x14ac:dyDescent="0.25">
      <c r="A629">
        <v>194793</v>
      </c>
      <c r="B629" t="s">
        <v>197</v>
      </c>
      <c r="C629">
        <v>2020</v>
      </c>
      <c r="D629">
        <v>1</v>
      </c>
      <c r="E629" t="s">
        <v>100</v>
      </c>
      <c r="F629" t="s">
        <v>426</v>
      </c>
      <c r="G629" t="s">
        <v>84</v>
      </c>
      <c r="H629" t="s">
        <v>59</v>
      </c>
      <c r="I629" t="s">
        <v>427</v>
      </c>
      <c r="J629">
        <v>-17.42913326</v>
      </c>
      <c r="K629" t="s">
        <v>440</v>
      </c>
      <c r="L629" t="s">
        <v>385</v>
      </c>
      <c r="M629">
        <v>0.43497567483749999</v>
      </c>
      <c r="N629">
        <v>7.581249001441221</v>
      </c>
      <c r="O629">
        <v>47588.953000000001</v>
      </c>
      <c r="P629">
        <v>1.500949E-6</v>
      </c>
      <c r="Q629">
        <v>0.14285700000000001</v>
      </c>
      <c r="R629" s="60">
        <v>1.083034488598889</v>
      </c>
      <c r="S629" t="s">
        <v>347</v>
      </c>
      <c r="T629" t="s">
        <v>437</v>
      </c>
      <c r="U629" t="s">
        <v>425</v>
      </c>
      <c r="V629" t="s">
        <v>27</v>
      </c>
      <c r="W629">
        <v>111.133</v>
      </c>
      <c r="X629">
        <v>1.0541007448257309</v>
      </c>
      <c r="Y629">
        <v>117.145378074718</v>
      </c>
      <c r="Z629">
        <v>640.82000000000005</v>
      </c>
      <c r="AA629">
        <v>1</v>
      </c>
      <c r="AB629">
        <v>75.069101177840764</v>
      </c>
      <c r="AC629">
        <v>0.95889999999999997</v>
      </c>
      <c r="AD629" s="62">
        <v>71.983999999999995</v>
      </c>
      <c r="AE629">
        <v>8.9176000000000002</v>
      </c>
      <c r="AF629">
        <v>9.4000488020579382</v>
      </c>
      <c r="AG629">
        <v>1</v>
      </c>
      <c r="AH629">
        <v>6023.7392733347688</v>
      </c>
      <c r="AI629">
        <v>0.99097621000820357</v>
      </c>
      <c r="AJ629" s="62">
        <v>5969.3823000000002</v>
      </c>
      <c r="AK629" s="60">
        <v>6465.0469065317566</v>
      </c>
      <c r="AL629" t="s">
        <v>348</v>
      </c>
      <c r="AM629" t="s">
        <v>438</v>
      </c>
      <c r="AN629" t="s">
        <v>425</v>
      </c>
      <c r="AO629" t="s">
        <v>27</v>
      </c>
      <c r="AP629">
        <v>111.133</v>
      </c>
      <c r="AQ629">
        <v>1.0727760310708341</v>
      </c>
      <c r="AR629">
        <v>119.22081866099499</v>
      </c>
      <c r="AS629">
        <v>694.38</v>
      </c>
      <c r="AT629">
        <v>0.875</v>
      </c>
      <c r="AU629">
        <v>72.436483054094012</v>
      </c>
      <c r="AV629">
        <v>0.95369999999999999</v>
      </c>
      <c r="AW629" s="62">
        <v>69.082999999999998</v>
      </c>
      <c r="AX629">
        <v>8.9176000000000002</v>
      </c>
      <c r="AY629">
        <v>0.91300000000000003</v>
      </c>
      <c r="AZ629">
        <v>6064.9193587765631</v>
      </c>
      <c r="BA629">
        <v>1.007895816242822</v>
      </c>
      <c r="BB629" s="62">
        <v>6112.8068000000003</v>
      </c>
      <c r="BC629" s="60">
        <v>6620.380586541808</v>
      </c>
    </row>
    <row r="630" spans="1:55" x14ac:dyDescent="0.25">
      <c r="A630">
        <v>194795</v>
      </c>
      <c r="B630" t="s">
        <v>197</v>
      </c>
      <c r="C630">
        <v>2020</v>
      </c>
      <c r="D630">
        <v>1</v>
      </c>
      <c r="E630" t="s">
        <v>100</v>
      </c>
      <c r="F630" t="s">
        <v>426</v>
      </c>
      <c r="G630" t="s">
        <v>84</v>
      </c>
      <c r="H630" t="s">
        <v>59</v>
      </c>
      <c r="I630" t="s">
        <v>427</v>
      </c>
      <c r="J630">
        <v>-17.42913326</v>
      </c>
      <c r="K630" t="s">
        <v>440</v>
      </c>
      <c r="L630" t="s">
        <v>451</v>
      </c>
      <c r="M630">
        <v>1.7625750762999999E-3</v>
      </c>
      <c r="N630">
        <v>3.0720155884939041E-2</v>
      </c>
      <c r="O630">
        <v>47588.953000000001</v>
      </c>
      <c r="P630">
        <v>1.500949E-6</v>
      </c>
      <c r="Q630">
        <v>0.14285700000000001</v>
      </c>
      <c r="R630" s="60">
        <v>4.3885893092547373E-3</v>
      </c>
      <c r="S630" t="s">
        <v>347</v>
      </c>
      <c r="T630" t="s">
        <v>437</v>
      </c>
      <c r="U630" t="s">
        <v>425</v>
      </c>
      <c r="V630" t="s">
        <v>91</v>
      </c>
      <c r="W630">
        <v>111.133</v>
      </c>
      <c r="X630">
        <v>1.0541007448257309</v>
      </c>
      <c r="Y630">
        <v>117.145378074718</v>
      </c>
      <c r="Z630">
        <v>640.82000000000005</v>
      </c>
      <c r="AA630">
        <v>1</v>
      </c>
      <c r="AB630">
        <v>75.069101177840764</v>
      </c>
      <c r="AC630">
        <v>1.0088999999999999</v>
      </c>
      <c r="AD630" s="62">
        <v>75.736999999999995</v>
      </c>
      <c r="AE630">
        <v>8.9176000000000002</v>
      </c>
      <c r="AF630">
        <v>9.4000488020579382</v>
      </c>
      <c r="AG630">
        <v>1</v>
      </c>
      <c r="AH630">
        <v>6023.7392733347688</v>
      </c>
      <c r="AI630">
        <v>0.99316673174541203</v>
      </c>
      <c r="AJ630" s="62">
        <v>5982.5774000000001</v>
      </c>
      <c r="AK630" s="60">
        <v>26.255075219428999</v>
      </c>
      <c r="AL630" t="s">
        <v>348</v>
      </c>
      <c r="AM630" t="s">
        <v>438</v>
      </c>
      <c r="AN630" t="s">
        <v>425</v>
      </c>
      <c r="AO630" t="s">
        <v>91</v>
      </c>
      <c r="AP630">
        <v>111.133</v>
      </c>
      <c r="AQ630">
        <v>1.0727760310708341</v>
      </c>
      <c r="AR630">
        <v>119.22081866099499</v>
      </c>
      <c r="AS630">
        <v>694.38</v>
      </c>
      <c r="AT630">
        <v>0.875</v>
      </c>
      <c r="AU630">
        <v>72.436483054094012</v>
      </c>
      <c r="AV630">
        <v>1.0179</v>
      </c>
      <c r="AW630" s="62">
        <v>73.733000000000004</v>
      </c>
      <c r="AX630">
        <v>8.9176000000000002</v>
      </c>
      <c r="AY630">
        <v>0.91300000000000003</v>
      </c>
      <c r="AZ630">
        <v>6064.9193587765631</v>
      </c>
      <c r="BA630">
        <v>0.98975009761811794</v>
      </c>
      <c r="BB630" s="62">
        <v>6002.7545</v>
      </c>
      <c r="BC630" s="60">
        <v>26.343624224780761</v>
      </c>
    </row>
    <row r="631" spans="1:55" x14ac:dyDescent="0.25">
      <c r="A631">
        <v>194797</v>
      </c>
      <c r="B631" t="s">
        <v>197</v>
      </c>
      <c r="C631">
        <v>2020</v>
      </c>
      <c r="D631">
        <v>1</v>
      </c>
      <c r="E631" t="s">
        <v>100</v>
      </c>
      <c r="F631" t="s">
        <v>426</v>
      </c>
      <c r="G631" t="s">
        <v>84</v>
      </c>
      <c r="H631" t="s">
        <v>59</v>
      </c>
      <c r="I631" t="s">
        <v>427</v>
      </c>
      <c r="J631">
        <v>-17.42913326</v>
      </c>
      <c r="K631" t="s">
        <v>440</v>
      </c>
      <c r="L631" t="s">
        <v>452</v>
      </c>
      <c r="M631">
        <v>1.4858046103299999E-3</v>
      </c>
      <c r="N631">
        <v>2.589628655121742E-2</v>
      </c>
      <c r="O631">
        <v>47588.953000000001</v>
      </c>
      <c r="P631">
        <v>1.500949E-6</v>
      </c>
      <c r="Q631">
        <v>0.14285700000000001</v>
      </c>
      <c r="R631" s="60">
        <v>3.6994658078472681E-3</v>
      </c>
      <c r="S631" t="s">
        <v>347</v>
      </c>
      <c r="T631" t="s">
        <v>437</v>
      </c>
      <c r="U631" t="s">
        <v>425</v>
      </c>
      <c r="V631" t="s">
        <v>28</v>
      </c>
      <c r="W631">
        <v>111.133</v>
      </c>
      <c r="X631">
        <v>1.0541007448257309</v>
      </c>
      <c r="Y631">
        <v>117.145378074718</v>
      </c>
      <c r="Z631">
        <v>640.82000000000005</v>
      </c>
      <c r="AA631">
        <v>1</v>
      </c>
      <c r="AB631">
        <v>75.069101177840764</v>
      </c>
      <c r="AC631">
        <v>1.0073000000000001</v>
      </c>
      <c r="AD631" s="62">
        <v>75.617000000000004</v>
      </c>
      <c r="AE631">
        <v>8.9176000000000002</v>
      </c>
      <c r="AF631">
        <v>9.4000488020579382</v>
      </c>
      <c r="AG631">
        <v>1</v>
      </c>
      <c r="AH631">
        <v>6023.7392733347688</v>
      </c>
      <c r="AI631">
        <v>0.99399488088206345</v>
      </c>
      <c r="AJ631" s="62">
        <v>5987.5659999999998</v>
      </c>
      <c r="AK631" s="60">
        <v>22.150795689228829</v>
      </c>
      <c r="AL631" t="s">
        <v>348</v>
      </c>
      <c r="AM631" t="s">
        <v>438</v>
      </c>
      <c r="AN631" t="s">
        <v>425</v>
      </c>
      <c r="AO631" t="s">
        <v>28</v>
      </c>
      <c r="AP631">
        <v>111.133</v>
      </c>
      <c r="AQ631">
        <v>1.0727760310708341</v>
      </c>
      <c r="AR631">
        <v>119.22081866099499</v>
      </c>
      <c r="AS631">
        <v>694.38</v>
      </c>
      <c r="AT631">
        <v>0.875</v>
      </c>
      <c r="AU631">
        <v>72.436483054094012</v>
      </c>
      <c r="AV631">
        <v>0.99250000000000005</v>
      </c>
      <c r="AW631" s="62">
        <v>71.893000000000001</v>
      </c>
      <c r="AX631">
        <v>8.9176000000000002</v>
      </c>
      <c r="AY631">
        <v>0.91300000000000003</v>
      </c>
      <c r="AZ631">
        <v>6064.9193587765631</v>
      </c>
      <c r="BA631">
        <v>0.93847214018507585</v>
      </c>
      <c r="BB631" s="62">
        <v>5691.7578999999996</v>
      </c>
      <c r="BC631" s="60">
        <v>21.056463737594569</v>
      </c>
    </row>
    <row r="632" spans="1:55" x14ac:dyDescent="0.25">
      <c r="A632">
        <v>202031</v>
      </c>
      <c r="B632" t="s">
        <v>201</v>
      </c>
      <c r="C632">
        <v>2020</v>
      </c>
      <c r="D632">
        <v>2</v>
      </c>
      <c r="E632" t="s">
        <v>100</v>
      </c>
      <c r="F632" t="s">
        <v>426</v>
      </c>
      <c r="G632" t="s">
        <v>84</v>
      </c>
      <c r="H632" t="s">
        <v>381</v>
      </c>
      <c r="I632" t="s">
        <v>427</v>
      </c>
      <c r="J632">
        <v>-32.004116019999998</v>
      </c>
      <c r="K632" t="s">
        <v>440</v>
      </c>
      <c r="L632" t="s">
        <v>450</v>
      </c>
      <c r="M632">
        <v>0.15011157993331001</v>
      </c>
      <c r="N632">
        <v>4.8041884206151462</v>
      </c>
      <c r="O632">
        <v>47588.953000000001</v>
      </c>
      <c r="P632">
        <v>1.500949E-6</v>
      </c>
      <c r="Q632">
        <v>0.14285700000000001</v>
      </c>
      <c r="R632" s="60">
        <v>0.686311945203818</v>
      </c>
      <c r="S632" t="s">
        <v>347</v>
      </c>
      <c r="T632" t="s">
        <v>437</v>
      </c>
      <c r="U632" t="s">
        <v>425</v>
      </c>
      <c r="V632" t="s">
        <v>26</v>
      </c>
      <c r="W632">
        <v>111.133</v>
      </c>
      <c r="X632">
        <v>1.0541007448257309</v>
      </c>
      <c r="Y632">
        <v>117.145378074718</v>
      </c>
      <c r="Z632">
        <v>640.82000000000005</v>
      </c>
      <c r="AA632">
        <v>1</v>
      </c>
      <c r="AB632">
        <v>75.069101177840764</v>
      </c>
      <c r="AC632">
        <v>0.99109999999999998</v>
      </c>
      <c r="AD632" s="62">
        <v>74.400999999999996</v>
      </c>
      <c r="AE632">
        <v>8.9176000000000002</v>
      </c>
      <c r="AF632">
        <v>9.4000488020579382</v>
      </c>
      <c r="AG632">
        <v>1</v>
      </c>
      <c r="AH632">
        <v>6023.7392733347688</v>
      </c>
      <c r="AI632">
        <v>0.9830373970836227</v>
      </c>
      <c r="AJ632" s="62">
        <v>5921.5609999999997</v>
      </c>
      <c r="AK632" s="60">
        <v>4064.038048553065</v>
      </c>
      <c r="AL632" t="s">
        <v>348</v>
      </c>
      <c r="AM632" t="s">
        <v>438</v>
      </c>
      <c r="AN632" t="s">
        <v>425</v>
      </c>
      <c r="AO632" t="s">
        <v>26</v>
      </c>
      <c r="AP632">
        <v>111.133</v>
      </c>
      <c r="AQ632">
        <v>1.0727760310708341</v>
      </c>
      <c r="AR632">
        <v>119.22081866099499</v>
      </c>
      <c r="AS632">
        <v>694.38</v>
      </c>
      <c r="AT632">
        <v>0.875</v>
      </c>
      <c r="AU632">
        <v>72.436483054094012</v>
      </c>
      <c r="AV632">
        <v>0.98270000000000002</v>
      </c>
      <c r="AW632" s="62">
        <v>71.183000000000007</v>
      </c>
      <c r="AX632">
        <v>8.9176000000000002</v>
      </c>
      <c r="AY632">
        <v>0.91300000000000003</v>
      </c>
      <c r="AZ632">
        <v>6064.9193587765631</v>
      </c>
      <c r="BA632">
        <v>0.99365142346989388</v>
      </c>
      <c r="BB632" s="62">
        <v>6026.4157999999998</v>
      </c>
      <c r="BC632" s="60">
        <v>4136.0011503050227</v>
      </c>
    </row>
    <row r="633" spans="1:55" x14ac:dyDescent="0.25">
      <c r="A633">
        <v>202033</v>
      </c>
      <c r="B633" t="s">
        <v>201</v>
      </c>
      <c r="C633">
        <v>2020</v>
      </c>
      <c r="D633">
        <v>2</v>
      </c>
      <c r="E633" t="s">
        <v>100</v>
      </c>
      <c r="F633" t="s">
        <v>426</v>
      </c>
      <c r="G633" t="s">
        <v>84</v>
      </c>
      <c r="H633" t="s">
        <v>381</v>
      </c>
      <c r="I633" t="s">
        <v>427</v>
      </c>
      <c r="J633">
        <v>-32.004116019999998</v>
      </c>
      <c r="K633" t="s">
        <v>440</v>
      </c>
      <c r="L633" t="s">
        <v>384</v>
      </c>
      <c r="M633">
        <v>4.5811354346740003E-2</v>
      </c>
      <c r="N633">
        <v>1.466151899694103</v>
      </c>
      <c r="O633">
        <v>47588.953000000001</v>
      </c>
      <c r="P633">
        <v>1.500949E-6</v>
      </c>
      <c r="Q633">
        <v>0.14285700000000001</v>
      </c>
      <c r="R633" s="60">
        <v>0.2094500619346005</v>
      </c>
      <c r="S633" t="s">
        <v>347</v>
      </c>
      <c r="T633" t="s">
        <v>437</v>
      </c>
      <c r="U633" t="s">
        <v>425</v>
      </c>
      <c r="V633" t="s">
        <v>81</v>
      </c>
      <c r="W633">
        <v>111.133</v>
      </c>
      <c r="X633">
        <v>1.0541007448257309</v>
      </c>
      <c r="Y633">
        <v>117.145378074718</v>
      </c>
      <c r="Z633">
        <v>640.82000000000005</v>
      </c>
      <c r="AA633">
        <v>1</v>
      </c>
      <c r="AB633">
        <v>75.069101177840764</v>
      </c>
      <c r="AC633">
        <v>0.93830000000000002</v>
      </c>
      <c r="AD633" s="62">
        <v>70.436999999999998</v>
      </c>
      <c r="AE633">
        <v>8.9176000000000002</v>
      </c>
      <c r="AF633">
        <v>9.4000488020579382</v>
      </c>
      <c r="AG633">
        <v>1</v>
      </c>
      <c r="AH633">
        <v>6023.7392733347688</v>
      </c>
      <c r="AI633">
        <v>1.098016605166052</v>
      </c>
      <c r="AJ633" s="62">
        <v>6614.1656999999996</v>
      </c>
      <c r="AK633" s="60">
        <v>1385.3374155107099</v>
      </c>
      <c r="AL633" t="s">
        <v>348</v>
      </c>
      <c r="AM633" t="s">
        <v>438</v>
      </c>
      <c r="AN633" t="s">
        <v>425</v>
      </c>
      <c r="AO633" t="s">
        <v>81</v>
      </c>
      <c r="AP633">
        <v>111.133</v>
      </c>
      <c r="AQ633">
        <v>1.0727760310708341</v>
      </c>
      <c r="AR633">
        <v>119.22081866099499</v>
      </c>
      <c r="AS633">
        <v>694.38</v>
      </c>
      <c r="AT633">
        <v>0.875</v>
      </c>
      <c r="AU633">
        <v>72.436483054094012</v>
      </c>
      <c r="AV633">
        <v>0.93500000000000005</v>
      </c>
      <c r="AW633" s="62">
        <v>67.727999999999994</v>
      </c>
      <c r="AX633">
        <v>8.9176000000000002</v>
      </c>
      <c r="AY633">
        <v>0.91300000000000003</v>
      </c>
      <c r="AZ633">
        <v>6064.9193587765631</v>
      </c>
      <c r="BA633">
        <v>1.096171586715867</v>
      </c>
      <c r="BB633" s="62">
        <v>6648.1922999999997</v>
      </c>
      <c r="BC633" s="60">
        <v>1392.4642889881341</v>
      </c>
    </row>
    <row r="634" spans="1:55" x14ac:dyDescent="0.25">
      <c r="A634">
        <v>202035</v>
      </c>
      <c r="B634" t="s">
        <v>201</v>
      </c>
      <c r="C634">
        <v>2020</v>
      </c>
      <c r="D634">
        <v>2</v>
      </c>
      <c r="E634" t="s">
        <v>100</v>
      </c>
      <c r="F634" t="s">
        <v>426</v>
      </c>
      <c r="G634" t="s">
        <v>84</v>
      </c>
      <c r="H634" t="s">
        <v>381</v>
      </c>
      <c r="I634" t="s">
        <v>427</v>
      </c>
      <c r="J634">
        <v>-32.004116019999998</v>
      </c>
      <c r="K634" t="s">
        <v>440</v>
      </c>
      <c r="L634" t="s">
        <v>385</v>
      </c>
      <c r="M634">
        <v>0.43232641346992001</v>
      </c>
      <c r="N634">
        <v>13.836224696595711</v>
      </c>
      <c r="O634">
        <v>47588.953000000001</v>
      </c>
      <c r="P634">
        <v>1.500949E-6</v>
      </c>
      <c r="Q634">
        <v>0.14285700000000001</v>
      </c>
      <c r="R634" s="60">
        <v>1.976601551481574</v>
      </c>
      <c r="S634" t="s">
        <v>347</v>
      </c>
      <c r="T634" t="s">
        <v>437</v>
      </c>
      <c r="U634" t="s">
        <v>425</v>
      </c>
      <c r="V634" t="s">
        <v>27</v>
      </c>
      <c r="W634">
        <v>111.133</v>
      </c>
      <c r="X634">
        <v>1.0541007448257309</v>
      </c>
      <c r="Y634">
        <v>117.145378074718</v>
      </c>
      <c r="Z634">
        <v>640.82000000000005</v>
      </c>
      <c r="AA634">
        <v>1</v>
      </c>
      <c r="AB634">
        <v>75.069101177840764</v>
      </c>
      <c r="AC634">
        <v>0.95889999999999997</v>
      </c>
      <c r="AD634" s="62">
        <v>71.983999999999995</v>
      </c>
      <c r="AE634">
        <v>8.9176000000000002</v>
      </c>
      <c r="AF634">
        <v>9.4000488020579382</v>
      </c>
      <c r="AG634">
        <v>1</v>
      </c>
      <c r="AH634">
        <v>6023.7392733347688</v>
      </c>
      <c r="AI634">
        <v>0.99097621000820357</v>
      </c>
      <c r="AJ634" s="62">
        <v>5969.3823000000002</v>
      </c>
      <c r="AK634" s="60">
        <v>11799.090315566649</v>
      </c>
      <c r="AL634" t="s">
        <v>348</v>
      </c>
      <c r="AM634" t="s">
        <v>438</v>
      </c>
      <c r="AN634" t="s">
        <v>425</v>
      </c>
      <c r="AO634" t="s">
        <v>27</v>
      </c>
      <c r="AP634">
        <v>111.133</v>
      </c>
      <c r="AQ634">
        <v>1.0727760310708341</v>
      </c>
      <c r="AR634">
        <v>119.22081866099499</v>
      </c>
      <c r="AS634">
        <v>694.38</v>
      </c>
      <c r="AT634">
        <v>0.875</v>
      </c>
      <c r="AU634">
        <v>72.436483054094012</v>
      </c>
      <c r="AV634">
        <v>0.95369999999999999</v>
      </c>
      <c r="AW634" s="62">
        <v>69.082999999999998</v>
      </c>
      <c r="AX634">
        <v>8.9176000000000002</v>
      </c>
      <c r="AY634">
        <v>0.91300000000000003</v>
      </c>
      <c r="AZ634">
        <v>6064.9193587765631</v>
      </c>
      <c r="BA634">
        <v>1.007895816242822</v>
      </c>
      <c r="BB634" s="62">
        <v>6112.8068000000003</v>
      </c>
      <c r="BC634" s="60">
        <v>12082.583404787119</v>
      </c>
    </row>
    <row r="635" spans="1:55" x14ac:dyDescent="0.25">
      <c r="A635">
        <v>202037</v>
      </c>
      <c r="B635" t="s">
        <v>201</v>
      </c>
      <c r="C635">
        <v>2020</v>
      </c>
      <c r="D635">
        <v>2</v>
      </c>
      <c r="E635" t="s">
        <v>100</v>
      </c>
      <c r="F635" t="s">
        <v>426</v>
      </c>
      <c r="G635" t="s">
        <v>84</v>
      </c>
      <c r="H635" t="s">
        <v>381</v>
      </c>
      <c r="I635" t="s">
        <v>427</v>
      </c>
      <c r="J635">
        <v>-32.004116019999998</v>
      </c>
      <c r="K635" t="s">
        <v>440</v>
      </c>
      <c r="L635" t="s">
        <v>451</v>
      </c>
      <c r="M635">
        <v>1.6825115802299999E-3</v>
      </c>
      <c r="N635">
        <v>5.3847295824099202E-2</v>
      </c>
      <c r="O635">
        <v>47588.953000000001</v>
      </c>
      <c r="P635">
        <v>1.500949E-6</v>
      </c>
      <c r="Q635">
        <v>0.14285700000000001</v>
      </c>
      <c r="R635" s="60">
        <v>7.6924631395433396E-3</v>
      </c>
      <c r="S635" t="s">
        <v>347</v>
      </c>
      <c r="T635" t="s">
        <v>437</v>
      </c>
      <c r="U635" t="s">
        <v>425</v>
      </c>
      <c r="V635" t="s">
        <v>91</v>
      </c>
      <c r="W635">
        <v>111.133</v>
      </c>
      <c r="X635">
        <v>1.0541007448257309</v>
      </c>
      <c r="Y635">
        <v>117.145378074718</v>
      </c>
      <c r="Z635">
        <v>640.82000000000005</v>
      </c>
      <c r="AA635">
        <v>1</v>
      </c>
      <c r="AB635">
        <v>75.069101177840764</v>
      </c>
      <c r="AC635">
        <v>1.0088999999999999</v>
      </c>
      <c r="AD635" s="62">
        <v>75.736999999999995</v>
      </c>
      <c r="AE635">
        <v>8.9176000000000002</v>
      </c>
      <c r="AF635">
        <v>9.4000488020579382</v>
      </c>
      <c r="AG635">
        <v>1</v>
      </c>
      <c r="AH635">
        <v>6023.7392733347688</v>
      </c>
      <c r="AI635">
        <v>0.99316673174541203</v>
      </c>
      <c r="AJ635" s="62">
        <v>5982.5774000000001</v>
      </c>
      <c r="AK635" s="60">
        <v>46.020756128965033</v>
      </c>
      <c r="AL635" t="s">
        <v>348</v>
      </c>
      <c r="AM635" t="s">
        <v>438</v>
      </c>
      <c r="AN635" t="s">
        <v>425</v>
      </c>
      <c r="AO635" t="s">
        <v>91</v>
      </c>
      <c r="AP635">
        <v>111.133</v>
      </c>
      <c r="AQ635">
        <v>1.0727760310708341</v>
      </c>
      <c r="AR635">
        <v>119.22081866099499</v>
      </c>
      <c r="AS635">
        <v>694.38</v>
      </c>
      <c r="AT635">
        <v>0.875</v>
      </c>
      <c r="AU635">
        <v>72.436483054094012</v>
      </c>
      <c r="AV635">
        <v>1.0179</v>
      </c>
      <c r="AW635" s="62">
        <v>73.733000000000004</v>
      </c>
      <c r="AX635">
        <v>8.9176000000000002</v>
      </c>
      <c r="AY635">
        <v>0.91300000000000003</v>
      </c>
      <c r="AZ635">
        <v>6064.9193587765631</v>
      </c>
      <c r="BA635">
        <v>0.98975009761811794</v>
      </c>
      <c r="BB635" s="62">
        <v>6002.7545</v>
      </c>
      <c r="BC635" s="60">
        <v>46.175967726977909</v>
      </c>
    </row>
    <row r="636" spans="1:55" x14ac:dyDescent="0.25">
      <c r="A636">
        <v>202039</v>
      </c>
      <c r="B636" t="s">
        <v>201</v>
      </c>
      <c r="C636">
        <v>2020</v>
      </c>
      <c r="D636">
        <v>2</v>
      </c>
      <c r="E636" t="s">
        <v>100</v>
      </c>
      <c r="F636" t="s">
        <v>426</v>
      </c>
      <c r="G636" t="s">
        <v>84</v>
      </c>
      <c r="H636" t="s">
        <v>381</v>
      </c>
      <c r="I636" t="s">
        <v>427</v>
      </c>
      <c r="J636">
        <v>-32.004116019999998</v>
      </c>
      <c r="K636" t="s">
        <v>440</v>
      </c>
      <c r="L636" t="s">
        <v>452</v>
      </c>
      <c r="M636">
        <v>1.53682162831E-3</v>
      </c>
      <c r="N636">
        <v>4.9184617699433567E-2</v>
      </c>
      <c r="O636">
        <v>47588.953000000001</v>
      </c>
      <c r="P636">
        <v>1.500949E-6</v>
      </c>
      <c r="Q636">
        <v>0.14285700000000001</v>
      </c>
      <c r="R636" s="60">
        <v>7.0263669306879816E-3</v>
      </c>
      <c r="S636" t="s">
        <v>347</v>
      </c>
      <c r="T636" t="s">
        <v>437</v>
      </c>
      <c r="U636" t="s">
        <v>425</v>
      </c>
      <c r="V636" t="s">
        <v>28</v>
      </c>
      <c r="W636">
        <v>111.133</v>
      </c>
      <c r="X636">
        <v>1.0541007448257309</v>
      </c>
      <c r="Y636">
        <v>117.145378074718</v>
      </c>
      <c r="Z636">
        <v>640.82000000000005</v>
      </c>
      <c r="AA636">
        <v>1</v>
      </c>
      <c r="AB636">
        <v>75.069101177840764</v>
      </c>
      <c r="AC636">
        <v>1.0073000000000001</v>
      </c>
      <c r="AD636" s="62">
        <v>75.617000000000004</v>
      </c>
      <c r="AE636">
        <v>8.9176000000000002</v>
      </c>
      <c r="AF636">
        <v>9.4000488020579382</v>
      </c>
      <c r="AG636">
        <v>1</v>
      </c>
      <c r="AH636">
        <v>6023.7392733347688</v>
      </c>
      <c r="AI636">
        <v>0.99399488088206345</v>
      </c>
      <c r="AJ636" s="62">
        <v>5987.5659999999998</v>
      </c>
      <c r="AK636" s="60">
        <v>42.070835737711711</v>
      </c>
      <c r="AL636" t="s">
        <v>348</v>
      </c>
      <c r="AM636" t="s">
        <v>438</v>
      </c>
      <c r="AN636" t="s">
        <v>425</v>
      </c>
      <c r="AO636" t="s">
        <v>28</v>
      </c>
      <c r="AP636">
        <v>111.133</v>
      </c>
      <c r="AQ636">
        <v>1.0727760310708341</v>
      </c>
      <c r="AR636">
        <v>119.22081866099499</v>
      </c>
      <c r="AS636">
        <v>694.38</v>
      </c>
      <c r="AT636">
        <v>0.875</v>
      </c>
      <c r="AU636">
        <v>72.436483054094012</v>
      </c>
      <c r="AV636">
        <v>0.99250000000000005</v>
      </c>
      <c r="AW636" s="62">
        <v>71.893000000000001</v>
      </c>
      <c r="AX636">
        <v>8.9176000000000002</v>
      </c>
      <c r="AY636">
        <v>0.91300000000000003</v>
      </c>
      <c r="AZ636">
        <v>6064.9193587765631</v>
      </c>
      <c r="BA636">
        <v>0.93847214018507585</v>
      </c>
      <c r="BB636" s="62">
        <v>5691.7578999999996</v>
      </c>
      <c r="BC636" s="60">
        <v>39.992379486042068</v>
      </c>
    </row>
    <row r="637" spans="1:55" x14ac:dyDescent="0.25">
      <c r="A637">
        <v>202041</v>
      </c>
      <c r="B637" t="s">
        <v>201</v>
      </c>
      <c r="C637">
        <v>2020</v>
      </c>
      <c r="D637">
        <v>2</v>
      </c>
      <c r="E637" t="s">
        <v>100</v>
      </c>
      <c r="F637" t="s">
        <v>426</v>
      </c>
      <c r="G637" t="s">
        <v>84</v>
      </c>
      <c r="H637" t="s">
        <v>87</v>
      </c>
      <c r="I637" t="s">
        <v>427</v>
      </c>
      <c r="J637">
        <v>-5.8835884299999996</v>
      </c>
      <c r="K637" t="s">
        <v>440</v>
      </c>
      <c r="L637" t="s">
        <v>450</v>
      </c>
      <c r="M637">
        <v>0.26601384014995</v>
      </c>
      <c r="N637">
        <v>1.5651159516404789</v>
      </c>
      <c r="O637">
        <v>47588.953000000001</v>
      </c>
      <c r="P637">
        <v>1.500949E-6</v>
      </c>
      <c r="Q637">
        <v>0.14285700000000001</v>
      </c>
      <c r="R637" s="60">
        <v>0.22358776950350401</v>
      </c>
      <c r="S637" t="s">
        <v>347</v>
      </c>
      <c r="T637" t="s">
        <v>437</v>
      </c>
      <c r="U637" t="s">
        <v>425</v>
      </c>
      <c r="V637" t="s">
        <v>26</v>
      </c>
      <c r="W637">
        <v>111.133</v>
      </c>
      <c r="X637">
        <v>1.0541007448257309</v>
      </c>
      <c r="Y637">
        <v>117.145378074718</v>
      </c>
      <c r="Z637">
        <v>640.82000000000005</v>
      </c>
      <c r="AA637">
        <v>1</v>
      </c>
      <c r="AB637">
        <v>75.069101177840764</v>
      </c>
      <c r="AC637">
        <v>0.99109999999999998</v>
      </c>
      <c r="AD637" s="62">
        <v>74.400999999999996</v>
      </c>
      <c r="AE637">
        <v>8.9176000000000002</v>
      </c>
      <c r="AF637">
        <v>9.4000488020579382</v>
      </c>
      <c r="AG637">
        <v>1</v>
      </c>
      <c r="AH637">
        <v>6023.7392733347688</v>
      </c>
      <c r="AI637">
        <v>0.9830373970836227</v>
      </c>
      <c r="AJ637" s="62">
        <v>5921.5609999999997</v>
      </c>
      <c r="AK637" s="60">
        <v>1323.988615968939</v>
      </c>
      <c r="AL637" t="s">
        <v>348</v>
      </c>
      <c r="AM637" t="s">
        <v>438</v>
      </c>
      <c r="AN637" t="s">
        <v>425</v>
      </c>
      <c r="AO637" t="s">
        <v>26</v>
      </c>
      <c r="AP637">
        <v>111.133</v>
      </c>
      <c r="AQ637">
        <v>1.0727760310708341</v>
      </c>
      <c r="AR637">
        <v>119.22081866099499</v>
      </c>
      <c r="AS637">
        <v>694.38</v>
      </c>
      <c r="AT637">
        <v>0.875</v>
      </c>
      <c r="AU637">
        <v>72.436483054094012</v>
      </c>
      <c r="AV637">
        <v>0.98270000000000002</v>
      </c>
      <c r="AW637" s="62">
        <v>71.183000000000007</v>
      </c>
      <c r="AX637">
        <v>8.9176000000000002</v>
      </c>
      <c r="AY637">
        <v>0.91300000000000003</v>
      </c>
      <c r="AZ637">
        <v>6064.9193587765631</v>
      </c>
      <c r="BA637">
        <v>0.99365142346989388</v>
      </c>
      <c r="BB637" s="62">
        <v>6026.4157999999998</v>
      </c>
      <c r="BC637" s="60">
        <v>1347.432866822674</v>
      </c>
    </row>
    <row r="638" spans="1:55" x14ac:dyDescent="0.25">
      <c r="A638">
        <v>202043</v>
      </c>
      <c r="B638" t="s">
        <v>201</v>
      </c>
      <c r="C638">
        <v>2020</v>
      </c>
      <c r="D638">
        <v>2</v>
      </c>
      <c r="E638" t="s">
        <v>100</v>
      </c>
      <c r="F638" t="s">
        <v>426</v>
      </c>
      <c r="G638" t="s">
        <v>84</v>
      </c>
      <c r="H638" t="s">
        <v>87</v>
      </c>
      <c r="I638" t="s">
        <v>427</v>
      </c>
      <c r="J638">
        <v>-5.8835884299999996</v>
      </c>
      <c r="K638" t="s">
        <v>440</v>
      </c>
      <c r="L638" t="s">
        <v>384</v>
      </c>
      <c r="M638">
        <v>3.9509559941419997E-2</v>
      </c>
      <c r="N638">
        <v>0.2324579896736014</v>
      </c>
      <c r="O638">
        <v>47588.953000000001</v>
      </c>
      <c r="P638">
        <v>1.500949E-6</v>
      </c>
      <c r="Q638">
        <v>0.14285700000000001</v>
      </c>
      <c r="R638" s="60">
        <v>3.3208251030801668E-2</v>
      </c>
      <c r="S638" t="s">
        <v>347</v>
      </c>
      <c r="T638" t="s">
        <v>437</v>
      </c>
      <c r="U638" t="s">
        <v>425</v>
      </c>
      <c r="V638" t="s">
        <v>81</v>
      </c>
      <c r="W638">
        <v>111.133</v>
      </c>
      <c r="X638">
        <v>1.0541007448257309</v>
      </c>
      <c r="Y638">
        <v>117.145378074718</v>
      </c>
      <c r="Z638">
        <v>640.82000000000005</v>
      </c>
      <c r="AA638">
        <v>1</v>
      </c>
      <c r="AB638">
        <v>75.069101177840764</v>
      </c>
      <c r="AC638">
        <v>0.93830000000000002</v>
      </c>
      <c r="AD638" s="62">
        <v>70.436999999999998</v>
      </c>
      <c r="AE638">
        <v>8.9176000000000002</v>
      </c>
      <c r="AF638">
        <v>9.4000488020579382</v>
      </c>
      <c r="AG638">
        <v>1</v>
      </c>
      <c r="AH638">
        <v>6023.7392733347688</v>
      </c>
      <c r="AI638">
        <v>1.098016605166052</v>
      </c>
      <c r="AJ638" s="62">
        <v>6614.1656999999996</v>
      </c>
      <c r="AK638" s="60">
        <v>219.6448749249181</v>
      </c>
      <c r="AL638" t="s">
        <v>348</v>
      </c>
      <c r="AM638" t="s">
        <v>438</v>
      </c>
      <c r="AN638" t="s">
        <v>425</v>
      </c>
      <c r="AO638" t="s">
        <v>81</v>
      </c>
      <c r="AP638">
        <v>111.133</v>
      </c>
      <c r="AQ638">
        <v>1.0727760310708341</v>
      </c>
      <c r="AR638">
        <v>119.22081866099499</v>
      </c>
      <c r="AS638">
        <v>694.38</v>
      </c>
      <c r="AT638">
        <v>0.875</v>
      </c>
      <c r="AU638">
        <v>72.436483054094012</v>
      </c>
      <c r="AV638">
        <v>0.93500000000000005</v>
      </c>
      <c r="AW638" s="62">
        <v>67.727999999999994</v>
      </c>
      <c r="AX638">
        <v>8.9176000000000002</v>
      </c>
      <c r="AY638">
        <v>0.91300000000000003</v>
      </c>
      <c r="AZ638">
        <v>6064.9193587765631</v>
      </c>
      <c r="BA638">
        <v>1.096171586715867</v>
      </c>
      <c r="BB638" s="62">
        <v>6648.1922999999997</v>
      </c>
      <c r="BC638" s="60">
        <v>220.77483879944279</v>
      </c>
    </row>
    <row r="639" spans="1:55" x14ac:dyDescent="0.25">
      <c r="A639">
        <v>202045</v>
      </c>
      <c r="B639" t="s">
        <v>201</v>
      </c>
      <c r="C639">
        <v>2020</v>
      </c>
      <c r="D639">
        <v>2</v>
      </c>
      <c r="E639" t="s">
        <v>100</v>
      </c>
      <c r="F639" t="s">
        <v>426</v>
      </c>
      <c r="G639" t="s">
        <v>84</v>
      </c>
      <c r="H639" t="s">
        <v>87</v>
      </c>
      <c r="I639" t="s">
        <v>427</v>
      </c>
      <c r="J639">
        <v>-5.8835884299999996</v>
      </c>
      <c r="K639" t="s">
        <v>440</v>
      </c>
      <c r="L639" t="s">
        <v>385</v>
      </c>
      <c r="M639">
        <v>0.39737542925016001</v>
      </c>
      <c r="N639">
        <v>2.3379934771770752</v>
      </c>
      <c r="O639">
        <v>47588.953000000001</v>
      </c>
      <c r="P639">
        <v>1.500949E-6</v>
      </c>
      <c r="Q639">
        <v>0.14285700000000001</v>
      </c>
      <c r="R639" s="60">
        <v>0.33399873416908538</v>
      </c>
      <c r="S639" t="s">
        <v>347</v>
      </c>
      <c r="T639" t="s">
        <v>437</v>
      </c>
      <c r="U639" t="s">
        <v>425</v>
      </c>
      <c r="V639" t="s">
        <v>27</v>
      </c>
      <c r="W639">
        <v>111.133</v>
      </c>
      <c r="X639">
        <v>1.0541007448257309</v>
      </c>
      <c r="Y639">
        <v>117.145378074718</v>
      </c>
      <c r="Z639">
        <v>640.82000000000005</v>
      </c>
      <c r="AA639">
        <v>1</v>
      </c>
      <c r="AB639">
        <v>75.069101177840764</v>
      </c>
      <c r="AC639">
        <v>0.95889999999999997</v>
      </c>
      <c r="AD639" s="62">
        <v>71.983999999999995</v>
      </c>
      <c r="AE639">
        <v>8.9176000000000002</v>
      </c>
      <c r="AF639">
        <v>9.4000488020579382</v>
      </c>
      <c r="AG639">
        <v>1</v>
      </c>
      <c r="AH639">
        <v>6023.7392733347688</v>
      </c>
      <c r="AI639">
        <v>0.99097621000820357</v>
      </c>
      <c r="AJ639" s="62">
        <v>5969.3823000000002</v>
      </c>
      <c r="AK639" s="60">
        <v>1993.7661319713441</v>
      </c>
      <c r="AL639" t="s">
        <v>348</v>
      </c>
      <c r="AM639" t="s">
        <v>438</v>
      </c>
      <c r="AN639" t="s">
        <v>425</v>
      </c>
      <c r="AO639" t="s">
        <v>27</v>
      </c>
      <c r="AP639">
        <v>111.133</v>
      </c>
      <c r="AQ639">
        <v>1.0727760310708341</v>
      </c>
      <c r="AR639">
        <v>119.22081866099499</v>
      </c>
      <c r="AS639">
        <v>694.38</v>
      </c>
      <c r="AT639">
        <v>0.875</v>
      </c>
      <c r="AU639">
        <v>72.436483054094012</v>
      </c>
      <c r="AV639">
        <v>0.95369999999999999</v>
      </c>
      <c r="AW639" s="62">
        <v>69.082999999999998</v>
      </c>
      <c r="AX639">
        <v>8.9176000000000002</v>
      </c>
      <c r="AY639">
        <v>0.91300000000000003</v>
      </c>
      <c r="AZ639">
        <v>6064.9193587765631</v>
      </c>
      <c r="BA639">
        <v>1.007895816242822</v>
      </c>
      <c r="BB639" s="62">
        <v>6112.8068000000003</v>
      </c>
      <c r="BC639" s="60">
        <v>2041.6697334201781</v>
      </c>
    </row>
    <row r="640" spans="1:55" x14ac:dyDescent="0.25">
      <c r="A640">
        <v>202047</v>
      </c>
      <c r="B640" t="s">
        <v>201</v>
      </c>
      <c r="C640">
        <v>2020</v>
      </c>
      <c r="D640">
        <v>2</v>
      </c>
      <c r="E640" t="s">
        <v>100</v>
      </c>
      <c r="F640" t="s">
        <v>426</v>
      </c>
      <c r="G640" t="s">
        <v>84</v>
      </c>
      <c r="H640" t="s">
        <v>87</v>
      </c>
      <c r="I640" t="s">
        <v>427</v>
      </c>
      <c r="J640">
        <v>-5.8835884299999996</v>
      </c>
      <c r="K640" t="s">
        <v>440</v>
      </c>
      <c r="L640" t="s">
        <v>452</v>
      </c>
      <c r="M640">
        <v>8.4248020759000004E-4</v>
      </c>
      <c r="N640">
        <v>4.956806800342487E-3</v>
      </c>
      <c r="O640">
        <v>47588.953000000001</v>
      </c>
      <c r="P640">
        <v>1.500949E-6</v>
      </c>
      <c r="Q640">
        <v>0.14285700000000001</v>
      </c>
      <c r="R640" s="60">
        <v>7.0811454907652668E-4</v>
      </c>
      <c r="S640" t="s">
        <v>347</v>
      </c>
      <c r="T640" t="s">
        <v>437</v>
      </c>
      <c r="U640" t="s">
        <v>425</v>
      </c>
      <c r="V640" t="s">
        <v>28</v>
      </c>
      <c r="W640">
        <v>111.133</v>
      </c>
      <c r="X640">
        <v>1.0541007448257309</v>
      </c>
      <c r="Y640">
        <v>117.145378074718</v>
      </c>
      <c r="Z640">
        <v>640.82000000000005</v>
      </c>
      <c r="AA640">
        <v>1</v>
      </c>
      <c r="AB640">
        <v>75.069101177840764</v>
      </c>
      <c r="AC640">
        <v>1.0073000000000001</v>
      </c>
      <c r="AD640" s="62">
        <v>75.617000000000004</v>
      </c>
      <c r="AE640">
        <v>8.9176000000000002</v>
      </c>
      <c r="AF640">
        <v>9.4000488020579382</v>
      </c>
      <c r="AG640">
        <v>1</v>
      </c>
      <c r="AH640">
        <v>6023.7392733347688</v>
      </c>
      <c r="AI640">
        <v>0.99399488088206345</v>
      </c>
      <c r="AJ640" s="62">
        <v>5987.5659999999998</v>
      </c>
      <c r="AK640" s="60">
        <v>4.2398825981559423</v>
      </c>
      <c r="AL640" t="s">
        <v>348</v>
      </c>
      <c r="AM640" t="s">
        <v>438</v>
      </c>
      <c r="AN640" t="s">
        <v>425</v>
      </c>
      <c r="AO640" t="s">
        <v>28</v>
      </c>
      <c r="AP640">
        <v>111.133</v>
      </c>
      <c r="AQ640">
        <v>1.0727760310708341</v>
      </c>
      <c r="AR640">
        <v>119.22081866099499</v>
      </c>
      <c r="AS640">
        <v>694.38</v>
      </c>
      <c r="AT640">
        <v>0.875</v>
      </c>
      <c r="AU640">
        <v>72.436483054094012</v>
      </c>
      <c r="AV640">
        <v>0.99250000000000005</v>
      </c>
      <c r="AW640" s="62">
        <v>71.893000000000001</v>
      </c>
      <c r="AX640">
        <v>8.9176000000000002</v>
      </c>
      <c r="AY640">
        <v>0.91300000000000003</v>
      </c>
      <c r="AZ640">
        <v>6064.9193587765631</v>
      </c>
      <c r="BA640">
        <v>0.93847214018507585</v>
      </c>
      <c r="BB640" s="62">
        <v>5691.7578999999996</v>
      </c>
      <c r="BC640" s="60">
        <v>4.0304165788112583</v>
      </c>
    </row>
    <row r="641" spans="1:55" x14ac:dyDescent="0.25">
      <c r="A641">
        <v>202049</v>
      </c>
      <c r="B641" t="s">
        <v>201</v>
      </c>
      <c r="C641">
        <v>2020</v>
      </c>
      <c r="D641">
        <v>2</v>
      </c>
      <c r="E641" t="s">
        <v>100</v>
      </c>
      <c r="F641" t="s">
        <v>426</v>
      </c>
      <c r="G641" t="s">
        <v>84</v>
      </c>
      <c r="H641" t="s">
        <v>59</v>
      </c>
      <c r="I641" t="s">
        <v>427</v>
      </c>
      <c r="J641">
        <v>-17.390262679999999</v>
      </c>
      <c r="K641" t="s">
        <v>440</v>
      </c>
      <c r="L641" t="s">
        <v>450</v>
      </c>
      <c r="M641">
        <v>0.15931709696460999</v>
      </c>
      <c r="N641">
        <v>2.7705661656409961</v>
      </c>
      <c r="O641">
        <v>47588.953000000001</v>
      </c>
      <c r="P641">
        <v>1.500949E-6</v>
      </c>
      <c r="Q641">
        <v>0.14285700000000001</v>
      </c>
      <c r="R641" s="60">
        <v>0.39579477072497582</v>
      </c>
      <c r="S641" t="s">
        <v>347</v>
      </c>
      <c r="T641" t="s">
        <v>437</v>
      </c>
      <c r="U641" t="s">
        <v>425</v>
      </c>
      <c r="V641" t="s">
        <v>26</v>
      </c>
      <c r="W641">
        <v>111.133</v>
      </c>
      <c r="X641">
        <v>1.0541007448257309</v>
      </c>
      <c r="Y641">
        <v>117.145378074718</v>
      </c>
      <c r="Z641">
        <v>640.82000000000005</v>
      </c>
      <c r="AA641">
        <v>1</v>
      </c>
      <c r="AB641">
        <v>75.069101177840764</v>
      </c>
      <c r="AC641">
        <v>0.99109999999999998</v>
      </c>
      <c r="AD641" s="62">
        <v>74.400999999999996</v>
      </c>
      <c r="AE641">
        <v>8.9176000000000002</v>
      </c>
      <c r="AF641">
        <v>9.4000488020579382</v>
      </c>
      <c r="AG641">
        <v>1</v>
      </c>
      <c r="AH641">
        <v>6023.7392733347688</v>
      </c>
      <c r="AI641">
        <v>0.9830373970836227</v>
      </c>
      <c r="AJ641" s="62">
        <v>5921.5609999999997</v>
      </c>
      <c r="AK641" s="60">
        <v>2343.7228783289579</v>
      </c>
      <c r="AL641" t="s">
        <v>348</v>
      </c>
      <c r="AM641" t="s">
        <v>438</v>
      </c>
      <c r="AN641" t="s">
        <v>425</v>
      </c>
      <c r="AO641" t="s">
        <v>26</v>
      </c>
      <c r="AP641">
        <v>111.133</v>
      </c>
      <c r="AQ641">
        <v>1.0727760310708341</v>
      </c>
      <c r="AR641">
        <v>119.22081866099499</v>
      </c>
      <c r="AS641">
        <v>694.38</v>
      </c>
      <c r="AT641">
        <v>0.875</v>
      </c>
      <c r="AU641">
        <v>72.436483054094012</v>
      </c>
      <c r="AV641">
        <v>0.98270000000000002</v>
      </c>
      <c r="AW641" s="62">
        <v>71.183000000000007</v>
      </c>
      <c r="AX641">
        <v>8.9176000000000002</v>
      </c>
      <c r="AY641">
        <v>0.91300000000000003</v>
      </c>
      <c r="AZ641">
        <v>6064.9193587765631</v>
      </c>
      <c r="BA641">
        <v>0.99365142346989388</v>
      </c>
      <c r="BB641" s="62">
        <v>6026.4157999999998</v>
      </c>
      <c r="BC641" s="60">
        <v>2385.2238598543709</v>
      </c>
    </row>
    <row r="642" spans="1:55" x14ac:dyDescent="0.25">
      <c r="A642">
        <v>202051</v>
      </c>
      <c r="B642" t="s">
        <v>201</v>
      </c>
      <c r="C642">
        <v>2020</v>
      </c>
      <c r="D642">
        <v>2</v>
      </c>
      <c r="E642" t="s">
        <v>100</v>
      </c>
      <c r="F642" t="s">
        <v>426</v>
      </c>
      <c r="G642" t="s">
        <v>84</v>
      </c>
      <c r="H642" t="s">
        <v>59</v>
      </c>
      <c r="I642" t="s">
        <v>427</v>
      </c>
      <c r="J642">
        <v>-17.390262679999999</v>
      </c>
      <c r="K642" t="s">
        <v>440</v>
      </c>
      <c r="L642" t="s">
        <v>384</v>
      </c>
      <c r="M642">
        <v>4.1785183859599999E-2</v>
      </c>
      <c r="N642">
        <v>0.72665532345352934</v>
      </c>
      <c r="O642">
        <v>47588.953000000001</v>
      </c>
      <c r="P642">
        <v>1.500949E-6</v>
      </c>
      <c r="Q642">
        <v>0.14285700000000001</v>
      </c>
      <c r="R642" s="60">
        <v>0.1038077995426008</v>
      </c>
      <c r="S642" t="s">
        <v>347</v>
      </c>
      <c r="T642" t="s">
        <v>437</v>
      </c>
      <c r="U642" t="s">
        <v>425</v>
      </c>
      <c r="V642" t="s">
        <v>81</v>
      </c>
      <c r="W642">
        <v>111.133</v>
      </c>
      <c r="X642">
        <v>1.0541007448257309</v>
      </c>
      <c r="Y642">
        <v>117.145378074718</v>
      </c>
      <c r="Z642">
        <v>640.82000000000005</v>
      </c>
      <c r="AA642">
        <v>1</v>
      </c>
      <c r="AB642">
        <v>75.069101177840764</v>
      </c>
      <c r="AC642">
        <v>0.93830000000000002</v>
      </c>
      <c r="AD642" s="62">
        <v>70.436999999999998</v>
      </c>
      <c r="AE642">
        <v>8.9176000000000002</v>
      </c>
      <c r="AF642">
        <v>9.4000488020579382</v>
      </c>
      <c r="AG642">
        <v>1</v>
      </c>
      <c r="AH642">
        <v>6023.7392733347688</v>
      </c>
      <c r="AI642">
        <v>1.098016605166052</v>
      </c>
      <c r="AJ642" s="62">
        <v>6614.1656999999996</v>
      </c>
      <c r="AK642" s="60">
        <v>686.60198712714612</v>
      </c>
      <c r="AL642" t="s">
        <v>348</v>
      </c>
      <c r="AM642" t="s">
        <v>438</v>
      </c>
      <c r="AN642" t="s">
        <v>425</v>
      </c>
      <c r="AO642" t="s">
        <v>81</v>
      </c>
      <c r="AP642">
        <v>111.133</v>
      </c>
      <c r="AQ642">
        <v>1.0727760310708341</v>
      </c>
      <c r="AR642">
        <v>119.22081866099499</v>
      </c>
      <c r="AS642">
        <v>694.38</v>
      </c>
      <c r="AT642">
        <v>0.875</v>
      </c>
      <c r="AU642">
        <v>72.436483054094012</v>
      </c>
      <c r="AV642">
        <v>0.93500000000000005</v>
      </c>
      <c r="AW642" s="62">
        <v>67.727999999999994</v>
      </c>
      <c r="AX642">
        <v>8.9176000000000002</v>
      </c>
      <c r="AY642">
        <v>0.91300000000000003</v>
      </c>
      <c r="AZ642">
        <v>6064.9193587765631</v>
      </c>
      <c r="BA642">
        <v>1.096171586715867</v>
      </c>
      <c r="BB642" s="62">
        <v>6648.1922999999997</v>
      </c>
      <c r="BC642" s="60">
        <v>690.13421359906238</v>
      </c>
    </row>
    <row r="643" spans="1:55" x14ac:dyDescent="0.25">
      <c r="A643">
        <v>202053</v>
      </c>
      <c r="B643" t="s">
        <v>201</v>
      </c>
      <c r="C643">
        <v>2020</v>
      </c>
      <c r="D643">
        <v>2</v>
      </c>
      <c r="E643" t="s">
        <v>100</v>
      </c>
      <c r="F643" t="s">
        <v>426</v>
      </c>
      <c r="G643" t="s">
        <v>84</v>
      </c>
      <c r="H643" t="s">
        <v>59</v>
      </c>
      <c r="I643" t="s">
        <v>427</v>
      </c>
      <c r="J643">
        <v>-17.390262679999999</v>
      </c>
      <c r="K643" t="s">
        <v>440</v>
      </c>
      <c r="L643" t="s">
        <v>385</v>
      </c>
      <c r="M643">
        <v>0.43497567483749999</v>
      </c>
      <c r="N643">
        <v>7.5643412448655081</v>
      </c>
      <c r="O643">
        <v>47588.953000000001</v>
      </c>
      <c r="P643">
        <v>1.500949E-6</v>
      </c>
      <c r="Q643">
        <v>0.14285700000000001</v>
      </c>
      <c r="R643" s="60">
        <v>1.0806190972177521</v>
      </c>
      <c r="S643" t="s">
        <v>347</v>
      </c>
      <c r="T643" t="s">
        <v>437</v>
      </c>
      <c r="U643" t="s">
        <v>425</v>
      </c>
      <c r="V643" t="s">
        <v>27</v>
      </c>
      <c r="W643">
        <v>111.133</v>
      </c>
      <c r="X643">
        <v>1.0541007448257309</v>
      </c>
      <c r="Y643">
        <v>117.145378074718</v>
      </c>
      <c r="Z643">
        <v>640.82000000000005</v>
      </c>
      <c r="AA643">
        <v>1</v>
      </c>
      <c r="AB643">
        <v>75.069101177840764</v>
      </c>
      <c r="AC643">
        <v>0.95889999999999997</v>
      </c>
      <c r="AD643" s="62">
        <v>71.983999999999995</v>
      </c>
      <c r="AE643">
        <v>8.9176000000000002</v>
      </c>
      <c r="AF643">
        <v>9.4000488020579382</v>
      </c>
      <c r="AG643">
        <v>1</v>
      </c>
      <c r="AH643">
        <v>6023.7392733347688</v>
      </c>
      <c r="AI643">
        <v>0.99097621000820357</v>
      </c>
      <c r="AJ643" s="62">
        <v>5969.3823000000002</v>
      </c>
      <c r="AK643" s="60">
        <v>6450.6285119736294</v>
      </c>
      <c r="AL643" t="s">
        <v>348</v>
      </c>
      <c r="AM643" t="s">
        <v>438</v>
      </c>
      <c r="AN643" t="s">
        <v>425</v>
      </c>
      <c r="AO643" t="s">
        <v>27</v>
      </c>
      <c r="AP643">
        <v>111.133</v>
      </c>
      <c r="AQ643">
        <v>1.0727760310708341</v>
      </c>
      <c r="AR643">
        <v>119.22081866099499</v>
      </c>
      <c r="AS643">
        <v>694.38</v>
      </c>
      <c r="AT643">
        <v>0.875</v>
      </c>
      <c r="AU643">
        <v>72.436483054094012</v>
      </c>
      <c r="AV643">
        <v>0.95369999999999999</v>
      </c>
      <c r="AW643" s="62">
        <v>69.082999999999998</v>
      </c>
      <c r="AX643">
        <v>8.9176000000000002</v>
      </c>
      <c r="AY643">
        <v>0.91300000000000003</v>
      </c>
      <c r="AZ643">
        <v>6064.9193587765631</v>
      </c>
      <c r="BA643">
        <v>1.007895816242822</v>
      </c>
      <c r="BB643" s="62">
        <v>6112.8068000000003</v>
      </c>
      <c r="BC643" s="60">
        <v>6605.6157656825362</v>
      </c>
    </row>
    <row r="644" spans="1:55" x14ac:dyDescent="0.25">
      <c r="A644">
        <v>202055</v>
      </c>
      <c r="B644" t="s">
        <v>201</v>
      </c>
      <c r="C644">
        <v>2020</v>
      </c>
      <c r="D644">
        <v>2</v>
      </c>
      <c r="E644" t="s">
        <v>100</v>
      </c>
      <c r="F644" t="s">
        <v>426</v>
      </c>
      <c r="G644" t="s">
        <v>84</v>
      </c>
      <c r="H644" t="s">
        <v>59</v>
      </c>
      <c r="I644" t="s">
        <v>427</v>
      </c>
      <c r="J644">
        <v>-17.390262679999999</v>
      </c>
      <c r="K644" t="s">
        <v>440</v>
      </c>
      <c r="L644" t="s">
        <v>451</v>
      </c>
      <c r="M644">
        <v>1.7625750762999999E-3</v>
      </c>
      <c r="N644">
        <v>3.065164357020413E-2</v>
      </c>
      <c r="O644">
        <v>47588.953000000001</v>
      </c>
      <c r="P644">
        <v>1.500949E-6</v>
      </c>
      <c r="Q644">
        <v>0.14285700000000001</v>
      </c>
      <c r="R644" s="60">
        <v>4.3788018455086517E-3</v>
      </c>
      <c r="S644" t="s">
        <v>347</v>
      </c>
      <c r="T644" t="s">
        <v>437</v>
      </c>
      <c r="U644" t="s">
        <v>425</v>
      </c>
      <c r="V644" t="s">
        <v>91</v>
      </c>
      <c r="W644">
        <v>111.133</v>
      </c>
      <c r="X644">
        <v>1.0541007448257309</v>
      </c>
      <c r="Y644">
        <v>117.145378074718</v>
      </c>
      <c r="Z644">
        <v>640.82000000000005</v>
      </c>
      <c r="AA644">
        <v>1</v>
      </c>
      <c r="AB644">
        <v>75.069101177840764</v>
      </c>
      <c r="AC644">
        <v>1.0088999999999999</v>
      </c>
      <c r="AD644" s="62">
        <v>75.736999999999995</v>
      </c>
      <c r="AE644">
        <v>8.9176000000000002</v>
      </c>
      <c r="AF644">
        <v>9.4000488020579382</v>
      </c>
      <c r="AG644">
        <v>1</v>
      </c>
      <c r="AH644">
        <v>6023.7392733347688</v>
      </c>
      <c r="AI644">
        <v>0.99316673174541203</v>
      </c>
      <c r="AJ644" s="62">
        <v>5982.5774000000001</v>
      </c>
      <c r="AK644" s="60">
        <v>26.196520960018351</v>
      </c>
      <c r="AL644" t="s">
        <v>348</v>
      </c>
      <c r="AM644" t="s">
        <v>438</v>
      </c>
      <c r="AN644" t="s">
        <v>425</v>
      </c>
      <c r="AO644" t="s">
        <v>91</v>
      </c>
      <c r="AP644">
        <v>111.133</v>
      </c>
      <c r="AQ644">
        <v>1.0727760310708341</v>
      </c>
      <c r="AR644">
        <v>119.22081866099499</v>
      </c>
      <c r="AS644">
        <v>694.38</v>
      </c>
      <c r="AT644">
        <v>0.875</v>
      </c>
      <c r="AU644">
        <v>72.436483054094012</v>
      </c>
      <c r="AV644">
        <v>1.0179</v>
      </c>
      <c r="AW644" s="62">
        <v>73.733000000000004</v>
      </c>
      <c r="AX644">
        <v>8.9176000000000002</v>
      </c>
      <c r="AY644">
        <v>0.91300000000000003</v>
      </c>
      <c r="AZ644">
        <v>6064.9193587765631</v>
      </c>
      <c r="BA644">
        <v>0.98975009761811794</v>
      </c>
      <c r="BB644" s="62">
        <v>6002.7545</v>
      </c>
      <c r="BC644" s="60">
        <v>26.284872482735359</v>
      </c>
    </row>
    <row r="645" spans="1:55" x14ac:dyDescent="0.25">
      <c r="A645">
        <v>202057</v>
      </c>
      <c r="B645" t="s">
        <v>201</v>
      </c>
      <c r="C645">
        <v>2020</v>
      </c>
      <c r="D645">
        <v>2</v>
      </c>
      <c r="E645" t="s">
        <v>100</v>
      </c>
      <c r="F645" t="s">
        <v>426</v>
      </c>
      <c r="G645" t="s">
        <v>84</v>
      </c>
      <c r="H645" t="s">
        <v>59</v>
      </c>
      <c r="I645" t="s">
        <v>427</v>
      </c>
      <c r="J645">
        <v>-17.390262679999999</v>
      </c>
      <c r="K645" t="s">
        <v>440</v>
      </c>
      <c r="L645" t="s">
        <v>452</v>
      </c>
      <c r="M645">
        <v>1.4858046103299999E-3</v>
      </c>
      <c r="N645">
        <v>2.5838532464900029E-2</v>
      </c>
      <c r="O645">
        <v>47588.953000000001</v>
      </c>
      <c r="P645">
        <v>1.500949E-6</v>
      </c>
      <c r="Q645">
        <v>0.14285700000000001</v>
      </c>
      <c r="R645" s="60">
        <v>3.691215232338224E-3</v>
      </c>
      <c r="S645" t="s">
        <v>347</v>
      </c>
      <c r="T645" t="s">
        <v>437</v>
      </c>
      <c r="U645" t="s">
        <v>425</v>
      </c>
      <c r="V645" t="s">
        <v>28</v>
      </c>
      <c r="W645">
        <v>111.133</v>
      </c>
      <c r="X645">
        <v>1.0541007448257309</v>
      </c>
      <c r="Y645">
        <v>117.145378074718</v>
      </c>
      <c r="Z645">
        <v>640.82000000000005</v>
      </c>
      <c r="AA645">
        <v>1</v>
      </c>
      <c r="AB645">
        <v>75.069101177840764</v>
      </c>
      <c r="AC645">
        <v>1.0073000000000001</v>
      </c>
      <c r="AD645" s="62">
        <v>75.617000000000004</v>
      </c>
      <c r="AE645">
        <v>8.9176000000000002</v>
      </c>
      <c r="AF645">
        <v>9.4000488020579382</v>
      </c>
      <c r="AG645">
        <v>1</v>
      </c>
      <c r="AH645">
        <v>6023.7392733347688</v>
      </c>
      <c r="AI645">
        <v>0.99399488088206345</v>
      </c>
      <c r="AJ645" s="62">
        <v>5987.5659999999998</v>
      </c>
      <c r="AK645" s="60">
        <v>22.10139482383045</v>
      </c>
      <c r="AL645" t="s">
        <v>348</v>
      </c>
      <c r="AM645" t="s">
        <v>438</v>
      </c>
      <c r="AN645" t="s">
        <v>425</v>
      </c>
      <c r="AO645" t="s">
        <v>28</v>
      </c>
      <c r="AP645">
        <v>111.133</v>
      </c>
      <c r="AQ645">
        <v>1.0727760310708341</v>
      </c>
      <c r="AR645">
        <v>119.22081866099499</v>
      </c>
      <c r="AS645">
        <v>694.38</v>
      </c>
      <c r="AT645">
        <v>0.875</v>
      </c>
      <c r="AU645">
        <v>72.436483054094012</v>
      </c>
      <c r="AV645">
        <v>0.99250000000000005</v>
      </c>
      <c r="AW645" s="62">
        <v>71.893000000000001</v>
      </c>
      <c r="AX645">
        <v>8.9176000000000002</v>
      </c>
      <c r="AY645">
        <v>0.91300000000000003</v>
      </c>
      <c r="AZ645">
        <v>6064.9193587765631</v>
      </c>
      <c r="BA645">
        <v>0.93847214018507585</v>
      </c>
      <c r="BB645" s="62">
        <v>5691.7578999999996</v>
      </c>
      <c r="BC645" s="60">
        <v>21.00950345926142</v>
      </c>
    </row>
    <row r="646" spans="1:55" x14ac:dyDescent="0.25">
      <c r="A646">
        <v>209291</v>
      </c>
      <c r="B646" t="s">
        <v>205</v>
      </c>
      <c r="C646">
        <v>2020</v>
      </c>
      <c r="D646">
        <v>3</v>
      </c>
      <c r="E646" t="s">
        <v>100</v>
      </c>
      <c r="F646" t="s">
        <v>426</v>
      </c>
      <c r="G646" t="s">
        <v>84</v>
      </c>
      <c r="H646" t="s">
        <v>381</v>
      </c>
      <c r="I646" t="s">
        <v>427</v>
      </c>
      <c r="J646">
        <v>-32.004116019999998</v>
      </c>
      <c r="K646" t="s">
        <v>440</v>
      </c>
      <c r="L646" t="s">
        <v>450</v>
      </c>
      <c r="M646">
        <v>0.15011157993331001</v>
      </c>
      <c r="N646">
        <v>4.8041884206151471</v>
      </c>
      <c r="O646">
        <v>47588.953000000001</v>
      </c>
      <c r="P646">
        <v>1.500949E-6</v>
      </c>
      <c r="Q646">
        <v>0.14285700000000001</v>
      </c>
      <c r="R646" s="60">
        <v>0.68631194520381811</v>
      </c>
      <c r="S646" t="s">
        <v>347</v>
      </c>
      <c r="T646" t="s">
        <v>437</v>
      </c>
      <c r="U646" t="s">
        <v>425</v>
      </c>
      <c r="V646" t="s">
        <v>26</v>
      </c>
      <c r="W646">
        <v>111.133</v>
      </c>
      <c r="X646">
        <v>1.0541007448257309</v>
      </c>
      <c r="Y646">
        <v>117.145378074718</v>
      </c>
      <c r="Z646">
        <v>640.82000000000005</v>
      </c>
      <c r="AA646">
        <v>1</v>
      </c>
      <c r="AB646">
        <v>75.069101177840764</v>
      </c>
      <c r="AC646">
        <v>0.99109999999999998</v>
      </c>
      <c r="AD646" s="62">
        <v>74.400999999999996</v>
      </c>
      <c r="AE646">
        <v>8.9176000000000002</v>
      </c>
      <c r="AF646">
        <v>9.4000488020579382</v>
      </c>
      <c r="AG646">
        <v>1</v>
      </c>
      <c r="AH646">
        <v>6023.7392733347688</v>
      </c>
      <c r="AI646">
        <v>0.9830373970836227</v>
      </c>
      <c r="AJ646" s="62">
        <v>5921.5609999999997</v>
      </c>
      <c r="AK646" s="60">
        <v>4064.0380485530659</v>
      </c>
      <c r="AL646" t="s">
        <v>348</v>
      </c>
      <c r="AM646" t="s">
        <v>438</v>
      </c>
      <c r="AN646" t="s">
        <v>425</v>
      </c>
      <c r="AO646" t="s">
        <v>26</v>
      </c>
      <c r="AP646">
        <v>111.133</v>
      </c>
      <c r="AQ646">
        <v>1.0727760310708341</v>
      </c>
      <c r="AR646">
        <v>119.22081866099499</v>
      </c>
      <c r="AS646">
        <v>694.38</v>
      </c>
      <c r="AT646">
        <v>0.875</v>
      </c>
      <c r="AU646">
        <v>72.436483054094012</v>
      </c>
      <c r="AV646">
        <v>0.98270000000000002</v>
      </c>
      <c r="AW646" s="62">
        <v>71.183000000000007</v>
      </c>
      <c r="AX646">
        <v>8.9176000000000002</v>
      </c>
      <c r="AY646">
        <v>0.91300000000000003</v>
      </c>
      <c r="AZ646">
        <v>6064.9193587765631</v>
      </c>
      <c r="BA646">
        <v>0.99365142346989388</v>
      </c>
      <c r="BB646" s="62">
        <v>6026.4157999999998</v>
      </c>
      <c r="BC646" s="60">
        <v>4136.0011503050237</v>
      </c>
    </row>
    <row r="647" spans="1:55" x14ac:dyDescent="0.25">
      <c r="A647">
        <v>209293</v>
      </c>
      <c r="B647" t="s">
        <v>205</v>
      </c>
      <c r="C647">
        <v>2020</v>
      </c>
      <c r="D647">
        <v>3</v>
      </c>
      <c r="E647" t="s">
        <v>100</v>
      </c>
      <c r="F647" t="s">
        <v>426</v>
      </c>
      <c r="G647" t="s">
        <v>84</v>
      </c>
      <c r="H647" t="s">
        <v>381</v>
      </c>
      <c r="I647" t="s">
        <v>427</v>
      </c>
      <c r="J647">
        <v>-32.004116019999998</v>
      </c>
      <c r="K647" t="s">
        <v>440</v>
      </c>
      <c r="L647" t="s">
        <v>384</v>
      </c>
      <c r="M647">
        <v>4.5811354346740003E-2</v>
      </c>
      <c r="N647">
        <v>1.466151899694103</v>
      </c>
      <c r="O647">
        <v>47588.953000000001</v>
      </c>
      <c r="P647">
        <v>1.500949E-6</v>
      </c>
      <c r="Q647">
        <v>0.14285700000000001</v>
      </c>
      <c r="R647" s="60">
        <v>0.2094500619346005</v>
      </c>
      <c r="S647" t="s">
        <v>347</v>
      </c>
      <c r="T647" t="s">
        <v>437</v>
      </c>
      <c r="U647" t="s">
        <v>425</v>
      </c>
      <c r="V647" t="s">
        <v>81</v>
      </c>
      <c r="W647">
        <v>111.133</v>
      </c>
      <c r="X647">
        <v>1.0541007448257309</v>
      </c>
      <c r="Y647">
        <v>117.145378074718</v>
      </c>
      <c r="Z647">
        <v>640.82000000000005</v>
      </c>
      <c r="AA647">
        <v>1</v>
      </c>
      <c r="AB647">
        <v>75.069101177840764</v>
      </c>
      <c r="AC647">
        <v>0.93830000000000002</v>
      </c>
      <c r="AD647" s="62">
        <v>70.436999999999998</v>
      </c>
      <c r="AE647">
        <v>8.9176000000000002</v>
      </c>
      <c r="AF647">
        <v>9.4000488020579382</v>
      </c>
      <c r="AG647">
        <v>1</v>
      </c>
      <c r="AH647">
        <v>6023.7392733347688</v>
      </c>
      <c r="AI647">
        <v>1.098016605166052</v>
      </c>
      <c r="AJ647" s="62">
        <v>6614.1656999999996</v>
      </c>
      <c r="AK647" s="60">
        <v>1385.3374155107099</v>
      </c>
      <c r="AL647" t="s">
        <v>348</v>
      </c>
      <c r="AM647" t="s">
        <v>438</v>
      </c>
      <c r="AN647" t="s">
        <v>425</v>
      </c>
      <c r="AO647" t="s">
        <v>81</v>
      </c>
      <c r="AP647">
        <v>111.133</v>
      </c>
      <c r="AQ647">
        <v>1.0727760310708341</v>
      </c>
      <c r="AR647">
        <v>119.22081866099499</v>
      </c>
      <c r="AS647">
        <v>694.38</v>
      </c>
      <c r="AT647">
        <v>0.875</v>
      </c>
      <c r="AU647">
        <v>72.436483054094012</v>
      </c>
      <c r="AV647">
        <v>0.93500000000000005</v>
      </c>
      <c r="AW647" s="62">
        <v>67.727999999999994</v>
      </c>
      <c r="AX647">
        <v>8.9176000000000002</v>
      </c>
      <c r="AY647">
        <v>0.91300000000000003</v>
      </c>
      <c r="AZ647">
        <v>6064.9193587765631</v>
      </c>
      <c r="BA647">
        <v>1.096171586715867</v>
      </c>
      <c r="BB647" s="62">
        <v>6648.1922999999997</v>
      </c>
      <c r="BC647" s="60">
        <v>1392.4642889881341</v>
      </c>
    </row>
    <row r="648" spans="1:55" x14ac:dyDescent="0.25">
      <c r="A648">
        <v>209295</v>
      </c>
      <c r="B648" t="s">
        <v>205</v>
      </c>
      <c r="C648">
        <v>2020</v>
      </c>
      <c r="D648">
        <v>3</v>
      </c>
      <c r="E648" t="s">
        <v>100</v>
      </c>
      <c r="F648" t="s">
        <v>426</v>
      </c>
      <c r="G648" t="s">
        <v>84</v>
      </c>
      <c r="H648" t="s">
        <v>381</v>
      </c>
      <c r="I648" t="s">
        <v>427</v>
      </c>
      <c r="J648">
        <v>-32.004116019999998</v>
      </c>
      <c r="K648" t="s">
        <v>440</v>
      </c>
      <c r="L648" t="s">
        <v>385</v>
      </c>
      <c r="M648">
        <v>0.43232641346992001</v>
      </c>
      <c r="N648">
        <v>13.836224696595719</v>
      </c>
      <c r="O648">
        <v>47588.953000000001</v>
      </c>
      <c r="P648">
        <v>1.500949E-6</v>
      </c>
      <c r="Q648">
        <v>0.14285700000000001</v>
      </c>
      <c r="R648" s="60">
        <v>1.9766015514815749</v>
      </c>
      <c r="S648" t="s">
        <v>347</v>
      </c>
      <c r="T648" t="s">
        <v>437</v>
      </c>
      <c r="U648" t="s">
        <v>425</v>
      </c>
      <c r="V648" t="s">
        <v>27</v>
      </c>
      <c r="W648">
        <v>111.133</v>
      </c>
      <c r="X648">
        <v>1.0541007448257309</v>
      </c>
      <c r="Y648">
        <v>117.145378074718</v>
      </c>
      <c r="Z648">
        <v>640.82000000000005</v>
      </c>
      <c r="AA648">
        <v>1</v>
      </c>
      <c r="AB648">
        <v>75.069101177840764</v>
      </c>
      <c r="AC648">
        <v>0.95889999999999997</v>
      </c>
      <c r="AD648" s="62">
        <v>71.983999999999995</v>
      </c>
      <c r="AE648">
        <v>8.9176000000000002</v>
      </c>
      <c r="AF648">
        <v>9.4000488020579382</v>
      </c>
      <c r="AG648">
        <v>1</v>
      </c>
      <c r="AH648">
        <v>6023.7392733347688</v>
      </c>
      <c r="AI648">
        <v>0.99097621000820357</v>
      </c>
      <c r="AJ648" s="62">
        <v>5969.3823000000002</v>
      </c>
      <c r="AK648" s="60">
        <v>11799.090315566649</v>
      </c>
      <c r="AL648" t="s">
        <v>348</v>
      </c>
      <c r="AM648" t="s">
        <v>438</v>
      </c>
      <c r="AN648" t="s">
        <v>425</v>
      </c>
      <c r="AO648" t="s">
        <v>27</v>
      </c>
      <c r="AP648">
        <v>111.133</v>
      </c>
      <c r="AQ648">
        <v>1.0727760310708341</v>
      </c>
      <c r="AR648">
        <v>119.22081866099499</v>
      </c>
      <c r="AS648">
        <v>694.38</v>
      </c>
      <c r="AT648">
        <v>0.875</v>
      </c>
      <c r="AU648">
        <v>72.436483054094012</v>
      </c>
      <c r="AV648">
        <v>0.95369999999999999</v>
      </c>
      <c r="AW648" s="62">
        <v>69.082999999999998</v>
      </c>
      <c r="AX648">
        <v>8.9176000000000002</v>
      </c>
      <c r="AY648">
        <v>0.91300000000000003</v>
      </c>
      <c r="AZ648">
        <v>6064.9193587765631</v>
      </c>
      <c r="BA648">
        <v>1.007895816242822</v>
      </c>
      <c r="BB648" s="62">
        <v>6112.8068000000003</v>
      </c>
      <c r="BC648" s="60">
        <v>12082.583404787119</v>
      </c>
    </row>
    <row r="649" spans="1:55" x14ac:dyDescent="0.25">
      <c r="A649">
        <v>209297</v>
      </c>
      <c r="B649" t="s">
        <v>205</v>
      </c>
      <c r="C649">
        <v>2020</v>
      </c>
      <c r="D649">
        <v>3</v>
      </c>
      <c r="E649" t="s">
        <v>100</v>
      </c>
      <c r="F649" t="s">
        <v>426</v>
      </c>
      <c r="G649" t="s">
        <v>84</v>
      </c>
      <c r="H649" t="s">
        <v>381</v>
      </c>
      <c r="I649" t="s">
        <v>427</v>
      </c>
      <c r="J649">
        <v>-32.004116019999998</v>
      </c>
      <c r="K649" t="s">
        <v>440</v>
      </c>
      <c r="L649" t="s">
        <v>451</v>
      </c>
      <c r="M649">
        <v>1.6825115802299999E-3</v>
      </c>
      <c r="N649">
        <v>5.3847295824099209E-2</v>
      </c>
      <c r="O649">
        <v>47588.953000000001</v>
      </c>
      <c r="P649">
        <v>1.500949E-6</v>
      </c>
      <c r="Q649">
        <v>0.14285700000000001</v>
      </c>
      <c r="R649" s="60">
        <v>7.6924631395433414E-3</v>
      </c>
      <c r="S649" t="s">
        <v>347</v>
      </c>
      <c r="T649" t="s">
        <v>437</v>
      </c>
      <c r="U649" t="s">
        <v>425</v>
      </c>
      <c r="V649" t="s">
        <v>91</v>
      </c>
      <c r="W649">
        <v>111.133</v>
      </c>
      <c r="X649">
        <v>1.0541007448257309</v>
      </c>
      <c r="Y649">
        <v>117.145378074718</v>
      </c>
      <c r="Z649">
        <v>640.82000000000005</v>
      </c>
      <c r="AA649">
        <v>1</v>
      </c>
      <c r="AB649">
        <v>75.069101177840764</v>
      </c>
      <c r="AC649">
        <v>1.0088999999999999</v>
      </c>
      <c r="AD649" s="62">
        <v>75.736999999999995</v>
      </c>
      <c r="AE649">
        <v>8.9176000000000002</v>
      </c>
      <c r="AF649">
        <v>9.4000488020579382</v>
      </c>
      <c r="AG649">
        <v>1</v>
      </c>
      <c r="AH649">
        <v>6023.7392733347688</v>
      </c>
      <c r="AI649">
        <v>0.99316673174541203</v>
      </c>
      <c r="AJ649" s="62">
        <v>5982.5774000000001</v>
      </c>
      <c r="AK649" s="60">
        <v>46.02075612896504</v>
      </c>
      <c r="AL649" t="s">
        <v>348</v>
      </c>
      <c r="AM649" t="s">
        <v>438</v>
      </c>
      <c r="AN649" t="s">
        <v>425</v>
      </c>
      <c r="AO649" t="s">
        <v>91</v>
      </c>
      <c r="AP649">
        <v>111.133</v>
      </c>
      <c r="AQ649">
        <v>1.0727760310708341</v>
      </c>
      <c r="AR649">
        <v>119.22081866099499</v>
      </c>
      <c r="AS649">
        <v>694.38</v>
      </c>
      <c r="AT649">
        <v>0.875</v>
      </c>
      <c r="AU649">
        <v>72.436483054094012</v>
      </c>
      <c r="AV649">
        <v>1.0179</v>
      </c>
      <c r="AW649" s="62">
        <v>73.733000000000004</v>
      </c>
      <c r="AX649">
        <v>8.9176000000000002</v>
      </c>
      <c r="AY649">
        <v>0.91300000000000003</v>
      </c>
      <c r="AZ649">
        <v>6064.9193587765631</v>
      </c>
      <c r="BA649">
        <v>0.98975009761811794</v>
      </c>
      <c r="BB649" s="62">
        <v>6002.7545</v>
      </c>
      <c r="BC649" s="60">
        <v>46.175967726977923</v>
      </c>
    </row>
    <row r="650" spans="1:55" x14ac:dyDescent="0.25">
      <c r="A650">
        <v>209299</v>
      </c>
      <c r="B650" t="s">
        <v>205</v>
      </c>
      <c r="C650">
        <v>2020</v>
      </c>
      <c r="D650">
        <v>3</v>
      </c>
      <c r="E650" t="s">
        <v>100</v>
      </c>
      <c r="F650" t="s">
        <v>426</v>
      </c>
      <c r="G650" t="s">
        <v>84</v>
      </c>
      <c r="H650" t="s">
        <v>381</v>
      </c>
      <c r="I650" t="s">
        <v>427</v>
      </c>
      <c r="J650">
        <v>-32.004116019999998</v>
      </c>
      <c r="K650" t="s">
        <v>440</v>
      </c>
      <c r="L650" t="s">
        <v>452</v>
      </c>
      <c r="M650">
        <v>1.53682162831E-3</v>
      </c>
      <c r="N650">
        <v>4.9184617699433567E-2</v>
      </c>
      <c r="O650">
        <v>47588.953000000001</v>
      </c>
      <c r="P650">
        <v>1.500949E-6</v>
      </c>
      <c r="Q650">
        <v>0.14285700000000001</v>
      </c>
      <c r="R650" s="60">
        <v>7.0263669306879816E-3</v>
      </c>
      <c r="S650" t="s">
        <v>347</v>
      </c>
      <c r="T650" t="s">
        <v>437</v>
      </c>
      <c r="U650" t="s">
        <v>425</v>
      </c>
      <c r="V650" t="s">
        <v>28</v>
      </c>
      <c r="W650">
        <v>111.133</v>
      </c>
      <c r="X650">
        <v>1.0541007448257309</v>
      </c>
      <c r="Y650">
        <v>117.145378074718</v>
      </c>
      <c r="Z650">
        <v>640.82000000000005</v>
      </c>
      <c r="AA650">
        <v>1</v>
      </c>
      <c r="AB650">
        <v>75.069101177840764</v>
      </c>
      <c r="AC650">
        <v>1.0073000000000001</v>
      </c>
      <c r="AD650" s="62">
        <v>75.617000000000004</v>
      </c>
      <c r="AE650">
        <v>8.9176000000000002</v>
      </c>
      <c r="AF650">
        <v>9.4000488020579382</v>
      </c>
      <c r="AG650">
        <v>1</v>
      </c>
      <c r="AH650">
        <v>6023.7392733347688</v>
      </c>
      <c r="AI650">
        <v>0.99399488088206345</v>
      </c>
      <c r="AJ650" s="62">
        <v>5987.5659999999998</v>
      </c>
      <c r="AK650" s="60">
        <v>42.070835737711718</v>
      </c>
      <c r="AL650" t="s">
        <v>348</v>
      </c>
      <c r="AM650" t="s">
        <v>438</v>
      </c>
      <c r="AN650" t="s">
        <v>425</v>
      </c>
      <c r="AO650" t="s">
        <v>28</v>
      </c>
      <c r="AP650">
        <v>111.133</v>
      </c>
      <c r="AQ650">
        <v>1.0727760310708341</v>
      </c>
      <c r="AR650">
        <v>119.22081866099499</v>
      </c>
      <c r="AS650">
        <v>694.38</v>
      </c>
      <c r="AT650">
        <v>0.875</v>
      </c>
      <c r="AU650">
        <v>72.436483054094012</v>
      </c>
      <c r="AV650">
        <v>0.99250000000000005</v>
      </c>
      <c r="AW650" s="62">
        <v>71.893000000000001</v>
      </c>
      <c r="AX650">
        <v>8.9176000000000002</v>
      </c>
      <c r="AY650">
        <v>0.91300000000000003</v>
      </c>
      <c r="AZ650">
        <v>6064.9193587765631</v>
      </c>
      <c r="BA650">
        <v>0.93847214018507585</v>
      </c>
      <c r="BB650" s="62">
        <v>5691.7578999999996</v>
      </c>
      <c r="BC650" s="60">
        <v>39.992379486042083</v>
      </c>
    </row>
    <row r="651" spans="1:55" x14ac:dyDescent="0.25">
      <c r="A651">
        <v>209301</v>
      </c>
      <c r="B651" t="s">
        <v>205</v>
      </c>
      <c r="C651">
        <v>2020</v>
      </c>
      <c r="D651">
        <v>3</v>
      </c>
      <c r="E651" t="s">
        <v>100</v>
      </c>
      <c r="F651" t="s">
        <v>426</v>
      </c>
      <c r="G651" t="s">
        <v>84</v>
      </c>
      <c r="H651" t="s">
        <v>87</v>
      </c>
      <c r="I651" t="s">
        <v>427</v>
      </c>
      <c r="J651">
        <v>-5.8835884299999996</v>
      </c>
      <c r="K651" t="s">
        <v>440</v>
      </c>
      <c r="L651" t="s">
        <v>450</v>
      </c>
      <c r="M651">
        <v>0.26601384014995</v>
      </c>
      <c r="N651">
        <v>1.56511595164048</v>
      </c>
      <c r="O651">
        <v>47588.953000000001</v>
      </c>
      <c r="P651">
        <v>1.500949E-6</v>
      </c>
      <c r="Q651">
        <v>0.14285700000000001</v>
      </c>
      <c r="R651" s="60">
        <v>0.22358776950350401</v>
      </c>
      <c r="S651" t="s">
        <v>347</v>
      </c>
      <c r="T651" t="s">
        <v>437</v>
      </c>
      <c r="U651" t="s">
        <v>425</v>
      </c>
      <c r="V651" t="s">
        <v>26</v>
      </c>
      <c r="W651">
        <v>111.133</v>
      </c>
      <c r="X651">
        <v>1.0541007448257309</v>
      </c>
      <c r="Y651">
        <v>117.145378074718</v>
      </c>
      <c r="Z651">
        <v>640.82000000000005</v>
      </c>
      <c r="AA651">
        <v>1</v>
      </c>
      <c r="AB651">
        <v>75.069101177840764</v>
      </c>
      <c r="AC651">
        <v>0.99109999999999998</v>
      </c>
      <c r="AD651" s="62">
        <v>74.400999999999996</v>
      </c>
      <c r="AE651">
        <v>8.9176000000000002</v>
      </c>
      <c r="AF651">
        <v>9.4000488020579382</v>
      </c>
      <c r="AG651">
        <v>1</v>
      </c>
      <c r="AH651">
        <v>6023.7392733347688</v>
      </c>
      <c r="AI651">
        <v>0.9830373970836227</v>
      </c>
      <c r="AJ651" s="62">
        <v>5921.5609999999997</v>
      </c>
      <c r="AK651" s="60">
        <v>1323.988615968939</v>
      </c>
      <c r="AL651" t="s">
        <v>348</v>
      </c>
      <c r="AM651" t="s">
        <v>438</v>
      </c>
      <c r="AN651" t="s">
        <v>425</v>
      </c>
      <c r="AO651" t="s">
        <v>26</v>
      </c>
      <c r="AP651">
        <v>111.133</v>
      </c>
      <c r="AQ651">
        <v>1.0727760310708341</v>
      </c>
      <c r="AR651">
        <v>119.22081866099499</v>
      </c>
      <c r="AS651">
        <v>694.38</v>
      </c>
      <c r="AT651">
        <v>0.875</v>
      </c>
      <c r="AU651">
        <v>72.436483054094012</v>
      </c>
      <c r="AV651">
        <v>0.98270000000000002</v>
      </c>
      <c r="AW651" s="62">
        <v>71.183000000000007</v>
      </c>
      <c r="AX651">
        <v>8.9176000000000002</v>
      </c>
      <c r="AY651">
        <v>0.91300000000000003</v>
      </c>
      <c r="AZ651">
        <v>6064.9193587765631</v>
      </c>
      <c r="BA651">
        <v>0.99365142346989388</v>
      </c>
      <c r="BB651" s="62">
        <v>6026.4157999999998</v>
      </c>
      <c r="BC651" s="60">
        <v>1347.4328668226749</v>
      </c>
    </row>
    <row r="652" spans="1:55" x14ac:dyDescent="0.25">
      <c r="A652">
        <v>209303</v>
      </c>
      <c r="B652" t="s">
        <v>205</v>
      </c>
      <c r="C652">
        <v>2020</v>
      </c>
      <c r="D652">
        <v>3</v>
      </c>
      <c r="E652" t="s">
        <v>100</v>
      </c>
      <c r="F652" t="s">
        <v>426</v>
      </c>
      <c r="G652" t="s">
        <v>84</v>
      </c>
      <c r="H652" t="s">
        <v>87</v>
      </c>
      <c r="I652" t="s">
        <v>427</v>
      </c>
      <c r="J652">
        <v>-5.8835884299999996</v>
      </c>
      <c r="K652" t="s">
        <v>440</v>
      </c>
      <c r="L652" t="s">
        <v>384</v>
      </c>
      <c r="M652">
        <v>3.9509559941419997E-2</v>
      </c>
      <c r="N652">
        <v>0.2324579896736014</v>
      </c>
      <c r="O652">
        <v>47588.953000000001</v>
      </c>
      <c r="P652">
        <v>1.500949E-6</v>
      </c>
      <c r="Q652">
        <v>0.14285700000000001</v>
      </c>
      <c r="R652" s="60">
        <v>3.3208251030801668E-2</v>
      </c>
      <c r="S652" t="s">
        <v>347</v>
      </c>
      <c r="T652" t="s">
        <v>437</v>
      </c>
      <c r="U652" t="s">
        <v>425</v>
      </c>
      <c r="V652" t="s">
        <v>81</v>
      </c>
      <c r="W652">
        <v>111.133</v>
      </c>
      <c r="X652">
        <v>1.0541007448257309</v>
      </c>
      <c r="Y652">
        <v>117.145378074718</v>
      </c>
      <c r="Z652">
        <v>640.82000000000005</v>
      </c>
      <c r="AA652">
        <v>1</v>
      </c>
      <c r="AB652">
        <v>75.069101177840764</v>
      </c>
      <c r="AC652">
        <v>0.93830000000000002</v>
      </c>
      <c r="AD652" s="62">
        <v>70.436999999999998</v>
      </c>
      <c r="AE652">
        <v>8.9176000000000002</v>
      </c>
      <c r="AF652">
        <v>9.4000488020579382</v>
      </c>
      <c r="AG652">
        <v>1</v>
      </c>
      <c r="AH652">
        <v>6023.7392733347688</v>
      </c>
      <c r="AI652">
        <v>1.098016605166052</v>
      </c>
      <c r="AJ652" s="62">
        <v>6614.1656999999996</v>
      </c>
      <c r="AK652" s="60">
        <v>219.6448749249181</v>
      </c>
      <c r="AL652" t="s">
        <v>348</v>
      </c>
      <c r="AM652" t="s">
        <v>438</v>
      </c>
      <c r="AN652" t="s">
        <v>425</v>
      </c>
      <c r="AO652" t="s">
        <v>81</v>
      </c>
      <c r="AP652">
        <v>111.133</v>
      </c>
      <c r="AQ652">
        <v>1.0727760310708341</v>
      </c>
      <c r="AR652">
        <v>119.22081866099499</v>
      </c>
      <c r="AS652">
        <v>694.38</v>
      </c>
      <c r="AT652">
        <v>0.875</v>
      </c>
      <c r="AU652">
        <v>72.436483054094012</v>
      </c>
      <c r="AV652">
        <v>0.93500000000000005</v>
      </c>
      <c r="AW652" s="62">
        <v>67.727999999999994</v>
      </c>
      <c r="AX652">
        <v>8.9176000000000002</v>
      </c>
      <c r="AY652">
        <v>0.91300000000000003</v>
      </c>
      <c r="AZ652">
        <v>6064.9193587765631</v>
      </c>
      <c r="BA652">
        <v>1.096171586715867</v>
      </c>
      <c r="BB652" s="62">
        <v>6648.1922999999997</v>
      </c>
      <c r="BC652" s="60">
        <v>220.77483879944279</v>
      </c>
    </row>
    <row r="653" spans="1:55" x14ac:dyDescent="0.25">
      <c r="A653">
        <v>209305</v>
      </c>
      <c r="B653" t="s">
        <v>205</v>
      </c>
      <c r="C653">
        <v>2020</v>
      </c>
      <c r="D653">
        <v>3</v>
      </c>
      <c r="E653" t="s">
        <v>100</v>
      </c>
      <c r="F653" t="s">
        <v>426</v>
      </c>
      <c r="G653" t="s">
        <v>84</v>
      </c>
      <c r="H653" t="s">
        <v>87</v>
      </c>
      <c r="I653" t="s">
        <v>427</v>
      </c>
      <c r="J653">
        <v>-5.8835884299999996</v>
      </c>
      <c r="K653" t="s">
        <v>440</v>
      </c>
      <c r="L653" t="s">
        <v>385</v>
      </c>
      <c r="M653">
        <v>0.39737542925016001</v>
      </c>
      <c r="N653">
        <v>2.3379934771770752</v>
      </c>
      <c r="O653">
        <v>47588.953000000001</v>
      </c>
      <c r="P653">
        <v>1.500949E-6</v>
      </c>
      <c r="Q653">
        <v>0.14285700000000001</v>
      </c>
      <c r="R653" s="60">
        <v>0.33399873416908538</v>
      </c>
      <c r="S653" t="s">
        <v>347</v>
      </c>
      <c r="T653" t="s">
        <v>437</v>
      </c>
      <c r="U653" t="s">
        <v>425</v>
      </c>
      <c r="V653" t="s">
        <v>27</v>
      </c>
      <c r="W653">
        <v>111.133</v>
      </c>
      <c r="X653">
        <v>1.0541007448257309</v>
      </c>
      <c r="Y653">
        <v>117.145378074718</v>
      </c>
      <c r="Z653">
        <v>640.82000000000005</v>
      </c>
      <c r="AA653">
        <v>1</v>
      </c>
      <c r="AB653">
        <v>75.069101177840764</v>
      </c>
      <c r="AC653">
        <v>0.95889999999999997</v>
      </c>
      <c r="AD653" s="62">
        <v>71.983999999999995</v>
      </c>
      <c r="AE653">
        <v>8.9176000000000002</v>
      </c>
      <c r="AF653">
        <v>9.4000488020579382</v>
      </c>
      <c r="AG653">
        <v>1</v>
      </c>
      <c r="AH653">
        <v>6023.7392733347688</v>
      </c>
      <c r="AI653">
        <v>0.99097621000820357</v>
      </c>
      <c r="AJ653" s="62">
        <v>5969.3823000000002</v>
      </c>
      <c r="AK653" s="60">
        <v>1993.7661319713441</v>
      </c>
      <c r="AL653" t="s">
        <v>348</v>
      </c>
      <c r="AM653" t="s">
        <v>438</v>
      </c>
      <c r="AN653" t="s">
        <v>425</v>
      </c>
      <c r="AO653" t="s">
        <v>27</v>
      </c>
      <c r="AP653">
        <v>111.133</v>
      </c>
      <c r="AQ653">
        <v>1.0727760310708341</v>
      </c>
      <c r="AR653">
        <v>119.22081866099499</v>
      </c>
      <c r="AS653">
        <v>694.38</v>
      </c>
      <c r="AT653">
        <v>0.875</v>
      </c>
      <c r="AU653">
        <v>72.436483054094012</v>
      </c>
      <c r="AV653">
        <v>0.95369999999999999</v>
      </c>
      <c r="AW653" s="62">
        <v>69.082999999999998</v>
      </c>
      <c r="AX653">
        <v>8.9176000000000002</v>
      </c>
      <c r="AY653">
        <v>0.91300000000000003</v>
      </c>
      <c r="AZ653">
        <v>6064.9193587765631</v>
      </c>
      <c r="BA653">
        <v>1.007895816242822</v>
      </c>
      <c r="BB653" s="62">
        <v>6112.8068000000003</v>
      </c>
      <c r="BC653" s="60">
        <v>2041.6697334201781</v>
      </c>
    </row>
    <row r="654" spans="1:55" x14ac:dyDescent="0.25">
      <c r="A654">
        <v>209307</v>
      </c>
      <c r="B654" t="s">
        <v>205</v>
      </c>
      <c r="C654">
        <v>2020</v>
      </c>
      <c r="D654">
        <v>3</v>
      </c>
      <c r="E654" t="s">
        <v>100</v>
      </c>
      <c r="F654" t="s">
        <v>426</v>
      </c>
      <c r="G654" t="s">
        <v>84</v>
      </c>
      <c r="H654" t="s">
        <v>87</v>
      </c>
      <c r="I654" t="s">
        <v>427</v>
      </c>
      <c r="J654">
        <v>-5.8835884299999996</v>
      </c>
      <c r="K654" t="s">
        <v>440</v>
      </c>
      <c r="L654" t="s">
        <v>452</v>
      </c>
      <c r="M654">
        <v>8.4248020759000004E-4</v>
      </c>
      <c r="N654">
        <v>4.9568068003424878E-3</v>
      </c>
      <c r="O654">
        <v>47588.953000000001</v>
      </c>
      <c r="P654">
        <v>1.500949E-6</v>
      </c>
      <c r="Q654">
        <v>0.14285700000000001</v>
      </c>
      <c r="R654" s="60">
        <v>7.0811454907652679E-4</v>
      </c>
      <c r="S654" t="s">
        <v>347</v>
      </c>
      <c r="T654" t="s">
        <v>437</v>
      </c>
      <c r="U654" t="s">
        <v>425</v>
      </c>
      <c r="V654" t="s">
        <v>28</v>
      </c>
      <c r="W654">
        <v>111.133</v>
      </c>
      <c r="X654">
        <v>1.0541007448257309</v>
      </c>
      <c r="Y654">
        <v>117.145378074718</v>
      </c>
      <c r="Z654">
        <v>640.82000000000005</v>
      </c>
      <c r="AA654">
        <v>1</v>
      </c>
      <c r="AB654">
        <v>75.069101177840764</v>
      </c>
      <c r="AC654">
        <v>1.0073000000000001</v>
      </c>
      <c r="AD654" s="62">
        <v>75.617000000000004</v>
      </c>
      <c r="AE654">
        <v>8.9176000000000002</v>
      </c>
      <c r="AF654">
        <v>9.4000488020579382</v>
      </c>
      <c r="AG654">
        <v>1</v>
      </c>
      <c r="AH654">
        <v>6023.7392733347688</v>
      </c>
      <c r="AI654">
        <v>0.99399488088206345</v>
      </c>
      <c r="AJ654" s="62">
        <v>5987.5659999999998</v>
      </c>
      <c r="AK654" s="60">
        <v>4.2398825981559431</v>
      </c>
      <c r="AL654" t="s">
        <v>348</v>
      </c>
      <c r="AM654" t="s">
        <v>438</v>
      </c>
      <c r="AN654" t="s">
        <v>425</v>
      </c>
      <c r="AO654" t="s">
        <v>28</v>
      </c>
      <c r="AP654">
        <v>111.133</v>
      </c>
      <c r="AQ654">
        <v>1.0727760310708341</v>
      </c>
      <c r="AR654">
        <v>119.22081866099499</v>
      </c>
      <c r="AS654">
        <v>694.38</v>
      </c>
      <c r="AT654">
        <v>0.875</v>
      </c>
      <c r="AU654">
        <v>72.436483054094012</v>
      </c>
      <c r="AV654">
        <v>0.99250000000000005</v>
      </c>
      <c r="AW654" s="62">
        <v>71.893000000000001</v>
      </c>
      <c r="AX654">
        <v>8.9176000000000002</v>
      </c>
      <c r="AY654">
        <v>0.91300000000000003</v>
      </c>
      <c r="AZ654">
        <v>6064.9193587765631</v>
      </c>
      <c r="BA654">
        <v>0.93847214018507585</v>
      </c>
      <c r="BB654" s="62">
        <v>5691.7578999999996</v>
      </c>
      <c r="BC654" s="60">
        <v>4.0304165788112591</v>
      </c>
    </row>
    <row r="655" spans="1:55" x14ac:dyDescent="0.25">
      <c r="A655">
        <v>209309</v>
      </c>
      <c r="B655" t="s">
        <v>205</v>
      </c>
      <c r="C655">
        <v>2020</v>
      </c>
      <c r="D655">
        <v>3</v>
      </c>
      <c r="E655" t="s">
        <v>100</v>
      </c>
      <c r="F655" t="s">
        <v>426</v>
      </c>
      <c r="G655" t="s">
        <v>84</v>
      </c>
      <c r="H655" t="s">
        <v>59</v>
      </c>
      <c r="I655" t="s">
        <v>427</v>
      </c>
      <c r="J655">
        <v>-17.390262679999999</v>
      </c>
      <c r="K655" t="s">
        <v>440</v>
      </c>
      <c r="L655" t="s">
        <v>450</v>
      </c>
      <c r="M655">
        <v>0.15931709696460999</v>
      </c>
      <c r="N655">
        <v>2.7705661656409961</v>
      </c>
      <c r="O655">
        <v>47588.953000000001</v>
      </c>
      <c r="P655">
        <v>1.500949E-6</v>
      </c>
      <c r="Q655">
        <v>0.14285700000000001</v>
      </c>
      <c r="R655" s="60">
        <v>0.39579477072497582</v>
      </c>
      <c r="S655" t="s">
        <v>347</v>
      </c>
      <c r="T655" t="s">
        <v>437</v>
      </c>
      <c r="U655" t="s">
        <v>425</v>
      </c>
      <c r="V655" t="s">
        <v>26</v>
      </c>
      <c r="W655">
        <v>111.133</v>
      </c>
      <c r="X655">
        <v>1.0541007448257309</v>
      </c>
      <c r="Y655">
        <v>117.145378074718</v>
      </c>
      <c r="Z655">
        <v>640.82000000000005</v>
      </c>
      <c r="AA655">
        <v>1</v>
      </c>
      <c r="AB655">
        <v>75.069101177840764</v>
      </c>
      <c r="AC655">
        <v>0.99109999999999998</v>
      </c>
      <c r="AD655" s="62">
        <v>74.400999999999996</v>
      </c>
      <c r="AE655">
        <v>8.9176000000000002</v>
      </c>
      <c r="AF655">
        <v>9.4000488020579382</v>
      </c>
      <c r="AG655">
        <v>1</v>
      </c>
      <c r="AH655">
        <v>6023.7392733347688</v>
      </c>
      <c r="AI655">
        <v>0.9830373970836227</v>
      </c>
      <c r="AJ655" s="62">
        <v>5921.5609999999997</v>
      </c>
      <c r="AK655" s="60">
        <v>2343.7228783289579</v>
      </c>
      <c r="AL655" t="s">
        <v>348</v>
      </c>
      <c r="AM655" t="s">
        <v>438</v>
      </c>
      <c r="AN655" t="s">
        <v>425</v>
      </c>
      <c r="AO655" t="s">
        <v>26</v>
      </c>
      <c r="AP655">
        <v>111.133</v>
      </c>
      <c r="AQ655">
        <v>1.0727760310708341</v>
      </c>
      <c r="AR655">
        <v>119.22081866099499</v>
      </c>
      <c r="AS655">
        <v>694.38</v>
      </c>
      <c r="AT655">
        <v>0.875</v>
      </c>
      <c r="AU655">
        <v>72.436483054094012</v>
      </c>
      <c r="AV655">
        <v>0.98270000000000002</v>
      </c>
      <c r="AW655" s="62">
        <v>71.183000000000007</v>
      </c>
      <c r="AX655">
        <v>8.9176000000000002</v>
      </c>
      <c r="AY655">
        <v>0.91300000000000003</v>
      </c>
      <c r="AZ655">
        <v>6064.9193587765631</v>
      </c>
      <c r="BA655">
        <v>0.99365142346989388</v>
      </c>
      <c r="BB655" s="62">
        <v>6026.4157999999998</v>
      </c>
      <c r="BC655" s="60">
        <v>2385.2238598543722</v>
      </c>
    </row>
    <row r="656" spans="1:55" x14ac:dyDescent="0.25">
      <c r="A656">
        <v>209311</v>
      </c>
      <c r="B656" t="s">
        <v>205</v>
      </c>
      <c r="C656">
        <v>2020</v>
      </c>
      <c r="D656">
        <v>3</v>
      </c>
      <c r="E656" t="s">
        <v>100</v>
      </c>
      <c r="F656" t="s">
        <v>426</v>
      </c>
      <c r="G656" t="s">
        <v>84</v>
      </c>
      <c r="H656" t="s">
        <v>59</v>
      </c>
      <c r="I656" t="s">
        <v>427</v>
      </c>
      <c r="J656">
        <v>-17.390262679999999</v>
      </c>
      <c r="K656" t="s">
        <v>440</v>
      </c>
      <c r="L656" t="s">
        <v>384</v>
      </c>
      <c r="M656">
        <v>4.1785183859599999E-2</v>
      </c>
      <c r="N656">
        <v>0.72665532345352957</v>
      </c>
      <c r="O656">
        <v>47588.953000000001</v>
      </c>
      <c r="P656">
        <v>1.500949E-6</v>
      </c>
      <c r="Q656">
        <v>0.14285700000000001</v>
      </c>
      <c r="R656" s="60">
        <v>0.1038077995426009</v>
      </c>
      <c r="S656" t="s">
        <v>347</v>
      </c>
      <c r="T656" t="s">
        <v>437</v>
      </c>
      <c r="U656" t="s">
        <v>425</v>
      </c>
      <c r="V656" t="s">
        <v>81</v>
      </c>
      <c r="W656">
        <v>111.133</v>
      </c>
      <c r="X656">
        <v>1.0541007448257309</v>
      </c>
      <c r="Y656">
        <v>117.145378074718</v>
      </c>
      <c r="Z656">
        <v>640.82000000000005</v>
      </c>
      <c r="AA656">
        <v>1</v>
      </c>
      <c r="AB656">
        <v>75.069101177840764</v>
      </c>
      <c r="AC656">
        <v>0.93830000000000002</v>
      </c>
      <c r="AD656" s="62">
        <v>70.436999999999998</v>
      </c>
      <c r="AE656">
        <v>8.9176000000000002</v>
      </c>
      <c r="AF656">
        <v>9.4000488020579382</v>
      </c>
      <c r="AG656">
        <v>1</v>
      </c>
      <c r="AH656">
        <v>6023.7392733347688</v>
      </c>
      <c r="AI656">
        <v>1.098016605166052</v>
      </c>
      <c r="AJ656" s="62">
        <v>6614.1656999999996</v>
      </c>
      <c r="AK656" s="60">
        <v>686.60198712714646</v>
      </c>
      <c r="AL656" t="s">
        <v>348</v>
      </c>
      <c r="AM656" t="s">
        <v>438</v>
      </c>
      <c r="AN656" t="s">
        <v>425</v>
      </c>
      <c r="AO656" t="s">
        <v>81</v>
      </c>
      <c r="AP656">
        <v>111.133</v>
      </c>
      <c r="AQ656">
        <v>1.0727760310708341</v>
      </c>
      <c r="AR656">
        <v>119.22081866099499</v>
      </c>
      <c r="AS656">
        <v>694.38</v>
      </c>
      <c r="AT656">
        <v>0.875</v>
      </c>
      <c r="AU656">
        <v>72.436483054094012</v>
      </c>
      <c r="AV656">
        <v>0.93500000000000005</v>
      </c>
      <c r="AW656" s="62">
        <v>67.727999999999994</v>
      </c>
      <c r="AX656">
        <v>8.9176000000000002</v>
      </c>
      <c r="AY656">
        <v>0.91300000000000003</v>
      </c>
      <c r="AZ656">
        <v>6064.9193587765631</v>
      </c>
      <c r="BA656">
        <v>1.096171586715867</v>
      </c>
      <c r="BB656" s="62">
        <v>6648.1922999999997</v>
      </c>
      <c r="BC656" s="60">
        <v>690.13421359906272</v>
      </c>
    </row>
    <row r="657" spans="1:55" x14ac:dyDescent="0.25">
      <c r="A657">
        <v>209313</v>
      </c>
      <c r="B657" t="s">
        <v>205</v>
      </c>
      <c r="C657">
        <v>2020</v>
      </c>
      <c r="D657">
        <v>3</v>
      </c>
      <c r="E657" t="s">
        <v>100</v>
      </c>
      <c r="F657" t="s">
        <v>426</v>
      </c>
      <c r="G657" t="s">
        <v>84</v>
      </c>
      <c r="H657" t="s">
        <v>59</v>
      </c>
      <c r="I657" t="s">
        <v>427</v>
      </c>
      <c r="J657">
        <v>-17.390262679999999</v>
      </c>
      <c r="K657" t="s">
        <v>440</v>
      </c>
      <c r="L657" t="s">
        <v>385</v>
      </c>
      <c r="M657">
        <v>0.43497567483749999</v>
      </c>
      <c r="N657">
        <v>7.5643412448655099</v>
      </c>
      <c r="O657">
        <v>47588.953000000001</v>
      </c>
      <c r="P657">
        <v>1.500949E-6</v>
      </c>
      <c r="Q657">
        <v>0.14285700000000001</v>
      </c>
      <c r="R657" s="60">
        <v>1.0806190972177521</v>
      </c>
      <c r="S657" t="s">
        <v>347</v>
      </c>
      <c r="T657" t="s">
        <v>437</v>
      </c>
      <c r="U657" t="s">
        <v>425</v>
      </c>
      <c r="V657" t="s">
        <v>27</v>
      </c>
      <c r="W657">
        <v>111.133</v>
      </c>
      <c r="X657">
        <v>1.0541007448257309</v>
      </c>
      <c r="Y657">
        <v>117.145378074718</v>
      </c>
      <c r="Z657">
        <v>640.82000000000005</v>
      </c>
      <c r="AA657">
        <v>1</v>
      </c>
      <c r="AB657">
        <v>75.069101177840764</v>
      </c>
      <c r="AC657">
        <v>0.95889999999999997</v>
      </c>
      <c r="AD657" s="62">
        <v>71.983999999999995</v>
      </c>
      <c r="AE657">
        <v>8.9176000000000002</v>
      </c>
      <c r="AF657">
        <v>9.4000488020579382</v>
      </c>
      <c r="AG657">
        <v>1</v>
      </c>
      <c r="AH657">
        <v>6023.7392733347688</v>
      </c>
      <c r="AI657">
        <v>0.99097621000820357</v>
      </c>
      <c r="AJ657" s="62">
        <v>5969.3823000000002</v>
      </c>
      <c r="AK657" s="60">
        <v>6450.6285119736303</v>
      </c>
      <c r="AL657" t="s">
        <v>348</v>
      </c>
      <c r="AM657" t="s">
        <v>438</v>
      </c>
      <c r="AN657" t="s">
        <v>425</v>
      </c>
      <c r="AO657" t="s">
        <v>27</v>
      </c>
      <c r="AP657">
        <v>111.133</v>
      </c>
      <c r="AQ657">
        <v>1.0727760310708341</v>
      </c>
      <c r="AR657">
        <v>119.22081866099499</v>
      </c>
      <c r="AS657">
        <v>694.38</v>
      </c>
      <c r="AT657">
        <v>0.875</v>
      </c>
      <c r="AU657">
        <v>72.436483054094012</v>
      </c>
      <c r="AV657">
        <v>0.95369999999999999</v>
      </c>
      <c r="AW657" s="62">
        <v>69.082999999999998</v>
      </c>
      <c r="AX657">
        <v>8.9176000000000002</v>
      </c>
      <c r="AY657">
        <v>0.91300000000000003</v>
      </c>
      <c r="AZ657">
        <v>6064.9193587765631</v>
      </c>
      <c r="BA657">
        <v>1.007895816242822</v>
      </c>
      <c r="BB657" s="62">
        <v>6112.8068000000003</v>
      </c>
      <c r="BC657" s="60">
        <v>6605.615765682538</v>
      </c>
    </row>
    <row r="658" spans="1:55" x14ac:dyDescent="0.25">
      <c r="A658">
        <v>209315</v>
      </c>
      <c r="B658" t="s">
        <v>205</v>
      </c>
      <c r="C658">
        <v>2020</v>
      </c>
      <c r="D658">
        <v>3</v>
      </c>
      <c r="E658" t="s">
        <v>100</v>
      </c>
      <c r="F658" t="s">
        <v>426</v>
      </c>
      <c r="G658" t="s">
        <v>84</v>
      </c>
      <c r="H658" t="s">
        <v>59</v>
      </c>
      <c r="I658" t="s">
        <v>427</v>
      </c>
      <c r="J658">
        <v>-17.390262679999999</v>
      </c>
      <c r="K658" t="s">
        <v>440</v>
      </c>
      <c r="L658" t="s">
        <v>451</v>
      </c>
      <c r="M658">
        <v>1.7625750762999999E-3</v>
      </c>
      <c r="N658">
        <v>3.065164357020414E-2</v>
      </c>
      <c r="O658">
        <v>47588.953000000001</v>
      </c>
      <c r="P658">
        <v>1.500949E-6</v>
      </c>
      <c r="Q658">
        <v>0.14285700000000001</v>
      </c>
      <c r="R658" s="60">
        <v>4.3788018455086534E-3</v>
      </c>
      <c r="S658" t="s">
        <v>347</v>
      </c>
      <c r="T658" t="s">
        <v>437</v>
      </c>
      <c r="U658" t="s">
        <v>425</v>
      </c>
      <c r="V658" t="s">
        <v>91</v>
      </c>
      <c r="W658">
        <v>111.133</v>
      </c>
      <c r="X658">
        <v>1.0541007448257309</v>
      </c>
      <c r="Y658">
        <v>117.145378074718</v>
      </c>
      <c r="Z658">
        <v>640.82000000000005</v>
      </c>
      <c r="AA658">
        <v>1</v>
      </c>
      <c r="AB658">
        <v>75.069101177840764</v>
      </c>
      <c r="AC658">
        <v>1.0088999999999999</v>
      </c>
      <c r="AD658" s="62">
        <v>75.736999999999995</v>
      </c>
      <c r="AE658">
        <v>8.9176000000000002</v>
      </c>
      <c r="AF658">
        <v>9.4000488020579382</v>
      </c>
      <c r="AG658">
        <v>1</v>
      </c>
      <c r="AH658">
        <v>6023.7392733347688</v>
      </c>
      <c r="AI658">
        <v>0.99316673174541203</v>
      </c>
      <c r="AJ658" s="62">
        <v>5982.5774000000001</v>
      </c>
      <c r="AK658" s="60">
        <v>26.196520960018361</v>
      </c>
      <c r="AL658" t="s">
        <v>348</v>
      </c>
      <c r="AM658" t="s">
        <v>438</v>
      </c>
      <c r="AN658" t="s">
        <v>425</v>
      </c>
      <c r="AO658" t="s">
        <v>91</v>
      </c>
      <c r="AP658">
        <v>111.133</v>
      </c>
      <c r="AQ658">
        <v>1.0727760310708341</v>
      </c>
      <c r="AR658">
        <v>119.22081866099499</v>
      </c>
      <c r="AS658">
        <v>694.38</v>
      </c>
      <c r="AT658">
        <v>0.875</v>
      </c>
      <c r="AU658">
        <v>72.436483054094012</v>
      </c>
      <c r="AV658">
        <v>1.0179</v>
      </c>
      <c r="AW658" s="62">
        <v>73.733000000000004</v>
      </c>
      <c r="AX658">
        <v>8.9176000000000002</v>
      </c>
      <c r="AY658">
        <v>0.91300000000000003</v>
      </c>
      <c r="AZ658">
        <v>6064.9193587765631</v>
      </c>
      <c r="BA658">
        <v>0.98975009761811794</v>
      </c>
      <c r="BB658" s="62">
        <v>6002.7545</v>
      </c>
      <c r="BC658" s="60">
        <v>26.28487248273537</v>
      </c>
    </row>
    <row r="659" spans="1:55" x14ac:dyDescent="0.25">
      <c r="A659">
        <v>209317</v>
      </c>
      <c r="B659" t="s">
        <v>205</v>
      </c>
      <c r="C659">
        <v>2020</v>
      </c>
      <c r="D659">
        <v>3</v>
      </c>
      <c r="E659" t="s">
        <v>100</v>
      </c>
      <c r="F659" t="s">
        <v>426</v>
      </c>
      <c r="G659" t="s">
        <v>84</v>
      </c>
      <c r="H659" t="s">
        <v>59</v>
      </c>
      <c r="I659" t="s">
        <v>427</v>
      </c>
      <c r="J659">
        <v>-17.390262679999999</v>
      </c>
      <c r="K659" t="s">
        <v>440</v>
      </c>
      <c r="L659" t="s">
        <v>452</v>
      </c>
      <c r="M659">
        <v>1.4858046103299999E-3</v>
      </c>
      <c r="N659">
        <v>2.5838532464900039E-2</v>
      </c>
      <c r="O659">
        <v>47588.953000000001</v>
      </c>
      <c r="P659">
        <v>1.500949E-6</v>
      </c>
      <c r="Q659">
        <v>0.14285700000000001</v>
      </c>
      <c r="R659" s="60">
        <v>3.6912152323382249E-3</v>
      </c>
      <c r="S659" t="s">
        <v>347</v>
      </c>
      <c r="T659" t="s">
        <v>437</v>
      </c>
      <c r="U659" t="s">
        <v>425</v>
      </c>
      <c r="V659" t="s">
        <v>28</v>
      </c>
      <c r="W659">
        <v>111.133</v>
      </c>
      <c r="X659">
        <v>1.0541007448257309</v>
      </c>
      <c r="Y659">
        <v>117.145378074718</v>
      </c>
      <c r="Z659">
        <v>640.82000000000005</v>
      </c>
      <c r="AA659">
        <v>1</v>
      </c>
      <c r="AB659">
        <v>75.069101177840764</v>
      </c>
      <c r="AC659">
        <v>1.0073000000000001</v>
      </c>
      <c r="AD659" s="62">
        <v>75.617000000000004</v>
      </c>
      <c r="AE659">
        <v>8.9176000000000002</v>
      </c>
      <c r="AF659">
        <v>9.4000488020579382</v>
      </c>
      <c r="AG659">
        <v>1</v>
      </c>
      <c r="AH659">
        <v>6023.7392733347688</v>
      </c>
      <c r="AI659">
        <v>0.99399488088206345</v>
      </c>
      <c r="AJ659" s="62">
        <v>5987.5659999999998</v>
      </c>
      <c r="AK659" s="60">
        <v>22.10139482383045</v>
      </c>
      <c r="AL659" t="s">
        <v>348</v>
      </c>
      <c r="AM659" t="s">
        <v>438</v>
      </c>
      <c r="AN659" t="s">
        <v>425</v>
      </c>
      <c r="AO659" t="s">
        <v>28</v>
      </c>
      <c r="AP659">
        <v>111.133</v>
      </c>
      <c r="AQ659">
        <v>1.0727760310708341</v>
      </c>
      <c r="AR659">
        <v>119.22081866099499</v>
      </c>
      <c r="AS659">
        <v>694.38</v>
      </c>
      <c r="AT659">
        <v>0.875</v>
      </c>
      <c r="AU659">
        <v>72.436483054094012</v>
      </c>
      <c r="AV659">
        <v>0.99250000000000005</v>
      </c>
      <c r="AW659" s="62">
        <v>71.893000000000001</v>
      </c>
      <c r="AX659">
        <v>8.9176000000000002</v>
      </c>
      <c r="AY659">
        <v>0.91300000000000003</v>
      </c>
      <c r="AZ659">
        <v>6064.9193587765631</v>
      </c>
      <c r="BA659">
        <v>0.93847214018507585</v>
      </c>
      <c r="BB659" s="62">
        <v>5691.7578999999996</v>
      </c>
      <c r="BC659" s="60">
        <v>21.00950345926142</v>
      </c>
    </row>
    <row r="660" spans="1:55" x14ac:dyDescent="0.25">
      <c r="A660">
        <v>216551</v>
      </c>
      <c r="B660" t="s">
        <v>209</v>
      </c>
      <c r="C660">
        <v>2020</v>
      </c>
      <c r="D660">
        <v>4</v>
      </c>
      <c r="E660" t="s">
        <v>100</v>
      </c>
      <c r="F660" t="s">
        <v>426</v>
      </c>
      <c r="G660" t="s">
        <v>84</v>
      </c>
      <c r="H660" t="s">
        <v>381</v>
      </c>
      <c r="I660" t="s">
        <v>427</v>
      </c>
      <c r="J660">
        <v>-32.004116019999998</v>
      </c>
      <c r="K660" t="s">
        <v>440</v>
      </c>
      <c r="L660" t="s">
        <v>450</v>
      </c>
      <c r="M660">
        <v>0.15011157993331001</v>
      </c>
      <c r="N660">
        <v>4.8041884206151462</v>
      </c>
      <c r="O660">
        <v>47588.953000000001</v>
      </c>
      <c r="P660">
        <v>1.500949E-6</v>
      </c>
      <c r="Q660">
        <v>0.14285700000000001</v>
      </c>
      <c r="R660" s="60">
        <v>0.686311945203818</v>
      </c>
      <c r="S660" t="s">
        <v>347</v>
      </c>
      <c r="T660" t="s">
        <v>437</v>
      </c>
      <c r="U660" t="s">
        <v>425</v>
      </c>
      <c r="V660" t="s">
        <v>26</v>
      </c>
      <c r="W660">
        <v>111.133</v>
      </c>
      <c r="X660">
        <v>1.0541007448257309</v>
      </c>
      <c r="Y660">
        <v>117.145378074718</v>
      </c>
      <c r="Z660">
        <v>640.82000000000005</v>
      </c>
      <c r="AA660">
        <v>1</v>
      </c>
      <c r="AB660">
        <v>75.069101177840764</v>
      </c>
      <c r="AC660">
        <v>0.99109999999999998</v>
      </c>
      <c r="AD660" s="62">
        <v>74.400999999999996</v>
      </c>
      <c r="AE660">
        <v>8.9176000000000002</v>
      </c>
      <c r="AF660">
        <v>9.4000488020579382</v>
      </c>
      <c r="AG660">
        <v>1</v>
      </c>
      <c r="AH660">
        <v>6023.7392733347688</v>
      </c>
      <c r="AI660">
        <v>0.9830373970836227</v>
      </c>
      <c r="AJ660" s="62">
        <v>5921.5609999999997</v>
      </c>
      <c r="AK660" s="60">
        <v>4064.038048553065</v>
      </c>
      <c r="AL660" t="s">
        <v>348</v>
      </c>
      <c r="AM660" t="s">
        <v>438</v>
      </c>
      <c r="AN660" t="s">
        <v>425</v>
      </c>
      <c r="AO660" t="s">
        <v>26</v>
      </c>
      <c r="AP660">
        <v>111.133</v>
      </c>
      <c r="AQ660">
        <v>1.0727760310708341</v>
      </c>
      <c r="AR660">
        <v>119.22081866099499</v>
      </c>
      <c r="AS660">
        <v>694.38</v>
      </c>
      <c r="AT660">
        <v>0.875</v>
      </c>
      <c r="AU660">
        <v>72.436483054094012</v>
      </c>
      <c r="AV660">
        <v>0.98270000000000002</v>
      </c>
      <c r="AW660" s="62">
        <v>71.183000000000007</v>
      </c>
      <c r="AX660">
        <v>8.9176000000000002</v>
      </c>
      <c r="AY660">
        <v>0.91300000000000003</v>
      </c>
      <c r="AZ660">
        <v>6064.9193587765631</v>
      </c>
      <c r="BA660">
        <v>0.99365142346989388</v>
      </c>
      <c r="BB660" s="62">
        <v>6026.4157999999998</v>
      </c>
      <c r="BC660" s="60">
        <v>4136.0011503050227</v>
      </c>
    </row>
    <row r="661" spans="1:55" x14ac:dyDescent="0.25">
      <c r="A661">
        <v>216553</v>
      </c>
      <c r="B661" t="s">
        <v>209</v>
      </c>
      <c r="C661">
        <v>2020</v>
      </c>
      <c r="D661">
        <v>4</v>
      </c>
      <c r="E661" t="s">
        <v>100</v>
      </c>
      <c r="F661" t="s">
        <v>426</v>
      </c>
      <c r="G661" t="s">
        <v>84</v>
      </c>
      <c r="H661" t="s">
        <v>381</v>
      </c>
      <c r="I661" t="s">
        <v>427</v>
      </c>
      <c r="J661">
        <v>-32.004116019999998</v>
      </c>
      <c r="K661" t="s">
        <v>440</v>
      </c>
      <c r="L661" t="s">
        <v>384</v>
      </c>
      <c r="M661">
        <v>4.5811354346740003E-2</v>
      </c>
      <c r="N661">
        <v>1.466151899694103</v>
      </c>
      <c r="O661">
        <v>47588.953000000001</v>
      </c>
      <c r="P661">
        <v>1.500949E-6</v>
      </c>
      <c r="Q661">
        <v>0.14285700000000001</v>
      </c>
      <c r="R661" s="60">
        <v>0.2094500619346005</v>
      </c>
      <c r="S661" t="s">
        <v>347</v>
      </c>
      <c r="T661" t="s">
        <v>437</v>
      </c>
      <c r="U661" t="s">
        <v>425</v>
      </c>
      <c r="V661" t="s">
        <v>81</v>
      </c>
      <c r="W661">
        <v>111.133</v>
      </c>
      <c r="X661">
        <v>1.0541007448257309</v>
      </c>
      <c r="Y661">
        <v>117.145378074718</v>
      </c>
      <c r="Z661">
        <v>640.82000000000005</v>
      </c>
      <c r="AA661">
        <v>1</v>
      </c>
      <c r="AB661">
        <v>75.069101177840764</v>
      </c>
      <c r="AC661">
        <v>0.93830000000000002</v>
      </c>
      <c r="AD661" s="62">
        <v>70.436999999999998</v>
      </c>
      <c r="AE661">
        <v>8.9176000000000002</v>
      </c>
      <c r="AF661">
        <v>9.4000488020579382</v>
      </c>
      <c r="AG661">
        <v>1</v>
      </c>
      <c r="AH661">
        <v>6023.7392733347688</v>
      </c>
      <c r="AI661">
        <v>1.098016605166052</v>
      </c>
      <c r="AJ661" s="62">
        <v>6614.1656999999996</v>
      </c>
      <c r="AK661" s="60">
        <v>1385.3374155107099</v>
      </c>
      <c r="AL661" t="s">
        <v>348</v>
      </c>
      <c r="AM661" t="s">
        <v>438</v>
      </c>
      <c r="AN661" t="s">
        <v>425</v>
      </c>
      <c r="AO661" t="s">
        <v>81</v>
      </c>
      <c r="AP661">
        <v>111.133</v>
      </c>
      <c r="AQ661">
        <v>1.0727760310708341</v>
      </c>
      <c r="AR661">
        <v>119.22081866099499</v>
      </c>
      <c r="AS661">
        <v>694.38</v>
      </c>
      <c r="AT661">
        <v>0.875</v>
      </c>
      <c r="AU661">
        <v>72.436483054094012</v>
      </c>
      <c r="AV661">
        <v>0.93500000000000005</v>
      </c>
      <c r="AW661" s="62">
        <v>67.727999999999994</v>
      </c>
      <c r="AX661">
        <v>8.9176000000000002</v>
      </c>
      <c r="AY661">
        <v>0.91300000000000003</v>
      </c>
      <c r="AZ661">
        <v>6064.9193587765631</v>
      </c>
      <c r="BA661">
        <v>1.096171586715867</v>
      </c>
      <c r="BB661" s="62">
        <v>6648.1922999999997</v>
      </c>
      <c r="BC661" s="60">
        <v>1392.4642889881341</v>
      </c>
    </row>
    <row r="662" spans="1:55" x14ac:dyDescent="0.25">
      <c r="A662">
        <v>216555</v>
      </c>
      <c r="B662" t="s">
        <v>209</v>
      </c>
      <c r="C662">
        <v>2020</v>
      </c>
      <c r="D662">
        <v>4</v>
      </c>
      <c r="E662" t="s">
        <v>100</v>
      </c>
      <c r="F662" t="s">
        <v>426</v>
      </c>
      <c r="G662" t="s">
        <v>84</v>
      </c>
      <c r="H662" t="s">
        <v>381</v>
      </c>
      <c r="I662" t="s">
        <v>427</v>
      </c>
      <c r="J662">
        <v>-32.004116019999998</v>
      </c>
      <c r="K662" t="s">
        <v>440</v>
      </c>
      <c r="L662" t="s">
        <v>385</v>
      </c>
      <c r="M662">
        <v>0.43232641346992001</v>
      </c>
      <c r="N662">
        <v>13.836224696595711</v>
      </c>
      <c r="O662">
        <v>47588.953000000001</v>
      </c>
      <c r="P662">
        <v>1.500949E-6</v>
      </c>
      <c r="Q662">
        <v>0.14285700000000001</v>
      </c>
      <c r="R662" s="60">
        <v>1.976601551481574</v>
      </c>
      <c r="S662" t="s">
        <v>347</v>
      </c>
      <c r="T662" t="s">
        <v>437</v>
      </c>
      <c r="U662" t="s">
        <v>425</v>
      </c>
      <c r="V662" t="s">
        <v>27</v>
      </c>
      <c r="W662">
        <v>111.133</v>
      </c>
      <c r="X662">
        <v>1.0541007448257309</v>
      </c>
      <c r="Y662">
        <v>117.145378074718</v>
      </c>
      <c r="Z662">
        <v>640.82000000000005</v>
      </c>
      <c r="AA662">
        <v>1</v>
      </c>
      <c r="AB662">
        <v>75.069101177840764</v>
      </c>
      <c r="AC662">
        <v>0.95889999999999997</v>
      </c>
      <c r="AD662" s="62">
        <v>71.983999999999995</v>
      </c>
      <c r="AE662">
        <v>8.9176000000000002</v>
      </c>
      <c r="AF662">
        <v>9.4000488020579382</v>
      </c>
      <c r="AG662">
        <v>1</v>
      </c>
      <c r="AH662">
        <v>6023.7392733347688</v>
      </c>
      <c r="AI662">
        <v>0.99097621000820357</v>
      </c>
      <c r="AJ662" s="62">
        <v>5969.3823000000002</v>
      </c>
      <c r="AK662" s="60">
        <v>11799.090315566649</v>
      </c>
      <c r="AL662" t="s">
        <v>348</v>
      </c>
      <c r="AM662" t="s">
        <v>438</v>
      </c>
      <c r="AN662" t="s">
        <v>425</v>
      </c>
      <c r="AO662" t="s">
        <v>27</v>
      </c>
      <c r="AP662">
        <v>111.133</v>
      </c>
      <c r="AQ662">
        <v>1.0727760310708341</v>
      </c>
      <c r="AR662">
        <v>119.22081866099499</v>
      </c>
      <c r="AS662">
        <v>694.38</v>
      </c>
      <c r="AT662">
        <v>0.875</v>
      </c>
      <c r="AU662">
        <v>72.436483054094012</v>
      </c>
      <c r="AV662">
        <v>0.95369999999999999</v>
      </c>
      <c r="AW662" s="62">
        <v>69.082999999999998</v>
      </c>
      <c r="AX662">
        <v>8.9176000000000002</v>
      </c>
      <c r="AY662">
        <v>0.91300000000000003</v>
      </c>
      <c r="AZ662">
        <v>6064.9193587765631</v>
      </c>
      <c r="BA662">
        <v>1.007895816242822</v>
      </c>
      <c r="BB662" s="62">
        <v>6112.8068000000003</v>
      </c>
      <c r="BC662" s="60">
        <v>12082.583404787119</v>
      </c>
    </row>
    <row r="663" spans="1:55" x14ac:dyDescent="0.25">
      <c r="A663">
        <v>216557</v>
      </c>
      <c r="B663" t="s">
        <v>209</v>
      </c>
      <c r="C663">
        <v>2020</v>
      </c>
      <c r="D663">
        <v>4</v>
      </c>
      <c r="E663" t="s">
        <v>100</v>
      </c>
      <c r="F663" t="s">
        <v>426</v>
      </c>
      <c r="G663" t="s">
        <v>84</v>
      </c>
      <c r="H663" t="s">
        <v>381</v>
      </c>
      <c r="I663" t="s">
        <v>427</v>
      </c>
      <c r="J663">
        <v>-32.004116019999998</v>
      </c>
      <c r="K663" t="s">
        <v>440</v>
      </c>
      <c r="L663" t="s">
        <v>451</v>
      </c>
      <c r="M663">
        <v>1.6825115802299999E-3</v>
      </c>
      <c r="N663">
        <v>5.3847295824099202E-2</v>
      </c>
      <c r="O663">
        <v>47588.953000000001</v>
      </c>
      <c r="P663">
        <v>1.500949E-6</v>
      </c>
      <c r="Q663">
        <v>0.14285700000000001</v>
      </c>
      <c r="R663" s="60">
        <v>7.6924631395433396E-3</v>
      </c>
      <c r="S663" t="s">
        <v>347</v>
      </c>
      <c r="T663" t="s">
        <v>437</v>
      </c>
      <c r="U663" t="s">
        <v>425</v>
      </c>
      <c r="V663" t="s">
        <v>91</v>
      </c>
      <c r="W663">
        <v>111.133</v>
      </c>
      <c r="X663">
        <v>1.0541007448257309</v>
      </c>
      <c r="Y663">
        <v>117.145378074718</v>
      </c>
      <c r="Z663">
        <v>640.82000000000005</v>
      </c>
      <c r="AA663">
        <v>1</v>
      </c>
      <c r="AB663">
        <v>75.069101177840764</v>
      </c>
      <c r="AC663">
        <v>1.0088999999999999</v>
      </c>
      <c r="AD663" s="62">
        <v>75.736999999999995</v>
      </c>
      <c r="AE663">
        <v>8.9176000000000002</v>
      </c>
      <c r="AF663">
        <v>9.4000488020579382</v>
      </c>
      <c r="AG663">
        <v>1</v>
      </c>
      <c r="AH663">
        <v>6023.7392733347688</v>
      </c>
      <c r="AI663">
        <v>0.99316673174541203</v>
      </c>
      <c r="AJ663" s="62">
        <v>5982.5774000000001</v>
      </c>
      <c r="AK663" s="60">
        <v>46.020756128965033</v>
      </c>
      <c r="AL663" t="s">
        <v>348</v>
      </c>
      <c r="AM663" t="s">
        <v>438</v>
      </c>
      <c r="AN663" t="s">
        <v>425</v>
      </c>
      <c r="AO663" t="s">
        <v>91</v>
      </c>
      <c r="AP663">
        <v>111.133</v>
      </c>
      <c r="AQ663">
        <v>1.0727760310708341</v>
      </c>
      <c r="AR663">
        <v>119.22081866099499</v>
      </c>
      <c r="AS663">
        <v>694.38</v>
      </c>
      <c r="AT663">
        <v>0.875</v>
      </c>
      <c r="AU663">
        <v>72.436483054094012</v>
      </c>
      <c r="AV663">
        <v>1.0179</v>
      </c>
      <c r="AW663" s="62">
        <v>73.733000000000004</v>
      </c>
      <c r="AX663">
        <v>8.9176000000000002</v>
      </c>
      <c r="AY663">
        <v>0.91300000000000003</v>
      </c>
      <c r="AZ663">
        <v>6064.9193587765631</v>
      </c>
      <c r="BA663">
        <v>0.98975009761811794</v>
      </c>
      <c r="BB663" s="62">
        <v>6002.7545</v>
      </c>
      <c r="BC663" s="60">
        <v>46.175967726977909</v>
      </c>
    </row>
    <row r="664" spans="1:55" x14ac:dyDescent="0.25">
      <c r="A664">
        <v>216559</v>
      </c>
      <c r="B664" t="s">
        <v>209</v>
      </c>
      <c r="C664">
        <v>2020</v>
      </c>
      <c r="D664">
        <v>4</v>
      </c>
      <c r="E664" t="s">
        <v>100</v>
      </c>
      <c r="F664" t="s">
        <v>426</v>
      </c>
      <c r="G664" t="s">
        <v>84</v>
      </c>
      <c r="H664" t="s">
        <v>381</v>
      </c>
      <c r="I664" t="s">
        <v>427</v>
      </c>
      <c r="J664">
        <v>-32.004116019999998</v>
      </c>
      <c r="K664" t="s">
        <v>440</v>
      </c>
      <c r="L664" t="s">
        <v>452</v>
      </c>
      <c r="M664">
        <v>1.53682162831E-3</v>
      </c>
      <c r="N664">
        <v>4.9184617699433567E-2</v>
      </c>
      <c r="O664">
        <v>47588.953000000001</v>
      </c>
      <c r="P664">
        <v>1.500949E-6</v>
      </c>
      <c r="Q664">
        <v>0.14285700000000001</v>
      </c>
      <c r="R664" s="60">
        <v>7.0263669306879816E-3</v>
      </c>
      <c r="S664" t="s">
        <v>347</v>
      </c>
      <c r="T664" t="s">
        <v>437</v>
      </c>
      <c r="U664" t="s">
        <v>425</v>
      </c>
      <c r="V664" t="s">
        <v>28</v>
      </c>
      <c r="W664">
        <v>111.133</v>
      </c>
      <c r="X664">
        <v>1.0541007448257309</v>
      </c>
      <c r="Y664">
        <v>117.145378074718</v>
      </c>
      <c r="Z664">
        <v>640.82000000000005</v>
      </c>
      <c r="AA664">
        <v>1</v>
      </c>
      <c r="AB664">
        <v>75.069101177840764</v>
      </c>
      <c r="AC664">
        <v>1.0073000000000001</v>
      </c>
      <c r="AD664" s="62">
        <v>75.617000000000004</v>
      </c>
      <c r="AE664">
        <v>8.9176000000000002</v>
      </c>
      <c r="AF664">
        <v>9.4000488020579382</v>
      </c>
      <c r="AG664">
        <v>1</v>
      </c>
      <c r="AH664">
        <v>6023.7392733347688</v>
      </c>
      <c r="AI664">
        <v>0.99399488088206345</v>
      </c>
      <c r="AJ664" s="62">
        <v>5987.5659999999998</v>
      </c>
      <c r="AK664" s="60">
        <v>42.070835737711711</v>
      </c>
      <c r="AL664" t="s">
        <v>348</v>
      </c>
      <c r="AM664" t="s">
        <v>438</v>
      </c>
      <c r="AN664" t="s">
        <v>425</v>
      </c>
      <c r="AO664" t="s">
        <v>28</v>
      </c>
      <c r="AP664">
        <v>111.133</v>
      </c>
      <c r="AQ664">
        <v>1.0727760310708341</v>
      </c>
      <c r="AR664">
        <v>119.22081866099499</v>
      </c>
      <c r="AS664">
        <v>694.38</v>
      </c>
      <c r="AT664">
        <v>0.875</v>
      </c>
      <c r="AU664">
        <v>72.436483054094012</v>
      </c>
      <c r="AV664">
        <v>0.99250000000000005</v>
      </c>
      <c r="AW664" s="62">
        <v>71.893000000000001</v>
      </c>
      <c r="AX664">
        <v>8.9176000000000002</v>
      </c>
      <c r="AY664">
        <v>0.91300000000000003</v>
      </c>
      <c r="AZ664">
        <v>6064.9193587765631</v>
      </c>
      <c r="BA664">
        <v>0.93847214018507585</v>
      </c>
      <c r="BB664" s="62">
        <v>5691.7578999999996</v>
      </c>
      <c r="BC664" s="60">
        <v>39.992379486042068</v>
      </c>
    </row>
    <row r="665" spans="1:55" x14ac:dyDescent="0.25">
      <c r="A665">
        <v>216561</v>
      </c>
      <c r="B665" t="s">
        <v>209</v>
      </c>
      <c r="C665">
        <v>2020</v>
      </c>
      <c r="D665">
        <v>4</v>
      </c>
      <c r="E665" t="s">
        <v>100</v>
      </c>
      <c r="F665" t="s">
        <v>426</v>
      </c>
      <c r="G665" t="s">
        <v>84</v>
      </c>
      <c r="H665" t="s">
        <v>87</v>
      </c>
      <c r="I665" t="s">
        <v>427</v>
      </c>
      <c r="J665">
        <v>-5.8835884299999996</v>
      </c>
      <c r="K665" t="s">
        <v>440</v>
      </c>
      <c r="L665" t="s">
        <v>450</v>
      </c>
      <c r="M665">
        <v>0.26601384014995</v>
      </c>
      <c r="N665">
        <v>1.5651159516404789</v>
      </c>
      <c r="O665">
        <v>47588.953000000001</v>
      </c>
      <c r="P665">
        <v>1.500949E-6</v>
      </c>
      <c r="Q665">
        <v>0.14285700000000001</v>
      </c>
      <c r="R665" s="60">
        <v>0.22358776950350401</v>
      </c>
      <c r="S665" t="s">
        <v>347</v>
      </c>
      <c r="T665" t="s">
        <v>437</v>
      </c>
      <c r="U665" t="s">
        <v>425</v>
      </c>
      <c r="V665" t="s">
        <v>26</v>
      </c>
      <c r="W665">
        <v>111.133</v>
      </c>
      <c r="X665">
        <v>1.0541007448257309</v>
      </c>
      <c r="Y665">
        <v>117.145378074718</v>
      </c>
      <c r="Z665">
        <v>640.82000000000005</v>
      </c>
      <c r="AA665">
        <v>1</v>
      </c>
      <c r="AB665">
        <v>75.069101177840764</v>
      </c>
      <c r="AC665">
        <v>0.99109999999999998</v>
      </c>
      <c r="AD665" s="62">
        <v>74.400999999999996</v>
      </c>
      <c r="AE665">
        <v>8.9176000000000002</v>
      </c>
      <c r="AF665">
        <v>9.4000488020579382</v>
      </c>
      <c r="AG665">
        <v>1</v>
      </c>
      <c r="AH665">
        <v>6023.7392733347688</v>
      </c>
      <c r="AI665">
        <v>0.9830373970836227</v>
      </c>
      <c r="AJ665" s="62">
        <v>5921.5609999999997</v>
      </c>
      <c r="AK665" s="60">
        <v>1323.9886159689379</v>
      </c>
      <c r="AL665" t="s">
        <v>348</v>
      </c>
      <c r="AM665" t="s">
        <v>438</v>
      </c>
      <c r="AN665" t="s">
        <v>425</v>
      </c>
      <c r="AO665" t="s">
        <v>26</v>
      </c>
      <c r="AP665">
        <v>111.133</v>
      </c>
      <c r="AQ665">
        <v>1.0727760310708341</v>
      </c>
      <c r="AR665">
        <v>119.22081866099499</v>
      </c>
      <c r="AS665">
        <v>694.38</v>
      </c>
      <c r="AT665">
        <v>0.875</v>
      </c>
      <c r="AU665">
        <v>72.436483054094012</v>
      </c>
      <c r="AV665">
        <v>0.98270000000000002</v>
      </c>
      <c r="AW665" s="62">
        <v>71.183000000000007</v>
      </c>
      <c r="AX665">
        <v>8.9176000000000002</v>
      </c>
      <c r="AY665">
        <v>0.91300000000000003</v>
      </c>
      <c r="AZ665">
        <v>6064.9193587765631</v>
      </c>
      <c r="BA665">
        <v>0.99365142346989388</v>
      </c>
      <c r="BB665" s="62">
        <v>6026.4157999999998</v>
      </c>
      <c r="BC665" s="60">
        <v>1347.432866822674</v>
      </c>
    </row>
    <row r="666" spans="1:55" x14ac:dyDescent="0.25">
      <c r="A666">
        <v>216563</v>
      </c>
      <c r="B666" t="s">
        <v>209</v>
      </c>
      <c r="C666">
        <v>2020</v>
      </c>
      <c r="D666">
        <v>4</v>
      </c>
      <c r="E666" t="s">
        <v>100</v>
      </c>
      <c r="F666" t="s">
        <v>426</v>
      </c>
      <c r="G666" t="s">
        <v>84</v>
      </c>
      <c r="H666" t="s">
        <v>87</v>
      </c>
      <c r="I666" t="s">
        <v>427</v>
      </c>
      <c r="J666">
        <v>-5.8835884299999996</v>
      </c>
      <c r="K666" t="s">
        <v>440</v>
      </c>
      <c r="L666" t="s">
        <v>384</v>
      </c>
      <c r="M666">
        <v>3.9509559941419997E-2</v>
      </c>
      <c r="N666">
        <v>0.23245798967360129</v>
      </c>
      <c r="O666">
        <v>47588.953000000001</v>
      </c>
      <c r="P666">
        <v>1.500949E-6</v>
      </c>
      <c r="Q666">
        <v>0.14285700000000001</v>
      </c>
      <c r="R666" s="60">
        <v>3.3208251030801668E-2</v>
      </c>
      <c r="S666" t="s">
        <v>347</v>
      </c>
      <c r="T666" t="s">
        <v>437</v>
      </c>
      <c r="U666" t="s">
        <v>425</v>
      </c>
      <c r="V666" t="s">
        <v>81</v>
      </c>
      <c r="W666">
        <v>111.133</v>
      </c>
      <c r="X666">
        <v>1.0541007448257309</v>
      </c>
      <c r="Y666">
        <v>117.145378074718</v>
      </c>
      <c r="Z666">
        <v>640.82000000000005</v>
      </c>
      <c r="AA666">
        <v>1</v>
      </c>
      <c r="AB666">
        <v>75.069101177840764</v>
      </c>
      <c r="AC666">
        <v>0.93830000000000002</v>
      </c>
      <c r="AD666" s="62">
        <v>70.436999999999998</v>
      </c>
      <c r="AE666">
        <v>8.9176000000000002</v>
      </c>
      <c r="AF666">
        <v>9.4000488020579382</v>
      </c>
      <c r="AG666">
        <v>1</v>
      </c>
      <c r="AH666">
        <v>6023.7392733347688</v>
      </c>
      <c r="AI666">
        <v>1.098016605166052</v>
      </c>
      <c r="AJ666" s="62">
        <v>6614.1656999999996</v>
      </c>
      <c r="AK666" s="60">
        <v>219.64487492491801</v>
      </c>
      <c r="AL666" t="s">
        <v>348</v>
      </c>
      <c r="AM666" t="s">
        <v>438</v>
      </c>
      <c r="AN666" t="s">
        <v>425</v>
      </c>
      <c r="AO666" t="s">
        <v>81</v>
      </c>
      <c r="AP666">
        <v>111.133</v>
      </c>
      <c r="AQ666">
        <v>1.0727760310708341</v>
      </c>
      <c r="AR666">
        <v>119.22081866099499</v>
      </c>
      <c r="AS666">
        <v>694.38</v>
      </c>
      <c r="AT666">
        <v>0.875</v>
      </c>
      <c r="AU666">
        <v>72.436483054094012</v>
      </c>
      <c r="AV666">
        <v>0.93500000000000005</v>
      </c>
      <c r="AW666" s="62">
        <v>67.727999999999994</v>
      </c>
      <c r="AX666">
        <v>8.9176000000000002</v>
      </c>
      <c r="AY666">
        <v>0.91300000000000003</v>
      </c>
      <c r="AZ666">
        <v>6064.9193587765631</v>
      </c>
      <c r="BA666">
        <v>1.096171586715867</v>
      </c>
      <c r="BB666" s="62">
        <v>6648.1922999999997</v>
      </c>
      <c r="BC666" s="60">
        <v>220.7748387994427</v>
      </c>
    </row>
    <row r="667" spans="1:55" x14ac:dyDescent="0.25">
      <c r="A667">
        <v>216565</v>
      </c>
      <c r="B667" t="s">
        <v>209</v>
      </c>
      <c r="C667">
        <v>2020</v>
      </c>
      <c r="D667">
        <v>4</v>
      </c>
      <c r="E667" t="s">
        <v>100</v>
      </c>
      <c r="F667" t="s">
        <v>426</v>
      </c>
      <c r="G667" t="s">
        <v>84</v>
      </c>
      <c r="H667" t="s">
        <v>87</v>
      </c>
      <c r="I667" t="s">
        <v>427</v>
      </c>
      <c r="J667">
        <v>-5.8835884299999996</v>
      </c>
      <c r="K667" t="s">
        <v>440</v>
      </c>
      <c r="L667" t="s">
        <v>385</v>
      </c>
      <c r="M667">
        <v>0.39737542925016001</v>
      </c>
      <c r="N667">
        <v>2.3379934771770738</v>
      </c>
      <c r="O667">
        <v>47588.953000000001</v>
      </c>
      <c r="P667">
        <v>1.500949E-6</v>
      </c>
      <c r="Q667">
        <v>0.14285700000000001</v>
      </c>
      <c r="R667" s="60">
        <v>0.33399873416908532</v>
      </c>
      <c r="S667" t="s">
        <v>347</v>
      </c>
      <c r="T667" t="s">
        <v>437</v>
      </c>
      <c r="U667" t="s">
        <v>425</v>
      </c>
      <c r="V667" t="s">
        <v>27</v>
      </c>
      <c r="W667">
        <v>111.133</v>
      </c>
      <c r="X667">
        <v>1.0541007448257309</v>
      </c>
      <c r="Y667">
        <v>117.145378074718</v>
      </c>
      <c r="Z667">
        <v>640.82000000000005</v>
      </c>
      <c r="AA667">
        <v>1</v>
      </c>
      <c r="AB667">
        <v>75.069101177840764</v>
      </c>
      <c r="AC667">
        <v>0.95889999999999997</v>
      </c>
      <c r="AD667" s="62">
        <v>71.983999999999995</v>
      </c>
      <c r="AE667">
        <v>8.9176000000000002</v>
      </c>
      <c r="AF667">
        <v>9.4000488020579382</v>
      </c>
      <c r="AG667">
        <v>1</v>
      </c>
      <c r="AH667">
        <v>6023.7392733347688</v>
      </c>
      <c r="AI667">
        <v>0.99097621000820357</v>
      </c>
      <c r="AJ667" s="62">
        <v>5969.3823000000002</v>
      </c>
      <c r="AK667" s="60">
        <v>1993.7661319713429</v>
      </c>
      <c r="AL667" t="s">
        <v>348</v>
      </c>
      <c r="AM667" t="s">
        <v>438</v>
      </c>
      <c r="AN667" t="s">
        <v>425</v>
      </c>
      <c r="AO667" t="s">
        <v>27</v>
      </c>
      <c r="AP667">
        <v>111.133</v>
      </c>
      <c r="AQ667">
        <v>1.0727760310708341</v>
      </c>
      <c r="AR667">
        <v>119.22081866099499</v>
      </c>
      <c r="AS667">
        <v>694.38</v>
      </c>
      <c r="AT667">
        <v>0.875</v>
      </c>
      <c r="AU667">
        <v>72.436483054094012</v>
      </c>
      <c r="AV667">
        <v>0.95369999999999999</v>
      </c>
      <c r="AW667" s="62">
        <v>69.082999999999998</v>
      </c>
      <c r="AX667">
        <v>8.9176000000000002</v>
      </c>
      <c r="AY667">
        <v>0.91300000000000003</v>
      </c>
      <c r="AZ667">
        <v>6064.9193587765631</v>
      </c>
      <c r="BA667">
        <v>1.007895816242822</v>
      </c>
      <c r="BB667" s="62">
        <v>6112.8068000000003</v>
      </c>
      <c r="BC667" s="60">
        <v>2041.669733420177</v>
      </c>
    </row>
    <row r="668" spans="1:55" x14ac:dyDescent="0.25">
      <c r="A668">
        <v>216567</v>
      </c>
      <c r="B668" t="s">
        <v>209</v>
      </c>
      <c r="C668">
        <v>2020</v>
      </c>
      <c r="D668">
        <v>4</v>
      </c>
      <c r="E668" t="s">
        <v>100</v>
      </c>
      <c r="F668" t="s">
        <v>426</v>
      </c>
      <c r="G668" t="s">
        <v>84</v>
      </c>
      <c r="H668" t="s">
        <v>87</v>
      </c>
      <c r="I668" t="s">
        <v>427</v>
      </c>
      <c r="J668">
        <v>-5.8835884299999996</v>
      </c>
      <c r="K668" t="s">
        <v>440</v>
      </c>
      <c r="L668" t="s">
        <v>452</v>
      </c>
      <c r="M668">
        <v>8.4248020759000004E-4</v>
      </c>
      <c r="N668">
        <v>4.9568068003424861E-3</v>
      </c>
      <c r="O668">
        <v>47588.953000000001</v>
      </c>
      <c r="P668">
        <v>1.500949E-6</v>
      </c>
      <c r="Q668">
        <v>0.14285700000000001</v>
      </c>
      <c r="R668" s="60">
        <v>7.0811454907652657E-4</v>
      </c>
      <c r="S668" t="s">
        <v>347</v>
      </c>
      <c r="T668" t="s">
        <v>437</v>
      </c>
      <c r="U668" t="s">
        <v>425</v>
      </c>
      <c r="V668" t="s">
        <v>28</v>
      </c>
      <c r="W668">
        <v>111.133</v>
      </c>
      <c r="X668">
        <v>1.0541007448257309</v>
      </c>
      <c r="Y668">
        <v>117.145378074718</v>
      </c>
      <c r="Z668">
        <v>640.82000000000005</v>
      </c>
      <c r="AA668">
        <v>1</v>
      </c>
      <c r="AB668">
        <v>75.069101177840764</v>
      </c>
      <c r="AC668">
        <v>1.0073000000000001</v>
      </c>
      <c r="AD668" s="62">
        <v>75.617000000000004</v>
      </c>
      <c r="AE668">
        <v>8.9176000000000002</v>
      </c>
      <c r="AF668">
        <v>9.4000488020579382</v>
      </c>
      <c r="AG668">
        <v>1</v>
      </c>
      <c r="AH668">
        <v>6023.7392733347688</v>
      </c>
      <c r="AI668">
        <v>0.99399488088206345</v>
      </c>
      <c r="AJ668" s="62">
        <v>5987.5659999999998</v>
      </c>
      <c r="AK668" s="60">
        <v>4.2398825981559414</v>
      </c>
      <c r="AL668" t="s">
        <v>348</v>
      </c>
      <c r="AM668" t="s">
        <v>438</v>
      </c>
      <c r="AN668" t="s">
        <v>425</v>
      </c>
      <c r="AO668" t="s">
        <v>28</v>
      </c>
      <c r="AP668">
        <v>111.133</v>
      </c>
      <c r="AQ668">
        <v>1.0727760310708341</v>
      </c>
      <c r="AR668">
        <v>119.22081866099499</v>
      </c>
      <c r="AS668">
        <v>694.38</v>
      </c>
      <c r="AT668">
        <v>0.875</v>
      </c>
      <c r="AU668">
        <v>72.436483054094012</v>
      </c>
      <c r="AV668">
        <v>0.99250000000000005</v>
      </c>
      <c r="AW668" s="62">
        <v>71.893000000000001</v>
      </c>
      <c r="AX668">
        <v>8.9176000000000002</v>
      </c>
      <c r="AY668">
        <v>0.91300000000000003</v>
      </c>
      <c r="AZ668">
        <v>6064.9193587765631</v>
      </c>
      <c r="BA668">
        <v>0.93847214018507585</v>
      </c>
      <c r="BB668" s="62">
        <v>5691.7578999999996</v>
      </c>
      <c r="BC668" s="60">
        <v>4.0304165788112574</v>
      </c>
    </row>
    <row r="669" spans="1:55" x14ac:dyDescent="0.25">
      <c r="A669">
        <v>216569</v>
      </c>
      <c r="B669" t="s">
        <v>209</v>
      </c>
      <c r="C669">
        <v>2020</v>
      </c>
      <c r="D669">
        <v>4</v>
      </c>
      <c r="E669" t="s">
        <v>100</v>
      </c>
      <c r="F669" t="s">
        <v>426</v>
      </c>
      <c r="G669" t="s">
        <v>84</v>
      </c>
      <c r="H669" t="s">
        <v>59</v>
      </c>
      <c r="I669" t="s">
        <v>427</v>
      </c>
      <c r="J669">
        <v>-17.390262679999999</v>
      </c>
      <c r="K669" t="s">
        <v>440</v>
      </c>
      <c r="L669" t="s">
        <v>450</v>
      </c>
      <c r="M669">
        <v>0.15931709696460999</v>
      </c>
      <c r="N669">
        <v>2.7705661656409948</v>
      </c>
      <c r="O669">
        <v>47588.953000000001</v>
      </c>
      <c r="P669">
        <v>1.500949E-6</v>
      </c>
      <c r="Q669">
        <v>0.14285700000000001</v>
      </c>
      <c r="R669" s="60">
        <v>0.3957947707249756</v>
      </c>
      <c r="S669" t="s">
        <v>347</v>
      </c>
      <c r="T669" t="s">
        <v>437</v>
      </c>
      <c r="U669" t="s">
        <v>425</v>
      </c>
      <c r="V669" t="s">
        <v>26</v>
      </c>
      <c r="W669">
        <v>111.133</v>
      </c>
      <c r="X669">
        <v>1.0541007448257309</v>
      </c>
      <c r="Y669">
        <v>117.145378074718</v>
      </c>
      <c r="Z669">
        <v>640.82000000000005</v>
      </c>
      <c r="AA669">
        <v>1</v>
      </c>
      <c r="AB669">
        <v>75.069101177840764</v>
      </c>
      <c r="AC669">
        <v>0.99109999999999998</v>
      </c>
      <c r="AD669" s="62">
        <v>74.400999999999996</v>
      </c>
      <c r="AE669">
        <v>8.9176000000000002</v>
      </c>
      <c r="AF669">
        <v>9.4000488020579382</v>
      </c>
      <c r="AG669">
        <v>1</v>
      </c>
      <c r="AH669">
        <v>6023.7392733347688</v>
      </c>
      <c r="AI669">
        <v>0.9830373970836227</v>
      </c>
      <c r="AJ669" s="62">
        <v>5921.5609999999997</v>
      </c>
      <c r="AK669" s="60">
        <v>2343.722878328957</v>
      </c>
      <c r="AL669" t="s">
        <v>348</v>
      </c>
      <c r="AM669" t="s">
        <v>438</v>
      </c>
      <c r="AN669" t="s">
        <v>425</v>
      </c>
      <c r="AO669" t="s">
        <v>26</v>
      </c>
      <c r="AP669">
        <v>111.133</v>
      </c>
      <c r="AQ669">
        <v>1.0727760310708341</v>
      </c>
      <c r="AR669">
        <v>119.22081866099499</v>
      </c>
      <c r="AS669">
        <v>694.38</v>
      </c>
      <c r="AT669">
        <v>0.875</v>
      </c>
      <c r="AU669">
        <v>72.436483054094012</v>
      </c>
      <c r="AV669">
        <v>0.98270000000000002</v>
      </c>
      <c r="AW669" s="62">
        <v>71.183000000000007</v>
      </c>
      <c r="AX669">
        <v>8.9176000000000002</v>
      </c>
      <c r="AY669">
        <v>0.91300000000000003</v>
      </c>
      <c r="AZ669">
        <v>6064.9193587765631</v>
      </c>
      <c r="BA669">
        <v>0.99365142346989388</v>
      </c>
      <c r="BB669" s="62">
        <v>6026.4157999999998</v>
      </c>
      <c r="BC669" s="60">
        <v>2385.2238598543699</v>
      </c>
    </row>
    <row r="670" spans="1:55" x14ac:dyDescent="0.25">
      <c r="A670">
        <v>216571</v>
      </c>
      <c r="B670" t="s">
        <v>209</v>
      </c>
      <c r="C670">
        <v>2020</v>
      </c>
      <c r="D670">
        <v>4</v>
      </c>
      <c r="E670" t="s">
        <v>100</v>
      </c>
      <c r="F670" t="s">
        <v>426</v>
      </c>
      <c r="G670" t="s">
        <v>84</v>
      </c>
      <c r="H670" t="s">
        <v>59</v>
      </c>
      <c r="I670" t="s">
        <v>427</v>
      </c>
      <c r="J670">
        <v>-17.390262679999999</v>
      </c>
      <c r="K670" t="s">
        <v>440</v>
      </c>
      <c r="L670" t="s">
        <v>384</v>
      </c>
      <c r="M670">
        <v>4.1785183859599999E-2</v>
      </c>
      <c r="N670">
        <v>0.72665532345352923</v>
      </c>
      <c r="O670">
        <v>47588.953000000001</v>
      </c>
      <c r="P670">
        <v>1.500949E-6</v>
      </c>
      <c r="Q670">
        <v>0.14285700000000001</v>
      </c>
      <c r="R670" s="60">
        <v>0.1038077995426008</v>
      </c>
      <c r="S670" t="s">
        <v>347</v>
      </c>
      <c r="T670" t="s">
        <v>437</v>
      </c>
      <c r="U670" t="s">
        <v>425</v>
      </c>
      <c r="V670" t="s">
        <v>81</v>
      </c>
      <c r="W670">
        <v>111.133</v>
      </c>
      <c r="X670">
        <v>1.0541007448257309</v>
      </c>
      <c r="Y670">
        <v>117.145378074718</v>
      </c>
      <c r="Z670">
        <v>640.82000000000005</v>
      </c>
      <c r="AA670">
        <v>1</v>
      </c>
      <c r="AB670">
        <v>75.069101177840764</v>
      </c>
      <c r="AC670">
        <v>0.93830000000000002</v>
      </c>
      <c r="AD670" s="62">
        <v>70.436999999999998</v>
      </c>
      <c r="AE670">
        <v>8.9176000000000002</v>
      </c>
      <c r="AF670">
        <v>9.4000488020579382</v>
      </c>
      <c r="AG670">
        <v>1</v>
      </c>
      <c r="AH670">
        <v>6023.7392733347688</v>
      </c>
      <c r="AI670">
        <v>1.098016605166052</v>
      </c>
      <c r="AJ670" s="62">
        <v>6614.1656999999996</v>
      </c>
      <c r="AK670" s="60">
        <v>686.60198712714612</v>
      </c>
      <c r="AL670" t="s">
        <v>348</v>
      </c>
      <c r="AM670" t="s">
        <v>438</v>
      </c>
      <c r="AN670" t="s">
        <v>425</v>
      </c>
      <c r="AO670" t="s">
        <v>81</v>
      </c>
      <c r="AP670">
        <v>111.133</v>
      </c>
      <c r="AQ670">
        <v>1.0727760310708341</v>
      </c>
      <c r="AR670">
        <v>119.22081866099499</v>
      </c>
      <c r="AS670">
        <v>694.38</v>
      </c>
      <c r="AT670">
        <v>0.875</v>
      </c>
      <c r="AU670">
        <v>72.436483054094012</v>
      </c>
      <c r="AV670">
        <v>0.93500000000000005</v>
      </c>
      <c r="AW670" s="62">
        <v>67.727999999999994</v>
      </c>
      <c r="AX670">
        <v>8.9176000000000002</v>
      </c>
      <c r="AY670">
        <v>0.91300000000000003</v>
      </c>
      <c r="AZ670">
        <v>6064.9193587765631</v>
      </c>
      <c r="BA670">
        <v>1.096171586715867</v>
      </c>
      <c r="BB670" s="62">
        <v>6648.1922999999997</v>
      </c>
      <c r="BC670" s="60">
        <v>690.13421359906238</v>
      </c>
    </row>
    <row r="671" spans="1:55" x14ac:dyDescent="0.25">
      <c r="A671">
        <v>216573</v>
      </c>
      <c r="B671" t="s">
        <v>209</v>
      </c>
      <c r="C671">
        <v>2020</v>
      </c>
      <c r="D671">
        <v>4</v>
      </c>
      <c r="E671" t="s">
        <v>100</v>
      </c>
      <c r="F671" t="s">
        <v>426</v>
      </c>
      <c r="G671" t="s">
        <v>84</v>
      </c>
      <c r="H671" t="s">
        <v>59</v>
      </c>
      <c r="I671" t="s">
        <v>427</v>
      </c>
      <c r="J671">
        <v>-17.390262679999999</v>
      </c>
      <c r="K671" t="s">
        <v>440</v>
      </c>
      <c r="L671" t="s">
        <v>385</v>
      </c>
      <c r="M671">
        <v>0.43497567483749999</v>
      </c>
      <c r="N671">
        <v>7.5643412448655063</v>
      </c>
      <c r="O671">
        <v>47588.953000000001</v>
      </c>
      <c r="P671">
        <v>1.500949E-6</v>
      </c>
      <c r="Q671">
        <v>0.14285700000000001</v>
      </c>
      <c r="R671" s="60">
        <v>1.0806190972177521</v>
      </c>
      <c r="S671" t="s">
        <v>347</v>
      </c>
      <c r="T671" t="s">
        <v>437</v>
      </c>
      <c r="U671" t="s">
        <v>425</v>
      </c>
      <c r="V671" t="s">
        <v>27</v>
      </c>
      <c r="W671">
        <v>111.133</v>
      </c>
      <c r="X671">
        <v>1.0541007448257309</v>
      </c>
      <c r="Y671">
        <v>117.145378074718</v>
      </c>
      <c r="Z671">
        <v>640.82000000000005</v>
      </c>
      <c r="AA671">
        <v>1</v>
      </c>
      <c r="AB671">
        <v>75.069101177840764</v>
      </c>
      <c r="AC671">
        <v>0.95889999999999997</v>
      </c>
      <c r="AD671" s="62">
        <v>71.983999999999995</v>
      </c>
      <c r="AE671">
        <v>8.9176000000000002</v>
      </c>
      <c r="AF671">
        <v>9.4000488020579382</v>
      </c>
      <c r="AG671">
        <v>1</v>
      </c>
      <c r="AH671">
        <v>6023.7392733347688</v>
      </c>
      <c r="AI671">
        <v>0.99097621000820357</v>
      </c>
      <c r="AJ671" s="62">
        <v>5969.3823000000002</v>
      </c>
      <c r="AK671" s="60">
        <v>6450.6285119736258</v>
      </c>
      <c r="AL671" t="s">
        <v>348</v>
      </c>
      <c r="AM671" t="s">
        <v>438</v>
      </c>
      <c r="AN671" t="s">
        <v>425</v>
      </c>
      <c r="AO671" t="s">
        <v>27</v>
      </c>
      <c r="AP671">
        <v>111.133</v>
      </c>
      <c r="AQ671">
        <v>1.0727760310708341</v>
      </c>
      <c r="AR671">
        <v>119.22081866099499</v>
      </c>
      <c r="AS671">
        <v>694.38</v>
      </c>
      <c r="AT671">
        <v>0.875</v>
      </c>
      <c r="AU671">
        <v>72.436483054094012</v>
      </c>
      <c r="AV671">
        <v>0.95369999999999999</v>
      </c>
      <c r="AW671" s="62">
        <v>69.082999999999998</v>
      </c>
      <c r="AX671">
        <v>8.9176000000000002</v>
      </c>
      <c r="AY671">
        <v>0.91300000000000003</v>
      </c>
      <c r="AZ671">
        <v>6064.9193587765631</v>
      </c>
      <c r="BA671">
        <v>1.007895816242822</v>
      </c>
      <c r="BB671" s="62">
        <v>6112.8068000000003</v>
      </c>
      <c r="BC671" s="60">
        <v>6605.6157656825326</v>
      </c>
    </row>
    <row r="672" spans="1:55" x14ac:dyDescent="0.25">
      <c r="A672">
        <v>216575</v>
      </c>
      <c r="B672" t="s">
        <v>209</v>
      </c>
      <c r="C672">
        <v>2020</v>
      </c>
      <c r="D672">
        <v>4</v>
      </c>
      <c r="E672" t="s">
        <v>100</v>
      </c>
      <c r="F672" t="s">
        <v>426</v>
      </c>
      <c r="G672" t="s">
        <v>84</v>
      </c>
      <c r="H672" t="s">
        <v>59</v>
      </c>
      <c r="I672" t="s">
        <v>427</v>
      </c>
      <c r="J672">
        <v>-17.390262679999999</v>
      </c>
      <c r="K672" t="s">
        <v>440</v>
      </c>
      <c r="L672" t="s">
        <v>451</v>
      </c>
      <c r="M672">
        <v>1.7625750762999999E-3</v>
      </c>
      <c r="N672">
        <v>3.0651643570204119E-2</v>
      </c>
      <c r="O672">
        <v>47588.953000000001</v>
      </c>
      <c r="P672">
        <v>1.500949E-6</v>
      </c>
      <c r="Q672">
        <v>0.14285700000000001</v>
      </c>
      <c r="R672" s="60">
        <v>4.3788018455086508E-3</v>
      </c>
      <c r="S672" t="s">
        <v>347</v>
      </c>
      <c r="T672" t="s">
        <v>437</v>
      </c>
      <c r="U672" t="s">
        <v>425</v>
      </c>
      <c r="V672" t="s">
        <v>91</v>
      </c>
      <c r="W672">
        <v>111.133</v>
      </c>
      <c r="X672">
        <v>1.0541007448257309</v>
      </c>
      <c r="Y672">
        <v>117.145378074718</v>
      </c>
      <c r="Z672">
        <v>640.82000000000005</v>
      </c>
      <c r="AA672">
        <v>1</v>
      </c>
      <c r="AB672">
        <v>75.069101177840764</v>
      </c>
      <c r="AC672">
        <v>1.0088999999999999</v>
      </c>
      <c r="AD672" s="62">
        <v>75.736999999999995</v>
      </c>
      <c r="AE672">
        <v>8.9176000000000002</v>
      </c>
      <c r="AF672">
        <v>9.4000488020579382</v>
      </c>
      <c r="AG672">
        <v>1</v>
      </c>
      <c r="AH672">
        <v>6023.7392733347688</v>
      </c>
      <c r="AI672">
        <v>0.99316673174541203</v>
      </c>
      <c r="AJ672" s="62">
        <v>5982.5774000000001</v>
      </c>
      <c r="AK672" s="60">
        <v>26.196520960018351</v>
      </c>
      <c r="AL672" t="s">
        <v>348</v>
      </c>
      <c r="AM672" t="s">
        <v>438</v>
      </c>
      <c r="AN672" t="s">
        <v>425</v>
      </c>
      <c r="AO672" t="s">
        <v>91</v>
      </c>
      <c r="AP672">
        <v>111.133</v>
      </c>
      <c r="AQ672">
        <v>1.0727760310708341</v>
      </c>
      <c r="AR672">
        <v>119.22081866099499</v>
      </c>
      <c r="AS672">
        <v>694.38</v>
      </c>
      <c r="AT672">
        <v>0.875</v>
      </c>
      <c r="AU672">
        <v>72.436483054094012</v>
      </c>
      <c r="AV672">
        <v>1.0179</v>
      </c>
      <c r="AW672" s="62">
        <v>73.733000000000004</v>
      </c>
      <c r="AX672">
        <v>8.9176000000000002</v>
      </c>
      <c r="AY672">
        <v>0.91300000000000003</v>
      </c>
      <c r="AZ672">
        <v>6064.9193587765631</v>
      </c>
      <c r="BA672">
        <v>0.98975009761811794</v>
      </c>
      <c r="BB672" s="62">
        <v>6002.7545</v>
      </c>
      <c r="BC672" s="60">
        <v>26.284872482735359</v>
      </c>
    </row>
    <row r="673" spans="1:55" x14ac:dyDescent="0.25">
      <c r="A673">
        <v>216577</v>
      </c>
      <c r="B673" t="s">
        <v>209</v>
      </c>
      <c r="C673">
        <v>2020</v>
      </c>
      <c r="D673">
        <v>4</v>
      </c>
      <c r="E673" t="s">
        <v>100</v>
      </c>
      <c r="F673" t="s">
        <v>426</v>
      </c>
      <c r="G673" t="s">
        <v>84</v>
      </c>
      <c r="H673" t="s">
        <v>59</v>
      </c>
      <c r="I673" t="s">
        <v>427</v>
      </c>
      <c r="J673">
        <v>-17.390262679999999</v>
      </c>
      <c r="K673" t="s">
        <v>440</v>
      </c>
      <c r="L673" t="s">
        <v>452</v>
      </c>
      <c r="M673">
        <v>1.4858046103299999E-3</v>
      </c>
      <c r="N673">
        <v>2.5838532464900029E-2</v>
      </c>
      <c r="O673">
        <v>47588.953000000001</v>
      </c>
      <c r="P673">
        <v>1.500949E-6</v>
      </c>
      <c r="Q673">
        <v>0.14285700000000001</v>
      </c>
      <c r="R673" s="60">
        <v>3.6912152323382232E-3</v>
      </c>
      <c r="S673" t="s">
        <v>347</v>
      </c>
      <c r="T673" t="s">
        <v>437</v>
      </c>
      <c r="U673" t="s">
        <v>425</v>
      </c>
      <c r="V673" t="s">
        <v>28</v>
      </c>
      <c r="W673">
        <v>111.133</v>
      </c>
      <c r="X673">
        <v>1.0541007448257309</v>
      </c>
      <c r="Y673">
        <v>117.145378074718</v>
      </c>
      <c r="Z673">
        <v>640.82000000000005</v>
      </c>
      <c r="AA673">
        <v>1</v>
      </c>
      <c r="AB673">
        <v>75.069101177840764</v>
      </c>
      <c r="AC673">
        <v>1.0073000000000001</v>
      </c>
      <c r="AD673" s="62">
        <v>75.617000000000004</v>
      </c>
      <c r="AE673">
        <v>8.9176000000000002</v>
      </c>
      <c r="AF673">
        <v>9.4000488020579382</v>
      </c>
      <c r="AG673">
        <v>1</v>
      </c>
      <c r="AH673">
        <v>6023.7392733347688</v>
      </c>
      <c r="AI673">
        <v>0.99399488088206345</v>
      </c>
      <c r="AJ673" s="62">
        <v>5987.5659999999998</v>
      </c>
      <c r="AK673" s="60">
        <v>22.10139482383045</v>
      </c>
      <c r="AL673" t="s">
        <v>348</v>
      </c>
      <c r="AM673" t="s">
        <v>438</v>
      </c>
      <c r="AN673" t="s">
        <v>425</v>
      </c>
      <c r="AO673" t="s">
        <v>28</v>
      </c>
      <c r="AP673">
        <v>111.133</v>
      </c>
      <c r="AQ673">
        <v>1.0727760310708341</v>
      </c>
      <c r="AR673">
        <v>119.22081866099499</v>
      </c>
      <c r="AS673">
        <v>694.38</v>
      </c>
      <c r="AT673">
        <v>0.875</v>
      </c>
      <c r="AU673">
        <v>72.436483054094012</v>
      </c>
      <c r="AV673">
        <v>0.99250000000000005</v>
      </c>
      <c r="AW673" s="62">
        <v>71.893000000000001</v>
      </c>
      <c r="AX673">
        <v>8.9176000000000002</v>
      </c>
      <c r="AY673">
        <v>0.91300000000000003</v>
      </c>
      <c r="AZ673">
        <v>6064.9193587765631</v>
      </c>
      <c r="BA673">
        <v>0.93847214018507585</v>
      </c>
      <c r="BB673" s="62">
        <v>5691.7578999999996</v>
      </c>
      <c r="BC673" s="60">
        <v>21.00950345926142</v>
      </c>
    </row>
    <row r="674" spans="1:55" x14ac:dyDescent="0.25">
      <c r="A674">
        <v>223796</v>
      </c>
      <c r="B674" t="s">
        <v>216</v>
      </c>
      <c r="C674">
        <v>2020</v>
      </c>
      <c r="D674">
        <v>5</v>
      </c>
      <c r="E674" t="s">
        <v>100</v>
      </c>
      <c r="F674" t="s">
        <v>426</v>
      </c>
      <c r="G674" t="s">
        <v>84</v>
      </c>
      <c r="H674" t="s">
        <v>381</v>
      </c>
      <c r="I674" t="s">
        <v>427</v>
      </c>
      <c r="J674">
        <v>-32.004116019999998</v>
      </c>
      <c r="K674" t="s">
        <v>440</v>
      </c>
      <c r="L674" t="s">
        <v>450</v>
      </c>
      <c r="M674">
        <v>0.15011157993331001</v>
      </c>
      <c r="N674">
        <v>4.8041884206151462</v>
      </c>
      <c r="O674">
        <v>47588.953000000001</v>
      </c>
      <c r="P674">
        <v>1.500949E-6</v>
      </c>
      <c r="Q674">
        <v>0.14285700000000001</v>
      </c>
      <c r="R674" s="60">
        <v>0.686311945203818</v>
      </c>
      <c r="S674" t="s">
        <v>347</v>
      </c>
      <c r="T674" t="s">
        <v>437</v>
      </c>
      <c r="U674" t="s">
        <v>425</v>
      </c>
      <c r="V674" t="s">
        <v>26</v>
      </c>
      <c r="W674">
        <v>111.133</v>
      </c>
      <c r="X674">
        <v>1.0541007448257309</v>
      </c>
      <c r="Y674">
        <v>117.145378074718</v>
      </c>
      <c r="Z674">
        <v>640.82000000000005</v>
      </c>
      <c r="AA674">
        <v>1</v>
      </c>
      <c r="AB674">
        <v>75.069101177840764</v>
      </c>
      <c r="AC674">
        <v>0.99109999999999998</v>
      </c>
      <c r="AD674" s="62">
        <v>74.400999999999996</v>
      </c>
      <c r="AE674">
        <v>8.9176000000000002</v>
      </c>
      <c r="AF674">
        <v>9.4000488020579382</v>
      </c>
      <c r="AG674">
        <v>1</v>
      </c>
      <c r="AH674">
        <v>6023.7392733347688</v>
      </c>
      <c r="AI674">
        <v>0.9830373970836227</v>
      </c>
      <c r="AJ674" s="62">
        <v>5921.5609999999997</v>
      </c>
      <c r="AK674" s="60">
        <v>4064.038048553065</v>
      </c>
      <c r="AL674" t="s">
        <v>348</v>
      </c>
      <c r="AM674" t="s">
        <v>438</v>
      </c>
      <c r="AN674" t="s">
        <v>425</v>
      </c>
      <c r="AO674" t="s">
        <v>26</v>
      </c>
      <c r="AP674">
        <v>111.133</v>
      </c>
      <c r="AQ674">
        <v>1.0727760310708341</v>
      </c>
      <c r="AR674">
        <v>119.22081866099499</v>
      </c>
      <c r="AS674">
        <v>694.38</v>
      </c>
      <c r="AT674">
        <v>0.875</v>
      </c>
      <c r="AU674">
        <v>72.436483054094012</v>
      </c>
      <c r="AV674">
        <v>0.98270000000000002</v>
      </c>
      <c r="AW674" s="62">
        <v>71.183000000000007</v>
      </c>
      <c r="AX674">
        <v>8.9176000000000002</v>
      </c>
      <c r="AY674">
        <v>0.91300000000000003</v>
      </c>
      <c r="AZ674">
        <v>6064.9193587765631</v>
      </c>
      <c r="BA674">
        <v>0.99365142346989388</v>
      </c>
      <c r="BB674" s="62">
        <v>6026.4157999999998</v>
      </c>
      <c r="BC674" s="60">
        <v>4136.0011503050227</v>
      </c>
    </row>
    <row r="675" spans="1:55" x14ac:dyDescent="0.25">
      <c r="A675">
        <v>223798</v>
      </c>
      <c r="B675" t="s">
        <v>216</v>
      </c>
      <c r="C675">
        <v>2020</v>
      </c>
      <c r="D675">
        <v>5</v>
      </c>
      <c r="E675" t="s">
        <v>100</v>
      </c>
      <c r="F675" t="s">
        <v>426</v>
      </c>
      <c r="G675" t="s">
        <v>84</v>
      </c>
      <c r="H675" t="s">
        <v>381</v>
      </c>
      <c r="I675" t="s">
        <v>427</v>
      </c>
      <c r="J675">
        <v>-32.004116019999998</v>
      </c>
      <c r="K675" t="s">
        <v>440</v>
      </c>
      <c r="L675" t="s">
        <v>384</v>
      </c>
      <c r="M675">
        <v>4.5811354346740003E-2</v>
      </c>
      <c r="N675">
        <v>1.466151899694103</v>
      </c>
      <c r="O675">
        <v>47588.953000000001</v>
      </c>
      <c r="P675">
        <v>1.500949E-6</v>
      </c>
      <c r="Q675">
        <v>0.14285700000000001</v>
      </c>
      <c r="R675" s="60">
        <v>0.2094500619346005</v>
      </c>
      <c r="S675" t="s">
        <v>347</v>
      </c>
      <c r="T675" t="s">
        <v>437</v>
      </c>
      <c r="U675" t="s">
        <v>425</v>
      </c>
      <c r="V675" t="s">
        <v>81</v>
      </c>
      <c r="W675">
        <v>111.133</v>
      </c>
      <c r="X675">
        <v>1.0541007448257309</v>
      </c>
      <c r="Y675">
        <v>117.145378074718</v>
      </c>
      <c r="Z675">
        <v>640.82000000000005</v>
      </c>
      <c r="AA675">
        <v>1</v>
      </c>
      <c r="AB675">
        <v>75.069101177840764</v>
      </c>
      <c r="AC675">
        <v>0.93830000000000002</v>
      </c>
      <c r="AD675" s="62">
        <v>70.436999999999998</v>
      </c>
      <c r="AE675">
        <v>8.9176000000000002</v>
      </c>
      <c r="AF675">
        <v>9.4000488020579382</v>
      </c>
      <c r="AG675">
        <v>1</v>
      </c>
      <c r="AH675">
        <v>6023.7392733347688</v>
      </c>
      <c r="AI675">
        <v>1.098016605166052</v>
      </c>
      <c r="AJ675" s="62">
        <v>6614.1656999999996</v>
      </c>
      <c r="AK675" s="60">
        <v>1385.3374155107099</v>
      </c>
      <c r="AL675" t="s">
        <v>348</v>
      </c>
      <c r="AM675" t="s">
        <v>438</v>
      </c>
      <c r="AN675" t="s">
        <v>425</v>
      </c>
      <c r="AO675" t="s">
        <v>81</v>
      </c>
      <c r="AP675">
        <v>111.133</v>
      </c>
      <c r="AQ675">
        <v>1.0727760310708341</v>
      </c>
      <c r="AR675">
        <v>119.22081866099499</v>
      </c>
      <c r="AS675">
        <v>694.38</v>
      </c>
      <c r="AT675">
        <v>0.875</v>
      </c>
      <c r="AU675">
        <v>72.436483054094012</v>
      </c>
      <c r="AV675">
        <v>0.93500000000000005</v>
      </c>
      <c r="AW675" s="62">
        <v>67.727999999999994</v>
      </c>
      <c r="AX675">
        <v>8.9176000000000002</v>
      </c>
      <c r="AY675">
        <v>0.91300000000000003</v>
      </c>
      <c r="AZ675">
        <v>6064.9193587765631</v>
      </c>
      <c r="BA675">
        <v>1.096171586715867</v>
      </c>
      <c r="BB675" s="62">
        <v>6648.1922999999997</v>
      </c>
      <c r="BC675" s="60">
        <v>1392.4642889881341</v>
      </c>
    </row>
    <row r="676" spans="1:55" x14ac:dyDescent="0.25">
      <c r="A676">
        <v>223800</v>
      </c>
      <c r="B676" t="s">
        <v>216</v>
      </c>
      <c r="C676">
        <v>2020</v>
      </c>
      <c r="D676">
        <v>5</v>
      </c>
      <c r="E676" t="s">
        <v>100</v>
      </c>
      <c r="F676" t="s">
        <v>426</v>
      </c>
      <c r="G676" t="s">
        <v>84</v>
      </c>
      <c r="H676" t="s">
        <v>381</v>
      </c>
      <c r="I676" t="s">
        <v>427</v>
      </c>
      <c r="J676">
        <v>-32.004116019999998</v>
      </c>
      <c r="K676" t="s">
        <v>440</v>
      </c>
      <c r="L676" t="s">
        <v>385</v>
      </c>
      <c r="M676">
        <v>0.43232641346992001</v>
      </c>
      <c r="N676">
        <v>13.836224696595711</v>
      </c>
      <c r="O676">
        <v>47588.953000000001</v>
      </c>
      <c r="P676">
        <v>1.500949E-6</v>
      </c>
      <c r="Q676">
        <v>0.14285700000000001</v>
      </c>
      <c r="R676" s="60">
        <v>1.976601551481574</v>
      </c>
      <c r="S676" t="s">
        <v>347</v>
      </c>
      <c r="T676" t="s">
        <v>437</v>
      </c>
      <c r="U676" t="s">
        <v>425</v>
      </c>
      <c r="V676" t="s">
        <v>27</v>
      </c>
      <c r="W676">
        <v>111.133</v>
      </c>
      <c r="X676">
        <v>1.0541007448257309</v>
      </c>
      <c r="Y676">
        <v>117.145378074718</v>
      </c>
      <c r="Z676">
        <v>640.82000000000005</v>
      </c>
      <c r="AA676">
        <v>1</v>
      </c>
      <c r="AB676">
        <v>75.069101177840764</v>
      </c>
      <c r="AC676">
        <v>0.95889999999999997</v>
      </c>
      <c r="AD676" s="62">
        <v>71.983999999999995</v>
      </c>
      <c r="AE676">
        <v>8.9176000000000002</v>
      </c>
      <c r="AF676">
        <v>9.4000488020579382</v>
      </c>
      <c r="AG676">
        <v>1</v>
      </c>
      <c r="AH676">
        <v>6023.7392733347688</v>
      </c>
      <c r="AI676">
        <v>0.99097621000820357</v>
      </c>
      <c r="AJ676" s="62">
        <v>5969.3823000000002</v>
      </c>
      <c r="AK676" s="60">
        <v>11799.090315566649</v>
      </c>
      <c r="AL676" t="s">
        <v>348</v>
      </c>
      <c r="AM676" t="s">
        <v>438</v>
      </c>
      <c r="AN676" t="s">
        <v>425</v>
      </c>
      <c r="AO676" t="s">
        <v>27</v>
      </c>
      <c r="AP676">
        <v>111.133</v>
      </c>
      <c r="AQ676">
        <v>1.0727760310708341</v>
      </c>
      <c r="AR676">
        <v>119.22081866099499</v>
      </c>
      <c r="AS676">
        <v>694.38</v>
      </c>
      <c r="AT676">
        <v>0.875</v>
      </c>
      <c r="AU676">
        <v>72.436483054094012</v>
      </c>
      <c r="AV676">
        <v>0.95369999999999999</v>
      </c>
      <c r="AW676" s="62">
        <v>69.082999999999998</v>
      </c>
      <c r="AX676">
        <v>8.9176000000000002</v>
      </c>
      <c r="AY676">
        <v>0.91300000000000003</v>
      </c>
      <c r="AZ676">
        <v>6064.9193587765631</v>
      </c>
      <c r="BA676">
        <v>1.007895816242822</v>
      </c>
      <c r="BB676" s="62">
        <v>6112.8068000000003</v>
      </c>
      <c r="BC676" s="60">
        <v>12082.583404787119</v>
      </c>
    </row>
    <row r="677" spans="1:55" x14ac:dyDescent="0.25">
      <c r="A677">
        <v>223802</v>
      </c>
      <c r="B677" t="s">
        <v>216</v>
      </c>
      <c r="C677">
        <v>2020</v>
      </c>
      <c r="D677">
        <v>5</v>
      </c>
      <c r="E677" t="s">
        <v>100</v>
      </c>
      <c r="F677" t="s">
        <v>426</v>
      </c>
      <c r="G677" t="s">
        <v>84</v>
      </c>
      <c r="H677" t="s">
        <v>381</v>
      </c>
      <c r="I677" t="s">
        <v>427</v>
      </c>
      <c r="J677">
        <v>-32.004116019999998</v>
      </c>
      <c r="K677" t="s">
        <v>440</v>
      </c>
      <c r="L677" t="s">
        <v>451</v>
      </c>
      <c r="M677">
        <v>1.6825115802299999E-3</v>
      </c>
      <c r="N677">
        <v>5.3847295824099202E-2</v>
      </c>
      <c r="O677">
        <v>47588.953000000001</v>
      </c>
      <c r="P677">
        <v>1.500949E-6</v>
      </c>
      <c r="Q677">
        <v>0.14285700000000001</v>
      </c>
      <c r="R677" s="60">
        <v>7.6924631395433396E-3</v>
      </c>
      <c r="S677" t="s">
        <v>347</v>
      </c>
      <c r="T677" t="s">
        <v>437</v>
      </c>
      <c r="U677" t="s">
        <v>425</v>
      </c>
      <c r="V677" t="s">
        <v>91</v>
      </c>
      <c r="W677">
        <v>111.133</v>
      </c>
      <c r="X677">
        <v>1.0541007448257309</v>
      </c>
      <c r="Y677">
        <v>117.145378074718</v>
      </c>
      <c r="Z677">
        <v>640.82000000000005</v>
      </c>
      <c r="AA677">
        <v>1</v>
      </c>
      <c r="AB677">
        <v>75.069101177840764</v>
      </c>
      <c r="AC677">
        <v>1.0088999999999999</v>
      </c>
      <c r="AD677" s="62">
        <v>75.736999999999995</v>
      </c>
      <c r="AE677">
        <v>8.9176000000000002</v>
      </c>
      <c r="AF677">
        <v>9.4000488020579382</v>
      </c>
      <c r="AG677">
        <v>1</v>
      </c>
      <c r="AH677">
        <v>6023.7392733347688</v>
      </c>
      <c r="AI677">
        <v>0.99316673174541203</v>
      </c>
      <c r="AJ677" s="62">
        <v>5982.5774000000001</v>
      </c>
      <c r="AK677" s="60">
        <v>46.020756128965033</v>
      </c>
      <c r="AL677" t="s">
        <v>348</v>
      </c>
      <c r="AM677" t="s">
        <v>438</v>
      </c>
      <c r="AN677" t="s">
        <v>425</v>
      </c>
      <c r="AO677" t="s">
        <v>91</v>
      </c>
      <c r="AP677">
        <v>111.133</v>
      </c>
      <c r="AQ677">
        <v>1.0727760310708341</v>
      </c>
      <c r="AR677">
        <v>119.22081866099499</v>
      </c>
      <c r="AS677">
        <v>694.38</v>
      </c>
      <c r="AT677">
        <v>0.875</v>
      </c>
      <c r="AU677">
        <v>72.436483054094012</v>
      </c>
      <c r="AV677">
        <v>1.0179</v>
      </c>
      <c r="AW677" s="62">
        <v>73.733000000000004</v>
      </c>
      <c r="AX677">
        <v>8.9176000000000002</v>
      </c>
      <c r="AY677">
        <v>0.91300000000000003</v>
      </c>
      <c r="AZ677">
        <v>6064.9193587765631</v>
      </c>
      <c r="BA677">
        <v>0.98975009761811794</v>
      </c>
      <c r="BB677" s="62">
        <v>6002.7545</v>
      </c>
      <c r="BC677" s="60">
        <v>46.175967726977909</v>
      </c>
    </row>
    <row r="678" spans="1:55" x14ac:dyDescent="0.25">
      <c r="A678">
        <v>223804</v>
      </c>
      <c r="B678" t="s">
        <v>216</v>
      </c>
      <c r="C678">
        <v>2020</v>
      </c>
      <c r="D678">
        <v>5</v>
      </c>
      <c r="E678" t="s">
        <v>100</v>
      </c>
      <c r="F678" t="s">
        <v>426</v>
      </c>
      <c r="G678" t="s">
        <v>84</v>
      </c>
      <c r="H678" t="s">
        <v>381</v>
      </c>
      <c r="I678" t="s">
        <v>427</v>
      </c>
      <c r="J678">
        <v>-32.004116019999998</v>
      </c>
      <c r="K678" t="s">
        <v>440</v>
      </c>
      <c r="L678" t="s">
        <v>452</v>
      </c>
      <c r="M678">
        <v>1.53682162831E-3</v>
      </c>
      <c r="N678">
        <v>4.9184617699433567E-2</v>
      </c>
      <c r="O678">
        <v>47588.953000000001</v>
      </c>
      <c r="P678">
        <v>1.500949E-6</v>
      </c>
      <c r="Q678">
        <v>0.14285700000000001</v>
      </c>
      <c r="R678" s="60">
        <v>7.0263669306879816E-3</v>
      </c>
      <c r="S678" t="s">
        <v>347</v>
      </c>
      <c r="T678" t="s">
        <v>437</v>
      </c>
      <c r="U678" t="s">
        <v>425</v>
      </c>
      <c r="V678" t="s">
        <v>28</v>
      </c>
      <c r="W678">
        <v>111.133</v>
      </c>
      <c r="X678">
        <v>1.0541007448257309</v>
      </c>
      <c r="Y678">
        <v>117.145378074718</v>
      </c>
      <c r="Z678">
        <v>640.82000000000005</v>
      </c>
      <c r="AA678">
        <v>1</v>
      </c>
      <c r="AB678">
        <v>75.069101177840764</v>
      </c>
      <c r="AC678">
        <v>1.0073000000000001</v>
      </c>
      <c r="AD678" s="62">
        <v>75.617000000000004</v>
      </c>
      <c r="AE678">
        <v>8.9176000000000002</v>
      </c>
      <c r="AF678">
        <v>9.4000488020579382</v>
      </c>
      <c r="AG678">
        <v>1</v>
      </c>
      <c r="AH678">
        <v>6023.7392733347688</v>
      </c>
      <c r="AI678">
        <v>0.99399488088206345</v>
      </c>
      <c r="AJ678" s="62">
        <v>5987.5659999999998</v>
      </c>
      <c r="AK678" s="60">
        <v>42.070835737711711</v>
      </c>
      <c r="AL678" t="s">
        <v>348</v>
      </c>
      <c r="AM678" t="s">
        <v>438</v>
      </c>
      <c r="AN678" t="s">
        <v>425</v>
      </c>
      <c r="AO678" t="s">
        <v>28</v>
      </c>
      <c r="AP678">
        <v>111.133</v>
      </c>
      <c r="AQ678">
        <v>1.0727760310708341</v>
      </c>
      <c r="AR678">
        <v>119.22081866099499</v>
      </c>
      <c r="AS678">
        <v>694.38</v>
      </c>
      <c r="AT678">
        <v>0.875</v>
      </c>
      <c r="AU678">
        <v>72.436483054094012</v>
      </c>
      <c r="AV678">
        <v>0.99250000000000005</v>
      </c>
      <c r="AW678" s="62">
        <v>71.893000000000001</v>
      </c>
      <c r="AX678">
        <v>8.9176000000000002</v>
      </c>
      <c r="AY678">
        <v>0.91300000000000003</v>
      </c>
      <c r="AZ678">
        <v>6064.9193587765631</v>
      </c>
      <c r="BA678">
        <v>0.93847214018507585</v>
      </c>
      <c r="BB678" s="62">
        <v>5691.7578999999996</v>
      </c>
      <c r="BC678" s="60">
        <v>39.992379486042068</v>
      </c>
    </row>
    <row r="679" spans="1:55" x14ac:dyDescent="0.25">
      <c r="A679">
        <v>223806</v>
      </c>
      <c r="B679" t="s">
        <v>216</v>
      </c>
      <c r="C679">
        <v>2020</v>
      </c>
      <c r="D679">
        <v>5</v>
      </c>
      <c r="E679" t="s">
        <v>100</v>
      </c>
      <c r="F679" t="s">
        <v>426</v>
      </c>
      <c r="G679" t="s">
        <v>84</v>
      </c>
      <c r="H679" t="s">
        <v>87</v>
      </c>
      <c r="I679" t="s">
        <v>427</v>
      </c>
      <c r="J679">
        <v>-5.8835884299999996</v>
      </c>
      <c r="K679" t="s">
        <v>440</v>
      </c>
      <c r="L679" t="s">
        <v>450</v>
      </c>
      <c r="M679">
        <v>0.26601384014995</v>
      </c>
      <c r="N679">
        <v>1.5651159516404789</v>
      </c>
      <c r="O679">
        <v>47588.953000000001</v>
      </c>
      <c r="P679">
        <v>1.500949E-6</v>
      </c>
      <c r="Q679">
        <v>0.14285700000000001</v>
      </c>
      <c r="R679" s="60">
        <v>0.22358776950350401</v>
      </c>
      <c r="S679" t="s">
        <v>347</v>
      </c>
      <c r="T679" t="s">
        <v>437</v>
      </c>
      <c r="U679" t="s">
        <v>425</v>
      </c>
      <c r="V679" t="s">
        <v>26</v>
      </c>
      <c r="W679">
        <v>111.133</v>
      </c>
      <c r="X679">
        <v>1.0541007448257309</v>
      </c>
      <c r="Y679">
        <v>117.145378074718</v>
      </c>
      <c r="Z679">
        <v>640.82000000000005</v>
      </c>
      <c r="AA679">
        <v>1</v>
      </c>
      <c r="AB679">
        <v>75.069101177840764</v>
      </c>
      <c r="AC679">
        <v>0.99109999999999998</v>
      </c>
      <c r="AD679" s="62">
        <v>74.400999999999996</v>
      </c>
      <c r="AE679">
        <v>8.9176000000000002</v>
      </c>
      <c r="AF679">
        <v>9.4000488020579382</v>
      </c>
      <c r="AG679">
        <v>1</v>
      </c>
      <c r="AH679">
        <v>6023.7392733347688</v>
      </c>
      <c r="AI679">
        <v>0.9830373970836227</v>
      </c>
      <c r="AJ679" s="62">
        <v>5921.5609999999997</v>
      </c>
      <c r="AK679" s="60">
        <v>1323.9886159689379</v>
      </c>
      <c r="AL679" t="s">
        <v>348</v>
      </c>
      <c r="AM679" t="s">
        <v>438</v>
      </c>
      <c r="AN679" t="s">
        <v>425</v>
      </c>
      <c r="AO679" t="s">
        <v>26</v>
      </c>
      <c r="AP679">
        <v>111.133</v>
      </c>
      <c r="AQ679">
        <v>1.0727760310708341</v>
      </c>
      <c r="AR679">
        <v>119.22081866099499</v>
      </c>
      <c r="AS679">
        <v>694.38</v>
      </c>
      <c r="AT679">
        <v>0.875</v>
      </c>
      <c r="AU679">
        <v>72.436483054094012</v>
      </c>
      <c r="AV679">
        <v>0.98270000000000002</v>
      </c>
      <c r="AW679" s="62">
        <v>71.183000000000007</v>
      </c>
      <c r="AX679">
        <v>8.9176000000000002</v>
      </c>
      <c r="AY679">
        <v>0.91300000000000003</v>
      </c>
      <c r="AZ679">
        <v>6064.9193587765631</v>
      </c>
      <c r="BA679">
        <v>0.99365142346989388</v>
      </c>
      <c r="BB679" s="62">
        <v>6026.4157999999998</v>
      </c>
      <c r="BC679" s="60">
        <v>1347.432866822674</v>
      </c>
    </row>
    <row r="680" spans="1:55" x14ac:dyDescent="0.25">
      <c r="A680">
        <v>223808</v>
      </c>
      <c r="B680" t="s">
        <v>216</v>
      </c>
      <c r="C680">
        <v>2020</v>
      </c>
      <c r="D680">
        <v>5</v>
      </c>
      <c r="E680" t="s">
        <v>100</v>
      </c>
      <c r="F680" t="s">
        <v>426</v>
      </c>
      <c r="G680" t="s">
        <v>84</v>
      </c>
      <c r="H680" t="s">
        <v>87</v>
      </c>
      <c r="I680" t="s">
        <v>427</v>
      </c>
      <c r="J680">
        <v>-5.8835884299999996</v>
      </c>
      <c r="K680" t="s">
        <v>440</v>
      </c>
      <c r="L680" t="s">
        <v>384</v>
      </c>
      <c r="M680">
        <v>3.9509559941419997E-2</v>
      </c>
      <c r="N680">
        <v>0.23245798967360129</v>
      </c>
      <c r="O680">
        <v>47588.953000000001</v>
      </c>
      <c r="P680">
        <v>1.500949E-6</v>
      </c>
      <c r="Q680">
        <v>0.14285700000000001</v>
      </c>
      <c r="R680" s="60">
        <v>3.3208251030801668E-2</v>
      </c>
      <c r="S680" t="s">
        <v>347</v>
      </c>
      <c r="T680" t="s">
        <v>437</v>
      </c>
      <c r="U680" t="s">
        <v>425</v>
      </c>
      <c r="V680" t="s">
        <v>81</v>
      </c>
      <c r="W680">
        <v>111.133</v>
      </c>
      <c r="X680">
        <v>1.0541007448257309</v>
      </c>
      <c r="Y680">
        <v>117.145378074718</v>
      </c>
      <c r="Z680">
        <v>640.82000000000005</v>
      </c>
      <c r="AA680">
        <v>1</v>
      </c>
      <c r="AB680">
        <v>75.069101177840764</v>
      </c>
      <c r="AC680">
        <v>0.93830000000000002</v>
      </c>
      <c r="AD680" s="62">
        <v>70.436999999999998</v>
      </c>
      <c r="AE680">
        <v>8.9176000000000002</v>
      </c>
      <c r="AF680">
        <v>9.4000488020579382</v>
      </c>
      <c r="AG680">
        <v>1</v>
      </c>
      <c r="AH680">
        <v>6023.7392733347688</v>
      </c>
      <c r="AI680">
        <v>1.098016605166052</v>
      </c>
      <c r="AJ680" s="62">
        <v>6614.1656999999996</v>
      </c>
      <c r="AK680" s="60">
        <v>219.64487492491801</v>
      </c>
      <c r="AL680" t="s">
        <v>348</v>
      </c>
      <c r="AM680" t="s">
        <v>438</v>
      </c>
      <c r="AN680" t="s">
        <v>425</v>
      </c>
      <c r="AO680" t="s">
        <v>81</v>
      </c>
      <c r="AP680">
        <v>111.133</v>
      </c>
      <c r="AQ680">
        <v>1.0727760310708341</v>
      </c>
      <c r="AR680">
        <v>119.22081866099499</v>
      </c>
      <c r="AS680">
        <v>694.38</v>
      </c>
      <c r="AT680">
        <v>0.875</v>
      </c>
      <c r="AU680">
        <v>72.436483054094012</v>
      </c>
      <c r="AV680">
        <v>0.93500000000000005</v>
      </c>
      <c r="AW680" s="62">
        <v>67.727999999999994</v>
      </c>
      <c r="AX680">
        <v>8.9176000000000002</v>
      </c>
      <c r="AY680">
        <v>0.91300000000000003</v>
      </c>
      <c r="AZ680">
        <v>6064.9193587765631</v>
      </c>
      <c r="BA680">
        <v>1.096171586715867</v>
      </c>
      <c r="BB680" s="62">
        <v>6648.1922999999997</v>
      </c>
      <c r="BC680" s="60">
        <v>220.7748387994427</v>
      </c>
    </row>
    <row r="681" spans="1:55" x14ac:dyDescent="0.25">
      <c r="A681">
        <v>223810</v>
      </c>
      <c r="B681" t="s">
        <v>216</v>
      </c>
      <c r="C681">
        <v>2020</v>
      </c>
      <c r="D681">
        <v>5</v>
      </c>
      <c r="E681" t="s">
        <v>100</v>
      </c>
      <c r="F681" t="s">
        <v>426</v>
      </c>
      <c r="G681" t="s">
        <v>84</v>
      </c>
      <c r="H681" t="s">
        <v>87</v>
      </c>
      <c r="I681" t="s">
        <v>427</v>
      </c>
      <c r="J681">
        <v>-5.8835884299999996</v>
      </c>
      <c r="K681" t="s">
        <v>440</v>
      </c>
      <c r="L681" t="s">
        <v>385</v>
      </c>
      <c r="M681">
        <v>0.39737542925016001</v>
      </c>
      <c r="N681">
        <v>2.3379934771770738</v>
      </c>
      <c r="O681">
        <v>47588.953000000001</v>
      </c>
      <c r="P681">
        <v>1.500949E-6</v>
      </c>
      <c r="Q681">
        <v>0.14285700000000001</v>
      </c>
      <c r="R681" s="60">
        <v>0.33399873416908532</v>
      </c>
      <c r="S681" t="s">
        <v>347</v>
      </c>
      <c r="T681" t="s">
        <v>437</v>
      </c>
      <c r="U681" t="s">
        <v>425</v>
      </c>
      <c r="V681" t="s">
        <v>27</v>
      </c>
      <c r="W681">
        <v>111.133</v>
      </c>
      <c r="X681">
        <v>1.0541007448257309</v>
      </c>
      <c r="Y681">
        <v>117.145378074718</v>
      </c>
      <c r="Z681">
        <v>640.82000000000005</v>
      </c>
      <c r="AA681">
        <v>1</v>
      </c>
      <c r="AB681">
        <v>75.069101177840764</v>
      </c>
      <c r="AC681">
        <v>0.95889999999999997</v>
      </c>
      <c r="AD681" s="62">
        <v>71.983999999999995</v>
      </c>
      <c r="AE681">
        <v>8.9176000000000002</v>
      </c>
      <c r="AF681">
        <v>9.4000488020579382</v>
      </c>
      <c r="AG681">
        <v>1</v>
      </c>
      <c r="AH681">
        <v>6023.7392733347688</v>
      </c>
      <c r="AI681">
        <v>0.99097621000820357</v>
      </c>
      <c r="AJ681" s="62">
        <v>5969.3823000000002</v>
      </c>
      <c r="AK681" s="60">
        <v>1993.7661319713429</v>
      </c>
      <c r="AL681" t="s">
        <v>348</v>
      </c>
      <c r="AM681" t="s">
        <v>438</v>
      </c>
      <c r="AN681" t="s">
        <v>425</v>
      </c>
      <c r="AO681" t="s">
        <v>27</v>
      </c>
      <c r="AP681">
        <v>111.133</v>
      </c>
      <c r="AQ681">
        <v>1.0727760310708341</v>
      </c>
      <c r="AR681">
        <v>119.22081866099499</v>
      </c>
      <c r="AS681">
        <v>694.38</v>
      </c>
      <c r="AT681">
        <v>0.875</v>
      </c>
      <c r="AU681">
        <v>72.436483054094012</v>
      </c>
      <c r="AV681">
        <v>0.95369999999999999</v>
      </c>
      <c r="AW681" s="62">
        <v>69.082999999999998</v>
      </c>
      <c r="AX681">
        <v>8.9176000000000002</v>
      </c>
      <c r="AY681">
        <v>0.91300000000000003</v>
      </c>
      <c r="AZ681">
        <v>6064.9193587765631</v>
      </c>
      <c r="BA681">
        <v>1.007895816242822</v>
      </c>
      <c r="BB681" s="62">
        <v>6112.8068000000003</v>
      </c>
      <c r="BC681" s="60">
        <v>2041.669733420177</v>
      </c>
    </row>
    <row r="682" spans="1:55" x14ac:dyDescent="0.25">
      <c r="A682">
        <v>223812</v>
      </c>
      <c r="B682" t="s">
        <v>216</v>
      </c>
      <c r="C682">
        <v>2020</v>
      </c>
      <c r="D682">
        <v>5</v>
      </c>
      <c r="E682" t="s">
        <v>100</v>
      </c>
      <c r="F682" t="s">
        <v>426</v>
      </c>
      <c r="G682" t="s">
        <v>84</v>
      </c>
      <c r="H682" t="s">
        <v>87</v>
      </c>
      <c r="I682" t="s">
        <v>427</v>
      </c>
      <c r="J682">
        <v>-5.8835884299999996</v>
      </c>
      <c r="K682" t="s">
        <v>440</v>
      </c>
      <c r="L682" t="s">
        <v>452</v>
      </c>
      <c r="M682">
        <v>8.4248020759000004E-4</v>
      </c>
      <c r="N682">
        <v>4.9568068003424861E-3</v>
      </c>
      <c r="O682">
        <v>47588.953000000001</v>
      </c>
      <c r="P682">
        <v>1.500949E-6</v>
      </c>
      <c r="Q682">
        <v>0.14285700000000001</v>
      </c>
      <c r="R682" s="60">
        <v>7.0811454907652657E-4</v>
      </c>
      <c r="S682" t="s">
        <v>347</v>
      </c>
      <c r="T682" t="s">
        <v>437</v>
      </c>
      <c r="U682" t="s">
        <v>425</v>
      </c>
      <c r="V682" t="s">
        <v>28</v>
      </c>
      <c r="W682">
        <v>111.133</v>
      </c>
      <c r="X682">
        <v>1.0541007448257309</v>
      </c>
      <c r="Y682">
        <v>117.145378074718</v>
      </c>
      <c r="Z682">
        <v>640.82000000000005</v>
      </c>
      <c r="AA682">
        <v>1</v>
      </c>
      <c r="AB682">
        <v>75.069101177840764</v>
      </c>
      <c r="AC682">
        <v>1.0073000000000001</v>
      </c>
      <c r="AD682" s="62">
        <v>75.617000000000004</v>
      </c>
      <c r="AE682">
        <v>8.9176000000000002</v>
      </c>
      <c r="AF682">
        <v>9.4000488020579382</v>
      </c>
      <c r="AG682">
        <v>1</v>
      </c>
      <c r="AH682">
        <v>6023.7392733347688</v>
      </c>
      <c r="AI682">
        <v>0.99399488088206345</v>
      </c>
      <c r="AJ682" s="62">
        <v>5987.5659999999998</v>
      </c>
      <c r="AK682" s="60">
        <v>4.2398825981559414</v>
      </c>
      <c r="AL682" t="s">
        <v>348</v>
      </c>
      <c r="AM682" t="s">
        <v>438</v>
      </c>
      <c r="AN682" t="s">
        <v>425</v>
      </c>
      <c r="AO682" t="s">
        <v>28</v>
      </c>
      <c r="AP682">
        <v>111.133</v>
      </c>
      <c r="AQ682">
        <v>1.0727760310708341</v>
      </c>
      <c r="AR682">
        <v>119.22081866099499</v>
      </c>
      <c r="AS682">
        <v>694.38</v>
      </c>
      <c r="AT682">
        <v>0.875</v>
      </c>
      <c r="AU682">
        <v>72.436483054094012</v>
      </c>
      <c r="AV682">
        <v>0.99250000000000005</v>
      </c>
      <c r="AW682" s="62">
        <v>71.893000000000001</v>
      </c>
      <c r="AX682">
        <v>8.9176000000000002</v>
      </c>
      <c r="AY682">
        <v>0.91300000000000003</v>
      </c>
      <c r="AZ682">
        <v>6064.9193587765631</v>
      </c>
      <c r="BA682">
        <v>0.93847214018507585</v>
      </c>
      <c r="BB682" s="62">
        <v>5691.7578999999996</v>
      </c>
      <c r="BC682" s="60">
        <v>4.0304165788112574</v>
      </c>
    </row>
    <row r="683" spans="1:55" x14ac:dyDescent="0.25">
      <c r="A683">
        <v>223814</v>
      </c>
      <c r="B683" t="s">
        <v>216</v>
      </c>
      <c r="C683">
        <v>2020</v>
      </c>
      <c r="D683">
        <v>5</v>
      </c>
      <c r="E683" t="s">
        <v>100</v>
      </c>
      <c r="F683" t="s">
        <v>426</v>
      </c>
      <c r="G683" t="s">
        <v>84</v>
      </c>
      <c r="H683" t="s">
        <v>59</v>
      </c>
      <c r="I683" t="s">
        <v>427</v>
      </c>
      <c r="J683">
        <v>-17.390262679999999</v>
      </c>
      <c r="K683" t="s">
        <v>440</v>
      </c>
      <c r="L683" t="s">
        <v>450</v>
      </c>
      <c r="M683">
        <v>0.15931709696460999</v>
      </c>
      <c r="N683">
        <v>2.7705661656409948</v>
      </c>
      <c r="O683">
        <v>47588.953000000001</v>
      </c>
      <c r="P683">
        <v>1.500949E-6</v>
      </c>
      <c r="Q683">
        <v>0.14285700000000001</v>
      </c>
      <c r="R683" s="60">
        <v>0.3957947707249756</v>
      </c>
      <c r="S683" t="s">
        <v>347</v>
      </c>
      <c r="T683" t="s">
        <v>437</v>
      </c>
      <c r="U683" t="s">
        <v>425</v>
      </c>
      <c r="V683" t="s">
        <v>26</v>
      </c>
      <c r="W683">
        <v>111.133</v>
      </c>
      <c r="X683">
        <v>1.0541007448257309</v>
      </c>
      <c r="Y683">
        <v>117.145378074718</v>
      </c>
      <c r="Z683">
        <v>640.82000000000005</v>
      </c>
      <c r="AA683">
        <v>1</v>
      </c>
      <c r="AB683">
        <v>75.069101177840764</v>
      </c>
      <c r="AC683">
        <v>0.99109999999999998</v>
      </c>
      <c r="AD683" s="62">
        <v>74.400999999999996</v>
      </c>
      <c r="AE683">
        <v>8.9176000000000002</v>
      </c>
      <c r="AF683">
        <v>9.4000488020579382</v>
      </c>
      <c r="AG683">
        <v>1</v>
      </c>
      <c r="AH683">
        <v>6023.7392733347688</v>
      </c>
      <c r="AI683">
        <v>0.9830373970836227</v>
      </c>
      <c r="AJ683" s="62">
        <v>5921.5609999999997</v>
      </c>
      <c r="AK683" s="60">
        <v>2343.722878328957</v>
      </c>
      <c r="AL683" t="s">
        <v>348</v>
      </c>
      <c r="AM683" t="s">
        <v>438</v>
      </c>
      <c r="AN683" t="s">
        <v>425</v>
      </c>
      <c r="AO683" t="s">
        <v>26</v>
      </c>
      <c r="AP683">
        <v>111.133</v>
      </c>
      <c r="AQ683">
        <v>1.0727760310708341</v>
      </c>
      <c r="AR683">
        <v>119.22081866099499</v>
      </c>
      <c r="AS683">
        <v>694.38</v>
      </c>
      <c r="AT683">
        <v>0.875</v>
      </c>
      <c r="AU683">
        <v>72.436483054094012</v>
      </c>
      <c r="AV683">
        <v>0.98270000000000002</v>
      </c>
      <c r="AW683" s="62">
        <v>71.183000000000007</v>
      </c>
      <c r="AX683">
        <v>8.9176000000000002</v>
      </c>
      <c r="AY683">
        <v>0.91300000000000003</v>
      </c>
      <c r="AZ683">
        <v>6064.9193587765631</v>
      </c>
      <c r="BA683">
        <v>0.99365142346989388</v>
      </c>
      <c r="BB683" s="62">
        <v>6026.4157999999998</v>
      </c>
      <c r="BC683" s="60">
        <v>2385.2238598543699</v>
      </c>
    </row>
    <row r="684" spans="1:55" x14ac:dyDescent="0.25">
      <c r="A684">
        <v>223816</v>
      </c>
      <c r="B684" t="s">
        <v>216</v>
      </c>
      <c r="C684">
        <v>2020</v>
      </c>
      <c r="D684">
        <v>5</v>
      </c>
      <c r="E684" t="s">
        <v>100</v>
      </c>
      <c r="F684" t="s">
        <v>426</v>
      </c>
      <c r="G684" t="s">
        <v>84</v>
      </c>
      <c r="H684" t="s">
        <v>59</v>
      </c>
      <c r="I684" t="s">
        <v>427</v>
      </c>
      <c r="J684">
        <v>-17.390262679999999</v>
      </c>
      <c r="K684" t="s">
        <v>440</v>
      </c>
      <c r="L684" t="s">
        <v>384</v>
      </c>
      <c r="M684">
        <v>4.1785183859599999E-2</v>
      </c>
      <c r="N684">
        <v>0.72665532345352923</v>
      </c>
      <c r="O684">
        <v>47588.953000000001</v>
      </c>
      <c r="P684">
        <v>1.500949E-6</v>
      </c>
      <c r="Q684">
        <v>0.14285700000000001</v>
      </c>
      <c r="R684" s="60">
        <v>0.1038077995426008</v>
      </c>
      <c r="S684" t="s">
        <v>347</v>
      </c>
      <c r="T684" t="s">
        <v>437</v>
      </c>
      <c r="U684" t="s">
        <v>425</v>
      </c>
      <c r="V684" t="s">
        <v>81</v>
      </c>
      <c r="W684">
        <v>111.133</v>
      </c>
      <c r="X684">
        <v>1.0541007448257309</v>
      </c>
      <c r="Y684">
        <v>117.145378074718</v>
      </c>
      <c r="Z684">
        <v>640.82000000000005</v>
      </c>
      <c r="AA684">
        <v>1</v>
      </c>
      <c r="AB684">
        <v>75.069101177840764</v>
      </c>
      <c r="AC684">
        <v>0.93830000000000002</v>
      </c>
      <c r="AD684" s="62">
        <v>70.436999999999998</v>
      </c>
      <c r="AE684">
        <v>8.9176000000000002</v>
      </c>
      <c r="AF684">
        <v>9.4000488020579382</v>
      </c>
      <c r="AG684">
        <v>1</v>
      </c>
      <c r="AH684">
        <v>6023.7392733347688</v>
      </c>
      <c r="AI684">
        <v>1.098016605166052</v>
      </c>
      <c r="AJ684" s="62">
        <v>6614.1656999999996</v>
      </c>
      <c r="AK684" s="60">
        <v>686.60198712714612</v>
      </c>
      <c r="AL684" t="s">
        <v>348</v>
      </c>
      <c r="AM684" t="s">
        <v>438</v>
      </c>
      <c r="AN684" t="s">
        <v>425</v>
      </c>
      <c r="AO684" t="s">
        <v>81</v>
      </c>
      <c r="AP684">
        <v>111.133</v>
      </c>
      <c r="AQ684">
        <v>1.0727760310708341</v>
      </c>
      <c r="AR684">
        <v>119.22081866099499</v>
      </c>
      <c r="AS684">
        <v>694.38</v>
      </c>
      <c r="AT684">
        <v>0.875</v>
      </c>
      <c r="AU684">
        <v>72.436483054094012</v>
      </c>
      <c r="AV684">
        <v>0.93500000000000005</v>
      </c>
      <c r="AW684" s="62">
        <v>67.727999999999994</v>
      </c>
      <c r="AX684">
        <v>8.9176000000000002</v>
      </c>
      <c r="AY684">
        <v>0.91300000000000003</v>
      </c>
      <c r="AZ684">
        <v>6064.9193587765631</v>
      </c>
      <c r="BA684">
        <v>1.096171586715867</v>
      </c>
      <c r="BB684" s="62">
        <v>6648.1922999999997</v>
      </c>
      <c r="BC684" s="60">
        <v>690.13421359906238</v>
      </c>
    </row>
    <row r="685" spans="1:55" x14ac:dyDescent="0.25">
      <c r="A685">
        <v>223818</v>
      </c>
      <c r="B685" t="s">
        <v>216</v>
      </c>
      <c r="C685">
        <v>2020</v>
      </c>
      <c r="D685">
        <v>5</v>
      </c>
      <c r="E685" t="s">
        <v>100</v>
      </c>
      <c r="F685" t="s">
        <v>426</v>
      </c>
      <c r="G685" t="s">
        <v>84</v>
      </c>
      <c r="H685" t="s">
        <v>59</v>
      </c>
      <c r="I685" t="s">
        <v>427</v>
      </c>
      <c r="J685">
        <v>-17.390262679999999</v>
      </c>
      <c r="K685" t="s">
        <v>440</v>
      </c>
      <c r="L685" t="s">
        <v>385</v>
      </c>
      <c r="M685">
        <v>0.43497567483749999</v>
      </c>
      <c r="N685">
        <v>7.5643412448655063</v>
      </c>
      <c r="O685">
        <v>47588.953000000001</v>
      </c>
      <c r="P685">
        <v>1.500949E-6</v>
      </c>
      <c r="Q685">
        <v>0.14285700000000001</v>
      </c>
      <c r="R685" s="60">
        <v>1.0806190972177521</v>
      </c>
      <c r="S685" t="s">
        <v>347</v>
      </c>
      <c r="T685" t="s">
        <v>437</v>
      </c>
      <c r="U685" t="s">
        <v>425</v>
      </c>
      <c r="V685" t="s">
        <v>27</v>
      </c>
      <c r="W685">
        <v>111.133</v>
      </c>
      <c r="X685">
        <v>1.0541007448257309</v>
      </c>
      <c r="Y685">
        <v>117.145378074718</v>
      </c>
      <c r="Z685">
        <v>640.82000000000005</v>
      </c>
      <c r="AA685">
        <v>1</v>
      </c>
      <c r="AB685">
        <v>75.069101177840764</v>
      </c>
      <c r="AC685">
        <v>0.95889999999999997</v>
      </c>
      <c r="AD685" s="62">
        <v>71.983999999999995</v>
      </c>
      <c r="AE685">
        <v>8.9176000000000002</v>
      </c>
      <c r="AF685">
        <v>9.4000488020579382</v>
      </c>
      <c r="AG685">
        <v>1</v>
      </c>
      <c r="AH685">
        <v>6023.7392733347688</v>
      </c>
      <c r="AI685">
        <v>0.99097621000820357</v>
      </c>
      <c r="AJ685" s="62">
        <v>5969.3823000000002</v>
      </c>
      <c r="AK685" s="60">
        <v>6450.6285119736258</v>
      </c>
      <c r="AL685" t="s">
        <v>348</v>
      </c>
      <c r="AM685" t="s">
        <v>438</v>
      </c>
      <c r="AN685" t="s">
        <v>425</v>
      </c>
      <c r="AO685" t="s">
        <v>27</v>
      </c>
      <c r="AP685">
        <v>111.133</v>
      </c>
      <c r="AQ685">
        <v>1.0727760310708341</v>
      </c>
      <c r="AR685">
        <v>119.22081866099499</v>
      </c>
      <c r="AS685">
        <v>694.38</v>
      </c>
      <c r="AT685">
        <v>0.875</v>
      </c>
      <c r="AU685">
        <v>72.436483054094012</v>
      </c>
      <c r="AV685">
        <v>0.95369999999999999</v>
      </c>
      <c r="AW685" s="62">
        <v>69.082999999999998</v>
      </c>
      <c r="AX685">
        <v>8.9176000000000002</v>
      </c>
      <c r="AY685">
        <v>0.91300000000000003</v>
      </c>
      <c r="AZ685">
        <v>6064.9193587765631</v>
      </c>
      <c r="BA685">
        <v>1.007895816242822</v>
      </c>
      <c r="BB685" s="62">
        <v>6112.8068000000003</v>
      </c>
      <c r="BC685" s="60">
        <v>6605.6157656825326</v>
      </c>
    </row>
    <row r="686" spans="1:55" x14ac:dyDescent="0.25">
      <c r="A686">
        <v>223820</v>
      </c>
      <c r="B686" t="s">
        <v>216</v>
      </c>
      <c r="C686">
        <v>2020</v>
      </c>
      <c r="D686">
        <v>5</v>
      </c>
      <c r="E686" t="s">
        <v>100</v>
      </c>
      <c r="F686" t="s">
        <v>426</v>
      </c>
      <c r="G686" t="s">
        <v>84</v>
      </c>
      <c r="H686" t="s">
        <v>59</v>
      </c>
      <c r="I686" t="s">
        <v>427</v>
      </c>
      <c r="J686">
        <v>-17.390262679999999</v>
      </c>
      <c r="K686" t="s">
        <v>440</v>
      </c>
      <c r="L686" t="s">
        <v>451</v>
      </c>
      <c r="M686">
        <v>1.7625750762999999E-3</v>
      </c>
      <c r="N686">
        <v>3.0651643570204119E-2</v>
      </c>
      <c r="O686">
        <v>47588.953000000001</v>
      </c>
      <c r="P686">
        <v>1.500949E-6</v>
      </c>
      <c r="Q686">
        <v>0.14285700000000001</v>
      </c>
      <c r="R686" s="60">
        <v>4.3788018455086508E-3</v>
      </c>
      <c r="S686" t="s">
        <v>347</v>
      </c>
      <c r="T686" t="s">
        <v>437</v>
      </c>
      <c r="U686" t="s">
        <v>425</v>
      </c>
      <c r="V686" t="s">
        <v>91</v>
      </c>
      <c r="W686">
        <v>111.133</v>
      </c>
      <c r="X686">
        <v>1.0541007448257309</v>
      </c>
      <c r="Y686">
        <v>117.145378074718</v>
      </c>
      <c r="Z686">
        <v>640.82000000000005</v>
      </c>
      <c r="AA686">
        <v>1</v>
      </c>
      <c r="AB686">
        <v>75.069101177840764</v>
      </c>
      <c r="AC686">
        <v>1.0088999999999999</v>
      </c>
      <c r="AD686" s="62">
        <v>75.736999999999995</v>
      </c>
      <c r="AE686">
        <v>8.9176000000000002</v>
      </c>
      <c r="AF686">
        <v>9.4000488020579382</v>
      </c>
      <c r="AG686">
        <v>1</v>
      </c>
      <c r="AH686">
        <v>6023.7392733347688</v>
      </c>
      <c r="AI686">
        <v>0.99316673174541203</v>
      </c>
      <c r="AJ686" s="62">
        <v>5982.5774000000001</v>
      </c>
      <c r="AK686" s="60">
        <v>26.196520960018351</v>
      </c>
      <c r="AL686" t="s">
        <v>348</v>
      </c>
      <c r="AM686" t="s">
        <v>438</v>
      </c>
      <c r="AN686" t="s">
        <v>425</v>
      </c>
      <c r="AO686" t="s">
        <v>91</v>
      </c>
      <c r="AP686">
        <v>111.133</v>
      </c>
      <c r="AQ686">
        <v>1.0727760310708341</v>
      </c>
      <c r="AR686">
        <v>119.22081866099499</v>
      </c>
      <c r="AS686">
        <v>694.38</v>
      </c>
      <c r="AT686">
        <v>0.875</v>
      </c>
      <c r="AU686">
        <v>72.436483054094012</v>
      </c>
      <c r="AV686">
        <v>1.0179</v>
      </c>
      <c r="AW686" s="62">
        <v>73.733000000000004</v>
      </c>
      <c r="AX686">
        <v>8.9176000000000002</v>
      </c>
      <c r="AY686">
        <v>0.91300000000000003</v>
      </c>
      <c r="AZ686">
        <v>6064.9193587765631</v>
      </c>
      <c r="BA686">
        <v>0.98975009761811794</v>
      </c>
      <c r="BB686" s="62">
        <v>6002.7545</v>
      </c>
      <c r="BC686" s="60">
        <v>26.284872482735359</v>
      </c>
    </row>
    <row r="687" spans="1:55" x14ac:dyDescent="0.25">
      <c r="A687">
        <v>223822</v>
      </c>
      <c r="B687" t="s">
        <v>216</v>
      </c>
      <c r="C687">
        <v>2020</v>
      </c>
      <c r="D687">
        <v>5</v>
      </c>
      <c r="E687" t="s">
        <v>100</v>
      </c>
      <c r="F687" t="s">
        <v>426</v>
      </c>
      <c r="G687" t="s">
        <v>84</v>
      </c>
      <c r="H687" t="s">
        <v>59</v>
      </c>
      <c r="I687" t="s">
        <v>427</v>
      </c>
      <c r="J687">
        <v>-17.390262679999999</v>
      </c>
      <c r="K687" t="s">
        <v>440</v>
      </c>
      <c r="L687" t="s">
        <v>452</v>
      </c>
      <c r="M687">
        <v>1.4858046103299999E-3</v>
      </c>
      <c r="N687">
        <v>2.5838532464900029E-2</v>
      </c>
      <c r="O687">
        <v>47588.953000000001</v>
      </c>
      <c r="P687">
        <v>1.500949E-6</v>
      </c>
      <c r="Q687">
        <v>0.14285700000000001</v>
      </c>
      <c r="R687" s="60">
        <v>3.6912152323382232E-3</v>
      </c>
      <c r="S687" t="s">
        <v>347</v>
      </c>
      <c r="T687" t="s">
        <v>437</v>
      </c>
      <c r="U687" t="s">
        <v>425</v>
      </c>
      <c r="V687" t="s">
        <v>28</v>
      </c>
      <c r="W687">
        <v>111.133</v>
      </c>
      <c r="X687">
        <v>1.0541007448257309</v>
      </c>
      <c r="Y687">
        <v>117.145378074718</v>
      </c>
      <c r="Z687">
        <v>640.82000000000005</v>
      </c>
      <c r="AA687">
        <v>1</v>
      </c>
      <c r="AB687">
        <v>75.069101177840764</v>
      </c>
      <c r="AC687">
        <v>1.0073000000000001</v>
      </c>
      <c r="AD687" s="62">
        <v>75.617000000000004</v>
      </c>
      <c r="AE687">
        <v>8.9176000000000002</v>
      </c>
      <c r="AF687">
        <v>9.4000488020579382</v>
      </c>
      <c r="AG687">
        <v>1</v>
      </c>
      <c r="AH687">
        <v>6023.7392733347688</v>
      </c>
      <c r="AI687">
        <v>0.99399488088206345</v>
      </c>
      <c r="AJ687" s="62">
        <v>5987.5659999999998</v>
      </c>
      <c r="AK687" s="60">
        <v>22.10139482383045</v>
      </c>
      <c r="AL687" t="s">
        <v>348</v>
      </c>
      <c r="AM687" t="s">
        <v>438</v>
      </c>
      <c r="AN687" t="s">
        <v>425</v>
      </c>
      <c r="AO687" t="s">
        <v>28</v>
      </c>
      <c r="AP687">
        <v>111.133</v>
      </c>
      <c r="AQ687">
        <v>1.0727760310708341</v>
      </c>
      <c r="AR687">
        <v>119.22081866099499</v>
      </c>
      <c r="AS687">
        <v>694.38</v>
      </c>
      <c r="AT687">
        <v>0.875</v>
      </c>
      <c r="AU687">
        <v>72.436483054094012</v>
      </c>
      <c r="AV687">
        <v>0.99250000000000005</v>
      </c>
      <c r="AW687" s="62">
        <v>71.893000000000001</v>
      </c>
      <c r="AX687">
        <v>8.9176000000000002</v>
      </c>
      <c r="AY687">
        <v>0.91300000000000003</v>
      </c>
      <c r="AZ687">
        <v>6064.9193587765631</v>
      </c>
      <c r="BA687">
        <v>0.93847214018507585</v>
      </c>
      <c r="BB687" s="62">
        <v>5691.7578999999996</v>
      </c>
      <c r="BC687" s="60">
        <v>21.00950345926142</v>
      </c>
    </row>
    <row r="688" spans="1:55" x14ac:dyDescent="0.25">
      <c r="A688">
        <v>231041</v>
      </c>
      <c r="B688" t="s">
        <v>223</v>
      </c>
      <c r="C688">
        <v>2020</v>
      </c>
      <c r="D688">
        <v>6</v>
      </c>
      <c r="E688" t="s">
        <v>100</v>
      </c>
      <c r="F688" t="s">
        <v>426</v>
      </c>
      <c r="G688" t="s">
        <v>84</v>
      </c>
      <c r="H688" t="s">
        <v>381</v>
      </c>
      <c r="I688" t="s">
        <v>427</v>
      </c>
      <c r="J688">
        <v>-32.004116019999998</v>
      </c>
      <c r="K688" t="s">
        <v>440</v>
      </c>
      <c r="L688" t="s">
        <v>450</v>
      </c>
      <c r="M688">
        <v>0.15011157993331001</v>
      </c>
      <c r="N688">
        <v>4.8041884206151462</v>
      </c>
      <c r="O688">
        <v>47588.953000000001</v>
      </c>
      <c r="P688">
        <v>1.500949E-6</v>
      </c>
      <c r="Q688">
        <v>0.14285700000000001</v>
      </c>
      <c r="R688" s="60">
        <v>0.686311945203818</v>
      </c>
      <c r="S688" t="s">
        <v>347</v>
      </c>
      <c r="T688" t="s">
        <v>437</v>
      </c>
      <c r="U688" t="s">
        <v>425</v>
      </c>
      <c r="V688" t="s">
        <v>26</v>
      </c>
      <c r="W688">
        <v>111.133</v>
      </c>
      <c r="X688">
        <v>1.0541007448257309</v>
      </c>
      <c r="Y688">
        <v>117.145378074718</v>
      </c>
      <c r="Z688">
        <v>640.82000000000005</v>
      </c>
      <c r="AA688">
        <v>1</v>
      </c>
      <c r="AB688">
        <v>75.069101177840764</v>
      </c>
      <c r="AC688">
        <v>0.99109999999999998</v>
      </c>
      <c r="AD688" s="62">
        <v>74.400999999999996</v>
      </c>
      <c r="AE688">
        <v>8.9176000000000002</v>
      </c>
      <c r="AF688">
        <v>9.4000488020579382</v>
      </c>
      <c r="AG688">
        <v>1</v>
      </c>
      <c r="AH688">
        <v>6023.7392733347688</v>
      </c>
      <c r="AI688">
        <v>0.9830373970836227</v>
      </c>
      <c r="AJ688" s="62">
        <v>5921.5609999999997</v>
      </c>
      <c r="AK688" s="60">
        <v>4064.038048553065</v>
      </c>
      <c r="AL688" t="s">
        <v>348</v>
      </c>
      <c r="AM688" t="s">
        <v>438</v>
      </c>
      <c r="AN688" t="s">
        <v>425</v>
      </c>
      <c r="AO688" t="s">
        <v>26</v>
      </c>
      <c r="AP688">
        <v>111.133</v>
      </c>
      <c r="AQ688">
        <v>1.0727760310708341</v>
      </c>
      <c r="AR688">
        <v>119.22081866099499</v>
      </c>
      <c r="AS688">
        <v>694.38</v>
      </c>
      <c r="AT688">
        <v>0.875</v>
      </c>
      <c r="AU688">
        <v>72.436483054094012</v>
      </c>
      <c r="AV688">
        <v>0.98270000000000002</v>
      </c>
      <c r="AW688" s="62">
        <v>71.183000000000007</v>
      </c>
      <c r="AX688">
        <v>8.9176000000000002</v>
      </c>
      <c r="AY688">
        <v>0.91300000000000003</v>
      </c>
      <c r="AZ688">
        <v>6064.9193587765631</v>
      </c>
      <c r="BA688">
        <v>0.99365142346989388</v>
      </c>
      <c r="BB688" s="62">
        <v>6026.4157999999998</v>
      </c>
      <c r="BC688" s="60">
        <v>4136.0011503050227</v>
      </c>
    </row>
    <row r="689" spans="1:55" x14ac:dyDescent="0.25">
      <c r="A689">
        <v>231043</v>
      </c>
      <c r="B689" t="s">
        <v>223</v>
      </c>
      <c r="C689">
        <v>2020</v>
      </c>
      <c r="D689">
        <v>6</v>
      </c>
      <c r="E689" t="s">
        <v>100</v>
      </c>
      <c r="F689" t="s">
        <v>426</v>
      </c>
      <c r="G689" t="s">
        <v>84</v>
      </c>
      <c r="H689" t="s">
        <v>381</v>
      </c>
      <c r="I689" t="s">
        <v>427</v>
      </c>
      <c r="J689">
        <v>-32.004116019999998</v>
      </c>
      <c r="K689" t="s">
        <v>440</v>
      </c>
      <c r="L689" t="s">
        <v>384</v>
      </c>
      <c r="M689">
        <v>4.5811354346740003E-2</v>
      </c>
      <c r="N689">
        <v>1.466151899694103</v>
      </c>
      <c r="O689">
        <v>47588.953000000001</v>
      </c>
      <c r="P689">
        <v>1.500949E-6</v>
      </c>
      <c r="Q689">
        <v>0.14285700000000001</v>
      </c>
      <c r="R689" s="60">
        <v>0.2094500619346005</v>
      </c>
      <c r="S689" t="s">
        <v>347</v>
      </c>
      <c r="T689" t="s">
        <v>437</v>
      </c>
      <c r="U689" t="s">
        <v>425</v>
      </c>
      <c r="V689" t="s">
        <v>81</v>
      </c>
      <c r="W689">
        <v>111.133</v>
      </c>
      <c r="X689">
        <v>1.0541007448257309</v>
      </c>
      <c r="Y689">
        <v>117.145378074718</v>
      </c>
      <c r="Z689">
        <v>640.82000000000005</v>
      </c>
      <c r="AA689">
        <v>1</v>
      </c>
      <c r="AB689">
        <v>75.069101177840764</v>
      </c>
      <c r="AC689">
        <v>0.93830000000000002</v>
      </c>
      <c r="AD689" s="62">
        <v>70.436999999999998</v>
      </c>
      <c r="AE689">
        <v>8.9176000000000002</v>
      </c>
      <c r="AF689">
        <v>9.4000488020579382</v>
      </c>
      <c r="AG689">
        <v>1</v>
      </c>
      <c r="AH689">
        <v>6023.7392733347688</v>
      </c>
      <c r="AI689">
        <v>1.098016605166052</v>
      </c>
      <c r="AJ689" s="62">
        <v>6614.1656999999996</v>
      </c>
      <c r="AK689" s="60">
        <v>1385.3374155107099</v>
      </c>
      <c r="AL689" t="s">
        <v>348</v>
      </c>
      <c r="AM689" t="s">
        <v>438</v>
      </c>
      <c r="AN689" t="s">
        <v>425</v>
      </c>
      <c r="AO689" t="s">
        <v>81</v>
      </c>
      <c r="AP689">
        <v>111.133</v>
      </c>
      <c r="AQ689">
        <v>1.0727760310708341</v>
      </c>
      <c r="AR689">
        <v>119.22081866099499</v>
      </c>
      <c r="AS689">
        <v>694.38</v>
      </c>
      <c r="AT689">
        <v>0.875</v>
      </c>
      <c r="AU689">
        <v>72.436483054094012</v>
      </c>
      <c r="AV689">
        <v>0.93500000000000005</v>
      </c>
      <c r="AW689" s="62">
        <v>67.727999999999994</v>
      </c>
      <c r="AX689">
        <v>8.9176000000000002</v>
      </c>
      <c r="AY689">
        <v>0.91300000000000003</v>
      </c>
      <c r="AZ689">
        <v>6064.9193587765631</v>
      </c>
      <c r="BA689">
        <v>1.096171586715867</v>
      </c>
      <c r="BB689" s="62">
        <v>6648.1922999999997</v>
      </c>
      <c r="BC689" s="60">
        <v>1392.4642889881341</v>
      </c>
    </row>
    <row r="690" spans="1:55" x14ac:dyDescent="0.25">
      <c r="A690">
        <v>231045</v>
      </c>
      <c r="B690" t="s">
        <v>223</v>
      </c>
      <c r="C690">
        <v>2020</v>
      </c>
      <c r="D690">
        <v>6</v>
      </c>
      <c r="E690" t="s">
        <v>100</v>
      </c>
      <c r="F690" t="s">
        <v>426</v>
      </c>
      <c r="G690" t="s">
        <v>84</v>
      </c>
      <c r="H690" t="s">
        <v>381</v>
      </c>
      <c r="I690" t="s">
        <v>427</v>
      </c>
      <c r="J690">
        <v>-32.004116019999998</v>
      </c>
      <c r="K690" t="s">
        <v>440</v>
      </c>
      <c r="L690" t="s">
        <v>385</v>
      </c>
      <c r="M690">
        <v>0.43232641346992001</v>
      </c>
      <c r="N690">
        <v>13.836224696595711</v>
      </c>
      <c r="O690">
        <v>47588.953000000001</v>
      </c>
      <c r="P690">
        <v>1.500949E-6</v>
      </c>
      <c r="Q690">
        <v>0.14285700000000001</v>
      </c>
      <c r="R690" s="60">
        <v>1.976601551481574</v>
      </c>
      <c r="S690" t="s">
        <v>347</v>
      </c>
      <c r="T690" t="s">
        <v>437</v>
      </c>
      <c r="U690" t="s">
        <v>425</v>
      </c>
      <c r="V690" t="s">
        <v>27</v>
      </c>
      <c r="W690">
        <v>111.133</v>
      </c>
      <c r="X690">
        <v>1.0541007448257309</v>
      </c>
      <c r="Y690">
        <v>117.145378074718</v>
      </c>
      <c r="Z690">
        <v>640.82000000000005</v>
      </c>
      <c r="AA690">
        <v>1</v>
      </c>
      <c r="AB690">
        <v>75.069101177840764</v>
      </c>
      <c r="AC690">
        <v>0.95889999999999997</v>
      </c>
      <c r="AD690" s="62">
        <v>71.983999999999995</v>
      </c>
      <c r="AE690">
        <v>8.9176000000000002</v>
      </c>
      <c r="AF690">
        <v>9.4000488020579382</v>
      </c>
      <c r="AG690">
        <v>1</v>
      </c>
      <c r="AH690">
        <v>6023.7392733347688</v>
      </c>
      <c r="AI690">
        <v>0.99097621000820357</v>
      </c>
      <c r="AJ690" s="62">
        <v>5969.3823000000002</v>
      </c>
      <c r="AK690" s="60">
        <v>11799.090315566649</v>
      </c>
      <c r="AL690" t="s">
        <v>348</v>
      </c>
      <c r="AM690" t="s">
        <v>438</v>
      </c>
      <c r="AN690" t="s">
        <v>425</v>
      </c>
      <c r="AO690" t="s">
        <v>27</v>
      </c>
      <c r="AP690">
        <v>111.133</v>
      </c>
      <c r="AQ690">
        <v>1.0727760310708341</v>
      </c>
      <c r="AR690">
        <v>119.22081866099499</v>
      </c>
      <c r="AS690">
        <v>694.38</v>
      </c>
      <c r="AT690">
        <v>0.875</v>
      </c>
      <c r="AU690">
        <v>72.436483054094012</v>
      </c>
      <c r="AV690">
        <v>0.95369999999999999</v>
      </c>
      <c r="AW690" s="62">
        <v>69.082999999999998</v>
      </c>
      <c r="AX690">
        <v>8.9176000000000002</v>
      </c>
      <c r="AY690">
        <v>0.91300000000000003</v>
      </c>
      <c r="AZ690">
        <v>6064.9193587765631</v>
      </c>
      <c r="BA690">
        <v>1.007895816242822</v>
      </c>
      <c r="BB690" s="62">
        <v>6112.8068000000003</v>
      </c>
      <c r="BC690" s="60">
        <v>12082.583404787119</v>
      </c>
    </row>
    <row r="691" spans="1:55" x14ac:dyDescent="0.25">
      <c r="A691">
        <v>231047</v>
      </c>
      <c r="B691" t="s">
        <v>223</v>
      </c>
      <c r="C691">
        <v>2020</v>
      </c>
      <c r="D691">
        <v>6</v>
      </c>
      <c r="E691" t="s">
        <v>100</v>
      </c>
      <c r="F691" t="s">
        <v>426</v>
      </c>
      <c r="G691" t="s">
        <v>84</v>
      </c>
      <c r="H691" t="s">
        <v>381</v>
      </c>
      <c r="I691" t="s">
        <v>427</v>
      </c>
      <c r="J691">
        <v>-32.004116019999998</v>
      </c>
      <c r="K691" t="s">
        <v>440</v>
      </c>
      <c r="L691" t="s">
        <v>451</v>
      </c>
      <c r="M691">
        <v>1.6825115802299999E-3</v>
      </c>
      <c r="N691">
        <v>5.3847295824099202E-2</v>
      </c>
      <c r="O691">
        <v>47588.953000000001</v>
      </c>
      <c r="P691">
        <v>1.500949E-6</v>
      </c>
      <c r="Q691">
        <v>0.14285700000000001</v>
      </c>
      <c r="R691" s="60">
        <v>7.6924631395433396E-3</v>
      </c>
      <c r="S691" t="s">
        <v>347</v>
      </c>
      <c r="T691" t="s">
        <v>437</v>
      </c>
      <c r="U691" t="s">
        <v>425</v>
      </c>
      <c r="V691" t="s">
        <v>91</v>
      </c>
      <c r="W691">
        <v>111.133</v>
      </c>
      <c r="X691">
        <v>1.0541007448257309</v>
      </c>
      <c r="Y691">
        <v>117.145378074718</v>
      </c>
      <c r="Z691">
        <v>640.82000000000005</v>
      </c>
      <c r="AA691">
        <v>1</v>
      </c>
      <c r="AB691">
        <v>75.069101177840764</v>
      </c>
      <c r="AC691">
        <v>1.0088999999999999</v>
      </c>
      <c r="AD691" s="62">
        <v>75.736999999999995</v>
      </c>
      <c r="AE691">
        <v>8.9176000000000002</v>
      </c>
      <c r="AF691">
        <v>9.4000488020579382</v>
      </c>
      <c r="AG691">
        <v>1</v>
      </c>
      <c r="AH691">
        <v>6023.7392733347688</v>
      </c>
      <c r="AI691">
        <v>0.99316673174541203</v>
      </c>
      <c r="AJ691" s="62">
        <v>5982.5774000000001</v>
      </c>
      <c r="AK691" s="60">
        <v>46.020756128965033</v>
      </c>
      <c r="AL691" t="s">
        <v>348</v>
      </c>
      <c r="AM691" t="s">
        <v>438</v>
      </c>
      <c r="AN691" t="s">
        <v>425</v>
      </c>
      <c r="AO691" t="s">
        <v>91</v>
      </c>
      <c r="AP691">
        <v>111.133</v>
      </c>
      <c r="AQ691">
        <v>1.0727760310708341</v>
      </c>
      <c r="AR691">
        <v>119.22081866099499</v>
      </c>
      <c r="AS691">
        <v>694.38</v>
      </c>
      <c r="AT691">
        <v>0.875</v>
      </c>
      <c r="AU691">
        <v>72.436483054094012</v>
      </c>
      <c r="AV691">
        <v>1.0179</v>
      </c>
      <c r="AW691" s="62">
        <v>73.733000000000004</v>
      </c>
      <c r="AX691">
        <v>8.9176000000000002</v>
      </c>
      <c r="AY691">
        <v>0.91300000000000003</v>
      </c>
      <c r="AZ691">
        <v>6064.9193587765631</v>
      </c>
      <c r="BA691">
        <v>0.98975009761811794</v>
      </c>
      <c r="BB691" s="62">
        <v>6002.7545</v>
      </c>
      <c r="BC691" s="60">
        <v>46.175967726977909</v>
      </c>
    </row>
    <row r="692" spans="1:55" x14ac:dyDescent="0.25">
      <c r="A692">
        <v>231049</v>
      </c>
      <c r="B692" t="s">
        <v>223</v>
      </c>
      <c r="C692">
        <v>2020</v>
      </c>
      <c r="D692">
        <v>6</v>
      </c>
      <c r="E692" t="s">
        <v>100</v>
      </c>
      <c r="F692" t="s">
        <v>426</v>
      </c>
      <c r="G692" t="s">
        <v>84</v>
      </c>
      <c r="H692" t="s">
        <v>381</v>
      </c>
      <c r="I692" t="s">
        <v>427</v>
      </c>
      <c r="J692">
        <v>-32.004116019999998</v>
      </c>
      <c r="K692" t="s">
        <v>440</v>
      </c>
      <c r="L692" t="s">
        <v>452</v>
      </c>
      <c r="M692">
        <v>1.53682162831E-3</v>
      </c>
      <c r="N692">
        <v>4.9184617699433567E-2</v>
      </c>
      <c r="O692">
        <v>47588.953000000001</v>
      </c>
      <c r="P692">
        <v>1.500949E-6</v>
      </c>
      <c r="Q692">
        <v>0.14285700000000001</v>
      </c>
      <c r="R692" s="60">
        <v>7.0263669306879816E-3</v>
      </c>
      <c r="S692" t="s">
        <v>347</v>
      </c>
      <c r="T692" t="s">
        <v>437</v>
      </c>
      <c r="U692" t="s">
        <v>425</v>
      </c>
      <c r="V692" t="s">
        <v>28</v>
      </c>
      <c r="W692">
        <v>111.133</v>
      </c>
      <c r="X692">
        <v>1.0541007448257309</v>
      </c>
      <c r="Y692">
        <v>117.145378074718</v>
      </c>
      <c r="Z692">
        <v>640.82000000000005</v>
      </c>
      <c r="AA692">
        <v>1</v>
      </c>
      <c r="AB692">
        <v>75.069101177840764</v>
      </c>
      <c r="AC692">
        <v>1.0073000000000001</v>
      </c>
      <c r="AD692" s="62">
        <v>75.617000000000004</v>
      </c>
      <c r="AE692">
        <v>8.9176000000000002</v>
      </c>
      <c r="AF692">
        <v>9.4000488020579382</v>
      </c>
      <c r="AG692">
        <v>1</v>
      </c>
      <c r="AH692">
        <v>6023.7392733347688</v>
      </c>
      <c r="AI692">
        <v>0.99399488088206345</v>
      </c>
      <c r="AJ692" s="62">
        <v>5987.5659999999998</v>
      </c>
      <c r="AK692" s="60">
        <v>42.070835737711711</v>
      </c>
      <c r="AL692" t="s">
        <v>348</v>
      </c>
      <c r="AM692" t="s">
        <v>438</v>
      </c>
      <c r="AN692" t="s">
        <v>425</v>
      </c>
      <c r="AO692" t="s">
        <v>28</v>
      </c>
      <c r="AP692">
        <v>111.133</v>
      </c>
      <c r="AQ692">
        <v>1.0727760310708341</v>
      </c>
      <c r="AR692">
        <v>119.22081866099499</v>
      </c>
      <c r="AS692">
        <v>694.38</v>
      </c>
      <c r="AT692">
        <v>0.875</v>
      </c>
      <c r="AU692">
        <v>72.436483054094012</v>
      </c>
      <c r="AV692">
        <v>0.99250000000000005</v>
      </c>
      <c r="AW692" s="62">
        <v>71.893000000000001</v>
      </c>
      <c r="AX692">
        <v>8.9176000000000002</v>
      </c>
      <c r="AY692">
        <v>0.91300000000000003</v>
      </c>
      <c r="AZ692">
        <v>6064.9193587765631</v>
      </c>
      <c r="BA692">
        <v>0.93847214018507585</v>
      </c>
      <c r="BB692" s="62">
        <v>5691.7578999999996</v>
      </c>
      <c r="BC692" s="60">
        <v>39.992379486042068</v>
      </c>
    </row>
    <row r="693" spans="1:55" x14ac:dyDescent="0.25">
      <c r="A693">
        <v>231051</v>
      </c>
      <c r="B693" t="s">
        <v>223</v>
      </c>
      <c r="C693">
        <v>2020</v>
      </c>
      <c r="D693">
        <v>6</v>
      </c>
      <c r="E693" t="s">
        <v>100</v>
      </c>
      <c r="F693" t="s">
        <v>426</v>
      </c>
      <c r="G693" t="s">
        <v>84</v>
      </c>
      <c r="H693" t="s">
        <v>87</v>
      </c>
      <c r="I693" t="s">
        <v>427</v>
      </c>
      <c r="J693">
        <v>-5.8835884299999996</v>
      </c>
      <c r="K693" t="s">
        <v>440</v>
      </c>
      <c r="L693" t="s">
        <v>450</v>
      </c>
      <c r="M693">
        <v>0.26601384014995</v>
      </c>
      <c r="N693">
        <v>1.5651159516404789</v>
      </c>
      <c r="O693">
        <v>47588.953000000001</v>
      </c>
      <c r="P693">
        <v>1.500949E-6</v>
      </c>
      <c r="Q693">
        <v>0.14285700000000001</v>
      </c>
      <c r="R693" s="60">
        <v>0.22358776950350401</v>
      </c>
      <c r="S693" t="s">
        <v>347</v>
      </c>
      <c r="T693" t="s">
        <v>437</v>
      </c>
      <c r="U693" t="s">
        <v>425</v>
      </c>
      <c r="V693" t="s">
        <v>26</v>
      </c>
      <c r="W693">
        <v>111.133</v>
      </c>
      <c r="X693">
        <v>1.0541007448257309</v>
      </c>
      <c r="Y693">
        <v>117.145378074718</v>
      </c>
      <c r="Z693">
        <v>640.82000000000005</v>
      </c>
      <c r="AA693">
        <v>1</v>
      </c>
      <c r="AB693">
        <v>75.069101177840764</v>
      </c>
      <c r="AC693">
        <v>0.99109999999999998</v>
      </c>
      <c r="AD693" s="62">
        <v>74.400999999999996</v>
      </c>
      <c r="AE693">
        <v>8.9176000000000002</v>
      </c>
      <c r="AF693">
        <v>9.4000488020579382</v>
      </c>
      <c r="AG693">
        <v>1</v>
      </c>
      <c r="AH693">
        <v>6023.7392733347688</v>
      </c>
      <c r="AI693">
        <v>0.9830373970836227</v>
      </c>
      <c r="AJ693" s="62">
        <v>5921.5609999999997</v>
      </c>
      <c r="AK693" s="60">
        <v>1323.9886159689379</v>
      </c>
      <c r="AL693" t="s">
        <v>348</v>
      </c>
      <c r="AM693" t="s">
        <v>438</v>
      </c>
      <c r="AN693" t="s">
        <v>425</v>
      </c>
      <c r="AO693" t="s">
        <v>26</v>
      </c>
      <c r="AP693">
        <v>111.133</v>
      </c>
      <c r="AQ693">
        <v>1.0727760310708341</v>
      </c>
      <c r="AR693">
        <v>119.22081866099499</v>
      </c>
      <c r="AS693">
        <v>694.38</v>
      </c>
      <c r="AT693">
        <v>0.875</v>
      </c>
      <c r="AU693">
        <v>72.436483054094012</v>
      </c>
      <c r="AV693">
        <v>0.98270000000000002</v>
      </c>
      <c r="AW693" s="62">
        <v>71.183000000000007</v>
      </c>
      <c r="AX693">
        <v>8.9176000000000002</v>
      </c>
      <c r="AY693">
        <v>0.91300000000000003</v>
      </c>
      <c r="AZ693">
        <v>6064.9193587765631</v>
      </c>
      <c r="BA693">
        <v>0.99365142346989388</v>
      </c>
      <c r="BB693" s="62">
        <v>6026.4157999999998</v>
      </c>
      <c r="BC693" s="60">
        <v>1347.432866822674</v>
      </c>
    </row>
    <row r="694" spans="1:55" x14ac:dyDescent="0.25">
      <c r="A694">
        <v>231053</v>
      </c>
      <c r="B694" t="s">
        <v>223</v>
      </c>
      <c r="C694">
        <v>2020</v>
      </c>
      <c r="D694">
        <v>6</v>
      </c>
      <c r="E694" t="s">
        <v>100</v>
      </c>
      <c r="F694" t="s">
        <v>426</v>
      </c>
      <c r="G694" t="s">
        <v>84</v>
      </c>
      <c r="H694" t="s">
        <v>87</v>
      </c>
      <c r="I694" t="s">
        <v>427</v>
      </c>
      <c r="J694">
        <v>-5.8835884299999996</v>
      </c>
      <c r="K694" t="s">
        <v>440</v>
      </c>
      <c r="L694" t="s">
        <v>384</v>
      </c>
      <c r="M694">
        <v>3.9509559941419997E-2</v>
      </c>
      <c r="N694">
        <v>0.23245798967360129</v>
      </c>
      <c r="O694">
        <v>47588.953000000001</v>
      </c>
      <c r="P694">
        <v>1.500949E-6</v>
      </c>
      <c r="Q694">
        <v>0.14285700000000001</v>
      </c>
      <c r="R694" s="60">
        <v>3.3208251030801668E-2</v>
      </c>
      <c r="S694" t="s">
        <v>347</v>
      </c>
      <c r="T694" t="s">
        <v>437</v>
      </c>
      <c r="U694" t="s">
        <v>425</v>
      </c>
      <c r="V694" t="s">
        <v>81</v>
      </c>
      <c r="W694">
        <v>111.133</v>
      </c>
      <c r="X694">
        <v>1.0541007448257309</v>
      </c>
      <c r="Y694">
        <v>117.145378074718</v>
      </c>
      <c r="Z694">
        <v>640.82000000000005</v>
      </c>
      <c r="AA694">
        <v>1</v>
      </c>
      <c r="AB694">
        <v>75.069101177840764</v>
      </c>
      <c r="AC694">
        <v>0.93830000000000002</v>
      </c>
      <c r="AD694" s="62">
        <v>70.436999999999998</v>
      </c>
      <c r="AE694">
        <v>8.9176000000000002</v>
      </c>
      <c r="AF694">
        <v>9.4000488020579382</v>
      </c>
      <c r="AG694">
        <v>1</v>
      </c>
      <c r="AH694">
        <v>6023.7392733347688</v>
      </c>
      <c r="AI694">
        <v>1.098016605166052</v>
      </c>
      <c r="AJ694" s="62">
        <v>6614.1656999999996</v>
      </c>
      <c r="AK694" s="60">
        <v>219.64487492491801</v>
      </c>
      <c r="AL694" t="s">
        <v>348</v>
      </c>
      <c r="AM694" t="s">
        <v>438</v>
      </c>
      <c r="AN694" t="s">
        <v>425</v>
      </c>
      <c r="AO694" t="s">
        <v>81</v>
      </c>
      <c r="AP694">
        <v>111.133</v>
      </c>
      <c r="AQ694">
        <v>1.0727760310708341</v>
      </c>
      <c r="AR694">
        <v>119.22081866099499</v>
      </c>
      <c r="AS694">
        <v>694.38</v>
      </c>
      <c r="AT694">
        <v>0.875</v>
      </c>
      <c r="AU694">
        <v>72.436483054094012</v>
      </c>
      <c r="AV694">
        <v>0.93500000000000005</v>
      </c>
      <c r="AW694" s="62">
        <v>67.727999999999994</v>
      </c>
      <c r="AX694">
        <v>8.9176000000000002</v>
      </c>
      <c r="AY694">
        <v>0.91300000000000003</v>
      </c>
      <c r="AZ694">
        <v>6064.9193587765631</v>
      </c>
      <c r="BA694">
        <v>1.096171586715867</v>
      </c>
      <c r="BB694" s="62">
        <v>6648.1922999999997</v>
      </c>
      <c r="BC694" s="60">
        <v>220.7748387994427</v>
      </c>
    </row>
    <row r="695" spans="1:55" x14ac:dyDescent="0.25">
      <c r="A695">
        <v>231055</v>
      </c>
      <c r="B695" t="s">
        <v>223</v>
      </c>
      <c r="C695">
        <v>2020</v>
      </c>
      <c r="D695">
        <v>6</v>
      </c>
      <c r="E695" t="s">
        <v>100</v>
      </c>
      <c r="F695" t="s">
        <v>426</v>
      </c>
      <c r="G695" t="s">
        <v>84</v>
      </c>
      <c r="H695" t="s">
        <v>87</v>
      </c>
      <c r="I695" t="s">
        <v>427</v>
      </c>
      <c r="J695">
        <v>-5.8835884299999996</v>
      </c>
      <c r="K695" t="s">
        <v>440</v>
      </c>
      <c r="L695" t="s">
        <v>385</v>
      </c>
      <c r="M695">
        <v>0.39737542925016001</v>
      </c>
      <c r="N695">
        <v>2.3379934771770738</v>
      </c>
      <c r="O695">
        <v>47588.953000000001</v>
      </c>
      <c r="P695">
        <v>1.500949E-6</v>
      </c>
      <c r="Q695">
        <v>0.14285700000000001</v>
      </c>
      <c r="R695" s="60">
        <v>0.33399873416908532</v>
      </c>
      <c r="S695" t="s">
        <v>347</v>
      </c>
      <c r="T695" t="s">
        <v>437</v>
      </c>
      <c r="U695" t="s">
        <v>425</v>
      </c>
      <c r="V695" t="s">
        <v>27</v>
      </c>
      <c r="W695">
        <v>111.133</v>
      </c>
      <c r="X695">
        <v>1.0541007448257309</v>
      </c>
      <c r="Y695">
        <v>117.145378074718</v>
      </c>
      <c r="Z695">
        <v>640.82000000000005</v>
      </c>
      <c r="AA695">
        <v>1</v>
      </c>
      <c r="AB695">
        <v>75.069101177840764</v>
      </c>
      <c r="AC695">
        <v>0.95889999999999997</v>
      </c>
      <c r="AD695" s="62">
        <v>71.983999999999995</v>
      </c>
      <c r="AE695">
        <v>8.9176000000000002</v>
      </c>
      <c r="AF695">
        <v>9.4000488020579382</v>
      </c>
      <c r="AG695">
        <v>1</v>
      </c>
      <c r="AH695">
        <v>6023.7392733347688</v>
      </c>
      <c r="AI695">
        <v>0.99097621000820357</v>
      </c>
      <c r="AJ695" s="62">
        <v>5969.3823000000002</v>
      </c>
      <c r="AK695" s="60">
        <v>1993.7661319713429</v>
      </c>
      <c r="AL695" t="s">
        <v>348</v>
      </c>
      <c r="AM695" t="s">
        <v>438</v>
      </c>
      <c r="AN695" t="s">
        <v>425</v>
      </c>
      <c r="AO695" t="s">
        <v>27</v>
      </c>
      <c r="AP695">
        <v>111.133</v>
      </c>
      <c r="AQ695">
        <v>1.0727760310708341</v>
      </c>
      <c r="AR695">
        <v>119.22081866099499</v>
      </c>
      <c r="AS695">
        <v>694.38</v>
      </c>
      <c r="AT695">
        <v>0.875</v>
      </c>
      <c r="AU695">
        <v>72.436483054094012</v>
      </c>
      <c r="AV695">
        <v>0.95369999999999999</v>
      </c>
      <c r="AW695" s="62">
        <v>69.082999999999998</v>
      </c>
      <c r="AX695">
        <v>8.9176000000000002</v>
      </c>
      <c r="AY695">
        <v>0.91300000000000003</v>
      </c>
      <c r="AZ695">
        <v>6064.9193587765631</v>
      </c>
      <c r="BA695">
        <v>1.007895816242822</v>
      </c>
      <c r="BB695" s="62">
        <v>6112.8068000000003</v>
      </c>
      <c r="BC695" s="60">
        <v>2041.669733420177</v>
      </c>
    </row>
    <row r="696" spans="1:55" x14ac:dyDescent="0.25">
      <c r="A696">
        <v>231057</v>
      </c>
      <c r="B696" t="s">
        <v>223</v>
      </c>
      <c r="C696">
        <v>2020</v>
      </c>
      <c r="D696">
        <v>6</v>
      </c>
      <c r="E696" t="s">
        <v>100</v>
      </c>
      <c r="F696" t="s">
        <v>426</v>
      </c>
      <c r="G696" t="s">
        <v>84</v>
      </c>
      <c r="H696" t="s">
        <v>87</v>
      </c>
      <c r="I696" t="s">
        <v>427</v>
      </c>
      <c r="J696">
        <v>-5.8835884299999996</v>
      </c>
      <c r="K696" t="s">
        <v>440</v>
      </c>
      <c r="L696" t="s">
        <v>452</v>
      </c>
      <c r="M696">
        <v>8.4248020759000004E-4</v>
      </c>
      <c r="N696">
        <v>4.9568068003424861E-3</v>
      </c>
      <c r="O696">
        <v>47588.953000000001</v>
      </c>
      <c r="P696">
        <v>1.500949E-6</v>
      </c>
      <c r="Q696">
        <v>0.14285700000000001</v>
      </c>
      <c r="R696" s="60">
        <v>7.0811454907652657E-4</v>
      </c>
      <c r="S696" t="s">
        <v>347</v>
      </c>
      <c r="T696" t="s">
        <v>437</v>
      </c>
      <c r="U696" t="s">
        <v>425</v>
      </c>
      <c r="V696" t="s">
        <v>28</v>
      </c>
      <c r="W696">
        <v>111.133</v>
      </c>
      <c r="X696">
        <v>1.0541007448257309</v>
      </c>
      <c r="Y696">
        <v>117.145378074718</v>
      </c>
      <c r="Z696">
        <v>640.82000000000005</v>
      </c>
      <c r="AA696">
        <v>1</v>
      </c>
      <c r="AB696">
        <v>75.069101177840764</v>
      </c>
      <c r="AC696">
        <v>1.0073000000000001</v>
      </c>
      <c r="AD696" s="62">
        <v>75.617000000000004</v>
      </c>
      <c r="AE696">
        <v>8.9176000000000002</v>
      </c>
      <c r="AF696">
        <v>9.4000488020579382</v>
      </c>
      <c r="AG696">
        <v>1</v>
      </c>
      <c r="AH696">
        <v>6023.7392733347688</v>
      </c>
      <c r="AI696">
        <v>0.99399488088206345</v>
      </c>
      <c r="AJ696" s="62">
        <v>5987.5659999999998</v>
      </c>
      <c r="AK696" s="60">
        <v>4.2398825981559414</v>
      </c>
      <c r="AL696" t="s">
        <v>348</v>
      </c>
      <c r="AM696" t="s">
        <v>438</v>
      </c>
      <c r="AN696" t="s">
        <v>425</v>
      </c>
      <c r="AO696" t="s">
        <v>28</v>
      </c>
      <c r="AP696">
        <v>111.133</v>
      </c>
      <c r="AQ696">
        <v>1.0727760310708341</v>
      </c>
      <c r="AR696">
        <v>119.22081866099499</v>
      </c>
      <c r="AS696">
        <v>694.38</v>
      </c>
      <c r="AT696">
        <v>0.875</v>
      </c>
      <c r="AU696">
        <v>72.436483054094012</v>
      </c>
      <c r="AV696">
        <v>0.99250000000000005</v>
      </c>
      <c r="AW696" s="62">
        <v>71.893000000000001</v>
      </c>
      <c r="AX696">
        <v>8.9176000000000002</v>
      </c>
      <c r="AY696">
        <v>0.91300000000000003</v>
      </c>
      <c r="AZ696">
        <v>6064.9193587765631</v>
      </c>
      <c r="BA696">
        <v>0.93847214018507585</v>
      </c>
      <c r="BB696" s="62">
        <v>5691.7578999999996</v>
      </c>
      <c r="BC696" s="60">
        <v>4.0304165788112574</v>
      </c>
    </row>
    <row r="697" spans="1:55" x14ac:dyDescent="0.25">
      <c r="A697">
        <v>231059</v>
      </c>
      <c r="B697" t="s">
        <v>223</v>
      </c>
      <c r="C697">
        <v>2020</v>
      </c>
      <c r="D697">
        <v>6</v>
      </c>
      <c r="E697" t="s">
        <v>100</v>
      </c>
      <c r="F697" t="s">
        <v>426</v>
      </c>
      <c r="G697" t="s">
        <v>84</v>
      </c>
      <c r="H697" t="s">
        <v>59</v>
      </c>
      <c r="I697" t="s">
        <v>427</v>
      </c>
      <c r="J697">
        <v>-17.390262679999999</v>
      </c>
      <c r="K697" t="s">
        <v>440</v>
      </c>
      <c r="L697" t="s">
        <v>450</v>
      </c>
      <c r="M697">
        <v>0.15931709696460999</v>
      </c>
      <c r="N697">
        <v>2.7705661656409948</v>
      </c>
      <c r="O697">
        <v>47588.953000000001</v>
      </c>
      <c r="P697">
        <v>1.500949E-6</v>
      </c>
      <c r="Q697">
        <v>0.14285700000000001</v>
      </c>
      <c r="R697" s="60">
        <v>0.3957947707249756</v>
      </c>
      <c r="S697" t="s">
        <v>347</v>
      </c>
      <c r="T697" t="s">
        <v>437</v>
      </c>
      <c r="U697" t="s">
        <v>425</v>
      </c>
      <c r="V697" t="s">
        <v>26</v>
      </c>
      <c r="W697">
        <v>111.133</v>
      </c>
      <c r="X697">
        <v>1.0541007448257309</v>
      </c>
      <c r="Y697">
        <v>117.145378074718</v>
      </c>
      <c r="Z697">
        <v>640.82000000000005</v>
      </c>
      <c r="AA697">
        <v>1</v>
      </c>
      <c r="AB697">
        <v>75.069101177840764</v>
      </c>
      <c r="AC697">
        <v>0.99109999999999998</v>
      </c>
      <c r="AD697" s="62">
        <v>74.400999999999996</v>
      </c>
      <c r="AE697">
        <v>8.9176000000000002</v>
      </c>
      <c r="AF697">
        <v>9.4000488020579382</v>
      </c>
      <c r="AG697">
        <v>1</v>
      </c>
      <c r="AH697">
        <v>6023.7392733347688</v>
      </c>
      <c r="AI697">
        <v>0.9830373970836227</v>
      </c>
      <c r="AJ697" s="62">
        <v>5921.5609999999997</v>
      </c>
      <c r="AK697" s="60">
        <v>2343.722878328957</v>
      </c>
      <c r="AL697" t="s">
        <v>348</v>
      </c>
      <c r="AM697" t="s">
        <v>438</v>
      </c>
      <c r="AN697" t="s">
        <v>425</v>
      </c>
      <c r="AO697" t="s">
        <v>26</v>
      </c>
      <c r="AP697">
        <v>111.133</v>
      </c>
      <c r="AQ697">
        <v>1.0727760310708341</v>
      </c>
      <c r="AR697">
        <v>119.22081866099499</v>
      </c>
      <c r="AS697">
        <v>694.38</v>
      </c>
      <c r="AT697">
        <v>0.875</v>
      </c>
      <c r="AU697">
        <v>72.436483054094012</v>
      </c>
      <c r="AV697">
        <v>0.98270000000000002</v>
      </c>
      <c r="AW697" s="62">
        <v>71.183000000000007</v>
      </c>
      <c r="AX697">
        <v>8.9176000000000002</v>
      </c>
      <c r="AY697">
        <v>0.91300000000000003</v>
      </c>
      <c r="AZ697">
        <v>6064.9193587765631</v>
      </c>
      <c r="BA697">
        <v>0.99365142346989388</v>
      </c>
      <c r="BB697" s="62">
        <v>6026.4157999999998</v>
      </c>
      <c r="BC697" s="60">
        <v>2385.2238598543699</v>
      </c>
    </row>
    <row r="698" spans="1:55" x14ac:dyDescent="0.25">
      <c r="A698">
        <v>231061</v>
      </c>
      <c r="B698" t="s">
        <v>223</v>
      </c>
      <c r="C698">
        <v>2020</v>
      </c>
      <c r="D698">
        <v>6</v>
      </c>
      <c r="E698" t="s">
        <v>100</v>
      </c>
      <c r="F698" t="s">
        <v>426</v>
      </c>
      <c r="G698" t="s">
        <v>84</v>
      </c>
      <c r="H698" t="s">
        <v>59</v>
      </c>
      <c r="I698" t="s">
        <v>427</v>
      </c>
      <c r="J698">
        <v>-17.390262679999999</v>
      </c>
      <c r="K698" t="s">
        <v>440</v>
      </c>
      <c r="L698" t="s">
        <v>384</v>
      </c>
      <c r="M698">
        <v>4.1785183859599999E-2</v>
      </c>
      <c r="N698">
        <v>0.72665532345352923</v>
      </c>
      <c r="O698">
        <v>47588.953000000001</v>
      </c>
      <c r="P698">
        <v>1.500949E-6</v>
      </c>
      <c r="Q698">
        <v>0.14285700000000001</v>
      </c>
      <c r="R698" s="60">
        <v>0.1038077995426008</v>
      </c>
      <c r="S698" t="s">
        <v>347</v>
      </c>
      <c r="T698" t="s">
        <v>437</v>
      </c>
      <c r="U698" t="s">
        <v>425</v>
      </c>
      <c r="V698" t="s">
        <v>81</v>
      </c>
      <c r="W698">
        <v>111.133</v>
      </c>
      <c r="X698">
        <v>1.0541007448257309</v>
      </c>
      <c r="Y698">
        <v>117.145378074718</v>
      </c>
      <c r="Z698">
        <v>640.82000000000005</v>
      </c>
      <c r="AA698">
        <v>1</v>
      </c>
      <c r="AB698">
        <v>75.069101177840764</v>
      </c>
      <c r="AC698">
        <v>0.93830000000000002</v>
      </c>
      <c r="AD698" s="62">
        <v>70.436999999999998</v>
      </c>
      <c r="AE698">
        <v>8.9176000000000002</v>
      </c>
      <c r="AF698">
        <v>9.4000488020579382</v>
      </c>
      <c r="AG698">
        <v>1</v>
      </c>
      <c r="AH698">
        <v>6023.7392733347688</v>
      </c>
      <c r="AI698">
        <v>1.098016605166052</v>
      </c>
      <c r="AJ698" s="62">
        <v>6614.1656999999996</v>
      </c>
      <c r="AK698" s="60">
        <v>686.60198712714612</v>
      </c>
      <c r="AL698" t="s">
        <v>348</v>
      </c>
      <c r="AM698" t="s">
        <v>438</v>
      </c>
      <c r="AN698" t="s">
        <v>425</v>
      </c>
      <c r="AO698" t="s">
        <v>81</v>
      </c>
      <c r="AP698">
        <v>111.133</v>
      </c>
      <c r="AQ698">
        <v>1.0727760310708341</v>
      </c>
      <c r="AR698">
        <v>119.22081866099499</v>
      </c>
      <c r="AS698">
        <v>694.38</v>
      </c>
      <c r="AT698">
        <v>0.875</v>
      </c>
      <c r="AU698">
        <v>72.436483054094012</v>
      </c>
      <c r="AV698">
        <v>0.93500000000000005</v>
      </c>
      <c r="AW698" s="62">
        <v>67.727999999999994</v>
      </c>
      <c r="AX698">
        <v>8.9176000000000002</v>
      </c>
      <c r="AY698">
        <v>0.91300000000000003</v>
      </c>
      <c r="AZ698">
        <v>6064.9193587765631</v>
      </c>
      <c r="BA698">
        <v>1.096171586715867</v>
      </c>
      <c r="BB698" s="62">
        <v>6648.1922999999997</v>
      </c>
      <c r="BC698" s="60">
        <v>690.13421359906238</v>
      </c>
    </row>
    <row r="699" spans="1:55" x14ac:dyDescent="0.25">
      <c r="A699">
        <v>231063</v>
      </c>
      <c r="B699" t="s">
        <v>223</v>
      </c>
      <c r="C699">
        <v>2020</v>
      </c>
      <c r="D699">
        <v>6</v>
      </c>
      <c r="E699" t="s">
        <v>100</v>
      </c>
      <c r="F699" t="s">
        <v>426</v>
      </c>
      <c r="G699" t="s">
        <v>84</v>
      </c>
      <c r="H699" t="s">
        <v>59</v>
      </c>
      <c r="I699" t="s">
        <v>427</v>
      </c>
      <c r="J699">
        <v>-17.390262679999999</v>
      </c>
      <c r="K699" t="s">
        <v>440</v>
      </c>
      <c r="L699" t="s">
        <v>385</v>
      </c>
      <c r="M699">
        <v>0.43497567483749999</v>
      </c>
      <c r="N699">
        <v>7.5643412448655063</v>
      </c>
      <c r="O699">
        <v>47588.953000000001</v>
      </c>
      <c r="P699">
        <v>1.500949E-6</v>
      </c>
      <c r="Q699">
        <v>0.14285700000000001</v>
      </c>
      <c r="R699" s="60">
        <v>1.0806190972177521</v>
      </c>
      <c r="S699" t="s">
        <v>347</v>
      </c>
      <c r="T699" t="s">
        <v>437</v>
      </c>
      <c r="U699" t="s">
        <v>425</v>
      </c>
      <c r="V699" t="s">
        <v>27</v>
      </c>
      <c r="W699">
        <v>111.133</v>
      </c>
      <c r="X699">
        <v>1.0541007448257309</v>
      </c>
      <c r="Y699">
        <v>117.145378074718</v>
      </c>
      <c r="Z699">
        <v>640.82000000000005</v>
      </c>
      <c r="AA699">
        <v>1</v>
      </c>
      <c r="AB699">
        <v>75.069101177840764</v>
      </c>
      <c r="AC699">
        <v>0.95889999999999997</v>
      </c>
      <c r="AD699" s="62">
        <v>71.983999999999995</v>
      </c>
      <c r="AE699">
        <v>8.9176000000000002</v>
      </c>
      <c r="AF699">
        <v>9.4000488020579382</v>
      </c>
      <c r="AG699">
        <v>1</v>
      </c>
      <c r="AH699">
        <v>6023.7392733347688</v>
      </c>
      <c r="AI699">
        <v>0.99097621000820357</v>
      </c>
      <c r="AJ699" s="62">
        <v>5969.3823000000002</v>
      </c>
      <c r="AK699" s="60">
        <v>6450.6285119736258</v>
      </c>
      <c r="AL699" t="s">
        <v>348</v>
      </c>
      <c r="AM699" t="s">
        <v>438</v>
      </c>
      <c r="AN699" t="s">
        <v>425</v>
      </c>
      <c r="AO699" t="s">
        <v>27</v>
      </c>
      <c r="AP699">
        <v>111.133</v>
      </c>
      <c r="AQ699">
        <v>1.0727760310708341</v>
      </c>
      <c r="AR699">
        <v>119.22081866099499</v>
      </c>
      <c r="AS699">
        <v>694.38</v>
      </c>
      <c r="AT699">
        <v>0.875</v>
      </c>
      <c r="AU699">
        <v>72.436483054094012</v>
      </c>
      <c r="AV699">
        <v>0.95369999999999999</v>
      </c>
      <c r="AW699" s="62">
        <v>69.082999999999998</v>
      </c>
      <c r="AX699">
        <v>8.9176000000000002</v>
      </c>
      <c r="AY699">
        <v>0.91300000000000003</v>
      </c>
      <c r="AZ699">
        <v>6064.9193587765631</v>
      </c>
      <c r="BA699">
        <v>1.007895816242822</v>
      </c>
      <c r="BB699" s="62">
        <v>6112.8068000000003</v>
      </c>
      <c r="BC699" s="60">
        <v>6605.6157656825326</v>
      </c>
    </row>
    <row r="700" spans="1:55" x14ac:dyDescent="0.25">
      <c r="A700">
        <v>231065</v>
      </c>
      <c r="B700" t="s">
        <v>223</v>
      </c>
      <c r="C700">
        <v>2020</v>
      </c>
      <c r="D700">
        <v>6</v>
      </c>
      <c r="E700" t="s">
        <v>100</v>
      </c>
      <c r="F700" t="s">
        <v>426</v>
      </c>
      <c r="G700" t="s">
        <v>84</v>
      </c>
      <c r="H700" t="s">
        <v>59</v>
      </c>
      <c r="I700" t="s">
        <v>427</v>
      </c>
      <c r="J700">
        <v>-17.390262679999999</v>
      </c>
      <c r="K700" t="s">
        <v>440</v>
      </c>
      <c r="L700" t="s">
        <v>451</v>
      </c>
      <c r="M700">
        <v>1.7625750762999999E-3</v>
      </c>
      <c r="N700">
        <v>3.0651643570204119E-2</v>
      </c>
      <c r="O700">
        <v>47588.953000000001</v>
      </c>
      <c r="P700">
        <v>1.500949E-6</v>
      </c>
      <c r="Q700">
        <v>0.14285700000000001</v>
      </c>
      <c r="R700" s="60">
        <v>4.3788018455086508E-3</v>
      </c>
      <c r="S700" t="s">
        <v>347</v>
      </c>
      <c r="T700" t="s">
        <v>437</v>
      </c>
      <c r="U700" t="s">
        <v>425</v>
      </c>
      <c r="V700" t="s">
        <v>91</v>
      </c>
      <c r="W700">
        <v>111.133</v>
      </c>
      <c r="X700">
        <v>1.0541007448257309</v>
      </c>
      <c r="Y700">
        <v>117.145378074718</v>
      </c>
      <c r="Z700">
        <v>640.82000000000005</v>
      </c>
      <c r="AA700">
        <v>1</v>
      </c>
      <c r="AB700">
        <v>75.069101177840764</v>
      </c>
      <c r="AC700">
        <v>1.0088999999999999</v>
      </c>
      <c r="AD700" s="62">
        <v>75.736999999999995</v>
      </c>
      <c r="AE700">
        <v>8.9176000000000002</v>
      </c>
      <c r="AF700">
        <v>9.4000488020579382</v>
      </c>
      <c r="AG700">
        <v>1</v>
      </c>
      <c r="AH700">
        <v>6023.7392733347688</v>
      </c>
      <c r="AI700">
        <v>0.99316673174541203</v>
      </c>
      <c r="AJ700" s="62">
        <v>5982.5774000000001</v>
      </c>
      <c r="AK700" s="60">
        <v>26.196520960018351</v>
      </c>
      <c r="AL700" t="s">
        <v>348</v>
      </c>
      <c r="AM700" t="s">
        <v>438</v>
      </c>
      <c r="AN700" t="s">
        <v>425</v>
      </c>
      <c r="AO700" t="s">
        <v>91</v>
      </c>
      <c r="AP700">
        <v>111.133</v>
      </c>
      <c r="AQ700">
        <v>1.0727760310708341</v>
      </c>
      <c r="AR700">
        <v>119.22081866099499</v>
      </c>
      <c r="AS700">
        <v>694.38</v>
      </c>
      <c r="AT700">
        <v>0.875</v>
      </c>
      <c r="AU700">
        <v>72.436483054094012</v>
      </c>
      <c r="AV700">
        <v>1.0179</v>
      </c>
      <c r="AW700" s="62">
        <v>73.733000000000004</v>
      </c>
      <c r="AX700">
        <v>8.9176000000000002</v>
      </c>
      <c r="AY700">
        <v>0.91300000000000003</v>
      </c>
      <c r="AZ700">
        <v>6064.9193587765631</v>
      </c>
      <c r="BA700">
        <v>0.98975009761811794</v>
      </c>
      <c r="BB700" s="62">
        <v>6002.7545</v>
      </c>
      <c r="BC700" s="60">
        <v>26.284872482735359</v>
      </c>
    </row>
    <row r="701" spans="1:55" x14ac:dyDescent="0.25">
      <c r="A701">
        <v>231067</v>
      </c>
      <c r="B701" t="s">
        <v>223</v>
      </c>
      <c r="C701">
        <v>2020</v>
      </c>
      <c r="D701">
        <v>6</v>
      </c>
      <c r="E701" t="s">
        <v>100</v>
      </c>
      <c r="F701" t="s">
        <v>426</v>
      </c>
      <c r="G701" t="s">
        <v>84</v>
      </c>
      <c r="H701" t="s">
        <v>59</v>
      </c>
      <c r="I701" t="s">
        <v>427</v>
      </c>
      <c r="J701">
        <v>-17.390262679999999</v>
      </c>
      <c r="K701" t="s">
        <v>440</v>
      </c>
      <c r="L701" t="s">
        <v>452</v>
      </c>
      <c r="M701">
        <v>1.4858046103299999E-3</v>
      </c>
      <c r="N701">
        <v>2.5838532464900029E-2</v>
      </c>
      <c r="O701">
        <v>47588.953000000001</v>
      </c>
      <c r="P701">
        <v>1.500949E-6</v>
      </c>
      <c r="Q701">
        <v>0.14285700000000001</v>
      </c>
      <c r="R701" s="60">
        <v>3.6912152323382232E-3</v>
      </c>
      <c r="S701" t="s">
        <v>347</v>
      </c>
      <c r="T701" t="s">
        <v>437</v>
      </c>
      <c r="U701" t="s">
        <v>425</v>
      </c>
      <c r="V701" t="s">
        <v>28</v>
      </c>
      <c r="W701">
        <v>111.133</v>
      </c>
      <c r="X701">
        <v>1.0541007448257309</v>
      </c>
      <c r="Y701">
        <v>117.145378074718</v>
      </c>
      <c r="Z701">
        <v>640.82000000000005</v>
      </c>
      <c r="AA701">
        <v>1</v>
      </c>
      <c r="AB701">
        <v>75.069101177840764</v>
      </c>
      <c r="AC701">
        <v>1.0073000000000001</v>
      </c>
      <c r="AD701" s="62">
        <v>75.617000000000004</v>
      </c>
      <c r="AE701">
        <v>8.9176000000000002</v>
      </c>
      <c r="AF701">
        <v>9.4000488020579382</v>
      </c>
      <c r="AG701">
        <v>1</v>
      </c>
      <c r="AH701">
        <v>6023.7392733347688</v>
      </c>
      <c r="AI701">
        <v>0.99399488088206345</v>
      </c>
      <c r="AJ701" s="62">
        <v>5987.5659999999998</v>
      </c>
      <c r="AK701" s="60">
        <v>22.10139482383045</v>
      </c>
      <c r="AL701" t="s">
        <v>348</v>
      </c>
      <c r="AM701" t="s">
        <v>438</v>
      </c>
      <c r="AN701" t="s">
        <v>425</v>
      </c>
      <c r="AO701" t="s">
        <v>28</v>
      </c>
      <c r="AP701">
        <v>111.133</v>
      </c>
      <c r="AQ701">
        <v>1.0727760310708341</v>
      </c>
      <c r="AR701">
        <v>119.22081866099499</v>
      </c>
      <c r="AS701">
        <v>694.38</v>
      </c>
      <c r="AT701">
        <v>0.875</v>
      </c>
      <c r="AU701">
        <v>72.436483054094012</v>
      </c>
      <c r="AV701">
        <v>0.99250000000000005</v>
      </c>
      <c r="AW701" s="62">
        <v>71.893000000000001</v>
      </c>
      <c r="AX701">
        <v>8.9176000000000002</v>
      </c>
      <c r="AY701">
        <v>0.91300000000000003</v>
      </c>
      <c r="AZ701">
        <v>6064.9193587765631</v>
      </c>
      <c r="BA701">
        <v>0.93847214018507585</v>
      </c>
      <c r="BB701" s="62">
        <v>5691.7578999999996</v>
      </c>
      <c r="BC701" s="60">
        <v>21.00950345926142</v>
      </c>
    </row>
    <row r="702" spans="1:55" x14ac:dyDescent="0.25">
      <c r="A702">
        <v>238286</v>
      </c>
      <c r="B702" t="s">
        <v>230</v>
      </c>
      <c r="C702">
        <v>2020</v>
      </c>
      <c r="D702">
        <v>7</v>
      </c>
      <c r="E702" t="s">
        <v>100</v>
      </c>
      <c r="F702" t="s">
        <v>426</v>
      </c>
      <c r="G702" t="s">
        <v>84</v>
      </c>
      <c r="H702" t="s">
        <v>381</v>
      </c>
      <c r="I702" t="s">
        <v>427</v>
      </c>
      <c r="J702">
        <v>-32.004116019999998</v>
      </c>
      <c r="K702" t="s">
        <v>440</v>
      </c>
      <c r="L702" t="s">
        <v>450</v>
      </c>
      <c r="M702">
        <v>0.15011157993331001</v>
      </c>
      <c r="N702">
        <v>4.8041884206151471</v>
      </c>
      <c r="O702">
        <v>47588.953000000001</v>
      </c>
      <c r="P702">
        <v>1.500949E-6</v>
      </c>
      <c r="Q702">
        <v>0.14285700000000001</v>
      </c>
      <c r="R702" s="60">
        <v>0.68631194520381811</v>
      </c>
      <c r="S702" t="s">
        <v>347</v>
      </c>
      <c r="T702" t="s">
        <v>437</v>
      </c>
      <c r="U702" t="s">
        <v>425</v>
      </c>
      <c r="V702" t="s">
        <v>26</v>
      </c>
      <c r="W702">
        <v>111.133</v>
      </c>
      <c r="X702">
        <v>1.0541007448257309</v>
      </c>
      <c r="Y702">
        <v>117.145378074718</v>
      </c>
      <c r="Z702">
        <v>640.82000000000005</v>
      </c>
      <c r="AA702">
        <v>1</v>
      </c>
      <c r="AB702">
        <v>75.069101177840764</v>
      </c>
      <c r="AC702">
        <v>0.99109999999999998</v>
      </c>
      <c r="AD702" s="62">
        <v>74.400999999999996</v>
      </c>
      <c r="AE702">
        <v>8.9176000000000002</v>
      </c>
      <c r="AF702">
        <v>9.4000488020579382</v>
      </c>
      <c r="AG702">
        <v>1</v>
      </c>
      <c r="AH702">
        <v>6023.7392733347688</v>
      </c>
      <c r="AI702">
        <v>0.9830373970836227</v>
      </c>
      <c r="AJ702" s="62">
        <v>5921.5609999999997</v>
      </c>
      <c r="AK702" s="60">
        <v>4064.0380485530659</v>
      </c>
      <c r="AL702" t="s">
        <v>349</v>
      </c>
      <c r="AM702" t="s">
        <v>439</v>
      </c>
      <c r="AN702" t="s">
        <v>425</v>
      </c>
      <c r="AO702" t="s">
        <v>26</v>
      </c>
      <c r="AP702">
        <v>111.133</v>
      </c>
      <c r="AQ702">
        <v>1.080821157758461</v>
      </c>
      <c r="AR702">
        <v>120.1148977251711</v>
      </c>
      <c r="AS702">
        <v>779.31</v>
      </c>
      <c r="AT702">
        <v>0.879</v>
      </c>
      <c r="AU702">
        <v>82.280325291712501</v>
      </c>
      <c r="AV702">
        <v>0.97599999999999998</v>
      </c>
      <c r="AW702" s="62">
        <v>80.305999999999997</v>
      </c>
      <c r="AX702">
        <v>8.9176000000000002</v>
      </c>
      <c r="AY702">
        <v>0.80400000000000005</v>
      </c>
      <c r="AZ702">
        <v>6039.0430235999738</v>
      </c>
      <c r="BA702">
        <v>0.99553615712726917</v>
      </c>
      <c r="BB702" s="62">
        <v>6012.0856999999996</v>
      </c>
      <c r="BC702" s="60">
        <v>4126.1662314990581</v>
      </c>
    </row>
    <row r="703" spans="1:55" x14ac:dyDescent="0.25">
      <c r="A703">
        <v>238288</v>
      </c>
      <c r="B703" t="s">
        <v>230</v>
      </c>
      <c r="C703">
        <v>2020</v>
      </c>
      <c r="D703">
        <v>7</v>
      </c>
      <c r="E703" t="s">
        <v>100</v>
      </c>
      <c r="F703" t="s">
        <v>426</v>
      </c>
      <c r="G703" t="s">
        <v>84</v>
      </c>
      <c r="H703" t="s">
        <v>381</v>
      </c>
      <c r="I703" t="s">
        <v>427</v>
      </c>
      <c r="J703">
        <v>-32.004116019999998</v>
      </c>
      <c r="K703" t="s">
        <v>440</v>
      </c>
      <c r="L703" t="s">
        <v>384</v>
      </c>
      <c r="M703">
        <v>4.5811354346740003E-2</v>
      </c>
      <c r="N703">
        <v>1.466151899694103</v>
      </c>
      <c r="O703">
        <v>47588.953000000001</v>
      </c>
      <c r="P703">
        <v>1.500949E-6</v>
      </c>
      <c r="Q703">
        <v>0.14285700000000001</v>
      </c>
      <c r="R703" s="60">
        <v>0.2094500619346005</v>
      </c>
      <c r="S703" t="s">
        <v>347</v>
      </c>
      <c r="T703" t="s">
        <v>437</v>
      </c>
      <c r="U703" t="s">
        <v>425</v>
      </c>
      <c r="V703" t="s">
        <v>81</v>
      </c>
      <c r="W703">
        <v>111.133</v>
      </c>
      <c r="X703">
        <v>1.0541007448257309</v>
      </c>
      <c r="Y703">
        <v>117.145378074718</v>
      </c>
      <c r="Z703">
        <v>640.82000000000005</v>
      </c>
      <c r="AA703">
        <v>1</v>
      </c>
      <c r="AB703">
        <v>75.069101177840764</v>
      </c>
      <c r="AC703">
        <v>0.93830000000000002</v>
      </c>
      <c r="AD703" s="62">
        <v>70.436999999999998</v>
      </c>
      <c r="AE703">
        <v>8.9176000000000002</v>
      </c>
      <c r="AF703">
        <v>9.4000488020579382</v>
      </c>
      <c r="AG703">
        <v>1</v>
      </c>
      <c r="AH703">
        <v>6023.7392733347688</v>
      </c>
      <c r="AI703">
        <v>1.098016605166052</v>
      </c>
      <c r="AJ703" s="62">
        <v>6614.1656999999996</v>
      </c>
      <c r="AK703" s="60">
        <v>1385.3374155107099</v>
      </c>
      <c r="AL703" t="s">
        <v>349</v>
      </c>
      <c r="AM703" t="s">
        <v>439</v>
      </c>
      <c r="AN703" t="s">
        <v>425</v>
      </c>
      <c r="AO703" t="s">
        <v>81</v>
      </c>
      <c r="AP703">
        <v>111.133</v>
      </c>
      <c r="AQ703">
        <v>1.080821157758461</v>
      </c>
      <c r="AR703">
        <v>120.1148977251711</v>
      </c>
      <c r="AS703">
        <v>779.31</v>
      </c>
      <c r="AT703">
        <v>0.879</v>
      </c>
      <c r="AU703">
        <v>82.280325291712501</v>
      </c>
      <c r="AV703">
        <v>0.93120000000000003</v>
      </c>
      <c r="AW703" s="62">
        <v>76.619</v>
      </c>
      <c r="AX703">
        <v>8.9176000000000002</v>
      </c>
      <c r="AY703">
        <v>0.80400000000000005</v>
      </c>
      <c r="AZ703">
        <v>6039.0430235999738</v>
      </c>
      <c r="BA703">
        <v>1.1187730627306269</v>
      </c>
      <c r="BB703" s="62">
        <v>6756.3186999999998</v>
      </c>
      <c r="BC703" s="60">
        <v>1415.1113701649001</v>
      </c>
    </row>
    <row r="704" spans="1:55" x14ac:dyDescent="0.25">
      <c r="A704">
        <v>238290</v>
      </c>
      <c r="B704" t="s">
        <v>230</v>
      </c>
      <c r="C704">
        <v>2020</v>
      </c>
      <c r="D704">
        <v>7</v>
      </c>
      <c r="E704" t="s">
        <v>100</v>
      </c>
      <c r="F704" t="s">
        <v>426</v>
      </c>
      <c r="G704" t="s">
        <v>84</v>
      </c>
      <c r="H704" t="s">
        <v>381</v>
      </c>
      <c r="I704" t="s">
        <v>427</v>
      </c>
      <c r="J704">
        <v>-32.004116019999998</v>
      </c>
      <c r="K704" t="s">
        <v>440</v>
      </c>
      <c r="L704" t="s">
        <v>385</v>
      </c>
      <c r="M704">
        <v>0.43232641346992001</v>
      </c>
      <c r="N704">
        <v>13.836224696595719</v>
      </c>
      <c r="O704">
        <v>47588.953000000001</v>
      </c>
      <c r="P704">
        <v>1.500949E-6</v>
      </c>
      <c r="Q704">
        <v>0.14285700000000001</v>
      </c>
      <c r="R704" s="60">
        <v>1.9766015514815749</v>
      </c>
      <c r="S704" t="s">
        <v>347</v>
      </c>
      <c r="T704" t="s">
        <v>437</v>
      </c>
      <c r="U704" t="s">
        <v>425</v>
      </c>
      <c r="V704" t="s">
        <v>27</v>
      </c>
      <c r="W704">
        <v>111.133</v>
      </c>
      <c r="X704">
        <v>1.0541007448257309</v>
      </c>
      <c r="Y704">
        <v>117.145378074718</v>
      </c>
      <c r="Z704">
        <v>640.82000000000005</v>
      </c>
      <c r="AA704">
        <v>1</v>
      </c>
      <c r="AB704">
        <v>75.069101177840764</v>
      </c>
      <c r="AC704">
        <v>0.95889999999999997</v>
      </c>
      <c r="AD704" s="62">
        <v>71.983999999999995</v>
      </c>
      <c r="AE704">
        <v>8.9176000000000002</v>
      </c>
      <c r="AF704">
        <v>9.4000488020579382</v>
      </c>
      <c r="AG704">
        <v>1</v>
      </c>
      <c r="AH704">
        <v>6023.7392733347688</v>
      </c>
      <c r="AI704">
        <v>0.99097621000820357</v>
      </c>
      <c r="AJ704" s="62">
        <v>5969.3823000000002</v>
      </c>
      <c r="AK704" s="60">
        <v>11799.090315566649</v>
      </c>
      <c r="AL704" t="s">
        <v>349</v>
      </c>
      <c r="AM704" t="s">
        <v>439</v>
      </c>
      <c r="AN704" t="s">
        <v>425</v>
      </c>
      <c r="AO704" t="s">
        <v>27</v>
      </c>
      <c r="AP704">
        <v>111.133</v>
      </c>
      <c r="AQ704">
        <v>1.080821157758461</v>
      </c>
      <c r="AR704">
        <v>120.1148977251711</v>
      </c>
      <c r="AS704">
        <v>779.31</v>
      </c>
      <c r="AT704">
        <v>0.879</v>
      </c>
      <c r="AU704">
        <v>82.280325291712501</v>
      </c>
      <c r="AV704">
        <v>0.93269999999999997</v>
      </c>
      <c r="AW704" s="62">
        <v>76.742999999999995</v>
      </c>
      <c r="AX704">
        <v>8.9176000000000002</v>
      </c>
      <c r="AY704">
        <v>0.80400000000000005</v>
      </c>
      <c r="AZ704">
        <v>6039.0430235999738</v>
      </c>
      <c r="BA704">
        <v>1.016406890894175</v>
      </c>
      <c r="BB704" s="62">
        <v>6138.1248999999998</v>
      </c>
      <c r="BC704" s="60">
        <v>12132.627200527681</v>
      </c>
    </row>
    <row r="705" spans="1:55" x14ac:dyDescent="0.25">
      <c r="A705">
        <v>238292</v>
      </c>
      <c r="B705" t="s">
        <v>230</v>
      </c>
      <c r="C705">
        <v>2020</v>
      </c>
      <c r="D705">
        <v>7</v>
      </c>
      <c r="E705" t="s">
        <v>100</v>
      </c>
      <c r="F705" t="s">
        <v>426</v>
      </c>
      <c r="G705" t="s">
        <v>84</v>
      </c>
      <c r="H705" t="s">
        <v>381</v>
      </c>
      <c r="I705" t="s">
        <v>427</v>
      </c>
      <c r="J705">
        <v>-32.004116019999998</v>
      </c>
      <c r="K705" t="s">
        <v>440</v>
      </c>
      <c r="L705" t="s">
        <v>451</v>
      </c>
      <c r="M705">
        <v>1.6825115802299999E-3</v>
      </c>
      <c r="N705">
        <v>5.3847295824099209E-2</v>
      </c>
      <c r="O705">
        <v>47588.953000000001</v>
      </c>
      <c r="P705">
        <v>1.500949E-6</v>
      </c>
      <c r="Q705">
        <v>0.14285700000000001</v>
      </c>
      <c r="R705" s="60">
        <v>7.6924631395433414E-3</v>
      </c>
      <c r="S705" t="s">
        <v>347</v>
      </c>
      <c r="T705" t="s">
        <v>437</v>
      </c>
      <c r="U705" t="s">
        <v>425</v>
      </c>
      <c r="V705" t="s">
        <v>91</v>
      </c>
      <c r="W705">
        <v>111.133</v>
      </c>
      <c r="X705">
        <v>1.0541007448257309</v>
      </c>
      <c r="Y705">
        <v>117.145378074718</v>
      </c>
      <c r="Z705">
        <v>640.82000000000005</v>
      </c>
      <c r="AA705">
        <v>1</v>
      </c>
      <c r="AB705">
        <v>75.069101177840764</v>
      </c>
      <c r="AC705">
        <v>1.0088999999999999</v>
      </c>
      <c r="AD705" s="62">
        <v>75.736999999999995</v>
      </c>
      <c r="AE705">
        <v>8.9176000000000002</v>
      </c>
      <c r="AF705">
        <v>9.4000488020579382</v>
      </c>
      <c r="AG705">
        <v>1</v>
      </c>
      <c r="AH705">
        <v>6023.7392733347688</v>
      </c>
      <c r="AI705">
        <v>0.99316673174541203</v>
      </c>
      <c r="AJ705" s="62">
        <v>5982.5774000000001</v>
      </c>
      <c r="AK705" s="60">
        <v>46.02075612896504</v>
      </c>
      <c r="AL705" t="s">
        <v>349</v>
      </c>
      <c r="AM705" t="s">
        <v>439</v>
      </c>
      <c r="AN705" t="s">
        <v>425</v>
      </c>
      <c r="AO705" t="s">
        <v>91</v>
      </c>
      <c r="AP705">
        <v>111.133</v>
      </c>
      <c r="AQ705">
        <v>1.080821157758461</v>
      </c>
      <c r="AR705">
        <v>120.1148977251711</v>
      </c>
      <c r="AS705">
        <v>779.31</v>
      </c>
      <c r="AT705">
        <v>0.879</v>
      </c>
      <c r="AU705">
        <v>82.280325291712501</v>
      </c>
      <c r="AV705">
        <v>0.9899</v>
      </c>
      <c r="AW705" s="62">
        <v>81.448999999999998</v>
      </c>
      <c r="AX705">
        <v>8.9176000000000002</v>
      </c>
      <c r="AY705">
        <v>0.80400000000000005</v>
      </c>
      <c r="AZ705">
        <v>6039.0430235999738</v>
      </c>
      <c r="BA705">
        <v>0.99199531433033972</v>
      </c>
      <c r="BB705" s="62">
        <v>5990.7024000000001</v>
      </c>
      <c r="BC705" s="60">
        <v>46.083257391973831</v>
      </c>
    </row>
    <row r="706" spans="1:55" x14ac:dyDescent="0.25">
      <c r="A706">
        <v>238294</v>
      </c>
      <c r="B706" t="s">
        <v>230</v>
      </c>
      <c r="C706">
        <v>2020</v>
      </c>
      <c r="D706">
        <v>7</v>
      </c>
      <c r="E706" t="s">
        <v>100</v>
      </c>
      <c r="F706" t="s">
        <v>426</v>
      </c>
      <c r="G706" t="s">
        <v>84</v>
      </c>
      <c r="H706" t="s">
        <v>381</v>
      </c>
      <c r="I706" t="s">
        <v>427</v>
      </c>
      <c r="J706">
        <v>-32.004116019999998</v>
      </c>
      <c r="K706" t="s">
        <v>440</v>
      </c>
      <c r="L706" t="s">
        <v>452</v>
      </c>
      <c r="M706">
        <v>1.53682162831E-3</v>
      </c>
      <c r="N706">
        <v>4.9184617699433567E-2</v>
      </c>
      <c r="O706">
        <v>47588.953000000001</v>
      </c>
      <c r="P706">
        <v>1.500949E-6</v>
      </c>
      <c r="Q706">
        <v>0.14285700000000001</v>
      </c>
      <c r="R706" s="60">
        <v>7.0263669306879816E-3</v>
      </c>
      <c r="S706" t="s">
        <v>347</v>
      </c>
      <c r="T706" t="s">
        <v>437</v>
      </c>
      <c r="U706" t="s">
        <v>425</v>
      </c>
      <c r="V706" t="s">
        <v>28</v>
      </c>
      <c r="W706">
        <v>111.133</v>
      </c>
      <c r="X706">
        <v>1.0541007448257309</v>
      </c>
      <c r="Y706">
        <v>117.145378074718</v>
      </c>
      <c r="Z706">
        <v>640.82000000000005</v>
      </c>
      <c r="AA706">
        <v>1</v>
      </c>
      <c r="AB706">
        <v>75.069101177840764</v>
      </c>
      <c r="AC706">
        <v>1.0073000000000001</v>
      </c>
      <c r="AD706" s="62">
        <v>75.617000000000004</v>
      </c>
      <c r="AE706">
        <v>8.9176000000000002</v>
      </c>
      <c r="AF706">
        <v>9.4000488020579382</v>
      </c>
      <c r="AG706">
        <v>1</v>
      </c>
      <c r="AH706">
        <v>6023.7392733347688</v>
      </c>
      <c r="AI706">
        <v>0.99399488088206345</v>
      </c>
      <c r="AJ706" s="62">
        <v>5987.5659999999998</v>
      </c>
      <c r="AK706" s="60">
        <v>42.070835737711718</v>
      </c>
      <c r="AL706" t="s">
        <v>349</v>
      </c>
      <c r="AM706" t="s">
        <v>439</v>
      </c>
      <c r="AN706" t="s">
        <v>425</v>
      </c>
      <c r="AO706" t="s">
        <v>28</v>
      </c>
      <c r="AP706">
        <v>111.133</v>
      </c>
      <c r="AQ706">
        <v>1.080821157758461</v>
      </c>
      <c r="AR706">
        <v>120.1148977251711</v>
      </c>
      <c r="AS706">
        <v>779.31</v>
      </c>
      <c r="AT706">
        <v>0.879</v>
      </c>
      <c r="AU706">
        <v>82.280325291712501</v>
      </c>
      <c r="AV706">
        <v>0.96379999999999999</v>
      </c>
      <c r="AW706" s="62">
        <v>79.302000000000007</v>
      </c>
      <c r="AX706">
        <v>8.9176000000000002</v>
      </c>
      <c r="AY706">
        <v>0.80400000000000005</v>
      </c>
      <c r="AZ706">
        <v>6039.0430235999738</v>
      </c>
      <c r="BA706">
        <v>0.93699547154951757</v>
      </c>
      <c r="BB706" s="62">
        <v>5658.5559999999996</v>
      </c>
      <c r="BC706" s="60">
        <v>39.759090753846067</v>
      </c>
    </row>
    <row r="707" spans="1:55" x14ac:dyDescent="0.25">
      <c r="A707">
        <v>238296</v>
      </c>
      <c r="B707" t="s">
        <v>230</v>
      </c>
      <c r="C707">
        <v>2020</v>
      </c>
      <c r="D707">
        <v>7</v>
      </c>
      <c r="E707" t="s">
        <v>100</v>
      </c>
      <c r="F707" t="s">
        <v>426</v>
      </c>
      <c r="G707" t="s">
        <v>84</v>
      </c>
      <c r="H707" t="s">
        <v>87</v>
      </c>
      <c r="I707" t="s">
        <v>427</v>
      </c>
      <c r="J707">
        <v>-5.8835884299999996</v>
      </c>
      <c r="K707" t="s">
        <v>440</v>
      </c>
      <c r="L707" t="s">
        <v>450</v>
      </c>
      <c r="M707">
        <v>0.26601384014995</v>
      </c>
      <c r="N707">
        <v>1.56511595164048</v>
      </c>
      <c r="O707">
        <v>47588.953000000001</v>
      </c>
      <c r="P707">
        <v>1.500949E-6</v>
      </c>
      <c r="Q707">
        <v>0.14285700000000001</v>
      </c>
      <c r="R707" s="60">
        <v>0.22358776950350401</v>
      </c>
      <c r="S707" t="s">
        <v>347</v>
      </c>
      <c r="T707" t="s">
        <v>437</v>
      </c>
      <c r="U707" t="s">
        <v>425</v>
      </c>
      <c r="V707" t="s">
        <v>26</v>
      </c>
      <c r="W707">
        <v>111.133</v>
      </c>
      <c r="X707">
        <v>1.0541007448257309</v>
      </c>
      <c r="Y707">
        <v>117.145378074718</v>
      </c>
      <c r="Z707">
        <v>640.82000000000005</v>
      </c>
      <c r="AA707">
        <v>1</v>
      </c>
      <c r="AB707">
        <v>75.069101177840764</v>
      </c>
      <c r="AC707">
        <v>0.99109999999999998</v>
      </c>
      <c r="AD707" s="62">
        <v>74.400999999999996</v>
      </c>
      <c r="AE707">
        <v>8.9176000000000002</v>
      </c>
      <c r="AF707">
        <v>9.4000488020579382</v>
      </c>
      <c r="AG707">
        <v>1</v>
      </c>
      <c r="AH707">
        <v>6023.7392733347688</v>
      </c>
      <c r="AI707">
        <v>0.9830373970836227</v>
      </c>
      <c r="AJ707" s="62">
        <v>5921.5609999999997</v>
      </c>
      <c r="AK707" s="60">
        <v>1323.988615968939</v>
      </c>
      <c r="AL707" t="s">
        <v>349</v>
      </c>
      <c r="AM707" t="s">
        <v>439</v>
      </c>
      <c r="AN707" t="s">
        <v>425</v>
      </c>
      <c r="AO707" t="s">
        <v>26</v>
      </c>
      <c r="AP707">
        <v>111.133</v>
      </c>
      <c r="AQ707">
        <v>1.080821157758461</v>
      </c>
      <c r="AR707">
        <v>120.1148977251711</v>
      </c>
      <c r="AS707">
        <v>779.31</v>
      </c>
      <c r="AT707">
        <v>0.879</v>
      </c>
      <c r="AU707">
        <v>82.280325291712501</v>
      </c>
      <c r="AV707">
        <v>0.97599999999999998</v>
      </c>
      <c r="AW707" s="62">
        <v>80.305999999999997</v>
      </c>
      <c r="AX707">
        <v>8.9176000000000002</v>
      </c>
      <c r="AY707">
        <v>0.80400000000000005</v>
      </c>
      <c r="AZ707">
        <v>6039.0430235999738</v>
      </c>
      <c r="BA707">
        <v>0.99553615712726917</v>
      </c>
      <c r="BB707" s="62">
        <v>6012.0856999999996</v>
      </c>
      <c r="BC707" s="60">
        <v>1344.2288317269119</v>
      </c>
    </row>
    <row r="708" spans="1:55" x14ac:dyDescent="0.25">
      <c r="A708">
        <v>238298</v>
      </c>
      <c r="B708" t="s">
        <v>230</v>
      </c>
      <c r="C708">
        <v>2020</v>
      </c>
      <c r="D708">
        <v>7</v>
      </c>
      <c r="E708" t="s">
        <v>100</v>
      </c>
      <c r="F708" t="s">
        <v>426</v>
      </c>
      <c r="G708" t="s">
        <v>84</v>
      </c>
      <c r="H708" t="s">
        <v>87</v>
      </c>
      <c r="I708" t="s">
        <v>427</v>
      </c>
      <c r="J708">
        <v>-5.8835884299999996</v>
      </c>
      <c r="K708" t="s">
        <v>440</v>
      </c>
      <c r="L708" t="s">
        <v>384</v>
      </c>
      <c r="M708">
        <v>3.9509559941419997E-2</v>
      </c>
      <c r="N708">
        <v>0.2324579896736014</v>
      </c>
      <c r="O708">
        <v>47588.953000000001</v>
      </c>
      <c r="P708">
        <v>1.500949E-6</v>
      </c>
      <c r="Q708">
        <v>0.14285700000000001</v>
      </c>
      <c r="R708" s="60">
        <v>3.3208251030801668E-2</v>
      </c>
      <c r="S708" t="s">
        <v>347</v>
      </c>
      <c r="T708" t="s">
        <v>437</v>
      </c>
      <c r="U708" t="s">
        <v>425</v>
      </c>
      <c r="V708" t="s">
        <v>81</v>
      </c>
      <c r="W708">
        <v>111.133</v>
      </c>
      <c r="X708">
        <v>1.0541007448257309</v>
      </c>
      <c r="Y708">
        <v>117.145378074718</v>
      </c>
      <c r="Z708">
        <v>640.82000000000005</v>
      </c>
      <c r="AA708">
        <v>1</v>
      </c>
      <c r="AB708">
        <v>75.069101177840764</v>
      </c>
      <c r="AC708">
        <v>0.93830000000000002</v>
      </c>
      <c r="AD708" s="62">
        <v>70.436999999999998</v>
      </c>
      <c r="AE708">
        <v>8.9176000000000002</v>
      </c>
      <c r="AF708">
        <v>9.4000488020579382</v>
      </c>
      <c r="AG708">
        <v>1</v>
      </c>
      <c r="AH708">
        <v>6023.7392733347688</v>
      </c>
      <c r="AI708">
        <v>1.098016605166052</v>
      </c>
      <c r="AJ708" s="62">
        <v>6614.1656999999996</v>
      </c>
      <c r="AK708" s="60">
        <v>219.6448749249181</v>
      </c>
      <c r="AL708" t="s">
        <v>349</v>
      </c>
      <c r="AM708" t="s">
        <v>439</v>
      </c>
      <c r="AN708" t="s">
        <v>425</v>
      </c>
      <c r="AO708" t="s">
        <v>81</v>
      </c>
      <c r="AP708">
        <v>111.133</v>
      </c>
      <c r="AQ708">
        <v>1.080821157758461</v>
      </c>
      <c r="AR708">
        <v>120.1148977251711</v>
      </c>
      <c r="AS708">
        <v>779.31</v>
      </c>
      <c r="AT708">
        <v>0.879</v>
      </c>
      <c r="AU708">
        <v>82.280325291712501</v>
      </c>
      <c r="AV708">
        <v>0.93120000000000003</v>
      </c>
      <c r="AW708" s="62">
        <v>76.619</v>
      </c>
      <c r="AX708">
        <v>8.9176000000000002</v>
      </c>
      <c r="AY708">
        <v>0.80400000000000005</v>
      </c>
      <c r="AZ708">
        <v>6039.0430235999738</v>
      </c>
      <c r="BA708">
        <v>1.1187730627306269</v>
      </c>
      <c r="BB708" s="62">
        <v>6756.3186999999998</v>
      </c>
      <c r="BC708" s="60">
        <v>224.36552743369961</v>
      </c>
    </row>
    <row r="709" spans="1:55" x14ac:dyDescent="0.25">
      <c r="A709">
        <v>238300</v>
      </c>
      <c r="B709" t="s">
        <v>230</v>
      </c>
      <c r="C709">
        <v>2020</v>
      </c>
      <c r="D709">
        <v>7</v>
      </c>
      <c r="E709" t="s">
        <v>100</v>
      </c>
      <c r="F709" t="s">
        <v>426</v>
      </c>
      <c r="G709" t="s">
        <v>84</v>
      </c>
      <c r="H709" t="s">
        <v>87</v>
      </c>
      <c r="I709" t="s">
        <v>427</v>
      </c>
      <c r="J709">
        <v>-5.8835884299999996</v>
      </c>
      <c r="K709" t="s">
        <v>440</v>
      </c>
      <c r="L709" t="s">
        <v>385</v>
      </c>
      <c r="M709">
        <v>0.39737542925016001</v>
      </c>
      <c r="N709">
        <v>2.3379934771770752</v>
      </c>
      <c r="O709">
        <v>47588.953000000001</v>
      </c>
      <c r="P709">
        <v>1.500949E-6</v>
      </c>
      <c r="Q709">
        <v>0.14285700000000001</v>
      </c>
      <c r="R709" s="60">
        <v>0.33399873416908538</v>
      </c>
      <c r="S709" t="s">
        <v>347</v>
      </c>
      <c r="T709" t="s">
        <v>437</v>
      </c>
      <c r="U709" t="s">
        <v>425</v>
      </c>
      <c r="V709" t="s">
        <v>27</v>
      </c>
      <c r="W709">
        <v>111.133</v>
      </c>
      <c r="X709">
        <v>1.0541007448257309</v>
      </c>
      <c r="Y709">
        <v>117.145378074718</v>
      </c>
      <c r="Z709">
        <v>640.82000000000005</v>
      </c>
      <c r="AA709">
        <v>1</v>
      </c>
      <c r="AB709">
        <v>75.069101177840764</v>
      </c>
      <c r="AC709">
        <v>0.95889999999999997</v>
      </c>
      <c r="AD709" s="62">
        <v>71.983999999999995</v>
      </c>
      <c r="AE709">
        <v>8.9176000000000002</v>
      </c>
      <c r="AF709">
        <v>9.4000488020579382</v>
      </c>
      <c r="AG709">
        <v>1</v>
      </c>
      <c r="AH709">
        <v>6023.7392733347688</v>
      </c>
      <c r="AI709">
        <v>0.99097621000820357</v>
      </c>
      <c r="AJ709" s="62">
        <v>5969.3823000000002</v>
      </c>
      <c r="AK709" s="60">
        <v>1993.7661319713441</v>
      </c>
      <c r="AL709" t="s">
        <v>349</v>
      </c>
      <c r="AM709" t="s">
        <v>439</v>
      </c>
      <c r="AN709" t="s">
        <v>425</v>
      </c>
      <c r="AO709" t="s">
        <v>27</v>
      </c>
      <c r="AP709">
        <v>111.133</v>
      </c>
      <c r="AQ709">
        <v>1.080821157758461</v>
      </c>
      <c r="AR709">
        <v>120.1148977251711</v>
      </c>
      <c r="AS709">
        <v>779.31</v>
      </c>
      <c r="AT709">
        <v>0.879</v>
      </c>
      <c r="AU709">
        <v>82.280325291712501</v>
      </c>
      <c r="AV709">
        <v>0.93269999999999997</v>
      </c>
      <c r="AW709" s="62">
        <v>76.742999999999995</v>
      </c>
      <c r="AX709">
        <v>8.9176000000000002</v>
      </c>
      <c r="AY709">
        <v>0.80400000000000005</v>
      </c>
      <c r="AZ709">
        <v>6039.0430235999738</v>
      </c>
      <c r="BA709">
        <v>1.016406890894175</v>
      </c>
      <c r="BB709" s="62">
        <v>6138.1248999999998</v>
      </c>
      <c r="BC709" s="60">
        <v>2050.1259467717441</v>
      </c>
    </row>
    <row r="710" spans="1:55" x14ac:dyDescent="0.25">
      <c r="A710">
        <v>238302</v>
      </c>
      <c r="B710" t="s">
        <v>230</v>
      </c>
      <c r="C710">
        <v>2020</v>
      </c>
      <c r="D710">
        <v>7</v>
      </c>
      <c r="E710" t="s">
        <v>100</v>
      </c>
      <c r="F710" t="s">
        <v>426</v>
      </c>
      <c r="G710" t="s">
        <v>84</v>
      </c>
      <c r="H710" t="s">
        <v>87</v>
      </c>
      <c r="I710" t="s">
        <v>427</v>
      </c>
      <c r="J710">
        <v>-5.8835884299999996</v>
      </c>
      <c r="K710" t="s">
        <v>440</v>
      </c>
      <c r="L710" t="s">
        <v>452</v>
      </c>
      <c r="M710">
        <v>8.4248020759000004E-4</v>
      </c>
      <c r="N710">
        <v>4.9568068003424878E-3</v>
      </c>
      <c r="O710">
        <v>47588.953000000001</v>
      </c>
      <c r="P710">
        <v>1.500949E-6</v>
      </c>
      <c r="Q710">
        <v>0.14285700000000001</v>
      </c>
      <c r="R710" s="60">
        <v>7.0811454907652679E-4</v>
      </c>
      <c r="S710" t="s">
        <v>347</v>
      </c>
      <c r="T710" t="s">
        <v>437</v>
      </c>
      <c r="U710" t="s">
        <v>425</v>
      </c>
      <c r="V710" t="s">
        <v>28</v>
      </c>
      <c r="W710">
        <v>111.133</v>
      </c>
      <c r="X710">
        <v>1.0541007448257309</v>
      </c>
      <c r="Y710">
        <v>117.145378074718</v>
      </c>
      <c r="Z710">
        <v>640.82000000000005</v>
      </c>
      <c r="AA710">
        <v>1</v>
      </c>
      <c r="AB710">
        <v>75.069101177840764</v>
      </c>
      <c r="AC710">
        <v>1.0073000000000001</v>
      </c>
      <c r="AD710" s="62">
        <v>75.617000000000004</v>
      </c>
      <c r="AE710">
        <v>8.9176000000000002</v>
      </c>
      <c r="AF710">
        <v>9.4000488020579382</v>
      </c>
      <c r="AG710">
        <v>1</v>
      </c>
      <c r="AH710">
        <v>6023.7392733347688</v>
      </c>
      <c r="AI710">
        <v>0.99399488088206345</v>
      </c>
      <c r="AJ710" s="62">
        <v>5987.5659999999998</v>
      </c>
      <c r="AK710" s="60">
        <v>4.2398825981559431</v>
      </c>
      <c r="AL710" t="s">
        <v>349</v>
      </c>
      <c r="AM710" t="s">
        <v>439</v>
      </c>
      <c r="AN710" t="s">
        <v>425</v>
      </c>
      <c r="AO710" t="s">
        <v>28</v>
      </c>
      <c r="AP710">
        <v>111.133</v>
      </c>
      <c r="AQ710">
        <v>1.080821157758461</v>
      </c>
      <c r="AR710">
        <v>120.1148977251711</v>
      </c>
      <c r="AS710">
        <v>779.31</v>
      </c>
      <c r="AT710">
        <v>0.879</v>
      </c>
      <c r="AU710">
        <v>82.280325291712501</v>
      </c>
      <c r="AV710">
        <v>0.96379999999999999</v>
      </c>
      <c r="AW710" s="62">
        <v>79.302000000000007</v>
      </c>
      <c r="AX710">
        <v>8.9176000000000002</v>
      </c>
      <c r="AY710">
        <v>0.80400000000000005</v>
      </c>
      <c r="AZ710">
        <v>6039.0430235999738</v>
      </c>
      <c r="BA710">
        <v>0.93699547154951757</v>
      </c>
      <c r="BB710" s="62">
        <v>5658.5559999999996</v>
      </c>
      <c r="BC710" s="60">
        <v>4.0069058303642748</v>
      </c>
    </row>
    <row r="711" spans="1:55" x14ac:dyDescent="0.25">
      <c r="A711">
        <v>238304</v>
      </c>
      <c r="B711" t="s">
        <v>230</v>
      </c>
      <c r="C711">
        <v>2020</v>
      </c>
      <c r="D711">
        <v>7</v>
      </c>
      <c r="E711" t="s">
        <v>100</v>
      </c>
      <c r="F711" t="s">
        <v>426</v>
      </c>
      <c r="G711" t="s">
        <v>84</v>
      </c>
      <c r="H711" t="s">
        <v>59</v>
      </c>
      <c r="I711" t="s">
        <v>427</v>
      </c>
      <c r="J711">
        <v>-17.390262679999999</v>
      </c>
      <c r="K711" t="s">
        <v>440</v>
      </c>
      <c r="L711" t="s">
        <v>450</v>
      </c>
      <c r="M711">
        <v>0.15931709696460999</v>
      </c>
      <c r="N711">
        <v>2.7705661656409961</v>
      </c>
      <c r="O711">
        <v>47588.953000000001</v>
      </c>
      <c r="P711">
        <v>1.500949E-6</v>
      </c>
      <c r="Q711">
        <v>0.14285700000000001</v>
      </c>
      <c r="R711" s="60">
        <v>0.39579477072497582</v>
      </c>
      <c r="S711" t="s">
        <v>347</v>
      </c>
      <c r="T711" t="s">
        <v>437</v>
      </c>
      <c r="U711" t="s">
        <v>425</v>
      </c>
      <c r="V711" t="s">
        <v>26</v>
      </c>
      <c r="W711">
        <v>111.133</v>
      </c>
      <c r="X711">
        <v>1.0541007448257309</v>
      </c>
      <c r="Y711">
        <v>117.145378074718</v>
      </c>
      <c r="Z711">
        <v>640.82000000000005</v>
      </c>
      <c r="AA711">
        <v>1</v>
      </c>
      <c r="AB711">
        <v>75.069101177840764</v>
      </c>
      <c r="AC711">
        <v>0.99109999999999998</v>
      </c>
      <c r="AD711" s="62">
        <v>74.400999999999996</v>
      </c>
      <c r="AE711">
        <v>8.9176000000000002</v>
      </c>
      <c r="AF711">
        <v>9.4000488020579382</v>
      </c>
      <c r="AG711">
        <v>1</v>
      </c>
      <c r="AH711">
        <v>6023.7392733347688</v>
      </c>
      <c r="AI711">
        <v>0.9830373970836227</v>
      </c>
      <c r="AJ711" s="62">
        <v>5921.5609999999997</v>
      </c>
      <c r="AK711" s="60">
        <v>2343.7228783289579</v>
      </c>
      <c r="AL711" t="s">
        <v>349</v>
      </c>
      <c r="AM711" t="s">
        <v>439</v>
      </c>
      <c r="AN711" t="s">
        <v>425</v>
      </c>
      <c r="AO711" t="s">
        <v>26</v>
      </c>
      <c r="AP711">
        <v>111.133</v>
      </c>
      <c r="AQ711">
        <v>1.080821157758461</v>
      </c>
      <c r="AR711">
        <v>120.1148977251711</v>
      </c>
      <c r="AS711">
        <v>779.31</v>
      </c>
      <c r="AT711">
        <v>0.879</v>
      </c>
      <c r="AU711">
        <v>82.280325291712501</v>
      </c>
      <c r="AV711">
        <v>0.97599999999999998</v>
      </c>
      <c r="AW711" s="62">
        <v>80.305999999999997</v>
      </c>
      <c r="AX711">
        <v>8.9176000000000002</v>
      </c>
      <c r="AY711">
        <v>0.80400000000000005</v>
      </c>
      <c r="AZ711">
        <v>6039.0430235999738</v>
      </c>
      <c r="BA711">
        <v>0.99553615712726917</v>
      </c>
      <c r="BB711" s="62">
        <v>6012.0856999999996</v>
      </c>
      <c r="BC711" s="60">
        <v>2379.552081210406</v>
      </c>
    </row>
    <row r="712" spans="1:55" x14ac:dyDescent="0.25">
      <c r="A712">
        <v>238306</v>
      </c>
      <c r="B712" t="s">
        <v>230</v>
      </c>
      <c r="C712">
        <v>2020</v>
      </c>
      <c r="D712">
        <v>7</v>
      </c>
      <c r="E712" t="s">
        <v>100</v>
      </c>
      <c r="F712" t="s">
        <v>426</v>
      </c>
      <c r="G712" t="s">
        <v>84</v>
      </c>
      <c r="H712" t="s">
        <v>59</v>
      </c>
      <c r="I712" t="s">
        <v>427</v>
      </c>
      <c r="J712">
        <v>-17.390262679999999</v>
      </c>
      <c r="K712" t="s">
        <v>440</v>
      </c>
      <c r="L712" t="s">
        <v>384</v>
      </c>
      <c r="M712">
        <v>4.1785183859599999E-2</v>
      </c>
      <c r="N712">
        <v>0.72665532345352957</v>
      </c>
      <c r="O712">
        <v>47588.953000000001</v>
      </c>
      <c r="P712">
        <v>1.500949E-6</v>
      </c>
      <c r="Q712">
        <v>0.14285700000000001</v>
      </c>
      <c r="R712" s="60">
        <v>0.1038077995426009</v>
      </c>
      <c r="S712" t="s">
        <v>347</v>
      </c>
      <c r="T712" t="s">
        <v>437</v>
      </c>
      <c r="U712" t="s">
        <v>425</v>
      </c>
      <c r="V712" t="s">
        <v>81</v>
      </c>
      <c r="W712">
        <v>111.133</v>
      </c>
      <c r="X712">
        <v>1.0541007448257309</v>
      </c>
      <c r="Y712">
        <v>117.145378074718</v>
      </c>
      <c r="Z712">
        <v>640.82000000000005</v>
      </c>
      <c r="AA712">
        <v>1</v>
      </c>
      <c r="AB712">
        <v>75.069101177840764</v>
      </c>
      <c r="AC712">
        <v>0.93830000000000002</v>
      </c>
      <c r="AD712" s="62">
        <v>70.436999999999998</v>
      </c>
      <c r="AE712">
        <v>8.9176000000000002</v>
      </c>
      <c r="AF712">
        <v>9.4000488020579382</v>
      </c>
      <c r="AG712">
        <v>1</v>
      </c>
      <c r="AH712">
        <v>6023.7392733347688</v>
      </c>
      <c r="AI712">
        <v>1.098016605166052</v>
      </c>
      <c r="AJ712" s="62">
        <v>6614.1656999999996</v>
      </c>
      <c r="AK712" s="60">
        <v>686.60198712714646</v>
      </c>
      <c r="AL712" t="s">
        <v>349</v>
      </c>
      <c r="AM712" t="s">
        <v>439</v>
      </c>
      <c r="AN712" t="s">
        <v>425</v>
      </c>
      <c r="AO712" t="s">
        <v>81</v>
      </c>
      <c r="AP712">
        <v>111.133</v>
      </c>
      <c r="AQ712">
        <v>1.080821157758461</v>
      </c>
      <c r="AR712">
        <v>120.1148977251711</v>
      </c>
      <c r="AS712">
        <v>779.31</v>
      </c>
      <c r="AT712">
        <v>0.879</v>
      </c>
      <c r="AU712">
        <v>82.280325291712501</v>
      </c>
      <c r="AV712">
        <v>0.93120000000000003</v>
      </c>
      <c r="AW712" s="62">
        <v>76.619</v>
      </c>
      <c r="AX712">
        <v>8.9176000000000002</v>
      </c>
      <c r="AY712">
        <v>0.80400000000000005</v>
      </c>
      <c r="AZ712">
        <v>6039.0430235999738</v>
      </c>
      <c r="BA712">
        <v>1.1187730627306269</v>
      </c>
      <c r="BB712" s="62">
        <v>6756.3186999999998</v>
      </c>
      <c r="BC712" s="60">
        <v>701.3585772555258</v>
      </c>
    </row>
    <row r="713" spans="1:55" x14ac:dyDescent="0.25">
      <c r="A713">
        <v>238308</v>
      </c>
      <c r="B713" t="s">
        <v>230</v>
      </c>
      <c r="C713">
        <v>2020</v>
      </c>
      <c r="D713">
        <v>7</v>
      </c>
      <c r="E713" t="s">
        <v>100</v>
      </c>
      <c r="F713" t="s">
        <v>426</v>
      </c>
      <c r="G713" t="s">
        <v>84</v>
      </c>
      <c r="H713" t="s">
        <v>59</v>
      </c>
      <c r="I713" t="s">
        <v>427</v>
      </c>
      <c r="J713">
        <v>-17.390262679999999</v>
      </c>
      <c r="K713" t="s">
        <v>440</v>
      </c>
      <c r="L713" t="s">
        <v>385</v>
      </c>
      <c r="M713">
        <v>0.43497567483749999</v>
      </c>
      <c r="N713">
        <v>7.5643412448655099</v>
      </c>
      <c r="O713">
        <v>47588.953000000001</v>
      </c>
      <c r="P713">
        <v>1.500949E-6</v>
      </c>
      <c r="Q713">
        <v>0.14285700000000001</v>
      </c>
      <c r="R713" s="60">
        <v>1.0806190972177521</v>
      </c>
      <c r="S713" t="s">
        <v>347</v>
      </c>
      <c r="T713" t="s">
        <v>437</v>
      </c>
      <c r="U713" t="s">
        <v>425</v>
      </c>
      <c r="V713" t="s">
        <v>27</v>
      </c>
      <c r="W713">
        <v>111.133</v>
      </c>
      <c r="X713">
        <v>1.0541007448257309</v>
      </c>
      <c r="Y713">
        <v>117.145378074718</v>
      </c>
      <c r="Z713">
        <v>640.82000000000005</v>
      </c>
      <c r="AA713">
        <v>1</v>
      </c>
      <c r="AB713">
        <v>75.069101177840764</v>
      </c>
      <c r="AC713">
        <v>0.95889999999999997</v>
      </c>
      <c r="AD713" s="62">
        <v>71.983999999999995</v>
      </c>
      <c r="AE713">
        <v>8.9176000000000002</v>
      </c>
      <c r="AF713">
        <v>9.4000488020579382</v>
      </c>
      <c r="AG713">
        <v>1</v>
      </c>
      <c r="AH713">
        <v>6023.7392733347688</v>
      </c>
      <c r="AI713">
        <v>0.99097621000820357</v>
      </c>
      <c r="AJ713" s="62">
        <v>5969.3823000000002</v>
      </c>
      <c r="AK713" s="60">
        <v>6450.6285119736303</v>
      </c>
      <c r="AL713" t="s">
        <v>349</v>
      </c>
      <c r="AM713" t="s">
        <v>439</v>
      </c>
      <c r="AN713" t="s">
        <v>425</v>
      </c>
      <c r="AO713" t="s">
        <v>27</v>
      </c>
      <c r="AP713">
        <v>111.133</v>
      </c>
      <c r="AQ713">
        <v>1.080821157758461</v>
      </c>
      <c r="AR713">
        <v>120.1148977251711</v>
      </c>
      <c r="AS713">
        <v>779.31</v>
      </c>
      <c r="AT713">
        <v>0.879</v>
      </c>
      <c r="AU713">
        <v>82.280325291712501</v>
      </c>
      <c r="AV713">
        <v>0.93269999999999997</v>
      </c>
      <c r="AW713" s="62">
        <v>76.742999999999995</v>
      </c>
      <c r="AX713">
        <v>8.9176000000000002</v>
      </c>
      <c r="AY713">
        <v>0.80400000000000005</v>
      </c>
      <c r="AZ713">
        <v>6039.0430235999738</v>
      </c>
      <c r="BA713">
        <v>1.016406890894175</v>
      </c>
      <c r="BB713" s="62">
        <v>6138.1248999999998</v>
      </c>
      <c r="BC713" s="60">
        <v>6632.9749880478057</v>
      </c>
    </row>
    <row r="714" spans="1:55" x14ac:dyDescent="0.25">
      <c r="A714">
        <v>238310</v>
      </c>
      <c r="B714" t="s">
        <v>230</v>
      </c>
      <c r="C714">
        <v>2020</v>
      </c>
      <c r="D714">
        <v>7</v>
      </c>
      <c r="E714" t="s">
        <v>100</v>
      </c>
      <c r="F714" t="s">
        <v>426</v>
      </c>
      <c r="G714" t="s">
        <v>84</v>
      </c>
      <c r="H714" t="s">
        <v>59</v>
      </c>
      <c r="I714" t="s">
        <v>427</v>
      </c>
      <c r="J714">
        <v>-17.390262679999999</v>
      </c>
      <c r="K714" t="s">
        <v>440</v>
      </c>
      <c r="L714" t="s">
        <v>451</v>
      </c>
      <c r="M714">
        <v>1.7625750762999999E-3</v>
      </c>
      <c r="N714">
        <v>3.065164357020414E-2</v>
      </c>
      <c r="O714">
        <v>47588.953000000001</v>
      </c>
      <c r="P714">
        <v>1.500949E-6</v>
      </c>
      <c r="Q714">
        <v>0.14285700000000001</v>
      </c>
      <c r="R714" s="60">
        <v>4.3788018455086534E-3</v>
      </c>
      <c r="S714" t="s">
        <v>347</v>
      </c>
      <c r="T714" t="s">
        <v>437</v>
      </c>
      <c r="U714" t="s">
        <v>425</v>
      </c>
      <c r="V714" t="s">
        <v>91</v>
      </c>
      <c r="W714">
        <v>111.133</v>
      </c>
      <c r="X714">
        <v>1.0541007448257309</v>
      </c>
      <c r="Y714">
        <v>117.145378074718</v>
      </c>
      <c r="Z714">
        <v>640.82000000000005</v>
      </c>
      <c r="AA714">
        <v>1</v>
      </c>
      <c r="AB714">
        <v>75.069101177840764</v>
      </c>
      <c r="AC714">
        <v>1.0088999999999999</v>
      </c>
      <c r="AD714" s="62">
        <v>75.736999999999995</v>
      </c>
      <c r="AE714">
        <v>8.9176000000000002</v>
      </c>
      <c r="AF714">
        <v>9.4000488020579382</v>
      </c>
      <c r="AG714">
        <v>1</v>
      </c>
      <c r="AH714">
        <v>6023.7392733347688</v>
      </c>
      <c r="AI714">
        <v>0.99316673174541203</v>
      </c>
      <c r="AJ714" s="62">
        <v>5982.5774000000001</v>
      </c>
      <c r="AK714" s="60">
        <v>26.196520960018361</v>
      </c>
      <c r="AL714" t="s">
        <v>349</v>
      </c>
      <c r="AM714" t="s">
        <v>439</v>
      </c>
      <c r="AN714" t="s">
        <v>425</v>
      </c>
      <c r="AO714" t="s">
        <v>91</v>
      </c>
      <c r="AP714">
        <v>111.133</v>
      </c>
      <c r="AQ714">
        <v>1.080821157758461</v>
      </c>
      <c r="AR714">
        <v>120.1148977251711</v>
      </c>
      <c r="AS714">
        <v>779.31</v>
      </c>
      <c r="AT714">
        <v>0.879</v>
      </c>
      <c r="AU714">
        <v>82.280325291712501</v>
      </c>
      <c r="AV714">
        <v>0.9899</v>
      </c>
      <c r="AW714" s="62">
        <v>81.448999999999998</v>
      </c>
      <c r="AX714">
        <v>8.9176000000000002</v>
      </c>
      <c r="AY714">
        <v>0.80400000000000005</v>
      </c>
      <c r="AZ714">
        <v>6039.0430235999738</v>
      </c>
      <c r="BA714">
        <v>0.99199531433033972</v>
      </c>
      <c r="BB714" s="62">
        <v>5990.7024000000001</v>
      </c>
      <c r="BC714" s="60">
        <v>26.23209872501311</v>
      </c>
    </row>
    <row r="715" spans="1:55" x14ac:dyDescent="0.25">
      <c r="A715">
        <v>238312</v>
      </c>
      <c r="B715" t="s">
        <v>230</v>
      </c>
      <c r="C715">
        <v>2020</v>
      </c>
      <c r="D715">
        <v>7</v>
      </c>
      <c r="E715" t="s">
        <v>100</v>
      </c>
      <c r="F715" t="s">
        <v>426</v>
      </c>
      <c r="G715" t="s">
        <v>84</v>
      </c>
      <c r="H715" t="s">
        <v>59</v>
      </c>
      <c r="I715" t="s">
        <v>427</v>
      </c>
      <c r="J715">
        <v>-17.390262679999999</v>
      </c>
      <c r="K715" t="s">
        <v>440</v>
      </c>
      <c r="L715" t="s">
        <v>452</v>
      </c>
      <c r="M715">
        <v>1.4858046103299999E-3</v>
      </c>
      <c r="N715">
        <v>2.5838532464900039E-2</v>
      </c>
      <c r="O715">
        <v>47588.953000000001</v>
      </c>
      <c r="P715">
        <v>1.500949E-6</v>
      </c>
      <c r="Q715">
        <v>0.14285700000000001</v>
      </c>
      <c r="R715" s="60">
        <v>3.6912152323382249E-3</v>
      </c>
      <c r="S715" t="s">
        <v>347</v>
      </c>
      <c r="T715" t="s">
        <v>437</v>
      </c>
      <c r="U715" t="s">
        <v>425</v>
      </c>
      <c r="V715" t="s">
        <v>28</v>
      </c>
      <c r="W715">
        <v>111.133</v>
      </c>
      <c r="X715">
        <v>1.0541007448257309</v>
      </c>
      <c r="Y715">
        <v>117.145378074718</v>
      </c>
      <c r="Z715">
        <v>640.82000000000005</v>
      </c>
      <c r="AA715">
        <v>1</v>
      </c>
      <c r="AB715">
        <v>75.069101177840764</v>
      </c>
      <c r="AC715">
        <v>1.0073000000000001</v>
      </c>
      <c r="AD715" s="62">
        <v>75.617000000000004</v>
      </c>
      <c r="AE715">
        <v>8.9176000000000002</v>
      </c>
      <c r="AF715">
        <v>9.4000488020579382</v>
      </c>
      <c r="AG715">
        <v>1</v>
      </c>
      <c r="AH715">
        <v>6023.7392733347688</v>
      </c>
      <c r="AI715">
        <v>0.99399488088206345</v>
      </c>
      <c r="AJ715" s="62">
        <v>5987.5659999999998</v>
      </c>
      <c r="AK715" s="60">
        <v>22.10139482383045</v>
      </c>
      <c r="AL715" t="s">
        <v>349</v>
      </c>
      <c r="AM715" t="s">
        <v>439</v>
      </c>
      <c r="AN715" t="s">
        <v>425</v>
      </c>
      <c r="AO715" t="s">
        <v>28</v>
      </c>
      <c r="AP715">
        <v>111.133</v>
      </c>
      <c r="AQ715">
        <v>1.080821157758461</v>
      </c>
      <c r="AR715">
        <v>120.1148977251711</v>
      </c>
      <c r="AS715">
        <v>779.31</v>
      </c>
      <c r="AT715">
        <v>0.879</v>
      </c>
      <c r="AU715">
        <v>82.280325291712501</v>
      </c>
      <c r="AV715">
        <v>0.96379999999999999</v>
      </c>
      <c r="AW715" s="62">
        <v>79.302000000000007</v>
      </c>
      <c r="AX715">
        <v>8.9176000000000002</v>
      </c>
      <c r="AY715">
        <v>0.80400000000000005</v>
      </c>
      <c r="AZ715">
        <v>6039.0430235999738</v>
      </c>
      <c r="BA715">
        <v>0.93699547154951757</v>
      </c>
      <c r="BB715" s="62">
        <v>5658.5559999999996</v>
      </c>
      <c r="BC715" s="60">
        <v>20.88694810023885</v>
      </c>
    </row>
    <row r="716" spans="1:55" x14ac:dyDescent="0.25">
      <c r="A716">
        <v>245531</v>
      </c>
      <c r="B716" t="s">
        <v>237</v>
      </c>
      <c r="C716">
        <v>2020</v>
      </c>
      <c r="D716">
        <v>8</v>
      </c>
      <c r="E716" t="s">
        <v>100</v>
      </c>
      <c r="F716" t="s">
        <v>426</v>
      </c>
      <c r="G716" t="s">
        <v>84</v>
      </c>
      <c r="H716" t="s">
        <v>381</v>
      </c>
      <c r="I716" t="s">
        <v>427</v>
      </c>
      <c r="J716">
        <v>-32.004116019999998</v>
      </c>
      <c r="K716" t="s">
        <v>440</v>
      </c>
      <c r="L716" t="s">
        <v>450</v>
      </c>
      <c r="M716">
        <v>0.15011157993331001</v>
      </c>
      <c r="N716">
        <v>4.8041884206151462</v>
      </c>
      <c r="O716">
        <v>47588.953000000001</v>
      </c>
      <c r="P716">
        <v>1.500949E-6</v>
      </c>
      <c r="Q716">
        <v>0.14285700000000001</v>
      </c>
      <c r="R716" s="60">
        <v>0.686311945203818</v>
      </c>
      <c r="S716" t="s">
        <v>347</v>
      </c>
      <c r="T716" t="s">
        <v>437</v>
      </c>
      <c r="U716" t="s">
        <v>425</v>
      </c>
      <c r="V716" t="s">
        <v>26</v>
      </c>
      <c r="W716">
        <v>111.133</v>
      </c>
      <c r="X716">
        <v>1.0541007448257309</v>
      </c>
      <c r="Y716">
        <v>117.145378074718</v>
      </c>
      <c r="Z716">
        <v>640.82000000000005</v>
      </c>
      <c r="AA716">
        <v>1</v>
      </c>
      <c r="AB716">
        <v>75.069101177840764</v>
      </c>
      <c r="AC716">
        <v>0.99109999999999998</v>
      </c>
      <c r="AD716" s="62">
        <v>74.400999999999996</v>
      </c>
      <c r="AE716">
        <v>8.9176000000000002</v>
      </c>
      <c r="AF716">
        <v>9.4000488020579382</v>
      </c>
      <c r="AG716">
        <v>1</v>
      </c>
      <c r="AH716">
        <v>6023.7392733347688</v>
      </c>
      <c r="AI716">
        <v>0.9830373970836227</v>
      </c>
      <c r="AJ716" s="62">
        <v>5921.5609999999997</v>
      </c>
      <c r="AK716" s="60">
        <v>4064.038048553065</v>
      </c>
      <c r="AL716" t="s">
        <v>349</v>
      </c>
      <c r="AM716" t="s">
        <v>439</v>
      </c>
      <c r="AN716" t="s">
        <v>425</v>
      </c>
      <c r="AO716" t="s">
        <v>26</v>
      </c>
      <c r="AP716">
        <v>111.133</v>
      </c>
      <c r="AQ716">
        <v>1.080821157758461</v>
      </c>
      <c r="AR716">
        <v>120.1148977251711</v>
      </c>
      <c r="AS716">
        <v>779.31</v>
      </c>
      <c r="AT716">
        <v>0.879</v>
      </c>
      <c r="AU716">
        <v>82.280325291712501</v>
      </c>
      <c r="AV716">
        <v>0.97599999999999998</v>
      </c>
      <c r="AW716" s="62">
        <v>80.305999999999997</v>
      </c>
      <c r="AX716">
        <v>8.9176000000000002</v>
      </c>
      <c r="AY716">
        <v>0.80400000000000005</v>
      </c>
      <c r="AZ716">
        <v>6039.0430235999738</v>
      </c>
      <c r="BA716">
        <v>0.99553615712726917</v>
      </c>
      <c r="BB716" s="62">
        <v>6012.0856999999996</v>
      </c>
      <c r="BC716" s="60">
        <v>4126.1662314990572</v>
      </c>
    </row>
    <row r="717" spans="1:55" x14ac:dyDescent="0.25">
      <c r="A717">
        <v>245533</v>
      </c>
      <c r="B717" t="s">
        <v>237</v>
      </c>
      <c r="C717">
        <v>2020</v>
      </c>
      <c r="D717">
        <v>8</v>
      </c>
      <c r="E717" t="s">
        <v>100</v>
      </c>
      <c r="F717" t="s">
        <v>426</v>
      </c>
      <c r="G717" t="s">
        <v>84</v>
      </c>
      <c r="H717" t="s">
        <v>381</v>
      </c>
      <c r="I717" t="s">
        <v>427</v>
      </c>
      <c r="J717">
        <v>-32.004116019999998</v>
      </c>
      <c r="K717" t="s">
        <v>440</v>
      </c>
      <c r="L717" t="s">
        <v>384</v>
      </c>
      <c r="M717">
        <v>4.5811354346740003E-2</v>
      </c>
      <c r="N717">
        <v>1.466151899694103</v>
      </c>
      <c r="O717">
        <v>47588.953000000001</v>
      </c>
      <c r="P717">
        <v>1.500949E-6</v>
      </c>
      <c r="Q717">
        <v>0.14285700000000001</v>
      </c>
      <c r="R717" s="60">
        <v>0.2094500619346005</v>
      </c>
      <c r="S717" t="s">
        <v>347</v>
      </c>
      <c r="T717" t="s">
        <v>437</v>
      </c>
      <c r="U717" t="s">
        <v>425</v>
      </c>
      <c r="V717" t="s">
        <v>81</v>
      </c>
      <c r="W717">
        <v>111.133</v>
      </c>
      <c r="X717">
        <v>1.0541007448257309</v>
      </c>
      <c r="Y717">
        <v>117.145378074718</v>
      </c>
      <c r="Z717">
        <v>640.82000000000005</v>
      </c>
      <c r="AA717">
        <v>1</v>
      </c>
      <c r="AB717">
        <v>75.069101177840764</v>
      </c>
      <c r="AC717">
        <v>0.93830000000000002</v>
      </c>
      <c r="AD717" s="62">
        <v>70.436999999999998</v>
      </c>
      <c r="AE717">
        <v>8.9176000000000002</v>
      </c>
      <c r="AF717">
        <v>9.4000488020579382</v>
      </c>
      <c r="AG717">
        <v>1</v>
      </c>
      <c r="AH717">
        <v>6023.7392733347688</v>
      </c>
      <c r="AI717">
        <v>1.098016605166052</v>
      </c>
      <c r="AJ717" s="62">
        <v>6614.1656999999996</v>
      </c>
      <c r="AK717" s="60">
        <v>1385.3374155107099</v>
      </c>
      <c r="AL717" t="s">
        <v>349</v>
      </c>
      <c r="AM717" t="s">
        <v>439</v>
      </c>
      <c r="AN717" t="s">
        <v>425</v>
      </c>
      <c r="AO717" t="s">
        <v>81</v>
      </c>
      <c r="AP717">
        <v>111.133</v>
      </c>
      <c r="AQ717">
        <v>1.080821157758461</v>
      </c>
      <c r="AR717">
        <v>120.1148977251711</v>
      </c>
      <c r="AS717">
        <v>779.31</v>
      </c>
      <c r="AT717">
        <v>0.879</v>
      </c>
      <c r="AU717">
        <v>82.280325291712501</v>
      </c>
      <c r="AV717">
        <v>0.93120000000000003</v>
      </c>
      <c r="AW717" s="62">
        <v>76.619</v>
      </c>
      <c r="AX717">
        <v>8.9176000000000002</v>
      </c>
      <c r="AY717">
        <v>0.80400000000000005</v>
      </c>
      <c r="AZ717">
        <v>6039.0430235999738</v>
      </c>
      <c r="BA717">
        <v>1.1187730627306269</v>
      </c>
      <c r="BB717" s="62">
        <v>6756.3186999999998</v>
      </c>
      <c r="BC717" s="60">
        <v>1415.111370164899</v>
      </c>
    </row>
    <row r="718" spans="1:55" x14ac:dyDescent="0.25">
      <c r="A718">
        <v>245535</v>
      </c>
      <c r="B718" t="s">
        <v>237</v>
      </c>
      <c r="C718">
        <v>2020</v>
      </c>
      <c r="D718">
        <v>8</v>
      </c>
      <c r="E718" t="s">
        <v>100</v>
      </c>
      <c r="F718" t="s">
        <v>426</v>
      </c>
      <c r="G718" t="s">
        <v>84</v>
      </c>
      <c r="H718" t="s">
        <v>381</v>
      </c>
      <c r="I718" t="s">
        <v>427</v>
      </c>
      <c r="J718">
        <v>-32.004116019999998</v>
      </c>
      <c r="K718" t="s">
        <v>440</v>
      </c>
      <c r="L718" t="s">
        <v>385</v>
      </c>
      <c r="M718">
        <v>0.43232641346992001</v>
      </c>
      <c r="N718">
        <v>13.836224696595711</v>
      </c>
      <c r="O718">
        <v>47588.953000000001</v>
      </c>
      <c r="P718">
        <v>1.500949E-6</v>
      </c>
      <c r="Q718">
        <v>0.14285700000000001</v>
      </c>
      <c r="R718" s="60">
        <v>1.976601551481574</v>
      </c>
      <c r="S718" t="s">
        <v>347</v>
      </c>
      <c r="T718" t="s">
        <v>437</v>
      </c>
      <c r="U718" t="s">
        <v>425</v>
      </c>
      <c r="V718" t="s">
        <v>27</v>
      </c>
      <c r="W718">
        <v>111.133</v>
      </c>
      <c r="X718">
        <v>1.0541007448257309</v>
      </c>
      <c r="Y718">
        <v>117.145378074718</v>
      </c>
      <c r="Z718">
        <v>640.82000000000005</v>
      </c>
      <c r="AA718">
        <v>1</v>
      </c>
      <c r="AB718">
        <v>75.069101177840764</v>
      </c>
      <c r="AC718">
        <v>0.95889999999999997</v>
      </c>
      <c r="AD718" s="62">
        <v>71.983999999999995</v>
      </c>
      <c r="AE718">
        <v>8.9176000000000002</v>
      </c>
      <c r="AF718">
        <v>9.4000488020579382</v>
      </c>
      <c r="AG718">
        <v>1</v>
      </c>
      <c r="AH718">
        <v>6023.7392733347688</v>
      </c>
      <c r="AI718">
        <v>0.99097621000820357</v>
      </c>
      <c r="AJ718" s="62">
        <v>5969.3823000000002</v>
      </c>
      <c r="AK718" s="60">
        <v>11799.090315566649</v>
      </c>
      <c r="AL718" t="s">
        <v>349</v>
      </c>
      <c r="AM718" t="s">
        <v>439</v>
      </c>
      <c r="AN718" t="s">
        <v>425</v>
      </c>
      <c r="AO718" t="s">
        <v>27</v>
      </c>
      <c r="AP718">
        <v>111.133</v>
      </c>
      <c r="AQ718">
        <v>1.080821157758461</v>
      </c>
      <c r="AR718">
        <v>120.1148977251711</v>
      </c>
      <c r="AS718">
        <v>779.31</v>
      </c>
      <c r="AT718">
        <v>0.879</v>
      </c>
      <c r="AU718">
        <v>82.280325291712501</v>
      </c>
      <c r="AV718">
        <v>0.93269999999999997</v>
      </c>
      <c r="AW718" s="62">
        <v>76.742999999999995</v>
      </c>
      <c r="AX718">
        <v>8.9176000000000002</v>
      </c>
      <c r="AY718">
        <v>0.80400000000000005</v>
      </c>
      <c r="AZ718">
        <v>6039.0430235999738</v>
      </c>
      <c r="BA718">
        <v>1.016406890894175</v>
      </c>
      <c r="BB718" s="62">
        <v>6138.1248999999998</v>
      </c>
      <c r="BC718" s="60">
        <v>12132.627200527681</v>
      </c>
    </row>
    <row r="719" spans="1:55" x14ac:dyDescent="0.25">
      <c r="A719">
        <v>245537</v>
      </c>
      <c r="B719" t="s">
        <v>237</v>
      </c>
      <c r="C719">
        <v>2020</v>
      </c>
      <c r="D719">
        <v>8</v>
      </c>
      <c r="E719" t="s">
        <v>100</v>
      </c>
      <c r="F719" t="s">
        <v>426</v>
      </c>
      <c r="G719" t="s">
        <v>84</v>
      </c>
      <c r="H719" t="s">
        <v>381</v>
      </c>
      <c r="I719" t="s">
        <v>427</v>
      </c>
      <c r="J719">
        <v>-32.004116019999998</v>
      </c>
      <c r="K719" t="s">
        <v>440</v>
      </c>
      <c r="L719" t="s">
        <v>451</v>
      </c>
      <c r="M719">
        <v>1.6825115802299999E-3</v>
      </c>
      <c r="N719">
        <v>5.3847295824099202E-2</v>
      </c>
      <c r="O719">
        <v>47588.953000000001</v>
      </c>
      <c r="P719">
        <v>1.500949E-6</v>
      </c>
      <c r="Q719">
        <v>0.14285700000000001</v>
      </c>
      <c r="R719" s="60">
        <v>7.6924631395433396E-3</v>
      </c>
      <c r="S719" t="s">
        <v>347</v>
      </c>
      <c r="T719" t="s">
        <v>437</v>
      </c>
      <c r="U719" t="s">
        <v>425</v>
      </c>
      <c r="V719" t="s">
        <v>91</v>
      </c>
      <c r="W719">
        <v>111.133</v>
      </c>
      <c r="X719">
        <v>1.0541007448257309</v>
      </c>
      <c r="Y719">
        <v>117.145378074718</v>
      </c>
      <c r="Z719">
        <v>640.82000000000005</v>
      </c>
      <c r="AA719">
        <v>1</v>
      </c>
      <c r="AB719">
        <v>75.069101177840764</v>
      </c>
      <c r="AC719">
        <v>1.0088999999999999</v>
      </c>
      <c r="AD719" s="62">
        <v>75.736999999999995</v>
      </c>
      <c r="AE719">
        <v>8.9176000000000002</v>
      </c>
      <c r="AF719">
        <v>9.4000488020579382</v>
      </c>
      <c r="AG719">
        <v>1</v>
      </c>
      <c r="AH719">
        <v>6023.7392733347688</v>
      </c>
      <c r="AI719">
        <v>0.99316673174541203</v>
      </c>
      <c r="AJ719" s="62">
        <v>5982.5774000000001</v>
      </c>
      <c r="AK719" s="60">
        <v>46.020756128965033</v>
      </c>
      <c r="AL719" t="s">
        <v>349</v>
      </c>
      <c r="AM719" t="s">
        <v>439</v>
      </c>
      <c r="AN719" t="s">
        <v>425</v>
      </c>
      <c r="AO719" t="s">
        <v>91</v>
      </c>
      <c r="AP719">
        <v>111.133</v>
      </c>
      <c r="AQ719">
        <v>1.080821157758461</v>
      </c>
      <c r="AR719">
        <v>120.1148977251711</v>
      </c>
      <c r="AS719">
        <v>779.31</v>
      </c>
      <c r="AT719">
        <v>0.879</v>
      </c>
      <c r="AU719">
        <v>82.280325291712501</v>
      </c>
      <c r="AV719">
        <v>0.9899</v>
      </c>
      <c r="AW719" s="62">
        <v>81.448999999999998</v>
      </c>
      <c r="AX719">
        <v>8.9176000000000002</v>
      </c>
      <c r="AY719">
        <v>0.80400000000000005</v>
      </c>
      <c r="AZ719">
        <v>6039.0430235999738</v>
      </c>
      <c r="BA719">
        <v>0.99199531433033972</v>
      </c>
      <c r="BB719" s="62">
        <v>5990.7024000000001</v>
      </c>
      <c r="BC719" s="60">
        <v>46.083257391973817</v>
      </c>
    </row>
    <row r="720" spans="1:55" x14ac:dyDescent="0.25">
      <c r="A720">
        <v>245539</v>
      </c>
      <c r="B720" t="s">
        <v>237</v>
      </c>
      <c r="C720">
        <v>2020</v>
      </c>
      <c r="D720">
        <v>8</v>
      </c>
      <c r="E720" t="s">
        <v>100</v>
      </c>
      <c r="F720" t="s">
        <v>426</v>
      </c>
      <c r="G720" t="s">
        <v>84</v>
      </c>
      <c r="H720" t="s">
        <v>381</v>
      </c>
      <c r="I720" t="s">
        <v>427</v>
      </c>
      <c r="J720">
        <v>-32.004116019999998</v>
      </c>
      <c r="K720" t="s">
        <v>440</v>
      </c>
      <c r="L720" t="s">
        <v>452</v>
      </c>
      <c r="M720">
        <v>1.53682162831E-3</v>
      </c>
      <c r="N720">
        <v>4.9184617699433567E-2</v>
      </c>
      <c r="O720">
        <v>47588.953000000001</v>
      </c>
      <c r="P720">
        <v>1.500949E-6</v>
      </c>
      <c r="Q720">
        <v>0.14285700000000001</v>
      </c>
      <c r="R720" s="60">
        <v>7.0263669306879816E-3</v>
      </c>
      <c r="S720" t="s">
        <v>347</v>
      </c>
      <c r="T720" t="s">
        <v>437</v>
      </c>
      <c r="U720" t="s">
        <v>425</v>
      </c>
      <c r="V720" t="s">
        <v>28</v>
      </c>
      <c r="W720">
        <v>111.133</v>
      </c>
      <c r="X720">
        <v>1.0541007448257309</v>
      </c>
      <c r="Y720">
        <v>117.145378074718</v>
      </c>
      <c r="Z720">
        <v>640.82000000000005</v>
      </c>
      <c r="AA720">
        <v>1</v>
      </c>
      <c r="AB720">
        <v>75.069101177840764</v>
      </c>
      <c r="AC720">
        <v>1.0073000000000001</v>
      </c>
      <c r="AD720" s="62">
        <v>75.617000000000004</v>
      </c>
      <c r="AE720">
        <v>8.9176000000000002</v>
      </c>
      <c r="AF720">
        <v>9.4000488020579382</v>
      </c>
      <c r="AG720">
        <v>1</v>
      </c>
      <c r="AH720">
        <v>6023.7392733347688</v>
      </c>
      <c r="AI720">
        <v>0.99399488088206345</v>
      </c>
      <c r="AJ720" s="62">
        <v>5987.5659999999998</v>
      </c>
      <c r="AK720" s="60">
        <v>42.070835737711711</v>
      </c>
      <c r="AL720" t="s">
        <v>349</v>
      </c>
      <c r="AM720" t="s">
        <v>439</v>
      </c>
      <c r="AN720" t="s">
        <v>425</v>
      </c>
      <c r="AO720" t="s">
        <v>28</v>
      </c>
      <c r="AP720">
        <v>111.133</v>
      </c>
      <c r="AQ720">
        <v>1.080821157758461</v>
      </c>
      <c r="AR720">
        <v>120.1148977251711</v>
      </c>
      <c r="AS720">
        <v>779.31</v>
      </c>
      <c r="AT720">
        <v>0.879</v>
      </c>
      <c r="AU720">
        <v>82.280325291712501</v>
      </c>
      <c r="AV720">
        <v>0.96379999999999999</v>
      </c>
      <c r="AW720" s="62">
        <v>79.302000000000007</v>
      </c>
      <c r="AX720">
        <v>8.9176000000000002</v>
      </c>
      <c r="AY720">
        <v>0.80400000000000005</v>
      </c>
      <c r="AZ720">
        <v>6039.0430235999738</v>
      </c>
      <c r="BA720">
        <v>0.93699547154951757</v>
      </c>
      <c r="BB720" s="62">
        <v>5658.5559999999996</v>
      </c>
      <c r="BC720" s="60">
        <v>39.75909075384606</v>
      </c>
    </row>
    <row r="721" spans="1:55" x14ac:dyDescent="0.25">
      <c r="A721">
        <v>245541</v>
      </c>
      <c r="B721" t="s">
        <v>237</v>
      </c>
      <c r="C721">
        <v>2020</v>
      </c>
      <c r="D721">
        <v>8</v>
      </c>
      <c r="E721" t="s">
        <v>100</v>
      </c>
      <c r="F721" t="s">
        <v>426</v>
      </c>
      <c r="G721" t="s">
        <v>84</v>
      </c>
      <c r="H721" t="s">
        <v>87</v>
      </c>
      <c r="I721" t="s">
        <v>427</v>
      </c>
      <c r="J721">
        <v>-5.8835884299999996</v>
      </c>
      <c r="K721" t="s">
        <v>440</v>
      </c>
      <c r="L721" t="s">
        <v>450</v>
      </c>
      <c r="M721">
        <v>0.26601384014995</v>
      </c>
      <c r="N721">
        <v>1.5651159516404789</v>
      </c>
      <c r="O721">
        <v>47588.953000000001</v>
      </c>
      <c r="P721">
        <v>1.500949E-6</v>
      </c>
      <c r="Q721">
        <v>0.14285700000000001</v>
      </c>
      <c r="R721" s="60">
        <v>0.22358776950350401</v>
      </c>
      <c r="S721" t="s">
        <v>347</v>
      </c>
      <c r="T721" t="s">
        <v>437</v>
      </c>
      <c r="U721" t="s">
        <v>425</v>
      </c>
      <c r="V721" t="s">
        <v>26</v>
      </c>
      <c r="W721">
        <v>111.133</v>
      </c>
      <c r="X721">
        <v>1.0541007448257309</v>
      </c>
      <c r="Y721">
        <v>117.145378074718</v>
      </c>
      <c r="Z721">
        <v>640.82000000000005</v>
      </c>
      <c r="AA721">
        <v>1</v>
      </c>
      <c r="AB721">
        <v>75.069101177840764</v>
      </c>
      <c r="AC721">
        <v>0.99109999999999998</v>
      </c>
      <c r="AD721" s="62">
        <v>74.400999999999996</v>
      </c>
      <c r="AE721">
        <v>8.9176000000000002</v>
      </c>
      <c r="AF721">
        <v>9.4000488020579382</v>
      </c>
      <c r="AG721">
        <v>1</v>
      </c>
      <c r="AH721">
        <v>6023.7392733347688</v>
      </c>
      <c r="AI721">
        <v>0.9830373970836227</v>
      </c>
      <c r="AJ721" s="62">
        <v>5921.5609999999997</v>
      </c>
      <c r="AK721" s="60">
        <v>1323.988615968939</v>
      </c>
      <c r="AL721" t="s">
        <v>349</v>
      </c>
      <c r="AM721" t="s">
        <v>439</v>
      </c>
      <c r="AN721" t="s">
        <v>425</v>
      </c>
      <c r="AO721" t="s">
        <v>26</v>
      </c>
      <c r="AP721">
        <v>111.133</v>
      </c>
      <c r="AQ721">
        <v>1.080821157758461</v>
      </c>
      <c r="AR721">
        <v>120.1148977251711</v>
      </c>
      <c r="AS721">
        <v>779.31</v>
      </c>
      <c r="AT721">
        <v>0.879</v>
      </c>
      <c r="AU721">
        <v>82.280325291712501</v>
      </c>
      <c r="AV721">
        <v>0.97599999999999998</v>
      </c>
      <c r="AW721" s="62">
        <v>80.305999999999997</v>
      </c>
      <c r="AX721">
        <v>8.9176000000000002</v>
      </c>
      <c r="AY721">
        <v>0.80400000000000005</v>
      </c>
      <c r="AZ721">
        <v>6039.0430235999738</v>
      </c>
      <c r="BA721">
        <v>0.99553615712726917</v>
      </c>
      <c r="BB721" s="62">
        <v>6012.0856999999996</v>
      </c>
      <c r="BC721" s="60">
        <v>1344.2288317269119</v>
      </c>
    </row>
    <row r="722" spans="1:55" x14ac:dyDescent="0.25">
      <c r="A722">
        <v>245543</v>
      </c>
      <c r="B722" t="s">
        <v>237</v>
      </c>
      <c r="C722">
        <v>2020</v>
      </c>
      <c r="D722">
        <v>8</v>
      </c>
      <c r="E722" t="s">
        <v>100</v>
      </c>
      <c r="F722" t="s">
        <v>426</v>
      </c>
      <c r="G722" t="s">
        <v>84</v>
      </c>
      <c r="H722" t="s">
        <v>87</v>
      </c>
      <c r="I722" t="s">
        <v>427</v>
      </c>
      <c r="J722">
        <v>-5.8835884299999996</v>
      </c>
      <c r="K722" t="s">
        <v>440</v>
      </c>
      <c r="L722" t="s">
        <v>384</v>
      </c>
      <c r="M722">
        <v>3.9509559941419997E-2</v>
      </c>
      <c r="N722">
        <v>0.2324579896736014</v>
      </c>
      <c r="O722">
        <v>47588.953000000001</v>
      </c>
      <c r="P722">
        <v>1.500949E-6</v>
      </c>
      <c r="Q722">
        <v>0.14285700000000001</v>
      </c>
      <c r="R722" s="60">
        <v>3.3208251030801668E-2</v>
      </c>
      <c r="S722" t="s">
        <v>347</v>
      </c>
      <c r="T722" t="s">
        <v>437</v>
      </c>
      <c r="U722" t="s">
        <v>425</v>
      </c>
      <c r="V722" t="s">
        <v>81</v>
      </c>
      <c r="W722">
        <v>111.133</v>
      </c>
      <c r="X722">
        <v>1.0541007448257309</v>
      </c>
      <c r="Y722">
        <v>117.145378074718</v>
      </c>
      <c r="Z722">
        <v>640.82000000000005</v>
      </c>
      <c r="AA722">
        <v>1</v>
      </c>
      <c r="AB722">
        <v>75.069101177840764</v>
      </c>
      <c r="AC722">
        <v>0.93830000000000002</v>
      </c>
      <c r="AD722" s="62">
        <v>70.436999999999998</v>
      </c>
      <c r="AE722">
        <v>8.9176000000000002</v>
      </c>
      <c r="AF722">
        <v>9.4000488020579382</v>
      </c>
      <c r="AG722">
        <v>1</v>
      </c>
      <c r="AH722">
        <v>6023.7392733347688</v>
      </c>
      <c r="AI722">
        <v>1.098016605166052</v>
      </c>
      <c r="AJ722" s="62">
        <v>6614.1656999999996</v>
      </c>
      <c r="AK722" s="60">
        <v>219.6448749249181</v>
      </c>
      <c r="AL722" t="s">
        <v>349</v>
      </c>
      <c r="AM722" t="s">
        <v>439</v>
      </c>
      <c r="AN722" t="s">
        <v>425</v>
      </c>
      <c r="AO722" t="s">
        <v>81</v>
      </c>
      <c r="AP722">
        <v>111.133</v>
      </c>
      <c r="AQ722">
        <v>1.080821157758461</v>
      </c>
      <c r="AR722">
        <v>120.1148977251711</v>
      </c>
      <c r="AS722">
        <v>779.31</v>
      </c>
      <c r="AT722">
        <v>0.879</v>
      </c>
      <c r="AU722">
        <v>82.280325291712501</v>
      </c>
      <c r="AV722">
        <v>0.93120000000000003</v>
      </c>
      <c r="AW722" s="62">
        <v>76.619</v>
      </c>
      <c r="AX722">
        <v>8.9176000000000002</v>
      </c>
      <c r="AY722">
        <v>0.80400000000000005</v>
      </c>
      <c r="AZ722">
        <v>6039.0430235999738</v>
      </c>
      <c r="BA722">
        <v>1.1187730627306269</v>
      </c>
      <c r="BB722" s="62">
        <v>6756.3186999999998</v>
      </c>
      <c r="BC722" s="60">
        <v>224.36552743369961</v>
      </c>
    </row>
    <row r="723" spans="1:55" x14ac:dyDescent="0.25">
      <c r="A723">
        <v>245545</v>
      </c>
      <c r="B723" t="s">
        <v>237</v>
      </c>
      <c r="C723">
        <v>2020</v>
      </c>
      <c r="D723">
        <v>8</v>
      </c>
      <c r="E723" t="s">
        <v>100</v>
      </c>
      <c r="F723" t="s">
        <v>426</v>
      </c>
      <c r="G723" t="s">
        <v>84</v>
      </c>
      <c r="H723" t="s">
        <v>87</v>
      </c>
      <c r="I723" t="s">
        <v>427</v>
      </c>
      <c r="J723">
        <v>-5.8835884299999996</v>
      </c>
      <c r="K723" t="s">
        <v>440</v>
      </c>
      <c r="L723" t="s">
        <v>385</v>
      </c>
      <c r="M723">
        <v>0.39737542925016001</v>
      </c>
      <c r="N723">
        <v>2.3379934771770752</v>
      </c>
      <c r="O723">
        <v>47588.953000000001</v>
      </c>
      <c r="P723">
        <v>1.500949E-6</v>
      </c>
      <c r="Q723">
        <v>0.14285700000000001</v>
      </c>
      <c r="R723" s="60">
        <v>0.33399873416908538</v>
      </c>
      <c r="S723" t="s">
        <v>347</v>
      </c>
      <c r="T723" t="s">
        <v>437</v>
      </c>
      <c r="U723" t="s">
        <v>425</v>
      </c>
      <c r="V723" t="s">
        <v>27</v>
      </c>
      <c r="W723">
        <v>111.133</v>
      </c>
      <c r="X723">
        <v>1.0541007448257309</v>
      </c>
      <c r="Y723">
        <v>117.145378074718</v>
      </c>
      <c r="Z723">
        <v>640.82000000000005</v>
      </c>
      <c r="AA723">
        <v>1</v>
      </c>
      <c r="AB723">
        <v>75.069101177840764</v>
      </c>
      <c r="AC723">
        <v>0.95889999999999997</v>
      </c>
      <c r="AD723" s="62">
        <v>71.983999999999995</v>
      </c>
      <c r="AE723">
        <v>8.9176000000000002</v>
      </c>
      <c r="AF723">
        <v>9.4000488020579382</v>
      </c>
      <c r="AG723">
        <v>1</v>
      </c>
      <c r="AH723">
        <v>6023.7392733347688</v>
      </c>
      <c r="AI723">
        <v>0.99097621000820357</v>
      </c>
      <c r="AJ723" s="62">
        <v>5969.3823000000002</v>
      </c>
      <c r="AK723" s="60">
        <v>1993.7661319713441</v>
      </c>
      <c r="AL723" t="s">
        <v>349</v>
      </c>
      <c r="AM723" t="s">
        <v>439</v>
      </c>
      <c r="AN723" t="s">
        <v>425</v>
      </c>
      <c r="AO723" t="s">
        <v>27</v>
      </c>
      <c r="AP723">
        <v>111.133</v>
      </c>
      <c r="AQ723">
        <v>1.080821157758461</v>
      </c>
      <c r="AR723">
        <v>120.1148977251711</v>
      </c>
      <c r="AS723">
        <v>779.31</v>
      </c>
      <c r="AT723">
        <v>0.879</v>
      </c>
      <c r="AU723">
        <v>82.280325291712501</v>
      </c>
      <c r="AV723">
        <v>0.93269999999999997</v>
      </c>
      <c r="AW723" s="62">
        <v>76.742999999999995</v>
      </c>
      <c r="AX723">
        <v>8.9176000000000002</v>
      </c>
      <c r="AY723">
        <v>0.80400000000000005</v>
      </c>
      <c r="AZ723">
        <v>6039.0430235999738</v>
      </c>
      <c r="BA723">
        <v>1.016406890894175</v>
      </c>
      <c r="BB723" s="62">
        <v>6138.1248999999998</v>
      </c>
      <c r="BC723" s="60">
        <v>2050.1259467717441</v>
      </c>
    </row>
    <row r="724" spans="1:55" x14ac:dyDescent="0.25">
      <c r="A724">
        <v>245547</v>
      </c>
      <c r="B724" t="s">
        <v>237</v>
      </c>
      <c r="C724">
        <v>2020</v>
      </c>
      <c r="D724">
        <v>8</v>
      </c>
      <c r="E724" t="s">
        <v>100</v>
      </c>
      <c r="F724" t="s">
        <v>426</v>
      </c>
      <c r="G724" t="s">
        <v>84</v>
      </c>
      <c r="H724" t="s">
        <v>87</v>
      </c>
      <c r="I724" t="s">
        <v>427</v>
      </c>
      <c r="J724">
        <v>-5.8835884299999996</v>
      </c>
      <c r="K724" t="s">
        <v>440</v>
      </c>
      <c r="L724" t="s">
        <v>452</v>
      </c>
      <c r="M724">
        <v>8.4248020759000004E-4</v>
      </c>
      <c r="N724">
        <v>4.956806800342487E-3</v>
      </c>
      <c r="O724">
        <v>47588.953000000001</v>
      </c>
      <c r="P724">
        <v>1.500949E-6</v>
      </c>
      <c r="Q724">
        <v>0.14285700000000001</v>
      </c>
      <c r="R724" s="60">
        <v>7.0811454907652668E-4</v>
      </c>
      <c r="S724" t="s">
        <v>347</v>
      </c>
      <c r="T724" t="s">
        <v>437</v>
      </c>
      <c r="U724" t="s">
        <v>425</v>
      </c>
      <c r="V724" t="s">
        <v>28</v>
      </c>
      <c r="W724">
        <v>111.133</v>
      </c>
      <c r="X724">
        <v>1.0541007448257309</v>
      </c>
      <c r="Y724">
        <v>117.145378074718</v>
      </c>
      <c r="Z724">
        <v>640.82000000000005</v>
      </c>
      <c r="AA724">
        <v>1</v>
      </c>
      <c r="AB724">
        <v>75.069101177840764</v>
      </c>
      <c r="AC724">
        <v>1.0073000000000001</v>
      </c>
      <c r="AD724" s="62">
        <v>75.617000000000004</v>
      </c>
      <c r="AE724">
        <v>8.9176000000000002</v>
      </c>
      <c r="AF724">
        <v>9.4000488020579382</v>
      </c>
      <c r="AG724">
        <v>1</v>
      </c>
      <c r="AH724">
        <v>6023.7392733347688</v>
      </c>
      <c r="AI724">
        <v>0.99399488088206345</v>
      </c>
      <c r="AJ724" s="62">
        <v>5987.5659999999998</v>
      </c>
      <c r="AK724" s="60">
        <v>4.2398825981559423</v>
      </c>
      <c r="AL724" t="s">
        <v>349</v>
      </c>
      <c r="AM724" t="s">
        <v>439</v>
      </c>
      <c r="AN724" t="s">
        <v>425</v>
      </c>
      <c r="AO724" t="s">
        <v>28</v>
      </c>
      <c r="AP724">
        <v>111.133</v>
      </c>
      <c r="AQ724">
        <v>1.080821157758461</v>
      </c>
      <c r="AR724">
        <v>120.1148977251711</v>
      </c>
      <c r="AS724">
        <v>779.31</v>
      </c>
      <c r="AT724">
        <v>0.879</v>
      </c>
      <c r="AU724">
        <v>82.280325291712501</v>
      </c>
      <c r="AV724">
        <v>0.96379999999999999</v>
      </c>
      <c r="AW724" s="62">
        <v>79.302000000000007</v>
      </c>
      <c r="AX724">
        <v>8.9176000000000002</v>
      </c>
      <c r="AY724">
        <v>0.80400000000000005</v>
      </c>
      <c r="AZ724">
        <v>6039.0430235999738</v>
      </c>
      <c r="BA724">
        <v>0.93699547154951757</v>
      </c>
      <c r="BB724" s="62">
        <v>5658.5559999999996</v>
      </c>
      <c r="BC724" s="60">
        <v>4.0069058303642739</v>
      </c>
    </row>
    <row r="725" spans="1:55" x14ac:dyDescent="0.25">
      <c r="A725">
        <v>245549</v>
      </c>
      <c r="B725" t="s">
        <v>237</v>
      </c>
      <c r="C725">
        <v>2020</v>
      </c>
      <c r="D725">
        <v>8</v>
      </c>
      <c r="E725" t="s">
        <v>100</v>
      </c>
      <c r="F725" t="s">
        <v>426</v>
      </c>
      <c r="G725" t="s">
        <v>84</v>
      </c>
      <c r="H725" t="s">
        <v>59</v>
      </c>
      <c r="I725" t="s">
        <v>427</v>
      </c>
      <c r="J725">
        <v>-17.390262679999999</v>
      </c>
      <c r="K725" t="s">
        <v>440</v>
      </c>
      <c r="L725" t="s">
        <v>450</v>
      </c>
      <c r="M725">
        <v>0.15931709696460999</v>
      </c>
      <c r="N725">
        <v>2.7705661656409961</v>
      </c>
      <c r="O725">
        <v>47588.953000000001</v>
      </c>
      <c r="P725">
        <v>1.500949E-6</v>
      </c>
      <c r="Q725">
        <v>0.14285700000000001</v>
      </c>
      <c r="R725" s="60">
        <v>0.39579477072497582</v>
      </c>
      <c r="S725" t="s">
        <v>347</v>
      </c>
      <c r="T725" t="s">
        <v>437</v>
      </c>
      <c r="U725" t="s">
        <v>425</v>
      </c>
      <c r="V725" t="s">
        <v>26</v>
      </c>
      <c r="W725">
        <v>111.133</v>
      </c>
      <c r="X725">
        <v>1.0541007448257309</v>
      </c>
      <c r="Y725">
        <v>117.145378074718</v>
      </c>
      <c r="Z725">
        <v>640.82000000000005</v>
      </c>
      <c r="AA725">
        <v>1</v>
      </c>
      <c r="AB725">
        <v>75.069101177840764</v>
      </c>
      <c r="AC725">
        <v>0.99109999999999998</v>
      </c>
      <c r="AD725" s="62">
        <v>74.400999999999996</v>
      </c>
      <c r="AE725">
        <v>8.9176000000000002</v>
      </c>
      <c r="AF725">
        <v>9.4000488020579382</v>
      </c>
      <c r="AG725">
        <v>1</v>
      </c>
      <c r="AH725">
        <v>6023.7392733347688</v>
      </c>
      <c r="AI725">
        <v>0.9830373970836227</v>
      </c>
      <c r="AJ725" s="62">
        <v>5921.5609999999997</v>
      </c>
      <c r="AK725" s="60">
        <v>2343.7228783289579</v>
      </c>
      <c r="AL725" t="s">
        <v>349</v>
      </c>
      <c r="AM725" t="s">
        <v>439</v>
      </c>
      <c r="AN725" t="s">
        <v>425</v>
      </c>
      <c r="AO725" t="s">
        <v>26</v>
      </c>
      <c r="AP725">
        <v>111.133</v>
      </c>
      <c r="AQ725">
        <v>1.080821157758461</v>
      </c>
      <c r="AR725">
        <v>120.1148977251711</v>
      </c>
      <c r="AS725">
        <v>779.31</v>
      </c>
      <c r="AT725">
        <v>0.879</v>
      </c>
      <c r="AU725">
        <v>82.280325291712501</v>
      </c>
      <c r="AV725">
        <v>0.97599999999999998</v>
      </c>
      <c r="AW725" s="62">
        <v>80.305999999999997</v>
      </c>
      <c r="AX725">
        <v>8.9176000000000002</v>
      </c>
      <c r="AY725">
        <v>0.80400000000000005</v>
      </c>
      <c r="AZ725">
        <v>6039.0430235999738</v>
      </c>
      <c r="BA725">
        <v>0.99553615712726917</v>
      </c>
      <c r="BB725" s="62">
        <v>6012.0856999999996</v>
      </c>
      <c r="BC725" s="60">
        <v>2379.552081210406</v>
      </c>
    </row>
    <row r="726" spans="1:55" x14ac:dyDescent="0.25">
      <c r="A726">
        <v>245551</v>
      </c>
      <c r="B726" t="s">
        <v>237</v>
      </c>
      <c r="C726">
        <v>2020</v>
      </c>
      <c r="D726">
        <v>8</v>
      </c>
      <c r="E726" t="s">
        <v>100</v>
      </c>
      <c r="F726" t="s">
        <v>426</v>
      </c>
      <c r="G726" t="s">
        <v>84</v>
      </c>
      <c r="H726" t="s">
        <v>59</v>
      </c>
      <c r="I726" t="s">
        <v>427</v>
      </c>
      <c r="J726">
        <v>-17.390262679999999</v>
      </c>
      <c r="K726" t="s">
        <v>440</v>
      </c>
      <c r="L726" t="s">
        <v>384</v>
      </c>
      <c r="M726">
        <v>4.1785183859599999E-2</v>
      </c>
      <c r="N726">
        <v>0.72665532345352934</v>
      </c>
      <c r="O726">
        <v>47588.953000000001</v>
      </c>
      <c r="P726">
        <v>1.500949E-6</v>
      </c>
      <c r="Q726">
        <v>0.14285700000000001</v>
      </c>
      <c r="R726" s="60">
        <v>0.1038077995426008</v>
      </c>
      <c r="S726" t="s">
        <v>347</v>
      </c>
      <c r="T726" t="s">
        <v>437</v>
      </c>
      <c r="U726" t="s">
        <v>425</v>
      </c>
      <c r="V726" t="s">
        <v>81</v>
      </c>
      <c r="W726">
        <v>111.133</v>
      </c>
      <c r="X726">
        <v>1.0541007448257309</v>
      </c>
      <c r="Y726">
        <v>117.145378074718</v>
      </c>
      <c r="Z726">
        <v>640.82000000000005</v>
      </c>
      <c r="AA726">
        <v>1</v>
      </c>
      <c r="AB726">
        <v>75.069101177840764</v>
      </c>
      <c r="AC726">
        <v>0.93830000000000002</v>
      </c>
      <c r="AD726" s="62">
        <v>70.436999999999998</v>
      </c>
      <c r="AE726">
        <v>8.9176000000000002</v>
      </c>
      <c r="AF726">
        <v>9.4000488020579382</v>
      </c>
      <c r="AG726">
        <v>1</v>
      </c>
      <c r="AH726">
        <v>6023.7392733347688</v>
      </c>
      <c r="AI726">
        <v>1.098016605166052</v>
      </c>
      <c r="AJ726" s="62">
        <v>6614.1656999999996</v>
      </c>
      <c r="AK726" s="60">
        <v>686.60198712714612</v>
      </c>
      <c r="AL726" t="s">
        <v>349</v>
      </c>
      <c r="AM726" t="s">
        <v>439</v>
      </c>
      <c r="AN726" t="s">
        <v>425</v>
      </c>
      <c r="AO726" t="s">
        <v>81</v>
      </c>
      <c r="AP726">
        <v>111.133</v>
      </c>
      <c r="AQ726">
        <v>1.080821157758461</v>
      </c>
      <c r="AR726">
        <v>120.1148977251711</v>
      </c>
      <c r="AS726">
        <v>779.31</v>
      </c>
      <c r="AT726">
        <v>0.879</v>
      </c>
      <c r="AU726">
        <v>82.280325291712501</v>
      </c>
      <c r="AV726">
        <v>0.93120000000000003</v>
      </c>
      <c r="AW726" s="62">
        <v>76.619</v>
      </c>
      <c r="AX726">
        <v>8.9176000000000002</v>
      </c>
      <c r="AY726">
        <v>0.80400000000000005</v>
      </c>
      <c r="AZ726">
        <v>6039.0430235999738</v>
      </c>
      <c r="BA726">
        <v>1.1187730627306269</v>
      </c>
      <c r="BB726" s="62">
        <v>6756.3186999999998</v>
      </c>
      <c r="BC726" s="60">
        <v>701.35857725552557</v>
      </c>
    </row>
    <row r="727" spans="1:55" x14ac:dyDescent="0.25">
      <c r="A727">
        <v>245553</v>
      </c>
      <c r="B727" t="s">
        <v>237</v>
      </c>
      <c r="C727">
        <v>2020</v>
      </c>
      <c r="D727">
        <v>8</v>
      </c>
      <c r="E727" t="s">
        <v>100</v>
      </c>
      <c r="F727" t="s">
        <v>426</v>
      </c>
      <c r="G727" t="s">
        <v>84</v>
      </c>
      <c r="H727" t="s">
        <v>59</v>
      </c>
      <c r="I727" t="s">
        <v>427</v>
      </c>
      <c r="J727">
        <v>-17.390262679999999</v>
      </c>
      <c r="K727" t="s">
        <v>440</v>
      </c>
      <c r="L727" t="s">
        <v>385</v>
      </c>
      <c r="M727">
        <v>0.43497567483749999</v>
      </c>
      <c r="N727">
        <v>7.5643412448655081</v>
      </c>
      <c r="O727">
        <v>47588.953000000001</v>
      </c>
      <c r="P727">
        <v>1.500949E-6</v>
      </c>
      <c r="Q727">
        <v>0.14285700000000001</v>
      </c>
      <c r="R727" s="60">
        <v>1.0806190972177521</v>
      </c>
      <c r="S727" t="s">
        <v>347</v>
      </c>
      <c r="T727" t="s">
        <v>437</v>
      </c>
      <c r="U727" t="s">
        <v>425</v>
      </c>
      <c r="V727" t="s">
        <v>27</v>
      </c>
      <c r="W727">
        <v>111.133</v>
      </c>
      <c r="X727">
        <v>1.0541007448257309</v>
      </c>
      <c r="Y727">
        <v>117.145378074718</v>
      </c>
      <c r="Z727">
        <v>640.82000000000005</v>
      </c>
      <c r="AA727">
        <v>1</v>
      </c>
      <c r="AB727">
        <v>75.069101177840764</v>
      </c>
      <c r="AC727">
        <v>0.95889999999999997</v>
      </c>
      <c r="AD727" s="62">
        <v>71.983999999999995</v>
      </c>
      <c r="AE727">
        <v>8.9176000000000002</v>
      </c>
      <c r="AF727">
        <v>9.4000488020579382</v>
      </c>
      <c r="AG727">
        <v>1</v>
      </c>
      <c r="AH727">
        <v>6023.7392733347688</v>
      </c>
      <c r="AI727">
        <v>0.99097621000820357</v>
      </c>
      <c r="AJ727" s="62">
        <v>5969.3823000000002</v>
      </c>
      <c r="AK727" s="60">
        <v>6450.6285119736294</v>
      </c>
      <c r="AL727" t="s">
        <v>349</v>
      </c>
      <c r="AM727" t="s">
        <v>439</v>
      </c>
      <c r="AN727" t="s">
        <v>425</v>
      </c>
      <c r="AO727" t="s">
        <v>27</v>
      </c>
      <c r="AP727">
        <v>111.133</v>
      </c>
      <c r="AQ727">
        <v>1.080821157758461</v>
      </c>
      <c r="AR727">
        <v>120.1148977251711</v>
      </c>
      <c r="AS727">
        <v>779.31</v>
      </c>
      <c r="AT727">
        <v>0.879</v>
      </c>
      <c r="AU727">
        <v>82.280325291712501</v>
      </c>
      <c r="AV727">
        <v>0.93269999999999997</v>
      </c>
      <c r="AW727" s="62">
        <v>76.742999999999995</v>
      </c>
      <c r="AX727">
        <v>8.9176000000000002</v>
      </c>
      <c r="AY727">
        <v>0.80400000000000005</v>
      </c>
      <c r="AZ727">
        <v>6039.0430235999738</v>
      </c>
      <c r="BA727">
        <v>1.016406890894175</v>
      </c>
      <c r="BB727" s="62">
        <v>6138.1248999999998</v>
      </c>
      <c r="BC727" s="60">
        <v>6632.9749880478048</v>
      </c>
    </row>
    <row r="728" spans="1:55" x14ac:dyDescent="0.25">
      <c r="A728">
        <v>245555</v>
      </c>
      <c r="B728" t="s">
        <v>237</v>
      </c>
      <c r="C728">
        <v>2020</v>
      </c>
      <c r="D728">
        <v>8</v>
      </c>
      <c r="E728" t="s">
        <v>100</v>
      </c>
      <c r="F728" t="s">
        <v>426</v>
      </c>
      <c r="G728" t="s">
        <v>84</v>
      </c>
      <c r="H728" t="s">
        <v>59</v>
      </c>
      <c r="I728" t="s">
        <v>427</v>
      </c>
      <c r="J728">
        <v>-17.390262679999999</v>
      </c>
      <c r="K728" t="s">
        <v>440</v>
      </c>
      <c r="L728" t="s">
        <v>451</v>
      </c>
      <c r="M728">
        <v>1.7625750762999999E-3</v>
      </c>
      <c r="N728">
        <v>3.065164357020413E-2</v>
      </c>
      <c r="O728">
        <v>47588.953000000001</v>
      </c>
      <c r="P728">
        <v>1.500949E-6</v>
      </c>
      <c r="Q728">
        <v>0.14285700000000001</v>
      </c>
      <c r="R728" s="60">
        <v>4.3788018455086517E-3</v>
      </c>
      <c r="S728" t="s">
        <v>347</v>
      </c>
      <c r="T728" t="s">
        <v>437</v>
      </c>
      <c r="U728" t="s">
        <v>425</v>
      </c>
      <c r="V728" t="s">
        <v>91</v>
      </c>
      <c r="W728">
        <v>111.133</v>
      </c>
      <c r="X728">
        <v>1.0541007448257309</v>
      </c>
      <c r="Y728">
        <v>117.145378074718</v>
      </c>
      <c r="Z728">
        <v>640.82000000000005</v>
      </c>
      <c r="AA728">
        <v>1</v>
      </c>
      <c r="AB728">
        <v>75.069101177840764</v>
      </c>
      <c r="AC728">
        <v>1.0088999999999999</v>
      </c>
      <c r="AD728" s="62">
        <v>75.736999999999995</v>
      </c>
      <c r="AE728">
        <v>8.9176000000000002</v>
      </c>
      <c r="AF728">
        <v>9.4000488020579382</v>
      </c>
      <c r="AG728">
        <v>1</v>
      </c>
      <c r="AH728">
        <v>6023.7392733347688</v>
      </c>
      <c r="AI728">
        <v>0.99316673174541203</v>
      </c>
      <c r="AJ728" s="62">
        <v>5982.5774000000001</v>
      </c>
      <c r="AK728" s="60">
        <v>26.196520960018351</v>
      </c>
      <c r="AL728" t="s">
        <v>349</v>
      </c>
      <c r="AM728" t="s">
        <v>439</v>
      </c>
      <c r="AN728" t="s">
        <v>425</v>
      </c>
      <c r="AO728" t="s">
        <v>91</v>
      </c>
      <c r="AP728">
        <v>111.133</v>
      </c>
      <c r="AQ728">
        <v>1.080821157758461</v>
      </c>
      <c r="AR728">
        <v>120.1148977251711</v>
      </c>
      <c r="AS728">
        <v>779.31</v>
      </c>
      <c r="AT728">
        <v>0.879</v>
      </c>
      <c r="AU728">
        <v>82.280325291712501</v>
      </c>
      <c r="AV728">
        <v>0.9899</v>
      </c>
      <c r="AW728" s="62">
        <v>81.448999999999998</v>
      </c>
      <c r="AX728">
        <v>8.9176000000000002</v>
      </c>
      <c r="AY728">
        <v>0.80400000000000005</v>
      </c>
      <c r="AZ728">
        <v>6039.0430235999738</v>
      </c>
      <c r="BA728">
        <v>0.99199531433033972</v>
      </c>
      <c r="BB728" s="62">
        <v>5990.7024000000001</v>
      </c>
      <c r="BC728" s="60">
        <v>26.23209872501311</v>
      </c>
    </row>
    <row r="729" spans="1:55" x14ac:dyDescent="0.25">
      <c r="A729">
        <v>245557</v>
      </c>
      <c r="B729" t="s">
        <v>237</v>
      </c>
      <c r="C729">
        <v>2020</v>
      </c>
      <c r="D729">
        <v>8</v>
      </c>
      <c r="E729" t="s">
        <v>100</v>
      </c>
      <c r="F729" t="s">
        <v>426</v>
      </c>
      <c r="G729" t="s">
        <v>84</v>
      </c>
      <c r="H729" t="s">
        <v>59</v>
      </c>
      <c r="I729" t="s">
        <v>427</v>
      </c>
      <c r="J729">
        <v>-17.390262679999999</v>
      </c>
      <c r="K729" t="s">
        <v>440</v>
      </c>
      <c r="L729" t="s">
        <v>452</v>
      </c>
      <c r="M729">
        <v>1.4858046103299999E-3</v>
      </c>
      <c r="N729">
        <v>2.5838532464900029E-2</v>
      </c>
      <c r="O729">
        <v>47588.953000000001</v>
      </c>
      <c r="P729">
        <v>1.500949E-6</v>
      </c>
      <c r="Q729">
        <v>0.14285700000000001</v>
      </c>
      <c r="R729" s="60">
        <v>3.691215232338224E-3</v>
      </c>
      <c r="S729" t="s">
        <v>347</v>
      </c>
      <c r="T729" t="s">
        <v>437</v>
      </c>
      <c r="U729" t="s">
        <v>425</v>
      </c>
      <c r="V729" t="s">
        <v>28</v>
      </c>
      <c r="W729">
        <v>111.133</v>
      </c>
      <c r="X729">
        <v>1.0541007448257309</v>
      </c>
      <c r="Y729">
        <v>117.145378074718</v>
      </c>
      <c r="Z729">
        <v>640.82000000000005</v>
      </c>
      <c r="AA729">
        <v>1</v>
      </c>
      <c r="AB729">
        <v>75.069101177840764</v>
      </c>
      <c r="AC729">
        <v>1.0073000000000001</v>
      </c>
      <c r="AD729" s="62">
        <v>75.617000000000004</v>
      </c>
      <c r="AE729">
        <v>8.9176000000000002</v>
      </c>
      <c r="AF729">
        <v>9.4000488020579382</v>
      </c>
      <c r="AG729">
        <v>1</v>
      </c>
      <c r="AH729">
        <v>6023.7392733347688</v>
      </c>
      <c r="AI729">
        <v>0.99399488088206345</v>
      </c>
      <c r="AJ729" s="62">
        <v>5987.5659999999998</v>
      </c>
      <c r="AK729" s="60">
        <v>22.10139482383045</v>
      </c>
      <c r="AL729" t="s">
        <v>349</v>
      </c>
      <c r="AM729" t="s">
        <v>439</v>
      </c>
      <c r="AN729" t="s">
        <v>425</v>
      </c>
      <c r="AO729" t="s">
        <v>28</v>
      </c>
      <c r="AP729">
        <v>111.133</v>
      </c>
      <c r="AQ729">
        <v>1.080821157758461</v>
      </c>
      <c r="AR729">
        <v>120.1148977251711</v>
      </c>
      <c r="AS729">
        <v>779.31</v>
      </c>
      <c r="AT729">
        <v>0.879</v>
      </c>
      <c r="AU729">
        <v>82.280325291712501</v>
      </c>
      <c r="AV729">
        <v>0.96379999999999999</v>
      </c>
      <c r="AW729" s="62">
        <v>79.302000000000007</v>
      </c>
      <c r="AX729">
        <v>8.9176000000000002</v>
      </c>
      <c r="AY729">
        <v>0.80400000000000005</v>
      </c>
      <c r="AZ729">
        <v>6039.0430235999738</v>
      </c>
      <c r="BA729">
        <v>0.93699547154951757</v>
      </c>
      <c r="BB729" s="62">
        <v>5658.5559999999996</v>
      </c>
      <c r="BC729" s="60">
        <v>20.88694810023885</v>
      </c>
    </row>
    <row r="730" spans="1:55" x14ac:dyDescent="0.25">
      <c r="A730">
        <v>252776</v>
      </c>
      <c r="B730" t="s">
        <v>244</v>
      </c>
      <c r="C730">
        <v>2020</v>
      </c>
      <c r="D730">
        <v>9</v>
      </c>
      <c r="E730" t="s">
        <v>100</v>
      </c>
      <c r="F730" t="s">
        <v>426</v>
      </c>
      <c r="G730" t="s">
        <v>84</v>
      </c>
      <c r="H730" t="s">
        <v>381</v>
      </c>
      <c r="I730" t="s">
        <v>427</v>
      </c>
      <c r="J730">
        <v>-32.004116019999998</v>
      </c>
      <c r="K730" t="s">
        <v>440</v>
      </c>
      <c r="L730" t="s">
        <v>450</v>
      </c>
      <c r="M730">
        <v>0.15011157993331001</v>
      </c>
      <c r="N730">
        <v>4.8041884206151471</v>
      </c>
      <c r="O730">
        <v>47588.953000000001</v>
      </c>
      <c r="P730">
        <v>1.500949E-6</v>
      </c>
      <c r="Q730">
        <v>0.14285700000000001</v>
      </c>
      <c r="R730" s="60">
        <v>0.68631194520381811</v>
      </c>
      <c r="S730" t="s">
        <v>347</v>
      </c>
      <c r="T730" t="s">
        <v>437</v>
      </c>
      <c r="U730" t="s">
        <v>425</v>
      </c>
      <c r="V730" t="s">
        <v>26</v>
      </c>
      <c r="W730">
        <v>111.133</v>
      </c>
      <c r="X730">
        <v>1.0541007448257309</v>
      </c>
      <c r="Y730">
        <v>117.145378074718</v>
      </c>
      <c r="Z730">
        <v>640.82000000000005</v>
      </c>
      <c r="AA730">
        <v>1</v>
      </c>
      <c r="AB730">
        <v>75.069101177840764</v>
      </c>
      <c r="AC730">
        <v>0.99109999999999998</v>
      </c>
      <c r="AD730" s="62">
        <v>74.400999999999996</v>
      </c>
      <c r="AE730">
        <v>8.9176000000000002</v>
      </c>
      <c r="AF730">
        <v>9.4000488020579382</v>
      </c>
      <c r="AG730">
        <v>1</v>
      </c>
      <c r="AH730">
        <v>6023.7392733347688</v>
      </c>
      <c r="AI730">
        <v>0.9830373970836227</v>
      </c>
      <c r="AJ730" s="62">
        <v>5921.5609999999997</v>
      </c>
      <c r="AK730" s="60">
        <v>4064.0380485530659</v>
      </c>
      <c r="AL730" t="s">
        <v>349</v>
      </c>
      <c r="AM730" t="s">
        <v>439</v>
      </c>
      <c r="AN730" t="s">
        <v>425</v>
      </c>
      <c r="AO730" t="s">
        <v>26</v>
      </c>
      <c r="AP730">
        <v>111.133</v>
      </c>
      <c r="AQ730">
        <v>1.080821157758461</v>
      </c>
      <c r="AR730">
        <v>120.1148977251711</v>
      </c>
      <c r="AS730">
        <v>779.31</v>
      </c>
      <c r="AT730">
        <v>0.879</v>
      </c>
      <c r="AU730">
        <v>82.280325291712501</v>
      </c>
      <c r="AV730">
        <v>0.97599999999999998</v>
      </c>
      <c r="AW730" s="62">
        <v>80.305999999999997</v>
      </c>
      <c r="AX730">
        <v>8.9176000000000002</v>
      </c>
      <c r="AY730">
        <v>0.80400000000000005</v>
      </c>
      <c r="AZ730">
        <v>6039.0430235999738</v>
      </c>
      <c r="BA730">
        <v>0.99553615712726917</v>
      </c>
      <c r="BB730" s="62">
        <v>6012.0856999999996</v>
      </c>
      <c r="BC730" s="60">
        <v>4126.1662314990581</v>
      </c>
    </row>
    <row r="731" spans="1:55" x14ac:dyDescent="0.25">
      <c r="A731">
        <v>252778</v>
      </c>
      <c r="B731" t="s">
        <v>244</v>
      </c>
      <c r="C731">
        <v>2020</v>
      </c>
      <c r="D731">
        <v>9</v>
      </c>
      <c r="E731" t="s">
        <v>100</v>
      </c>
      <c r="F731" t="s">
        <v>426</v>
      </c>
      <c r="G731" t="s">
        <v>84</v>
      </c>
      <c r="H731" t="s">
        <v>381</v>
      </c>
      <c r="I731" t="s">
        <v>427</v>
      </c>
      <c r="J731">
        <v>-32.004116019999998</v>
      </c>
      <c r="K731" t="s">
        <v>440</v>
      </c>
      <c r="L731" t="s">
        <v>384</v>
      </c>
      <c r="M731">
        <v>4.5811354346740003E-2</v>
      </c>
      <c r="N731">
        <v>1.466151899694103</v>
      </c>
      <c r="O731">
        <v>47588.953000000001</v>
      </c>
      <c r="P731">
        <v>1.500949E-6</v>
      </c>
      <c r="Q731">
        <v>0.14285700000000001</v>
      </c>
      <c r="R731" s="60">
        <v>0.2094500619346005</v>
      </c>
      <c r="S731" t="s">
        <v>347</v>
      </c>
      <c r="T731" t="s">
        <v>437</v>
      </c>
      <c r="U731" t="s">
        <v>425</v>
      </c>
      <c r="V731" t="s">
        <v>81</v>
      </c>
      <c r="W731">
        <v>111.133</v>
      </c>
      <c r="X731">
        <v>1.0541007448257309</v>
      </c>
      <c r="Y731">
        <v>117.145378074718</v>
      </c>
      <c r="Z731">
        <v>640.82000000000005</v>
      </c>
      <c r="AA731">
        <v>1</v>
      </c>
      <c r="AB731">
        <v>75.069101177840764</v>
      </c>
      <c r="AC731">
        <v>0.93830000000000002</v>
      </c>
      <c r="AD731" s="62">
        <v>70.436999999999998</v>
      </c>
      <c r="AE731">
        <v>8.9176000000000002</v>
      </c>
      <c r="AF731">
        <v>9.4000488020579382</v>
      </c>
      <c r="AG731">
        <v>1</v>
      </c>
      <c r="AH731">
        <v>6023.7392733347688</v>
      </c>
      <c r="AI731">
        <v>1.098016605166052</v>
      </c>
      <c r="AJ731" s="62">
        <v>6614.1656999999996</v>
      </c>
      <c r="AK731" s="60">
        <v>1385.3374155107099</v>
      </c>
      <c r="AL731" t="s">
        <v>349</v>
      </c>
      <c r="AM731" t="s">
        <v>439</v>
      </c>
      <c r="AN731" t="s">
        <v>425</v>
      </c>
      <c r="AO731" t="s">
        <v>81</v>
      </c>
      <c r="AP731">
        <v>111.133</v>
      </c>
      <c r="AQ731">
        <v>1.080821157758461</v>
      </c>
      <c r="AR731">
        <v>120.1148977251711</v>
      </c>
      <c r="AS731">
        <v>779.31</v>
      </c>
      <c r="AT731">
        <v>0.879</v>
      </c>
      <c r="AU731">
        <v>82.280325291712501</v>
      </c>
      <c r="AV731">
        <v>0.93120000000000003</v>
      </c>
      <c r="AW731" s="62">
        <v>76.619</v>
      </c>
      <c r="AX731">
        <v>8.9176000000000002</v>
      </c>
      <c r="AY731">
        <v>0.80400000000000005</v>
      </c>
      <c r="AZ731">
        <v>6039.0430235999738</v>
      </c>
      <c r="BA731">
        <v>1.1187730627306269</v>
      </c>
      <c r="BB731" s="62">
        <v>6756.3186999999998</v>
      </c>
      <c r="BC731" s="60">
        <v>1415.1113701649001</v>
      </c>
    </row>
    <row r="732" spans="1:55" x14ac:dyDescent="0.25">
      <c r="A732">
        <v>252780</v>
      </c>
      <c r="B732" t="s">
        <v>244</v>
      </c>
      <c r="C732">
        <v>2020</v>
      </c>
      <c r="D732">
        <v>9</v>
      </c>
      <c r="E732" t="s">
        <v>100</v>
      </c>
      <c r="F732" t="s">
        <v>426</v>
      </c>
      <c r="G732" t="s">
        <v>84</v>
      </c>
      <c r="H732" t="s">
        <v>381</v>
      </c>
      <c r="I732" t="s">
        <v>427</v>
      </c>
      <c r="J732">
        <v>-32.004116019999998</v>
      </c>
      <c r="K732" t="s">
        <v>440</v>
      </c>
      <c r="L732" t="s">
        <v>385</v>
      </c>
      <c r="M732">
        <v>0.43232641346992001</v>
      </c>
      <c r="N732">
        <v>13.836224696595719</v>
      </c>
      <c r="O732">
        <v>47588.953000000001</v>
      </c>
      <c r="P732">
        <v>1.500949E-6</v>
      </c>
      <c r="Q732">
        <v>0.14285700000000001</v>
      </c>
      <c r="R732" s="60">
        <v>1.9766015514815749</v>
      </c>
      <c r="S732" t="s">
        <v>347</v>
      </c>
      <c r="T732" t="s">
        <v>437</v>
      </c>
      <c r="U732" t="s">
        <v>425</v>
      </c>
      <c r="V732" t="s">
        <v>27</v>
      </c>
      <c r="W732">
        <v>111.133</v>
      </c>
      <c r="X732">
        <v>1.0541007448257309</v>
      </c>
      <c r="Y732">
        <v>117.145378074718</v>
      </c>
      <c r="Z732">
        <v>640.82000000000005</v>
      </c>
      <c r="AA732">
        <v>1</v>
      </c>
      <c r="AB732">
        <v>75.069101177840764</v>
      </c>
      <c r="AC732">
        <v>0.95889999999999997</v>
      </c>
      <c r="AD732" s="62">
        <v>71.983999999999995</v>
      </c>
      <c r="AE732">
        <v>8.9176000000000002</v>
      </c>
      <c r="AF732">
        <v>9.4000488020579382</v>
      </c>
      <c r="AG732">
        <v>1</v>
      </c>
      <c r="AH732">
        <v>6023.7392733347688</v>
      </c>
      <c r="AI732">
        <v>0.99097621000820357</v>
      </c>
      <c r="AJ732" s="62">
        <v>5969.3823000000002</v>
      </c>
      <c r="AK732" s="60">
        <v>11799.090315566649</v>
      </c>
      <c r="AL732" t="s">
        <v>349</v>
      </c>
      <c r="AM732" t="s">
        <v>439</v>
      </c>
      <c r="AN732" t="s">
        <v>425</v>
      </c>
      <c r="AO732" t="s">
        <v>27</v>
      </c>
      <c r="AP732">
        <v>111.133</v>
      </c>
      <c r="AQ732">
        <v>1.080821157758461</v>
      </c>
      <c r="AR732">
        <v>120.1148977251711</v>
      </c>
      <c r="AS732">
        <v>779.31</v>
      </c>
      <c r="AT732">
        <v>0.879</v>
      </c>
      <c r="AU732">
        <v>82.280325291712501</v>
      </c>
      <c r="AV732">
        <v>0.93269999999999997</v>
      </c>
      <c r="AW732" s="62">
        <v>76.742999999999995</v>
      </c>
      <c r="AX732">
        <v>8.9176000000000002</v>
      </c>
      <c r="AY732">
        <v>0.80400000000000005</v>
      </c>
      <c r="AZ732">
        <v>6039.0430235999738</v>
      </c>
      <c r="BA732">
        <v>1.016406890894175</v>
      </c>
      <c r="BB732" s="62">
        <v>6138.1248999999998</v>
      </c>
      <c r="BC732" s="60">
        <v>12132.627200527681</v>
      </c>
    </row>
    <row r="733" spans="1:55" x14ac:dyDescent="0.25">
      <c r="A733">
        <v>252782</v>
      </c>
      <c r="B733" t="s">
        <v>244</v>
      </c>
      <c r="C733">
        <v>2020</v>
      </c>
      <c r="D733">
        <v>9</v>
      </c>
      <c r="E733" t="s">
        <v>100</v>
      </c>
      <c r="F733" t="s">
        <v>426</v>
      </c>
      <c r="G733" t="s">
        <v>84</v>
      </c>
      <c r="H733" t="s">
        <v>381</v>
      </c>
      <c r="I733" t="s">
        <v>427</v>
      </c>
      <c r="J733">
        <v>-32.004116019999998</v>
      </c>
      <c r="K733" t="s">
        <v>440</v>
      </c>
      <c r="L733" t="s">
        <v>451</v>
      </c>
      <c r="M733">
        <v>1.6825115802299999E-3</v>
      </c>
      <c r="N733">
        <v>5.3847295824099209E-2</v>
      </c>
      <c r="O733">
        <v>47588.953000000001</v>
      </c>
      <c r="P733">
        <v>1.500949E-6</v>
      </c>
      <c r="Q733">
        <v>0.14285700000000001</v>
      </c>
      <c r="R733" s="60">
        <v>7.6924631395433414E-3</v>
      </c>
      <c r="S733" t="s">
        <v>347</v>
      </c>
      <c r="T733" t="s">
        <v>437</v>
      </c>
      <c r="U733" t="s">
        <v>425</v>
      </c>
      <c r="V733" t="s">
        <v>91</v>
      </c>
      <c r="W733">
        <v>111.133</v>
      </c>
      <c r="X733">
        <v>1.0541007448257309</v>
      </c>
      <c r="Y733">
        <v>117.145378074718</v>
      </c>
      <c r="Z733">
        <v>640.82000000000005</v>
      </c>
      <c r="AA733">
        <v>1</v>
      </c>
      <c r="AB733">
        <v>75.069101177840764</v>
      </c>
      <c r="AC733">
        <v>1.0088999999999999</v>
      </c>
      <c r="AD733" s="62">
        <v>75.736999999999995</v>
      </c>
      <c r="AE733">
        <v>8.9176000000000002</v>
      </c>
      <c r="AF733">
        <v>9.4000488020579382</v>
      </c>
      <c r="AG733">
        <v>1</v>
      </c>
      <c r="AH733">
        <v>6023.7392733347688</v>
      </c>
      <c r="AI733">
        <v>0.99316673174541203</v>
      </c>
      <c r="AJ733" s="62">
        <v>5982.5774000000001</v>
      </c>
      <c r="AK733" s="60">
        <v>46.02075612896504</v>
      </c>
      <c r="AL733" t="s">
        <v>349</v>
      </c>
      <c r="AM733" t="s">
        <v>439</v>
      </c>
      <c r="AN733" t="s">
        <v>425</v>
      </c>
      <c r="AO733" t="s">
        <v>91</v>
      </c>
      <c r="AP733">
        <v>111.133</v>
      </c>
      <c r="AQ733">
        <v>1.080821157758461</v>
      </c>
      <c r="AR733">
        <v>120.1148977251711</v>
      </c>
      <c r="AS733">
        <v>779.31</v>
      </c>
      <c r="AT733">
        <v>0.879</v>
      </c>
      <c r="AU733">
        <v>82.280325291712501</v>
      </c>
      <c r="AV733">
        <v>0.9899</v>
      </c>
      <c r="AW733" s="62">
        <v>81.448999999999998</v>
      </c>
      <c r="AX733">
        <v>8.9176000000000002</v>
      </c>
      <c r="AY733">
        <v>0.80400000000000005</v>
      </c>
      <c r="AZ733">
        <v>6039.0430235999738</v>
      </c>
      <c r="BA733">
        <v>0.99199531433033972</v>
      </c>
      <c r="BB733" s="62">
        <v>5990.7024000000001</v>
      </c>
      <c r="BC733" s="60">
        <v>46.083257391973831</v>
      </c>
    </row>
    <row r="734" spans="1:55" x14ac:dyDescent="0.25">
      <c r="A734">
        <v>252784</v>
      </c>
      <c r="B734" t="s">
        <v>244</v>
      </c>
      <c r="C734">
        <v>2020</v>
      </c>
      <c r="D734">
        <v>9</v>
      </c>
      <c r="E734" t="s">
        <v>100</v>
      </c>
      <c r="F734" t="s">
        <v>426</v>
      </c>
      <c r="G734" t="s">
        <v>84</v>
      </c>
      <c r="H734" t="s">
        <v>381</v>
      </c>
      <c r="I734" t="s">
        <v>427</v>
      </c>
      <c r="J734">
        <v>-32.004116019999998</v>
      </c>
      <c r="K734" t="s">
        <v>440</v>
      </c>
      <c r="L734" t="s">
        <v>452</v>
      </c>
      <c r="M734">
        <v>1.53682162831E-3</v>
      </c>
      <c r="N734">
        <v>4.9184617699433567E-2</v>
      </c>
      <c r="O734">
        <v>47588.953000000001</v>
      </c>
      <c r="P734">
        <v>1.500949E-6</v>
      </c>
      <c r="Q734">
        <v>0.14285700000000001</v>
      </c>
      <c r="R734" s="60">
        <v>7.0263669306879816E-3</v>
      </c>
      <c r="S734" t="s">
        <v>347</v>
      </c>
      <c r="T734" t="s">
        <v>437</v>
      </c>
      <c r="U734" t="s">
        <v>425</v>
      </c>
      <c r="V734" t="s">
        <v>28</v>
      </c>
      <c r="W734">
        <v>111.133</v>
      </c>
      <c r="X734">
        <v>1.0541007448257309</v>
      </c>
      <c r="Y734">
        <v>117.145378074718</v>
      </c>
      <c r="Z734">
        <v>640.82000000000005</v>
      </c>
      <c r="AA734">
        <v>1</v>
      </c>
      <c r="AB734">
        <v>75.069101177840764</v>
      </c>
      <c r="AC734">
        <v>1.0073000000000001</v>
      </c>
      <c r="AD734" s="62">
        <v>75.617000000000004</v>
      </c>
      <c r="AE734">
        <v>8.9176000000000002</v>
      </c>
      <c r="AF734">
        <v>9.4000488020579382</v>
      </c>
      <c r="AG734">
        <v>1</v>
      </c>
      <c r="AH734">
        <v>6023.7392733347688</v>
      </c>
      <c r="AI734">
        <v>0.99399488088206345</v>
      </c>
      <c r="AJ734" s="62">
        <v>5987.5659999999998</v>
      </c>
      <c r="AK734" s="60">
        <v>42.070835737711718</v>
      </c>
      <c r="AL734" t="s">
        <v>349</v>
      </c>
      <c r="AM734" t="s">
        <v>439</v>
      </c>
      <c r="AN734" t="s">
        <v>425</v>
      </c>
      <c r="AO734" t="s">
        <v>28</v>
      </c>
      <c r="AP734">
        <v>111.133</v>
      </c>
      <c r="AQ734">
        <v>1.080821157758461</v>
      </c>
      <c r="AR734">
        <v>120.1148977251711</v>
      </c>
      <c r="AS734">
        <v>779.31</v>
      </c>
      <c r="AT734">
        <v>0.879</v>
      </c>
      <c r="AU734">
        <v>82.280325291712501</v>
      </c>
      <c r="AV734">
        <v>0.96379999999999999</v>
      </c>
      <c r="AW734" s="62">
        <v>79.302000000000007</v>
      </c>
      <c r="AX734">
        <v>8.9176000000000002</v>
      </c>
      <c r="AY734">
        <v>0.80400000000000005</v>
      </c>
      <c r="AZ734">
        <v>6039.0430235999738</v>
      </c>
      <c r="BA734">
        <v>0.93699547154951757</v>
      </c>
      <c r="BB734" s="62">
        <v>5658.5559999999996</v>
      </c>
      <c r="BC734" s="60">
        <v>39.759090753846067</v>
      </c>
    </row>
    <row r="735" spans="1:55" x14ac:dyDescent="0.25">
      <c r="A735">
        <v>252786</v>
      </c>
      <c r="B735" t="s">
        <v>244</v>
      </c>
      <c r="C735">
        <v>2020</v>
      </c>
      <c r="D735">
        <v>9</v>
      </c>
      <c r="E735" t="s">
        <v>100</v>
      </c>
      <c r="F735" t="s">
        <v>426</v>
      </c>
      <c r="G735" t="s">
        <v>84</v>
      </c>
      <c r="H735" t="s">
        <v>87</v>
      </c>
      <c r="I735" t="s">
        <v>427</v>
      </c>
      <c r="J735">
        <v>-5.8835884299999996</v>
      </c>
      <c r="K735" t="s">
        <v>440</v>
      </c>
      <c r="L735" t="s">
        <v>450</v>
      </c>
      <c r="M735">
        <v>0.26601384014995</v>
      </c>
      <c r="N735">
        <v>1.56511595164048</v>
      </c>
      <c r="O735">
        <v>47588.953000000001</v>
      </c>
      <c r="P735">
        <v>1.500949E-6</v>
      </c>
      <c r="Q735">
        <v>0.14285700000000001</v>
      </c>
      <c r="R735" s="60">
        <v>0.22358776950350401</v>
      </c>
      <c r="S735" t="s">
        <v>347</v>
      </c>
      <c r="T735" t="s">
        <v>437</v>
      </c>
      <c r="U735" t="s">
        <v>425</v>
      </c>
      <c r="V735" t="s">
        <v>26</v>
      </c>
      <c r="W735">
        <v>111.133</v>
      </c>
      <c r="X735">
        <v>1.0541007448257309</v>
      </c>
      <c r="Y735">
        <v>117.145378074718</v>
      </c>
      <c r="Z735">
        <v>640.82000000000005</v>
      </c>
      <c r="AA735">
        <v>1</v>
      </c>
      <c r="AB735">
        <v>75.069101177840764</v>
      </c>
      <c r="AC735">
        <v>0.99109999999999998</v>
      </c>
      <c r="AD735" s="62">
        <v>74.400999999999996</v>
      </c>
      <c r="AE735">
        <v>8.9176000000000002</v>
      </c>
      <c r="AF735">
        <v>9.4000488020579382</v>
      </c>
      <c r="AG735">
        <v>1</v>
      </c>
      <c r="AH735">
        <v>6023.7392733347688</v>
      </c>
      <c r="AI735">
        <v>0.9830373970836227</v>
      </c>
      <c r="AJ735" s="62">
        <v>5921.5609999999997</v>
      </c>
      <c r="AK735" s="60">
        <v>1323.988615968939</v>
      </c>
      <c r="AL735" t="s">
        <v>349</v>
      </c>
      <c r="AM735" t="s">
        <v>439</v>
      </c>
      <c r="AN735" t="s">
        <v>425</v>
      </c>
      <c r="AO735" t="s">
        <v>26</v>
      </c>
      <c r="AP735">
        <v>111.133</v>
      </c>
      <c r="AQ735">
        <v>1.080821157758461</v>
      </c>
      <c r="AR735">
        <v>120.1148977251711</v>
      </c>
      <c r="AS735">
        <v>779.31</v>
      </c>
      <c r="AT735">
        <v>0.879</v>
      </c>
      <c r="AU735">
        <v>82.280325291712501</v>
      </c>
      <c r="AV735">
        <v>0.97599999999999998</v>
      </c>
      <c r="AW735" s="62">
        <v>80.305999999999997</v>
      </c>
      <c r="AX735">
        <v>8.9176000000000002</v>
      </c>
      <c r="AY735">
        <v>0.80400000000000005</v>
      </c>
      <c r="AZ735">
        <v>6039.0430235999738</v>
      </c>
      <c r="BA735">
        <v>0.99553615712726917</v>
      </c>
      <c r="BB735" s="62">
        <v>6012.0856999999996</v>
      </c>
      <c r="BC735" s="60">
        <v>1344.2288317269119</v>
      </c>
    </row>
    <row r="736" spans="1:55" x14ac:dyDescent="0.25">
      <c r="A736">
        <v>252788</v>
      </c>
      <c r="B736" t="s">
        <v>244</v>
      </c>
      <c r="C736">
        <v>2020</v>
      </c>
      <c r="D736">
        <v>9</v>
      </c>
      <c r="E736" t="s">
        <v>100</v>
      </c>
      <c r="F736" t="s">
        <v>426</v>
      </c>
      <c r="G736" t="s">
        <v>84</v>
      </c>
      <c r="H736" t="s">
        <v>87</v>
      </c>
      <c r="I736" t="s">
        <v>427</v>
      </c>
      <c r="J736">
        <v>-5.8835884299999996</v>
      </c>
      <c r="K736" t="s">
        <v>440</v>
      </c>
      <c r="L736" t="s">
        <v>384</v>
      </c>
      <c r="M736">
        <v>3.9509559941419997E-2</v>
      </c>
      <c r="N736">
        <v>0.2324579896736014</v>
      </c>
      <c r="O736">
        <v>47588.953000000001</v>
      </c>
      <c r="P736">
        <v>1.500949E-6</v>
      </c>
      <c r="Q736">
        <v>0.14285700000000001</v>
      </c>
      <c r="R736" s="60">
        <v>3.3208251030801668E-2</v>
      </c>
      <c r="S736" t="s">
        <v>347</v>
      </c>
      <c r="T736" t="s">
        <v>437</v>
      </c>
      <c r="U736" t="s">
        <v>425</v>
      </c>
      <c r="V736" t="s">
        <v>81</v>
      </c>
      <c r="W736">
        <v>111.133</v>
      </c>
      <c r="X736">
        <v>1.0541007448257309</v>
      </c>
      <c r="Y736">
        <v>117.145378074718</v>
      </c>
      <c r="Z736">
        <v>640.82000000000005</v>
      </c>
      <c r="AA736">
        <v>1</v>
      </c>
      <c r="AB736">
        <v>75.069101177840764</v>
      </c>
      <c r="AC736">
        <v>0.93830000000000002</v>
      </c>
      <c r="AD736" s="62">
        <v>70.436999999999998</v>
      </c>
      <c r="AE736">
        <v>8.9176000000000002</v>
      </c>
      <c r="AF736">
        <v>9.4000488020579382</v>
      </c>
      <c r="AG736">
        <v>1</v>
      </c>
      <c r="AH736">
        <v>6023.7392733347688</v>
      </c>
      <c r="AI736">
        <v>1.098016605166052</v>
      </c>
      <c r="AJ736" s="62">
        <v>6614.1656999999996</v>
      </c>
      <c r="AK736" s="60">
        <v>219.6448749249181</v>
      </c>
      <c r="AL736" t="s">
        <v>349</v>
      </c>
      <c r="AM736" t="s">
        <v>439</v>
      </c>
      <c r="AN736" t="s">
        <v>425</v>
      </c>
      <c r="AO736" t="s">
        <v>81</v>
      </c>
      <c r="AP736">
        <v>111.133</v>
      </c>
      <c r="AQ736">
        <v>1.080821157758461</v>
      </c>
      <c r="AR736">
        <v>120.1148977251711</v>
      </c>
      <c r="AS736">
        <v>779.31</v>
      </c>
      <c r="AT736">
        <v>0.879</v>
      </c>
      <c r="AU736">
        <v>82.280325291712501</v>
      </c>
      <c r="AV736">
        <v>0.93120000000000003</v>
      </c>
      <c r="AW736" s="62">
        <v>76.619</v>
      </c>
      <c r="AX736">
        <v>8.9176000000000002</v>
      </c>
      <c r="AY736">
        <v>0.80400000000000005</v>
      </c>
      <c r="AZ736">
        <v>6039.0430235999738</v>
      </c>
      <c r="BA736">
        <v>1.1187730627306269</v>
      </c>
      <c r="BB736" s="62">
        <v>6756.3186999999998</v>
      </c>
      <c r="BC736" s="60">
        <v>224.36552743369961</v>
      </c>
    </row>
    <row r="737" spans="1:55" x14ac:dyDescent="0.25">
      <c r="A737">
        <v>252790</v>
      </c>
      <c r="B737" t="s">
        <v>244</v>
      </c>
      <c r="C737">
        <v>2020</v>
      </c>
      <c r="D737">
        <v>9</v>
      </c>
      <c r="E737" t="s">
        <v>100</v>
      </c>
      <c r="F737" t="s">
        <v>426</v>
      </c>
      <c r="G737" t="s">
        <v>84</v>
      </c>
      <c r="H737" t="s">
        <v>87</v>
      </c>
      <c r="I737" t="s">
        <v>427</v>
      </c>
      <c r="J737">
        <v>-5.8835884299999996</v>
      </c>
      <c r="K737" t="s">
        <v>440</v>
      </c>
      <c r="L737" t="s">
        <v>385</v>
      </c>
      <c r="M737">
        <v>0.39737542925016001</v>
      </c>
      <c r="N737">
        <v>2.3379934771770752</v>
      </c>
      <c r="O737">
        <v>47588.953000000001</v>
      </c>
      <c r="P737">
        <v>1.500949E-6</v>
      </c>
      <c r="Q737">
        <v>0.14285700000000001</v>
      </c>
      <c r="R737" s="60">
        <v>0.33399873416908538</v>
      </c>
      <c r="S737" t="s">
        <v>347</v>
      </c>
      <c r="T737" t="s">
        <v>437</v>
      </c>
      <c r="U737" t="s">
        <v>425</v>
      </c>
      <c r="V737" t="s">
        <v>27</v>
      </c>
      <c r="W737">
        <v>111.133</v>
      </c>
      <c r="X737">
        <v>1.0541007448257309</v>
      </c>
      <c r="Y737">
        <v>117.145378074718</v>
      </c>
      <c r="Z737">
        <v>640.82000000000005</v>
      </c>
      <c r="AA737">
        <v>1</v>
      </c>
      <c r="AB737">
        <v>75.069101177840764</v>
      </c>
      <c r="AC737">
        <v>0.95889999999999997</v>
      </c>
      <c r="AD737" s="62">
        <v>71.983999999999995</v>
      </c>
      <c r="AE737">
        <v>8.9176000000000002</v>
      </c>
      <c r="AF737">
        <v>9.4000488020579382</v>
      </c>
      <c r="AG737">
        <v>1</v>
      </c>
      <c r="AH737">
        <v>6023.7392733347688</v>
      </c>
      <c r="AI737">
        <v>0.99097621000820357</v>
      </c>
      <c r="AJ737" s="62">
        <v>5969.3823000000002</v>
      </c>
      <c r="AK737" s="60">
        <v>1993.7661319713441</v>
      </c>
      <c r="AL737" t="s">
        <v>349</v>
      </c>
      <c r="AM737" t="s">
        <v>439</v>
      </c>
      <c r="AN737" t="s">
        <v>425</v>
      </c>
      <c r="AO737" t="s">
        <v>27</v>
      </c>
      <c r="AP737">
        <v>111.133</v>
      </c>
      <c r="AQ737">
        <v>1.080821157758461</v>
      </c>
      <c r="AR737">
        <v>120.1148977251711</v>
      </c>
      <c r="AS737">
        <v>779.31</v>
      </c>
      <c r="AT737">
        <v>0.879</v>
      </c>
      <c r="AU737">
        <v>82.280325291712501</v>
      </c>
      <c r="AV737">
        <v>0.93269999999999997</v>
      </c>
      <c r="AW737" s="62">
        <v>76.742999999999995</v>
      </c>
      <c r="AX737">
        <v>8.9176000000000002</v>
      </c>
      <c r="AY737">
        <v>0.80400000000000005</v>
      </c>
      <c r="AZ737">
        <v>6039.0430235999738</v>
      </c>
      <c r="BA737">
        <v>1.016406890894175</v>
      </c>
      <c r="BB737" s="62">
        <v>6138.1248999999998</v>
      </c>
      <c r="BC737" s="60">
        <v>2050.1259467717441</v>
      </c>
    </row>
    <row r="738" spans="1:55" x14ac:dyDescent="0.25">
      <c r="A738">
        <v>252792</v>
      </c>
      <c r="B738" t="s">
        <v>244</v>
      </c>
      <c r="C738">
        <v>2020</v>
      </c>
      <c r="D738">
        <v>9</v>
      </c>
      <c r="E738" t="s">
        <v>100</v>
      </c>
      <c r="F738" t="s">
        <v>426</v>
      </c>
      <c r="G738" t="s">
        <v>84</v>
      </c>
      <c r="H738" t="s">
        <v>87</v>
      </c>
      <c r="I738" t="s">
        <v>427</v>
      </c>
      <c r="J738">
        <v>-5.8835884299999996</v>
      </c>
      <c r="K738" t="s">
        <v>440</v>
      </c>
      <c r="L738" t="s">
        <v>452</v>
      </c>
      <c r="M738">
        <v>8.4248020759000004E-4</v>
      </c>
      <c r="N738">
        <v>4.9568068003424878E-3</v>
      </c>
      <c r="O738">
        <v>47588.953000000001</v>
      </c>
      <c r="P738">
        <v>1.500949E-6</v>
      </c>
      <c r="Q738">
        <v>0.14285700000000001</v>
      </c>
      <c r="R738" s="60">
        <v>7.0811454907652679E-4</v>
      </c>
      <c r="S738" t="s">
        <v>347</v>
      </c>
      <c r="T738" t="s">
        <v>437</v>
      </c>
      <c r="U738" t="s">
        <v>425</v>
      </c>
      <c r="V738" t="s">
        <v>28</v>
      </c>
      <c r="W738">
        <v>111.133</v>
      </c>
      <c r="X738">
        <v>1.0541007448257309</v>
      </c>
      <c r="Y738">
        <v>117.145378074718</v>
      </c>
      <c r="Z738">
        <v>640.82000000000005</v>
      </c>
      <c r="AA738">
        <v>1</v>
      </c>
      <c r="AB738">
        <v>75.069101177840764</v>
      </c>
      <c r="AC738">
        <v>1.0073000000000001</v>
      </c>
      <c r="AD738" s="62">
        <v>75.617000000000004</v>
      </c>
      <c r="AE738">
        <v>8.9176000000000002</v>
      </c>
      <c r="AF738">
        <v>9.4000488020579382</v>
      </c>
      <c r="AG738">
        <v>1</v>
      </c>
      <c r="AH738">
        <v>6023.7392733347688</v>
      </c>
      <c r="AI738">
        <v>0.99399488088206345</v>
      </c>
      <c r="AJ738" s="62">
        <v>5987.5659999999998</v>
      </c>
      <c r="AK738" s="60">
        <v>4.2398825981559431</v>
      </c>
      <c r="AL738" t="s">
        <v>349</v>
      </c>
      <c r="AM738" t="s">
        <v>439</v>
      </c>
      <c r="AN738" t="s">
        <v>425</v>
      </c>
      <c r="AO738" t="s">
        <v>28</v>
      </c>
      <c r="AP738">
        <v>111.133</v>
      </c>
      <c r="AQ738">
        <v>1.080821157758461</v>
      </c>
      <c r="AR738">
        <v>120.1148977251711</v>
      </c>
      <c r="AS738">
        <v>779.31</v>
      </c>
      <c r="AT738">
        <v>0.879</v>
      </c>
      <c r="AU738">
        <v>82.280325291712501</v>
      </c>
      <c r="AV738">
        <v>0.96379999999999999</v>
      </c>
      <c r="AW738" s="62">
        <v>79.302000000000007</v>
      </c>
      <c r="AX738">
        <v>8.9176000000000002</v>
      </c>
      <c r="AY738">
        <v>0.80400000000000005</v>
      </c>
      <c r="AZ738">
        <v>6039.0430235999738</v>
      </c>
      <c r="BA738">
        <v>0.93699547154951757</v>
      </c>
      <c r="BB738" s="62">
        <v>5658.5559999999996</v>
      </c>
      <c r="BC738" s="60">
        <v>4.0069058303642748</v>
      </c>
    </row>
    <row r="739" spans="1:55" x14ac:dyDescent="0.25">
      <c r="A739">
        <v>252794</v>
      </c>
      <c r="B739" t="s">
        <v>244</v>
      </c>
      <c r="C739">
        <v>2020</v>
      </c>
      <c r="D739">
        <v>9</v>
      </c>
      <c r="E739" t="s">
        <v>100</v>
      </c>
      <c r="F739" t="s">
        <v>426</v>
      </c>
      <c r="G739" t="s">
        <v>84</v>
      </c>
      <c r="H739" t="s">
        <v>59</v>
      </c>
      <c r="I739" t="s">
        <v>427</v>
      </c>
      <c r="J739">
        <v>-17.390262679999999</v>
      </c>
      <c r="K739" t="s">
        <v>440</v>
      </c>
      <c r="L739" t="s">
        <v>450</v>
      </c>
      <c r="M739">
        <v>0.15931709696460999</v>
      </c>
      <c r="N739">
        <v>2.7705661656409961</v>
      </c>
      <c r="O739">
        <v>47588.953000000001</v>
      </c>
      <c r="P739">
        <v>1.500949E-6</v>
      </c>
      <c r="Q739">
        <v>0.14285700000000001</v>
      </c>
      <c r="R739" s="60">
        <v>0.39579477072497582</v>
      </c>
      <c r="S739" t="s">
        <v>347</v>
      </c>
      <c r="T739" t="s">
        <v>437</v>
      </c>
      <c r="U739" t="s">
        <v>425</v>
      </c>
      <c r="V739" t="s">
        <v>26</v>
      </c>
      <c r="W739">
        <v>111.133</v>
      </c>
      <c r="X739">
        <v>1.0541007448257309</v>
      </c>
      <c r="Y739">
        <v>117.145378074718</v>
      </c>
      <c r="Z739">
        <v>640.82000000000005</v>
      </c>
      <c r="AA739">
        <v>1</v>
      </c>
      <c r="AB739">
        <v>75.069101177840764</v>
      </c>
      <c r="AC739">
        <v>0.99109999999999998</v>
      </c>
      <c r="AD739" s="62">
        <v>74.400999999999996</v>
      </c>
      <c r="AE739">
        <v>8.9176000000000002</v>
      </c>
      <c r="AF739">
        <v>9.4000488020579382</v>
      </c>
      <c r="AG739">
        <v>1</v>
      </c>
      <c r="AH739">
        <v>6023.7392733347688</v>
      </c>
      <c r="AI739">
        <v>0.9830373970836227</v>
      </c>
      <c r="AJ739" s="62">
        <v>5921.5609999999997</v>
      </c>
      <c r="AK739" s="60">
        <v>2343.7228783289579</v>
      </c>
      <c r="AL739" t="s">
        <v>349</v>
      </c>
      <c r="AM739" t="s">
        <v>439</v>
      </c>
      <c r="AN739" t="s">
        <v>425</v>
      </c>
      <c r="AO739" t="s">
        <v>26</v>
      </c>
      <c r="AP739">
        <v>111.133</v>
      </c>
      <c r="AQ739">
        <v>1.080821157758461</v>
      </c>
      <c r="AR739">
        <v>120.1148977251711</v>
      </c>
      <c r="AS739">
        <v>779.31</v>
      </c>
      <c r="AT739">
        <v>0.879</v>
      </c>
      <c r="AU739">
        <v>82.280325291712501</v>
      </c>
      <c r="AV739">
        <v>0.97599999999999998</v>
      </c>
      <c r="AW739" s="62">
        <v>80.305999999999997</v>
      </c>
      <c r="AX739">
        <v>8.9176000000000002</v>
      </c>
      <c r="AY739">
        <v>0.80400000000000005</v>
      </c>
      <c r="AZ739">
        <v>6039.0430235999738</v>
      </c>
      <c r="BA739">
        <v>0.99553615712726917</v>
      </c>
      <c r="BB739" s="62">
        <v>6012.0856999999996</v>
      </c>
      <c r="BC739" s="60">
        <v>2379.552081210406</v>
      </c>
    </row>
    <row r="740" spans="1:55" x14ac:dyDescent="0.25">
      <c r="A740">
        <v>252796</v>
      </c>
      <c r="B740" t="s">
        <v>244</v>
      </c>
      <c r="C740">
        <v>2020</v>
      </c>
      <c r="D740">
        <v>9</v>
      </c>
      <c r="E740" t="s">
        <v>100</v>
      </c>
      <c r="F740" t="s">
        <v>426</v>
      </c>
      <c r="G740" t="s">
        <v>84</v>
      </c>
      <c r="H740" t="s">
        <v>59</v>
      </c>
      <c r="I740" t="s">
        <v>427</v>
      </c>
      <c r="J740">
        <v>-17.390262679999999</v>
      </c>
      <c r="K740" t="s">
        <v>440</v>
      </c>
      <c r="L740" t="s">
        <v>384</v>
      </c>
      <c r="M740">
        <v>4.1785183859599999E-2</v>
      </c>
      <c r="N740">
        <v>0.72665532345352957</v>
      </c>
      <c r="O740">
        <v>47588.953000000001</v>
      </c>
      <c r="P740">
        <v>1.500949E-6</v>
      </c>
      <c r="Q740">
        <v>0.14285700000000001</v>
      </c>
      <c r="R740" s="60">
        <v>0.1038077995426009</v>
      </c>
      <c r="S740" t="s">
        <v>347</v>
      </c>
      <c r="T740" t="s">
        <v>437</v>
      </c>
      <c r="U740" t="s">
        <v>425</v>
      </c>
      <c r="V740" t="s">
        <v>81</v>
      </c>
      <c r="W740">
        <v>111.133</v>
      </c>
      <c r="X740">
        <v>1.0541007448257309</v>
      </c>
      <c r="Y740">
        <v>117.145378074718</v>
      </c>
      <c r="Z740">
        <v>640.82000000000005</v>
      </c>
      <c r="AA740">
        <v>1</v>
      </c>
      <c r="AB740">
        <v>75.069101177840764</v>
      </c>
      <c r="AC740">
        <v>0.93830000000000002</v>
      </c>
      <c r="AD740" s="62">
        <v>70.436999999999998</v>
      </c>
      <c r="AE740">
        <v>8.9176000000000002</v>
      </c>
      <c r="AF740">
        <v>9.4000488020579382</v>
      </c>
      <c r="AG740">
        <v>1</v>
      </c>
      <c r="AH740">
        <v>6023.7392733347688</v>
      </c>
      <c r="AI740">
        <v>1.098016605166052</v>
      </c>
      <c r="AJ740" s="62">
        <v>6614.1656999999996</v>
      </c>
      <c r="AK740" s="60">
        <v>686.60198712714646</v>
      </c>
      <c r="AL740" t="s">
        <v>349</v>
      </c>
      <c r="AM740" t="s">
        <v>439</v>
      </c>
      <c r="AN740" t="s">
        <v>425</v>
      </c>
      <c r="AO740" t="s">
        <v>81</v>
      </c>
      <c r="AP740">
        <v>111.133</v>
      </c>
      <c r="AQ740">
        <v>1.080821157758461</v>
      </c>
      <c r="AR740">
        <v>120.1148977251711</v>
      </c>
      <c r="AS740">
        <v>779.31</v>
      </c>
      <c r="AT740">
        <v>0.879</v>
      </c>
      <c r="AU740">
        <v>82.280325291712501</v>
      </c>
      <c r="AV740">
        <v>0.93120000000000003</v>
      </c>
      <c r="AW740" s="62">
        <v>76.619</v>
      </c>
      <c r="AX740">
        <v>8.9176000000000002</v>
      </c>
      <c r="AY740">
        <v>0.80400000000000005</v>
      </c>
      <c r="AZ740">
        <v>6039.0430235999738</v>
      </c>
      <c r="BA740">
        <v>1.1187730627306269</v>
      </c>
      <c r="BB740" s="62">
        <v>6756.3186999999998</v>
      </c>
      <c r="BC740" s="60">
        <v>701.3585772555258</v>
      </c>
    </row>
    <row r="741" spans="1:55" x14ac:dyDescent="0.25">
      <c r="A741">
        <v>252798</v>
      </c>
      <c r="B741" t="s">
        <v>244</v>
      </c>
      <c r="C741">
        <v>2020</v>
      </c>
      <c r="D741">
        <v>9</v>
      </c>
      <c r="E741" t="s">
        <v>100</v>
      </c>
      <c r="F741" t="s">
        <v>426</v>
      </c>
      <c r="G741" t="s">
        <v>84</v>
      </c>
      <c r="H741" t="s">
        <v>59</v>
      </c>
      <c r="I741" t="s">
        <v>427</v>
      </c>
      <c r="J741">
        <v>-17.390262679999999</v>
      </c>
      <c r="K741" t="s">
        <v>440</v>
      </c>
      <c r="L741" t="s">
        <v>385</v>
      </c>
      <c r="M741">
        <v>0.43497567483749999</v>
      </c>
      <c r="N741">
        <v>7.5643412448655099</v>
      </c>
      <c r="O741">
        <v>47588.953000000001</v>
      </c>
      <c r="P741">
        <v>1.500949E-6</v>
      </c>
      <c r="Q741">
        <v>0.14285700000000001</v>
      </c>
      <c r="R741" s="60">
        <v>1.0806190972177521</v>
      </c>
      <c r="S741" t="s">
        <v>347</v>
      </c>
      <c r="T741" t="s">
        <v>437</v>
      </c>
      <c r="U741" t="s">
        <v>425</v>
      </c>
      <c r="V741" t="s">
        <v>27</v>
      </c>
      <c r="W741">
        <v>111.133</v>
      </c>
      <c r="X741">
        <v>1.0541007448257309</v>
      </c>
      <c r="Y741">
        <v>117.145378074718</v>
      </c>
      <c r="Z741">
        <v>640.82000000000005</v>
      </c>
      <c r="AA741">
        <v>1</v>
      </c>
      <c r="AB741">
        <v>75.069101177840764</v>
      </c>
      <c r="AC741">
        <v>0.95889999999999997</v>
      </c>
      <c r="AD741" s="62">
        <v>71.983999999999995</v>
      </c>
      <c r="AE741">
        <v>8.9176000000000002</v>
      </c>
      <c r="AF741">
        <v>9.4000488020579382</v>
      </c>
      <c r="AG741">
        <v>1</v>
      </c>
      <c r="AH741">
        <v>6023.7392733347688</v>
      </c>
      <c r="AI741">
        <v>0.99097621000820357</v>
      </c>
      <c r="AJ741" s="62">
        <v>5969.3823000000002</v>
      </c>
      <c r="AK741" s="60">
        <v>6450.6285119736303</v>
      </c>
      <c r="AL741" t="s">
        <v>349</v>
      </c>
      <c r="AM741" t="s">
        <v>439</v>
      </c>
      <c r="AN741" t="s">
        <v>425</v>
      </c>
      <c r="AO741" t="s">
        <v>27</v>
      </c>
      <c r="AP741">
        <v>111.133</v>
      </c>
      <c r="AQ741">
        <v>1.080821157758461</v>
      </c>
      <c r="AR741">
        <v>120.1148977251711</v>
      </c>
      <c r="AS741">
        <v>779.31</v>
      </c>
      <c r="AT741">
        <v>0.879</v>
      </c>
      <c r="AU741">
        <v>82.280325291712501</v>
      </c>
      <c r="AV741">
        <v>0.93269999999999997</v>
      </c>
      <c r="AW741" s="62">
        <v>76.742999999999995</v>
      </c>
      <c r="AX741">
        <v>8.9176000000000002</v>
      </c>
      <c r="AY741">
        <v>0.80400000000000005</v>
      </c>
      <c r="AZ741">
        <v>6039.0430235999738</v>
      </c>
      <c r="BA741">
        <v>1.016406890894175</v>
      </c>
      <c r="BB741" s="62">
        <v>6138.1248999999998</v>
      </c>
      <c r="BC741" s="60">
        <v>6632.9749880478057</v>
      </c>
    </row>
    <row r="742" spans="1:55" x14ac:dyDescent="0.25">
      <c r="A742">
        <v>252800</v>
      </c>
      <c r="B742" t="s">
        <v>244</v>
      </c>
      <c r="C742">
        <v>2020</v>
      </c>
      <c r="D742">
        <v>9</v>
      </c>
      <c r="E742" t="s">
        <v>100</v>
      </c>
      <c r="F742" t="s">
        <v>426</v>
      </c>
      <c r="G742" t="s">
        <v>84</v>
      </c>
      <c r="H742" t="s">
        <v>59</v>
      </c>
      <c r="I742" t="s">
        <v>427</v>
      </c>
      <c r="J742">
        <v>-17.390262679999999</v>
      </c>
      <c r="K742" t="s">
        <v>440</v>
      </c>
      <c r="L742" t="s">
        <v>451</v>
      </c>
      <c r="M742">
        <v>1.7625750762999999E-3</v>
      </c>
      <c r="N742">
        <v>3.065164357020414E-2</v>
      </c>
      <c r="O742">
        <v>47588.953000000001</v>
      </c>
      <c r="P742">
        <v>1.500949E-6</v>
      </c>
      <c r="Q742">
        <v>0.14285700000000001</v>
      </c>
      <c r="R742" s="60">
        <v>4.3788018455086534E-3</v>
      </c>
      <c r="S742" t="s">
        <v>347</v>
      </c>
      <c r="T742" t="s">
        <v>437</v>
      </c>
      <c r="U742" t="s">
        <v>425</v>
      </c>
      <c r="V742" t="s">
        <v>91</v>
      </c>
      <c r="W742">
        <v>111.133</v>
      </c>
      <c r="X742">
        <v>1.0541007448257309</v>
      </c>
      <c r="Y742">
        <v>117.145378074718</v>
      </c>
      <c r="Z742">
        <v>640.82000000000005</v>
      </c>
      <c r="AA742">
        <v>1</v>
      </c>
      <c r="AB742">
        <v>75.069101177840764</v>
      </c>
      <c r="AC742">
        <v>1.0088999999999999</v>
      </c>
      <c r="AD742" s="62">
        <v>75.736999999999995</v>
      </c>
      <c r="AE742">
        <v>8.9176000000000002</v>
      </c>
      <c r="AF742">
        <v>9.4000488020579382</v>
      </c>
      <c r="AG742">
        <v>1</v>
      </c>
      <c r="AH742">
        <v>6023.7392733347688</v>
      </c>
      <c r="AI742">
        <v>0.99316673174541203</v>
      </c>
      <c r="AJ742" s="62">
        <v>5982.5774000000001</v>
      </c>
      <c r="AK742" s="60">
        <v>26.196520960018361</v>
      </c>
      <c r="AL742" t="s">
        <v>349</v>
      </c>
      <c r="AM742" t="s">
        <v>439</v>
      </c>
      <c r="AN742" t="s">
        <v>425</v>
      </c>
      <c r="AO742" t="s">
        <v>91</v>
      </c>
      <c r="AP742">
        <v>111.133</v>
      </c>
      <c r="AQ742">
        <v>1.080821157758461</v>
      </c>
      <c r="AR742">
        <v>120.1148977251711</v>
      </c>
      <c r="AS742">
        <v>779.31</v>
      </c>
      <c r="AT742">
        <v>0.879</v>
      </c>
      <c r="AU742">
        <v>82.280325291712501</v>
      </c>
      <c r="AV742">
        <v>0.9899</v>
      </c>
      <c r="AW742" s="62">
        <v>81.448999999999998</v>
      </c>
      <c r="AX742">
        <v>8.9176000000000002</v>
      </c>
      <c r="AY742">
        <v>0.80400000000000005</v>
      </c>
      <c r="AZ742">
        <v>6039.0430235999738</v>
      </c>
      <c r="BA742">
        <v>0.99199531433033972</v>
      </c>
      <c r="BB742" s="62">
        <v>5990.7024000000001</v>
      </c>
      <c r="BC742" s="60">
        <v>26.23209872501311</v>
      </c>
    </row>
    <row r="743" spans="1:55" x14ac:dyDescent="0.25">
      <c r="A743">
        <v>252802</v>
      </c>
      <c r="B743" t="s">
        <v>244</v>
      </c>
      <c r="C743">
        <v>2020</v>
      </c>
      <c r="D743">
        <v>9</v>
      </c>
      <c r="E743" t="s">
        <v>100</v>
      </c>
      <c r="F743" t="s">
        <v>426</v>
      </c>
      <c r="G743" t="s">
        <v>84</v>
      </c>
      <c r="H743" t="s">
        <v>59</v>
      </c>
      <c r="I743" t="s">
        <v>427</v>
      </c>
      <c r="J743">
        <v>-17.390262679999999</v>
      </c>
      <c r="K743" t="s">
        <v>440</v>
      </c>
      <c r="L743" t="s">
        <v>452</v>
      </c>
      <c r="M743">
        <v>1.4858046103299999E-3</v>
      </c>
      <c r="N743">
        <v>2.5838532464900039E-2</v>
      </c>
      <c r="O743">
        <v>47588.953000000001</v>
      </c>
      <c r="P743">
        <v>1.500949E-6</v>
      </c>
      <c r="Q743">
        <v>0.14285700000000001</v>
      </c>
      <c r="R743" s="60">
        <v>3.6912152323382249E-3</v>
      </c>
      <c r="S743" t="s">
        <v>347</v>
      </c>
      <c r="T743" t="s">
        <v>437</v>
      </c>
      <c r="U743" t="s">
        <v>425</v>
      </c>
      <c r="V743" t="s">
        <v>28</v>
      </c>
      <c r="W743">
        <v>111.133</v>
      </c>
      <c r="X743">
        <v>1.0541007448257309</v>
      </c>
      <c r="Y743">
        <v>117.145378074718</v>
      </c>
      <c r="Z743">
        <v>640.82000000000005</v>
      </c>
      <c r="AA743">
        <v>1</v>
      </c>
      <c r="AB743">
        <v>75.069101177840764</v>
      </c>
      <c r="AC743">
        <v>1.0073000000000001</v>
      </c>
      <c r="AD743" s="62">
        <v>75.617000000000004</v>
      </c>
      <c r="AE743">
        <v>8.9176000000000002</v>
      </c>
      <c r="AF743">
        <v>9.4000488020579382</v>
      </c>
      <c r="AG743">
        <v>1</v>
      </c>
      <c r="AH743">
        <v>6023.7392733347688</v>
      </c>
      <c r="AI743">
        <v>0.99399488088206345</v>
      </c>
      <c r="AJ743" s="62">
        <v>5987.5659999999998</v>
      </c>
      <c r="AK743" s="60">
        <v>22.10139482383045</v>
      </c>
      <c r="AL743" t="s">
        <v>349</v>
      </c>
      <c r="AM743" t="s">
        <v>439</v>
      </c>
      <c r="AN743" t="s">
        <v>425</v>
      </c>
      <c r="AO743" t="s">
        <v>28</v>
      </c>
      <c r="AP743">
        <v>111.133</v>
      </c>
      <c r="AQ743">
        <v>1.080821157758461</v>
      </c>
      <c r="AR743">
        <v>120.1148977251711</v>
      </c>
      <c r="AS743">
        <v>779.31</v>
      </c>
      <c r="AT743">
        <v>0.879</v>
      </c>
      <c r="AU743">
        <v>82.280325291712501</v>
      </c>
      <c r="AV743">
        <v>0.96379999999999999</v>
      </c>
      <c r="AW743" s="62">
        <v>79.302000000000007</v>
      </c>
      <c r="AX743">
        <v>8.9176000000000002</v>
      </c>
      <c r="AY743">
        <v>0.80400000000000005</v>
      </c>
      <c r="AZ743">
        <v>6039.0430235999738</v>
      </c>
      <c r="BA743">
        <v>0.93699547154951757</v>
      </c>
      <c r="BB743" s="62">
        <v>5658.5559999999996</v>
      </c>
      <c r="BC743" s="60">
        <v>20.88694810023885</v>
      </c>
    </row>
    <row r="744" spans="1:55" x14ac:dyDescent="0.25">
      <c r="A744">
        <v>260021</v>
      </c>
      <c r="B744" t="s">
        <v>453</v>
      </c>
      <c r="C744">
        <v>2020</v>
      </c>
      <c r="D744">
        <v>10</v>
      </c>
      <c r="E744" t="s">
        <v>100</v>
      </c>
      <c r="F744" t="s">
        <v>426</v>
      </c>
      <c r="G744" t="s">
        <v>84</v>
      </c>
      <c r="H744" t="s">
        <v>381</v>
      </c>
      <c r="I744" t="s">
        <v>427</v>
      </c>
      <c r="J744">
        <v>-32.004116019999998</v>
      </c>
      <c r="K744" t="s">
        <v>440</v>
      </c>
      <c r="L744" t="s">
        <v>450</v>
      </c>
      <c r="M744">
        <v>0.15011157993331001</v>
      </c>
      <c r="N744">
        <v>4.8041884206151462</v>
      </c>
      <c r="O744">
        <v>47588.953000000001</v>
      </c>
      <c r="P744">
        <v>1.500949E-6</v>
      </c>
      <c r="Q744">
        <v>0.14285700000000001</v>
      </c>
      <c r="R744" s="60">
        <v>0.686311945203818</v>
      </c>
      <c r="S744" t="s">
        <v>348</v>
      </c>
      <c r="T744" t="s">
        <v>438</v>
      </c>
      <c r="U744" t="s">
        <v>425</v>
      </c>
      <c r="V744" t="s">
        <v>26</v>
      </c>
      <c r="W744">
        <v>111.133</v>
      </c>
      <c r="X744">
        <v>1.0727760310708341</v>
      </c>
      <c r="Y744">
        <v>119.22081866099499</v>
      </c>
      <c r="Z744">
        <v>694.38</v>
      </c>
      <c r="AA744">
        <v>0.875</v>
      </c>
      <c r="AB744">
        <v>72.436483054094012</v>
      </c>
      <c r="AC744">
        <v>0.98270000000000002</v>
      </c>
      <c r="AD744" s="62">
        <v>71.183000000000007</v>
      </c>
      <c r="AE744">
        <v>8.9176000000000002</v>
      </c>
      <c r="AF744">
        <v>9.5665875346772715</v>
      </c>
      <c r="AG744">
        <v>0.91300000000000003</v>
      </c>
      <c r="AH744">
        <v>6064.9193587765631</v>
      </c>
      <c r="AI744">
        <v>0.99365142346989388</v>
      </c>
      <c r="AJ744" s="62">
        <v>6026.4157999999998</v>
      </c>
      <c r="AK744" s="60">
        <v>4136.0011503050227</v>
      </c>
      <c r="AL744" t="s">
        <v>349</v>
      </c>
      <c r="AM744" t="s">
        <v>439</v>
      </c>
      <c r="AN744" t="s">
        <v>425</v>
      </c>
      <c r="AO744" t="s">
        <v>26</v>
      </c>
      <c r="AP744">
        <v>111.133</v>
      </c>
      <c r="AQ744">
        <v>1.080821157758461</v>
      </c>
      <c r="AR744">
        <v>120.1148977251711</v>
      </c>
      <c r="AS744">
        <v>779.31</v>
      </c>
      <c r="AT744">
        <v>0.879</v>
      </c>
      <c r="AU744">
        <v>82.280325291712501</v>
      </c>
      <c r="AV744">
        <v>0.97599999999999998</v>
      </c>
      <c r="AW744" s="62">
        <v>80.305999999999997</v>
      </c>
      <c r="AX744">
        <v>8.9176000000000002</v>
      </c>
      <c r="AY744">
        <v>0.80400000000000005</v>
      </c>
      <c r="AZ744">
        <v>6039.0430235999738</v>
      </c>
      <c r="BA744">
        <v>0.99553615712726917</v>
      </c>
      <c r="BB744" s="62">
        <v>6012.0856999999996</v>
      </c>
      <c r="BC744" s="60">
        <v>4126.1662314990572</v>
      </c>
    </row>
    <row r="745" spans="1:55" x14ac:dyDescent="0.25">
      <c r="A745">
        <v>260023</v>
      </c>
      <c r="B745" t="s">
        <v>453</v>
      </c>
      <c r="C745">
        <v>2020</v>
      </c>
      <c r="D745">
        <v>10</v>
      </c>
      <c r="E745" t="s">
        <v>100</v>
      </c>
      <c r="F745" t="s">
        <v>426</v>
      </c>
      <c r="G745" t="s">
        <v>84</v>
      </c>
      <c r="H745" t="s">
        <v>381</v>
      </c>
      <c r="I745" t="s">
        <v>427</v>
      </c>
      <c r="J745">
        <v>-32.004116019999998</v>
      </c>
      <c r="K745" t="s">
        <v>440</v>
      </c>
      <c r="L745" t="s">
        <v>384</v>
      </c>
      <c r="M745">
        <v>4.5811354346740003E-2</v>
      </c>
      <c r="N745">
        <v>1.466151899694103</v>
      </c>
      <c r="O745">
        <v>47588.953000000001</v>
      </c>
      <c r="P745">
        <v>1.500949E-6</v>
      </c>
      <c r="Q745">
        <v>0.14285700000000001</v>
      </c>
      <c r="R745" s="60">
        <v>0.2094500619346005</v>
      </c>
      <c r="S745" t="s">
        <v>348</v>
      </c>
      <c r="T745" t="s">
        <v>438</v>
      </c>
      <c r="U745" t="s">
        <v>425</v>
      </c>
      <c r="V745" t="s">
        <v>81</v>
      </c>
      <c r="W745">
        <v>111.133</v>
      </c>
      <c r="X745">
        <v>1.0727760310708341</v>
      </c>
      <c r="Y745">
        <v>119.22081866099499</v>
      </c>
      <c r="Z745">
        <v>694.38</v>
      </c>
      <c r="AA745">
        <v>0.875</v>
      </c>
      <c r="AB745">
        <v>72.436483054094012</v>
      </c>
      <c r="AC745">
        <v>0.93500000000000005</v>
      </c>
      <c r="AD745" s="62">
        <v>67.727999999999994</v>
      </c>
      <c r="AE745">
        <v>8.9176000000000002</v>
      </c>
      <c r="AF745">
        <v>9.5665875346772715</v>
      </c>
      <c r="AG745">
        <v>0.91300000000000003</v>
      </c>
      <c r="AH745">
        <v>6064.9193587765631</v>
      </c>
      <c r="AI745">
        <v>1.096171586715867</v>
      </c>
      <c r="AJ745" s="62">
        <v>6648.1922999999997</v>
      </c>
      <c r="AK745" s="60">
        <v>1392.4642889881341</v>
      </c>
      <c r="AL745" t="s">
        <v>349</v>
      </c>
      <c r="AM745" t="s">
        <v>439</v>
      </c>
      <c r="AN745" t="s">
        <v>425</v>
      </c>
      <c r="AO745" t="s">
        <v>81</v>
      </c>
      <c r="AP745">
        <v>111.133</v>
      </c>
      <c r="AQ745">
        <v>1.080821157758461</v>
      </c>
      <c r="AR745">
        <v>120.1148977251711</v>
      </c>
      <c r="AS745">
        <v>779.31</v>
      </c>
      <c r="AT745">
        <v>0.879</v>
      </c>
      <c r="AU745">
        <v>82.280325291712501</v>
      </c>
      <c r="AV745">
        <v>0.93120000000000003</v>
      </c>
      <c r="AW745" s="62">
        <v>76.619</v>
      </c>
      <c r="AX745">
        <v>8.9176000000000002</v>
      </c>
      <c r="AY745">
        <v>0.80400000000000005</v>
      </c>
      <c r="AZ745">
        <v>6039.0430235999738</v>
      </c>
      <c r="BA745">
        <v>1.1187730627306269</v>
      </c>
      <c r="BB745" s="62">
        <v>6756.3186999999998</v>
      </c>
      <c r="BC745" s="60">
        <v>1415.111370164899</v>
      </c>
    </row>
    <row r="746" spans="1:55" x14ac:dyDescent="0.25">
      <c r="A746">
        <v>260025</v>
      </c>
      <c r="B746" t="s">
        <v>453</v>
      </c>
      <c r="C746">
        <v>2020</v>
      </c>
      <c r="D746">
        <v>10</v>
      </c>
      <c r="E746" t="s">
        <v>100</v>
      </c>
      <c r="F746" t="s">
        <v>426</v>
      </c>
      <c r="G746" t="s">
        <v>84</v>
      </c>
      <c r="H746" t="s">
        <v>381</v>
      </c>
      <c r="I746" t="s">
        <v>427</v>
      </c>
      <c r="J746">
        <v>-32.004116019999998</v>
      </c>
      <c r="K746" t="s">
        <v>440</v>
      </c>
      <c r="L746" t="s">
        <v>385</v>
      </c>
      <c r="M746">
        <v>0.43232641346992001</v>
      </c>
      <c r="N746">
        <v>13.836224696595711</v>
      </c>
      <c r="O746">
        <v>47588.953000000001</v>
      </c>
      <c r="P746">
        <v>1.500949E-6</v>
      </c>
      <c r="Q746">
        <v>0.14285700000000001</v>
      </c>
      <c r="R746" s="60">
        <v>1.976601551481574</v>
      </c>
      <c r="S746" t="s">
        <v>348</v>
      </c>
      <c r="T746" t="s">
        <v>438</v>
      </c>
      <c r="U746" t="s">
        <v>425</v>
      </c>
      <c r="V746" t="s">
        <v>27</v>
      </c>
      <c r="W746">
        <v>111.133</v>
      </c>
      <c r="X746">
        <v>1.0727760310708341</v>
      </c>
      <c r="Y746">
        <v>119.22081866099499</v>
      </c>
      <c r="Z746">
        <v>694.38</v>
      </c>
      <c r="AA746">
        <v>0.875</v>
      </c>
      <c r="AB746">
        <v>72.436483054094012</v>
      </c>
      <c r="AC746">
        <v>0.95369999999999999</v>
      </c>
      <c r="AD746" s="62">
        <v>69.082999999999998</v>
      </c>
      <c r="AE746">
        <v>8.9176000000000002</v>
      </c>
      <c r="AF746">
        <v>9.5665875346772715</v>
      </c>
      <c r="AG746">
        <v>0.91300000000000003</v>
      </c>
      <c r="AH746">
        <v>6064.9193587765631</v>
      </c>
      <c r="AI746">
        <v>1.007895816242822</v>
      </c>
      <c r="AJ746" s="62">
        <v>6112.8068000000003</v>
      </c>
      <c r="AK746" s="60">
        <v>12082.583404787119</v>
      </c>
      <c r="AL746" t="s">
        <v>349</v>
      </c>
      <c r="AM746" t="s">
        <v>439</v>
      </c>
      <c r="AN746" t="s">
        <v>425</v>
      </c>
      <c r="AO746" t="s">
        <v>27</v>
      </c>
      <c r="AP746">
        <v>111.133</v>
      </c>
      <c r="AQ746">
        <v>1.080821157758461</v>
      </c>
      <c r="AR746">
        <v>120.1148977251711</v>
      </c>
      <c r="AS746">
        <v>779.31</v>
      </c>
      <c r="AT746">
        <v>0.879</v>
      </c>
      <c r="AU746">
        <v>82.280325291712501</v>
      </c>
      <c r="AV746">
        <v>0.93269999999999997</v>
      </c>
      <c r="AW746" s="62">
        <v>76.742999999999995</v>
      </c>
      <c r="AX746">
        <v>8.9176000000000002</v>
      </c>
      <c r="AY746">
        <v>0.80400000000000005</v>
      </c>
      <c r="AZ746">
        <v>6039.0430235999738</v>
      </c>
      <c r="BA746">
        <v>1.016406890894175</v>
      </c>
      <c r="BB746" s="62">
        <v>6138.1248999999998</v>
      </c>
      <c r="BC746" s="60">
        <v>12132.627200527681</v>
      </c>
    </row>
    <row r="747" spans="1:55" x14ac:dyDescent="0.25">
      <c r="A747">
        <v>260027</v>
      </c>
      <c r="B747" t="s">
        <v>453</v>
      </c>
      <c r="C747">
        <v>2020</v>
      </c>
      <c r="D747">
        <v>10</v>
      </c>
      <c r="E747" t="s">
        <v>100</v>
      </c>
      <c r="F747" t="s">
        <v>426</v>
      </c>
      <c r="G747" t="s">
        <v>84</v>
      </c>
      <c r="H747" t="s">
        <v>381</v>
      </c>
      <c r="I747" t="s">
        <v>427</v>
      </c>
      <c r="J747">
        <v>-32.004116019999998</v>
      </c>
      <c r="K747" t="s">
        <v>440</v>
      </c>
      <c r="L747" t="s">
        <v>451</v>
      </c>
      <c r="M747">
        <v>1.6825115802299999E-3</v>
      </c>
      <c r="N747">
        <v>5.3847295824099202E-2</v>
      </c>
      <c r="O747">
        <v>47588.953000000001</v>
      </c>
      <c r="P747">
        <v>1.500949E-6</v>
      </c>
      <c r="Q747">
        <v>0.14285700000000001</v>
      </c>
      <c r="R747" s="60">
        <v>7.6924631395433396E-3</v>
      </c>
      <c r="S747" t="s">
        <v>348</v>
      </c>
      <c r="T747" t="s">
        <v>438</v>
      </c>
      <c r="U747" t="s">
        <v>425</v>
      </c>
      <c r="V747" t="s">
        <v>91</v>
      </c>
      <c r="W747">
        <v>111.133</v>
      </c>
      <c r="X747">
        <v>1.0727760310708341</v>
      </c>
      <c r="Y747">
        <v>119.22081866099499</v>
      </c>
      <c r="Z747">
        <v>694.38</v>
      </c>
      <c r="AA747">
        <v>0.875</v>
      </c>
      <c r="AB747">
        <v>72.436483054094012</v>
      </c>
      <c r="AC747">
        <v>1.0179</v>
      </c>
      <c r="AD747" s="62">
        <v>73.733000000000004</v>
      </c>
      <c r="AE747">
        <v>8.9176000000000002</v>
      </c>
      <c r="AF747">
        <v>9.5665875346772715</v>
      </c>
      <c r="AG747">
        <v>0.91300000000000003</v>
      </c>
      <c r="AH747">
        <v>6064.9193587765631</v>
      </c>
      <c r="AI747">
        <v>0.98975009761811794</v>
      </c>
      <c r="AJ747" s="62">
        <v>6002.7545</v>
      </c>
      <c r="AK747" s="60">
        <v>46.175967726977909</v>
      </c>
      <c r="AL747" t="s">
        <v>349</v>
      </c>
      <c r="AM747" t="s">
        <v>439</v>
      </c>
      <c r="AN747" t="s">
        <v>425</v>
      </c>
      <c r="AO747" t="s">
        <v>91</v>
      </c>
      <c r="AP747">
        <v>111.133</v>
      </c>
      <c r="AQ747">
        <v>1.080821157758461</v>
      </c>
      <c r="AR747">
        <v>120.1148977251711</v>
      </c>
      <c r="AS747">
        <v>779.31</v>
      </c>
      <c r="AT747">
        <v>0.879</v>
      </c>
      <c r="AU747">
        <v>82.280325291712501</v>
      </c>
      <c r="AV747">
        <v>0.9899</v>
      </c>
      <c r="AW747" s="62">
        <v>81.448999999999998</v>
      </c>
      <c r="AX747">
        <v>8.9176000000000002</v>
      </c>
      <c r="AY747">
        <v>0.80400000000000005</v>
      </c>
      <c r="AZ747">
        <v>6039.0430235999738</v>
      </c>
      <c r="BA747">
        <v>0.99199531433033972</v>
      </c>
      <c r="BB747" s="62">
        <v>5990.7024000000001</v>
      </c>
      <c r="BC747" s="60">
        <v>46.083257391973817</v>
      </c>
    </row>
    <row r="748" spans="1:55" x14ac:dyDescent="0.25">
      <c r="A748">
        <v>260029</v>
      </c>
      <c r="B748" t="s">
        <v>453</v>
      </c>
      <c r="C748">
        <v>2020</v>
      </c>
      <c r="D748">
        <v>10</v>
      </c>
      <c r="E748" t="s">
        <v>100</v>
      </c>
      <c r="F748" t="s">
        <v>426</v>
      </c>
      <c r="G748" t="s">
        <v>84</v>
      </c>
      <c r="H748" t="s">
        <v>381</v>
      </c>
      <c r="I748" t="s">
        <v>427</v>
      </c>
      <c r="J748">
        <v>-32.004116019999998</v>
      </c>
      <c r="K748" t="s">
        <v>440</v>
      </c>
      <c r="L748" t="s">
        <v>452</v>
      </c>
      <c r="M748">
        <v>1.53682162831E-3</v>
      </c>
      <c r="N748">
        <v>4.9184617699433567E-2</v>
      </c>
      <c r="O748">
        <v>47588.953000000001</v>
      </c>
      <c r="P748">
        <v>1.500949E-6</v>
      </c>
      <c r="Q748">
        <v>0.14285700000000001</v>
      </c>
      <c r="R748" s="60">
        <v>7.0263669306879816E-3</v>
      </c>
      <c r="S748" t="s">
        <v>348</v>
      </c>
      <c r="T748" t="s">
        <v>438</v>
      </c>
      <c r="U748" t="s">
        <v>425</v>
      </c>
      <c r="V748" t="s">
        <v>28</v>
      </c>
      <c r="W748">
        <v>111.133</v>
      </c>
      <c r="X748">
        <v>1.0727760310708341</v>
      </c>
      <c r="Y748">
        <v>119.22081866099499</v>
      </c>
      <c r="Z748">
        <v>694.38</v>
      </c>
      <c r="AA748">
        <v>0.875</v>
      </c>
      <c r="AB748">
        <v>72.436483054094012</v>
      </c>
      <c r="AC748">
        <v>0.99250000000000005</v>
      </c>
      <c r="AD748" s="62">
        <v>71.893000000000001</v>
      </c>
      <c r="AE748">
        <v>8.9176000000000002</v>
      </c>
      <c r="AF748">
        <v>9.5665875346772715</v>
      </c>
      <c r="AG748">
        <v>0.91300000000000003</v>
      </c>
      <c r="AH748">
        <v>6064.9193587765631</v>
      </c>
      <c r="AI748">
        <v>0.93847214018507585</v>
      </c>
      <c r="AJ748" s="62">
        <v>5691.7578999999996</v>
      </c>
      <c r="AK748" s="60">
        <v>39.992379486042068</v>
      </c>
      <c r="AL748" t="s">
        <v>349</v>
      </c>
      <c r="AM748" t="s">
        <v>439</v>
      </c>
      <c r="AN748" t="s">
        <v>425</v>
      </c>
      <c r="AO748" t="s">
        <v>28</v>
      </c>
      <c r="AP748">
        <v>111.133</v>
      </c>
      <c r="AQ748">
        <v>1.080821157758461</v>
      </c>
      <c r="AR748">
        <v>120.1148977251711</v>
      </c>
      <c r="AS748">
        <v>779.31</v>
      </c>
      <c r="AT748">
        <v>0.879</v>
      </c>
      <c r="AU748">
        <v>82.280325291712501</v>
      </c>
      <c r="AV748">
        <v>0.96379999999999999</v>
      </c>
      <c r="AW748" s="62">
        <v>79.302000000000007</v>
      </c>
      <c r="AX748">
        <v>8.9176000000000002</v>
      </c>
      <c r="AY748">
        <v>0.80400000000000005</v>
      </c>
      <c r="AZ748">
        <v>6039.0430235999738</v>
      </c>
      <c r="BA748">
        <v>0.93699547154951757</v>
      </c>
      <c r="BB748" s="62">
        <v>5658.5559999999996</v>
      </c>
      <c r="BC748" s="60">
        <v>39.75909075384606</v>
      </c>
    </row>
    <row r="749" spans="1:55" x14ac:dyDescent="0.25">
      <c r="A749">
        <v>260031</v>
      </c>
      <c r="B749" t="s">
        <v>453</v>
      </c>
      <c r="C749">
        <v>2020</v>
      </c>
      <c r="D749">
        <v>10</v>
      </c>
      <c r="E749" t="s">
        <v>100</v>
      </c>
      <c r="F749" t="s">
        <v>426</v>
      </c>
      <c r="G749" t="s">
        <v>84</v>
      </c>
      <c r="H749" t="s">
        <v>87</v>
      </c>
      <c r="I749" t="s">
        <v>427</v>
      </c>
      <c r="J749">
        <v>-5.8835884299999996</v>
      </c>
      <c r="K749" t="s">
        <v>440</v>
      </c>
      <c r="L749" t="s">
        <v>450</v>
      </c>
      <c r="M749">
        <v>0.26601384014995</v>
      </c>
      <c r="N749">
        <v>1.5651159516404789</v>
      </c>
      <c r="O749">
        <v>47588.953000000001</v>
      </c>
      <c r="P749">
        <v>1.500949E-6</v>
      </c>
      <c r="Q749">
        <v>0.14285700000000001</v>
      </c>
      <c r="R749" s="60">
        <v>0.22358776950350401</v>
      </c>
      <c r="S749" t="s">
        <v>348</v>
      </c>
      <c r="T749" t="s">
        <v>438</v>
      </c>
      <c r="U749" t="s">
        <v>425</v>
      </c>
      <c r="V749" t="s">
        <v>26</v>
      </c>
      <c r="W749">
        <v>111.133</v>
      </c>
      <c r="X749">
        <v>1.0727760310708341</v>
      </c>
      <c r="Y749">
        <v>119.22081866099499</v>
      </c>
      <c r="Z749">
        <v>694.38</v>
      </c>
      <c r="AA749">
        <v>0.875</v>
      </c>
      <c r="AB749">
        <v>72.436483054094012</v>
      </c>
      <c r="AC749">
        <v>0.98270000000000002</v>
      </c>
      <c r="AD749" s="62">
        <v>71.183000000000007</v>
      </c>
      <c r="AE749">
        <v>8.9176000000000002</v>
      </c>
      <c r="AF749">
        <v>9.5665875346772715</v>
      </c>
      <c r="AG749">
        <v>0.91300000000000003</v>
      </c>
      <c r="AH749">
        <v>6064.9193587765631</v>
      </c>
      <c r="AI749">
        <v>0.99365142346989388</v>
      </c>
      <c r="AJ749" s="62">
        <v>6026.4157999999998</v>
      </c>
      <c r="AK749" s="60">
        <v>1347.432866822674</v>
      </c>
      <c r="AL749" t="s">
        <v>349</v>
      </c>
      <c r="AM749" t="s">
        <v>439</v>
      </c>
      <c r="AN749" t="s">
        <v>425</v>
      </c>
      <c r="AO749" t="s">
        <v>26</v>
      </c>
      <c r="AP749">
        <v>111.133</v>
      </c>
      <c r="AQ749">
        <v>1.080821157758461</v>
      </c>
      <c r="AR749">
        <v>120.1148977251711</v>
      </c>
      <c r="AS749">
        <v>779.31</v>
      </c>
      <c r="AT749">
        <v>0.879</v>
      </c>
      <c r="AU749">
        <v>82.280325291712501</v>
      </c>
      <c r="AV749">
        <v>0.97599999999999998</v>
      </c>
      <c r="AW749" s="62">
        <v>80.305999999999997</v>
      </c>
      <c r="AX749">
        <v>8.9176000000000002</v>
      </c>
      <c r="AY749">
        <v>0.80400000000000005</v>
      </c>
      <c r="AZ749">
        <v>6039.0430235999738</v>
      </c>
      <c r="BA749">
        <v>0.99553615712726917</v>
      </c>
      <c r="BB749" s="62">
        <v>6012.0856999999996</v>
      </c>
      <c r="BC749" s="60">
        <v>1344.2288317269119</v>
      </c>
    </row>
    <row r="750" spans="1:55" x14ac:dyDescent="0.25">
      <c r="A750">
        <v>260033</v>
      </c>
      <c r="B750" t="s">
        <v>453</v>
      </c>
      <c r="C750">
        <v>2020</v>
      </c>
      <c r="D750">
        <v>10</v>
      </c>
      <c r="E750" t="s">
        <v>100</v>
      </c>
      <c r="F750" t="s">
        <v>426</v>
      </c>
      <c r="G750" t="s">
        <v>84</v>
      </c>
      <c r="H750" t="s">
        <v>87</v>
      </c>
      <c r="I750" t="s">
        <v>427</v>
      </c>
      <c r="J750">
        <v>-5.8835884299999996</v>
      </c>
      <c r="K750" t="s">
        <v>440</v>
      </c>
      <c r="L750" t="s">
        <v>384</v>
      </c>
      <c r="M750">
        <v>3.9509559941419997E-2</v>
      </c>
      <c r="N750">
        <v>0.2324579896736014</v>
      </c>
      <c r="O750">
        <v>47588.953000000001</v>
      </c>
      <c r="P750">
        <v>1.500949E-6</v>
      </c>
      <c r="Q750">
        <v>0.14285700000000001</v>
      </c>
      <c r="R750" s="60">
        <v>3.3208251030801668E-2</v>
      </c>
      <c r="S750" t="s">
        <v>348</v>
      </c>
      <c r="T750" t="s">
        <v>438</v>
      </c>
      <c r="U750" t="s">
        <v>425</v>
      </c>
      <c r="V750" t="s">
        <v>81</v>
      </c>
      <c r="W750">
        <v>111.133</v>
      </c>
      <c r="X750">
        <v>1.0727760310708341</v>
      </c>
      <c r="Y750">
        <v>119.22081866099499</v>
      </c>
      <c r="Z750">
        <v>694.38</v>
      </c>
      <c r="AA750">
        <v>0.875</v>
      </c>
      <c r="AB750">
        <v>72.436483054094012</v>
      </c>
      <c r="AC750">
        <v>0.93500000000000005</v>
      </c>
      <c r="AD750" s="62">
        <v>67.727999999999994</v>
      </c>
      <c r="AE750">
        <v>8.9176000000000002</v>
      </c>
      <c r="AF750">
        <v>9.5665875346772715</v>
      </c>
      <c r="AG750">
        <v>0.91300000000000003</v>
      </c>
      <c r="AH750">
        <v>6064.9193587765631</v>
      </c>
      <c r="AI750">
        <v>1.096171586715867</v>
      </c>
      <c r="AJ750" s="62">
        <v>6648.1922999999997</v>
      </c>
      <c r="AK750" s="60">
        <v>220.77483879944279</v>
      </c>
      <c r="AL750" t="s">
        <v>349</v>
      </c>
      <c r="AM750" t="s">
        <v>439</v>
      </c>
      <c r="AN750" t="s">
        <v>425</v>
      </c>
      <c r="AO750" t="s">
        <v>81</v>
      </c>
      <c r="AP750">
        <v>111.133</v>
      </c>
      <c r="AQ750">
        <v>1.080821157758461</v>
      </c>
      <c r="AR750">
        <v>120.1148977251711</v>
      </c>
      <c r="AS750">
        <v>779.31</v>
      </c>
      <c r="AT750">
        <v>0.879</v>
      </c>
      <c r="AU750">
        <v>82.280325291712501</v>
      </c>
      <c r="AV750">
        <v>0.93120000000000003</v>
      </c>
      <c r="AW750" s="62">
        <v>76.619</v>
      </c>
      <c r="AX750">
        <v>8.9176000000000002</v>
      </c>
      <c r="AY750">
        <v>0.80400000000000005</v>
      </c>
      <c r="AZ750">
        <v>6039.0430235999738</v>
      </c>
      <c r="BA750">
        <v>1.1187730627306269</v>
      </c>
      <c r="BB750" s="62">
        <v>6756.3186999999998</v>
      </c>
      <c r="BC750" s="60">
        <v>224.36552743369961</v>
      </c>
    </row>
    <row r="751" spans="1:55" x14ac:dyDescent="0.25">
      <c r="A751">
        <v>260035</v>
      </c>
      <c r="B751" t="s">
        <v>453</v>
      </c>
      <c r="C751">
        <v>2020</v>
      </c>
      <c r="D751">
        <v>10</v>
      </c>
      <c r="E751" t="s">
        <v>100</v>
      </c>
      <c r="F751" t="s">
        <v>426</v>
      </c>
      <c r="G751" t="s">
        <v>84</v>
      </c>
      <c r="H751" t="s">
        <v>87</v>
      </c>
      <c r="I751" t="s">
        <v>427</v>
      </c>
      <c r="J751">
        <v>-5.8835884299999996</v>
      </c>
      <c r="K751" t="s">
        <v>440</v>
      </c>
      <c r="L751" t="s">
        <v>385</v>
      </c>
      <c r="M751">
        <v>0.39737542925016001</v>
      </c>
      <c r="N751">
        <v>2.3379934771770752</v>
      </c>
      <c r="O751">
        <v>47588.953000000001</v>
      </c>
      <c r="P751">
        <v>1.500949E-6</v>
      </c>
      <c r="Q751">
        <v>0.14285700000000001</v>
      </c>
      <c r="R751" s="60">
        <v>0.33399873416908538</v>
      </c>
      <c r="S751" t="s">
        <v>348</v>
      </c>
      <c r="T751" t="s">
        <v>438</v>
      </c>
      <c r="U751" t="s">
        <v>425</v>
      </c>
      <c r="V751" t="s">
        <v>27</v>
      </c>
      <c r="W751">
        <v>111.133</v>
      </c>
      <c r="X751">
        <v>1.0727760310708341</v>
      </c>
      <c r="Y751">
        <v>119.22081866099499</v>
      </c>
      <c r="Z751">
        <v>694.38</v>
      </c>
      <c r="AA751">
        <v>0.875</v>
      </c>
      <c r="AB751">
        <v>72.436483054094012</v>
      </c>
      <c r="AC751">
        <v>0.95369999999999999</v>
      </c>
      <c r="AD751" s="62">
        <v>69.082999999999998</v>
      </c>
      <c r="AE751">
        <v>8.9176000000000002</v>
      </c>
      <c r="AF751">
        <v>9.5665875346772715</v>
      </c>
      <c r="AG751">
        <v>0.91300000000000003</v>
      </c>
      <c r="AH751">
        <v>6064.9193587765631</v>
      </c>
      <c r="AI751">
        <v>1.007895816242822</v>
      </c>
      <c r="AJ751" s="62">
        <v>6112.8068000000003</v>
      </c>
      <c r="AK751" s="60">
        <v>2041.6697334201781</v>
      </c>
      <c r="AL751" t="s">
        <v>349</v>
      </c>
      <c r="AM751" t="s">
        <v>439</v>
      </c>
      <c r="AN751" t="s">
        <v>425</v>
      </c>
      <c r="AO751" t="s">
        <v>27</v>
      </c>
      <c r="AP751">
        <v>111.133</v>
      </c>
      <c r="AQ751">
        <v>1.080821157758461</v>
      </c>
      <c r="AR751">
        <v>120.1148977251711</v>
      </c>
      <c r="AS751">
        <v>779.31</v>
      </c>
      <c r="AT751">
        <v>0.879</v>
      </c>
      <c r="AU751">
        <v>82.280325291712501</v>
      </c>
      <c r="AV751">
        <v>0.93269999999999997</v>
      </c>
      <c r="AW751" s="62">
        <v>76.742999999999995</v>
      </c>
      <c r="AX751">
        <v>8.9176000000000002</v>
      </c>
      <c r="AY751">
        <v>0.80400000000000005</v>
      </c>
      <c r="AZ751">
        <v>6039.0430235999738</v>
      </c>
      <c r="BA751">
        <v>1.016406890894175</v>
      </c>
      <c r="BB751" s="62">
        <v>6138.1248999999998</v>
      </c>
      <c r="BC751" s="60">
        <v>2050.1259467717441</v>
      </c>
    </row>
    <row r="752" spans="1:55" x14ac:dyDescent="0.25">
      <c r="A752">
        <v>260037</v>
      </c>
      <c r="B752" t="s">
        <v>453</v>
      </c>
      <c r="C752">
        <v>2020</v>
      </c>
      <c r="D752">
        <v>10</v>
      </c>
      <c r="E752" t="s">
        <v>100</v>
      </c>
      <c r="F752" t="s">
        <v>426</v>
      </c>
      <c r="G752" t="s">
        <v>84</v>
      </c>
      <c r="H752" t="s">
        <v>87</v>
      </c>
      <c r="I752" t="s">
        <v>427</v>
      </c>
      <c r="J752">
        <v>-5.8835884299999996</v>
      </c>
      <c r="K752" t="s">
        <v>440</v>
      </c>
      <c r="L752" t="s">
        <v>452</v>
      </c>
      <c r="M752">
        <v>8.4248020759000004E-4</v>
      </c>
      <c r="N752">
        <v>4.956806800342487E-3</v>
      </c>
      <c r="O752">
        <v>47588.953000000001</v>
      </c>
      <c r="P752">
        <v>1.500949E-6</v>
      </c>
      <c r="Q752">
        <v>0.14285700000000001</v>
      </c>
      <c r="R752" s="60">
        <v>7.0811454907652668E-4</v>
      </c>
      <c r="S752" t="s">
        <v>348</v>
      </c>
      <c r="T752" t="s">
        <v>438</v>
      </c>
      <c r="U752" t="s">
        <v>425</v>
      </c>
      <c r="V752" t="s">
        <v>28</v>
      </c>
      <c r="W752">
        <v>111.133</v>
      </c>
      <c r="X752">
        <v>1.0727760310708341</v>
      </c>
      <c r="Y752">
        <v>119.22081866099499</v>
      </c>
      <c r="Z752">
        <v>694.38</v>
      </c>
      <c r="AA752">
        <v>0.875</v>
      </c>
      <c r="AB752">
        <v>72.436483054094012</v>
      </c>
      <c r="AC752">
        <v>0.99250000000000005</v>
      </c>
      <c r="AD752" s="62">
        <v>71.893000000000001</v>
      </c>
      <c r="AE752">
        <v>8.9176000000000002</v>
      </c>
      <c r="AF752">
        <v>9.5665875346772715</v>
      </c>
      <c r="AG752">
        <v>0.91300000000000003</v>
      </c>
      <c r="AH752">
        <v>6064.9193587765631</v>
      </c>
      <c r="AI752">
        <v>0.93847214018507585</v>
      </c>
      <c r="AJ752" s="62">
        <v>5691.7578999999996</v>
      </c>
      <c r="AK752" s="60">
        <v>4.0304165788112583</v>
      </c>
      <c r="AL752" t="s">
        <v>349</v>
      </c>
      <c r="AM752" t="s">
        <v>439</v>
      </c>
      <c r="AN752" t="s">
        <v>425</v>
      </c>
      <c r="AO752" t="s">
        <v>28</v>
      </c>
      <c r="AP752">
        <v>111.133</v>
      </c>
      <c r="AQ752">
        <v>1.080821157758461</v>
      </c>
      <c r="AR752">
        <v>120.1148977251711</v>
      </c>
      <c r="AS752">
        <v>779.31</v>
      </c>
      <c r="AT752">
        <v>0.879</v>
      </c>
      <c r="AU752">
        <v>82.280325291712501</v>
      </c>
      <c r="AV752">
        <v>0.96379999999999999</v>
      </c>
      <c r="AW752" s="62">
        <v>79.302000000000007</v>
      </c>
      <c r="AX752">
        <v>8.9176000000000002</v>
      </c>
      <c r="AY752">
        <v>0.80400000000000005</v>
      </c>
      <c r="AZ752">
        <v>6039.0430235999738</v>
      </c>
      <c r="BA752">
        <v>0.93699547154951757</v>
      </c>
      <c r="BB752" s="62">
        <v>5658.5559999999996</v>
      </c>
      <c r="BC752" s="60">
        <v>4.0069058303642739</v>
      </c>
    </row>
    <row r="753" spans="1:55" x14ac:dyDescent="0.25">
      <c r="A753">
        <v>260039</v>
      </c>
      <c r="B753" t="s">
        <v>453</v>
      </c>
      <c r="C753">
        <v>2020</v>
      </c>
      <c r="D753">
        <v>10</v>
      </c>
      <c r="E753" t="s">
        <v>100</v>
      </c>
      <c r="F753" t="s">
        <v>426</v>
      </c>
      <c r="G753" t="s">
        <v>84</v>
      </c>
      <c r="H753" t="s">
        <v>59</v>
      </c>
      <c r="I753" t="s">
        <v>427</v>
      </c>
      <c r="J753">
        <v>-17.390262679999999</v>
      </c>
      <c r="K753" t="s">
        <v>440</v>
      </c>
      <c r="L753" t="s">
        <v>450</v>
      </c>
      <c r="M753">
        <v>0.15931709696460999</v>
      </c>
      <c r="N753">
        <v>2.7705661656409961</v>
      </c>
      <c r="O753">
        <v>47588.953000000001</v>
      </c>
      <c r="P753">
        <v>1.500949E-6</v>
      </c>
      <c r="Q753">
        <v>0.14285700000000001</v>
      </c>
      <c r="R753" s="60">
        <v>0.39579477072497582</v>
      </c>
      <c r="S753" t="s">
        <v>348</v>
      </c>
      <c r="T753" t="s">
        <v>438</v>
      </c>
      <c r="U753" t="s">
        <v>425</v>
      </c>
      <c r="V753" t="s">
        <v>26</v>
      </c>
      <c r="W753">
        <v>111.133</v>
      </c>
      <c r="X753">
        <v>1.0727760310708341</v>
      </c>
      <c r="Y753">
        <v>119.22081866099499</v>
      </c>
      <c r="Z753">
        <v>694.38</v>
      </c>
      <c r="AA753">
        <v>0.875</v>
      </c>
      <c r="AB753">
        <v>72.436483054094012</v>
      </c>
      <c r="AC753">
        <v>0.98270000000000002</v>
      </c>
      <c r="AD753" s="62">
        <v>71.183000000000007</v>
      </c>
      <c r="AE753">
        <v>8.9176000000000002</v>
      </c>
      <c r="AF753">
        <v>9.5665875346772715</v>
      </c>
      <c r="AG753">
        <v>0.91300000000000003</v>
      </c>
      <c r="AH753">
        <v>6064.9193587765631</v>
      </c>
      <c r="AI753">
        <v>0.99365142346989388</v>
      </c>
      <c r="AJ753" s="62">
        <v>6026.4157999999998</v>
      </c>
      <c r="AK753" s="60">
        <v>2385.2238598543709</v>
      </c>
      <c r="AL753" t="s">
        <v>349</v>
      </c>
      <c r="AM753" t="s">
        <v>439</v>
      </c>
      <c r="AN753" t="s">
        <v>425</v>
      </c>
      <c r="AO753" t="s">
        <v>26</v>
      </c>
      <c r="AP753">
        <v>111.133</v>
      </c>
      <c r="AQ753">
        <v>1.080821157758461</v>
      </c>
      <c r="AR753">
        <v>120.1148977251711</v>
      </c>
      <c r="AS753">
        <v>779.31</v>
      </c>
      <c r="AT753">
        <v>0.879</v>
      </c>
      <c r="AU753">
        <v>82.280325291712501</v>
      </c>
      <c r="AV753">
        <v>0.97599999999999998</v>
      </c>
      <c r="AW753" s="62">
        <v>80.305999999999997</v>
      </c>
      <c r="AX753">
        <v>8.9176000000000002</v>
      </c>
      <c r="AY753">
        <v>0.80400000000000005</v>
      </c>
      <c r="AZ753">
        <v>6039.0430235999738</v>
      </c>
      <c r="BA753">
        <v>0.99553615712726917</v>
      </c>
      <c r="BB753" s="62">
        <v>6012.0856999999996</v>
      </c>
      <c r="BC753" s="60">
        <v>2379.552081210406</v>
      </c>
    </row>
    <row r="754" spans="1:55" x14ac:dyDescent="0.25">
      <c r="A754">
        <v>260041</v>
      </c>
      <c r="B754" t="s">
        <v>453</v>
      </c>
      <c r="C754">
        <v>2020</v>
      </c>
      <c r="D754">
        <v>10</v>
      </c>
      <c r="E754" t="s">
        <v>100</v>
      </c>
      <c r="F754" t="s">
        <v>426</v>
      </c>
      <c r="G754" t="s">
        <v>84</v>
      </c>
      <c r="H754" t="s">
        <v>59</v>
      </c>
      <c r="I754" t="s">
        <v>427</v>
      </c>
      <c r="J754">
        <v>-17.390262679999999</v>
      </c>
      <c r="K754" t="s">
        <v>440</v>
      </c>
      <c r="L754" t="s">
        <v>384</v>
      </c>
      <c r="M754">
        <v>4.1785183859599999E-2</v>
      </c>
      <c r="N754">
        <v>0.72665532345352934</v>
      </c>
      <c r="O754">
        <v>47588.953000000001</v>
      </c>
      <c r="P754">
        <v>1.500949E-6</v>
      </c>
      <c r="Q754">
        <v>0.14285700000000001</v>
      </c>
      <c r="R754" s="60">
        <v>0.1038077995426008</v>
      </c>
      <c r="S754" t="s">
        <v>348</v>
      </c>
      <c r="T754" t="s">
        <v>438</v>
      </c>
      <c r="U754" t="s">
        <v>425</v>
      </c>
      <c r="V754" t="s">
        <v>81</v>
      </c>
      <c r="W754">
        <v>111.133</v>
      </c>
      <c r="X754">
        <v>1.0727760310708341</v>
      </c>
      <c r="Y754">
        <v>119.22081866099499</v>
      </c>
      <c r="Z754">
        <v>694.38</v>
      </c>
      <c r="AA754">
        <v>0.875</v>
      </c>
      <c r="AB754">
        <v>72.436483054094012</v>
      </c>
      <c r="AC754">
        <v>0.93500000000000005</v>
      </c>
      <c r="AD754" s="62">
        <v>67.727999999999994</v>
      </c>
      <c r="AE754">
        <v>8.9176000000000002</v>
      </c>
      <c r="AF754">
        <v>9.5665875346772715</v>
      </c>
      <c r="AG754">
        <v>0.91300000000000003</v>
      </c>
      <c r="AH754">
        <v>6064.9193587765631</v>
      </c>
      <c r="AI754">
        <v>1.096171586715867</v>
      </c>
      <c r="AJ754" s="62">
        <v>6648.1922999999997</v>
      </c>
      <c r="AK754" s="60">
        <v>690.13421359906238</v>
      </c>
      <c r="AL754" t="s">
        <v>349</v>
      </c>
      <c r="AM754" t="s">
        <v>439</v>
      </c>
      <c r="AN754" t="s">
        <v>425</v>
      </c>
      <c r="AO754" t="s">
        <v>81</v>
      </c>
      <c r="AP754">
        <v>111.133</v>
      </c>
      <c r="AQ754">
        <v>1.080821157758461</v>
      </c>
      <c r="AR754">
        <v>120.1148977251711</v>
      </c>
      <c r="AS754">
        <v>779.31</v>
      </c>
      <c r="AT754">
        <v>0.879</v>
      </c>
      <c r="AU754">
        <v>82.280325291712501</v>
      </c>
      <c r="AV754">
        <v>0.93120000000000003</v>
      </c>
      <c r="AW754" s="62">
        <v>76.619</v>
      </c>
      <c r="AX754">
        <v>8.9176000000000002</v>
      </c>
      <c r="AY754">
        <v>0.80400000000000005</v>
      </c>
      <c r="AZ754">
        <v>6039.0430235999738</v>
      </c>
      <c r="BA754">
        <v>1.1187730627306269</v>
      </c>
      <c r="BB754" s="62">
        <v>6756.3186999999998</v>
      </c>
      <c r="BC754" s="60">
        <v>701.35857725552557</v>
      </c>
    </row>
    <row r="755" spans="1:55" x14ac:dyDescent="0.25">
      <c r="A755">
        <v>260043</v>
      </c>
      <c r="B755" t="s">
        <v>453</v>
      </c>
      <c r="C755">
        <v>2020</v>
      </c>
      <c r="D755">
        <v>10</v>
      </c>
      <c r="E755" t="s">
        <v>100</v>
      </c>
      <c r="F755" t="s">
        <v>426</v>
      </c>
      <c r="G755" t="s">
        <v>84</v>
      </c>
      <c r="H755" t="s">
        <v>59</v>
      </c>
      <c r="I755" t="s">
        <v>427</v>
      </c>
      <c r="J755">
        <v>-17.390262679999999</v>
      </c>
      <c r="K755" t="s">
        <v>440</v>
      </c>
      <c r="L755" t="s">
        <v>385</v>
      </c>
      <c r="M755">
        <v>0.43497567483749999</v>
      </c>
      <c r="N755">
        <v>7.5643412448655081</v>
      </c>
      <c r="O755">
        <v>47588.953000000001</v>
      </c>
      <c r="P755">
        <v>1.500949E-6</v>
      </c>
      <c r="Q755">
        <v>0.14285700000000001</v>
      </c>
      <c r="R755" s="60">
        <v>1.0806190972177521</v>
      </c>
      <c r="S755" t="s">
        <v>348</v>
      </c>
      <c r="T755" t="s">
        <v>438</v>
      </c>
      <c r="U755" t="s">
        <v>425</v>
      </c>
      <c r="V755" t="s">
        <v>27</v>
      </c>
      <c r="W755">
        <v>111.133</v>
      </c>
      <c r="X755">
        <v>1.0727760310708341</v>
      </c>
      <c r="Y755">
        <v>119.22081866099499</v>
      </c>
      <c r="Z755">
        <v>694.38</v>
      </c>
      <c r="AA755">
        <v>0.875</v>
      </c>
      <c r="AB755">
        <v>72.436483054094012</v>
      </c>
      <c r="AC755">
        <v>0.95369999999999999</v>
      </c>
      <c r="AD755" s="62">
        <v>69.082999999999998</v>
      </c>
      <c r="AE755">
        <v>8.9176000000000002</v>
      </c>
      <c r="AF755">
        <v>9.5665875346772715</v>
      </c>
      <c r="AG755">
        <v>0.91300000000000003</v>
      </c>
      <c r="AH755">
        <v>6064.9193587765631</v>
      </c>
      <c r="AI755">
        <v>1.007895816242822</v>
      </c>
      <c r="AJ755" s="62">
        <v>6112.8068000000003</v>
      </c>
      <c r="AK755" s="60">
        <v>6605.6157656825362</v>
      </c>
      <c r="AL755" t="s">
        <v>349</v>
      </c>
      <c r="AM755" t="s">
        <v>439</v>
      </c>
      <c r="AN755" t="s">
        <v>425</v>
      </c>
      <c r="AO755" t="s">
        <v>27</v>
      </c>
      <c r="AP755">
        <v>111.133</v>
      </c>
      <c r="AQ755">
        <v>1.080821157758461</v>
      </c>
      <c r="AR755">
        <v>120.1148977251711</v>
      </c>
      <c r="AS755">
        <v>779.31</v>
      </c>
      <c r="AT755">
        <v>0.879</v>
      </c>
      <c r="AU755">
        <v>82.280325291712501</v>
      </c>
      <c r="AV755">
        <v>0.93269999999999997</v>
      </c>
      <c r="AW755" s="62">
        <v>76.742999999999995</v>
      </c>
      <c r="AX755">
        <v>8.9176000000000002</v>
      </c>
      <c r="AY755">
        <v>0.80400000000000005</v>
      </c>
      <c r="AZ755">
        <v>6039.0430235999738</v>
      </c>
      <c r="BA755">
        <v>1.016406890894175</v>
      </c>
      <c r="BB755" s="62">
        <v>6138.1248999999998</v>
      </c>
      <c r="BC755" s="60">
        <v>6632.9749880478048</v>
      </c>
    </row>
    <row r="756" spans="1:55" x14ac:dyDescent="0.25">
      <c r="A756">
        <v>260045</v>
      </c>
      <c r="B756" t="s">
        <v>453</v>
      </c>
      <c r="C756">
        <v>2020</v>
      </c>
      <c r="D756">
        <v>10</v>
      </c>
      <c r="E756" t="s">
        <v>100</v>
      </c>
      <c r="F756" t="s">
        <v>426</v>
      </c>
      <c r="G756" t="s">
        <v>84</v>
      </c>
      <c r="H756" t="s">
        <v>59</v>
      </c>
      <c r="I756" t="s">
        <v>427</v>
      </c>
      <c r="J756">
        <v>-17.390262679999999</v>
      </c>
      <c r="K756" t="s">
        <v>440</v>
      </c>
      <c r="L756" t="s">
        <v>451</v>
      </c>
      <c r="M756">
        <v>1.7625750762999999E-3</v>
      </c>
      <c r="N756">
        <v>3.065164357020413E-2</v>
      </c>
      <c r="O756">
        <v>47588.953000000001</v>
      </c>
      <c r="P756">
        <v>1.500949E-6</v>
      </c>
      <c r="Q756">
        <v>0.14285700000000001</v>
      </c>
      <c r="R756" s="60">
        <v>4.3788018455086517E-3</v>
      </c>
      <c r="S756" t="s">
        <v>348</v>
      </c>
      <c r="T756" t="s">
        <v>438</v>
      </c>
      <c r="U756" t="s">
        <v>425</v>
      </c>
      <c r="V756" t="s">
        <v>91</v>
      </c>
      <c r="W756">
        <v>111.133</v>
      </c>
      <c r="X756">
        <v>1.0727760310708341</v>
      </c>
      <c r="Y756">
        <v>119.22081866099499</v>
      </c>
      <c r="Z756">
        <v>694.38</v>
      </c>
      <c r="AA756">
        <v>0.875</v>
      </c>
      <c r="AB756">
        <v>72.436483054094012</v>
      </c>
      <c r="AC756">
        <v>1.0179</v>
      </c>
      <c r="AD756" s="62">
        <v>73.733000000000004</v>
      </c>
      <c r="AE756">
        <v>8.9176000000000002</v>
      </c>
      <c r="AF756">
        <v>9.5665875346772715</v>
      </c>
      <c r="AG756">
        <v>0.91300000000000003</v>
      </c>
      <c r="AH756">
        <v>6064.9193587765631</v>
      </c>
      <c r="AI756">
        <v>0.98975009761811794</v>
      </c>
      <c r="AJ756" s="62">
        <v>6002.7545</v>
      </c>
      <c r="AK756" s="60">
        <v>26.284872482735359</v>
      </c>
      <c r="AL756" t="s">
        <v>349</v>
      </c>
      <c r="AM756" t="s">
        <v>439</v>
      </c>
      <c r="AN756" t="s">
        <v>425</v>
      </c>
      <c r="AO756" t="s">
        <v>91</v>
      </c>
      <c r="AP756">
        <v>111.133</v>
      </c>
      <c r="AQ756">
        <v>1.080821157758461</v>
      </c>
      <c r="AR756">
        <v>120.1148977251711</v>
      </c>
      <c r="AS756">
        <v>779.31</v>
      </c>
      <c r="AT756">
        <v>0.879</v>
      </c>
      <c r="AU756">
        <v>82.280325291712501</v>
      </c>
      <c r="AV756">
        <v>0.9899</v>
      </c>
      <c r="AW756" s="62">
        <v>81.448999999999998</v>
      </c>
      <c r="AX756">
        <v>8.9176000000000002</v>
      </c>
      <c r="AY756">
        <v>0.80400000000000005</v>
      </c>
      <c r="AZ756">
        <v>6039.0430235999738</v>
      </c>
      <c r="BA756">
        <v>0.99199531433033972</v>
      </c>
      <c r="BB756" s="62">
        <v>5990.7024000000001</v>
      </c>
      <c r="BC756" s="60">
        <v>26.23209872501311</v>
      </c>
    </row>
    <row r="757" spans="1:55" x14ac:dyDescent="0.25">
      <c r="A757">
        <v>260047</v>
      </c>
      <c r="B757" t="s">
        <v>453</v>
      </c>
      <c r="C757">
        <v>2020</v>
      </c>
      <c r="D757">
        <v>10</v>
      </c>
      <c r="E757" t="s">
        <v>100</v>
      </c>
      <c r="F757" t="s">
        <v>426</v>
      </c>
      <c r="G757" t="s">
        <v>84</v>
      </c>
      <c r="H757" t="s">
        <v>59</v>
      </c>
      <c r="I757" t="s">
        <v>427</v>
      </c>
      <c r="J757">
        <v>-17.390262679999999</v>
      </c>
      <c r="K757" t="s">
        <v>440</v>
      </c>
      <c r="L757" t="s">
        <v>452</v>
      </c>
      <c r="M757">
        <v>1.4858046103299999E-3</v>
      </c>
      <c r="N757">
        <v>2.5838532464900029E-2</v>
      </c>
      <c r="O757">
        <v>47588.953000000001</v>
      </c>
      <c r="P757">
        <v>1.500949E-6</v>
      </c>
      <c r="Q757">
        <v>0.14285700000000001</v>
      </c>
      <c r="R757" s="60">
        <v>3.691215232338224E-3</v>
      </c>
      <c r="S757" t="s">
        <v>348</v>
      </c>
      <c r="T757" t="s">
        <v>438</v>
      </c>
      <c r="U757" t="s">
        <v>425</v>
      </c>
      <c r="V757" t="s">
        <v>28</v>
      </c>
      <c r="W757">
        <v>111.133</v>
      </c>
      <c r="X757">
        <v>1.0727760310708341</v>
      </c>
      <c r="Y757">
        <v>119.22081866099499</v>
      </c>
      <c r="Z757">
        <v>694.38</v>
      </c>
      <c r="AA757">
        <v>0.875</v>
      </c>
      <c r="AB757">
        <v>72.436483054094012</v>
      </c>
      <c r="AC757">
        <v>0.99250000000000005</v>
      </c>
      <c r="AD757" s="62">
        <v>71.893000000000001</v>
      </c>
      <c r="AE757">
        <v>8.9176000000000002</v>
      </c>
      <c r="AF757">
        <v>9.5665875346772715</v>
      </c>
      <c r="AG757">
        <v>0.91300000000000003</v>
      </c>
      <c r="AH757">
        <v>6064.9193587765631</v>
      </c>
      <c r="AI757">
        <v>0.93847214018507585</v>
      </c>
      <c r="AJ757" s="62">
        <v>5691.7578999999996</v>
      </c>
      <c r="AK757" s="60">
        <v>21.00950345926142</v>
      </c>
      <c r="AL757" t="s">
        <v>349</v>
      </c>
      <c r="AM757" t="s">
        <v>439</v>
      </c>
      <c r="AN757" t="s">
        <v>425</v>
      </c>
      <c r="AO757" t="s">
        <v>28</v>
      </c>
      <c r="AP757">
        <v>111.133</v>
      </c>
      <c r="AQ757">
        <v>1.080821157758461</v>
      </c>
      <c r="AR757">
        <v>120.1148977251711</v>
      </c>
      <c r="AS757">
        <v>779.31</v>
      </c>
      <c r="AT757">
        <v>0.879</v>
      </c>
      <c r="AU757">
        <v>82.280325291712501</v>
      </c>
      <c r="AV757">
        <v>0.96379999999999999</v>
      </c>
      <c r="AW757" s="62">
        <v>79.302000000000007</v>
      </c>
      <c r="AX757">
        <v>8.9176000000000002</v>
      </c>
      <c r="AY757">
        <v>0.80400000000000005</v>
      </c>
      <c r="AZ757">
        <v>6039.0430235999738</v>
      </c>
      <c r="BA757">
        <v>0.93699547154951757</v>
      </c>
      <c r="BB757" s="62">
        <v>5658.5559999999996</v>
      </c>
      <c r="BC757" s="60">
        <v>20.88694810023885</v>
      </c>
    </row>
    <row r="758" spans="1:55" x14ac:dyDescent="0.25">
      <c r="A758">
        <v>267266</v>
      </c>
      <c r="B758" t="s">
        <v>454</v>
      </c>
      <c r="C758">
        <v>2020</v>
      </c>
      <c r="D758">
        <v>11</v>
      </c>
      <c r="E758" t="s">
        <v>100</v>
      </c>
      <c r="F758" t="s">
        <v>426</v>
      </c>
      <c r="G758" t="s">
        <v>84</v>
      </c>
      <c r="H758" t="s">
        <v>381</v>
      </c>
      <c r="I758" t="s">
        <v>427</v>
      </c>
      <c r="J758">
        <v>-32.004116019999998</v>
      </c>
      <c r="K758" t="s">
        <v>440</v>
      </c>
      <c r="L758" t="s">
        <v>450</v>
      </c>
      <c r="M758">
        <v>0.15011157993331001</v>
      </c>
      <c r="N758">
        <v>4.8041884206151471</v>
      </c>
      <c r="O758">
        <v>47588.953000000001</v>
      </c>
      <c r="P758">
        <v>1.500949E-6</v>
      </c>
      <c r="Q758">
        <v>0.14285700000000001</v>
      </c>
      <c r="R758" s="60">
        <v>0.68631194520381811</v>
      </c>
      <c r="S758" t="s">
        <v>348</v>
      </c>
      <c r="T758" t="s">
        <v>438</v>
      </c>
      <c r="U758" t="s">
        <v>425</v>
      </c>
      <c r="V758" t="s">
        <v>26</v>
      </c>
      <c r="W758">
        <v>111.133</v>
      </c>
      <c r="X758">
        <v>1.0727760310708341</v>
      </c>
      <c r="Y758">
        <v>119.22081866099499</v>
      </c>
      <c r="Z758">
        <v>694.38</v>
      </c>
      <c r="AA758">
        <v>0.875</v>
      </c>
      <c r="AB758">
        <v>72.436483054094012</v>
      </c>
      <c r="AC758">
        <v>0.98270000000000002</v>
      </c>
      <c r="AD758" s="62">
        <v>71.183000000000007</v>
      </c>
      <c r="AE758">
        <v>8.9176000000000002</v>
      </c>
      <c r="AF758">
        <v>9.5665875346772715</v>
      </c>
      <c r="AG758">
        <v>0.91300000000000003</v>
      </c>
      <c r="AH758">
        <v>6064.9193587765631</v>
      </c>
      <c r="AI758">
        <v>0.99365142346989388</v>
      </c>
      <c r="AJ758" s="62">
        <v>6026.4157999999998</v>
      </c>
      <c r="AK758" s="60">
        <v>4136.0011503050237</v>
      </c>
      <c r="AL758" t="s">
        <v>349</v>
      </c>
      <c r="AM758" t="s">
        <v>439</v>
      </c>
      <c r="AN758" t="s">
        <v>425</v>
      </c>
      <c r="AO758" t="s">
        <v>26</v>
      </c>
      <c r="AP758">
        <v>111.133</v>
      </c>
      <c r="AQ758">
        <v>1.080821157758461</v>
      </c>
      <c r="AR758">
        <v>120.1148977251711</v>
      </c>
      <c r="AS758">
        <v>779.31</v>
      </c>
      <c r="AT758">
        <v>0.879</v>
      </c>
      <c r="AU758">
        <v>82.280325291712501</v>
      </c>
      <c r="AV758">
        <v>0.97599999999999998</v>
      </c>
      <c r="AW758" s="62">
        <v>80.305999999999997</v>
      </c>
      <c r="AX758">
        <v>8.9176000000000002</v>
      </c>
      <c r="AY758">
        <v>0.80400000000000005</v>
      </c>
      <c r="AZ758">
        <v>6039.0430235999738</v>
      </c>
      <c r="BA758">
        <v>0.99553615712726917</v>
      </c>
      <c r="BB758" s="62">
        <v>6012.0856999999996</v>
      </c>
      <c r="BC758" s="60">
        <v>4126.1662314990581</v>
      </c>
    </row>
    <row r="759" spans="1:55" x14ac:dyDescent="0.25">
      <c r="A759">
        <v>267268</v>
      </c>
      <c r="B759" t="s">
        <v>454</v>
      </c>
      <c r="C759">
        <v>2020</v>
      </c>
      <c r="D759">
        <v>11</v>
      </c>
      <c r="E759" t="s">
        <v>100</v>
      </c>
      <c r="F759" t="s">
        <v>426</v>
      </c>
      <c r="G759" t="s">
        <v>84</v>
      </c>
      <c r="H759" t="s">
        <v>381</v>
      </c>
      <c r="I759" t="s">
        <v>427</v>
      </c>
      <c r="J759">
        <v>-32.004116019999998</v>
      </c>
      <c r="K759" t="s">
        <v>440</v>
      </c>
      <c r="L759" t="s">
        <v>384</v>
      </c>
      <c r="M759">
        <v>4.5811354346740003E-2</v>
      </c>
      <c r="N759">
        <v>1.466151899694103</v>
      </c>
      <c r="O759">
        <v>47588.953000000001</v>
      </c>
      <c r="P759">
        <v>1.500949E-6</v>
      </c>
      <c r="Q759">
        <v>0.14285700000000001</v>
      </c>
      <c r="R759" s="60">
        <v>0.2094500619346005</v>
      </c>
      <c r="S759" t="s">
        <v>348</v>
      </c>
      <c r="T759" t="s">
        <v>438</v>
      </c>
      <c r="U759" t="s">
        <v>425</v>
      </c>
      <c r="V759" t="s">
        <v>81</v>
      </c>
      <c r="W759">
        <v>111.133</v>
      </c>
      <c r="X759">
        <v>1.0727760310708341</v>
      </c>
      <c r="Y759">
        <v>119.22081866099499</v>
      </c>
      <c r="Z759">
        <v>694.38</v>
      </c>
      <c r="AA759">
        <v>0.875</v>
      </c>
      <c r="AB759">
        <v>72.436483054094012</v>
      </c>
      <c r="AC759">
        <v>0.93500000000000005</v>
      </c>
      <c r="AD759" s="62">
        <v>67.727999999999994</v>
      </c>
      <c r="AE759">
        <v>8.9176000000000002</v>
      </c>
      <c r="AF759">
        <v>9.5665875346772715</v>
      </c>
      <c r="AG759">
        <v>0.91300000000000003</v>
      </c>
      <c r="AH759">
        <v>6064.9193587765631</v>
      </c>
      <c r="AI759">
        <v>1.096171586715867</v>
      </c>
      <c r="AJ759" s="62">
        <v>6648.1922999999997</v>
      </c>
      <c r="AK759" s="60">
        <v>1392.4642889881341</v>
      </c>
      <c r="AL759" t="s">
        <v>349</v>
      </c>
      <c r="AM759" t="s">
        <v>439</v>
      </c>
      <c r="AN759" t="s">
        <v>425</v>
      </c>
      <c r="AO759" t="s">
        <v>81</v>
      </c>
      <c r="AP759">
        <v>111.133</v>
      </c>
      <c r="AQ759">
        <v>1.080821157758461</v>
      </c>
      <c r="AR759">
        <v>120.1148977251711</v>
      </c>
      <c r="AS759">
        <v>779.31</v>
      </c>
      <c r="AT759">
        <v>0.879</v>
      </c>
      <c r="AU759">
        <v>82.280325291712501</v>
      </c>
      <c r="AV759">
        <v>0.93120000000000003</v>
      </c>
      <c r="AW759" s="62">
        <v>76.619</v>
      </c>
      <c r="AX759">
        <v>8.9176000000000002</v>
      </c>
      <c r="AY759">
        <v>0.80400000000000005</v>
      </c>
      <c r="AZ759">
        <v>6039.0430235999738</v>
      </c>
      <c r="BA759">
        <v>1.1187730627306269</v>
      </c>
      <c r="BB759" s="62">
        <v>6756.3186999999998</v>
      </c>
      <c r="BC759" s="60">
        <v>1415.1113701649001</v>
      </c>
    </row>
    <row r="760" spans="1:55" x14ac:dyDescent="0.25">
      <c r="A760">
        <v>267270</v>
      </c>
      <c r="B760" t="s">
        <v>454</v>
      </c>
      <c r="C760">
        <v>2020</v>
      </c>
      <c r="D760">
        <v>11</v>
      </c>
      <c r="E760" t="s">
        <v>100</v>
      </c>
      <c r="F760" t="s">
        <v>426</v>
      </c>
      <c r="G760" t="s">
        <v>84</v>
      </c>
      <c r="H760" t="s">
        <v>381</v>
      </c>
      <c r="I760" t="s">
        <v>427</v>
      </c>
      <c r="J760">
        <v>-32.004116019999998</v>
      </c>
      <c r="K760" t="s">
        <v>440</v>
      </c>
      <c r="L760" t="s">
        <v>385</v>
      </c>
      <c r="M760">
        <v>0.43232641346992001</v>
      </c>
      <c r="N760">
        <v>13.836224696595719</v>
      </c>
      <c r="O760">
        <v>47588.953000000001</v>
      </c>
      <c r="P760">
        <v>1.500949E-6</v>
      </c>
      <c r="Q760">
        <v>0.14285700000000001</v>
      </c>
      <c r="R760" s="60">
        <v>1.9766015514815749</v>
      </c>
      <c r="S760" t="s">
        <v>348</v>
      </c>
      <c r="T760" t="s">
        <v>438</v>
      </c>
      <c r="U760" t="s">
        <v>425</v>
      </c>
      <c r="V760" t="s">
        <v>27</v>
      </c>
      <c r="W760">
        <v>111.133</v>
      </c>
      <c r="X760">
        <v>1.0727760310708341</v>
      </c>
      <c r="Y760">
        <v>119.22081866099499</v>
      </c>
      <c r="Z760">
        <v>694.38</v>
      </c>
      <c r="AA760">
        <v>0.875</v>
      </c>
      <c r="AB760">
        <v>72.436483054094012</v>
      </c>
      <c r="AC760">
        <v>0.95369999999999999</v>
      </c>
      <c r="AD760" s="62">
        <v>69.082999999999998</v>
      </c>
      <c r="AE760">
        <v>8.9176000000000002</v>
      </c>
      <c r="AF760">
        <v>9.5665875346772715</v>
      </c>
      <c r="AG760">
        <v>0.91300000000000003</v>
      </c>
      <c r="AH760">
        <v>6064.9193587765631</v>
      </c>
      <c r="AI760">
        <v>1.007895816242822</v>
      </c>
      <c r="AJ760" s="62">
        <v>6112.8068000000003</v>
      </c>
      <c r="AK760" s="60">
        <v>12082.583404787119</v>
      </c>
      <c r="AL760" t="s">
        <v>349</v>
      </c>
      <c r="AM760" t="s">
        <v>439</v>
      </c>
      <c r="AN760" t="s">
        <v>425</v>
      </c>
      <c r="AO760" t="s">
        <v>27</v>
      </c>
      <c r="AP760">
        <v>111.133</v>
      </c>
      <c r="AQ760">
        <v>1.080821157758461</v>
      </c>
      <c r="AR760">
        <v>120.1148977251711</v>
      </c>
      <c r="AS760">
        <v>779.31</v>
      </c>
      <c r="AT760">
        <v>0.879</v>
      </c>
      <c r="AU760">
        <v>82.280325291712501</v>
      </c>
      <c r="AV760">
        <v>0.93269999999999997</v>
      </c>
      <c r="AW760" s="62">
        <v>76.742999999999995</v>
      </c>
      <c r="AX760">
        <v>8.9176000000000002</v>
      </c>
      <c r="AY760">
        <v>0.80400000000000005</v>
      </c>
      <c r="AZ760">
        <v>6039.0430235999738</v>
      </c>
      <c r="BA760">
        <v>1.016406890894175</v>
      </c>
      <c r="BB760" s="62">
        <v>6138.1248999999998</v>
      </c>
      <c r="BC760" s="60">
        <v>12132.627200527681</v>
      </c>
    </row>
    <row r="761" spans="1:55" x14ac:dyDescent="0.25">
      <c r="A761">
        <v>267272</v>
      </c>
      <c r="B761" t="s">
        <v>454</v>
      </c>
      <c r="C761">
        <v>2020</v>
      </c>
      <c r="D761">
        <v>11</v>
      </c>
      <c r="E761" t="s">
        <v>100</v>
      </c>
      <c r="F761" t="s">
        <v>426</v>
      </c>
      <c r="G761" t="s">
        <v>84</v>
      </c>
      <c r="H761" t="s">
        <v>381</v>
      </c>
      <c r="I761" t="s">
        <v>427</v>
      </c>
      <c r="J761">
        <v>-32.004116019999998</v>
      </c>
      <c r="K761" t="s">
        <v>440</v>
      </c>
      <c r="L761" t="s">
        <v>451</v>
      </c>
      <c r="M761">
        <v>1.6825115802299999E-3</v>
      </c>
      <c r="N761">
        <v>5.3847295824099209E-2</v>
      </c>
      <c r="O761">
        <v>47588.953000000001</v>
      </c>
      <c r="P761">
        <v>1.500949E-6</v>
      </c>
      <c r="Q761">
        <v>0.14285700000000001</v>
      </c>
      <c r="R761" s="60">
        <v>7.6924631395433414E-3</v>
      </c>
      <c r="S761" t="s">
        <v>348</v>
      </c>
      <c r="T761" t="s">
        <v>438</v>
      </c>
      <c r="U761" t="s">
        <v>425</v>
      </c>
      <c r="V761" t="s">
        <v>91</v>
      </c>
      <c r="W761">
        <v>111.133</v>
      </c>
      <c r="X761">
        <v>1.0727760310708341</v>
      </c>
      <c r="Y761">
        <v>119.22081866099499</v>
      </c>
      <c r="Z761">
        <v>694.38</v>
      </c>
      <c r="AA761">
        <v>0.875</v>
      </c>
      <c r="AB761">
        <v>72.436483054094012</v>
      </c>
      <c r="AC761">
        <v>1.0179</v>
      </c>
      <c r="AD761" s="62">
        <v>73.733000000000004</v>
      </c>
      <c r="AE761">
        <v>8.9176000000000002</v>
      </c>
      <c r="AF761">
        <v>9.5665875346772715</v>
      </c>
      <c r="AG761">
        <v>0.91300000000000003</v>
      </c>
      <c r="AH761">
        <v>6064.9193587765631</v>
      </c>
      <c r="AI761">
        <v>0.98975009761811794</v>
      </c>
      <c r="AJ761" s="62">
        <v>6002.7545</v>
      </c>
      <c r="AK761" s="60">
        <v>46.175967726977923</v>
      </c>
      <c r="AL761" t="s">
        <v>349</v>
      </c>
      <c r="AM761" t="s">
        <v>439</v>
      </c>
      <c r="AN761" t="s">
        <v>425</v>
      </c>
      <c r="AO761" t="s">
        <v>91</v>
      </c>
      <c r="AP761">
        <v>111.133</v>
      </c>
      <c r="AQ761">
        <v>1.080821157758461</v>
      </c>
      <c r="AR761">
        <v>120.1148977251711</v>
      </c>
      <c r="AS761">
        <v>779.31</v>
      </c>
      <c r="AT761">
        <v>0.879</v>
      </c>
      <c r="AU761">
        <v>82.280325291712501</v>
      </c>
      <c r="AV761">
        <v>0.9899</v>
      </c>
      <c r="AW761" s="62">
        <v>81.448999999999998</v>
      </c>
      <c r="AX761">
        <v>8.9176000000000002</v>
      </c>
      <c r="AY761">
        <v>0.80400000000000005</v>
      </c>
      <c r="AZ761">
        <v>6039.0430235999738</v>
      </c>
      <c r="BA761">
        <v>0.99199531433033972</v>
      </c>
      <c r="BB761" s="62">
        <v>5990.7024000000001</v>
      </c>
      <c r="BC761" s="60">
        <v>46.083257391973831</v>
      </c>
    </row>
    <row r="762" spans="1:55" x14ac:dyDescent="0.25">
      <c r="A762">
        <v>267274</v>
      </c>
      <c r="B762" t="s">
        <v>454</v>
      </c>
      <c r="C762">
        <v>2020</v>
      </c>
      <c r="D762">
        <v>11</v>
      </c>
      <c r="E762" t="s">
        <v>100</v>
      </c>
      <c r="F762" t="s">
        <v>426</v>
      </c>
      <c r="G762" t="s">
        <v>84</v>
      </c>
      <c r="H762" t="s">
        <v>381</v>
      </c>
      <c r="I762" t="s">
        <v>427</v>
      </c>
      <c r="J762">
        <v>-32.004116019999998</v>
      </c>
      <c r="K762" t="s">
        <v>440</v>
      </c>
      <c r="L762" t="s">
        <v>452</v>
      </c>
      <c r="M762">
        <v>1.53682162831E-3</v>
      </c>
      <c r="N762">
        <v>4.9184617699433567E-2</v>
      </c>
      <c r="O762">
        <v>47588.953000000001</v>
      </c>
      <c r="P762">
        <v>1.500949E-6</v>
      </c>
      <c r="Q762">
        <v>0.14285700000000001</v>
      </c>
      <c r="R762" s="60">
        <v>7.0263669306879816E-3</v>
      </c>
      <c r="S762" t="s">
        <v>348</v>
      </c>
      <c r="T762" t="s">
        <v>438</v>
      </c>
      <c r="U762" t="s">
        <v>425</v>
      </c>
      <c r="V762" t="s">
        <v>28</v>
      </c>
      <c r="W762">
        <v>111.133</v>
      </c>
      <c r="X762">
        <v>1.0727760310708341</v>
      </c>
      <c r="Y762">
        <v>119.22081866099499</v>
      </c>
      <c r="Z762">
        <v>694.38</v>
      </c>
      <c r="AA762">
        <v>0.875</v>
      </c>
      <c r="AB762">
        <v>72.436483054094012</v>
      </c>
      <c r="AC762">
        <v>0.99250000000000005</v>
      </c>
      <c r="AD762" s="62">
        <v>71.893000000000001</v>
      </c>
      <c r="AE762">
        <v>8.9176000000000002</v>
      </c>
      <c r="AF762">
        <v>9.5665875346772715</v>
      </c>
      <c r="AG762">
        <v>0.91300000000000003</v>
      </c>
      <c r="AH762">
        <v>6064.9193587765631</v>
      </c>
      <c r="AI762">
        <v>0.93847214018507585</v>
      </c>
      <c r="AJ762" s="62">
        <v>5691.7578999999996</v>
      </c>
      <c r="AK762" s="60">
        <v>39.992379486042083</v>
      </c>
      <c r="AL762" t="s">
        <v>349</v>
      </c>
      <c r="AM762" t="s">
        <v>439</v>
      </c>
      <c r="AN762" t="s">
        <v>425</v>
      </c>
      <c r="AO762" t="s">
        <v>28</v>
      </c>
      <c r="AP762">
        <v>111.133</v>
      </c>
      <c r="AQ762">
        <v>1.080821157758461</v>
      </c>
      <c r="AR762">
        <v>120.1148977251711</v>
      </c>
      <c r="AS762">
        <v>779.31</v>
      </c>
      <c r="AT762">
        <v>0.879</v>
      </c>
      <c r="AU762">
        <v>82.280325291712501</v>
      </c>
      <c r="AV762">
        <v>0.96379999999999999</v>
      </c>
      <c r="AW762" s="62">
        <v>79.302000000000007</v>
      </c>
      <c r="AX762">
        <v>8.9176000000000002</v>
      </c>
      <c r="AY762">
        <v>0.80400000000000005</v>
      </c>
      <c r="AZ762">
        <v>6039.0430235999738</v>
      </c>
      <c r="BA762">
        <v>0.93699547154951757</v>
      </c>
      <c r="BB762" s="62">
        <v>5658.5559999999996</v>
      </c>
      <c r="BC762" s="60">
        <v>39.759090753846067</v>
      </c>
    </row>
    <row r="763" spans="1:55" x14ac:dyDescent="0.25">
      <c r="A763">
        <v>267276</v>
      </c>
      <c r="B763" t="s">
        <v>454</v>
      </c>
      <c r="C763">
        <v>2020</v>
      </c>
      <c r="D763">
        <v>11</v>
      </c>
      <c r="E763" t="s">
        <v>100</v>
      </c>
      <c r="F763" t="s">
        <v>426</v>
      </c>
      <c r="G763" t="s">
        <v>84</v>
      </c>
      <c r="H763" t="s">
        <v>87</v>
      </c>
      <c r="I763" t="s">
        <v>427</v>
      </c>
      <c r="J763">
        <v>-5.8835884299999996</v>
      </c>
      <c r="K763" t="s">
        <v>440</v>
      </c>
      <c r="L763" t="s">
        <v>450</v>
      </c>
      <c r="M763">
        <v>0.26601384014995</v>
      </c>
      <c r="N763">
        <v>1.56511595164048</v>
      </c>
      <c r="O763">
        <v>47588.953000000001</v>
      </c>
      <c r="P763">
        <v>1.500949E-6</v>
      </c>
      <c r="Q763">
        <v>0.14285700000000001</v>
      </c>
      <c r="R763" s="60">
        <v>0.22358776950350401</v>
      </c>
      <c r="S763" t="s">
        <v>348</v>
      </c>
      <c r="T763" t="s">
        <v>438</v>
      </c>
      <c r="U763" t="s">
        <v>425</v>
      </c>
      <c r="V763" t="s">
        <v>26</v>
      </c>
      <c r="W763">
        <v>111.133</v>
      </c>
      <c r="X763">
        <v>1.0727760310708341</v>
      </c>
      <c r="Y763">
        <v>119.22081866099499</v>
      </c>
      <c r="Z763">
        <v>694.38</v>
      </c>
      <c r="AA763">
        <v>0.875</v>
      </c>
      <c r="AB763">
        <v>72.436483054094012</v>
      </c>
      <c r="AC763">
        <v>0.98270000000000002</v>
      </c>
      <c r="AD763" s="62">
        <v>71.183000000000007</v>
      </c>
      <c r="AE763">
        <v>8.9176000000000002</v>
      </c>
      <c r="AF763">
        <v>9.5665875346772715</v>
      </c>
      <c r="AG763">
        <v>0.91300000000000003</v>
      </c>
      <c r="AH763">
        <v>6064.9193587765631</v>
      </c>
      <c r="AI763">
        <v>0.99365142346989388</v>
      </c>
      <c r="AJ763" s="62">
        <v>6026.4157999999998</v>
      </c>
      <c r="AK763" s="60">
        <v>1347.4328668226749</v>
      </c>
      <c r="AL763" t="s">
        <v>349</v>
      </c>
      <c r="AM763" t="s">
        <v>439</v>
      </c>
      <c r="AN763" t="s">
        <v>425</v>
      </c>
      <c r="AO763" t="s">
        <v>26</v>
      </c>
      <c r="AP763">
        <v>111.133</v>
      </c>
      <c r="AQ763">
        <v>1.080821157758461</v>
      </c>
      <c r="AR763">
        <v>120.1148977251711</v>
      </c>
      <c r="AS763">
        <v>779.31</v>
      </c>
      <c r="AT763">
        <v>0.879</v>
      </c>
      <c r="AU763">
        <v>82.280325291712501</v>
      </c>
      <c r="AV763">
        <v>0.97599999999999998</v>
      </c>
      <c r="AW763" s="62">
        <v>80.305999999999997</v>
      </c>
      <c r="AX763">
        <v>8.9176000000000002</v>
      </c>
      <c r="AY763">
        <v>0.80400000000000005</v>
      </c>
      <c r="AZ763">
        <v>6039.0430235999738</v>
      </c>
      <c r="BA763">
        <v>0.99553615712726917</v>
      </c>
      <c r="BB763" s="62">
        <v>6012.0856999999996</v>
      </c>
      <c r="BC763" s="60">
        <v>1344.2288317269119</v>
      </c>
    </row>
    <row r="764" spans="1:55" x14ac:dyDescent="0.25">
      <c r="A764">
        <v>267278</v>
      </c>
      <c r="B764" t="s">
        <v>454</v>
      </c>
      <c r="C764">
        <v>2020</v>
      </c>
      <c r="D764">
        <v>11</v>
      </c>
      <c r="E764" t="s">
        <v>100</v>
      </c>
      <c r="F764" t="s">
        <v>426</v>
      </c>
      <c r="G764" t="s">
        <v>84</v>
      </c>
      <c r="H764" t="s">
        <v>87</v>
      </c>
      <c r="I764" t="s">
        <v>427</v>
      </c>
      <c r="J764">
        <v>-5.8835884299999996</v>
      </c>
      <c r="K764" t="s">
        <v>440</v>
      </c>
      <c r="L764" t="s">
        <v>384</v>
      </c>
      <c r="M764">
        <v>3.9509559941419997E-2</v>
      </c>
      <c r="N764">
        <v>0.2324579896736014</v>
      </c>
      <c r="O764">
        <v>47588.953000000001</v>
      </c>
      <c r="P764">
        <v>1.500949E-6</v>
      </c>
      <c r="Q764">
        <v>0.14285700000000001</v>
      </c>
      <c r="R764" s="60">
        <v>3.3208251030801668E-2</v>
      </c>
      <c r="S764" t="s">
        <v>348</v>
      </c>
      <c r="T764" t="s">
        <v>438</v>
      </c>
      <c r="U764" t="s">
        <v>425</v>
      </c>
      <c r="V764" t="s">
        <v>81</v>
      </c>
      <c r="W764">
        <v>111.133</v>
      </c>
      <c r="X764">
        <v>1.0727760310708341</v>
      </c>
      <c r="Y764">
        <v>119.22081866099499</v>
      </c>
      <c r="Z764">
        <v>694.38</v>
      </c>
      <c r="AA764">
        <v>0.875</v>
      </c>
      <c r="AB764">
        <v>72.436483054094012</v>
      </c>
      <c r="AC764">
        <v>0.93500000000000005</v>
      </c>
      <c r="AD764" s="62">
        <v>67.727999999999994</v>
      </c>
      <c r="AE764">
        <v>8.9176000000000002</v>
      </c>
      <c r="AF764">
        <v>9.5665875346772715</v>
      </c>
      <c r="AG764">
        <v>0.91300000000000003</v>
      </c>
      <c r="AH764">
        <v>6064.9193587765631</v>
      </c>
      <c r="AI764">
        <v>1.096171586715867</v>
      </c>
      <c r="AJ764" s="62">
        <v>6648.1922999999997</v>
      </c>
      <c r="AK764" s="60">
        <v>220.77483879944279</v>
      </c>
      <c r="AL764" t="s">
        <v>349</v>
      </c>
      <c r="AM764" t="s">
        <v>439</v>
      </c>
      <c r="AN764" t="s">
        <v>425</v>
      </c>
      <c r="AO764" t="s">
        <v>81</v>
      </c>
      <c r="AP764">
        <v>111.133</v>
      </c>
      <c r="AQ764">
        <v>1.080821157758461</v>
      </c>
      <c r="AR764">
        <v>120.1148977251711</v>
      </c>
      <c r="AS764">
        <v>779.31</v>
      </c>
      <c r="AT764">
        <v>0.879</v>
      </c>
      <c r="AU764">
        <v>82.280325291712501</v>
      </c>
      <c r="AV764">
        <v>0.93120000000000003</v>
      </c>
      <c r="AW764" s="62">
        <v>76.619</v>
      </c>
      <c r="AX764">
        <v>8.9176000000000002</v>
      </c>
      <c r="AY764">
        <v>0.80400000000000005</v>
      </c>
      <c r="AZ764">
        <v>6039.0430235999738</v>
      </c>
      <c r="BA764">
        <v>1.1187730627306269</v>
      </c>
      <c r="BB764" s="62">
        <v>6756.3186999999998</v>
      </c>
      <c r="BC764" s="60">
        <v>224.36552743369961</v>
      </c>
    </row>
    <row r="765" spans="1:55" x14ac:dyDescent="0.25">
      <c r="A765">
        <v>267280</v>
      </c>
      <c r="B765" t="s">
        <v>454</v>
      </c>
      <c r="C765">
        <v>2020</v>
      </c>
      <c r="D765">
        <v>11</v>
      </c>
      <c r="E765" t="s">
        <v>100</v>
      </c>
      <c r="F765" t="s">
        <v>426</v>
      </c>
      <c r="G765" t="s">
        <v>84</v>
      </c>
      <c r="H765" t="s">
        <v>87</v>
      </c>
      <c r="I765" t="s">
        <v>427</v>
      </c>
      <c r="J765">
        <v>-5.8835884299999996</v>
      </c>
      <c r="K765" t="s">
        <v>440</v>
      </c>
      <c r="L765" t="s">
        <v>385</v>
      </c>
      <c r="M765">
        <v>0.39737542925016001</v>
      </c>
      <c r="N765">
        <v>2.3379934771770752</v>
      </c>
      <c r="O765">
        <v>47588.953000000001</v>
      </c>
      <c r="P765">
        <v>1.500949E-6</v>
      </c>
      <c r="Q765">
        <v>0.14285700000000001</v>
      </c>
      <c r="R765" s="60">
        <v>0.33399873416908538</v>
      </c>
      <c r="S765" t="s">
        <v>348</v>
      </c>
      <c r="T765" t="s">
        <v>438</v>
      </c>
      <c r="U765" t="s">
        <v>425</v>
      </c>
      <c r="V765" t="s">
        <v>27</v>
      </c>
      <c r="W765">
        <v>111.133</v>
      </c>
      <c r="X765">
        <v>1.0727760310708341</v>
      </c>
      <c r="Y765">
        <v>119.22081866099499</v>
      </c>
      <c r="Z765">
        <v>694.38</v>
      </c>
      <c r="AA765">
        <v>0.875</v>
      </c>
      <c r="AB765">
        <v>72.436483054094012</v>
      </c>
      <c r="AC765">
        <v>0.95369999999999999</v>
      </c>
      <c r="AD765" s="62">
        <v>69.082999999999998</v>
      </c>
      <c r="AE765">
        <v>8.9176000000000002</v>
      </c>
      <c r="AF765">
        <v>9.5665875346772715</v>
      </c>
      <c r="AG765">
        <v>0.91300000000000003</v>
      </c>
      <c r="AH765">
        <v>6064.9193587765631</v>
      </c>
      <c r="AI765">
        <v>1.007895816242822</v>
      </c>
      <c r="AJ765" s="62">
        <v>6112.8068000000003</v>
      </c>
      <c r="AK765" s="60">
        <v>2041.6697334201781</v>
      </c>
      <c r="AL765" t="s">
        <v>349</v>
      </c>
      <c r="AM765" t="s">
        <v>439</v>
      </c>
      <c r="AN765" t="s">
        <v>425</v>
      </c>
      <c r="AO765" t="s">
        <v>27</v>
      </c>
      <c r="AP765">
        <v>111.133</v>
      </c>
      <c r="AQ765">
        <v>1.080821157758461</v>
      </c>
      <c r="AR765">
        <v>120.1148977251711</v>
      </c>
      <c r="AS765">
        <v>779.31</v>
      </c>
      <c r="AT765">
        <v>0.879</v>
      </c>
      <c r="AU765">
        <v>82.280325291712501</v>
      </c>
      <c r="AV765">
        <v>0.93269999999999997</v>
      </c>
      <c r="AW765" s="62">
        <v>76.742999999999995</v>
      </c>
      <c r="AX765">
        <v>8.9176000000000002</v>
      </c>
      <c r="AY765">
        <v>0.80400000000000005</v>
      </c>
      <c r="AZ765">
        <v>6039.0430235999738</v>
      </c>
      <c r="BA765">
        <v>1.016406890894175</v>
      </c>
      <c r="BB765" s="62">
        <v>6138.1248999999998</v>
      </c>
      <c r="BC765" s="60">
        <v>2050.1259467717441</v>
      </c>
    </row>
    <row r="766" spans="1:55" x14ac:dyDescent="0.25">
      <c r="A766">
        <v>267282</v>
      </c>
      <c r="B766" t="s">
        <v>454</v>
      </c>
      <c r="C766">
        <v>2020</v>
      </c>
      <c r="D766">
        <v>11</v>
      </c>
      <c r="E766" t="s">
        <v>100</v>
      </c>
      <c r="F766" t="s">
        <v>426</v>
      </c>
      <c r="G766" t="s">
        <v>84</v>
      </c>
      <c r="H766" t="s">
        <v>87</v>
      </c>
      <c r="I766" t="s">
        <v>427</v>
      </c>
      <c r="J766">
        <v>-5.8835884299999996</v>
      </c>
      <c r="K766" t="s">
        <v>440</v>
      </c>
      <c r="L766" t="s">
        <v>452</v>
      </c>
      <c r="M766">
        <v>8.4248020759000004E-4</v>
      </c>
      <c r="N766">
        <v>4.9568068003424878E-3</v>
      </c>
      <c r="O766">
        <v>47588.953000000001</v>
      </c>
      <c r="P766">
        <v>1.500949E-6</v>
      </c>
      <c r="Q766">
        <v>0.14285700000000001</v>
      </c>
      <c r="R766" s="60">
        <v>7.0811454907652679E-4</v>
      </c>
      <c r="S766" t="s">
        <v>348</v>
      </c>
      <c r="T766" t="s">
        <v>438</v>
      </c>
      <c r="U766" t="s">
        <v>425</v>
      </c>
      <c r="V766" t="s">
        <v>28</v>
      </c>
      <c r="W766">
        <v>111.133</v>
      </c>
      <c r="X766">
        <v>1.0727760310708341</v>
      </c>
      <c r="Y766">
        <v>119.22081866099499</v>
      </c>
      <c r="Z766">
        <v>694.38</v>
      </c>
      <c r="AA766">
        <v>0.875</v>
      </c>
      <c r="AB766">
        <v>72.436483054094012</v>
      </c>
      <c r="AC766">
        <v>0.99250000000000005</v>
      </c>
      <c r="AD766" s="62">
        <v>71.893000000000001</v>
      </c>
      <c r="AE766">
        <v>8.9176000000000002</v>
      </c>
      <c r="AF766">
        <v>9.5665875346772715</v>
      </c>
      <c r="AG766">
        <v>0.91300000000000003</v>
      </c>
      <c r="AH766">
        <v>6064.9193587765631</v>
      </c>
      <c r="AI766">
        <v>0.93847214018507585</v>
      </c>
      <c r="AJ766" s="62">
        <v>5691.7578999999996</v>
      </c>
      <c r="AK766" s="60">
        <v>4.0304165788112591</v>
      </c>
      <c r="AL766" t="s">
        <v>349</v>
      </c>
      <c r="AM766" t="s">
        <v>439</v>
      </c>
      <c r="AN766" t="s">
        <v>425</v>
      </c>
      <c r="AO766" t="s">
        <v>28</v>
      </c>
      <c r="AP766">
        <v>111.133</v>
      </c>
      <c r="AQ766">
        <v>1.080821157758461</v>
      </c>
      <c r="AR766">
        <v>120.1148977251711</v>
      </c>
      <c r="AS766">
        <v>779.31</v>
      </c>
      <c r="AT766">
        <v>0.879</v>
      </c>
      <c r="AU766">
        <v>82.280325291712501</v>
      </c>
      <c r="AV766">
        <v>0.96379999999999999</v>
      </c>
      <c r="AW766" s="62">
        <v>79.302000000000007</v>
      </c>
      <c r="AX766">
        <v>8.9176000000000002</v>
      </c>
      <c r="AY766">
        <v>0.80400000000000005</v>
      </c>
      <c r="AZ766">
        <v>6039.0430235999738</v>
      </c>
      <c r="BA766">
        <v>0.93699547154951757</v>
      </c>
      <c r="BB766" s="62">
        <v>5658.5559999999996</v>
      </c>
      <c r="BC766" s="60">
        <v>4.0069058303642748</v>
      </c>
    </row>
    <row r="767" spans="1:55" x14ac:dyDescent="0.25">
      <c r="A767">
        <v>267284</v>
      </c>
      <c r="B767" t="s">
        <v>454</v>
      </c>
      <c r="C767">
        <v>2020</v>
      </c>
      <c r="D767">
        <v>11</v>
      </c>
      <c r="E767" t="s">
        <v>100</v>
      </c>
      <c r="F767" t="s">
        <v>426</v>
      </c>
      <c r="G767" t="s">
        <v>84</v>
      </c>
      <c r="H767" t="s">
        <v>59</v>
      </c>
      <c r="I767" t="s">
        <v>427</v>
      </c>
      <c r="J767">
        <v>-17.390262679999999</v>
      </c>
      <c r="K767" t="s">
        <v>440</v>
      </c>
      <c r="L767" t="s">
        <v>450</v>
      </c>
      <c r="M767">
        <v>0.15931709696460999</v>
      </c>
      <c r="N767">
        <v>2.7705661656409961</v>
      </c>
      <c r="O767">
        <v>47588.953000000001</v>
      </c>
      <c r="P767">
        <v>1.500949E-6</v>
      </c>
      <c r="Q767">
        <v>0.14285700000000001</v>
      </c>
      <c r="R767" s="60">
        <v>0.39579477072497582</v>
      </c>
      <c r="S767" t="s">
        <v>348</v>
      </c>
      <c r="T767" t="s">
        <v>438</v>
      </c>
      <c r="U767" t="s">
        <v>425</v>
      </c>
      <c r="V767" t="s">
        <v>26</v>
      </c>
      <c r="W767">
        <v>111.133</v>
      </c>
      <c r="X767">
        <v>1.0727760310708341</v>
      </c>
      <c r="Y767">
        <v>119.22081866099499</v>
      </c>
      <c r="Z767">
        <v>694.38</v>
      </c>
      <c r="AA767">
        <v>0.875</v>
      </c>
      <c r="AB767">
        <v>72.436483054094012</v>
      </c>
      <c r="AC767">
        <v>0.98270000000000002</v>
      </c>
      <c r="AD767" s="62">
        <v>71.183000000000007</v>
      </c>
      <c r="AE767">
        <v>8.9176000000000002</v>
      </c>
      <c r="AF767">
        <v>9.5665875346772715</v>
      </c>
      <c r="AG767">
        <v>0.91300000000000003</v>
      </c>
      <c r="AH767">
        <v>6064.9193587765631</v>
      </c>
      <c r="AI767">
        <v>0.99365142346989388</v>
      </c>
      <c r="AJ767" s="62">
        <v>6026.4157999999998</v>
      </c>
      <c r="AK767" s="60">
        <v>2385.2238598543722</v>
      </c>
      <c r="AL767" t="s">
        <v>349</v>
      </c>
      <c r="AM767" t="s">
        <v>439</v>
      </c>
      <c r="AN767" t="s">
        <v>425</v>
      </c>
      <c r="AO767" t="s">
        <v>26</v>
      </c>
      <c r="AP767">
        <v>111.133</v>
      </c>
      <c r="AQ767">
        <v>1.080821157758461</v>
      </c>
      <c r="AR767">
        <v>120.1148977251711</v>
      </c>
      <c r="AS767">
        <v>779.31</v>
      </c>
      <c r="AT767">
        <v>0.879</v>
      </c>
      <c r="AU767">
        <v>82.280325291712501</v>
      </c>
      <c r="AV767">
        <v>0.97599999999999998</v>
      </c>
      <c r="AW767" s="62">
        <v>80.305999999999997</v>
      </c>
      <c r="AX767">
        <v>8.9176000000000002</v>
      </c>
      <c r="AY767">
        <v>0.80400000000000005</v>
      </c>
      <c r="AZ767">
        <v>6039.0430235999738</v>
      </c>
      <c r="BA767">
        <v>0.99553615712726917</v>
      </c>
      <c r="BB767" s="62">
        <v>6012.0856999999996</v>
      </c>
      <c r="BC767" s="60">
        <v>2379.552081210406</v>
      </c>
    </row>
    <row r="768" spans="1:55" x14ac:dyDescent="0.25">
      <c r="A768">
        <v>267286</v>
      </c>
      <c r="B768" t="s">
        <v>454</v>
      </c>
      <c r="C768">
        <v>2020</v>
      </c>
      <c r="D768">
        <v>11</v>
      </c>
      <c r="E768" t="s">
        <v>100</v>
      </c>
      <c r="F768" t="s">
        <v>426</v>
      </c>
      <c r="G768" t="s">
        <v>84</v>
      </c>
      <c r="H768" t="s">
        <v>59</v>
      </c>
      <c r="I768" t="s">
        <v>427</v>
      </c>
      <c r="J768">
        <v>-17.390262679999999</v>
      </c>
      <c r="K768" t="s">
        <v>440</v>
      </c>
      <c r="L768" t="s">
        <v>384</v>
      </c>
      <c r="M768">
        <v>4.1785183859599999E-2</v>
      </c>
      <c r="N768">
        <v>0.72665532345352957</v>
      </c>
      <c r="O768">
        <v>47588.953000000001</v>
      </c>
      <c r="P768">
        <v>1.500949E-6</v>
      </c>
      <c r="Q768">
        <v>0.14285700000000001</v>
      </c>
      <c r="R768" s="60">
        <v>0.1038077995426009</v>
      </c>
      <c r="S768" t="s">
        <v>348</v>
      </c>
      <c r="T768" t="s">
        <v>438</v>
      </c>
      <c r="U768" t="s">
        <v>425</v>
      </c>
      <c r="V768" t="s">
        <v>81</v>
      </c>
      <c r="W768">
        <v>111.133</v>
      </c>
      <c r="X768">
        <v>1.0727760310708341</v>
      </c>
      <c r="Y768">
        <v>119.22081866099499</v>
      </c>
      <c r="Z768">
        <v>694.38</v>
      </c>
      <c r="AA768">
        <v>0.875</v>
      </c>
      <c r="AB768">
        <v>72.436483054094012</v>
      </c>
      <c r="AC768">
        <v>0.93500000000000005</v>
      </c>
      <c r="AD768" s="62">
        <v>67.727999999999994</v>
      </c>
      <c r="AE768">
        <v>8.9176000000000002</v>
      </c>
      <c r="AF768">
        <v>9.5665875346772715</v>
      </c>
      <c r="AG768">
        <v>0.91300000000000003</v>
      </c>
      <c r="AH768">
        <v>6064.9193587765631</v>
      </c>
      <c r="AI768">
        <v>1.096171586715867</v>
      </c>
      <c r="AJ768" s="62">
        <v>6648.1922999999997</v>
      </c>
      <c r="AK768" s="60">
        <v>690.13421359906272</v>
      </c>
      <c r="AL768" t="s">
        <v>349</v>
      </c>
      <c r="AM768" t="s">
        <v>439</v>
      </c>
      <c r="AN768" t="s">
        <v>425</v>
      </c>
      <c r="AO768" t="s">
        <v>81</v>
      </c>
      <c r="AP768">
        <v>111.133</v>
      </c>
      <c r="AQ768">
        <v>1.080821157758461</v>
      </c>
      <c r="AR768">
        <v>120.1148977251711</v>
      </c>
      <c r="AS768">
        <v>779.31</v>
      </c>
      <c r="AT768">
        <v>0.879</v>
      </c>
      <c r="AU768">
        <v>82.280325291712501</v>
      </c>
      <c r="AV768">
        <v>0.93120000000000003</v>
      </c>
      <c r="AW768" s="62">
        <v>76.619</v>
      </c>
      <c r="AX768">
        <v>8.9176000000000002</v>
      </c>
      <c r="AY768">
        <v>0.80400000000000005</v>
      </c>
      <c r="AZ768">
        <v>6039.0430235999738</v>
      </c>
      <c r="BA768">
        <v>1.1187730627306269</v>
      </c>
      <c r="BB768" s="62">
        <v>6756.3186999999998</v>
      </c>
      <c r="BC768" s="60">
        <v>701.3585772555258</v>
      </c>
    </row>
    <row r="769" spans="1:55" x14ac:dyDescent="0.25">
      <c r="A769">
        <v>267288</v>
      </c>
      <c r="B769" t="s">
        <v>454</v>
      </c>
      <c r="C769">
        <v>2020</v>
      </c>
      <c r="D769">
        <v>11</v>
      </c>
      <c r="E769" t="s">
        <v>100</v>
      </c>
      <c r="F769" t="s">
        <v>426</v>
      </c>
      <c r="G769" t="s">
        <v>84</v>
      </c>
      <c r="H769" t="s">
        <v>59</v>
      </c>
      <c r="I769" t="s">
        <v>427</v>
      </c>
      <c r="J769">
        <v>-17.390262679999999</v>
      </c>
      <c r="K769" t="s">
        <v>440</v>
      </c>
      <c r="L769" t="s">
        <v>385</v>
      </c>
      <c r="M769">
        <v>0.43497567483749999</v>
      </c>
      <c r="N769">
        <v>7.5643412448655099</v>
      </c>
      <c r="O769">
        <v>47588.953000000001</v>
      </c>
      <c r="P769">
        <v>1.500949E-6</v>
      </c>
      <c r="Q769">
        <v>0.14285700000000001</v>
      </c>
      <c r="R769" s="60">
        <v>1.0806190972177521</v>
      </c>
      <c r="S769" t="s">
        <v>348</v>
      </c>
      <c r="T769" t="s">
        <v>438</v>
      </c>
      <c r="U769" t="s">
        <v>425</v>
      </c>
      <c r="V769" t="s">
        <v>27</v>
      </c>
      <c r="W769">
        <v>111.133</v>
      </c>
      <c r="X769">
        <v>1.0727760310708341</v>
      </c>
      <c r="Y769">
        <v>119.22081866099499</v>
      </c>
      <c r="Z769">
        <v>694.38</v>
      </c>
      <c r="AA769">
        <v>0.875</v>
      </c>
      <c r="AB769">
        <v>72.436483054094012</v>
      </c>
      <c r="AC769">
        <v>0.95369999999999999</v>
      </c>
      <c r="AD769" s="62">
        <v>69.082999999999998</v>
      </c>
      <c r="AE769">
        <v>8.9176000000000002</v>
      </c>
      <c r="AF769">
        <v>9.5665875346772715</v>
      </c>
      <c r="AG769">
        <v>0.91300000000000003</v>
      </c>
      <c r="AH769">
        <v>6064.9193587765631</v>
      </c>
      <c r="AI769">
        <v>1.007895816242822</v>
      </c>
      <c r="AJ769" s="62">
        <v>6112.8068000000003</v>
      </c>
      <c r="AK769" s="60">
        <v>6605.615765682538</v>
      </c>
      <c r="AL769" t="s">
        <v>349</v>
      </c>
      <c r="AM769" t="s">
        <v>439</v>
      </c>
      <c r="AN769" t="s">
        <v>425</v>
      </c>
      <c r="AO769" t="s">
        <v>27</v>
      </c>
      <c r="AP769">
        <v>111.133</v>
      </c>
      <c r="AQ769">
        <v>1.080821157758461</v>
      </c>
      <c r="AR769">
        <v>120.1148977251711</v>
      </c>
      <c r="AS769">
        <v>779.31</v>
      </c>
      <c r="AT769">
        <v>0.879</v>
      </c>
      <c r="AU769">
        <v>82.280325291712501</v>
      </c>
      <c r="AV769">
        <v>0.93269999999999997</v>
      </c>
      <c r="AW769" s="62">
        <v>76.742999999999995</v>
      </c>
      <c r="AX769">
        <v>8.9176000000000002</v>
      </c>
      <c r="AY769">
        <v>0.80400000000000005</v>
      </c>
      <c r="AZ769">
        <v>6039.0430235999738</v>
      </c>
      <c r="BA769">
        <v>1.016406890894175</v>
      </c>
      <c r="BB769" s="62">
        <v>6138.1248999999998</v>
      </c>
      <c r="BC769" s="60">
        <v>6632.9749880478057</v>
      </c>
    </row>
    <row r="770" spans="1:55" x14ac:dyDescent="0.25">
      <c r="A770">
        <v>267290</v>
      </c>
      <c r="B770" t="s">
        <v>454</v>
      </c>
      <c r="C770">
        <v>2020</v>
      </c>
      <c r="D770">
        <v>11</v>
      </c>
      <c r="E770" t="s">
        <v>100</v>
      </c>
      <c r="F770" t="s">
        <v>426</v>
      </c>
      <c r="G770" t="s">
        <v>84</v>
      </c>
      <c r="H770" t="s">
        <v>59</v>
      </c>
      <c r="I770" t="s">
        <v>427</v>
      </c>
      <c r="J770">
        <v>-17.390262679999999</v>
      </c>
      <c r="K770" t="s">
        <v>440</v>
      </c>
      <c r="L770" t="s">
        <v>451</v>
      </c>
      <c r="M770">
        <v>1.7625750762999999E-3</v>
      </c>
      <c r="N770">
        <v>3.065164357020414E-2</v>
      </c>
      <c r="O770">
        <v>47588.953000000001</v>
      </c>
      <c r="P770">
        <v>1.500949E-6</v>
      </c>
      <c r="Q770">
        <v>0.14285700000000001</v>
      </c>
      <c r="R770" s="60">
        <v>4.3788018455086534E-3</v>
      </c>
      <c r="S770" t="s">
        <v>348</v>
      </c>
      <c r="T770" t="s">
        <v>438</v>
      </c>
      <c r="U770" t="s">
        <v>425</v>
      </c>
      <c r="V770" t="s">
        <v>91</v>
      </c>
      <c r="W770">
        <v>111.133</v>
      </c>
      <c r="X770">
        <v>1.0727760310708341</v>
      </c>
      <c r="Y770">
        <v>119.22081866099499</v>
      </c>
      <c r="Z770">
        <v>694.38</v>
      </c>
      <c r="AA770">
        <v>0.875</v>
      </c>
      <c r="AB770">
        <v>72.436483054094012</v>
      </c>
      <c r="AC770">
        <v>1.0179</v>
      </c>
      <c r="AD770" s="62">
        <v>73.733000000000004</v>
      </c>
      <c r="AE770">
        <v>8.9176000000000002</v>
      </c>
      <c r="AF770">
        <v>9.5665875346772715</v>
      </c>
      <c r="AG770">
        <v>0.91300000000000003</v>
      </c>
      <c r="AH770">
        <v>6064.9193587765631</v>
      </c>
      <c r="AI770">
        <v>0.98975009761811794</v>
      </c>
      <c r="AJ770" s="62">
        <v>6002.7545</v>
      </c>
      <c r="AK770" s="60">
        <v>26.28487248273537</v>
      </c>
      <c r="AL770" t="s">
        <v>349</v>
      </c>
      <c r="AM770" t="s">
        <v>439</v>
      </c>
      <c r="AN770" t="s">
        <v>425</v>
      </c>
      <c r="AO770" t="s">
        <v>91</v>
      </c>
      <c r="AP770">
        <v>111.133</v>
      </c>
      <c r="AQ770">
        <v>1.080821157758461</v>
      </c>
      <c r="AR770">
        <v>120.1148977251711</v>
      </c>
      <c r="AS770">
        <v>779.31</v>
      </c>
      <c r="AT770">
        <v>0.879</v>
      </c>
      <c r="AU770">
        <v>82.280325291712501</v>
      </c>
      <c r="AV770">
        <v>0.9899</v>
      </c>
      <c r="AW770" s="62">
        <v>81.448999999999998</v>
      </c>
      <c r="AX770">
        <v>8.9176000000000002</v>
      </c>
      <c r="AY770">
        <v>0.80400000000000005</v>
      </c>
      <c r="AZ770">
        <v>6039.0430235999738</v>
      </c>
      <c r="BA770">
        <v>0.99199531433033972</v>
      </c>
      <c r="BB770" s="62">
        <v>5990.7024000000001</v>
      </c>
      <c r="BC770" s="60">
        <v>26.23209872501311</v>
      </c>
    </row>
    <row r="771" spans="1:55" x14ac:dyDescent="0.25">
      <c r="A771">
        <v>267292</v>
      </c>
      <c r="B771" t="s">
        <v>454</v>
      </c>
      <c r="C771">
        <v>2020</v>
      </c>
      <c r="D771">
        <v>11</v>
      </c>
      <c r="E771" t="s">
        <v>100</v>
      </c>
      <c r="F771" t="s">
        <v>426</v>
      </c>
      <c r="G771" t="s">
        <v>84</v>
      </c>
      <c r="H771" t="s">
        <v>59</v>
      </c>
      <c r="I771" t="s">
        <v>427</v>
      </c>
      <c r="J771">
        <v>-17.390262679999999</v>
      </c>
      <c r="K771" t="s">
        <v>440</v>
      </c>
      <c r="L771" t="s">
        <v>452</v>
      </c>
      <c r="M771">
        <v>1.4858046103299999E-3</v>
      </c>
      <c r="N771">
        <v>2.5838532464900039E-2</v>
      </c>
      <c r="O771">
        <v>47588.953000000001</v>
      </c>
      <c r="P771">
        <v>1.500949E-6</v>
      </c>
      <c r="Q771">
        <v>0.14285700000000001</v>
      </c>
      <c r="R771" s="60">
        <v>3.6912152323382249E-3</v>
      </c>
      <c r="S771" t="s">
        <v>348</v>
      </c>
      <c r="T771" t="s">
        <v>438</v>
      </c>
      <c r="U771" t="s">
        <v>425</v>
      </c>
      <c r="V771" t="s">
        <v>28</v>
      </c>
      <c r="W771">
        <v>111.133</v>
      </c>
      <c r="X771">
        <v>1.0727760310708341</v>
      </c>
      <c r="Y771">
        <v>119.22081866099499</v>
      </c>
      <c r="Z771">
        <v>694.38</v>
      </c>
      <c r="AA771">
        <v>0.875</v>
      </c>
      <c r="AB771">
        <v>72.436483054094012</v>
      </c>
      <c r="AC771">
        <v>0.99250000000000005</v>
      </c>
      <c r="AD771" s="62">
        <v>71.893000000000001</v>
      </c>
      <c r="AE771">
        <v>8.9176000000000002</v>
      </c>
      <c r="AF771">
        <v>9.5665875346772715</v>
      </c>
      <c r="AG771">
        <v>0.91300000000000003</v>
      </c>
      <c r="AH771">
        <v>6064.9193587765631</v>
      </c>
      <c r="AI771">
        <v>0.93847214018507585</v>
      </c>
      <c r="AJ771" s="62">
        <v>5691.7578999999996</v>
      </c>
      <c r="AK771" s="60">
        <v>21.00950345926142</v>
      </c>
      <c r="AL771" t="s">
        <v>349</v>
      </c>
      <c r="AM771" t="s">
        <v>439</v>
      </c>
      <c r="AN771" t="s">
        <v>425</v>
      </c>
      <c r="AO771" t="s">
        <v>28</v>
      </c>
      <c r="AP771">
        <v>111.133</v>
      </c>
      <c r="AQ771">
        <v>1.080821157758461</v>
      </c>
      <c r="AR771">
        <v>120.1148977251711</v>
      </c>
      <c r="AS771">
        <v>779.31</v>
      </c>
      <c r="AT771">
        <v>0.879</v>
      </c>
      <c r="AU771">
        <v>82.280325291712501</v>
      </c>
      <c r="AV771">
        <v>0.96379999999999999</v>
      </c>
      <c r="AW771" s="62">
        <v>79.302000000000007</v>
      </c>
      <c r="AX771">
        <v>8.9176000000000002</v>
      </c>
      <c r="AY771">
        <v>0.80400000000000005</v>
      </c>
      <c r="AZ771">
        <v>6039.0430235999738</v>
      </c>
      <c r="BA771">
        <v>0.93699547154951757</v>
      </c>
      <c r="BB771" s="62">
        <v>5658.5559999999996</v>
      </c>
      <c r="BC771" s="60">
        <v>20.88694810023885</v>
      </c>
    </row>
    <row r="772" spans="1:55" x14ac:dyDescent="0.25">
      <c r="A772">
        <v>274511</v>
      </c>
      <c r="B772" t="s">
        <v>455</v>
      </c>
      <c r="C772">
        <v>2020</v>
      </c>
      <c r="D772">
        <v>12</v>
      </c>
      <c r="E772" t="s">
        <v>100</v>
      </c>
      <c r="F772" t="s">
        <v>426</v>
      </c>
      <c r="G772" t="s">
        <v>84</v>
      </c>
      <c r="H772" t="s">
        <v>381</v>
      </c>
      <c r="I772" t="s">
        <v>427</v>
      </c>
      <c r="J772">
        <v>-32.004116019999998</v>
      </c>
      <c r="K772" t="s">
        <v>440</v>
      </c>
      <c r="L772" t="s">
        <v>450</v>
      </c>
      <c r="M772">
        <v>0.15011157993331001</v>
      </c>
      <c r="N772">
        <v>4.8041884206151462</v>
      </c>
      <c r="O772">
        <v>47588.953000000001</v>
      </c>
      <c r="P772">
        <v>1.500949E-6</v>
      </c>
      <c r="Q772">
        <v>0.14285700000000001</v>
      </c>
      <c r="R772" s="60">
        <v>0.686311945203818</v>
      </c>
      <c r="S772" t="s">
        <v>348</v>
      </c>
      <c r="T772" t="s">
        <v>438</v>
      </c>
      <c r="U772" t="s">
        <v>425</v>
      </c>
      <c r="V772" t="s">
        <v>26</v>
      </c>
      <c r="W772">
        <v>111.133</v>
      </c>
      <c r="X772">
        <v>1.0727760310708341</v>
      </c>
      <c r="Y772">
        <v>119.22081866099499</v>
      </c>
      <c r="Z772">
        <v>694.38</v>
      </c>
      <c r="AA772">
        <v>0.875</v>
      </c>
      <c r="AB772">
        <v>72.436483054094012</v>
      </c>
      <c r="AC772">
        <v>0.98270000000000002</v>
      </c>
      <c r="AD772" s="62">
        <v>71.183000000000007</v>
      </c>
      <c r="AE772">
        <v>8.9176000000000002</v>
      </c>
      <c r="AF772">
        <v>9.5665875346772715</v>
      </c>
      <c r="AG772">
        <v>0.91300000000000003</v>
      </c>
      <c r="AH772">
        <v>6064.9193587765631</v>
      </c>
      <c r="AI772">
        <v>0.99365142346989388</v>
      </c>
      <c r="AJ772" s="62">
        <v>6026.4157999999998</v>
      </c>
      <c r="AK772" s="60">
        <v>4136.0011503050227</v>
      </c>
      <c r="AL772" t="s">
        <v>349</v>
      </c>
      <c r="AM772" t="s">
        <v>439</v>
      </c>
      <c r="AN772" t="s">
        <v>425</v>
      </c>
      <c r="AO772" t="s">
        <v>26</v>
      </c>
      <c r="AP772">
        <v>111.133</v>
      </c>
      <c r="AQ772">
        <v>1.080821157758461</v>
      </c>
      <c r="AR772">
        <v>120.1148977251711</v>
      </c>
      <c r="AS772">
        <v>779.31</v>
      </c>
      <c r="AT772">
        <v>0.879</v>
      </c>
      <c r="AU772">
        <v>82.280325291712501</v>
      </c>
      <c r="AV772">
        <v>0.97599999999999998</v>
      </c>
      <c r="AW772" s="62">
        <v>80.305999999999997</v>
      </c>
      <c r="AX772">
        <v>8.9176000000000002</v>
      </c>
      <c r="AY772">
        <v>0.80400000000000005</v>
      </c>
      <c r="AZ772">
        <v>6039.0430235999738</v>
      </c>
      <c r="BA772">
        <v>0.99553615712726917</v>
      </c>
      <c r="BB772" s="62">
        <v>6012.0856999999996</v>
      </c>
      <c r="BC772" s="60">
        <v>4126.1662314990572</v>
      </c>
    </row>
    <row r="773" spans="1:55" x14ac:dyDescent="0.25">
      <c r="A773">
        <v>274513</v>
      </c>
      <c r="B773" t="s">
        <v>455</v>
      </c>
      <c r="C773">
        <v>2020</v>
      </c>
      <c r="D773">
        <v>12</v>
      </c>
      <c r="E773" t="s">
        <v>100</v>
      </c>
      <c r="F773" t="s">
        <v>426</v>
      </c>
      <c r="G773" t="s">
        <v>84</v>
      </c>
      <c r="H773" t="s">
        <v>381</v>
      </c>
      <c r="I773" t="s">
        <v>427</v>
      </c>
      <c r="J773">
        <v>-32.004116019999998</v>
      </c>
      <c r="K773" t="s">
        <v>440</v>
      </c>
      <c r="L773" t="s">
        <v>384</v>
      </c>
      <c r="M773">
        <v>4.5811354346740003E-2</v>
      </c>
      <c r="N773">
        <v>1.466151899694103</v>
      </c>
      <c r="O773">
        <v>47588.953000000001</v>
      </c>
      <c r="P773">
        <v>1.500949E-6</v>
      </c>
      <c r="Q773">
        <v>0.14285700000000001</v>
      </c>
      <c r="R773" s="60">
        <v>0.2094500619346005</v>
      </c>
      <c r="S773" t="s">
        <v>348</v>
      </c>
      <c r="T773" t="s">
        <v>438</v>
      </c>
      <c r="U773" t="s">
        <v>425</v>
      </c>
      <c r="V773" t="s">
        <v>81</v>
      </c>
      <c r="W773">
        <v>111.133</v>
      </c>
      <c r="X773">
        <v>1.0727760310708341</v>
      </c>
      <c r="Y773">
        <v>119.22081866099499</v>
      </c>
      <c r="Z773">
        <v>694.38</v>
      </c>
      <c r="AA773">
        <v>0.875</v>
      </c>
      <c r="AB773">
        <v>72.436483054094012</v>
      </c>
      <c r="AC773">
        <v>0.93500000000000005</v>
      </c>
      <c r="AD773" s="62">
        <v>67.727999999999994</v>
      </c>
      <c r="AE773">
        <v>8.9176000000000002</v>
      </c>
      <c r="AF773">
        <v>9.5665875346772715</v>
      </c>
      <c r="AG773">
        <v>0.91300000000000003</v>
      </c>
      <c r="AH773">
        <v>6064.9193587765631</v>
      </c>
      <c r="AI773">
        <v>1.096171586715867</v>
      </c>
      <c r="AJ773" s="62">
        <v>6648.1922999999997</v>
      </c>
      <c r="AK773" s="60">
        <v>1392.4642889881341</v>
      </c>
      <c r="AL773" t="s">
        <v>349</v>
      </c>
      <c r="AM773" t="s">
        <v>439</v>
      </c>
      <c r="AN773" t="s">
        <v>425</v>
      </c>
      <c r="AO773" t="s">
        <v>81</v>
      </c>
      <c r="AP773">
        <v>111.133</v>
      </c>
      <c r="AQ773">
        <v>1.080821157758461</v>
      </c>
      <c r="AR773">
        <v>120.1148977251711</v>
      </c>
      <c r="AS773">
        <v>779.31</v>
      </c>
      <c r="AT773">
        <v>0.879</v>
      </c>
      <c r="AU773">
        <v>82.280325291712501</v>
      </c>
      <c r="AV773">
        <v>0.93120000000000003</v>
      </c>
      <c r="AW773" s="62">
        <v>76.619</v>
      </c>
      <c r="AX773">
        <v>8.9176000000000002</v>
      </c>
      <c r="AY773">
        <v>0.80400000000000005</v>
      </c>
      <c r="AZ773">
        <v>6039.0430235999738</v>
      </c>
      <c r="BA773">
        <v>1.1187730627306269</v>
      </c>
      <c r="BB773" s="62">
        <v>6756.3186999999998</v>
      </c>
      <c r="BC773" s="60">
        <v>1415.111370164899</v>
      </c>
    </row>
    <row r="774" spans="1:55" x14ac:dyDescent="0.25">
      <c r="A774">
        <v>274515</v>
      </c>
      <c r="B774" t="s">
        <v>455</v>
      </c>
      <c r="C774">
        <v>2020</v>
      </c>
      <c r="D774">
        <v>12</v>
      </c>
      <c r="E774" t="s">
        <v>100</v>
      </c>
      <c r="F774" t="s">
        <v>426</v>
      </c>
      <c r="G774" t="s">
        <v>84</v>
      </c>
      <c r="H774" t="s">
        <v>381</v>
      </c>
      <c r="I774" t="s">
        <v>427</v>
      </c>
      <c r="J774">
        <v>-32.004116019999998</v>
      </c>
      <c r="K774" t="s">
        <v>440</v>
      </c>
      <c r="L774" t="s">
        <v>385</v>
      </c>
      <c r="M774">
        <v>0.43232641346992001</v>
      </c>
      <c r="N774">
        <v>13.836224696595711</v>
      </c>
      <c r="O774">
        <v>47588.953000000001</v>
      </c>
      <c r="P774">
        <v>1.500949E-6</v>
      </c>
      <c r="Q774">
        <v>0.14285700000000001</v>
      </c>
      <c r="R774" s="60">
        <v>1.976601551481574</v>
      </c>
      <c r="S774" t="s">
        <v>348</v>
      </c>
      <c r="T774" t="s">
        <v>438</v>
      </c>
      <c r="U774" t="s">
        <v>425</v>
      </c>
      <c r="V774" t="s">
        <v>27</v>
      </c>
      <c r="W774">
        <v>111.133</v>
      </c>
      <c r="X774">
        <v>1.0727760310708341</v>
      </c>
      <c r="Y774">
        <v>119.22081866099499</v>
      </c>
      <c r="Z774">
        <v>694.38</v>
      </c>
      <c r="AA774">
        <v>0.875</v>
      </c>
      <c r="AB774">
        <v>72.436483054094012</v>
      </c>
      <c r="AC774">
        <v>0.95369999999999999</v>
      </c>
      <c r="AD774" s="62">
        <v>69.082999999999998</v>
      </c>
      <c r="AE774">
        <v>8.9176000000000002</v>
      </c>
      <c r="AF774">
        <v>9.5665875346772715</v>
      </c>
      <c r="AG774">
        <v>0.91300000000000003</v>
      </c>
      <c r="AH774">
        <v>6064.9193587765631</v>
      </c>
      <c r="AI774">
        <v>1.007895816242822</v>
      </c>
      <c r="AJ774" s="62">
        <v>6112.8068000000003</v>
      </c>
      <c r="AK774" s="60">
        <v>12082.583404787119</v>
      </c>
      <c r="AL774" t="s">
        <v>349</v>
      </c>
      <c r="AM774" t="s">
        <v>439</v>
      </c>
      <c r="AN774" t="s">
        <v>425</v>
      </c>
      <c r="AO774" t="s">
        <v>27</v>
      </c>
      <c r="AP774">
        <v>111.133</v>
      </c>
      <c r="AQ774">
        <v>1.080821157758461</v>
      </c>
      <c r="AR774">
        <v>120.1148977251711</v>
      </c>
      <c r="AS774">
        <v>779.31</v>
      </c>
      <c r="AT774">
        <v>0.879</v>
      </c>
      <c r="AU774">
        <v>82.280325291712501</v>
      </c>
      <c r="AV774">
        <v>0.93269999999999997</v>
      </c>
      <c r="AW774" s="62">
        <v>76.742999999999995</v>
      </c>
      <c r="AX774">
        <v>8.9176000000000002</v>
      </c>
      <c r="AY774">
        <v>0.80400000000000005</v>
      </c>
      <c r="AZ774">
        <v>6039.0430235999738</v>
      </c>
      <c r="BA774">
        <v>1.016406890894175</v>
      </c>
      <c r="BB774" s="62">
        <v>6138.1248999999998</v>
      </c>
      <c r="BC774" s="60">
        <v>12132.627200527681</v>
      </c>
    </row>
    <row r="775" spans="1:55" x14ac:dyDescent="0.25">
      <c r="A775">
        <v>274517</v>
      </c>
      <c r="B775" t="s">
        <v>455</v>
      </c>
      <c r="C775">
        <v>2020</v>
      </c>
      <c r="D775">
        <v>12</v>
      </c>
      <c r="E775" t="s">
        <v>100</v>
      </c>
      <c r="F775" t="s">
        <v>426</v>
      </c>
      <c r="G775" t="s">
        <v>84</v>
      </c>
      <c r="H775" t="s">
        <v>381</v>
      </c>
      <c r="I775" t="s">
        <v>427</v>
      </c>
      <c r="J775">
        <v>-32.004116019999998</v>
      </c>
      <c r="K775" t="s">
        <v>440</v>
      </c>
      <c r="L775" t="s">
        <v>451</v>
      </c>
      <c r="M775">
        <v>1.6825115802299999E-3</v>
      </c>
      <c r="N775">
        <v>5.3847295824099202E-2</v>
      </c>
      <c r="O775">
        <v>47588.953000000001</v>
      </c>
      <c r="P775">
        <v>1.500949E-6</v>
      </c>
      <c r="Q775">
        <v>0.14285700000000001</v>
      </c>
      <c r="R775" s="60">
        <v>7.6924631395433396E-3</v>
      </c>
      <c r="S775" t="s">
        <v>348</v>
      </c>
      <c r="T775" t="s">
        <v>438</v>
      </c>
      <c r="U775" t="s">
        <v>425</v>
      </c>
      <c r="V775" t="s">
        <v>91</v>
      </c>
      <c r="W775">
        <v>111.133</v>
      </c>
      <c r="X775">
        <v>1.0727760310708341</v>
      </c>
      <c r="Y775">
        <v>119.22081866099499</v>
      </c>
      <c r="Z775">
        <v>694.38</v>
      </c>
      <c r="AA775">
        <v>0.875</v>
      </c>
      <c r="AB775">
        <v>72.436483054094012</v>
      </c>
      <c r="AC775">
        <v>1.0179</v>
      </c>
      <c r="AD775" s="62">
        <v>73.733000000000004</v>
      </c>
      <c r="AE775">
        <v>8.9176000000000002</v>
      </c>
      <c r="AF775">
        <v>9.5665875346772715</v>
      </c>
      <c r="AG775">
        <v>0.91300000000000003</v>
      </c>
      <c r="AH775">
        <v>6064.9193587765631</v>
      </c>
      <c r="AI775">
        <v>0.98975009761811794</v>
      </c>
      <c r="AJ775" s="62">
        <v>6002.7545</v>
      </c>
      <c r="AK775" s="60">
        <v>46.175967726977909</v>
      </c>
      <c r="AL775" t="s">
        <v>349</v>
      </c>
      <c r="AM775" t="s">
        <v>439</v>
      </c>
      <c r="AN775" t="s">
        <v>425</v>
      </c>
      <c r="AO775" t="s">
        <v>91</v>
      </c>
      <c r="AP775">
        <v>111.133</v>
      </c>
      <c r="AQ775">
        <v>1.080821157758461</v>
      </c>
      <c r="AR775">
        <v>120.1148977251711</v>
      </c>
      <c r="AS775">
        <v>779.31</v>
      </c>
      <c r="AT775">
        <v>0.879</v>
      </c>
      <c r="AU775">
        <v>82.280325291712501</v>
      </c>
      <c r="AV775">
        <v>0.9899</v>
      </c>
      <c r="AW775" s="62">
        <v>81.448999999999998</v>
      </c>
      <c r="AX775">
        <v>8.9176000000000002</v>
      </c>
      <c r="AY775">
        <v>0.80400000000000005</v>
      </c>
      <c r="AZ775">
        <v>6039.0430235999738</v>
      </c>
      <c r="BA775">
        <v>0.99199531433033972</v>
      </c>
      <c r="BB775" s="62">
        <v>5990.7024000000001</v>
      </c>
      <c r="BC775" s="60">
        <v>46.083257391973817</v>
      </c>
    </row>
    <row r="776" spans="1:55" x14ac:dyDescent="0.25">
      <c r="A776">
        <v>274519</v>
      </c>
      <c r="B776" t="s">
        <v>455</v>
      </c>
      <c r="C776">
        <v>2020</v>
      </c>
      <c r="D776">
        <v>12</v>
      </c>
      <c r="E776" t="s">
        <v>100</v>
      </c>
      <c r="F776" t="s">
        <v>426</v>
      </c>
      <c r="G776" t="s">
        <v>84</v>
      </c>
      <c r="H776" t="s">
        <v>381</v>
      </c>
      <c r="I776" t="s">
        <v>427</v>
      </c>
      <c r="J776">
        <v>-32.004116019999998</v>
      </c>
      <c r="K776" t="s">
        <v>440</v>
      </c>
      <c r="L776" t="s">
        <v>452</v>
      </c>
      <c r="M776">
        <v>1.53682162831E-3</v>
      </c>
      <c r="N776">
        <v>4.9184617699433567E-2</v>
      </c>
      <c r="O776">
        <v>47588.953000000001</v>
      </c>
      <c r="P776">
        <v>1.500949E-6</v>
      </c>
      <c r="Q776">
        <v>0.14285700000000001</v>
      </c>
      <c r="R776" s="60">
        <v>7.0263669306879816E-3</v>
      </c>
      <c r="S776" t="s">
        <v>348</v>
      </c>
      <c r="T776" t="s">
        <v>438</v>
      </c>
      <c r="U776" t="s">
        <v>425</v>
      </c>
      <c r="V776" t="s">
        <v>28</v>
      </c>
      <c r="W776">
        <v>111.133</v>
      </c>
      <c r="X776">
        <v>1.0727760310708341</v>
      </c>
      <c r="Y776">
        <v>119.22081866099499</v>
      </c>
      <c r="Z776">
        <v>694.38</v>
      </c>
      <c r="AA776">
        <v>0.875</v>
      </c>
      <c r="AB776">
        <v>72.436483054094012</v>
      </c>
      <c r="AC776">
        <v>0.99250000000000005</v>
      </c>
      <c r="AD776" s="62">
        <v>71.893000000000001</v>
      </c>
      <c r="AE776">
        <v>8.9176000000000002</v>
      </c>
      <c r="AF776">
        <v>9.5665875346772715</v>
      </c>
      <c r="AG776">
        <v>0.91300000000000003</v>
      </c>
      <c r="AH776">
        <v>6064.9193587765631</v>
      </c>
      <c r="AI776">
        <v>0.93847214018507585</v>
      </c>
      <c r="AJ776" s="62">
        <v>5691.7578999999996</v>
      </c>
      <c r="AK776" s="60">
        <v>39.992379486042068</v>
      </c>
      <c r="AL776" t="s">
        <v>349</v>
      </c>
      <c r="AM776" t="s">
        <v>439</v>
      </c>
      <c r="AN776" t="s">
        <v>425</v>
      </c>
      <c r="AO776" t="s">
        <v>28</v>
      </c>
      <c r="AP776">
        <v>111.133</v>
      </c>
      <c r="AQ776">
        <v>1.080821157758461</v>
      </c>
      <c r="AR776">
        <v>120.1148977251711</v>
      </c>
      <c r="AS776">
        <v>779.31</v>
      </c>
      <c r="AT776">
        <v>0.879</v>
      </c>
      <c r="AU776">
        <v>82.280325291712501</v>
      </c>
      <c r="AV776">
        <v>0.96379999999999999</v>
      </c>
      <c r="AW776" s="62">
        <v>79.302000000000007</v>
      </c>
      <c r="AX776">
        <v>8.9176000000000002</v>
      </c>
      <c r="AY776">
        <v>0.80400000000000005</v>
      </c>
      <c r="AZ776">
        <v>6039.0430235999738</v>
      </c>
      <c r="BA776">
        <v>0.93699547154951757</v>
      </c>
      <c r="BB776" s="62">
        <v>5658.5559999999996</v>
      </c>
      <c r="BC776" s="60">
        <v>39.75909075384606</v>
      </c>
    </row>
    <row r="777" spans="1:55" x14ac:dyDescent="0.25">
      <c r="A777">
        <v>274521</v>
      </c>
      <c r="B777" t="s">
        <v>455</v>
      </c>
      <c r="C777">
        <v>2020</v>
      </c>
      <c r="D777">
        <v>12</v>
      </c>
      <c r="E777" t="s">
        <v>100</v>
      </c>
      <c r="F777" t="s">
        <v>426</v>
      </c>
      <c r="G777" t="s">
        <v>84</v>
      </c>
      <c r="H777" t="s">
        <v>87</v>
      </c>
      <c r="I777" t="s">
        <v>427</v>
      </c>
      <c r="J777">
        <v>-5.8835884299999996</v>
      </c>
      <c r="K777" t="s">
        <v>440</v>
      </c>
      <c r="L777" t="s">
        <v>450</v>
      </c>
      <c r="M777">
        <v>0.26601384014995</v>
      </c>
      <c r="N777">
        <v>1.5651159516404789</v>
      </c>
      <c r="O777">
        <v>47588.953000000001</v>
      </c>
      <c r="P777">
        <v>1.500949E-6</v>
      </c>
      <c r="Q777">
        <v>0.14285700000000001</v>
      </c>
      <c r="R777" s="60">
        <v>0.22358776950350401</v>
      </c>
      <c r="S777" t="s">
        <v>348</v>
      </c>
      <c r="T777" t="s">
        <v>438</v>
      </c>
      <c r="U777" t="s">
        <v>425</v>
      </c>
      <c r="V777" t="s">
        <v>26</v>
      </c>
      <c r="W777">
        <v>111.133</v>
      </c>
      <c r="X777">
        <v>1.0727760310708341</v>
      </c>
      <c r="Y777">
        <v>119.22081866099499</v>
      </c>
      <c r="Z777">
        <v>694.38</v>
      </c>
      <c r="AA777">
        <v>0.875</v>
      </c>
      <c r="AB777">
        <v>72.436483054094012</v>
      </c>
      <c r="AC777">
        <v>0.98270000000000002</v>
      </c>
      <c r="AD777" s="62">
        <v>71.183000000000007</v>
      </c>
      <c r="AE777">
        <v>8.9176000000000002</v>
      </c>
      <c r="AF777">
        <v>9.5665875346772715</v>
      </c>
      <c r="AG777">
        <v>0.91300000000000003</v>
      </c>
      <c r="AH777">
        <v>6064.9193587765631</v>
      </c>
      <c r="AI777">
        <v>0.99365142346989388</v>
      </c>
      <c r="AJ777" s="62">
        <v>6026.4157999999998</v>
      </c>
      <c r="AK777" s="60">
        <v>1347.432866822674</v>
      </c>
      <c r="AL777" t="s">
        <v>349</v>
      </c>
      <c r="AM777" t="s">
        <v>439</v>
      </c>
      <c r="AN777" t="s">
        <v>425</v>
      </c>
      <c r="AO777" t="s">
        <v>26</v>
      </c>
      <c r="AP777">
        <v>111.133</v>
      </c>
      <c r="AQ777">
        <v>1.080821157758461</v>
      </c>
      <c r="AR777">
        <v>120.1148977251711</v>
      </c>
      <c r="AS777">
        <v>779.31</v>
      </c>
      <c r="AT777">
        <v>0.879</v>
      </c>
      <c r="AU777">
        <v>82.280325291712501</v>
      </c>
      <c r="AV777">
        <v>0.97599999999999998</v>
      </c>
      <c r="AW777" s="62">
        <v>80.305999999999997</v>
      </c>
      <c r="AX777">
        <v>8.9176000000000002</v>
      </c>
      <c r="AY777">
        <v>0.80400000000000005</v>
      </c>
      <c r="AZ777">
        <v>6039.0430235999738</v>
      </c>
      <c r="BA777">
        <v>0.99553615712726917</v>
      </c>
      <c r="BB777" s="62">
        <v>6012.0856999999996</v>
      </c>
      <c r="BC777" s="60">
        <v>1344.2288317269119</v>
      </c>
    </row>
    <row r="778" spans="1:55" x14ac:dyDescent="0.25">
      <c r="A778">
        <v>274523</v>
      </c>
      <c r="B778" t="s">
        <v>455</v>
      </c>
      <c r="C778">
        <v>2020</v>
      </c>
      <c r="D778">
        <v>12</v>
      </c>
      <c r="E778" t="s">
        <v>100</v>
      </c>
      <c r="F778" t="s">
        <v>426</v>
      </c>
      <c r="G778" t="s">
        <v>84</v>
      </c>
      <c r="H778" t="s">
        <v>87</v>
      </c>
      <c r="I778" t="s">
        <v>427</v>
      </c>
      <c r="J778">
        <v>-5.8835884299999996</v>
      </c>
      <c r="K778" t="s">
        <v>440</v>
      </c>
      <c r="L778" t="s">
        <v>384</v>
      </c>
      <c r="M778">
        <v>3.9509559941419997E-2</v>
      </c>
      <c r="N778">
        <v>0.2324579896736014</v>
      </c>
      <c r="O778">
        <v>47588.953000000001</v>
      </c>
      <c r="P778">
        <v>1.500949E-6</v>
      </c>
      <c r="Q778">
        <v>0.14285700000000001</v>
      </c>
      <c r="R778" s="60">
        <v>3.3208251030801668E-2</v>
      </c>
      <c r="S778" t="s">
        <v>348</v>
      </c>
      <c r="T778" t="s">
        <v>438</v>
      </c>
      <c r="U778" t="s">
        <v>425</v>
      </c>
      <c r="V778" t="s">
        <v>81</v>
      </c>
      <c r="W778">
        <v>111.133</v>
      </c>
      <c r="X778">
        <v>1.0727760310708341</v>
      </c>
      <c r="Y778">
        <v>119.22081866099499</v>
      </c>
      <c r="Z778">
        <v>694.38</v>
      </c>
      <c r="AA778">
        <v>0.875</v>
      </c>
      <c r="AB778">
        <v>72.436483054094012</v>
      </c>
      <c r="AC778">
        <v>0.93500000000000005</v>
      </c>
      <c r="AD778" s="62">
        <v>67.727999999999994</v>
      </c>
      <c r="AE778">
        <v>8.9176000000000002</v>
      </c>
      <c r="AF778">
        <v>9.5665875346772715</v>
      </c>
      <c r="AG778">
        <v>0.91300000000000003</v>
      </c>
      <c r="AH778">
        <v>6064.9193587765631</v>
      </c>
      <c r="AI778">
        <v>1.096171586715867</v>
      </c>
      <c r="AJ778" s="62">
        <v>6648.1922999999997</v>
      </c>
      <c r="AK778" s="60">
        <v>220.77483879944279</v>
      </c>
      <c r="AL778" t="s">
        <v>349</v>
      </c>
      <c r="AM778" t="s">
        <v>439</v>
      </c>
      <c r="AN778" t="s">
        <v>425</v>
      </c>
      <c r="AO778" t="s">
        <v>81</v>
      </c>
      <c r="AP778">
        <v>111.133</v>
      </c>
      <c r="AQ778">
        <v>1.080821157758461</v>
      </c>
      <c r="AR778">
        <v>120.1148977251711</v>
      </c>
      <c r="AS778">
        <v>779.31</v>
      </c>
      <c r="AT778">
        <v>0.879</v>
      </c>
      <c r="AU778">
        <v>82.280325291712501</v>
      </c>
      <c r="AV778">
        <v>0.93120000000000003</v>
      </c>
      <c r="AW778" s="62">
        <v>76.619</v>
      </c>
      <c r="AX778">
        <v>8.9176000000000002</v>
      </c>
      <c r="AY778">
        <v>0.80400000000000005</v>
      </c>
      <c r="AZ778">
        <v>6039.0430235999738</v>
      </c>
      <c r="BA778">
        <v>1.1187730627306269</v>
      </c>
      <c r="BB778" s="62">
        <v>6756.3186999999998</v>
      </c>
      <c r="BC778" s="60">
        <v>224.36552743369961</v>
      </c>
    </row>
    <row r="779" spans="1:55" x14ac:dyDescent="0.25">
      <c r="A779">
        <v>274525</v>
      </c>
      <c r="B779" t="s">
        <v>455</v>
      </c>
      <c r="C779">
        <v>2020</v>
      </c>
      <c r="D779">
        <v>12</v>
      </c>
      <c r="E779" t="s">
        <v>100</v>
      </c>
      <c r="F779" t="s">
        <v>426</v>
      </c>
      <c r="G779" t="s">
        <v>84</v>
      </c>
      <c r="H779" t="s">
        <v>87</v>
      </c>
      <c r="I779" t="s">
        <v>427</v>
      </c>
      <c r="J779">
        <v>-5.8835884299999996</v>
      </c>
      <c r="K779" t="s">
        <v>440</v>
      </c>
      <c r="L779" t="s">
        <v>385</v>
      </c>
      <c r="M779">
        <v>0.39737542925016001</v>
      </c>
      <c r="N779">
        <v>2.3379934771770752</v>
      </c>
      <c r="O779">
        <v>47588.953000000001</v>
      </c>
      <c r="P779">
        <v>1.500949E-6</v>
      </c>
      <c r="Q779">
        <v>0.14285700000000001</v>
      </c>
      <c r="R779" s="60">
        <v>0.33399873416908538</v>
      </c>
      <c r="S779" t="s">
        <v>348</v>
      </c>
      <c r="T779" t="s">
        <v>438</v>
      </c>
      <c r="U779" t="s">
        <v>425</v>
      </c>
      <c r="V779" t="s">
        <v>27</v>
      </c>
      <c r="W779">
        <v>111.133</v>
      </c>
      <c r="X779">
        <v>1.0727760310708341</v>
      </c>
      <c r="Y779">
        <v>119.22081866099499</v>
      </c>
      <c r="Z779">
        <v>694.38</v>
      </c>
      <c r="AA779">
        <v>0.875</v>
      </c>
      <c r="AB779">
        <v>72.436483054094012</v>
      </c>
      <c r="AC779">
        <v>0.95369999999999999</v>
      </c>
      <c r="AD779" s="62">
        <v>69.082999999999998</v>
      </c>
      <c r="AE779">
        <v>8.9176000000000002</v>
      </c>
      <c r="AF779">
        <v>9.5665875346772715</v>
      </c>
      <c r="AG779">
        <v>0.91300000000000003</v>
      </c>
      <c r="AH779">
        <v>6064.9193587765631</v>
      </c>
      <c r="AI779">
        <v>1.007895816242822</v>
      </c>
      <c r="AJ779" s="62">
        <v>6112.8068000000003</v>
      </c>
      <c r="AK779" s="60">
        <v>2041.6697334201781</v>
      </c>
      <c r="AL779" t="s">
        <v>349</v>
      </c>
      <c r="AM779" t="s">
        <v>439</v>
      </c>
      <c r="AN779" t="s">
        <v>425</v>
      </c>
      <c r="AO779" t="s">
        <v>27</v>
      </c>
      <c r="AP779">
        <v>111.133</v>
      </c>
      <c r="AQ779">
        <v>1.080821157758461</v>
      </c>
      <c r="AR779">
        <v>120.1148977251711</v>
      </c>
      <c r="AS779">
        <v>779.31</v>
      </c>
      <c r="AT779">
        <v>0.879</v>
      </c>
      <c r="AU779">
        <v>82.280325291712501</v>
      </c>
      <c r="AV779">
        <v>0.93269999999999997</v>
      </c>
      <c r="AW779" s="62">
        <v>76.742999999999995</v>
      </c>
      <c r="AX779">
        <v>8.9176000000000002</v>
      </c>
      <c r="AY779">
        <v>0.80400000000000005</v>
      </c>
      <c r="AZ779">
        <v>6039.0430235999738</v>
      </c>
      <c r="BA779">
        <v>1.016406890894175</v>
      </c>
      <c r="BB779" s="62">
        <v>6138.1248999999998</v>
      </c>
      <c r="BC779" s="60">
        <v>2050.1259467717441</v>
      </c>
    </row>
    <row r="780" spans="1:55" x14ac:dyDescent="0.25">
      <c r="A780">
        <v>274527</v>
      </c>
      <c r="B780" t="s">
        <v>455</v>
      </c>
      <c r="C780">
        <v>2020</v>
      </c>
      <c r="D780">
        <v>12</v>
      </c>
      <c r="E780" t="s">
        <v>100</v>
      </c>
      <c r="F780" t="s">
        <v>426</v>
      </c>
      <c r="G780" t="s">
        <v>84</v>
      </c>
      <c r="H780" t="s">
        <v>87</v>
      </c>
      <c r="I780" t="s">
        <v>427</v>
      </c>
      <c r="J780">
        <v>-5.8835884299999996</v>
      </c>
      <c r="K780" t="s">
        <v>440</v>
      </c>
      <c r="L780" t="s">
        <v>452</v>
      </c>
      <c r="M780">
        <v>8.4248020759000004E-4</v>
      </c>
      <c r="N780">
        <v>4.956806800342487E-3</v>
      </c>
      <c r="O780">
        <v>47588.953000000001</v>
      </c>
      <c r="P780">
        <v>1.500949E-6</v>
      </c>
      <c r="Q780">
        <v>0.14285700000000001</v>
      </c>
      <c r="R780" s="60">
        <v>7.0811454907652668E-4</v>
      </c>
      <c r="S780" t="s">
        <v>348</v>
      </c>
      <c r="T780" t="s">
        <v>438</v>
      </c>
      <c r="U780" t="s">
        <v>425</v>
      </c>
      <c r="V780" t="s">
        <v>28</v>
      </c>
      <c r="W780">
        <v>111.133</v>
      </c>
      <c r="X780">
        <v>1.0727760310708341</v>
      </c>
      <c r="Y780">
        <v>119.22081866099499</v>
      </c>
      <c r="Z780">
        <v>694.38</v>
      </c>
      <c r="AA780">
        <v>0.875</v>
      </c>
      <c r="AB780">
        <v>72.436483054094012</v>
      </c>
      <c r="AC780">
        <v>0.99250000000000005</v>
      </c>
      <c r="AD780" s="62">
        <v>71.893000000000001</v>
      </c>
      <c r="AE780">
        <v>8.9176000000000002</v>
      </c>
      <c r="AF780">
        <v>9.5665875346772715</v>
      </c>
      <c r="AG780">
        <v>0.91300000000000003</v>
      </c>
      <c r="AH780">
        <v>6064.9193587765631</v>
      </c>
      <c r="AI780">
        <v>0.93847214018507585</v>
      </c>
      <c r="AJ780" s="62">
        <v>5691.7578999999996</v>
      </c>
      <c r="AK780" s="60">
        <v>4.0304165788112583</v>
      </c>
      <c r="AL780" t="s">
        <v>349</v>
      </c>
      <c r="AM780" t="s">
        <v>439</v>
      </c>
      <c r="AN780" t="s">
        <v>425</v>
      </c>
      <c r="AO780" t="s">
        <v>28</v>
      </c>
      <c r="AP780">
        <v>111.133</v>
      </c>
      <c r="AQ780">
        <v>1.080821157758461</v>
      </c>
      <c r="AR780">
        <v>120.1148977251711</v>
      </c>
      <c r="AS780">
        <v>779.31</v>
      </c>
      <c r="AT780">
        <v>0.879</v>
      </c>
      <c r="AU780">
        <v>82.280325291712501</v>
      </c>
      <c r="AV780">
        <v>0.96379999999999999</v>
      </c>
      <c r="AW780" s="62">
        <v>79.302000000000007</v>
      </c>
      <c r="AX780">
        <v>8.9176000000000002</v>
      </c>
      <c r="AY780">
        <v>0.80400000000000005</v>
      </c>
      <c r="AZ780">
        <v>6039.0430235999738</v>
      </c>
      <c r="BA780">
        <v>0.93699547154951757</v>
      </c>
      <c r="BB780" s="62">
        <v>5658.5559999999996</v>
      </c>
      <c r="BC780" s="60">
        <v>4.0069058303642739</v>
      </c>
    </row>
    <row r="781" spans="1:55" x14ac:dyDescent="0.25">
      <c r="A781">
        <v>274529</v>
      </c>
      <c r="B781" t="s">
        <v>455</v>
      </c>
      <c r="C781">
        <v>2020</v>
      </c>
      <c r="D781">
        <v>12</v>
      </c>
      <c r="E781" t="s">
        <v>100</v>
      </c>
      <c r="F781" t="s">
        <v>426</v>
      </c>
      <c r="G781" t="s">
        <v>84</v>
      </c>
      <c r="H781" t="s">
        <v>59</v>
      </c>
      <c r="I781" t="s">
        <v>427</v>
      </c>
      <c r="J781">
        <v>-17.390262679999999</v>
      </c>
      <c r="K781" t="s">
        <v>440</v>
      </c>
      <c r="L781" t="s">
        <v>450</v>
      </c>
      <c r="M781">
        <v>0.15931709696460999</v>
      </c>
      <c r="N781">
        <v>2.7705661656409961</v>
      </c>
      <c r="O781">
        <v>47588.953000000001</v>
      </c>
      <c r="P781">
        <v>1.500949E-6</v>
      </c>
      <c r="Q781">
        <v>0.14285700000000001</v>
      </c>
      <c r="R781" s="60">
        <v>0.39579477072497582</v>
      </c>
      <c r="S781" t="s">
        <v>348</v>
      </c>
      <c r="T781" t="s">
        <v>438</v>
      </c>
      <c r="U781" t="s">
        <v>425</v>
      </c>
      <c r="V781" t="s">
        <v>26</v>
      </c>
      <c r="W781">
        <v>111.133</v>
      </c>
      <c r="X781">
        <v>1.0727760310708341</v>
      </c>
      <c r="Y781">
        <v>119.22081866099499</v>
      </c>
      <c r="Z781">
        <v>694.38</v>
      </c>
      <c r="AA781">
        <v>0.875</v>
      </c>
      <c r="AB781">
        <v>72.436483054094012</v>
      </c>
      <c r="AC781">
        <v>0.98270000000000002</v>
      </c>
      <c r="AD781" s="62">
        <v>71.183000000000007</v>
      </c>
      <c r="AE781">
        <v>8.9176000000000002</v>
      </c>
      <c r="AF781">
        <v>9.5665875346772715</v>
      </c>
      <c r="AG781">
        <v>0.91300000000000003</v>
      </c>
      <c r="AH781">
        <v>6064.9193587765631</v>
      </c>
      <c r="AI781">
        <v>0.99365142346989388</v>
      </c>
      <c r="AJ781" s="62">
        <v>6026.4157999999998</v>
      </c>
      <c r="AK781" s="60">
        <v>2385.2238598543709</v>
      </c>
      <c r="AL781" t="s">
        <v>349</v>
      </c>
      <c r="AM781" t="s">
        <v>439</v>
      </c>
      <c r="AN781" t="s">
        <v>425</v>
      </c>
      <c r="AO781" t="s">
        <v>26</v>
      </c>
      <c r="AP781">
        <v>111.133</v>
      </c>
      <c r="AQ781">
        <v>1.080821157758461</v>
      </c>
      <c r="AR781">
        <v>120.1148977251711</v>
      </c>
      <c r="AS781">
        <v>779.31</v>
      </c>
      <c r="AT781">
        <v>0.879</v>
      </c>
      <c r="AU781">
        <v>82.280325291712501</v>
      </c>
      <c r="AV781">
        <v>0.97599999999999998</v>
      </c>
      <c r="AW781" s="62">
        <v>80.305999999999997</v>
      </c>
      <c r="AX781">
        <v>8.9176000000000002</v>
      </c>
      <c r="AY781">
        <v>0.80400000000000005</v>
      </c>
      <c r="AZ781">
        <v>6039.0430235999738</v>
      </c>
      <c r="BA781">
        <v>0.99553615712726917</v>
      </c>
      <c r="BB781" s="62">
        <v>6012.0856999999996</v>
      </c>
      <c r="BC781" s="60">
        <v>2379.552081210406</v>
      </c>
    </row>
    <row r="782" spans="1:55" x14ac:dyDescent="0.25">
      <c r="A782">
        <v>274531</v>
      </c>
      <c r="B782" t="s">
        <v>455</v>
      </c>
      <c r="C782">
        <v>2020</v>
      </c>
      <c r="D782">
        <v>12</v>
      </c>
      <c r="E782" t="s">
        <v>100</v>
      </c>
      <c r="F782" t="s">
        <v>426</v>
      </c>
      <c r="G782" t="s">
        <v>84</v>
      </c>
      <c r="H782" t="s">
        <v>59</v>
      </c>
      <c r="I782" t="s">
        <v>427</v>
      </c>
      <c r="J782">
        <v>-17.390262679999999</v>
      </c>
      <c r="K782" t="s">
        <v>440</v>
      </c>
      <c r="L782" t="s">
        <v>384</v>
      </c>
      <c r="M782">
        <v>4.1785183859599999E-2</v>
      </c>
      <c r="N782">
        <v>0.72665532345352934</v>
      </c>
      <c r="O782">
        <v>47588.953000000001</v>
      </c>
      <c r="P782">
        <v>1.500949E-6</v>
      </c>
      <c r="Q782">
        <v>0.14285700000000001</v>
      </c>
      <c r="R782" s="60">
        <v>0.1038077995426008</v>
      </c>
      <c r="S782" t="s">
        <v>348</v>
      </c>
      <c r="T782" t="s">
        <v>438</v>
      </c>
      <c r="U782" t="s">
        <v>425</v>
      </c>
      <c r="V782" t="s">
        <v>81</v>
      </c>
      <c r="W782">
        <v>111.133</v>
      </c>
      <c r="X782">
        <v>1.0727760310708341</v>
      </c>
      <c r="Y782">
        <v>119.22081866099499</v>
      </c>
      <c r="Z782">
        <v>694.38</v>
      </c>
      <c r="AA782">
        <v>0.875</v>
      </c>
      <c r="AB782">
        <v>72.436483054094012</v>
      </c>
      <c r="AC782">
        <v>0.93500000000000005</v>
      </c>
      <c r="AD782" s="62">
        <v>67.727999999999994</v>
      </c>
      <c r="AE782">
        <v>8.9176000000000002</v>
      </c>
      <c r="AF782">
        <v>9.5665875346772715</v>
      </c>
      <c r="AG782">
        <v>0.91300000000000003</v>
      </c>
      <c r="AH782">
        <v>6064.9193587765631</v>
      </c>
      <c r="AI782">
        <v>1.096171586715867</v>
      </c>
      <c r="AJ782" s="62">
        <v>6648.1922999999997</v>
      </c>
      <c r="AK782" s="60">
        <v>690.13421359906238</v>
      </c>
      <c r="AL782" t="s">
        <v>349</v>
      </c>
      <c r="AM782" t="s">
        <v>439</v>
      </c>
      <c r="AN782" t="s">
        <v>425</v>
      </c>
      <c r="AO782" t="s">
        <v>81</v>
      </c>
      <c r="AP782">
        <v>111.133</v>
      </c>
      <c r="AQ782">
        <v>1.080821157758461</v>
      </c>
      <c r="AR782">
        <v>120.1148977251711</v>
      </c>
      <c r="AS782">
        <v>779.31</v>
      </c>
      <c r="AT782">
        <v>0.879</v>
      </c>
      <c r="AU782">
        <v>82.280325291712501</v>
      </c>
      <c r="AV782">
        <v>0.93120000000000003</v>
      </c>
      <c r="AW782" s="62">
        <v>76.619</v>
      </c>
      <c r="AX782">
        <v>8.9176000000000002</v>
      </c>
      <c r="AY782">
        <v>0.80400000000000005</v>
      </c>
      <c r="AZ782">
        <v>6039.0430235999738</v>
      </c>
      <c r="BA782">
        <v>1.1187730627306269</v>
      </c>
      <c r="BB782" s="62">
        <v>6756.3186999999998</v>
      </c>
      <c r="BC782" s="60">
        <v>701.35857725552557</v>
      </c>
    </row>
    <row r="783" spans="1:55" x14ac:dyDescent="0.25">
      <c r="A783">
        <v>274533</v>
      </c>
      <c r="B783" t="s">
        <v>455</v>
      </c>
      <c r="C783">
        <v>2020</v>
      </c>
      <c r="D783">
        <v>12</v>
      </c>
      <c r="E783" t="s">
        <v>100</v>
      </c>
      <c r="F783" t="s">
        <v>426</v>
      </c>
      <c r="G783" t="s">
        <v>84</v>
      </c>
      <c r="H783" t="s">
        <v>59</v>
      </c>
      <c r="I783" t="s">
        <v>427</v>
      </c>
      <c r="J783">
        <v>-17.390262679999999</v>
      </c>
      <c r="K783" t="s">
        <v>440</v>
      </c>
      <c r="L783" t="s">
        <v>385</v>
      </c>
      <c r="M783">
        <v>0.43497567483749999</v>
      </c>
      <c r="N783">
        <v>7.5643412448655081</v>
      </c>
      <c r="O783">
        <v>47588.953000000001</v>
      </c>
      <c r="P783">
        <v>1.500949E-6</v>
      </c>
      <c r="Q783">
        <v>0.14285700000000001</v>
      </c>
      <c r="R783" s="60">
        <v>1.0806190972177521</v>
      </c>
      <c r="S783" t="s">
        <v>348</v>
      </c>
      <c r="T783" t="s">
        <v>438</v>
      </c>
      <c r="U783" t="s">
        <v>425</v>
      </c>
      <c r="V783" t="s">
        <v>27</v>
      </c>
      <c r="W783">
        <v>111.133</v>
      </c>
      <c r="X783">
        <v>1.0727760310708341</v>
      </c>
      <c r="Y783">
        <v>119.22081866099499</v>
      </c>
      <c r="Z783">
        <v>694.38</v>
      </c>
      <c r="AA783">
        <v>0.875</v>
      </c>
      <c r="AB783">
        <v>72.436483054094012</v>
      </c>
      <c r="AC783">
        <v>0.95369999999999999</v>
      </c>
      <c r="AD783" s="62">
        <v>69.082999999999998</v>
      </c>
      <c r="AE783">
        <v>8.9176000000000002</v>
      </c>
      <c r="AF783">
        <v>9.5665875346772715</v>
      </c>
      <c r="AG783">
        <v>0.91300000000000003</v>
      </c>
      <c r="AH783">
        <v>6064.9193587765631</v>
      </c>
      <c r="AI783">
        <v>1.007895816242822</v>
      </c>
      <c r="AJ783" s="62">
        <v>6112.8068000000003</v>
      </c>
      <c r="AK783" s="60">
        <v>6605.6157656825362</v>
      </c>
      <c r="AL783" t="s">
        <v>349</v>
      </c>
      <c r="AM783" t="s">
        <v>439</v>
      </c>
      <c r="AN783" t="s">
        <v>425</v>
      </c>
      <c r="AO783" t="s">
        <v>27</v>
      </c>
      <c r="AP783">
        <v>111.133</v>
      </c>
      <c r="AQ783">
        <v>1.080821157758461</v>
      </c>
      <c r="AR783">
        <v>120.1148977251711</v>
      </c>
      <c r="AS783">
        <v>779.31</v>
      </c>
      <c r="AT783">
        <v>0.879</v>
      </c>
      <c r="AU783">
        <v>82.280325291712501</v>
      </c>
      <c r="AV783">
        <v>0.93269999999999997</v>
      </c>
      <c r="AW783" s="62">
        <v>76.742999999999995</v>
      </c>
      <c r="AX783">
        <v>8.9176000000000002</v>
      </c>
      <c r="AY783">
        <v>0.80400000000000005</v>
      </c>
      <c r="AZ783">
        <v>6039.0430235999738</v>
      </c>
      <c r="BA783">
        <v>1.016406890894175</v>
      </c>
      <c r="BB783" s="62">
        <v>6138.1248999999998</v>
      </c>
      <c r="BC783" s="60">
        <v>6632.9749880478048</v>
      </c>
    </row>
    <row r="784" spans="1:55" x14ac:dyDescent="0.25">
      <c r="A784">
        <v>274535</v>
      </c>
      <c r="B784" t="s">
        <v>455</v>
      </c>
      <c r="C784">
        <v>2020</v>
      </c>
      <c r="D784">
        <v>12</v>
      </c>
      <c r="E784" t="s">
        <v>100</v>
      </c>
      <c r="F784" t="s">
        <v>426</v>
      </c>
      <c r="G784" t="s">
        <v>84</v>
      </c>
      <c r="H784" t="s">
        <v>59</v>
      </c>
      <c r="I784" t="s">
        <v>427</v>
      </c>
      <c r="J784">
        <v>-17.390262679999999</v>
      </c>
      <c r="K784" t="s">
        <v>440</v>
      </c>
      <c r="L784" t="s">
        <v>451</v>
      </c>
      <c r="M784">
        <v>1.7625750762999999E-3</v>
      </c>
      <c r="N784">
        <v>3.065164357020413E-2</v>
      </c>
      <c r="O784">
        <v>47588.953000000001</v>
      </c>
      <c r="P784">
        <v>1.500949E-6</v>
      </c>
      <c r="Q784">
        <v>0.14285700000000001</v>
      </c>
      <c r="R784" s="60">
        <v>4.3788018455086517E-3</v>
      </c>
      <c r="S784" t="s">
        <v>348</v>
      </c>
      <c r="T784" t="s">
        <v>438</v>
      </c>
      <c r="U784" t="s">
        <v>425</v>
      </c>
      <c r="V784" t="s">
        <v>91</v>
      </c>
      <c r="W784">
        <v>111.133</v>
      </c>
      <c r="X784">
        <v>1.0727760310708341</v>
      </c>
      <c r="Y784">
        <v>119.22081866099499</v>
      </c>
      <c r="Z784">
        <v>694.38</v>
      </c>
      <c r="AA784">
        <v>0.875</v>
      </c>
      <c r="AB784">
        <v>72.436483054094012</v>
      </c>
      <c r="AC784">
        <v>1.0179</v>
      </c>
      <c r="AD784" s="62">
        <v>73.733000000000004</v>
      </c>
      <c r="AE784">
        <v>8.9176000000000002</v>
      </c>
      <c r="AF784">
        <v>9.5665875346772715</v>
      </c>
      <c r="AG784">
        <v>0.91300000000000003</v>
      </c>
      <c r="AH784">
        <v>6064.9193587765631</v>
      </c>
      <c r="AI784">
        <v>0.98975009761811794</v>
      </c>
      <c r="AJ784" s="62">
        <v>6002.7545</v>
      </c>
      <c r="AK784" s="60">
        <v>26.284872482735359</v>
      </c>
      <c r="AL784" t="s">
        <v>349</v>
      </c>
      <c r="AM784" t="s">
        <v>439</v>
      </c>
      <c r="AN784" t="s">
        <v>425</v>
      </c>
      <c r="AO784" t="s">
        <v>91</v>
      </c>
      <c r="AP784">
        <v>111.133</v>
      </c>
      <c r="AQ784">
        <v>1.080821157758461</v>
      </c>
      <c r="AR784">
        <v>120.1148977251711</v>
      </c>
      <c r="AS784">
        <v>779.31</v>
      </c>
      <c r="AT784">
        <v>0.879</v>
      </c>
      <c r="AU784">
        <v>82.280325291712501</v>
      </c>
      <c r="AV784">
        <v>0.9899</v>
      </c>
      <c r="AW784" s="62">
        <v>81.448999999999998</v>
      </c>
      <c r="AX784">
        <v>8.9176000000000002</v>
      </c>
      <c r="AY784">
        <v>0.80400000000000005</v>
      </c>
      <c r="AZ784">
        <v>6039.0430235999738</v>
      </c>
      <c r="BA784">
        <v>0.99199531433033972</v>
      </c>
      <c r="BB784" s="62">
        <v>5990.7024000000001</v>
      </c>
      <c r="BC784" s="60">
        <v>26.23209872501311</v>
      </c>
    </row>
    <row r="785" spans="1:55" x14ac:dyDescent="0.25">
      <c r="A785">
        <v>274537</v>
      </c>
      <c r="B785" t="s">
        <v>455</v>
      </c>
      <c r="C785">
        <v>2020</v>
      </c>
      <c r="D785">
        <v>12</v>
      </c>
      <c r="E785" t="s">
        <v>100</v>
      </c>
      <c r="F785" t="s">
        <v>426</v>
      </c>
      <c r="G785" t="s">
        <v>84</v>
      </c>
      <c r="H785" t="s">
        <v>59</v>
      </c>
      <c r="I785" t="s">
        <v>427</v>
      </c>
      <c r="J785">
        <v>-17.390262679999999</v>
      </c>
      <c r="K785" t="s">
        <v>440</v>
      </c>
      <c r="L785" t="s">
        <v>452</v>
      </c>
      <c r="M785">
        <v>1.4858046103299999E-3</v>
      </c>
      <c r="N785">
        <v>2.5838532464900029E-2</v>
      </c>
      <c r="O785">
        <v>47588.953000000001</v>
      </c>
      <c r="P785">
        <v>1.500949E-6</v>
      </c>
      <c r="Q785">
        <v>0.14285700000000001</v>
      </c>
      <c r="R785" s="60">
        <v>3.691215232338224E-3</v>
      </c>
      <c r="S785" t="s">
        <v>348</v>
      </c>
      <c r="T785" t="s">
        <v>438</v>
      </c>
      <c r="U785" t="s">
        <v>425</v>
      </c>
      <c r="V785" t="s">
        <v>28</v>
      </c>
      <c r="W785">
        <v>111.133</v>
      </c>
      <c r="X785">
        <v>1.0727760310708341</v>
      </c>
      <c r="Y785">
        <v>119.22081866099499</v>
      </c>
      <c r="Z785">
        <v>694.38</v>
      </c>
      <c r="AA785">
        <v>0.875</v>
      </c>
      <c r="AB785">
        <v>72.436483054094012</v>
      </c>
      <c r="AC785">
        <v>0.99250000000000005</v>
      </c>
      <c r="AD785" s="62">
        <v>71.893000000000001</v>
      </c>
      <c r="AE785">
        <v>8.9176000000000002</v>
      </c>
      <c r="AF785">
        <v>9.5665875346772715</v>
      </c>
      <c r="AG785">
        <v>0.91300000000000003</v>
      </c>
      <c r="AH785">
        <v>6064.9193587765631</v>
      </c>
      <c r="AI785">
        <v>0.93847214018507585</v>
      </c>
      <c r="AJ785" s="62">
        <v>5691.7578999999996</v>
      </c>
      <c r="AK785" s="60">
        <v>21.00950345926142</v>
      </c>
      <c r="AL785" t="s">
        <v>349</v>
      </c>
      <c r="AM785" t="s">
        <v>439</v>
      </c>
      <c r="AN785" t="s">
        <v>425</v>
      </c>
      <c r="AO785" t="s">
        <v>28</v>
      </c>
      <c r="AP785">
        <v>111.133</v>
      </c>
      <c r="AQ785">
        <v>1.080821157758461</v>
      </c>
      <c r="AR785">
        <v>120.1148977251711</v>
      </c>
      <c r="AS785">
        <v>779.31</v>
      </c>
      <c r="AT785">
        <v>0.879</v>
      </c>
      <c r="AU785">
        <v>82.280325291712501</v>
      </c>
      <c r="AV785">
        <v>0.96379999999999999</v>
      </c>
      <c r="AW785" s="62">
        <v>79.302000000000007</v>
      </c>
      <c r="AX785">
        <v>8.9176000000000002</v>
      </c>
      <c r="AY785">
        <v>0.80400000000000005</v>
      </c>
      <c r="AZ785">
        <v>6039.0430235999738</v>
      </c>
      <c r="BA785">
        <v>0.93699547154951757</v>
      </c>
      <c r="BB785" s="62">
        <v>5658.5559999999996</v>
      </c>
      <c r="BC785" s="60">
        <v>20.88694810023885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57" t="s">
        <v>18</v>
      </c>
      <c r="T1" s="37" t="s">
        <v>19</v>
      </c>
      <c r="U1" s="37" t="s">
        <v>75</v>
      </c>
      <c r="V1" s="37" t="s">
        <v>20</v>
      </c>
      <c r="W1" s="37" t="s">
        <v>76</v>
      </c>
      <c r="X1" s="37" t="s">
        <v>21</v>
      </c>
      <c r="Y1" s="37" t="s">
        <v>22</v>
      </c>
      <c r="Z1" s="37" t="s">
        <v>77</v>
      </c>
      <c r="AA1" s="37" t="s">
        <v>23</v>
      </c>
      <c r="AB1" s="37" t="s">
        <v>78</v>
      </c>
      <c r="AC1" s="37" t="s">
        <v>24</v>
      </c>
      <c r="AD1" s="37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38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38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38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38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38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38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38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38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38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38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38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38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38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38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38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38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38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38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38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38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38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38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38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38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38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38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38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38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38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38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38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38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38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38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38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38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38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38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38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38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38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38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38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38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38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38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38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38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38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38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38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38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38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38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38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38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38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38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38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38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38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38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38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38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38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38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38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38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38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38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38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38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38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38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38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38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38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38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38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38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38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38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38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38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38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38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38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38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38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38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38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38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38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38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38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38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38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38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38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38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38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38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38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38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38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38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38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38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38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38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38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38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38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38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38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38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38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38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38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38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38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38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38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38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38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38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38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38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38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38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38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38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38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38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38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38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38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38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38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38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38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38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38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38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38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38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38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38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38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38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38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38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38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38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38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38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38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38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38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38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38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38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38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38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38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38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38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38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38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38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38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38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38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38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38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38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38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38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38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38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38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38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38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38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38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38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38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38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38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38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38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38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38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38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38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38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38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38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38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38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38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38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38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38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38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38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38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38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38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38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38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38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38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38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38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38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38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38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38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38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38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38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38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38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38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38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38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38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38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38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38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38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38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38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38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38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38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38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38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38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38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38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38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38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38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38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38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38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38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38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38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38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38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38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38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38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38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38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38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38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38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38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38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38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38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38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38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38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38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38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38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38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38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38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38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38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38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38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38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38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38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38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38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38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38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38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38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38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38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38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38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38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38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38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38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38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38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38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38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38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38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38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38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38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38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38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38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38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38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38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38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38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38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38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38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38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38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38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38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38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38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38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38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38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38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38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38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38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38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38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38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38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38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38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38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38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38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38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38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38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38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38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38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38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38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38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38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38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38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38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38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38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38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38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38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38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38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38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38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38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38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38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38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38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38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38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38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38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38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38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38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38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38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38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38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38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38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38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38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38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38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38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38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38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38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38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38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38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38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38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38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38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38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38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38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38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38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38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38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38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38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38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38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38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38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38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38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38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38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38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38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38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38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38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38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38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38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38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38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38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38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38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38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38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38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38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38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38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38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38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38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38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38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38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38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38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38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38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38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38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38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38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38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38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38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38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38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38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38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38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38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38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38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38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38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38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38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38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38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38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38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38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38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38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38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38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38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38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"/>
  <sheetViews>
    <sheetView workbookViewId="0">
      <selection activeCell="L7" sqref="L7:S7"/>
    </sheetView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75</v>
      </c>
      <c r="V1" s="37" t="s">
        <v>20</v>
      </c>
      <c r="W1" s="37" t="s">
        <v>76</v>
      </c>
      <c r="X1" s="37" t="s">
        <v>21</v>
      </c>
      <c r="Y1" s="37" t="s">
        <v>22</v>
      </c>
      <c r="Z1" s="37" t="s">
        <v>77</v>
      </c>
      <c r="AA1" s="37" t="s">
        <v>23</v>
      </c>
      <c r="AB1" s="37" t="s">
        <v>78</v>
      </c>
      <c r="AC1" s="37" t="s">
        <v>24</v>
      </c>
      <c r="AD1" s="37" t="s">
        <v>71</v>
      </c>
    </row>
    <row r="2" spans="1:30" x14ac:dyDescent="0.25">
      <c r="B2" s="43">
        <v>42370</v>
      </c>
      <c r="P2" s="38"/>
      <c r="AD2" s="38"/>
    </row>
    <row r="3" spans="1:30" x14ac:dyDescent="0.25">
      <c r="B3" s="43">
        <v>42401</v>
      </c>
      <c r="P3" s="38"/>
      <c r="AD3" s="38"/>
    </row>
    <row r="4" spans="1:30" x14ac:dyDescent="0.25">
      <c r="B4" s="43">
        <v>42430</v>
      </c>
      <c r="P4" s="38"/>
      <c r="AD4" s="38"/>
    </row>
    <row r="5" spans="1:30" x14ac:dyDescent="0.25">
      <c r="B5" s="43">
        <v>42461</v>
      </c>
      <c r="P5" s="38"/>
      <c r="AD5" s="38"/>
    </row>
    <row r="6" spans="1:30" x14ac:dyDescent="0.25">
      <c r="B6" s="43">
        <v>42491</v>
      </c>
      <c r="P6" s="38"/>
      <c r="AD6" s="38"/>
    </row>
    <row r="7" spans="1:30" x14ac:dyDescent="0.25">
      <c r="B7" s="43">
        <v>42522</v>
      </c>
      <c r="P7" s="38"/>
      <c r="AD7" s="38"/>
    </row>
    <row r="8" spans="1:30" x14ac:dyDescent="0.25">
      <c r="B8" s="43">
        <v>42552</v>
      </c>
      <c r="P8" s="38"/>
      <c r="AD8" s="38"/>
    </row>
    <row r="9" spans="1:30" x14ac:dyDescent="0.25">
      <c r="B9" s="43">
        <v>42583</v>
      </c>
      <c r="P9" s="38"/>
      <c r="AD9" s="38"/>
    </row>
    <row r="10" spans="1:30" x14ac:dyDescent="0.25">
      <c r="B10" s="43">
        <v>42614</v>
      </c>
      <c r="P10" s="38"/>
      <c r="AD10" s="38"/>
    </row>
    <row r="11" spans="1:30" x14ac:dyDescent="0.25">
      <c r="B11" s="43">
        <v>42644</v>
      </c>
      <c r="P11" s="38"/>
      <c r="AD11" s="38"/>
    </row>
    <row r="12" spans="1:30" x14ac:dyDescent="0.25">
      <c r="B12" s="43">
        <v>42675</v>
      </c>
      <c r="P12" s="38"/>
      <c r="AD12" s="38"/>
    </row>
    <row r="13" spans="1:30" x14ac:dyDescent="0.25">
      <c r="B13" s="43">
        <v>42705</v>
      </c>
      <c r="P13" s="38"/>
      <c r="AD13" s="38"/>
    </row>
    <row r="14" spans="1:30" x14ac:dyDescent="0.25">
      <c r="B14" s="43">
        <v>42736</v>
      </c>
      <c r="P14" s="38"/>
      <c r="AD14" s="38"/>
    </row>
    <row r="15" spans="1:30" x14ac:dyDescent="0.25">
      <c r="B15" s="43">
        <v>42767</v>
      </c>
      <c r="P15" s="38"/>
      <c r="AD15" s="38"/>
    </row>
    <row r="16" spans="1:30" x14ac:dyDescent="0.25">
      <c r="B16" s="43">
        <v>42795</v>
      </c>
      <c r="P16" s="38"/>
      <c r="AD16" s="38"/>
    </row>
    <row r="17" spans="2:30" x14ac:dyDescent="0.25">
      <c r="B17" s="43">
        <v>42826</v>
      </c>
      <c r="P17" s="38"/>
      <c r="AD17" s="38"/>
    </row>
    <row r="18" spans="2:30" x14ac:dyDescent="0.25">
      <c r="B18" s="43">
        <v>42856</v>
      </c>
      <c r="P18" s="38"/>
      <c r="AD18" s="38"/>
    </row>
    <row r="19" spans="2:30" x14ac:dyDescent="0.25">
      <c r="B19" s="43">
        <v>42887</v>
      </c>
      <c r="P19" s="38"/>
      <c r="AD19" s="38"/>
    </row>
    <row r="20" spans="2:30" x14ac:dyDescent="0.25">
      <c r="B20" s="43">
        <v>42917</v>
      </c>
      <c r="P20" s="38"/>
      <c r="AD20" s="38"/>
    </row>
    <row r="21" spans="2:30" x14ac:dyDescent="0.25">
      <c r="B21" s="43">
        <v>42948</v>
      </c>
      <c r="P21" s="38"/>
      <c r="AD21" s="38"/>
    </row>
    <row r="22" spans="2:30" x14ac:dyDescent="0.25">
      <c r="B22" s="43">
        <v>42979</v>
      </c>
      <c r="P22" s="38"/>
      <c r="AD22" s="38"/>
    </row>
    <row r="23" spans="2:30" x14ac:dyDescent="0.25">
      <c r="B23" s="43">
        <v>43009</v>
      </c>
      <c r="P23" s="38"/>
      <c r="AD23" s="38"/>
    </row>
    <row r="24" spans="2:30" x14ac:dyDescent="0.25">
      <c r="B24" s="43">
        <v>43040</v>
      </c>
      <c r="P24" s="38"/>
      <c r="AD24" s="38"/>
    </row>
    <row r="25" spans="2:30" x14ac:dyDescent="0.25">
      <c r="B25" s="43">
        <v>43070</v>
      </c>
      <c r="P25" s="38"/>
      <c r="AD25" s="38"/>
    </row>
    <row r="26" spans="2:30" x14ac:dyDescent="0.25">
      <c r="B26" s="43">
        <v>43101</v>
      </c>
      <c r="P26" s="38"/>
      <c r="AD26" s="38"/>
    </row>
    <row r="27" spans="2:30" x14ac:dyDescent="0.25">
      <c r="B27" s="43">
        <v>43132</v>
      </c>
      <c r="P27" s="38"/>
      <c r="AD27" s="38"/>
    </row>
    <row r="28" spans="2:30" x14ac:dyDescent="0.25">
      <c r="B28" s="43">
        <v>43160</v>
      </c>
      <c r="P28" s="38"/>
      <c r="AD28" s="38"/>
    </row>
    <row r="29" spans="2:30" x14ac:dyDescent="0.25">
      <c r="B29" s="43">
        <v>43191</v>
      </c>
      <c r="P29" s="38"/>
      <c r="AD29" s="38"/>
    </row>
    <row r="30" spans="2:30" x14ac:dyDescent="0.25">
      <c r="B30" s="43">
        <v>43221</v>
      </c>
      <c r="P30" s="38"/>
      <c r="AD30" s="38"/>
    </row>
    <row r="31" spans="2:30" x14ac:dyDescent="0.25">
      <c r="B31" s="43">
        <v>43252</v>
      </c>
      <c r="P31" s="38"/>
      <c r="AD31" s="38"/>
    </row>
    <row r="32" spans="2:30" x14ac:dyDescent="0.25">
      <c r="B32" s="43">
        <v>43282</v>
      </c>
      <c r="P32" s="38"/>
      <c r="AD32" s="38"/>
    </row>
    <row r="33" spans="2:30" x14ac:dyDescent="0.25">
      <c r="B33" s="43">
        <v>43313</v>
      </c>
      <c r="P33" s="38"/>
      <c r="AD33" s="38"/>
    </row>
    <row r="34" spans="2:30" x14ac:dyDescent="0.25">
      <c r="B34" s="43">
        <v>43344</v>
      </c>
      <c r="P34" s="38"/>
      <c r="AD34" s="38"/>
    </row>
    <row r="35" spans="2:30" x14ac:dyDescent="0.25">
      <c r="B35" s="43">
        <v>43374</v>
      </c>
      <c r="P35" s="38"/>
      <c r="AD35" s="38"/>
    </row>
    <row r="36" spans="2:30" x14ac:dyDescent="0.25">
      <c r="B36" s="43">
        <v>43405</v>
      </c>
      <c r="P36" s="38"/>
      <c r="AD36" s="38"/>
    </row>
    <row r="37" spans="2:30" x14ac:dyDescent="0.25">
      <c r="B37" s="43">
        <v>43435</v>
      </c>
      <c r="P37" s="38"/>
      <c r="AD37" s="38"/>
    </row>
    <row r="38" spans="2:30" x14ac:dyDescent="0.25">
      <c r="B38" s="43">
        <v>43466</v>
      </c>
      <c r="P38" s="38"/>
      <c r="AD38" s="38"/>
    </row>
    <row r="39" spans="2:30" x14ac:dyDescent="0.25">
      <c r="B39" s="43">
        <v>43497</v>
      </c>
      <c r="P39" s="38"/>
      <c r="AD39" s="38"/>
    </row>
    <row r="40" spans="2:30" x14ac:dyDescent="0.25">
      <c r="B40" s="43">
        <v>43525</v>
      </c>
      <c r="P40" s="38"/>
      <c r="AD40" s="38"/>
    </row>
    <row r="41" spans="2:30" x14ac:dyDescent="0.25">
      <c r="B41" s="43">
        <v>43556</v>
      </c>
      <c r="P41" s="38"/>
      <c r="AD41" s="38"/>
    </row>
    <row r="42" spans="2:30" x14ac:dyDescent="0.25">
      <c r="B42" s="43">
        <v>43586</v>
      </c>
      <c r="P42" s="38"/>
      <c r="AD42" s="38"/>
    </row>
    <row r="43" spans="2:30" x14ac:dyDescent="0.25">
      <c r="B43" s="43">
        <v>43617</v>
      </c>
      <c r="P43" s="38"/>
      <c r="AD43" s="38"/>
    </row>
    <row r="44" spans="2:30" x14ac:dyDescent="0.25">
      <c r="B44" s="43">
        <v>43647</v>
      </c>
      <c r="P44" s="38"/>
      <c r="AD44" s="38"/>
    </row>
    <row r="45" spans="2:30" x14ac:dyDescent="0.25">
      <c r="B45" s="43">
        <v>43678</v>
      </c>
      <c r="P45" s="38"/>
      <c r="AD45" s="38"/>
    </row>
    <row r="46" spans="2:30" x14ac:dyDescent="0.25">
      <c r="B46" s="43">
        <v>43709</v>
      </c>
      <c r="P46" s="38"/>
      <c r="AD46" s="38"/>
    </row>
    <row r="47" spans="2:30" x14ac:dyDescent="0.25">
      <c r="B47" s="43">
        <v>43739</v>
      </c>
      <c r="P47" s="38"/>
      <c r="AD47" s="38"/>
    </row>
    <row r="48" spans="2:30" x14ac:dyDescent="0.25">
      <c r="B48" s="43">
        <v>43770</v>
      </c>
      <c r="P48" s="38"/>
      <c r="AD48" s="38"/>
    </row>
    <row r="49" spans="2:30" x14ac:dyDescent="0.25">
      <c r="B49" s="43">
        <v>43800</v>
      </c>
      <c r="P49" s="38"/>
      <c r="AD49" s="38"/>
    </row>
    <row r="50" spans="2:30" x14ac:dyDescent="0.25">
      <c r="B50" s="43">
        <v>43831</v>
      </c>
      <c r="P50" s="38"/>
      <c r="AD50" s="38"/>
    </row>
    <row r="51" spans="2:30" x14ac:dyDescent="0.25">
      <c r="B51" s="43">
        <v>43862</v>
      </c>
      <c r="P51" s="38"/>
      <c r="AD51" s="38"/>
    </row>
    <row r="52" spans="2:30" x14ac:dyDescent="0.25">
      <c r="B52" s="43">
        <v>43891</v>
      </c>
      <c r="P52" s="38"/>
      <c r="AD52" s="38"/>
    </row>
    <row r="53" spans="2:30" x14ac:dyDescent="0.25">
      <c r="B53" s="43">
        <v>43922</v>
      </c>
      <c r="P53" s="38"/>
      <c r="AD53" s="38"/>
    </row>
    <row r="54" spans="2:30" x14ac:dyDescent="0.25">
      <c r="B54" s="43">
        <v>43952</v>
      </c>
      <c r="P54" s="38"/>
      <c r="AD54" s="38"/>
    </row>
    <row r="55" spans="2:30" x14ac:dyDescent="0.25">
      <c r="B55" s="43">
        <v>43983</v>
      </c>
      <c r="P55" s="38"/>
      <c r="AD55" s="38"/>
    </row>
    <row r="56" spans="2:30" x14ac:dyDescent="0.25">
      <c r="B56" s="43">
        <v>44013</v>
      </c>
      <c r="P56" s="38"/>
      <c r="AD56" s="38"/>
    </row>
    <row r="57" spans="2:30" x14ac:dyDescent="0.25">
      <c r="B57" s="43">
        <v>44044</v>
      </c>
      <c r="P57" s="38"/>
      <c r="AD57" s="38"/>
    </row>
    <row r="58" spans="2:30" x14ac:dyDescent="0.25">
      <c r="B58" s="43">
        <v>44075</v>
      </c>
      <c r="P58" s="38"/>
      <c r="AD58" s="38"/>
    </row>
    <row r="59" spans="2:30" x14ac:dyDescent="0.25">
      <c r="B59" s="43">
        <v>44105</v>
      </c>
      <c r="P59" s="38"/>
      <c r="AD59" s="38"/>
    </row>
    <row r="60" spans="2:30" x14ac:dyDescent="0.25">
      <c r="B60" s="43">
        <v>44136</v>
      </c>
      <c r="P60" s="38"/>
      <c r="AD60" s="38"/>
    </row>
    <row r="61" spans="2:30" x14ac:dyDescent="0.25">
      <c r="B61" s="43">
        <v>44166</v>
      </c>
      <c r="P61" s="38"/>
      <c r="AD61" s="38"/>
    </row>
    <row r="62" spans="2:30" x14ac:dyDescent="0.25">
      <c r="B62" s="43">
        <v>44197</v>
      </c>
      <c r="P62" s="38"/>
      <c r="AD62" s="38"/>
    </row>
    <row r="63" spans="2:30" x14ac:dyDescent="0.25">
      <c r="B63" s="43">
        <v>44228</v>
      </c>
      <c r="P63" s="38"/>
      <c r="AD63" s="38"/>
    </row>
    <row r="64" spans="2:30" x14ac:dyDescent="0.25">
      <c r="B64" s="43">
        <v>44256</v>
      </c>
      <c r="P64" s="38"/>
      <c r="AD64" s="38"/>
    </row>
    <row r="65" spans="2:30" x14ac:dyDescent="0.25">
      <c r="B65" s="43">
        <v>44287</v>
      </c>
      <c r="P65" s="38"/>
      <c r="AD65" s="38"/>
    </row>
    <row r="66" spans="2:30" x14ac:dyDescent="0.25">
      <c r="B66" s="43">
        <v>44317</v>
      </c>
      <c r="P66" s="38"/>
      <c r="AD66" s="38"/>
    </row>
    <row r="67" spans="2:30" x14ac:dyDescent="0.25">
      <c r="B67" s="43">
        <v>44348</v>
      </c>
      <c r="P67" s="38"/>
      <c r="AD67" s="38"/>
    </row>
    <row r="68" spans="2:30" x14ac:dyDescent="0.25">
      <c r="B68" s="43">
        <v>44378</v>
      </c>
      <c r="P68" s="38"/>
      <c r="AD68" s="38"/>
    </row>
    <row r="69" spans="2:30" x14ac:dyDescent="0.25">
      <c r="B69" s="43">
        <v>44409</v>
      </c>
      <c r="P69" s="38"/>
      <c r="AD69" s="38"/>
    </row>
    <row r="70" spans="2:30" x14ac:dyDescent="0.25">
      <c r="B70" s="43">
        <v>44440</v>
      </c>
      <c r="P70" s="38"/>
      <c r="AD70" s="38"/>
    </row>
    <row r="71" spans="2:30" x14ac:dyDescent="0.25">
      <c r="B71" s="43">
        <v>44470</v>
      </c>
      <c r="P71" s="38"/>
      <c r="AD71" s="38"/>
    </row>
    <row r="72" spans="2:30" x14ac:dyDescent="0.25">
      <c r="B72" s="43">
        <v>44501</v>
      </c>
      <c r="P72" s="38"/>
      <c r="AD72" s="38"/>
    </row>
    <row r="73" spans="2:30" x14ac:dyDescent="0.25">
      <c r="B73" s="43">
        <v>44531</v>
      </c>
      <c r="P73" s="38"/>
      <c r="AD73" s="38"/>
    </row>
    <row r="74" spans="2:30" x14ac:dyDescent="0.25">
      <c r="B74" s="43">
        <v>44562</v>
      </c>
      <c r="P74" s="38"/>
      <c r="AD74" s="38"/>
    </row>
    <row r="75" spans="2:30" x14ac:dyDescent="0.25">
      <c r="B75" s="43">
        <v>44593</v>
      </c>
      <c r="P75" s="38"/>
      <c r="AD75" s="38"/>
    </row>
    <row r="76" spans="2:30" x14ac:dyDescent="0.25">
      <c r="B76" s="43">
        <v>44621</v>
      </c>
      <c r="P76" s="38"/>
      <c r="AD76" s="38"/>
    </row>
    <row r="77" spans="2:30" x14ac:dyDescent="0.25">
      <c r="B77" s="43">
        <v>44652</v>
      </c>
      <c r="P77" s="38"/>
      <c r="AD77" s="38"/>
    </row>
    <row r="78" spans="2:30" x14ac:dyDescent="0.25">
      <c r="B78" s="43">
        <v>44682</v>
      </c>
      <c r="P78" s="38"/>
      <c r="AD78" s="38"/>
    </row>
    <row r="79" spans="2:30" x14ac:dyDescent="0.25">
      <c r="B79" s="43">
        <v>44713</v>
      </c>
      <c r="P79" s="38"/>
      <c r="AD79" s="38"/>
    </row>
    <row r="80" spans="2:30" x14ac:dyDescent="0.25">
      <c r="B80" s="43">
        <v>44743</v>
      </c>
      <c r="P80" s="38"/>
      <c r="AD80" s="38"/>
    </row>
    <row r="81" spans="2:30" x14ac:dyDescent="0.25">
      <c r="B81" s="43">
        <v>44774</v>
      </c>
      <c r="P81" s="38"/>
      <c r="AD81" s="38"/>
    </row>
    <row r="82" spans="2:30" x14ac:dyDescent="0.25">
      <c r="B82" s="43">
        <v>44805</v>
      </c>
      <c r="P82" s="38"/>
      <c r="AD82" s="38"/>
    </row>
    <row r="83" spans="2:30" x14ac:dyDescent="0.25">
      <c r="B83" s="43">
        <v>44835</v>
      </c>
      <c r="P83" s="38"/>
      <c r="AD83" s="38"/>
    </row>
    <row r="84" spans="2:30" x14ac:dyDescent="0.25">
      <c r="B84" s="43">
        <v>44866</v>
      </c>
      <c r="P84" s="38"/>
      <c r="AD84" s="38"/>
    </row>
    <row r="85" spans="2:30" x14ac:dyDescent="0.25">
      <c r="B85" s="43">
        <v>44896</v>
      </c>
      <c r="P85" s="38"/>
      <c r="AD85" s="38"/>
    </row>
    <row r="86" spans="2:30" x14ac:dyDescent="0.25">
      <c r="B86" s="43">
        <v>44927</v>
      </c>
      <c r="P86" s="38"/>
      <c r="AD86" s="38"/>
    </row>
    <row r="87" spans="2:30" x14ac:dyDescent="0.25">
      <c r="B87" s="43">
        <v>44958</v>
      </c>
      <c r="P87" s="38"/>
      <c r="AD87" s="38"/>
    </row>
    <row r="88" spans="2:30" x14ac:dyDescent="0.25">
      <c r="B88" s="43">
        <v>44986</v>
      </c>
      <c r="P88" s="38"/>
      <c r="AD88" s="38"/>
    </row>
    <row r="89" spans="2:30" x14ac:dyDescent="0.25">
      <c r="B89" s="43">
        <v>45017</v>
      </c>
      <c r="P89" s="38"/>
      <c r="AD89" s="38"/>
    </row>
    <row r="90" spans="2:30" x14ac:dyDescent="0.25">
      <c r="B90" s="43">
        <v>45047</v>
      </c>
      <c r="P90" s="38"/>
      <c r="AD90" s="38"/>
    </row>
    <row r="91" spans="2:30" x14ac:dyDescent="0.25">
      <c r="B91" s="43">
        <v>45078</v>
      </c>
      <c r="P91" s="38"/>
      <c r="AD91" s="38"/>
    </row>
    <row r="92" spans="2:30" x14ac:dyDescent="0.25">
      <c r="B92" s="43">
        <v>45108</v>
      </c>
      <c r="P92" s="38"/>
      <c r="AD92" s="38"/>
    </row>
    <row r="93" spans="2:30" x14ac:dyDescent="0.25">
      <c r="B93" s="43">
        <v>45139</v>
      </c>
      <c r="P93" s="38"/>
      <c r="AD93" s="38"/>
    </row>
    <row r="94" spans="2:30" x14ac:dyDescent="0.25">
      <c r="B94" s="43">
        <v>45170</v>
      </c>
      <c r="P94" s="38"/>
      <c r="AD94" s="38"/>
    </row>
    <row r="95" spans="2:30" x14ac:dyDescent="0.25">
      <c r="B95" s="43">
        <v>45200</v>
      </c>
      <c r="P95" s="38"/>
      <c r="AD95" s="38"/>
    </row>
    <row r="96" spans="2:30" x14ac:dyDescent="0.25">
      <c r="B96" s="43">
        <v>45231</v>
      </c>
      <c r="P96" s="38"/>
      <c r="AD96" s="38"/>
    </row>
    <row r="97" spans="2:30" x14ac:dyDescent="0.25">
      <c r="B97" s="43">
        <v>45261</v>
      </c>
      <c r="P97" s="38"/>
      <c r="AD97" s="38"/>
    </row>
    <row r="98" spans="2:30" x14ac:dyDescent="0.25">
      <c r="B98" s="43">
        <v>45292</v>
      </c>
      <c r="P98" s="38"/>
      <c r="AD98" s="38"/>
    </row>
    <row r="99" spans="2:30" x14ac:dyDescent="0.25">
      <c r="B99" s="43">
        <v>45323</v>
      </c>
      <c r="P99" s="38"/>
      <c r="AD99" s="38"/>
    </row>
    <row r="100" spans="2:30" x14ac:dyDescent="0.25">
      <c r="B100" s="43">
        <v>45352</v>
      </c>
      <c r="P100" s="38"/>
      <c r="AD100" s="38"/>
    </row>
    <row r="101" spans="2:30" x14ac:dyDescent="0.25">
      <c r="B101" s="43">
        <v>45383</v>
      </c>
      <c r="P101" s="38"/>
      <c r="AD101" s="38"/>
    </row>
    <row r="102" spans="2:30" x14ac:dyDescent="0.25">
      <c r="B102" s="43">
        <v>45413</v>
      </c>
      <c r="P102" s="38"/>
      <c r="AD102" s="38"/>
    </row>
    <row r="103" spans="2:30" x14ac:dyDescent="0.25">
      <c r="B103" s="43">
        <v>45444</v>
      </c>
      <c r="P103" s="38"/>
      <c r="AD103" s="38"/>
    </row>
    <row r="104" spans="2:30" x14ac:dyDescent="0.25">
      <c r="B104" s="43">
        <v>45474</v>
      </c>
      <c r="P104" s="38"/>
      <c r="AD104" s="38"/>
    </row>
    <row r="105" spans="2:30" x14ac:dyDescent="0.25">
      <c r="B105" s="43">
        <v>45505</v>
      </c>
      <c r="P105" s="38"/>
      <c r="AD105" s="38"/>
    </row>
    <row r="106" spans="2:30" x14ac:dyDescent="0.25">
      <c r="B106" s="43">
        <v>45536</v>
      </c>
      <c r="P106" s="38"/>
      <c r="AD106" s="38"/>
    </row>
    <row r="107" spans="2:30" x14ac:dyDescent="0.25">
      <c r="B107" s="43">
        <v>45566</v>
      </c>
      <c r="P107" s="38"/>
      <c r="AD107" s="38"/>
    </row>
    <row r="108" spans="2:30" x14ac:dyDescent="0.25">
      <c r="B108" s="43">
        <v>45597</v>
      </c>
      <c r="P108" s="38"/>
      <c r="AD108" s="38"/>
    </row>
    <row r="109" spans="2:30" x14ac:dyDescent="0.25">
      <c r="B109" s="43">
        <v>45627</v>
      </c>
      <c r="P109" s="38"/>
      <c r="AD109" s="38"/>
    </row>
    <row r="110" spans="2:30" x14ac:dyDescent="0.25">
      <c r="B110" s="43">
        <v>45658</v>
      </c>
      <c r="P110" s="38"/>
      <c r="AD110" s="38"/>
    </row>
    <row r="111" spans="2:30" x14ac:dyDescent="0.25">
      <c r="B111" s="43">
        <v>45689</v>
      </c>
      <c r="P111" s="38"/>
      <c r="AD111" s="38"/>
    </row>
    <row r="112" spans="2:30" x14ac:dyDescent="0.25">
      <c r="B112" s="43">
        <v>45717</v>
      </c>
      <c r="P112" s="38"/>
      <c r="AD112" s="38"/>
    </row>
    <row r="113" spans="2:30" x14ac:dyDescent="0.25">
      <c r="B113" s="43">
        <v>45748</v>
      </c>
      <c r="P113" s="38"/>
      <c r="AD113" s="38"/>
    </row>
    <row r="114" spans="2:30" x14ac:dyDescent="0.25">
      <c r="B114" s="43">
        <v>45778</v>
      </c>
      <c r="P114" s="38"/>
      <c r="AD114" s="38"/>
    </row>
    <row r="115" spans="2:30" x14ac:dyDescent="0.25">
      <c r="B115" s="43">
        <v>45809</v>
      </c>
      <c r="P115" s="38"/>
      <c r="AD115" s="38"/>
    </row>
    <row r="116" spans="2:30" x14ac:dyDescent="0.25">
      <c r="B116" s="43">
        <v>45839</v>
      </c>
      <c r="P116" s="38"/>
      <c r="AD116" s="38"/>
    </row>
    <row r="117" spans="2:30" x14ac:dyDescent="0.25">
      <c r="B117" s="43">
        <v>45870</v>
      </c>
      <c r="P117" s="38"/>
      <c r="AD117" s="38"/>
    </row>
    <row r="118" spans="2:30" x14ac:dyDescent="0.25">
      <c r="B118" s="43">
        <v>45901</v>
      </c>
      <c r="P118" s="38"/>
      <c r="AD118" s="38"/>
    </row>
    <row r="119" spans="2:30" x14ac:dyDescent="0.25">
      <c r="B119" s="43">
        <v>45931</v>
      </c>
      <c r="P119" s="38"/>
      <c r="AD119" s="38"/>
    </row>
    <row r="120" spans="2:30" x14ac:dyDescent="0.25">
      <c r="B120" s="43">
        <v>45962</v>
      </c>
      <c r="P120" s="38"/>
      <c r="AD120" s="38"/>
    </row>
    <row r="121" spans="2:30" x14ac:dyDescent="0.25">
      <c r="B121" s="43">
        <v>45992</v>
      </c>
      <c r="P121" s="38"/>
      <c r="AD121" s="38"/>
    </row>
    <row r="122" spans="2:30" x14ac:dyDescent="0.25">
      <c r="B122" s="43">
        <v>46023</v>
      </c>
      <c r="P122" s="38"/>
      <c r="AD122" s="38"/>
    </row>
    <row r="123" spans="2:30" x14ac:dyDescent="0.25">
      <c r="B123" s="43">
        <v>46054</v>
      </c>
      <c r="P123" s="38"/>
      <c r="AD123" s="38"/>
    </row>
    <row r="124" spans="2:30" x14ac:dyDescent="0.25">
      <c r="B124" s="43">
        <v>46082</v>
      </c>
      <c r="P124" s="38"/>
      <c r="AD124" s="38"/>
    </row>
    <row r="125" spans="2:30" x14ac:dyDescent="0.25">
      <c r="B125" s="43">
        <v>46113</v>
      </c>
      <c r="P125" s="38"/>
      <c r="AD125" s="38"/>
    </row>
    <row r="126" spans="2:30" x14ac:dyDescent="0.25">
      <c r="B126" s="43">
        <v>46143</v>
      </c>
      <c r="P126" s="38"/>
      <c r="AD126" s="38"/>
    </row>
    <row r="127" spans="2:30" x14ac:dyDescent="0.25">
      <c r="B127" s="43">
        <v>46174</v>
      </c>
      <c r="P127" s="38"/>
      <c r="AD127" s="38"/>
    </row>
    <row r="128" spans="2:30" x14ac:dyDescent="0.25">
      <c r="B128" s="43">
        <v>46204</v>
      </c>
      <c r="P128" s="38"/>
      <c r="AD128" s="38"/>
    </row>
    <row r="129" spans="2:30" x14ac:dyDescent="0.25">
      <c r="B129" s="43">
        <v>46235</v>
      </c>
      <c r="P129" s="38"/>
      <c r="AD129" s="38"/>
    </row>
    <row r="130" spans="2:30" x14ac:dyDescent="0.25">
      <c r="B130" s="43">
        <v>46266</v>
      </c>
      <c r="P130" s="38"/>
      <c r="AD130" s="38"/>
    </row>
    <row r="131" spans="2:30" x14ac:dyDescent="0.25">
      <c r="B131" s="43">
        <v>46296</v>
      </c>
      <c r="P131" s="38"/>
      <c r="AD131" s="38"/>
    </row>
    <row r="132" spans="2:30" x14ac:dyDescent="0.25">
      <c r="B132" s="43">
        <v>46327</v>
      </c>
      <c r="P132" s="38"/>
      <c r="AD132" s="38"/>
    </row>
    <row r="133" spans="2:30" x14ac:dyDescent="0.25">
      <c r="B133" s="43">
        <v>46357</v>
      </c>
      <c r="P133" s="38"/>
      <c r="AD133" s="38"/>
    </row>
    <row r="134" spans="2:30" x14ac:dyDescent="0.25">
      <c r="B134" s="43">
        <v>46388</v>
      </c>
      <c r="P134" s="38"/>
      <c r="AD134" s="38"/>
    </row>
    <row r="135" spans="2:30" x14ac:dyDescent="0.25">
      <c r="B135" s="43">
        <v>46419</v>
      </c>
      <c r="P135" s="38"/>
      <c r="AD135" s="38"/>
    </row>
    <row r="136" spans="2:30" x14ac:dyDescent="0.25">
      <c r="B136" s="43">
        <v>46447</v>
      </c>
      <c r="P136" s="38"/>
      <c r="AD136" s="38"/>
    </row>
    <row r="137" spans="2:30" x14ac:dyDescent="0.25">
      <c r="B137" s="43">
        <v>46478</v>
      </c>
      <c r="P137" s="38"/>
      <c r="AD137" s="38"/>
    </row>
    <row r="138" spans="2:30" x14ac:dyDescent="0.25">
      <c r="B138" s="43">
        <v>46508</v>
      </c>
      <c r="P138" s="38"/>
      <c r="AD138" s="38"/>
    </row>
    <row r="139" spans="2:30" x14ac:dyDescent="0.25">
      <c r="B139" s="43">
        <v>46539</v>
      </c>
      <c r="P139" s="38"/>
      <c r="AD139" s="38"/>
    </row>
    <row r="140" spans="2:30" x14ac:dyDescent="0.25">
      <c r="B140" s="43">
        <v>46569</v>
      </c>
      <c r="P140" s="38"/>
      <c r="AD140" s="38"/>
    </row>
    <row r="141" spans="2:30" x14ac:dyDescent="0.25">
      <c r="B141" s="43">
        <v>46600</v>
      </c>
      <c r="P141" s="38"/>
      <c r="AD141" s="38"/>
    </row>
    <row r="142" spans="2:30" x14ac:dyDescent="0.25">
      <c r="B142" s="43">
        <v>46631</v>
      </c>
      <c r="P142" s="38"/>
      <c r="AD142" s="38"/>
    </row>
    <row r="143" spans="2:30" x14ac:dyDescent="0.25">
      <c r="B143" s="43">
        <v>46661</v>
      </c>
      <c r="P143" s="38"/>
      <c r="AD143" s="38"/>
    </row>
    <row r="144" spans="2:30" x14ac:dyDescent="0.25">
      <c r="B144" s="43">
        <v>46692</v>
      </c>
      <c r="P144" s="38"/>
      <c r="AD144" s="38"/>
    </row>
    <row r="145" spans="2:30" x14ac:dyDescent="0.25">
      <c r="B145" s="43">
        <v>46722</v>
      </c>
      <c r="P145" s="38"/>
      <c r="AD145" s="38"/>
    </row>
    <row r="146" spans="2:30" x14ac:dyDescent="0.25">
      <c r="B146" s="43">
        <v>46753</v>
      </c>
      <c r="P146" s="38"/>
      <c r="AD146" s="38"/>
    </row>
    <row r="147" spans="2:30" x14ac:dyDescent="0.25">
      <c r="B147" s="43">
        <v>46784</v>
      </c>
      <c r="P147" s="38"/>
      <c r="AD147" s="38"/>
    </row>
    <row r="148" spans="2:30" x14ac:dyDescent="0.25">
      <c r="B148" s="43">
        <v>46813</v>
      </c>
      <c r="P148" s="38"/>
      <c r="AD148" s="38"/>
    </row>
    <row r="149" spans="2:30" x14ac:dyDescent="0.25">
      <c r="B149" s="43">
        <v>46844</v>
      </c>
      <c r="P149" s="38"/>
      <c r="AD149" s="38"/>
    </row>
    <row r="150" spans="2:30" x14ac:dyDescent="0.25">
      <c r="B150" s="43">
        <v>46874</v>
      </c>
      <c r="P150" s="38"/>
      <c r="AD150" s="38"/>
    </row>
    <row r="151" spans="2:30" x14ac:dyDescent="0.25">
      <c r="B151" s="43">
        <v>46905</v>
      </c>
      <c r="P151" s="38"/>
      <c r="AD151" s="38"/>
    </row>
    <row r="152" spans="2:30" x14ac:dyDescent="0.25">
      <c r="B152" s="43">
        <v>46935</v>
      </c>
      <c r="P152" s="38"/>
      <c r="AD152" s="38"/>
    </row>
    <row r="153" spans="2:30" x14ac:dyDescent="0.25">
      <c r="B153" s="43">
        <v>46966</v>
      </c>
      <c r="P153" s="38"/>
      <c r="AD153" s="38"/>
    </row>
    <row r="154" spans="2:30" x14ac:dyDescent="0.25">
      <c r="B154" s="43">
        <v>46997</v>
      </c>
      <c r="P154" s="38"/>
      <c r="AD154" s="38"/>
    </row>
    <row r="155" spans="2:30" x14ac:dyDescent="0.25">
      <c r="B155" s="43">
        <v>47027</v>
      </c>
      <c r="P155" s="38"/>
      <c r="AD155" s="38"/>
    </row>
    <row r="156" spans="2:30" x14ac:dyDescent="0.25">
      <c r="B156" s="43">
        <v>47058</v>
      </c>
      <c r="P156" s="38"/>
      <c r="AD156" s="38"/>
    </row>
    <row r="157" spans="2:30" x14ac:dyDescent="0.25">
      <c r="B157" s="43">
        <v>47088</v>
      </c>
      <c r="P157" s="38"/>
      <c r="AD157" s="38"/>
    </row>
    <row r="158" spans="2:30" x14ac:dyDescent="0.25">
      <c r="B158" s="43">
        <v>47119</v>
      </c>
      <c r="P158" s="38"/>
      <c r="AD158" s="38"/>
    </row>
    <row r="159" spans="2:30" x14ac:dyDescent="0.25">
      <c r="B159" s="43">
        <v>47150</v>
      </c>
      <c r="P159" s="38"/>
      <c r="AD159" s="38"/>
    </row>
    <row r="160" spans="2:30" x14ac:dyDescent="0.25">
      <c r="B160" s="43">
        <v>47178</v>
      </c>
      <c r="P160" s="38"/>
      <c r="AD160" s="38"/>
    </row>
    <row r="161" spans="2:30" x14ac:dyDescent="0.25">
      <c r="B161" s="43">
        <v>47209</v>
      </c>
      <c r="P161" s="38"/>
      <c r="AD161" s="38"/>
    </row>
    <row r="162" spans="2:30" x14ac:dyDescent="0.25">
      <c r="B162" s="43">
        <v>47239</v>
      </c>
      <c r="P162" s="38"/>
      <c r="AD162" s="38"/>
    </row>
    <row r="163" spans="2:30" x14ac:dyDescent="0.25">
      <c r="B163" s="43">
        <v>47270</v>
      </c>
      <c r="P163" s="38"/>
      <c r="AD163" s="38"/>
    </row>
    <row r="164" spans="2:30" x14ac:dyDescent="0.25">
      <c r="B164" s="43">
        <v>47300</v>
      </c>
      <c r="P164" s="38"/>
      <c r="AD164" s="38"/>
    </row>
    <row r="165" spans="2:30" x14ac:dyDescent="0.25">
      <c r="B165" s="43">
        <v>47331</v>
      </c>
      <c r="P165" s="38"/>
      <c r="AD165" s="38"/>
    </row>
    <row r="166" spans="2:30" x14ac:dyDescent="0.25">
      <c r="B166" s="43">
        <v>47362</v>
      </c>
      <c r="P166" s="38"/>
      <c r="AD166" s="38"/>
    </row>
    <row r="167" spans="2:30" x14ac:dyDescent="0.25">
      <c r="B167" s="43">
        <v>47392</v>
      </c>
      <c r="P167" s="38"/>
      <c r="AD167" s="38"/>
    </row>
    <row r="168" spans="2:30" x14ac:dyDescent="0.25">
      <c r="B168" s="43">
        <v>47423</v>
      </c>
      <c r="P168" s="38"/>
      <c r="AD168" s="38"/>
    </row>
    <row r="169" spans="2:30" x14ac:dyDescent="0.25">
      <c r="B169" s="43">
        <v>47453</v>
      </c>
      <c r="P169" s="38"/>
      <c r="AD169" s="38"/>
    </row>
    <row r="170" spans="2:30" x14ac:dyDescent="0.25">
      <c r="B170" s="43">
        <v>47484</v>
      </c>
      <c r="P170" s="38"/>
      <c r="AD170" s="38"/>
    </row>
    <row r="171" spans="2:30" x14ac:dyDescent="0.25">
      <c r="B171" s="43">
        <v>47515</v>
      </c>
      <c r="P171" s="38"/>
      <c r="AD171" s="38"/>
    </row>
    <row r="172" spans="2:30" x14ac:dyDescent="0.25">
      <c r="B172" s="43">
        <v>47543</v>
      </c>
      <c r="P172" s="38"/>
      <c r="AD172" s="38"/>
    </row>
    <row r="173" spans="2:30" x14ac:dyDescent="0.25">
      <c r="B173" s="43">
        <v>47574</v>
      </c>
      <c r="P173" s="38"/>
      <c r="AD173" s="38"/>
    </row>
    <row r="174" spans="2:30" x14ac:dyDescent="0.25">
      <c r="B174" s="43">
        <v>47604</v>
      </c>
      <c r="P174" s="38"/>
      <c r="AD174" s="38"/>
    </row>
    <row r="175" spans="2:30" x14ac:dyDescent="0.25">
      <c r="B175" s="43">
        <v>47635</v>
      </c>
      <c r="P175" s="38"/>
      <c r="AD175" s="38"/>
    </row>
    <row r="176" spans="2:30" x14ac:dyDescent="0.25">
      <c r="B176" s="43">
        <v>47665</v>
      </c>
      <c r="P176" s="38"/>
      <c r="AD176" s="38"/>
    </row>
    <row r="177" spans="2:30" x14ac:dyDescent="0.25">
      <c r="B177" s="43">
        <v>47696</v>
      </c>
      <c r="P177" s="38"/>
      <c r="AD177" s="38"/>
    </row>
    <row r="178" spans="2:30" x14ac:dyDescent="0.25">
      <c r="B178" s="43">
        <v>47727</v>
      </c>
      <c r="P178" s="38"/>
      <c r="AD178" s="38"/>
    </row>
    <row r="179" spans="2:30" x14ac:dyDescent="0.25">
      <c r="B179" s="43">
        <v>47757</v>
      </c>
      <c r="P179" s="38"/>
      <c r="AD179" s="38"/>
    </row>
    <row r="180" spans="2:30" x14ac:dyDescent="0.25">
      <c r="B180" s="43">
        <v>47788</v>
      </c>
      <c r="P180" s="38"/>
      <c r="AD180" s="38"/>
    </row>
    <row r="181" spans="2:30" x14ac:dyDescent="0.25">
      <c r="B181" s="43">
        <v>47818</v>
      </c>
      <c r="P181" s="38"/>
      <c r="AD181" s="38"/>
    </row>
    <row r="182" spans="2:30" x14ac:dyDescent="0.25">
      <c r="B182" s="43">
        <v>47849</v>
      </c>
      <c r="P182" s="38"/>
      <c r="AD182" s="38"/>
    </row>
    <row r="183" spans="2:30" x14ac:dyDescent="0.25">
      <c r="B183" s="43">
        <v>47880</v>
      </c>
      <c r="P183" s="38"/>
      <c r="AD183" s="38"/>
    </row>
    <row r="184" spans="2:30" x14ac:dyDescent="0.25">
      <c r="B184" s="43">
        <v>47908</v>
      </c>
      <c r="P184" s="38"/>
      <c r="AD184" s="38"/>
    </row>
    <row r="185" spans="2:30" x14ac:dyDescent="0.25">
      <c r="B185" s="43">
        <v>47939</v>
      </c>
      <c r="P185" s="38"/>
      <c r="AD185" s="38"/>
    </row>
    <row r="186" spans="2:30" x14ac:dyDescent="0.25">
      <c r="B186" s="43">
        <v>47969</v>
      </c>
      <c r="P186" s="38"/>
      <c r="AD186" s="38"/>
    </row>
    <row r="187" spans="2:30" x14ac:dyDescent="0.25">
      <c r="B187" s="43">
        <v>48000</v>
      </c>
      <c r="P187" s="38"/>
      <c r="AD187" s="38"/>
    </row>
    <row r="188" spans="2:30" x14ac:dyDescent="0.25">
      <c r="B188" s="43">
        <v>48030</v>
      </c>
      <c r="P188" s="38"/>
      <c r="AD188" s="38"/>
    </row>
    <row r="189" spans="2:30" x14ac:dyDescent="0.25">
      <c r="B189" s="43">
        <v>48061</v>
      </c>
      <c r="P189" s="38"/>
      <c r="AD189" s="38"/>
    </row>
    <row r="190" spans="2:30" x14ac:dyDescent="0.25">
      <c r="B190" s="43">
        <v>48092</v>
      </c>
      <c r="P190" s="38"/>
      <c r="AD190" s="38"/>
    </row>
    <row r="191" spans="2:30" x14ac:dyDescent="0.25">
      <c r="B191" s="43">
        <v>48122</v>
      </c>
      <c r="P191" s="38"/>
      <c r="AD191" s="38"/>
    </row>
    <row r="192" spans="2:30" x14ac:dyDescent="0.25">
      <c r="B192" s="43">
        <v>48153</v>
      </c>
      <c r="P192" s="38"/>
      <c r="AD192" s="38"/>
    </row>
    <row r="193" spans="2:30" x14ac:dyDescent="0.25">
      <c r="B193" s="43">
        <v>48183</v>
      </c>
      <c r="P193" s="38"/>
      <c r="AD193" s="38"/>
    </row>
    <row r="194" spans="2:30" x14ac:dyDescent="0.25">
      <c r="B194" s="43">
        <v>48214</v>
      </c>
      <c r="P194" s="38"/>
      <c r="AD194" s="38"/>
    </row>
    <row r="195" spans="2:30" x14ac:dyDescent="0.25">
      <c r="B195" s="43">
        <v>48245</v>
      </c>
      <c r="P195" s="38"/>
      <c r="AD195" s="38"/>
    </row>
    <row r="196" spans="2:30" x14ac:dyDescent="0.25">
      <c r="B196" s="43">
        <v>48274</v>
      </c>
      <c r="P196" s="38"/>
      <c r="AD196" s="38"/>
    </row>
    <row r="197" spans="2:30" x14ac:dyDescent="0.25">
      <c r="B197" s="43">
        <v>48305</v>
      </c>
      <c r="P197" s="38"/>
      <c r="AD197" s="38"/>
    </row>
    <row r="198" spans="2:30" x14ac:dyDescent="0.25">
      <c r="B198" s="43">
        <v>48335</v>
      </c>
      <c r="P198" s="38"/>
      <c r="AD198" s="38"/>
    </row>
    <row r="199" spans="2:30" x14ac:dyDescent="0.25">
      <c r="B199" s="43">
        <v>48366</v>
      </c>
      <c r="P199" s="38"/>
      <c r="AD199" s="38"/>
    </row>
    <row r="200" spans="2:30" x14ac:dyDescent="0.25">
      <c r="B200" s="43">
        <v>48396</v>
      </c>
      <c r="P200" s="38"/>
      <c r="AD200" s="38"/>
    </row>
    <row r="201" spans="2:30" x14ac:dyDescent="0.25">
      <c r="B201" s="43">
        <v>48427</v>
      </c>
      <c r="P201" s="38"/>
      <c r="AD201" s="38"/>
    </row>
    <row r="202" spans="2:30" x14ac:dyDescent="0.25">
      <c r="B202" s="43">
        <v>48458</v>
      </c>
      <c r="P202" s="38"/>
      <c r="AD202" s="38"/>
    </row>
    <row r="203" spans="2:30" x14ac:dyDescent="0.25">
      <c r="B203" s="43">
        <v>48488</v>
      </c>
      <c r="P203" s="38"/>
      <c r="AD203" s="38"/>
    </row>
    <row r="204" spans="2:30" x14ac:dyDescent="0.25">
      <c r="B204" s="43">
        <v>48519</v>
      </c>
      <c r="P204" s="38"/>
      <c r="AD204" s="38"/>
    </row>
    <row r="205" spans="2:30" x14ac:dyDescent="0.25">
      <c r="B205" s="43">
        <v>48549</v>
      </c>
      <c r="P205" s="38"/>
      <c r="AD205" s="38"/>
    </row>
    <row r="206" spans="2:30" x14ac:dyDescent="0.25">
      <c r="B206" s="43">
        <v>48580</v>
      </c>
      <c r="P206" s="38"/>
      <c r="AD206" s="38"/>
    </row>
    <row r="207" spans="2:30" x14ac:dyDescent="0.25">
      <c r="B207" s="43">
        <v>48611</v>
      </c>
      <c r="P207" s="38"/>
      <c r="AD207" s="38"/>
    </row>
    <row r="208" spans="2:30" x14ac:dyDescent="0.25">
      <c r="B208" s="43">
        <v>48639</v>
      </c>
      <c r="P208" s="38"/>
      <c r="AD208" s="38"/>
    </row>
    <row r="209" spans="2:30" x14ac:dyDescent="0.25">
      <c r="B209" s="43">
        <v>48670</v>
      </c>
      <c r="P209" s="38"/>
      <c r="AD209" s="38"/>
    </row>
    <row r="210" spans="2:30" x14ac:dyDescent="0.25">
      <c r="B210" s="43">
        <v>48700</v>
      </c>
      <c r="P210" s="38"/>
      <c r="AD210" s="38"/>
    </row>
    <row r="211" spans="2:30" x14ac:dyDescent="0.25">
      <c r="B211" s="43">
        <v>48731</v>
      </c>
      <c r="P211" s="38"/>
      <c r="AD211" s="38"/>
    </row>
    <row r="212" spans="2:30" x14ac:dyDescent="0.25">
      <c r="B212" s="43">
        <v>48761</v>
      </c>
      <c r="P212" s="38"/>
      <c r="AD212" s="38"/>
    </row>
    <row r="213" spans="2:30" x14ac:dyDescent="0.25">
      <c r="B213" s="43">
        <v>48792</v>
      </c>
      <c r="P213" s="38"/>
      <c r="AD213" s="38"/>
    </row>
    <row r="214" spans="2:30" x14ac:dyDescent="0.25">
      <c r="B214" s="43">
        <v>48823</v>
      </c>
      <c r="P214" s="38"/>
      <c r="AD214" s="38"/>
    </row>
    <row r="215" spans="2:30" x14ac:dyDescent="0.25">
      <c r="B215" s="43">
        <v>48853</v>
      </c>
      <c r="P215" s="38"/>
      <c r="AD215" s="38"/>
    </row>
    <row r="216" spans="2:30" x14ac:dyDescent="0.25">
      <c r="B216" s="43">
        <v>48884</v>
      </c>
      <c r="P216" s="38"/>
      <c r="AD216" s="38"/>
    </row>
    <row r="217" spans="2:30" x14ac:dyDescent="0.25">
      <c r="B217" s="43">
        <v>48914</v>
      </c>
      <c r="P217" s="38"/>
      <c r="AD217" s="38"/>
    </row>
    <row r="218" spans="2:30" x14ac:dyDescent="0.25">
      <c r="B218" s="43">
        <v>48945</v>
      </c>
      <c r="P218" s="38"/>
      <c r="AD218" s="38"/>
    </row>
    <row r="219" spans="2:30" x14ac:dyDescent="0.25">
      <c r="B219" s="43">
        <v>48976</v>
      </c>
      <c r="P219" s="38"/>
      <c r="AD219" s="38"/>
    </row>
    <row r="220" spans="2:30" x14ac:dyDescent="0.25">
      <c r="B220" s="43">
        <v>49004</v>
      </c>
      <c r="P220" s="38"/>
      <c r="AD220" s="38"/>
    </row>
    <row r="221" spans="2:30" x14ac:dyDescent="0.25">
      <c r="B221" s="43">
        <v>49035</v>
      </c>
      <c r="P221" s="38"/>
      <c r="AD221" s="38"/>
    </row>
    <row r="222" spans="2:30" x14ac:dyDescent="0.25">
      <c r="B222" s="43">
        <v>49065</v>
      </c>
      <c r="P222" s="38"/>
      <c r="AD222" s="38"/>
    </row>
    <row r="223" spans="2:30" x14ac:dyDescent="0.25">
      <c r="B223" s="43">
        <v>49096</v>
      </c>
      <c r="P223" s="38"/>
      <c r="AD223" s="38"/>
    </row>
    <row r="224" spans="2:30" x14ac:dyDescent="0.25">
      <c r="B224" s="43">
        <v>49126</v>
      </c>
      <c r="P224" s="38"/>
      <c r="AD224" s="38"/>
    </row>
    <row r="225" spans="2:30" x14ac:dyDescent="0.25">
      <c r="B225" s="43">
        <v>49157</v>
      </c>
      <c r="P225" s="38"/>
      <c r="AD225" s="38"/>
    </row>
    <row r="226" spans="2:30" x14ac:dyDescent="0.25">
      <c r="B226" s="43">
        <v>49188</v>
      </c>
      <c r="P226" s="38"/>
      <c r="AD226" s="38"/>
    </row>
    <row r="227" spans="2:30" x14ac:dyDescent="0.25">
      <c r="B227" s="43">
        <v>49218</v>
      </c>
      <c r="P227" s="38"/>
      <c r="AD227" s="38"/>
    </row>
    <row r="228" spans="2:30" x14ac:dyDescent="0.25">
      <c r="B228" s="43">
        <v>49249</v>
      </c>
      <c r="P228" s="38"/>
      <c r="AD228" s="38"/>
    </row>
    <row r="229" spans="2:30" x14ac:dyDescent="0.25">
      <c r="B229" s="43">
        <v>49279</v>
      </c>
      <c r="P229" s="38"/>
      <c r="AD229" s="38"/>
    </row>
    <row r="230" spans="2:30" x14ac:dyDescent="0.25">
      <c r="B230" s="43">
        <v>49310</v>
      </c>
      <c r="P230" s="38"/>
      <c r="AD230" s="38"/>
    </row>
    <row r="231" spans="2:30" x14ac:dyDescent="0.25">
      <c r="B231" s="43">
        <v>49341</v>
      </c>
      <c r="P231" s="38"/>
      <c r="AD231" s="38"/>
    </row>
    <row r="232" spans="2:30" x14ac:dyDescent="0.25">
      <c r="B232" s="43">
        <v>49369</v>
      </c>
      <c r="P232" s="38"/>
      <c r="AD232" s="38"/>
    </row>
    <row r="233" spans="2:30" x14ac:dyDescent="0.25">
      <c r="B233" s="43">
        <v>49400</v>
      </c>
      <c r="P233" s="38"/>
      <c r="AD233" s="38"/>
    </row>
    <row r="234" spans="2:30" x14ac:dyDescent="0.25">
      <c r="B234" s="43">
        <v>49430</v>
      </c>
      <c r="P234" s="38"/>
      <c r="AD234" s="38"/>
    </row>
    <row r="235" spans="2:30" x14ac:dyDescent="0.25">
      <c r="B235" s="43">
        <v>49461</v>
      </c>
      <c r="P235" s="38"/>
      <c r="AD235" s="3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A11" sqref="A11"/>
    </sheetView>
  </sheetViews>
  <sheetFormatPr baseColWidth="10" defaultColWidth="11.5703125" defaultRowHeight="11.45" customHeight="1" x14ac:dyDescent="0.2"/>
  <cols>
    <col min="1" max="1" width="17.28515625" style="44" customWidth="1"/>
    <col min="2" max="2" width="14.42578125" style="45" customWidth="1"/>
    <col min="3" max="3" width="22.28515625" style="45" customWidth="1"/>
    <col min="4" max="4" width="9.28515625" style="45" bestFit="1" customWidth="1"/>
    <col min="5" max="5" width="11.5703125" style="45" customWidth="1"/>
    <col min="6" max="6" width="9.7109375" style="45" bestFit="1" customWidth="1"/>
    <col min="7" max="7" width="63.7109375" style="44" bestFit="1" customWidth="1"/>
    <col min="8" max="16384" width="11.5703125" style="44"/>
  </cols>
  <sheetData>
    <row r="1" spans="1:7" ht="12" x14ac:dyDescent="0.2">
      <c r="A1" s="46" t="s">
        <v>302</v>
      </c>
      <c r="B1" s="47" t="s">
        <v>303</v>
      </c>
      <c r="C1" s="47" t="s">
        <v>304</v>
      </c>
      <c r="D1" s="47" t="s">
        <v>305</v>
      </c>
      <c r="E1" s="47" t="s">
        <v>306</v>
      </c>
      <c r="F1" s="47" t="s">
        <v>307</v>
      </c>
      <c r="G1" s="47" t="s">
        <v>308</v>
      </c>
    </row>
    <row r="2" spans="1:7" ht="12" x14ac:dyDescent="0.2">
      <c r="A2" s="44" t="s">
        <v>333</v>
      </c>
      <c r="B2" s="48">
        <v>42588</v>
      </c>
      <c r="C2" s="45" t="s">
        <v>334</v>
      </c>
      <c r="D2" s="48">
        <v>42566</v>
      </c>
      <c r="E2" s="48">
        <v>42594</v>
      </c>
      <c r="F2" s="50">
        <v>5.4600000000000003E-2</v>
      </c>
      <c r="G2" s="44" t="s">
        <v>335</v>
      </c>
    </row>
    <row r="3" spans="1:7" ht="12" x14ac:dyDescent="0.2">
      <c r="A3" s="44" t="s">
        <v>336</v>
      </c>
      <c r="B3" s="48">
        <v>42614</v>
      </c>
      <c r="C3" s="45" t="s">
        <v>337</v>
      </c>
      <c r="D3" s="48">
        <v>42595</v>
      </c>
      <c r="E3" s="48">
        <v>42627</v>
      </c>
      <c r="F3" s="50">
        <v>5.4199999999999998E-2</v>
      </c>
      <c r="G3" s="44" t="s">
        <v>338</v>
      </c>
    </row>
    <row r="4" spans="1:7" ht="12" x14ac:dyDescent="0.2">
      <c r="A4" s="44" t="s">
        <v>339</v>
      </c>
      <c r="B4" s="48">
        <v>43018</v>
      </c>
      <c r="C4" s="45" t="s">
        <v>340</v>
      </c>
      <c r="D4" s="48">
        <v>42993</v>
      </c>
      <c r="E4" s="48">
        <v>43021</v>
      </c>
      <c r="F4" s="50">
        <v>4.1599999999999998E-2</v>
      </c>
      <c r="G4" s="44" t="s">
        <v>341</v>
      </c>
    </row>
    <row r="5" spans="1:7" ht="12" x14ac:dyDescent="0.2">
      <c r="A5" s="44" t="s">
        <v>342</v>
      </c>
      <c r="B5" s="48">
        <v>43018</v>
      </c>
      <c r="C5" s="45" t="s">
        <v>340</v>
      </c>
      <c r="D5" s="48">
        <v>42993</v>
      </c>
      <c r="E5" s="48">
        <v>43021</v>
      </c>
      <c r="F5" s="50">
        <v>4.1599999999999998E-2</v>
      </c>
      <c r="G5" s="44" t="s">
        <v>341</v>
      </c>
    </row>
    <row r="6" spans="1:7" ht="12" x14ac:dyDescent="0.2">
      <c r="A6" s="44" t="s">
        <v>343</v>
      </c>
      <c r="B6" s="48">
        <v>43183</v>
      </c>
      <c r="C6" s="45" t="s">
        <v>344</v>
      </c>
      <c r="D6" s="48">
        <v>43174</v>
      </c>
      <c r="E6" s="48">
        <v>43203</v>
      </c>
      <c r="F6" s="50">
        <v>4.2000000000000003E-2</v>
      </c>
      <c r="G6" s="44" t="s">
        <v>345</v>
      </c>
    </row>
    <row r="7" spans="1:7" ht="12" x14ac:dyDescent="0.2">
      <c r="A7" s="44" t="s">
        <v>346</v>
      </c>
      <c r="B7" s="48">
        <v>43371</v>
      </c>
      <c r="C7" s="45" t="s">
        <v>309</v>
      </c>
      <c r="D7" s="48">
        <v>43358</v>
      </c>
      <c r="E7" s="48">
        <v>43385</v>
      </c>
      <c r="F7" s="49">
        <v>4.3799999999999999E-2</v>
      </c>
      <c r="G7" s="44" t="s">
        <v>310</v>
      </c>
    </row>
    <row r="8" spans="1:7" ht="12" x14ac:dyDescent="0.2">
      <c r="A8" s="44" t="s">
        <v>347</v>
      </c>
      <c r="B8" s="48">
        <v>43591</v>
      </c>
      <c r="C8" s="45" t="s">
        <v>311</v>
      </c>
      <c r="D8" s="48">
        <v>43570</v>
      </c>
      <c r="E8" s="48">
        <v>43599</v>
      </c>
      <c r="F8" s="49">
        <v>4.4600000000000001E-2</v>
      </c>
      <c r="G8" s="44" t="s">
        <v>312</v>
      </c>
    </row>
    <row r="9" spans="1:7" ht="12" x14ac:dyDescent="0.2">
      <c r="A9" s="44" t="s">
        <v>348</v>
      </c>
      <c r="B9" s="48">
        <v>44137</v>
      </c>
      <c r="C9" s="45" t="s">
        <v>313</v>
      </c>
      <c r="D9" s="48">
        <v>44119</v>
      </c>
      <c r="E9" s="48">
        <v>44148</v>
      </c>
      <c r="F9" s="50">
        <v>3.61E-2</v>
      </c>
      <c r="G9" s="44" t="s">
        <v>314</v>
      </c>
    </row>
    <row r="10" spans="1:7" ht="12" x14ac:dyDescent="0.2">
      <c r="A10" s="44" t="s">
        <v>349</v>
      </c>
      <c r="B10" s="48">
        <v>44275</v>
      </c>
      <c r="C10" s="45" t="s">
        <v>315</v>
      </c>
      <c r="D10" s="48">
        <v>44270</v>
      </c>
      <c r="E10" s="48">
        <v>44300</v>
      </c>
      <c r="F10" s="50">
        <v>3.9100000000000003E-2</v>
      </c>
      <c r="G10" s="44" t="s">
        <v>316</v>
      </c>
    </row>
    <row r="11" spans="1:7" ht="11.45" customHeight="1" x14ac:dyDescent="0.2">
      <c r="A11" s="44" t="s">
        <v>350</v>
      </c>
      <c r="B11" s="48">
        <v>44336</v>
      </c>
      <c r="C11" s="45" t="s">
        <v>317</v>
      </c>
      <c r="D11" s="48">
        <v>44330</v>
      </c>
      <c r="F11" s="50">
        <v>3.2800000000000003E-2</v>
      </c>
      <c r="G11" s="44" t="s">
        <v>318</v>
      </c>
    </row>
    <row r="13" spans="1:7" ht="11.45" customHeight="1" x14ac:dyDescent="0.2">
      <c r="A13" s="44" t="s">
        <v>300</v>
      </c>
    </row>
    <row r="14" spans="1:7" ht="12" x14ac:dyDescent="0.2">
      <c r="A14" s="44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README</vt:lpstr>
      <vt:lpstr>MAPA_DATA</vt:lpstr>
      <vt:lpstr>ReliquidacionEFACT</vt:lpstr>
      <vt:lpstr>ReliquidacionCEN</vt:lpstr>
      <vt:lpstr>ResumenRetiros</vt:lpstr>
      <vt:lpstr>FACT_EMITIDA</vt:lpstr>
      <vt:lpstr>SIGGE_E</vt:lpstr>
      <vt:lpstr>SIGGE_P</vt:lpstr>
      <vt:lpstr>FACT_EST_EFACT</vt:lpstr>
      <vt:lpstr>FactRealE</vt:lpstr>
      <vt:lpstr>FactRealP</vt:lpstr>
      <vt:lpstr>CEN_Energia</vt:lpstr>
      <vt:lpstr>CEN_Potencia</vt:lpstr>
      <vt:lpstr>EFACT_CNE</vt:lpstr>
      <vt:lpstr>EFACT_EST_CEN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2022-04-01T14:51:34Z</dcterms:modified>
</cp:coreProperties>
</file>