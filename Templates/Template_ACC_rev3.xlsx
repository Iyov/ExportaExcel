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cardenas\Desktop\"/>
    </mc:Choice>
  </mc:AlternateContent>
  <bookViews>
    <workbookView xWindow="0" yWindow="0" windowWidth="23040" windowHeight="8904" tabRatio="793" activeTab="2"/>
  </bookViews>
  <sheets>
    <sheet name="README" sheetId="18" r:id="rId1"/>
    <sheet name="MAPA_DATA" sheetId="12" r:id="rId2"/>
    <sheet name="Reliquidacion" sheetId="7" r:id="rId3"/>
    <sheet name="FACT_EMITIDA" sheetId="2" r:id="rId4"/>
    <sheet name="SIGGE_E" sheetId="14" r:id="rId5"/>
    <sheet name="SIGGE_P" sheetId="15" r:id="rId6"/>
    <sheet name="EFACT_CNE" sheetId="1" r:id="rId7"/>
    <sheet name="SIN_DATA" sheetId="16" r:id="rId8"/>
    <sheet name="INTERESES" sheetId="17" r:id="rId9"/>
  </sheets>
  <definedNames>
    <definedName name="_xlnm._FilterDatabase" localSheetId="6" hidden="1">EFACT_CNE!$A$1:$Y$415</definedName>
    <definedName name="_xlnm._FilterDatabase" localSheetId="3" hidden="1">FACT_EMITIDA!$A$1:$U$604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7" l="1"/>
  <c r="AE34" i="7" l="1"/>
  <c r="AA10" i="7" l="1"/>
  <c r="AA11" i="7" s="1"/>
  <c r="AA12" i="7" s="1"/>
  <c r="AA13" i="7" s="1"/>
  <c r="AA14" i="7" s="1"/>
  <c r="AA15" i="7" s="1"/>
  <c r="AA16" i="7" s="1"/>
  <c r="AA17" i="7" s="1"/>
  <c r="AA18" i="7" s="1"/>
  <c r="AA19" i="7" s="1"/>
  <c r="AA20" i="7" s="1"/>
  <c r="AA21" i="7" s="1"/>
  <c r="AA22" i="7" s="1"/>
  <c r="AA23" i="7" s="1"/>
  <c r="AA24" i="7" s="1"/>
  <c r="AA25" i="7" s="1"/>
  <c r="AA26" i="7" s="1"/>
  <c r="AA27" i="7" s="1"/>
  <c r="AA28" i="7" s="1"/>
  <c r="AA29" i="7" s="1"/>
  <c r="AA30" i="7" s="1"/>
  <c r="AA31" i="7" s="1"/>
  <c r="AA32" i="7" s="1"/>
  <c r="AA33" i="7" s="1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AE9" i="7" l="1"/>
  <c r="V9" i="7"/>
  <c r="D9" i="7"/>
  <c r="I9" i="7"/>
  <c r="J9" i="7"/>
  <c r="AD9" i="7"/>
  <c r="R9" i="7"/>
  <c r="F9" i="7"/>
  <c r="N9" i="7"/>
  <c r="E9" i="7"/>
  <c r="AC9" i="7"/>
  <c r="G9" i="7"/>
  <c r="Q9" i="7"/>
  <c r="H9" i="7"/>
  <c r="P9" i="7"/>
  <c r="AB9" i="7"/>
  <c r="A10" i="7"/>
  <c r="O9" i="7"/>
  <c r="S9" i="7"/>
  <c r="M9" i="7"/>
  <c r="R10" i="7" l="1"/>
  <c r="AC10" i="7"/>
  <c r="J10" i="7"/>
  <c r="O10" i="7"/>
  <c r="AB10" i="7"/>
  <c r="I10" i="7"/>
  <c r="Q10" i="7"/>
  <c r="F10" i="7"/>
  <c r="D10" i="7"/>
  <c r="E10" i="7"/>
  <c r="A11" i="7"/>
  <c r="H10" i="7"/>
  <c r="N10" i="7"/>
  <c r="M10" i="7"/>
  <c r="V10" i="7"/>
  <c r="AD10" i="7"/>
  <c r="P10" i="7"/>
  <c r="AE10" i="7"/>
  <c r="S10" i="7"/>
  <c r="G10" i="7"/>
  <c r="AC11" i="7" l="1"/>
  <c r="S11" i="7"/>
  <c r="G11" i="7"/>
  <c r="F11" i="7"/>
  <c r="R11" i="7"/>
  <c r="AE11" i="7"/>
  <c r="J11" i="7"/>
  <c r="AD11" i="7"/>
  <c r="A12" i="7"/>
  <c r="D11" i="7"/>
  <c r="N11" i="7"/>
  <c r="H11" i="7"/>
  <c r="M11" i="7"/>
  <c r="AB11" i="7"/>
  <c r="O11" i="7"/>
  <c r="V11" i="7"/>
  <c r="I11" i="7"/>
  <c r="Q11" i="7"/>
  <c r="E11" i="7"/>
  <c r="P11" i="7"/>
  <c r="AE12" i="7" l="1"/>
  <c r="F12" i="7"/>
  <c r="G12" i="7"/>
  <c r="R12" i="7"/>
  <c r="V12" i="7"/>
  <c r="S12" i="7"/>
  <c r="N12" i="7"/>
  <c r="H12" i="7"/>
  <c r="D12" i="7"/>
  <c r="Q12" i="7"/>
  <c r="E12" i="7"/>
  <c r="AC12" i="7"/>
  <c r="P12" i="7"/>
  <c r="I12" i="7"/>
  <c r="J12" i="7"/>
  <c r="A13" i="7"/>
  <c r="AD12" i="7"/>
  <c r="O12" i="7"/>
  <c r="M12" i="7"/>
  <c r="AB12" i="7"/>
  <c r="J13" i="7" l="1"/>
  <c r="F13" i="7"/>
  <c r="AC13" i="7"/>
  <c r="S13" i="7"/>
  <c r="P13" i="7"/>
  <c r="O13" i="7"/>
  <c r="M13" i="7"/>
  <c r="E13" i="7"/>
  <c r="R13" i="7"/>
  <c r="D13" i="7"/>
  <c r="H13" i="7"/>
  <c r="Q13" i="7"/>
  <c r="V13" i="7"/>
  <c r="A14" i="7"/>
  <c r="G13" i="7"/>
  <c r="AB13" i="7"/>
  <c r="I13" i="7"/>
  <c r="AE13" i="7"/>
  <c r="N13" i="7"/>
  <c r="AD13" i="7"/>
  <c r="S14" i="7" l="1"/>
  <c r="O14" i="7"/>
  <c r="M14" i="7"/>
  <c r="R14" i="7"/>
  <c r="A15" i="7"/>
  <c r="J14" i="7"/>
  <c r="I14" i="7"/>
  <c r="F14" i="7"/>
  <c r="AB14" i="7"/>
  <c r="P14" i="7"/>
  <c r="G14" i="7"/>
  <c r="AD14" i="7"/>
  <c r="AC14" i="7"/>
  <c r="N14" i="7"/>
  <c r="E14" i="7"/>
  <c r="H14" i="7"/>
  <c r="V14" i="7"/>
  <c r="Q14" i="7"/>
  <c r="AE14" i="7"/>
  <c r="D14" i="7"/>
  <c r="AE15" i="7" l="1"/>
  <c r="O15" i="7"/>
  <c r="AC15" i="7"/>
  <c r="E15" i="7"/>
  <c r="F15" i="7"/>
  <c r="J15" i="7"/>
  <c r="V15" i="7"/>
  <c r="AD15" i="7"/>
  <c r="I15" i="7"/>
  <c r="P15" i="7"/>
  <c r="N15" i="7"/>
  <c r="Q15" i="7"/>
  <c r="M15" i="7"/>
  <c r="H15" i="7"/>
  <c r="S15" i="7"/>
  <c r="AB15" i="7"/>
  <c r="R15" i="7"/>
  <c r="A16" i="7"/>
  <c r="D15" i="7"/>
  <c r="G15" i="7"/>
  <c r="AB16" i="7" l="1"/>
  <c r="D16" i="7"/>
  <c r="G16" i="7"/>
  <c r="F16" i="7"/>
  <c r="AD16" i="7"/>
  <c r="V16" i="7"/>
  <c r="O16" i="7"/>
  <c r="J16" i="7"/>
  <c r="E16" i="7"/>
  <c r="P16" i="7"/>
  <c r="H16" i="7"/>
  <c r="N16" i="7"/>
  <c r="I16" i="7"/>
  <c r="R16" i="7"/>
  <c r="S16" i="7"/>
  <c r="M16" i="7"/>
  <c r="AC16" i="7"/>
  <c r="AE16" i="7"/>
  <c r="Q16" i="7"/>
  <c r="A17" i="7"/>
  <c r="AE17" i="7" l="1"/>
  <c r="V17" i="7"/>
  <c r="I17" i="7"/>
  <c r="J17" i="7"/>
  <c r="AD17" i="7"/>
  <c r="M17" i="7"/>
  <c r="R17" i="7"/>
  <c r="F17" i="7"/>
  <c r="Q17" i="7"/>
  <c r="E17" i="7"/>
  <c r="N17" i="7"/>
  <c r="AB17" i="7"/>
  <c r="H17" i="7"/>
  <c r="G17" i="7"/>
  <c r="S17" i="7"/>
  <c r="O17" i="7"/>
  <c r="A18" i="7"/>
  <c r="AC17" i="7"/>
  <c r="D17" i="7"/>
  <c r="P17" i="7"/>
  <c r="R18" i="7" l="1"/>
  <c r="AC18" i="7"/>
  <c r="J18" i="7"/>
  <c r="AB18" i="7"/>
  <c r="AE18" i="7"/>
  <c r="H18" i="7"/>
  <c r="D18" i="7"/>
  <c r="V18" i="7"/>
  <c r="AD18" i="7"/>
  <c r="A19" i="7"/>
  <c r="O18" i="7"/>
  <c r="P18" i="7"/>
  <c r="F18" i="7"/>
  <c r="N18" i="7"/>
  <c r="M18" i="7"/>
  <c r="Q18" i="7"/>
  <c r="I18" i="7"/>
  <c r="G18" i="7"/>
  <c r="E18" i="7"/>
  <c r="S18" i="7"/>
  <c r="AC19" i="7" l="1"/>
  <c r="S19" i="7"/>
  <c r="J19" i="7"/>
  <c r="AB19" i="7"/>
  <c r="Q19" i="7"/>
  <c r="G19" i="7"/>
  <c r="V19" i="7"/>
  <c r="H19" i="7"/>
  <c r="R19" i="7"/>
  <c r="AE19" i="7"/>
  <c r="D19" i="7"/>
  <c r="O19" i="7"/>
  <c r="N19" i="7"/>
  <c r="E19" i="7"/>
  <c r="AD19" i="7"/>
  <c r="A20" i="7"/>
  <c r="P19" i="7"/>
  <c r="I19" i="7"/>
  <c r="M19" i="7"/>
  <c r="F19" i="7"/>
  <c r="R20" i="7" l="1"/>
  <c r="V20" i="7"/>
  <c r="S20" i="7"/>
  <c r="E20" i="7"/>
  <c r="D20" i="7"/>
  <c r="Q20" i="7"/>
  <c r="N20" i="7"/>
  <c r="AD20" i="7"/>
  <c r="J20" i="7"/>
  <c r="O20" i="7"/>
  <c r="M20" i="7"/>
  <c r="H20" i="7"/>
  <c r="P20" i="7"/>
  <c r="AC20" i="7"/>
  <c r="G20" i="7"/>
  <c r="I20" i="7"/>
  <c r="AB20" i="7"/>
  <c r="AE20" i="7"/>
  <c r="A21" i="7"/>
  <c r="F20" i="7"/>
  <c r="J21" i="7" l="1"/>
  <c r="F21" i="7"/>
  <c r="E21" i="7"/>
  <c r="AC21" i="7"/>
  <c r="R21" i="7"/>
  <c r="V21" i="7"/>
  <c r="AD21" i="7"/>
  <c r="A22" i="7"/>
  <c r="S21" i="7"/>
  <c r="D21" i="7"/>
  <c r="Q21" i="7"/>
  <c r="O21" i="7"/>
  <c r="M21" i="7"/>
  <c r="AB21" i="7"/>
  <c r="AE21" i="7"/>
  <c r="H21" i="7"/>
  <c r="P21" i="7"/>
  <c r="I21" i="7"/>
  <c r="N21" i="7"/>
  <c r="G21" i="7"/>
  <c r="S22" i="7" l="1"/>
  <c r="I22" i="7"/>
  <c r="AD22" i="7"/>
  <c r="F22" i="7"/>
  <c r="AC22" i="7"/>
  <c r="J22" i="7"/>
  <c r="M22" i="7"/>
  <c r="H22" i="7"/>
  <c r="G22" i="7"/>
  <c r="Q22" i="7"/>
  <c r="AE22" i="7"/>
  <c r="A23" i="7"/>
  <c r="AB22" i="7"/>
  <c r="V22" i="7"/>
  <c r="R22" i="7"/>
  <c r="N22" i="7"/>
  <c r="P22" i="7"/>
  <c r="O22" i="7"/>
  <c r="E22" i="7"/>
  <c r="D22" i="7"/>
  <c r="AE23" i="7" l="1"/>
  <c r="O23" i="7"/>
  <c r="J23" i="7"/>
  <c r="V23" i="7"/>
  <c r="AD23" i="7"/>
  <c r="I23" i="7"/>
  <c r="G23" i="7"/>
  <c r="AC23" i="7"/>
  <c r="M23" i="7"/>
  <c r="R23" i="7"/>
  <c r="P23" i="7"/>
  <c r="Q23" i="7"/>
  <c r="E23" i="7"/>
  <c r="F23" i="7"/>
  <c r="D23" i="7"/>
  <c r="S23" i="7"/>
  <c r="AB23" i="7"/>
  <c r="A24" i="7"/>
  <c r="H23" i="7"/>
  <c r="N23" i="7"/>
  <c r="I24" i="7" l="1"/>
  <c r="D24" i="7"/>
  <c r="AB24" i="7"/>
  <c r="AD24" i="7"/>
  <c r="F24" i="7"/>
  <c r="O24" i="7"/>
  <c r="H24" i="7"/>
  <c r="AE24" i="7"/>
  <c r="P24" i="7"/>
  <c r="V24" i="7"/>
  <c r="E24" i="7"/>
  <c r="N24" i="7"/>
  <c r="Q24" i="7"/>
  <c r="AC24" i="7"/>
  <c r="R24" i="7"/>
  <c r="A25" i="7"/>
  <c r="G24" i="7"/>
  <c r="S24" i="7"/>
  <c r="M24" i="7"/>
  <c r="J24" i="7"/>
  <c r="I25" i="7" l="1"/>
  <c r="J25" i="7"/>
  <c r="G25" i="7"/>
  <c r="A26" i="7"/>
  <c r="AD25" i="7"/>
  <c r="F25" i="7"/>
  <c r="R25" i="7"/>
  <c r="S25" i="7"/>
  <c r="M25" i="7"/>
  <c r="D25" i="7"/>
  <c r="V25" i="7"/>
  <c r="P25" i="7"/>
  <c r="AC25" i="7"/>
  <c r="H25" i="7"/>
  <c r="E25" i="7"/>
  <c r="AB25" i="7"/>
  <c r="N25" i="7"/>
  <c r="AE25" i="7"/>
  <c r="Q25" i="7"/>
  <c r="O25" i="7"/>
  <c r="R26" i="7" l="1"/>
  <c r="AC26" i="7"/>
  <c r="J26" i="7"/>
  <c r="O26" i="7"/>
  <c r="AB26" i="7"/>
  <c r="Q26" i="7"/>
  <c r="E26" i="7"/>
  <c r="H26" i="7"/>
  <c r="M26" i="7"/>
  <c r="P26" i="7"/>
  <c r="D26" i="7"/>
  <c r="I26" i="7"/>
  <c r="F26" i="7"/>
  <c r="N26" i="7"/>
  <c r="AE26" i="7"/>
  <c r="G26" i="7"/>
  <c r="S26" i="7"/>
  <c r="V26" i="7"/>
  <c r="AD26" i="7"/>
  <c r="A27" i="7"/>
  <c r="AC27" i="7" l="1"/>
  <c r="S27" i="7"/>
  <c r="AE27" i="7"/>
  <c r="R27" i="7"/>
  <c r="J27" i="7"/>
  <c r="D27" i="7"/>
  <c r="H27" i="7"/>
  <c r="I27" i="7"/>
  <c r="P27" i="7"/>
  <c r="AD27" i="7"/>
  <c r="A28" i="7"/>
  <c r="AB27" i="7"/>
  <c r="N27" i="7"/>
  <c r="E27" i="7"/>
  <c r="V27" i="7"/>
  <c r="M27" i="7"/>
  <c r="O27" i="7"/>
  <c r="Q27" i="7"/>
  <c r="G27" i="7"/>
  <c r="F27" i="7"/>
  <c r="R28" i="7" l="1"/>
  <c r="J28" i="7"/>
  <c r="V28" i="7"/>
  <c r="N28" i="7"/>
  <c r="G28" i="7"/>
  <c r="D28" i="7"/>
  <c r="Q28" i="7"/>
  <c r="E28" i="7"/>
  <c r="I28" i="7"/>
  <c r="AE28" i="7"/>
  <c r="A29" i="7"/>
  <c r="AD28" i="7"/>
  <c r="S28" i="7"/>
  <c r="M28" i="7"/>
  <c r="F28" i="7"/>
  <c r="O28" i="7"/>
  <c r="AC28" i="7"/>
  <c r="P28" i="7"/>
  <c r="H28" i="7"/>
  <c r="AB28" i="7"/>
  <c r="V29" i="7" l="1"/>
  <c r="F29" i="7"/>
  <c r="R29" i="7"/>
  <c r="AC29" i="7"/>
  <c r="D29" i="7"/>
  <c r="H29" i="7"/>
  <c r="M29" i="7"/>
  <c r="S29" i="7"/>
  <c r="O29" i="7"/>
  <c r="P29" i="7"/>
  <c r="E29" i="7"/>
  <c r="N29" i="7"/>
  <c r="Q29" i="7"/>
  <c r="G29" i="7"/>
  <c r="J29" i="7"/>
  <c r="AE29" i="7"/>
  <c r="I29" i="7"/>
  <c r="AB29" i="7"/>
  <c r="AD29" i="7"/>
  <c r="A30" i="7"/>
  <c r="S30" i="7" l="1"/>
  <c r="O30" i="7"/>
  <c r="AD30" i="7"/>
  <c r="I30" i="7"/>
  <c r="Q30" i="7"/>
  <c r="V30" i="7"/>
  <c r="P30" i="7"/>
  <c r="AC30" i="7"/>
  <c r="G30" i="7"/>
  <c r="A31" i="7"/>
  <c r="F30" i="7"/>
  <c r="AB30" i="7"/>
  <c r="R30" i="7"/>
  <c r="J30" i="7"/>
  <c r="E30" i="7"/>
  <c r="M30" i="7"/>
  <c r="N30" i="7"/>
  <c r="AE30" i="7"/>
  <c r="D30" i="7"/>
  <c r="H30" i="7"/>
  <c r="AE31" i="7" l="1"/>
  <c r="O31" i="7"/>
  <c r="V31" i="7"/>
  <c r="I31" i="7"/>
  <c r="AD31" i="7"/>
  <c r="N31" i="7"/>
  <c r="E31" i="7"/>
  <c r="S31" i="7"/>
  <c r="A32" i="7"/>
  <c r="J31" i="7"/>
  <c r="AB31" i="7"/>
  <c r="G31" i="7"/>
  <c r="AC31" i="7"/>
  <c r="M31" i="7"/>
  <c r="D31" i="7"/>
  <c r="P31" i="7"/>
  <c r="Q31" i="7"/>
  <c r="H31" i="7"/>
  <c r="R31" i="7"/>
  <c r="F31" i="7"/>
  <c r="AB32" i="7" l="1"/>
  <c r="D32" i="7"/>
  <c r="O32" i="7"/>
  <c r="S32" i="7"/>
  <c r="P32" i="7"/>
  <c r="H32" i="7"/>
  <c r="F32" i="7"/>
  <c r="AD32" i="7"/>
  <c r="V32" i="7"/>
  <c r="J32" i="7"/>
  <c r="N32" i="7"/>
  <c r="E32" i="7"/>
  <c r="I32" i="7"/>
  <c r="A33" i="7"/>
  <c r="M32" i="7"/>
  <c r="G32" i="7"/>
  <c r="AE32" i="7"/>
  <c r="Q32" i="7"/>
  <c r="R32" i="7"/>
  <c r="AC32" i="7"/>
  <c r="E33" i="7" l="1"/>
  <c r="G33" i="7"/>
  <c r="AD33" i="7"/>
  <c r="AC33" i="7"/>
  <c r="N33" i="7"/>
  <c r="P33" i="7"/>
  <c r="M33" i="7"/>
  <c r="R33" i="7"/>
  <c r="AB33" i="7"/>
  <c r="F33" i="7"/>
  <c r="Q33" i="7"/>
  <c r="D33" i="7"/>
  <c r="I33" i="7"/>
  <c r="J33" i="7"/>
  <c r="H33" i="7"/>
  <c r="O33" i="7"/>
  <c r="S33" i="7"/>
  <c r="AE33" i="7"/>
  <c r="V33" i="7"/>
</calcChain>
</file>

<file path=xl/sharedStrings.xml><?xml version="1.0" encoding="utf-8"?>
<sst xmlns="http://schemas.openxmlformats.org/spreadsheetml/2006/main" count="17828" uniqueCount="356">
  <si>
    <t>IdContrato</t>
  </si>
  <si>
    <t>MesDevengado</t>
  </si>
  <si>
    <t>Anho</t>
  </si>
  <si>
    <t>Mes</t>
  </si>
  <si>
    <t>Codigo</t>
  </si>
  <si>
    <t>DX</t>
  </si>
  <si>
    <t>NomEmpresaDistribuidora</t>
  </si>
  <si>
    <t>GX</t>
  </si>
  <si>
    <t>NomSuministrador</t>
  </si>
  <si>
    <t>CodigoContrato</t>
  </si>
  <si>
    <t>PuntoRetiro</t>
  </si>
  <si>
    <t>Contrato</t>
  </si>
  <si>
    <t>Energia_kWh</t>
  </si>
  <si>
    <t>Potencia_kW</t>
  </si>
  <si>
    <t>Sistema</t>
  </si>
  <si>
    <t>DataCreated</t>
  </si>
  <si>
    <t>IdBarra</t>
  </si>
  <si>
    <t>NomBarra</t>
  </si>
  <si>
    <t>Energia</t>
  </si>
  <si>
    <t>PrecioEnergia</t>
  </si>
  <si>
    <t>TotalEnergia</t>
  </si>
  <si>
    <t>Potencia</t>
  </si>
  <si>
    <t>PrecioPotencia</t>
  </si>
  <si>
    <t>TotalPotencia</t>
  </si>
  <si>
    <t>EmpresaDistribuidora</t>
  </si>
  <si>
    <t>Empresa Eléctrica Carén S.A.</t>
  </si>
  <si>
    <t>ALTO JAHUEL 220</t>
  </si>
  <si>
    <t>ITAHUE 220</t>
  </si>
  <si>
    <t>RAPEL 220</t>
  </si>
  <si>
    <t>Periodo</t>
  </si>
  <si>
    <t>Nombre</t>
  </si>
  <si>
    <t>Num</t>
  </si>
  <si>
    <t>Barra</t>
  </si>
  <si>
    <t>Monto</t>
  </si>
  <si>
    <t>Concepto</t>
  </si>
  <si>
    <t>Agrupacion</t>
  </si>
  <si>
    <t>Glosa</t>
  </si>
  <si>
    <t>FechaCarga</t>
  </si>
  <si>
    <t>TipoDocumento</t>
  </si>
  <si>
    <t>Folio</t>
  </si>
  <si>
    <t>Vendedor</t>
  </si>
  <si>
    <t>Comprador</t>
  </si>
  <si>
    <t>Bloque</t>
  </si>
  <si>
    <t>Empresa</t>
  </si>
  <si>
    <t>ClaveEEDD</t>
  </si>
  <si>
    <t>Licitacion</t>
  </si>
  <si>
    <t>NomAgrupacion</t>
  </si>
  <si>
    <t>TotalBarras</t>
  </si>
  <si>
    <t>Energia Licitaciones</t>
  </si>
  <si>
    <t>Energía</t>
  </si>
  <si>
    <t>s</t>
  </si>
  <si>
    <t>Caren</t>
  </si>
  <si>
    <t>Reactivos Licitaciones</t>
  </si>
  <si>
    <t>Reactivo</t>
  </si>
  <si>
    <t>Potencia Licitaciones</t>
  </si>
  <si>
    <t>Ajuste por Armonizacion Tarifaria Licitaciones</t>
  </si>
  <si>
    <t>AAT</t>
  </si>
  <si>
    <t>Reliq. por PNP Energia Licitaciones</t>
  </si>
  <si>
    <t>Reliq. por PNP Potencia Licitaciones</t>
  </si>
  <si>
    <t>TENO</t>
  </si>
  <si>
    <t>Generador</t>
  </si>
  <si>
    <t>Distribuidor</t>
  </si>
  <si>
    <t>Energía (kWh)</t>
  </si>
  <si>
    <t>Monto Total ($)</t>
  </si>
  <si>
    <t>$/kWh</t>
  </si>
  <si>
    <t>2013/03-2° Llamado</t>
  </si>
  <si>
    <t>Potencia (kW)</t>
  </si>
  <si>
    <t>$/kW-mes</t>
  </si>
  <si>
    <t>Monto Energía ($)</t>
  </si>
  <si>
    <t>Monto Potencia ($)</t>
  </si>
  <si>
    <t>Reliquidación</t>
  </si>
  <si>
    <t>Fecha</t>
  </si>
  <si>
    <t>Montos a favor</t>
  </si>
  <si>
    <t>Montos en contra</t>
  </si>
  <si>
    <t>Charrua 220</t>
  </si>
  <si>
    <t>PrecioEnergiaAjustado</t>
  </si>
  <si>
    <t>TotalEnergiaAjustado</t>
  </si>
  <si>
    <t>PrecioPotenciaAjustado</t>
  </si>
  <si>
    <t>TotalPotenciaAjustado</t>
  </si>
  <si>
    <t>SIC4</t>
  </si>
  <si>
    <t>STX E</t>
  </si>
  <si>
    <t>CHARRUA 220</t>
  </si>
  <si>
    <t>Itahue 220</t>
  </si>
  <si>
    <t>A.JAHUEL 220</t>
  </si>
  <si>
    <t>CEC</t>
  </si>
  <si>
    <t>Curico</t>
  </si>
  <si>
    <t>Curico 13.2</t>
  </si>
  <si>
    <t>QUINTA</t>
  </si>
  <si>
    <t>Quinta 13.8</t>
  </si>
  <si>
    <t>Teno</t>
  </si>
  <si>
    <t>Teno 13.2</t>
  </si>
  <si>
    <t>MELIPILLA 220</t>
  </si>
  <si>
    <t>Cec</t>
  </si>
  <si>
    <t>Reliq. Energia Licitaciones</t>
  </si>
  <si>
    <t>A.MELIP 220</t>
  </si>
  <si>
    <t>Reliq. Ajuste por Armonizacion Tarifaria Licitaciones</t>
  </si>
  <si>
    <t>[GX]</t>
  </si>
  <si>
    <t>[EEDD]</t>
  </si>
  <si>
    <t>[BLOQUE]</t>
  </si>
  <si>
    <t>01-04-2016</t>
  </si>
  <si>
    <t>CAREN</t>
  </si>
  <si>
    <t>SIC 2013/03_2_BS1A_BB_CEC_Empresa Eléctrica Carén S.A.</t>
  </si>
  <si>
    <t>CURICÓ 13,2</t>
  </si>
  <si>
    <t>SIC 2013/03_2_BS1A_BB</t>
  </si>
  <si>
    <t>QUINTA 13,2</t>
  </si>
  <si>
    <t>01-03-2016</t>
  </si>
  <si>
    <t>TENO 13,2</t>
  </si>
  <si>
    <t>01-01-2016</t>
  </si>
  <si>
    <t>SIC 2013/03-2_BS1A_29_CAREN</t>
  </si>
  <si>
    <t>SIC 2013/03-2_BS1A</t>
  </si>
  <si>
    <t>01-02-2016</t>
  </si>
  <si>
    <t>SIC 2013/03-2_BS1A_CEC_CAREN</t>
  </si>
  <si>
    <t>01-04-2018</t>
  </si>
  <si>
    <t>01-09-2018</t>
  </si>
  <si>
    <t>01-10-2018</t>
  </si>
  <si>
    <t>01-11-2018</t>
  </si>
  <si>
    <t>01-12-2018</t>
  </si>
  <si>
    <t>01-02-2018</t>
  </si>
  <si>
    <t>01-03-2018</t>
  </si>
  <si>
    <t>01-01-2018</t>
  </si>
  <si>
    <t>01-05-2018</t>
  </si>
  <si>
    <t>01-09-2017</t>
  </si>
  <si>
    <t>01-01-2017</t>
  </si>
  <si>
    <t>CEC 2013/03-02 _CAREN_BS1A</t>
  </si>
  <si>
    <t>01-02-2017</t>
  </si>
  <si>
    <t>01-03-2017</t>
  </si>
  <si>
    <t>01-06-2018</t>
  </si>
  <si>
    <t>01-10-2017</t>
  </si>
  <si>
    <t>01-11-2017</t>
  </si>
  <si>
    <t>01-08-2016</t>
  </si>
  <si>
    <t>01-11-2016</t>
  </si>
  <si>
    <t>01-09-2016</t>
  </si>
  <si>
    <t>01-12-2016</t>
  </si>
  <si>
    <t>01-10-2016</t>
  </si>
  <si>
    <t>01-05-2016</t>
  </si>
  <si>
    <t>01-07-2016</t>
  </si>
  <si>
    <t>01-06-2016</t>
  </si>
  <si>
    <t>01-08-2017</t>
  </si>
  <si>
    <t>01-12-2017</t>
  </si>
  <si>
    <t>01-07-2018</t>
  </si>
  <si>
    <t>01-08-2018</t>
  </si>
  <si>
    <t>01-04-2017</t>
  </si>
  <si>
    <t>01-07-2017</t>
  </si>
  <si>
    <t>01-06-2017</t>
  </si>
  <si>
    <t>01-05-2017</t>
  </si>
  <si>
    <t>01-01-2019</t>
  </si>
  <si>
    <t>01-07-2019</t>
  </si>
  <si>
    <t>01-02-2019</t>
  </si>
  <si>
    <t>01-12-2019</t>
  </si>
  <si>
    <t>01-03-2019</t>
  </si>
  <si>
    <t>01-04-2019</t>
  </si>
  <si>
    <t>01-08-2019</t>
  </si>
  <si>
    <t>01-05-2019</t>
  </si>
  <si>
    <t>01-06-2019</t>
  </si>
  <si>
    <t>01-09-2019</t>
  </si>
  <si>
    <t>01-11-2019</t>
  </si>
  <si>
    <t>01-10-2019</t>
  </si>
  <si>
    <t>Licitación Caren y Cec (SIC 2013/03-2) BS1A</t>
  </si>
  <si>
    <t>Lic. SIC 2013/03-2 bloques BS1A: Energía sep 2018</t>
  </si>
  <si>
    <t>BS1A</t>
  </si>
  <si>
    <t>Lic. SIC 2013/03-2 bloques BS1A: Energía oct 2018</t>
  </si>
  <si>
    <t>Lic. SIC 2013/03-2 bloques BS1A: Energía nov 2018</t>
  </si>
  <si>
    <t>Lic. SIC 2013/03-2 bloques BS1A: Energía dic 2018</t>
  </si>
  <si>
    <t>Lic. SIC 2013/03-2 bloques BS1A: Reliq. Energía ene 2019</t>
  </si>
  <si>
    <t>Lic. SIC 2013/03-2 bloques BS1A: Energía ene 2019</t>
  </si>
  <si>
    <t>Lic. SIC 2013/03-2 bloques BS1A: Energía feb 2019</t>
  </si>
  <si>
    <t>Lic. SIC 2013/03-2 bloques BS1A: Reliq. Energía feb 2019</t>
  </si>
  <si>
    <t>Lic. SIC 2013/03-2 bloques BS1A: Energía mar 2019</t>
  </si>
  <si>
    <t>Lic. SIC 2013/03-2 bloques BS1A: Reliq. Energía mar 2019</t>
  </si>
  <si>
    <t>Lic. SIC 2013/03-2 bloques BS1A: Reliq. Energía abr 2019</t>
  </si>
  <si>
    <t>Lic. SIC 2013/03-2 bloques BS1A: Potencia abr 2019</t>
  </si>
  <si>
    <t>Lic. SIC 2013/03-2 bloques BS1A: Energía abr 2019</t>
  </si>
  <si>
    <t>Lic. SIC 2013/03-2 bloques BS1A: Reliq. Energía may 2019</t>
  </si>
  <si>
    <t>Lic. SIC 2013/03-2 bloques BS1A: Potencia may 2019</t>
  </si>
  <si>
    <t>Lic. SIC 2013/03-2 bloques BS1A: Energía may 2019</t>
  </si>
  <si>
    <t>Lic. SIC 2013/03-2 bloques BS1A: Potencia jun 2019</t>
  </si>
  <si>
    <t>Lic. SIC 2013/03-2 bloques BS1A: Reliq. Energía jun 2019</t>
  </si>
  <si>
    <t>Lic. SIC 2013/03-2 bloques BS1A: Energía jun 2019</t>
  </si>
  <si>
    <t>Lic. SIC 2013/03-2 bloques BS1A: Energía jul 2019</t>
  </si>
  <si>
    <t>Lic. SIC 2013/03-2 bloques BS1A: Reliq. Energía jul 2019</t>
  </si>
  <si>
    <t>Lic. SIC 2013/03-2 bloques BS1A: Potencia jul 2019</t>
  </si>
  <si>
    <t>Lic. SIC 2013/03-2 bloques BS1A: Energía ago 2019</t>
  </si>
  <si>
    <t>Lic. SIC 2013/03-2 bloques BS1A: Reliq. Energía ago 2019</t>
  </si>
  <si>
    <t>Lic. SIC 2013/03-2 bloques BS1A: Potencia oct 2019</t>
  </si>
  <si>
    <t>Lic. SIC 2013/03-2 bloques BS1A: Energía sep 2019</t>
  </si>
  <si>
    <t>Lic. SIC 2013/03-2 bloques BS1A: Energía  2019-9 facturada</t>
  </si>
  <si>
    <t>Lic. SIC 2013/03-2 bloques BS1A: Potencia  2019-9 PEC 7T-2019</t>
  </si>
  <si>
    <t>Reliq. Lic. SIC 2013/03-2 bloques BS1A: Energía oct 2019</t>
  </si>
  <si>
    <t>Lic. SIC 2013/03-2 bloques BS1A: Energía  2019-9 PEC 7T-2019</t>
  </si>
  <si>
    <t>Lic. SIC 2013/03-2 bloques BS1A: Energía oct 2019</t>
  </si>
  <si>
    <t>Lic. SIC 2013/03-2 bloques BS1A: Potencia  2019-9 facturada</t>
  </si>
  <si>
    <t>Lic. SIC 2013/03-2 bloques BS1A: Potencia nov 2019</t>
  </si>
  <si>
    <t>Lic. SIC 2013/03-2 bloques BS1A: Reliq. Energía nov 2019</t>
  </si>
  <si>
    <t>Lic. SIC 2013/03-2 bloques BS1A: Energía nov 2019</t>
  </si>
  <si>
    <t>Lic. SIC 2013/03-2 bloques BS1A: Reliq. Energía dic 2019</t>
  </si>
  <si>
    <t>Lic. SIC 2013/03-2 bloques BS1A: Potencia dic 2019</t>
  </si>
  <si>
    <t>Lic. SIC 2013/03-2 bloques BS1A: Energía dic 2019</t>
  </si>
  <si>
    <t>01-01-2020</t>
  </si>
  <si>
    <t>Lic. SIC 2013/03-2 bloques BS1A: Reliq. Energía ene 2020</t>
  </si>
  <si>
    <t>Lic. SIC 2013/03-2 bloques BS1A: Potencia ene 2020</t>
  </si>
  <si>
    <t>Lic. SIC 2013/03-2 bloques BS1A: Energía ene 2020</t>
  </si>
  <si>
    <t>01-02-2020</t>
  </si>
  <si>
    <t>Lic. SIC 2013/03-2 bloques BS1A: Energía feb 2020</t>
  </si>
  <si>
    <t>Lic. SIC 2013/03-2 bloques BS1A: Potencia feb 2020</t>
  </si>
  <si>
    <t>Lic. SIC 2013/03-2 bloques BS1A: Reliq. Energía feb 2020</t>
  </si>
  <si>
    <t>01-03-2020</t>
  </si>
  <si>
    <t>Lic. SIC 2013/03-2 bloques BS1A: Potencia mar 2020</t>
  </si>
  <si>
    <t>Lic. SIC 2013/03-2 bloques BS1A: Reliq. Energía mar 2020</t>
  </si>
  <si>
    <t>Lic. SIC 2013/03-2 bloques BS1A: Energía mar 2020</t>
  </si>
  <si>
    <t>01-04-2020</t>
  </si>
  <si>
    <t>Lic. SIC 2013/03-2 bloques BS1A: Reactivo abr 2020</t>
  </si>
  <si>
    <t>Lic. SIC 2013/03-2 bloques BS1A: Reliq. Energía abr 2020</t>
  </si>
  <si>
    <t>Lic. SIC 2013/03-2 bloques BS1A: Potencia abr 2020</t>
  </si>
  <si>
    <t>Lic. SIC 2013/03-2 bloques BS1A: Reliq. AAT abr 2020</t>
  </si>
  <si>
    <t>Lic. SIC 2013/03-2 bloques BS1A: AAT abr 2020</t>
  </si>
  <si>
    <t>Lic. SIC 2013/03-2 bloques BS1A: Energía abr 2020</t>
  </si>
  <si>
    <t>01-05-2020</t>
  </si>
  <si>
    <t>Lic. SIC 2013/03-2 bloques BS1A: Reliq. Energía may 2020</t>
  </si>
  <si>
    <t>Lic. SIC 2013/03-2 bloques BS1A: Reliq. AAT may 2020</t>
  </si>
  <si>
    <t>Lic. SIC 2013/03-2 bloques BS1A: Reactivo may 2020</t>
  </si>
  <si>
    <t>Lic. SIC 2013/03-2 bloques BS1A: Energía may 2020</t>
  </si>
  <si>
    <t>Lic. SIC 2013/03-2 bloques BS1A: Potencia may 2020</t>
  </si>
  <si>
    <t>Lic. SIC 2013/03-2 bloques BS1A: AAT may 2020</t>
  </si>
  <si>
    <t>01-06-2020</t>
  </si>
  <si>
    <t>Lic. SIC 2013/03-2 bloques BS1A: Potencia jun 2020</t>
  </si>
  <si>
    <t>Lic. SIC 2013/03-2 bloques BS1A: Reactivo jun 2020</t>
  </si>
  <si>
    <t>Lic. SIC 2013/03-2 bloques BS1A: AAT jun 2020</t>
  </si>
  <si>
    <t>Lic. SIC 2013/03-2 bloques BS1A: Reliq. AAT jun 2020</t>
  </si>
  <si>
    <t>Lic. SIC 2013/03-2 bloques BS1A: Energía jun 2020</t>
  </si>
  <si>
    <t>Lic. SIC 2013/03-2 bloques BS1A: Reliq. Energía jun 2020</t>
  </si>
  <si>
    <t>01-07-2020</t>
  </si>
  <si>
    <t>Lic. SIC 2013/03-2 bloques BS1A: Potencia jul 2020</t>
  </si>
  <si>
    <t>Lic. SIC 2013/03-2 bloques BS1A: Reliq. AAT jul 2020</t>
  </si>
  <si>
    <t>Lic. SIC 2013/03-2 bloques BS1A: Reactivo jul 2020</t>
  </si>
  <si>
    <t>Lic. SIC 2013/03-2 bloques BS1A: AAT jul 2020</t>
  </si>
  <si>
    <t>Lic. SIC 2013/03-2 bloques BS1A: Energía jul 2020</t>
  </si>
  <si>
    <t>Lic. SIC 2013/03-2 bloques BS1A: Reliq. Energía jul 2020</t>
  </si>
  <si>
    <t>01-08-2020</t>
  </si>
  <si>
    <t>Lic. SIC 2013/03-2 bloques BS1A: Potencia ago 2020</t>
  </si>
  <si>
    <t>Lic. SIC 2013/03-2 bloques BS1A: Energía ago 2020</t>
  </si>
  <si>
    <t>Lic. SIC 2013/03-2 bloques BS1A: Reliq. AAT ago 2020</t>
  </si>
  <si>
    <t>Lic. SIC 2013/03-2 bloques BS1A: AAT ago 2020</t>
  </si>
  <si>
    <t>Lic. SIC 2013/03-2 bloques BS1A: Reactivo ago 2020</t>
  </si>
  <si>
    <t>Lic. SIC 2013/03-2 bloques BS1A: Reliq. Energía ago 2020</t>
  </si>
  <si>
    <t>01-09-2020</t>
  </si>
  <si>
    <t>Lic. SIC 2013/03-2 bloques BS1A: Reliq. Energía sep 2020</t>
  </si>
  <si>
    <t>Lic. SIC 2013/03-2 bloques BS1A: Reactivo sep 2020</t>
  </si>
  <si>
    <t>Lic. SIC 2013/03-2 bloques BS1A: Reliq. AAT sep 2020</t>
  </si>
  <si>
    <t>Lic. SIC 2013/03-2 bloques BS1A: Potencia sep 2020</t>
  </si>
  <si>
    <t>Lic. SIC 2013/03-2 bloques BS1A: Energía sep 2020</t>
  </si>
  <si>
    <t>Lic. SIC 2013/03-2 bloques BS1A: AAT sep 2020</t>
  </si>
  <si>
    <t>Lic. SIC 2013/03-2 bloques BS1A: Potencia oct 2020</t>
  </si>
  <si>
    <t>Lic. SIC 2013/03-2 bloques BS1A: Reactivo oct 2020</t>
  </si>
  <si>
    <t>Lic. SIC 2013/03-2 bloques BS1A: Reliq. Energía oct 2020</t>
  </si>
  <si>
    <t>Lic. SIC 2013/03-2 bloques BS1A: Reliq. AAT oct 2020</t>
  </si>
  <si>
    <t>Lic. SIC 2013/03-2 bloques BS1A: AAT oct 2020</t>
  </si>
  <si>
    <t>Lic. SIC 2013/03-2 bloques BS1A: Energía oct 2020</t>
  </si>
  <si>
    <t>Lic. SIC 2013/03-2 bloques BS1A: AAT nov 2020</t>
  </si>
  <si>
    <t>Lic. SIC 2013/03-2 bloques BS1A: Reactivo nov 2020</t>
  </si>
  <si>
    <t>Lic. SIC 2013/03-2 bloques BS1A: Reliq. Energía nov 2020</t>
  </si>
  <si>
    <t>Lic. SIC 2013/03-2 bloques BS1A: Reliq. AAT nov 2020</t>
  </si>
  <si>
    <t>Lic. SIC 2013/03-2 bloques BS1A: Potencia nov 2020</t>
  </si>
  <si>
    <t>Reliq. Reactivos Licitaciones</t>
  </si>
  <si>
    <t>Lic. SIC 2013/03-2 bloques BS1A: Reliq. Reactivo nov 2020</t>
  </si>
  <si>
    <t>Lic. SIC 2013/03-2 bloques BS1A: Energía nov 2020</t>
  </si>
  <si>
    <t>Lic. SIC 2013/03-2 bloques BS1A: Potencia dic 2020</t>
  </si>
  <si>
    <t>Lic. SIC 2013/03-2 bloques BS1A: Reactivo dic 2020</t>
  </si>
  <si>
    <t>Lic. SIC 2013/03-2 bloques BS1A: Energía dic 2020</t>
  </si>
  <si>
    <t>Lic. SIC 2013/03-2 bloques BS1A: Reliq. Energía dic 2020</t>
  </si>
  <si>
    <t>Lic. SIC 2013/03-2 bloques BS1A: AAT dic 2020</t>
  </si>
  <si>
    <t>Lic. SIC 2013/03-2 bloques BS1A: Reliq. Energía ene 2021</t>
  </si>
  <si>
    <t>Lic. SIC 2013/03-2 bloques BS1A: AAT ene 2021</t>
  </si>
  <si>
    <t>Lic. SIC 2013/03-2 bloques BS1A: Energía ene 2021</t>
  </si>
  <si>
    <t>Lic. SIC 2013/03-2 bloques BS1A: Reactivo ene 2021</t>
  </si>
  <si>
    <t>Lic. SIC 2013/03-2 bloques BS1A: Potencia ene 2021</t>
  </si>
  <si>
    <t>Lic. SIC 2013/03-2 bloques BS1A: Potencia feb 2021</t>
  </si>
  <si>
    <t>Lic. SIC 2013/03-2 bloques BS1A: Reactivo feb 2021</t>
  </si>
  <si>
    <t>Lic. SIC 2013/03-2 bloques BS1A: Energía feb 2021</t>
  </si>
  <si>
    <t>Lic. SIC 2013/03-2 bloques BS1A: Reliq. Energía feb 2021</t>
  </si>
  <si>
    <t>Lic. SIC 2013/03-2 bloques BS1A: AAT feb 2021</t>
  </si>
  <si>
    <t>Lic. SIC 2013/03-2 bloques BS1A: Potencia mar 2021</t>
  </si>
  <si>
    <t>Lic. SIC 2013/03-2 bloques BS1A: AAT mar 2021</t>
  </si>
  <si>
    <t>Lic. SIC 2013/03-2 bloques BS1A: Energía mar 2021</t>
  </si>
  <si>
    <t>Lic. SIC 2013/03-2 bloques BS1A: Reactivo mar 2021</t>
  </si>
  <si>
    <t>Lic. SIC 2013/03-2 bloques BS1A: Reliq. Energía mar 2021</t>
  </si>
  <si>
    <t>Lic. SIC 2013/03-2 bloques BS1A: Potencia abr 2021</t>
  </si>
  <si>
    <t>Lic. SIC 2013/03-2 bloques BS1A: Energía abr 2021</t>
  </si>
  <si>
    <t>Lic. SIC 2013/03-2 bloques BS1A: AAT abr 2021</t>
  </si>
  <si>
    <t>Lic. SIC 2013/03-2 bloques BS1A: Reactivo abr 2021</t>
  </si>
  <si>
    <t>EFACT_CNE</t>
  </si>
  <si>
    <t>FACT_EMITIDA</t>
  </si>
  <si>
    <t>EFACT_EST_CEN</t>
  </si>
  <si>
    <t>FACT_EST_EFACT</t>
  </si>
  <si>
    <t>FACT_EST_CEN</t>
  </si>
  <si>
    <t>LO QUE SE FACTURÓ</t>
  </si>
  <si>
    <t>LO QUE SE DEBIÓ HABER FACTURADO</t>
  </si>
  <si>
    <t>ORIGEN DATA</t>
  </si>
  <si>
    <t>RELQUIDACIÓN Y CÁLCULO INTERESES</t>
  </si>
  <si>
    <t>MES</t>
  </si>
  <si>
    <t>ID</t>
  </si>
  <si>
    <t>Interés ResEx 703 (06-nov.2018), Artículo 13</t>
  </si>
  <si>
    <t>Operaciones no reajustables en moneda nacional de menos de 90 días, superiores al equivalente de 5.000 unidades de fomento</t>
  </si>
  <si>
    <t>Decreto</t>
  </si>
  <si>
    <t>Fecha Publicación</t>
  </si>
  <si>
    <t>Interés vigente</t>
  </si>
  <si>
    <t>Desde</t>
  </si>
  <si>
    <t>Hasta</t>
  </si>
  <si>
    <t>Interés anual</t>
  </si>
  <si>
    <t>Link</t>
  </si>
  <si>
    <t>Certificado N°9/2018</t>
  </si>
  <si>
    <t>https://www.diariooficial.interior.gob.cl/publicaciones/2018/09/15/42159/01/1465375.pdf</t>
  </si>
  <si>
    <t>Certificado N°4/2019</t>
  </si>
  <si>
    <t>https://www.diariooficial.interior.gob.cl/publicaciones/2019/04/15/42331/01/1576341.pdf</t>
  </si>
  <si>
    <t>Certificado N° 10/2020</t>
  </si>
  <si>
    <t>https://www.diariooficial.interior.gob.cl/publicaciones/2020/10/15/42780/01/1830437.pdf</t>
  </si>
  <si>
    <t>Certificado N° 3/2021</t>
  </si>
  <si>
    <t>https://www.diariooficial.interior.gob.cl/publicaciones/2021/03/15/42905/01/1910115.pdf</t>
  </si>
  <si>
    <t>Certificado N° 05/2021</t>
  </si>
  <si>
    <t>https://www.diariooficial.interior.gob.cl/publicaciones/2021/05/14/42954/01/1943780.pdf</t>
  </si>
  <si>
    <t>Reliquidación mensual ($)</t>
  </si>
  <si>
    <t>Decreto PNP Reliquidación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</si>
  <si>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</si>
  <si>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</si>
  <si>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</si>
  <si>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</si>
  <si>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</si>
  <si>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</si>
  <si>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</si>
  <si>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</si>
  <si>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OrigenData1</t>
  </si>
  <si>
    <t>OrigenData2</t>
  </si>
  <si>
    <t>PNP_8T_11-07-2016</t>
  </si>
  <si>
    <t>Certicado N°7/2016</t>
  </si>
  <si>
    <t>https://www.bcn.cl/leychile/navegar?idNorma=1092549</t>
  </si>
  <si>
    <t>PNP_9T_25-07-2016</t>
  </si>
  <si>
    <t>Certificado N°8/2016</t>
  </si>
  <si>
    <t>https://www.bcn.cl/leychile/navegar?idNorma=1093605</t>
  </si>
  <si>
    <t>PNP_12T_20-12-2016</t>
  </si>
  <si>
    <t>Certificado N°9/2017</t>
  </si>
  <si>
    <t>https://www.diariooficial.interior.gob.cl/publicaciones/2017/09/15/41861/01/1272697.pdf</t>
  </si>
  <si>
    <t>PNP_3T_15-05-2017</t>
  </si>
  <si>
    <t>PNP_12T_28-11-2017</t>
  </si>
  <si>
    <t>Certificado N°3/2018</t>
  </si>
  <si>
    <t>https://www.diariooficial.interior.gob.cl/publicaciones/2018/03/15/42008/01/1366088.pdf</t>
  </si>
  <si>
    <t>PNP_7T_18-05-2018</t>
  </si>
  <si>
    <t>PNP_20T_13-12-2018</t>
  </si>
  <si>
    <t>PNP_6T_08-05-2020</t>
  </si>
  <si>
    <t>PNP_16T_02-11-2020</t>
  </si>
  <si>
    <t>PNP_19T_30-12-2020</t>
  </si>
  <si>
    <t>NULL</t>
  </si>
  <si>
    <t>Información de facturación definitiva proveniente de los archivos EFACT publicados por la CNE en los Decretos de Precio de Nudo</t>
  </si>
  <si>
    <t>Información de facturación real desde PDFs y sistema SIGGE (gestión facturación electrónica)</t>
  </si>
  <si>
    <t>Hoja</t>
  </si>
  <si>
    <t>Descripción</t>
  </si>
  <si>
    <t>ACCIONA emite factura</t>
  </si>
  <si>
    <t>ACCIONA emite nota de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</si>
</sst>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2" formatCode="_ &quot;$&quot;* #,##0_ ;_ &quot;$&quot;* \-#,##0_ ;_ &quot;$&quot;* &quot;-&quot;_ ;_ @_ "/>
    <numFmt numFmtId="41" formatCode="_ * #,##0_ ;_ * \-#,##0_ ;_ * &quot;-&quot;_ ;_ @_ "/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-* #,##0_-;\-* #,##0_-;_-* &quot;-&quot;_-;_-@_-"/>
    <numFmt numFmtId="165" formatCode="_-* #,##0.00_-;\-* #,##0.00_-;_-* &quot;-&quot;??_-;_-@_-"/>
    <numFmt numFmtId="166" formatCode="0.000"/>
    <numFmt numFmtId="167" formatCode="_ * #,##0.0_ ;_ * \-#,##0.0_ ;_ * &quot;-&quot;_ ;_ @_ "/>
    <numFmt numFmtId="168" formatCode="_-&quot;$&quot;\ * #,##0.00_-;\-&quot;$&quot;\ * #,##0.00_-;_-&quot;$&quot;\ * &quot;-&quot;??_-;_-@_-"/>
    <numFmt numFmtId="169" formatCode="_-[$€-2]\ * #,##0.00_-;\-[$€-2]\ * #,##0.00_-;_-[$€-2]\ * &quot;-&quot;??_-"/>
    <numFmt numFmtId="170" formatCode="_-* #,##0.00\ [$€]_-;\-* #,##0.00\ [$€]_-;_-* &quot;-&quot;??\ [$€]_-;_-@_-"/>
    <numFmt numFmtId="171" formatCode="\$#,##0\ ;\(\$#,##0\)"/>
    <numFmt numFmtId="172" formatCode="_-* #,##0.00\ _P_t_a_-;\-* #,##0.00\ _P_t_a_-;_-* &quot;-&quot;??\ _P_t_a_-;_-@_-"/>
    <numFmt numFmtId="173" formatCode="_ [$€-2]\ * #,##0.00_ ;_ [$€-2]\ * \-#,##0.00_ ;_ [$€-2]\ * &quot;-&quot;??_ "/>
    <numFmt numFmtId="174" formatCode="_-* #,##0.00\ _€_-;\-* #,##0.00\ _€_-;_-* &quot;-&quot;??\ _€_-;_-@_-"/>
    <numFmt numFmtId="175" formatCode="_ &quot;$&quot;\ * #,##0.00_ ;_ &quot;$&quot;\ * \-#,##0.00_ ;_ &quot;$&quot;\ * &quot;-&quot;??_ ;_ @_ "/>
    <numFmt numFmtId="176" formatCode="_-* #,##0.00\ _$_-;\-* #,##0.00\ _$_-;_-* &quot;-&quot;??\ _$_-;_-@_-"/>
    <numFmt numFmtId="177" formatCode="#,##0.000;[Red]\-#,##0.000"/>
    <numFmt numFmtId="178" formatCode="_([$€]* #,##0.00_);_([$€]* \(#,##0.00\);_([$€]* &quot;-&quot;??_);_(@_)"/>
    <numFmt numFmtId="179" formatCode="General_)"/>
    <numFmt numFmtId="180" formatCode="yyyy\-mm\-dd\ hh:mm:ss"/>
  </numFmts>
  <fonts count="7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2"/>
      <name val="Times New Roman"/>
      <family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1"/>
      <name val="Calibri"/>
      <family val="2"/>
    </font>
    <font>
      <b/>
      <sz val="11"/>
      <color indexed="9"/>
      <name val="Calibri"/>
      <family val="2"/>
    </font>
    <font>
      <sz val="11"/>
      <color indexed="51"/>
      <name val="Calibri"/>
      <family val="2"/>
    </font>
    <font>
      <b/>
      <sz val="11"/>
      <color indexed="61"/>
      <name val="Calibri"/>
      <family val="2"/>
    </font>
    <font>
      <sz val="11"/>
      <color indexed="61"/>
      <name val="Calibri"/>
      <family val="2"/>
    </font>
    <font>
      <sz val="11"/>
      <color indexed="20"/>
      <name val="Calibri"/>
      <family val="2"/>
    </font>
    <font>
      <sz val="11"/>
      <color indexed="59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1"/>
      <name val="Cambria"/>
      <family val="2"/>
    </font>
    <font>
      <b/>
      <sz val="15"/>
      <color indexed="61"/>
      <name val="Calibri"/>
      <family val="2"/>
    </font>
    <font>
      <b/>
      <sz val="13"/>
      <color indexed="61"/>
      <name val="Calibri"/>
      <family val="2"/>
    </font>
    <font>
      <b/>
      <sz val="11"/>
      <color indexed="8"/>
      <name val="Calibri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color indexed="22"/>
      <name val="Arial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8"/>
      <color theme="3"/>
      <name val="Calibri Light"/>
      <family val="2"/>
      <scheme val="major"/>
    </font>
    <font>
      <sz val="10"/>
      <name val="MS Sans Serif"/>
      <family val="2"/>
    </font>
    <font>
      <sz val="10"/>
      <name val="Courier New"/>
      <family val="3"/>
    </font>
    <font>
      <sz val="10"/>
      <name val="Century Gothic"/>
      <family val="2"/>
    </font>
    <font>
      <u/>
      <sz val="10"/>
      <color theme="10"/>
      <name val="Arial"/>
      <family val="2"/>
    </font>
    <font>
      <sz val="10"/>
      <name val="Arial"/>
      <family val="2"/>
      <charset val="1"/>
    </font>
    <font>
      <sz val="12"/>
      <color theme="1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32"/>
      <name val="Arial"/>
      <family val="2"/>
    </font>
    <font>
      <u/>
      <sz val="7.5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19"/>
      <name val="Calibri"/>
      <family val="2"/>
    </font>
    <font>
      <sz val="12"/>
      <name val="Helv"/>
    </font>
    <font>
      <b/>
      <u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2"/>
    </font>
    <font>
      <sz val="10"/>
      <color indexed="32"/>
      <name val="Arial"/>
      <family val="2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7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8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63"/>
      </patternFill>
    </fill>
    <fill>
      <patternFill patternType="solid">
        <fgColor indexed="10"/>
      </patternFill>
    </fill>
    <fill>
      <patternFill patternType="solid">
        <fgColor indexed="56"/>
      </patternFill>
    </fill>
    <fill>
      <patternFill patternType="solid">
        <fgColor indexed="53"/>
      </patternFill>
    </fill>
    <fill>
      <patternFill patternType="solid">
        <fgColor indexed="52"/>
      </patternFill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  <bgColor indexed="19"/>
      </patternFill>
    </fill>
    <fill>
      <patternFill patternType="solid">
        <fgColor indexed="54"/>
      </patternFill>
    </fill>
    <fill>
      <patternFill patternType="solid">
        <fgColor indexed="9"/>
        <bgColor indexed="19"/>
      </patternFill>
    </fill>
    <fill>
      <patternFill patternType="solid">
        <fgColor indexed="9"/>
        <bgColor indexed="43"/>
      </patternFill>
    </fill>
    <fill>
      <patternFill patternType="solid">
        <fgColor theme="4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2"/>
      </left>
      <right style="double">
        <color indexed="62"/>
      </right>
      <top style="double">
        <color indexed="62"/>
      </top>
      <bottom style="double">
        <color indexed="62"/>
      </bottom>
      <diagonal/>
    </border>
    <border>
      <left/>
      <right/>
      <top/>
      <bottom style="double">
        <color indexed="5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802">
    <xf numFmtId="0" fontId="0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7" fillId="0" borderId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37" borderId="0" applyNumberFormat="0" applyBorder="0" applyAlignment="0" applyProtection="0"/>
    <xf numFmtId="0" fontId="21" fillId="40" borderId="0" applyNumberFormat="0" applyBorder="0" applyAlignment="0" applyProtection="0"/>
    <xf numFmtId="0" fontId="21" fillId="39" borderId="0" applyNumberFormat="0" applyBorder="0" applyAlignment="0" applyProtection="0"/>
    <xf numFmtId="0" fontId="21" fillId="41" borderId="0" applyNumberFormat="0" applyBorder="0" applyAlignment="0" applyProtection="0"/>
    <xf numFmtId="0" fontId="21" fillId="38" borderId="0" applyNumberFormat="0" applyBorder="0" applyAlignment="0" applyProtection="0"/>
    <xf numFmtId="0" fontId="21" fillId="42" borderId="0" applyNumberFormat="0" applyBorder="0" applyAlignment="0" applyProtection="0"/>
    <xf numFmtId="0" fontId="21" fillId="41" borderId="0" applyNumberFormat="0" applyBorder="0" applyAlignment="0" applyProtection="0"/>
    <xf numFmtId="0" fontId="21" fillId="43" borderId="0" applyNumberFormat="0" applyBorder="0" applyAlignment="0" applyProtection="0"/>
    <xf numFmtId="0" fontId="21" fillId="42" borderId="0" applyNumberFormat="0" applyBorder="0" applyAlignment="0" applyProtection="0"/>
    <xf numFmtId="0" fontId="22" fillId="44" borderId="0" applyNumberFormat="0" applyBorder="0" applyAlignment="0" applyProtection="0"/>
    <xf numFmtId="0" fontId="22" fillId="38" borderId="0" applyNumberFormat="0" applyBorder="0" applyAlignment="0" applyProtection="0"/>
    <xf numFmtId="0" fontId="22" fillId="42" borderId="0" applyNumberFormat="0" applyBorder="0" applyAlignment="0" applyProtection="0"/>
    <xf numFmtId="0" fontId="22" fillId="41" borderId="0" applyNumberFormat="0" applyBorder="0" applyAlignment="0" applyProtection="0"/>
    <xf numFmtId="0" fontId="22" fillId="44" borderId="0" applyNumberFormat="0" applyBorder="0" applyAlignment="0" applyProtection="0"/>
    <xf numFmtId="0" fontId="22" fillId="38" borderId="0" applyNumberFormat="0" applyBorder="0" applyAlignment="0" applyProtection="0"/>
    <xf numFmtId="0" fontId="18" fillId="0" borderId="0"/>
    <xf numFmtId="0" fontId="23" fillId="45" borderId="0" applyNumberFormat="0" applyBorder="0" applyAlignment="0" applyProtection="0"/>
    <xf numFmtId="0" fontId="24" fillId="46" borderId="18" applyNumberFormat="0" applyAlignment="0" applyProtection="0"/>
    <xf numFmtId="0" fontId="25" fillId="47" borderId="19" applyNumberFormat="0" applyAlignment="0" applyProtection="0"/>
    <xf numFmtId="0" fontId="26" fillId="0" borderId="20" applyNumberFormat="0" applyFill="0" applyAlignment="0" applyProtection="0"/>
    <xf numFmtId="0" fontId="27" fillId="0" borderId="0" applyNumberFormat="0" applyFill="0" applyBorder="0" applyAlignment="0" applyProtection="0"/>
    <xf numFmtId="0" fontId="22" fillId="44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2" fillId="50" borderId="0" applyNumberFormat="0" applyBorder="0" applyAlignment="0" applyProtection="0"/>
    <xf numFmtId="0" fontId="22" fillId="44" borderId="0" applyNumberFormat="0" applyBorder="0" applyAlignment="0" applyProtection="0"/>
    <xf numFmtId="0" fontId="22" fillId="51" borderId="0" applyNumberFormat="0" applyBorder="0" applyAlignment="0" applyProtection="0"/>
    <xf numFmtId="0" fontId="28" fillId="42" borderId="18" applyNumberFormat="0" applyAlignment="0" applyProtection="0"/>
    <xf numFmtId="169" fontId="18" fillId="0" borderId="0" applyFont="0" applyFill="0" applyBorder="0" applyAlignment="0" applyProtection="0"/>
    <xf numFmtId="0" fontId="29" fillId="52" borderId="0" applyNumberFormat="0" applyBorder="0" applyAlignment="0" applyProtection="0"/>
    <xf numFmtId="0" fontId="30" fillId="42" borderId="0" applyNumberFormat="0" applyBorder="0" applyAlignment="0" applyProtection="0"/>
    <xf numFmtId="0" fontId="17" fillId="39" borderId="21" applyNumberFormat="0" applyFont="0" applyAlignment="0" applyProtection="0"/>
    <xf numFmtId="0" fontId="31" fillId="46" borderId="22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3" applyNumberFormat="0" applyFill="0" applyAlignment="0" applyProtection="0"/>
    <xf numFmtId="0" fontId="36" fillId="0" borderId="24" applyNumberFormat="0" applyFill="0" applyAlignment="0" applyProtection="0"/>
    <xf numFmtId="0" fontId="27" fillId="0" borderId="25" applyNumberFormat="0" applyFill="0" applyAlignment="0" applyProtection="0"/>
    <xf numFmtId="0" fontId="37" fillId="0" borderId="26" applyNumberFormat="0" applyFill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5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57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24" fillId="46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40" fillId="41" borderId="18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25" fillId="62" borderId="27" applyNumberFormat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28" fillId="42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0" fontId="43" fillId="37" borderId="18" applyNumberFormat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0" fontId="44" fillId="0" borderId="0" applyFont="0" applyFill="0" applyBorder="0" applyAlignment="0" applyProtection="0"/>
    <xf numFmtId="2" fontId="44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71" fontId="44" fillId="0" borderId="0" applyFont="0" applyFill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0" fontId="17" fillId="39" borderId="21" applyNumberFormat="0" applyFont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44" fillId="0" borderId="0" applyFont="0" applyFill="0" applyBorder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31" fillId="46" borderId="30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27" fillId="0" borderId="33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5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2" fillId="0" borderId="0"/>
    <xf numFmtId="0" fontId="50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6" borderId="0" applyNumberFormat="0" applyBorder="0" applyAlignment="0" applyProtection="0"/>
    <xf numFmtId="0" fontId="9" fillId="7" borderId="0" applyNumberFormat="0" applyBorder="0" applyAlignment="0" applyProtection="0"/>
    <xf numFmtId="0" fontId="10" fillId="8" borderId="0" applyNumberFormat="0" applyBorder="0" applyAlignment="0" applyProtection="0"/>
    <xf numFmtId="0" fontId="11" fillId="9" borderId="5" applyNumberFormat="0" applyAlignment="0" applyProtection="0"/>
    <xf numFmtId="0" fontId="12" fillId="10" borderId="6" applyNumberFormat="0" applyAlignment="0" applyProtection="0"/>
    <xf numFmtId="0" fontId="13" fillId="10" borderId="5" applyNumberFormat="0" applyAlignment="0" applyProtection="0"/>
    <xf numFmtId="0" fontId="14" fillId="0" borderId="7" applyNumberFormat="0" applyFill="0" applyAlignment="0" applyProtection="0"/>
    <xf numFmtId="0" fontId="3" fillId="11" borderId="8" applyNumberFormat="0" applyAlignment="0" applyProtection="0"/>
    <xf numFmtId="0" fontId="15" fillId="0" borderId="0" applyNumberFormat="0" applyFill="0" applyBorder="0" applyAlignment="0" applyProtection="0"/>
    <xf numFmtId="0" fontId="2" fillId="12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4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4" fillId="36" borderId="0" applyNumberFormat="0" applyBorder="0" applyAlignment="0" applyProtection="0"/>
    <xf numFmtId="0" fontId="51" fillId="0" borderId="0"/>
    <xf numFmtId="172" fontId="52" fillId="0" borderId="0" applyFont="0" applyFill="0" applyBorder="0" applyAlignment="0" applyProtection="0"/>
    <xf numFmtId="165" fontId="51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53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0" fillId="0" borderId="0" applyNumberForma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2" fillId="0" borderId="0"/>
    <xf numFmtId="0" fontId="2" fillId="12" borderId="9" applyNumberFormat="0" applyFont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18" fillId="0" borderId="0"/>
    <xf numFmtId="0" fontId="17" fillId="0" borderId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24" fillId="46" borderId="36" applyNumberFormat="0" applyAlignment="0" applyProtection="0"/>
    <xf numFmtId="0" fontId="40" fillId="41" borderId="36" applyNumberFormat="0" applyAlignment="0" applyProtection="0"/>
    <xf numFmtId="0" fontId="24" fillId="46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0" fillId="41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28" fillId="42" borderId="36" applyNumberFormat="0" applyAlignment="0" applyProtection="0"/>
    <xf numFmtId="0" fontId="43" fillId="37" borderId="36" applyNumberFormat="0" applyAlignment="0" applyProtection="0"/>
    <xf numFmtId="0" fontId="28" fillId="42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43" fillId="37" borderId="36" applyNumberFormat="0" applyAlignment="0" applyProtection="0"/>
    <xf numFmtId="0" fontId="17" fillId="0" borderId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165" fontId="21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51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4" fontId="17" fillId="0" borderId="0" applyFont="0" applyFill="0" applyBorder="0" applyAlignment="0" applyProtection="0"/>
    <xf numFmtId="17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55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5" fillId="0" borderId="0">
      <alignment wrapText="1"/>
    </xf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2" fillId="12" borderId="9" applyNumberFormat="0" applyFont="0" applyAlignment="0" applyProtection="0"/>
    <xf numFmtId="0" fontId="2" fillId="12" borderId="9" applyNumberFormat="0" applyFont="0" applyAlignment="0" applyProtection="0"/>
    <xf numFmtId="0" fontId="2" fillId="12" borderId="9" applyNumberFormat="0" applyFont="0" applyAlignment="0" applyProtection="0"/>
    <xf numFmtId="0" fontId="2" fillId="12" borderId="9" applyNumberFormat="0" applyFont="0" applyAlignment="0" applyProtection="0"/>
    <xf numFmtId="0" fontId="2" fillId="12" borderId="9" applyNumberFormat="0" applyFont="0" applyAlignment="0" applyProtection="0"/>
    <xf numFmtId="0" fontId="2" fillId="12" borderId="9" applyNumberFormat="0" applyFont="0" applyAlignment="0" applyProtection="0"/>
    <xf numFmtId="0" fontId="2" fillId="12" borderId="9" applyNumberFormat="0" applyFont="0" applyAlignment="0" applyProtection="0"/>
    <xf numFmtId="0" fontId="2" fillId="12" borderId="9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0" fontId="17" fillId="39" borderId="37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31" fillId="46" borderId="30" applyNumberFormat="0" applyAlignment="0" applyProtection="0"/>
    <xf numFmtId="0" fontId="46" fillId="41" borderId="29" applyNumberFormat="0" applyAlignment="0" applyProtection="0"/>
    <xf numFmtId="0" fontId="31" fillId="46" borderId="30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6" fillId="41" borderId="29" applyNumberFormat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27" fillId="0" borderId="33" applyNumberFormat="0" applyFill="0" applyAlignment="0" applyProtection="0"/>
    <xf numFmtId="0" fontId="27" fillId="0" borderId="33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5" applyNumberFormat="0" applyFill="0" applyAlignment="0" applyProtection="0"/>
    <xf numFmtId="0" fontId="37" fillId="0" borderId="34" applyNumberFormat="0" applyFill="0" applyAlignment="0" applyProtection="0"/>
    <xf numFmtId="0" fontId="37" fillId="0" borderId="35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17" fillId="0" borderId="0"/>
    <xf numFmtId="3" fontId="57" fillId="65" borderId="0">
      <alignment horizontal="left"/>
    </xf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1" fillId="4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30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0" fontId="2" fillId="34" borderId="0" applyNumberFormat="0" applyBorder="0" applyAlignment="0" applyProtection="0"/>
    <xf numFmtId="3" fontId="58" fillId="53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1" fillId="40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1" fillId="52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1" fillId="40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1" fillId="39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2" fillId="40" borderId="0" applyNumberFormat="0" applyBorder="0" applyAlignment="0" applyProtection="0"/>
    <xf numFmtId="0" fontId="22" fillId="50" borderId="0" applyNumberFormat="0" applyBorder="0" applyAlignment="0" applyProtection="0"/>
    <xf numFmtId="0" fontId="22" fillId="58" borderId="0" applyNumberFormat="0" applyBorder="0" applyAlignment="0" applyProtection="0"/>
    <xf numFmtId="0" fontId="22" fillId="52" borderId="0" applyNumberFormat="0" applyBorder="0" applyAlignment="0" applyProtection="0"/>
    <xf numFmtId="0" fontId="22" fillId="40" borderId="0" applyNumberFormat="0" applyBorder="0" applyAlignment="0" applyProtection="0"/>
    <xf numFmtId="0" fontId="59" fillId="53" borderId="0">
      <alignment horizontal="left"/>
    </xf>
    <xf numFmtId="0" fontId="23" fillId="40" borderId="0" applyNumberFormat="0" applyBorder="0" applyAlignment="0" applyProtection="0"/>
    <xf numFmtId="0" fontId="32" fillId="0" borderId="38" applyNumberFormat="0" applyFill="0" applyAlignment="0" applyProtection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42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22" fillId="49" borderId="0" applyNumberFormat="0" applyBorder="0" applyAlignment="0" applyProtection="0"/>
    <xf numFmtId="0" fontId="22" fillId="50" borderId="0" applyNumberFormat="0" applyBorder="0" applyAlignment="0" applyProtection="0"/>
    <xf numFmtId="0" fontId="22" fillId="58" borderId="0" applyNumberFormat="0" applyBorder="0" applyAlignment="0" applyProtection="0"/>
    <xf numFmtId="0" fontId="22" fillId="66" borderId="0" applyNumberFormat="0" applyBorder="0" applyAlignment="0" applyProtection="0"/>
    <xf numFmtId="0" fontId="22" fillId="48" borderId="0" applyNumberFormat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29" fillId="56" borderId="0" applyNumberFormat="0" applyBorder="0" applyAlignment="0" applyProtection="0"/>
    <xf numFmtId="3" fontId="61" fillId="65" borderId="17">
      <alignment horizontal="center"/>
    </xf>
    <xf numFmtId="0" fontId="62" fillId="42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6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55" fillId="0" borderId="0">
      <alignment wrapText="1"/>
    </xf>
    <xf numFmtId="0" fontId="55" fillId="0" borderId="0">
      <alignment wrapText="1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" fontId="59" fillId="67" borderId="0">
      <alignment horizontal="left"/>
    </xf>
    <xf numFmtId="3" fontId="57" fillId="67" borderId="0">
      <alignment horizontal="left"/>
    </xf>
    <xf numFmtId="3" fontId="64" fillId="67" borderId="0">
      <alignment horizontal="center"/>
    </xf>
    <xf numFmtId="0" fontId="65" fillId="0" borderId="39" applyNumberFormat="0" applyFill="0" applyAlignment="0" applyProtection="0"/>
    <xf numFmtId="0" fontId="66" fillId="0" borderId="40" applyNumberFormat="0" applyFill="0" applyAlignment="0" applyProtection="0"/>
    <xf numFmtId="0" fontId="67" fillId="0" borderId="0" applyNumberFormat="0" applyFill="0" applyBorder="0" applyAlignment="0" applyProtection="0"/>
    <xf numFmtId="0" fontId="31" fillId="0" borderId="41" applyNumberFormat="0" applyFill="0" applyAlignment="0" applyProtection="0"/>
    <xf numFmtId="3" fontId="61" fillId="54" borderId="17">
      <alignment horizontal="center" vertical="center"/>
    </xf>
    <xf numFmtId="3" fontId="68" fillId="67" borderId="0">
      <alignment horizontal="left"/>
    </xf>
    <xf numFmtId="3" fontId="58" fillId="68" borderId="0">
      <alignment horizontal="right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63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41" fontId="0" fillId="0" borderId="1" xfId="1" applyFont="1" applyBorder="1"/>
    <xf numFmtId="166" fontId="0" fillId="0" borderId="1" xfId="0" applyNumberFormat="1" applyBorder="1"/>
    <xf numFmtId="167" fontId="0" fillId="0" borderId="1" xfId="1" applyNumberFormat="1" applyFont="1" applyBorder="1"/>
    <xf numFmtId="0" fontId="0" fillId="2" borderId="17" xfId="0" applyFill="1" applyBorder="1"/>
    <xf numFmtId="0" fontId="3" fillId="5" borderId="16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2" borderId="11" xfId="0" applyFill="1" applyBorder="1"/>
    <xf numFmtId="0" fontId="0" fillId="2" borderId="42" xfId="0" applyFill="1" applyBorder="1"/>
    <xf numFmtId="0" fontId="0" fillId="2" borderId="12" xfId="0" applyFill="1" applyBorder="1"/>
    <xf numFmtId="0" fontId="0" fillId="2" borderId="15" xfId="0" applyFill="1" applyBorder="1"/>
    <xf numFmtId="0" fontId="0" fillId="2" borderId="16" xfId="0" applyFill="1" applyBorder="1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41" fontId="0" fillId="0" borderId="46" xfId="0" applyNumberFormat="1" applyBorder="1"/>
    <xf numFmtId="14" fontId="0" fillId="0" borderId="46" xfId="0" applyNumberFormat="1" applyBorder="1" applyAlignment="1">
      <alignment horizontal="center"/>
    </xf>
    <xf numFmtId="10" fontId="0" fillId="0" borderId="46" xfId="2" applyNumberFormat="1" applyFont="1" applyBorder="1" applyAlignment="1">
      <alignment horizontal="center"/>
    </xf>
    <xf numFmtId="14" fontId="0" fillId="0" borderId="46" xfId="0" applyNumberFormat="1" applyBorder="1"/>
    <xf numFmtId="0" fontId="0" fillId="0" borderId="46" xfId="0" applyBorder="1"/>
    <xf numFmtId="0" fontId="0" fillId="2" borderId="12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top"/>
    </xf>
    <xf numFmtId="180" fontId="0" fillId="0" borderId="0" xfId="0" applyNumberFormat="1"/>
    <xf numFmtId="17" fontId="0" fillId="0" borderId="1" xfId="0" applyNumberFormat="1" applyBorder="1" applyAlignment="1">
      <alignment horizontal="center"/>
    </xf>
    <xf numFmtId="41" fontId="0" fillId="0" borderId="46" xfId="1" applyFont="1" applyBorder="1" applyAlignment="1">
      <alignment horizontal="center"/>
    </xf>
    <xf numFmtId="0" fontId="69" fillId="0" borderId="0" xfId="0" applyFont="1"/>
    <xf numFmtId="0" fontId="69" fillId="0" borderId="46" xfId="0" applyFont="1" applyBorder="1" applyAlignment="1">
      <alignment horizontal="center"/>
    </xf>
    <xf numFmtId="17" fontId="0" fillId="0" borderId="0" xfId="0" applyNumberFormat="1"/>
    <xf numFmtId="0" fontId="70" fillId="0" borderId="0" xfId="0" applyFont="1" applyAlignment="1">
      <alignment horizontal="left"/>
    </xf>
    <xf numFmtId="0" fontId="70" fillId="0" borderId="0" xfId="0" applyFont="1" applyAlignment="1">
      <alignment horizontal="center"/>
    </xf>
    <xf numFmtId="0" fontId="71" fillId="0" borderId="17" xfId="0" applyFont="1" applyBorder="1" applyAlignment="1">
      <alignment horizontal="left"/>
    </xf>
    <xf numFmtId="0" fontId="71" fillId="0" borderId="17" xfId="0" applyFont="1" applyBorder="1" applyAlignment="1">
      <alignment horizontal="center"/>
    </xf>
    <xf numFmtId="14" fontId="70" fillId="0" borderId="0" xfId="0" applyNumberFormat="1" applyFont="1" applyAlignment="1">
      <alignment horizontal="center"/>
    </xf>
    <xf numFmtId="10" fontId="70" fillId="0" borderId="0" xfId="2" applyNumberFormat="1" applyFont="1" applyAlignment="1">
      <alignment horizontal="center"/>
    </xf>
    <xf numFmtId="10" fontId="70" fillId="0" borderId="0" xfId="0" applyNumberFormat="1" applyFont="1" applyAlignment="1">
      <alignment horizontal="center"/>
    </xf>
    <xf numFmtId="0" fontId="3" fillId="5" borderId="43" xfId="0" applyFont="1" applyFill="1" applyBorder="1" applyAlignment="1">
      <alignment vertical="center" wrapText="1"/>
    </xf>
    <xf numFmtId="17" fontId="0" fillId="0" borderId="46" xfId="0" applyNumberFormat="1" applyBorder="1" applyAlignment="1">
      <alignment horizontal="center"/>
    </xf>
    <xf numFmtId="0" fontId="0" fillId="0" borderId="46" xfId="0" applyBorder="1" applyAlignment="1">
      <alignment horizontal="center"/>
    </xf>
    <xf numFmtId="0" fontId="1" fillId="3" borderId="48" xfId="0" applyFont="1" applyFill="1" applyBorder="1"/>
    <xf numFmtId="41" fontId="1" fillId="3" borderId="49" xfId="0" applyNumberFormat="1" applyFont="1" applyFill="1" applyBorder="1"/>
    <xf numFmtId="22" fontId="0" fillId="0" borderId="0" xfId="0" applyNumberFormat="1"/>
    <xf numFmtId="0" fontId="1" fillId="2" borderId="46" xfId="0" applyFont="1" applyFill="1" applyBorder="1" applyAlignment="1">
      <alignment horizontal="center" vertical="top"/>
    </xf>
    <xf numFmtId="0" fontId="0" fillId="0" borderId="0" xfId="0" applyBorder="1"/>
    <xf numFmtId="0" fontId="3" fillId="69" borderId="44" xfId="0" applyFont="1" applyFill="1" applyBorder="1" applyAlignment="1">
      <alignment horizontal="center"/>
    </xf>
    <xf numFmtId="0" fontId="3" fillId="69" borderId="45" xfId="0" applyFont="1" applyFill="1" applyBorder="1" applyAlignment="1">
      <alignment horizontal="center"/>
    </xf>
    <xf numFmtId="0" fontId="3" fillId="4" borderId="46" xfId="0" applyFont="1" applyFill="1" applyBorder="1" applyAlignment="1">
      <alignment horizontal="center"/>
    </xf>
    <xf numFmtId="0" fontId="3" fillId="5" borderId="47" xfId="0" applyFont="1" applyFill="1" applyBorder="1" applyAlignment="1">
      <alignment horizontal="center"/>
    </xf>
    <xf numFmtId="0" fontId="3" fillId="5" borderId="44" xfId="0" applyFont="1" applyFill="1" applyBorder="1" applyAlignment="1">
      <alignment horizontal="center"/>
    </xf>
    <xf numFmtId="0" fontId="3" fillId="5" borderId="45" xfId="0" applyFont="1" applyFill="1" applyBorder="1" applyAlignment="1">
      <alignment horizontal="center"/>
    </xf>
    <xf numFmtId="0" fontId="1" fillId="0" borderId="0" xfId="0" applyFont="1" applyBorder="1" applyAlignment="1">
      <alignment horizontal="center" vertical="top"/>
    </xf>
  </cellXfs>
  <cellStyles count="1802">
    <cellStyle name="0,0_x000a__x000a_NA_x000a__x000a_" xfId="1446"/>
    <cellStyle name="1o.nível" xfId="1447"/>
    <cellStyle name="20% - Énfasis1 10" xfId="60"/>
    <cellStyle name="20% - Énfasis1 11" xfId="61"/>
    <cellStyle name="20% - Énfasis1 12" xfId="62"/>
    <cellStyle name="20% - Énfasis1 13" xfId="63"/>
    <cellStyle name="20% - Énfasis1 14" xfId="64"/>
    <cellStyle name="20% - Énfasis1 15" xfId="65"/>
    <cellStyle name="20% - Énfasis1 16" xfId="66"/>
    <cellStyle name="20% - Énfasis1 17" xfId="67"/>
    <cellStyle name="20% - Énfasis1 18" xfId="68"/>
    <cellStyle name="20% - Énfasis1 19" xfId="69"/>
    <cellStyle name="20% - Énfasis1 2" xfId="70"/>
    <cellStyle name="20% - Énfasis1 2 2" xfId="1448"/>
    <cellStyle name="20% - Énfasis1 20" xfId="71"/>
    <cellStyle name="20% - Énfasis1 21" xfId="863"/>
    <cellStyle name="20% - Énfasis1 21 2" xfId="927"/>
    <cellStyle name="20% - Énfasis1 21 2 2" xfId="928"/>
    <cellStyle name="20% - Énfasis1 21 3" xfId="929"/>
    <cellStyle name="20% - Énfasis1 21 3 2" xfId="930"/>
    <cellStyle name="20% - Énfasis1 21 4" xfId="931"/>
    <cellStyle name="20% - Énfasis1 22" xfId="914"/>
    <cellStyle name="20% - Énfasis1 22 2" xfId="932"/>
    <cellStyle name="20% - Énfasis1 22 2 2" xfId="933"/>
    <cellStyle name="20% - Énfasis1 22 3" xfId="934"/>
    <cellStyle name="20% - Énfasis1 23" xfId="1449"/>
    <cellStyle name="20% - Énfasis1 24" xfId="1450"/>
    <cellStyle name="20% - Énfasis1 25" xfId="4"/>
    <cellStyle name="20% - Énfasis1 3" xfId="72"/>
    <cellStyle name="20% - Énfasis1 3 2" xfId="1451"/>
    <cellStyle name="20% - Énfasis1 4" xfId="73"/>
    <cellStyle name="20% - Énfasis1 4 2" xfId="1452"/>
    <cellStyle name="20% - Énfasis1 5" xfId="74"/>
    <cellStyle name="20% - Énfasis1 6" xfId="75"/>
    <cellStyle name="20% - Énfasis1 7" xfId="76"/>
    <cellStyle name="20% - Énfasis1 8" xfId="77"/>
    <cellStyle name="20% - Énfasis1 9" xfId="78"/>
    <cellStyle name="20% - Énfasis2 10" xfId="79"/>
    <cellStyle name="20% - Énfasis2 11" xfId="80"/>
    <cellStyle name="20% - Énfasis2 12" xfId="81"/>
    <cellStyle name="20% - Énfasis2 13" xfId="82"/>
    <cellStyle name="20% - Énfasis2 14" xfId="83"/>
    <cellStyle name="20% - Énfasis2 15" xfId="84"/>
    <cellStyle name="20% - Énfasis2 16" xfId="85"/>
    <cellStyle name="20% - Énfasis2 17" xfId="86"/>
    <cellStyle name="20% - Énfasis2 18" xfId="87"/>
    <cellStyle name="20% - Énfasis2 19" xfId="88"/>
    <cellStyle name="20% - Énfasis2 2" xfId="89"/>
    <cellStyle name="20% - Énfasis2 2 2" xfId="1453"/>
    <cellStyle name="20% - Énfasis2 20" xfId="90"/>
    <cellStyle name="20% - Énfasis2 21" xfId="867"/>
    <cellStyle name="20% - Énfasis2 21 2" xfId="935"/>
    <cellStyle name="20% - Énfasis2 21 2 2" xfId="936"/>
    <cellStyle name="20% - Énfasis2 21 3" xfId="937"/>
    <cellStyle name="20% - Énfasis2 21 3 2" xfId="938"/>
    <cellStyle name="20% - Énfasis2 21 4" xfId="939"/>
    <cellStyle name="20% - Énfasis2 22" xfId="916"/>
    <cellStyle name="20% - Énfasis2 22 2" xfId="940"/>
    <cellStyle name="20% - Énfasis2 22 2 2" xfId="941"/>
    <cellStyle name="20% - Énfasis2 22 3" xfId="942"/>
    <cellStyle name="20% - Énfasis2 23" xfId="1454"/>
    <cellStyle name="20% - Énfasis2 24" xfId="5"/>
    <cellStyle name="20% - Énfasis2 3" xfId="91"/>
    <cellStyle name="20% - Énfasis2 3 2" xfId="1455"/>
    <cellStyle name="20% - Énfasis2 4" xfId="92"/>
    <cellStyle name="20% - Énfasis2 4 2" xfId="1456"/>
    <cellStyle name="20% - Énfasis2 5" xfId="93"/>
    <cellStyle name="20% - Énfasis2 6" xfId="94"/>
    <cellStyle name="20% - Énfasis2 7" xfId="95"/>
    <cellStyle name="20% - Énfasis2 8" xfId="96"/>
    <cellStyle name="20% - Énfasis2 9" xfId="97"/>
    <cellStyle name="20% - Énfasis3 10" xfId="98"/>
    <cellStyle name="20% - Énfasis3 11" xfId="99"/>
    <cellStyle name="20% - Énfasis3 12" xfId="100"/>
    <cellStyle name="20% - Énfasis3 13" xfId="101"/>
    <cellStyle name="20% - Énfasis3 14" xfId="102"/>
    <cellStyle name="20% - Énfasis3 15" xfId="103"/>
    <cellStyle name="20% - Énfasis3 16" xfId="104"/>
    <cellStyle name="20% - Énfasis3 17" xfId="105"/>
    <cellStyle name="20% - Énfasis3 18" xfId="106"/>
    <cellStyle name="20% - Énfasis3 19" xfId="107"/>
    <cellStyle name="20% - Énfasis3 2" xfId="108"/>
    <cellStyle name="20% - Énfasis3 2 2" xfId="1457"/>
    <cellStyle name="20% - Énfasis3 20" xfId="109"/>
    <cellStyle name="20% - Énfasis3 21" xfId="871"/>
    <cellStyle name="20% - Énfasis3 21 2" xfId="943"/>
    <cellStyle name="20% - Énfasis3 21 2 2" xfId="944"/>
    <cellStyle name="20% - Énfasis3 21 3" xfId="945"/>
    <cellStyle name="20% - Énfasis3 21 3 2" xfId="946"/>
    <cellStyle name="20% - Énfasis3 21 4" xfId="947"/>
    <cellStyle name="20% - Énfasis3 22" xfId="918"/>
    <cellStyle name="20% - Énfasis3 22 2" xfId="948"/>
    <cellStyle name="20% - Énfasis3 22 2 2" xfId="949"/>
    <cellStyle name="20% - Énfasis3 22 3" xfId="950"/>
    <cellStyle name="20% - Énfasis3 23" xfId="1458"/>
    <cellStyle name="20% - Énfasis3 24" xfId="6"/>
    <cellStyle name="20% - Énfasis3 3" xfId="110"/>
    <cellStyle name="20% - Énfasis3 3 2" xfId="1459"/>
    <cellStyle name="20% - Énfasis3 4" xfId="111"/>
    <cellStyle name="20% - Énfasis3 4 2" xfId="1460"/>
    <cellStyle name="20% - Énfasis3 5" xfId="112"/>
    <cellStyle name="20% - Énfasis3 6" xfId="113"/>
    <cellStyle name="20% - Énfasis3 7" xfId="114"/>
    <cellStyle name="20% - Énfasis3 8" xfId="115"/>
    <cellStyle name="20% - Énfasis3 9" xfId="116"/>
    <cellStyle name="20% - Énfasis4 10" xfId="117"/>
    <cellStyle name="20% - Énfasis4 11" xfId="118"/>
    <cellStyle name="20% - Énfasis4 12" xfId="119"/>
    <cellStyle name="20% - Énfasis4 13" xfId="120"/>
    <cellStyle name="20% - Énfasis4 14" xfId="121"/>
    <cellStyle name="20% - Énfasis4 15" xfId="122"/>
    <cellStyle name="20% - Énfasis4 16" xfId="123"/>
    <cellStyle name="20% - Énfasis4 17" xfId="124"/>
    <cellStyle name="20% - Énfasis4 18" xfId="125"/>
    <cellStyle name="20% - Énfasis4 19" xfId="126"/>
    <cellStyle name="20% - Énfasis4 2" xfId="127"/>
    <cellStyle name="20% - Énfasis4 2 2" xfId="1461"/>
    <cellStyle name="20% - Énfasis4 20" xfId="128"/>
    <cellStyle name="20% - Énfasis4 21" xfId="875"/>
    <cellStyle name="20% - Énfasis4 21 2" xfId="951"/>
    <cellStyle name="20% - Énfasis4 21 2 2" xfId="952"/>
    <cellStyle name="20% - Énfasis4 21 3" xfId="953"/>
    <cellStyle name="20% - Énfasis4 21 3 2" xfId="954"/>
    <cellStyle name="20% - Énfasis4 21 4" xfId="955"/>
    <cellStyle name="20% - Énfasis4 22" xfId="920"/>
    <cellStyle name="20% - Énfasis4 22 2" xfId="956"/>
    <cellStyle name="20% - Énfasis4 22 2 2" xfId="957"/>
    <cellStyle name="20% - Énfasis4 22 3" xfId="958"/>
    <cellStyle name="20% - Énfasis4 23" xfId="1462"/>
    <cellStyle name="20% - Énfasis4 24" xfId="7"/>
    <cellStyle name="20% - Énfasis4 3" xfId="129"/>
    <cellStyle name="20% - Énfasis4 3 2" xfId="1463"/>
    <cellStyle name="20% - Énfasis4 4" xfId="130"/>
    <cellStyle name="20% - Énfasis4 4 2" xfId="1464"/>
    <cellStyle name="20% - Énfasis4 5" xfId="131"/>
    <cellStyle name="20% - Énfasis4 6" xfId="132"/>
    <cellStyle name="20% - Énfasis4 7" xfId="133"/>
    <cellStyle name="20% - Énfasis4 8" xfId="134"/>
    <cellStyle name="20% - Énfasis4 9" xfId="135"/>
    <cellStyle name="20% - Énfasis5 2" xfId="879"/>
    <cellStyle name="20% - Énfasis5 2 2" xfId="959"/>
    <cellStyle name="20% - Énfasis5 2 2 2" xfId="960"/>
    <cellStyle name="20% - Énfasis5 2 3" xfId="961"/>
    <cellStyle name="20% - Énfasis5 2 3 2" xfId="962"/>
    <cellStyle name="20% - Énfasis5 2 4" xfId="963"/>
    <cellStyle name="20% - Énfasis5 3" xfId="922"/>
    <cellStyle name="20% - Énfasis5 3 2" xfId="964"/>
    <cellStyle name="20% - Énfasis5 3 2 2" xfId="965"/>
    <cellStyle name="20% - Énfasis5 3 3" xfId="966"/>
    <cellStyle name="20% - Énfasis5 4" xfId="1465"/>
    <cellStyle name="20% - Énfasis5 5" xfId="1466"/>
    <cellStyle name="20% - Énfasis5 6" xfId="8"/>
    <cellStyle name="20% - Énfasis6 10" xfId="136"/>
    <cellStyle name="20% - Énfasis6 11" xfId="137"/>
    <cellStyle name="20% - Énfasis6 12" xfId="138"/>
    <cellStyle name="20% - Énfasis6 13" xfId="139"/>
    <cellStyle name="20% - Énfasis6 14" xfId="140"/>
    <cellStyle name="20% - Énfasis6 15" xfId="141"/>
    <cellStyle name="20% - Énfasis6 16" xfId="142"/>
    <cellStyle name="20% - Énfasis6 17" xfId="143"/>
    <cellStyle name="20% - Énfasis6 18" xfId="144"/>
    <cellStyle name="20% - Énfasis6 19" xfId="145"/>
    <cellStyle name="20% - Énfasis6 2" xfId="146"/>
    <cellStyle name="20% - Énfasis6 2 2" xfId="1467"/>
    <cellStyle name="20% - Énfasis6 20" xfId="147"/>
    <cellStyle name="20% - Énfasis6 21" xfId="883"/>
    <cellStyle name="20% - Énfasis6 21 2" xfId="967"/>
    <cellStyle name="20% - Énfasis6 21 2 2" xfId="968"/>
    <cellStyle name="20% - Énfasis6 21 3" xfId="969"/>
    <cellStyle name="20% - Énfasis6 21 3 2" xfId="970"/>
    <cellStyle name="20% - Énfasis6 21 4" xfId="971"/>
    <cellStyle name="20% - Énfasis6 22" xfId="924"/>
    <cellStyle name="20% - Énfasis6 22 2" xfId="972"/>
    <cellStyle name="20% - Énfasis6 22 2 2" xfId="973"/>
    <cellStyle name="20% - Énfasis6 22 3" xfId="974"/>
    <cellStyle name="20% - Énfasis6 23" xfId="1468"/>
    <cellStyle name="20% - Énfasis6 24" xfId="9"/>
    <cellStyle name="20% - Énfasis6 3" xfId="148"/>
    <cellStyle name="20% - Énfasis6 3 2" xfId="1469"/>
    <cellStyle name="20% - Énfasis6 4" xfId="149"/>
    <cellStyle name="20% - Énfasis6 4 2" xfId="1470"/>
    <cellStyle name="20% - Énfasis6 5" xfId="150"/>
    <cellStyle name="20% - Énfasis6 6" xfId="151"/>
    <cellStyle name="20% - Énfasis6 7" xfId="152"/>
    <cellStyle name="20% - Énfasis6 8" xfId="153"/>
    <cellStyle name="20% - Énfasis6 9" xfId="154"/>
    <cellStyle name="2o.nível" xfId="1471"/>
    <cellStyle name="40% - Énfasis1 10" xfId="155"/>
    <cellStyle name="40% - Énfasis1 11" xfId="156"/>
    <cellStyle name="40% - Énfasis1 12" xfId="157"/>
    <cellStyle name="40% - Énfasis1 13" xfId="158"/>
    <cellStyle name="40% - Énfasis1 14" xfId="159"/>
    <cellStyle name="40% - Énfasis1 15" xfId="160"/>
    <cellStyle name="40% - Énfasis1 16" xfId="161"/>
    <cellStyle name="40% - Énfasis1 17" xfId="162"/>
    <cellStyle name="40% - Énfasis1 18" xfId="163"/>
    <cellStyle name="40% - Énfasis1 19" xfId="164"/>
    <cellStyle name="40% - Énfasis1 2" xfId="165"/>
    <cellStyle name="40% - Énfasis1 2 2" xfId="1472"/>
    <cellStyle name="40% - Énfasis1 20" xfId="166"/>
    <cellStyle name="40% - Énfasis1 21" xfId="864"/>
    <cellStyle name="40% - Énfasis1 21 2" xfId="975"/>
    <cellStyle name="40% - Énfasis1 21 2 2" xfId="976"/>
    <cellStyle name="40% - Énfasis1 21 3" xfId="977"/>
    <cellStyle name="40% - Énfasis1 21 3 2" xfId="978"/>
    <cellStyle name="40% - Énfasis1 21 4" xfId="979"/>
    <cellStyle name="40% - Énfasis1 22" xfId="915"/>
    <cellStyle name="40% - Énfasis1 22 2" xfId="980"/>
    <cellStyle name="40% - Énfasis1 22 2 2" xfId="981"/>
    <cellStyle name="40% - Énfasis1 22 3" xfId="982"/>
    <cellStyle name="40% - Énfasis1 23" xfId="1473"/>
    <cellStyle name="40% - Énfasis1 24" xfId="1474"/>
    <cellStyle name="40% - Énfasis1 25" xfId="10"/>
    <cellStyle name="40% - Énfasis1 3" xfId="167"/>
    <cellStyle name="40% - Énfasis1 3 2" xfId="1475"/>
    <cellStyle name="40% - Énfasis1 4" xfId="168"/>
    <cellStyle name="40% - Énfasis1 4 2" xfId="1476"/>
    <cellStyle name="40% - Énfasis1 5" xfId="169"/>
    <cellStyle name="40% - Énfasis1 6" xfId="170"/>
    <cellStyle name="40% - Énfasis1 7" xfId="171"/>
    <cellStyle name="40% - Énfasis1 8" xfId="172"/>
    <cellStyle name="40% - Énfasis1 9" xfId="173"/>
    <cellStyle name="40% - Énfasis2 2" xfId="868"/>
    <cellStyle name="40% - Énfasis2 2 2" xfId="983"/>
    <cellStyle name="40% - Énfasis2 2 2 2" xfId="984"/>
    <cellStyle name="40% - Énfasis2 2 3" xfId="985"/>
    <cellStyle name="40% - Énfasis2 2 3 2" xfId="986"/>
    <cellStyle name="40% - Énfasis2 2 4" xfId="987"/>
    <cellStyle name="40% - Énfasis2 3" xfId="917"/>
    <cellStyle name="40% - Énfasis2 3 2" xfId="988"/>
    <cellStyle name="40% - Énfasis2 3 2 2" xfId="989"/>
    <cellStyle name="40% - Énfasis2 3 3" xfId="990"/>
    <cellStyle name="40% - Énfasis2 4" xfId="1477"/>
    <cellStyle name="40% - Énfasis2 5" xfId="1478"/>
    <cellStyle name="40% - Énfasis2 6" xfId="11"/>
    <cellStyle name="40% - Énfasis3 10" xfId="174"/>
    <cellStyle name="40% - Énfasis3 11" xfId="175"/>
    <cellStyle name="40% - Énfasis3 12" xfId="176"/>
    <cellStyle name="40% - Énfasis3 13" xfId="177"/>
    <cellStyle name="40% - Énfasis3 14" xfId="178"/>
    <cellStyle name="40% - Énfasis3 15" xfId="179"/>
    <cellStyle name="40% - Énfasis3 16" xfId="180"/>
    <cellStyle name="40% - Énfasis3 17" xfId="181"/>
    <cellStyle name="40% - Énfasis3 18" xfId="182"/>
    <cellStyle name="40% - Énfasis3 19" xfId="183"/>
    <cellStyle name="40% - Énfasis3 2" xfId="184"/>
    <cellStyle name="40% - Énfasis3 2 2" xfId="1479"/>
    <cellStyle name="40% - Énfasis3 20" xfId="185"/>
    <cellStyle name="40% - Énfasis3 21" xfId="872"/>
    <cellStyle name="40% - Énfasis3 21 2" xfId="991"/>
    <cellStyle name="40% - Énfasis3 21 2 2" xfId="992"/>
    <cellStyle name="40% - Énfasis3 21 3" xfId="993"/>
    <cellStyle name="40% - Énfasis3 21 3 2" xfId="994"/>
    <cellStyle name="40% - Énfasis3 21 4" xfId="995"/>
    <cellStyle name="40% - Énfasis3 22" xfId="919"/>
    <cellStyle name="40% - Énfasis3 22 2" xfId="996"/>
    <cellStyle name="40% - Énfasis3 22 2 2" xfId="997"/>
    <cellStyle name="40% - Énfasis3 22 3" xfId="998"/>
    <cellStyle name="40% - Énfasis3 23" xfId="1480"/>
    <cellStyle name="40% - Énfasis3 24" xfId="12"/>
    <cellStyle name="40% - Énfasis3 3" xfId="186"/>
    <cellStyle name="40% - Énfasis3 3 2" xfId="1481"/>
    <cellStyle name="40% - Énfasis3 4" xfId="187"/>
    <cellStyle name="40% - Énfasis3 4 2" xfId="1482"/>
    <cellStyle name="40% - Énfasis3 5" xfId="188"/>
    <cellStyle name="40% - Énfasis3 6" xfId="189"/>
    <cellStyle name="40% - Énfasis3 7" xfId="190"/>
    <cellStyle name="40% - Énfasis3 8" xfId="191"/>
    <cellStyle name="40% - Énfasis3 9" xfId="192"/>
    <cellStyle name="40% - Énfasis4 10" xfId="193"/>
    <cellStyle name="40% - Énfasis4 11" xfId="194"/>
    <cellStyle name="40% - Énfasis4 12" xfId="195"/>
    <cellStyle name="40% - Énfasis4 13" xfId="196"/>
    <cellStyle name="40% - Énfasis4 14" xfId="197"/>
    <cellStyle name="40% - Énfasis4 15" xfId="198"/>
    <cellStyle name="40% - Énfasis4 16" xfId="199"/>
    <cellStyle name="40% - Énfasis4 17" xfId="200"/>
    <cellStyle name="40% - Énfasis4 18" xfId="201"/>
    <cellStyle name="40% - Énfasis4 19" xfId="202"/>
    <cellStyle name="40% - Énfasis4 2" xfId="203"/>
    <cellStyle name="40% - Énfasis4 2 2" xfId="1483"/>
    <cellStyle name="40% - Énfasis4 20" xfId="204"/>
    <cellStyle name="40% - Énfasis4 21" xfId="876"/>
    <cellStyle name="40% - Énfasis4 21 2" xfId="999"/>
    <cellStyle name="40% - Énfasis4 21 2 2" xfId="1000"/>
    <cellStyle name="40% - Énfasis4 21 3" xfId="1001"/>
    <cellStyle name="40% - Énfasis4 21 3 2" xfId="1002"/>
    <cellStyle name="40% - Énfasis4 21 4" xfId="1003"/>
    <cellStyle name="40% - Énfasis4 22" xfId="921"/>
    <cellStyle name="40% - Énfasis4 22 2" xfId="1004"/>
    <cellStyle name="40% - Énfasis4 22 2 2" xfId="1005"/>
    <cellStyle name="40% - Énfasis4 22 3" xfId="1006"/>
    <cellStyle name="40% - Énfasis4 23" xfId="1484"/>
    <cellStyle name="40% - Énfasis4 24" xfId="1485"/>
    <cellStyle name="40% - Énfasis4 25" xfId="13"/>
    <cellStyle name="40% - Énfasis4 3" xfId="205"/>
    <cellStyle name="40% - Énfasis4 3 2" xfId="1486"/>
    <cellStyle name="40% - Énfasis4 4" xfId="206"/>
    <cellStyle name="40% - Énfasis4 4 2" xfId="1487"/>
    <cellStyle name="40% - Énfasis4 5" xfId="207"/>
    <cellStyle name="40% - Énfasis4 6" xfId="208"/>
    <cellStyle name="40% - Énfasis4 7" xfId="209"/>
    <cellStyle name="40% - Énfasis4 8" xfId="210"/>
    <cellStyle name="40% - Énfasis4 9" xfId="211"/>
    <cellStyle name="40% - Énfasis5 2" xfId="880"/>
    <cellStyle name="40% - Énfasis5 2 2" xfId="1007"/>
    <cellStyle name="40% - Énfasis5 2 2 2" xfId="1008"/>
    <cellStyle name="40% - Énfasis5 2 3" xfId="1009"/>
    <cellStyle name="40% - Énfasis5 2 3 2" xfId="1010"/>
    <cellStyle name="40% - Énfasis5 2 4" xfId="1011"/>
    <cellStyle name="40% - Énfasis5 3" xfId="923"/>
    <cellStyle name="40% - Énfasis5 3 2" xfId="1012"/>
    <cellStyle name="40% - Énfasis5 3 2 2" xfId="1013"/>
    <cellStyle name="40% - Énfasis5 3 3" xfId="1014"/>
    <cellStyle name="40% - Énfasis5 4" xfId="1488"/>
    <cellStyle name="40% - Énfasis5 5" xfId="1489"/>
    <cellStyle name="40% - Énfasis5 6" xfId="1490"/>
    <cellStyle name="40% - Énfasis5 7" xfId="14"/>
    <cellStyle name="40% - Énfasis6 10" xfId="212"/>
    <cellStyle name="40% - Énfasis6 11" xfId="213"/>
    <cellStyle name="40% - Énfasis6 12" xfId="214"/>
    <cellStyle name="40% - Énfasis6 13" xfId="215"/>
    <cellStyle name="40% - Énfasis6 14" xfId="216"/>
    <cellStyle name="40% - Énfasis6 15" xfId="217"/>
    <cellStyle name="40% - Énfasis6 16" xfId="218"/>
    <cellStyle name="40% - Énfasis6 17" xfId="219"/>
    <cellStyle name="40% - Énfasis6 18" xfId="220"/>
    <cellStyle name="40% - Énfasis6 19" xfId="221"/>
    <cellStyle name="40% - Énfasis6 2" xfId="222"/>
    <cellStyle name="40% - Énfasis6 2 2" xfId="1491"/>
    <cellStyle name="40% - Énfasis6 20" xfId="223"/>
    <cellStyle name="40% - Énfasis6 21" xfId="884"/>
    <cellStyle name="40% - Énfasis6 21 2" xfId="1015"/>
    <cellStyle name="40% - Énfasis6 21 2 2" xfId="1016"/>
    <cellStyle name="40% - Énfasis6 21 3" xfId="1017"/>
    <cellStyle name="40% - Énfasis6 21 3 2" xfId="1018"/>
    <cellStyle name="40% - Énfasis6 21 4" xfId="1019"/>
    <cellStyle name="40% - Énfasis6 22" xfId="925"/>
    <cellStyle name="40% - Énfasis6 22 2" xfId="1020"/>
    <cellStyle name="40% - Énfasis6 22 2 2" xfId="1021"/>
    <cellStyle name="40% - Énfasis6 22 3" xfId="1022"/>
    <cellStyle name="40% - Énfasis6 23" xfId="1492"/>
    <cellStyle name="40% - Énfasis6 24" xfId="1493"/>
    <cellStyle name="40% - Énfasis6 25" xfId="15"/>
    <cellStyle name="40% - Énfasis6 3" xfId="224"/>
    <cellStyle name="40% - Énfasis6 3 2" xfId="1494"/>
    <cellStyle name="40% - Énfasis6 4" xfId="225"/>
    <cellStyle name="40% - Énfasis6 4 2" xfId="1495"/>
    <cellStyle name="40% - Énfasis6 5" xfId="226"/>
    <cellStyle name="40% - Énfasis6 6" xfId="227"/>
    <cellStyle name="40% - Énfasis6 7" xfId="228"/>
    <cellStyle name="40% - Énfasis6 8" xfId="229"/>
    <cellStyle name="40% - Énfasis6 9" xfId="230"/>
    <cellStyle name="60% - Énfasis1 10" xfId="231"/>
    <cellStyle name="60% - Énfasis1 11" xfId="232"/>
    <cellStyle name="60% - Énfasis1 12" xfId="233"/>
    <cellStyle name="60% - Énfasis1 13" xfId="234"/>
    <cellStyle name="60% - Énfasis1 14" xfId="235"/>
    <cellStyle name="60% - Énfasis1 15" xfId="236"/>
    <cellStyle name="60% - Énfasis1 16" xfId="237"/>
    <cellStyle name="60% - Énfasis1 17" xfId="238"/>
    <cellStyle name="60% - Énfasis1 18" xfId="239"/>
    <cellStyle name="60% - Énfasis1 19" xfId="240"/>
    <cellStyle name="60% - Énfasis1 2" xfId="241"/>
    <cellStyle name="60% - Énfasis1 20" xfId="242"/>
    <cellStyle name="60% - Énfasis1 21" xfId="865"/>
    <cellStyle name="60% - Énfasis1 22" xfId="1496"/>
    <cellStyle name="60% - Énfasis1 23" xfId="16"/>
    <cellStyle name="60% - Énfasis1 3" xfId="243"/>
    <cellStyle name="60% - Énfasis1 4" xfId="244"/>
    <cellStyle name="60% - Énfasis1 5" xfId="245"/>
    <cellStyle name="60% - Énfasis1 6" xfId="246"/>
    <cellStyle name="60% - Énfasis1 7" xfId="247"/>
    <cellStyle name="60% - Énfasis1 8" xfId="248"/>
    <cellStyle name="60% - Énfasis1 9" xfId="249"/>
    <cellStyle name="60% - Énfasis2 2" xfId="869"/>
    <cellStyle name="60% - Énfasis2 3" xfId="1497"/>
    <cellStyle name="60% - Énfasis2 4" xfId="17"/>
    <cellStyle name="60% - Énfasis3 10" xfId="250"/>
    <cellStyle name="60% - Énfasis3 11" xfId="251"/>
    <cellStyle name="60% - Énfasis3 12" xfId="252"/>
    <cellStyle name="60% - Énfasis3 13" xfId="253"/>
    <cellStyle name="60% - Énfasis3 14" xfId="254"/>
    <cellStyle name="60% - Énfasis3 15" xfId="255"/>
    <cellStyle name="60% - Énfasis3 16" xfId="256"/>
    <cellStyle name="60% - Énfasis3 17" xfId="257"/>
    <cellStyle name="60% - Énfasis3 18" xfId="258"/>
    <cellStyle name="60% - Énfasis3 19" xfId="259"/>
    <cellStyle name="60% - Énfasis3 2" xfId="260"/>
    <cellStyle name="60% - Énfasis3 20" xfId="261"/>
    <cellStyle name="60% - Énfasis3 21" xfId="873"/>
    <cellStyle name="60% - Énfasis3 22" xfId="1498"/>
    <cellStyle name="60% - Énfasis3 23" xfId="18"/>
    <cellStyle name="60% - Énfasis3 3" xfId="262"/>
    <cellStyle name="60% - Énfasis3 4" xfId="263"/>
    <cellStyle name="60% - Énfasis3 5" xfId="264"/>
    <cellStyle name="60% - Énfasis3 6" xfId="265"/>
    <cellStyle name="60% - Énfasis3 7" xfId="266"/>
    <cellStyle name="60% - Énfasis3 8" xfId="267"/>
    <cellStyle name="60% - Énfasis3 9" xfId="268"/>
    <cellStyle name="60% - Énfasis4 10" xfId="269"/>
    <cellStyle name="60% - Énfasis4 11" xfId="270"/>
    <cellStyle name="60% - Énfasis4 12" xfId="271"/>
    <cellStyle name="60% - Énfasis4 13" xfId="272"/>
    <cellStyle name="60% - Énfasis4 14" xfId="273"/>
    <cellStyle name="60% - Énfasis4 15" xfId="274"/>
    <cellStyle name="60% - Énfasis4 16" xfId="275"/>
    <cellStyle name="60% - Énfasis4 17" xfId="276"/>
    <cellStyle name="60% - Énfasis4 18" xfId="277"/>
    <cellStyle name="60% - Énfasis4 19" xfId="278"/>
    <cellStyle name="60% - Énfasis4 2" xfId="279"/>
    <cellStyle name="60% - Énfasis4 20" xfId="280"/>
    <cellStyle name="60% - Énfasis4 21" xfId="877"/>
    <cellStyle name="60% - Énfasis4 22" xfId="1499"/>
    <cellStyle name="60% - Énfasis4 23" xfId="19"/>
    <cellStyle name="60% - Énfasis4 3" xfId="281"/>
    <cellStyle name="60% - Énfasis4 4" xfId="282"/>
    <cellStyle name="60% - Énfasis4 5" xfId="283"/>
    <cellStyle name="60% - Énfasis4 6" xfId="284"/>
    <cellStyle name="60% - Énfasis4 7" xfId="285"/>
    <cellStyle name="60% - Énfasis4 8" xfId="286"/>
    <cellStyle name="60% - Énfasis4 9" xfId="287"/>
    <cellStyle name="60% - Énfasis5 10" xfId="288"/>
    <cellStyle name="60% - Énfasis5 11" xfId="289"/>
    <cellStyle name="60% - Énfasis5 12" xfId="290"/>
    <cellStyle name="60% - Énfasis5 13" xfId="291"/>
    <cellStyle name="60% - Énfasis5 14" xfId="292"/>
    <cellStyle name="60% - Énfasis5 15" xfId="293"/>
    <cellStyle name="60% - Énfasis5 16" xfId="294"/>
    <cellStyle name="60% - Énfasis5 17" xfId="295"/>
    <cellStyle name="60% - Énfasis5 18" xfId="296"/>
    <cellStyle name="60% - Énfasis5 19" xfId="297"/>
    <cellStyle name="60% - Énfasis5 2" xfId="298"/>
    <cellStyle name="60% - Énfasis5 20" xfId="299"/>
    <cellStyle name="60% - Énfasis5 21" xfId="881"/>
    <cellStyle name="60% - Énfasis5 22" xfId="1500"/>
    <cellStyle name="60% - Énfasis5 23" xfId="20"/>
    <cellStyle name="60% - Énfasis5 3" xfId="300"/>
    <cellStyle name="60% - Énfasis5 4" xfId="301"/>
    <cellStyle name="60% - Énfasis5 5" xfId="302"/>
    <cellStyle name="60% - Énfasis5 6" xfId="303"/>
    <cellStyle name="60% - Énfasis5 7" xfId="304"/>
    <cellStyle name="60% - Énfasis5 8" xfId="305"/>
    <cellStyle name="60% - Énfasis5 9" xfId="306"/>
    <cellStyle name="60% - Énfasis6 10" xfId="307"/>
    <cellStyle name="60% - Énfasis6 11" xfId="308"/>
    <cellStyle name="60% - Énfasis6 12" xfId="309"/>
    <cellStyle name="60% - Énfasis6 13" xfId="310"/>
    <cellStyle name="60% - Énfasis6 14" xfId="311"/>
    <cellStyle name="60% - Énfasis6 15" xfId="312"/>
    <cellStyle name="60% - Énfasis6 16" xfId="313"/>
    <cellStyle name="60% - Énfasis6 17" xfId="314"/>
    <cellStyle name="60% - Énfasis6 18" xfId="315"/>
    <cellStyle name="60% - Énfasis6 19" xfId="316"/>
    <cellStyle name="60% - Énfasis6 2" xfId="317"/>
    <cellStyle name="60% - Énfasis6 20" xfId="318"/>
    <cellStyle name="60% - Énfasis6 21" xfId="885"/>
    <cellStyle name="60% - Énfasis6 22" xfId="21"/>
    <cellStyle name="60% - Énfasis6 3" xfId="319"/>
    <cellStyle name="60% - Énfasis6 4" xfId="320"/>
    <cellStyle name="60% - Énfasis6 5" xfId="321"/>
    <cellStyle name="60% - Énfasis6 6" xfId="322"/>
    <cellStyle name="60% - Énfasis6 7" xfId="323"/>
    <cellStyle name="60% - Énfasis6 8" xfId="324"/>
    <cellStyle name="60% - Énfasis6 9" xfId="325"/>
    <cellStyle name="a_quebra_2" xfId="1501"/>
    <cellStyle name="A3 297 x 420 mm" xfId="22"/>
    <cellStyle name="A3 297 x 420 mm 10" xfId="326"/>
    <cellStyle name="A3 297 x 420 mm 10 2" xfId="1023"/>
    <cellStyle name="A3 297 x 420 mm 11" xfId="327"/>
    <cellStyle name="A3 297 x 420 mm 12" xfId="328"/>
    <cellStyle name="A3 297 x 420 mm 13" xfId="329"/>
    <cellStyle name="A3 297 x 420 mm 14" xfId="330"/>
    <cellStyle name="A3 297 x 420 mm 15" xfId="331"/>
    <cellStyle name="A3 297 x 420 mm 16" xfId="332"/>
    <cellStyle name="A3 297 x 420 mm 17" xfId="333"/>
    <cellStyle name="A3 297 x 420 mm 18" xfId="334"/>
    <cellStyle name="A3 297 x 420 mm 19" xfId="335"/>
    <cellStyle name="A3 297 x 420 mm 2" xfId="54"/>
    <cellStyle name="A3 297 x 420 mm 2 2" xfId="1024"/>
    <cellStyle name="A3 297 x 420 mm 20" xfId="336"/>
    <cellStyle name="A3 297 x 420 mm 21" xfId="337"/>
    <cellStyle name="A3 297 x 420 mm 22" xfId="338"/>
    <cellStyle name="A3 297 x 420 mm 23" xfId="339"/>
    <cellStyle name="A3 297 x 420 mm 24" xfId="340"/>
    <cellStyle name="A3 297 x 420 mm 25" xfId="341"/>
    <cellStyle name="A3 297 x 420 mm 26" xfId="342"/>
    <cellStyle name="A3 297 x 420 mm 27" xfId="343"/>
    <cellStyle name="A3 297 x 420 mm 28" xfId="344"/>
    <cellStyle name="A3 297 x 420 mm 29" xfId="345"/>
    <cellStyle name="A3 297 x 420 mm 3" xfId="55"/>
    <cellStyle name="A3 297 x 420 mm 3 2" xfId="886"/>
    <cellStyle name="A3 297 x 420 mm 30" xfId="346"/>
    <cellStyle name="A3 297 x 420 mm 31" xfId="347"/>
    <cellStyle name="A3 297 x 420 mm 32" xfId="348"/>
    <cellStyle name="A3 297 x 420 mm 33" xfId="349"/>
    <cellStyle name="A3 297 x 420 mm 34" xfId="350"/>
    <cellStyle name="A3 297 x 420 mm 35" xfId="351"/>
    <cellStyle name="A3 297 x 420 mm 36" xfId="352"/>
    <cellStyle name="A3 297 x 420 mm 37" xfId="353"/>
    <cellStyle name="A3 297 x 420 mm 4" xfId="57"/>
    <cellStyle name="A3 297 x 420 mm 5" xfId="58"/>
    <cellStyle name="A3 297 x 420 mm 6" xfId="354"/>
    <cellStyle name="A3 297 x 420 mm 7" xfId="355"/>
    <cellStyle name="A3 297 x 420 mm 8" xfId="356"/>
    <cellStyle name="A3 297 x 420 mm 9" xfId="357"/>
    <cellStyle name="Buena 2" xfId="850"/>
    <cellStyle name="Buena 3" xfId="1502"/>
    <cellStyle name="Bueno 2" xfId="23"/>
    <cellStyle name="Cabecera 1" xfId="358"/>
    <cellStyle name="Cabecera 2" xfId="359"/>
    <cellStyle name="Cálculo 10" xfId="360"/>
    <cellStyle name="Cálculo 10 2" xfId="1025"/>
    <cellStyle name="Cálculo 11" xfId="361"/>
    <cellStyle name="Cálculo 11 2" xfId="1026"/>
    <cellStyle name="Cálculo 12" xfId="362"/>
    <cellStyle name="Cálculo 12 2" xfId="1027"/>
    <cellStyle name="Cálculo 13" xfId="363"/>
    <cellStyle name="Cálculo 13 2" xfId="1028"/>
    <cellStyle name="Cálculo 14" xfId="364"/>
    <cellStyle name="Cálculo 14 2" xfId="1029"/>
    <cellStyle name="Cálculo 15" xfId="365"/>
    <cellStyle name="Cálculo 15 2" xfId="1030"/>
    <cellStyle name="Cálculo 16" xfId="366"/>
    <cellStyle name="Cálculo 16 2" xfId="1031"/>
    <cellStyle name="Cálculo 17" xfId="367"/>
    <cellStyle name="Cálculo 17 2" xfId="1032"/>
    <cellStyle name="Cálculo 18" xfId="368"/>
    <cellStyle name="Cálculo 18 2" xfId="1033"/>
    <cellStyle name="Cálculo 19" xfId="369"/>
    <cellStyle name="Cálculo 19 2" xfId="1034"/>
    <cellStyle name="Cálculo 2" xfId="370"/>
    <cellStyle name="Cálculo 2 2" xfId="371"/>
    <cellStyle name="Cálculo 2 2 2" xfId="1035"/>
    <cellStyle name="Cálculo 2 3" xfId="1036"/>
    <cellStyle name="Cálculo 20" xfId="372"/>
    <cellStyle name="Cálculo 20 2" xfId="1037"/>
    <cellStyle name="Cálculo 21" xfId="855"/>
    <cellStyle name="Cálculo 22" xfId="1038"/>
    <cellStyle name="Cálculo 23" xfId="24"/>
    <cellStyle name="Cálculo 3" xfId="373"/>
    <cellStyle name="Cálculo 3 2" xfId="1039"/>
    <cellStyle name="Cálculo 4" xfId="374"/>
    <cellStyle name="Cálculo 4 2" xfId="1040"/>
    <cellStyle name="Cálculo 5" xfId="375"/>
    <cellStyle name="Cálculo 5 2" xfId="1041"/>
    <cellStyle name="Cálculo 6" xfId="376"/>
    <cellStyle name="Cálculo 6 2" xfId="1042"/>
    <cellStyle name="Cálculo 7" xfId="377"/>
    <cellStyle name="Cálculo 7 2" xfId="1043"/>
    <cellStyle name="Cálculo 8" xfId="378"/>
    <cellStyle name="Cálculo 8 2" xfId="1044"/>
    <cellStyle name="Cálculo 9" xfId="379"/>
    <cellStyle name="Cálculo 9 2" xfId="1045"/>
    <cellStyle name="Celda de comprobación 10" xfId="380"/>
    <cellStyle name="Celda de comprobación 11" xfId="381"/>
    <cellStyle name="Celda de comprobación 12" xfId="382"/>
    <cellStyle name="Celda de comprobación 13" xfId="383"/>
    <cellStyle name="Celda de comprobación 14" xfId="384"/>
    <cellStyle name="Celda de comprobación 15" xfId="385"/>
    <cellStyle name="Celda de comprobación 16" xfId="386"/>
    <cellStyle name="Celda de comprobación 17" xfId="387"/>
    <cellStyle name="Celda de comprobación 18" xfId="388"/>
    <cellStyle name="Celda de comprobación 19" xfId="389"/>
    <cellStyle name="Celda de comprobación 2" xfId="390"/>
    <cellStyle name="Celda de comprobación 20" xfId="391"/>
    <cellStyle name="Celda de comprobación 21" xfId="857"/>
    <cellStyle name="Celda de comprobación 22" xfId="25"/>
    <cellStyle name="Celda de comprobación 3" xfId="392"/>
    <cellStyle name="Celda de comprobación 4" xfId="393"/>
    <cellStyle name="Celda de comprobación 5" xfId="394"/>
    <cellStyle name="Celda de comprobación 6" xfId="395"/>
    <cellStyle name="Celda de comprobación 7" xfId="396"/>
    <cellStyle name="Celda de comprobación 8" xfId="397"/>
    <cellStyle name="Celda de comprobación 9" xfId="398"/>
    <cellStyle name="Celda vinculada 10" xfId="399"/>
    <cellStyle name="Celda vinculada 11" xfId="400"/>
    <cellStyle name="Celda vinculada 12" xfId="401"/>
    <cellStyle name="Celda vinculada 13" xfId="402"/>
    <cellStyle name="Celda vinculada 14" xfId="403"/>
    <cellStyle name="Celda vinculada 15" xfId="404"/>
    <cellStyle name="Celda vinculada 16" xfId="405"/>
    <cellStyle name="Celda vinculada 17" xfId="406"/>
    <cellStyle name="Celda vinculada 18" xfId="407"/>
    <cellStyle name="Celda vinculada 19" xfId="408"/>
    <cellStyle name="Celda vinculada 2" xfId="409"/>
    <cellStyle name="Celda vinculada 20" xfId="410"/>
    <cellStyle name="Celda vinculada 21" xfId="856"/>
    <cellStyle name="Celda vinculada 22" xfId="1503"/>
    <cellStyle name="Celda vinculada 23" xfId="26"/>
    <cellStyle name="Celda vinculada 3" xfId="411"/>
    <cellStyle name="Celda vinculada 4" xfId="412"/>
    <cellStyle name="Celda vinculada 5" xfId="413"/>
    <cellStyle name="Celda vinculada 6" xfId="414"/>
    <cellStyle name="Celda vinculada 7" xfId="415"/>
    <cellStyle name="Celda vinculada 8" xfId="416"/>
    <cellStyle name="Celda vinculada 9" xfId="417"/>
    <cellStyle name="Comma [0]_Bce ultramundo(1)" xfId="1504"/>
    <cellStyle name="Comma_Bce ultramundo(1)" xfId="1505"/>
    <cellStyle name="Currency [0]_Bce ultramundo(1)" xfId="1506"/>
    <cellStyle name="Currency_Bce ultramundo(1)" xfId="1507"/>
    <cellStyle name="Encabezado 1 2" xfId="43"/>
    <cellStyle name="Encabezado 4 10" xfId="418"/>
    <cellStyle name="Encabezado 4 11" xfId="419"/>
    <cellStyle name="Encabezado 4 12" xfId="420"/>
    <cellStyle name="Encabezado 4 13" xfId="421"/>
    <cellStyle name="Encabezado 4 14" xfId="422"/>
    <cellStyle name="Encabezado 4 15" xfId="423"/>
    <cellStyle name="Encabezado 4 16" xfId="424"/>
    <cellStyle name="Encabezado 4 17" xfId="425"/>
    <cellStyle name="Encabezado 4 18" xfId="426"/>
    <cellStyle name="Encabezado 4 19" xfId="427"/>
    <cellStyle name="Encabezado 4 2" xfId="428"/>
    <cellStyle name="Encabezado 4 20" xfId="429"/>
    <cellStyle name="Encabezado 4 21" xfId="849"/>
    <cellStyle name="Encabezado 4 22" xfId="1508"/>
    <cellStyle name="Encabezado 4 23" xfId="27"/>
    <cellStyle name="Encabezado 4 3" xfId="430"/>
    <cellStyle name="Encabezado 4 4" xfId="431"/>
    <cellStyle name="Encabezado 4 5" xfId="432"/>
    <cellStyle name="Encabezado 4 6" xfId="433"/>
    <cellStyle name="Encabezado 4 7" xfId="434"/>
    <cellStyle name="Encabezado 4 8" xfId="435"/>
    <cellStyle name="Encabezado 4 9" xfId="436"/>
    <cellStyle name="Énfasis1 10" xfId="437"/>
    <cellStyle name="Énfasis1 11" xfId="438"/>
    <cellStyle name="Énfasis1 12" xfId="439"/>
    <cellStyle name="Énfasis1 13" xfId="440"/>
    <cellStyle name="Énfasis1 14" xfId="441"/>
    <cellStyle name="Énfasis1 15" xfId="442"/>
    <cellStyle name="Énfasis1 16" xfId="443"/>
    <cellStyle name="Énfasis1 17" xfId="444"/>
    <cellStyle name="Énfasis1 18" xfId="445"/>
    <cellStyle name="Énfasis1 19" xfId="446"/>
    <cellStyle name="Énfasis1 2" xfId="447"/>
    <cellStyle name="Énfasis1 20" xfId="448"/>
    <cellStyle name="Énfasis1 21" xfId="862"/>
    <cellStyle name="Énfasis1 22" xfId="1509"/>
    <cellStyle name="Énfasis1 23" xfId="28"/>
    <cellStyle name="Énfasis1 3" xfId="449"/>
    <cellStyle name="Énfasis1 4" xfId="450"/>
    <cellStyle name="Énfasis1 5" xfId="451"/>
    <cellStyle name="Énfasis1 6" xfId="452"/>
    <cellStyle name="Énfasis1 7" xfId="453"/>
    <cellStyle name="Énfasis1 8" xfId="454"/>
    <cellStyle name="Énfasis1 9" xfId="455"/>
    <cellStyle name="Énfasis2 2" xfId="866"/>
    <cellStyle name="Énfasis2 3" xfId="1510"/>
    <cellStyle name="Énfasis2 4" xfId="29"/>
    <cellStyle name="Énfasis3 10" xfId="456"/>
    <cellStyle name="Énfasis3 11" xfId="457"/>
    <cellStyle name="Énfasis3 12" xfId="458"/>
    <cellStyle name="Énfasis3 13" xfId="459"/>
    <cellStyle name="Énfasis3 14" xfId="460"/>
    <cellStyle name="Énfasis3 15" xfId="461"/>
    <cellStyle name="Énfasis3 16" xfId="462"/>
    <cellStyle name="Énfasis3 17" xfId="463"/>
    <cellStyle name="Énfasis3 18" xfId="464"/>
    <cellStyle name="Énfasis3 19" xfId="465"/>
    <cellStyle name="Énfasis3 2" xfId="466"/>
    <cellStyle name="Énfasis3 20" xfId="467"/>
    <cellStyle name="Énfasis3 21" xfId="870"/>
    <cellStyle name="Énfasis3 22" xfId="1511"/>
    <cellStyle name="Énfasis3 23" xfId="30"/>
    <cellStyle name="Énfasis3 3" xfId="468"/>
    <cellStyle name="Énfasis3 4" xfId="469"/>
    <cellStyle name="Énfasis3 5" xfId="470"/>
    <cellStyle name="Énfasis3 6" xfId="471"/>
    <cellStyle name="Énfasis3 7" xfId="472"/>
    <cellStyle name="Énfasis3 8" xfId="473"/>
    <cellStyle name="Énfasis3 9" xfId="474"/>
    <cellStyle name="Énfasis4 10" xfId="475"/>
    <cellStyle name="Énfasis4 11" xfId="476"/>
    <cellStyle name="Énfasis4 12" xfId="477"/>
    <cellStyle name="Énfasis4 13" xfId="478"/>
    <cellStyle name="Énfasis4 14" xfId="479"/>
    <cellStyle name="Énfasis4 15" xfId="480"/>
    <cellStyle name="Énfasis4 16" xfId="481"/>
    <cellStyle name="Énfasis4 17" xfId="482"/>
    <cellStyle name="Énfasis4 18" xfId="483"/>
    <cellStyle name="Énfasis4 19" xfId="484"/>
    <cellStyle name="Énfasis4 2" xfId="485"/>
    <cellStyle name="Énfasis4 20" xfId="486"/>
    <cellStyle name="Énfasis4 21" xfId="874"/>
    <cellStyle name="Énfasis4 22" xfId="1512"/>
    <cellStyle name="Énfasis4 23" xfId="31"/>
    <cellStyle name="Énfasis4 3" xfId="487"/>
    <cellStyle name="Énfasis4 4" xfId="488"/>
    <cellStyle name="Énfasis4 5" xfId="489"/>
    <cellStyle name="Énfasis4 6" xfId="490"/>
    <cellStyle name="Énfasis4 7" xfId="491"/>
    <cellStyle name="Énfasis4 8" xfId="492"/>
    <cellStyle name="Énfasis4 9" xfId="493"/>
    <cellStyle name="Énfasis5 10" xfId="494"/>
    <cellStyle name="Énfasis5 11" xfId="495"/>
    <cellStyle name="Énfasis5 12" xfId="496"/>
    <cellStyle name="Énfasis5 13" xfId="497"/>
    <cellStyle name="Énfasis5 14" xfId="498"/>
    <cellStyle name="Énfasis5 15" xfId="499"/>
    <cellStyle name="Énfasis5 16" xfId="500"/>
    <cellStyle name="Énfasis5 17" xfId="501"/>
    <cellStyle name="Énfasis5 18" xfId="502"/>
    <cellStyle name="Énfasis5 19" xfId="503"/>
    <cellStyle name="Énfasis5 2" xfId="504"/>
    <cellStyle name="Énfasis5 20" xfId="505"/>
    <cellStyle name="Énfasis5 21" xfId="878"/>
    <cellStyle name="Énfasis5 22" xfId="32"/>
    <cellStyle name="Énfasis5 3" xfId="506"/>
    <cellStyle name="Énfasis5 4" xfId="507"/>
    <cellStyle name="Énfasis5 5" xfId="508"/>
    <cellStyle name="Énfasis5 6" xfId="509"/>
    <cellStyle name="Énfasis5 7" xfId="510"/>
    <cellStyle name="Énfasis5 8" xfId="511"/>
    <cellStyle name="Énfasis5 9" xfId="512"/>
    <cellStyle name="Énfasis6 10" xfId="513"/>
    <cellStyle name="Énfasis6 11" xfId="514"/>
    <cellStyle name="Énfasis6 12" xfId="515"/>
    <cellStyle name="Énfasis6 13" xfId="516"/>
    <cellStyle name="Énfasis6 14" xfId="517"/>
    <cellStyle name="Énfasis6 15" xfId="518"/>
    <cellStyle name="Énfasis6 16" xfId="519"/>
    <cellStyle name="Énfasis6 17" xfId="520"/>
    <cellStyle name="Énfasis6 18" xfId="521"/>
    <cellStyle name="Énfasis6 19" xfId="522"/>
    <cellStyle name="Énfasis6 2" xfId="523"/>
    <cellStyle name="Énfasis6 20" xfId="524"/>
    <cellStyle name="Énfasis6 21" xfId="882"/>
    <cellStyle name="Énfasis6 22" xfId="1513"/>
    <cellStyle name="Énfasis6 23" xfId="33"/>
    <cellStyle name="Énfasis6 3" xfId="525"/>
    <cellStyle name="Énfasis6 4" xfId="526"/>
    <cellStyle name="Énfasis6 5" xfId="527"/>
    <cellStyle name="Énfasis6 6" xfId="528"/>
    <cellStyle name="Énfasis6 7" xfId="529"/>
    <cellStyle name="Énfasis6 8" xfId="530"/>
    <cellStyle name="Énfasis6 9" xfId="531"/>
    <cellStyle name="Entrada 10" xfId="532"/>
    <cellStyle name="Entrada 10 2" xfId="1046"/>
    <cellStyle name="Entrada 11" xfId="533"/>
    <cellStyle name="Entrada 11 2" xfId="1047"/>
    <cellStyle name="Entrada 12" xfId="534"/>
    <cellStyle name="Entrada 12 2" xfId="1048"/>
    <cellStyle name="Entrada 13" xfId="535"/>
    <cellStyle name="Entrada 13 2" xfId="1049"/>
    <cellStyle name="Entrada 14" xfId="536"/>
    <cellStyle name="Entrada 14 2" xfId="1050"/>
    <cellStyle name="Entrada 15" xfId="537"/>
    <cellStyle name="Entrada 15 2" xfId="1051"/>
    <cellStyle name="Entrada 16" xfId="538"/>
    <cellStyle name="Entrada 16 2" xfId="1052"/>
    <cellStyle name="Entrada 17" xfId="539"/>
    <cellStyle name="Entrada 17 2" xfId="1053"/>
    <cellStyle name="Entrada 18" xfId="540"/>
    <cellStyle name="Entrada 18 2" xfId="1054"/>
    <cellStyle name="Entrada 19" xfId="541"/>
    <cellStyle name="Entrada 19 2" xfId="1055"/>
    <cellStyle name="Entrada 2" xfId="542"/>
    <cellStyle name="Entrada 2 2" xfId="543"/>
    <cellStyle name="Entrada 2 2 2" xfId="1056"/>
    <cellStyle name="Entrada 2 3" xfId="1057"/>
    <cellStyle name="Entrada 20" xfId="544"/>
    <cellStyle name="Entrada 20 2" xfId="1058"/>
    <cellStyle name="Entrada 21" xfId="853"/>
    <cellStyle name="Entrada 22" xfId="1059"/>
    <cellStyle name="Entrada 23" xfId="34"/>
    <cellStyle name="Entrada 3" xfId="545"/>
    <cellStyle name="Entrada 3 2" xfId="1060"/>
    <cellStyle name="Entrada 4" xfId="546"/>
    <cellStyle name="Entrada 4 2" xfId="1061"/>
    <cellStyle name="Entrada 5" xfId="547"/>
    <cellStyle name="Entrada 5 2" xfId="1062"/>
    <cellStyle name="Entrada 6" xfId="548"/>
    <cellStyle name="Entrada 6 2" xfId="1063"/>
    <cellStyle name="Entrada 7" xfId="549"/>
    <cellStyle name="Entrada 7 2" xfId="1064"/>
    <cellStyle name="Entrada 8" xfId="550"/>
    <cellStyle name="Entrada 8 2" xfId="1065"/>
    <cellStyle name="Entrada 9" xfId="551"/>
    <cellStyle name="Entrada 9 2" xfId="1066"/>
    <cellStyle name="Estilo 1" xfId="1067"/>
    <cellStyle name="Euro" xfId="35"/>
    <cellStyle name="Euro 10" xfId="552"/>
    <cellStyle name="Euro 10 2" xfId="1514"/>
    <cellStyle name="Euro 11" xfId="553"/>
    <cellStyle name="Euro 11 2" xfId="1515"/>
    <cellStyle name="Euro 12" xfId="554"/>
    <cellStyle name="Euro 12 2" xfId="1516"/>
    <cellStyle name="Euro 13" xfId="555"/>
    <cellStyle name="Euro 13 2" xfId="1517"/>
    <cellStyle name="Euro 14" xfId="556"/>
    <cellStyle name="Euro 14 2" xfId="1518"/>
    <cellStyle name="Euro 15" xfId="557"/>
    <cellStyle name="Euro 15 2" xfId="1519"/>
    <cellStyle name="Euro 16" xfId="558"/>
    <cellStyle name="Euro 16 2" xfId="1520"/>
    <cellStyle name="Euro 17" xfId="559"/>
    <cellStyle name="Euro 17 2" xfId="1521"/>
    <cellStyle name="Euro 18" xfId="560"/>
    <cellStyle name="Euro 18 2" xfId="1522"/>
    <cellStyle name="Euro 19" xfId="561"/>
    <cellStyle name="Euro 19 2" xfId="1523"/>
    <cellStyle name="Euro 2" xfId="562"/>
    <cellStyle name="Euro 2 2" xfId="1068"/>
    <cellStyle name="Euro 2 3" xfId="1069"/>
    <cellStyle name="Euro 20" xfId="563"/>
    <cellStyle name="Euro 20 2" xfId="1524"/>
    <cellStyle name="Euro 21" xfId="564"/>
    <cellStyle name="Euro 21 2" xfId="1525"/>
    <cellStyle name="Euro 22" xfId="565"/>
    <cellStyle name="Euro 22 2" xfId="1526"/>
    <cellStyle name="Euro 23" xfId="566"/>
    <cellStyle name="Euro 23 2" xfId="1527"/>
    <cellStyle name="Euro 24" xfId="567"/>
    <cellStyle name="Euro 24 2" xfId="1528"/>
    <cellStyle name="Euro 25" xfId="568"/>
    <cellStyle name="Euro 25 2" xfId="1529"/>
    <cellStyle name="Euro 26" xfId="569"/>
    <cellStyle name="Euro 26 2" xfId="1530"/>
    <cellStyle name="Euro 27" xfId="570"/>
    <cellStyle name="Euro 27 2" xfId="1531"/>
    <cellStyle name="Euro 28" xfId="571"/>
    <cellStyle name="Euro 28 2" xfId="1532"/>
    <cellStyle name="Euro 29" xfId="572"/>
    <cellStyle name="Euro 29 2" xfId="1533"/>
    <cellStyle name="Euro 3" xfId="573"/>
    <cellStyle name="Euro 3 2" xfId="1070"/>
    <cellStyle name="Euro 3 3" xfId="1071"/>
    <cellStyle name="Euro 30" xfId="574"/>
    <cellStyle name="Euro 30 2" xfId="1534"/>
    <cellStyle name="Euro 31" xfId="575"/>
    <cellStyle name="Euro 31 2" xfId="1535"/>
    <cellStyle name="Euro 32" xfId="576"/>
    <cellStyle name="Euro 32 2" xfId="1536"/>
    <cellStyle name="Euro 33" xfId="577"/>
    <cellStyle name="Euro 33 2" xfId="1537"/>
    <cellStyle name="Euro 34" xfId="578"/>
    <cellStyle name="Euro 34 2" xfId="1538"/>
    <cellStyle name="Euro 35" xfId="579"/>
    <cellStyle name="Euro 35 2" xfId="1539"/>
    <cellStyle name="Euro 36" xfId="580"/>
    <cellStyle name="Euro 36 2" xfId="1540"/>
    <cellStyle name="Euro 37" xfId="581"/>
    <cellStyle name="Euro 37 2" xfId="1541"/>
    <cellStyle name="Euro 38" xfId="1072"/>
    <cellStyle name="Euro 39" xfId="1542"/>
    <cellStyle name="Euro 4" xfId="582"/>
    <cellStyle name="Euro 4 2" xfId="1073"/>
    <cellStyle name="Euro 4 3" xfId="1074"/>
    <cellStyle name="Euro 40" xfId="1543"/>
    <cellStyle name="Euro 41" xfId="1544"/>
    <cellStyle name="Euro 42" xfId="1545"/>
    <cellStyle name="Euro 43" xfId="1546"/>
    <cellStyle name="Euro 44" xfId="1547"/>
    <cellStyle name="Euro 45" xfId="1548"/>
    <cellStyle name="Euro 46" xfId="1549"/>
    <cellStyle name="Euro 47" xfId="1550"/>
    <cellStyle name="Euro 48" xfId="1551"/>
    <cellStyle name="Euro 49" xfId="1552"/>
    <cellStyle name="Euro 5" xfId="583"/>
    <cellStyle name="Euro 5 2" xfId="1075"/>
    <cellStyle name="Euro 50" xfId="1553"/>
    <cellStyle name="Euro 51" xfId="1554"/>
    <cellStyle name="Euro 52" xfId="1555"/>
    <cellStyle name="Euro 53" xfId="1556"/>
    <cellStyle name="Euro 54" xfId="1557"/>
    <cellStyle name="Euro 55" xfId="1558"/>
    <cellStyle name="Euro 56" xfId="1559"/>
    <cellStyle name="Euro 57" xfId="1560"/>
    <cellStyle name="Euro 58" xfId="1561"/>
    <cellStyle name="Euro 59" xfId="1562"/>
    <cellStyle name="Euro 6" xfId="584"/>
    <cellStyle name="Euro 6 2" xfId="1563"/>
    <cellStyle name="Euro 60" xfId="1564"/>
    <cellStyle name="Euro 61" xfId="1565"/>
    <cellStyle name="Euro 62" xfId="1566"/>
    <cellStyle name="Euro 63" xfId="1567"/>
    <cellStyle name="Euro 64" xfId="1568"/>
    <cellStyle name="Euro 65" xfId="1569"/>
    <cellStyle name="Euro 7" xfId="585"/>
    <cellStyle name="Euro 7 2" xfId="1570"/>
    <cellStyle name="Euro 8" xfId="586"/>
    <cellStyle name="Euro 8 2" xfId="1571"/>
    <cellStyle name="Euro 9" xfId="587"/>
    <cellStyle name="Euro 9 2" xfId="1572"/>
    <cellStyle name="Euro_SIC PNLP Gx" xfId="1573"/>
    <cellStyle name="Fecha" xfId="588"/>
    <cellStyle name="Fijo" xfId="589"/>
    <cellStyle name="Hipervínculo 2" xfId="1076"/>
    <cellStyle name="Hyperlink" xfId="1574"/>
    <cellStyle name="Incorrecto 2" xfId="851"/>
    <cellStyle name="Incorrecto 3" xfId="1575"/>
    <cellStyle name="Incorrecto 4" xfId="36"/>
    <cellStyle name="Millares [0]" xfId="1" builtinId="6"/>
    <cellStyle name="Millares [0] 2" xfId="1077"/>
    <cellStyle name="Millares [0] 2 2" xfId="1078"/>
    <cellStyle name="Millares 10" xfId="1079"/>
    <cellStyle name="Millares 11" xfId="1080"/>
    <cellStyle name="Millares 12" xfId="1081"/>
    <cellStyle name="Millares 13" xfId="1082"/>
    <cellStyle name="Millares 14" xfId="1083"/>
    <cellStyle name="Millares 15" xfId="1084"/>
    <cellStyle name="Millares 16" xfId="1085"/>
    <cellStyle name="Millares 17" xfId="1086"/>
    <cellStyle name="Millares 18" xfId="1087"/>
    <cellStyle name="Millares 19" xfId="1088"/>
    <cellStyle name="Millares 2" xfId="590"/>
    <cellStyle name="Millares 2 2" xfId="887"/>
    <cellStyle name="Millares 2 2 2" xfId="1089"/>
    <cellStyle name="Millares 2 3" xfId="888"/>
    <cellStyle name="Millares 2 4" xfId="889"/>
    <cellStyle name="Millares 2 5" xfId="1090"/>
    <cellStyle name="Millares 20" xfId="1091"/>
    <cellStyle name="Millares 21" xfId="1092"/>
    <cellStyle name="Millares 22" xfId="1093"/>
    <cellStyle name="Millares 23" xfId="1094"/>
    <cellStyle name="Millares 24" xfId="1095"/>
    <cellStyle name="Millares 25" xfId="1096"/>
    <cellStyle name="Millares 26" xfId="1097"/>
    <cellStyle name="Millares 27" xfId="1098"/>
    <cellStyle name="Millares 28" xfId="1099"/>
    <cellStyle name="Millares 29" xfId="1100"/>
    <cellStyle name="Millares 3" xfId="591"/>
    <cellStyle name="Millares 3 2" xfId="890"/>
    <cellStyle name="Millares 3 3" xfId="1101"/>
    <cellStyle name="Millares 3 3 2" xfId="1102"/>
    <cellStyle name="Millares 3 4" xfId="1103"/>
    <cellStyle name="Millares 3 4 2" xfId="1104"/>
    <cellStyle name="Millares 3 5" xfId="1105"/>
    <cellStyle name="Millares 3 6" xfId="1106"/>
    <cellStyle name="Millares 30" xfId="1107"/>
    <cellStyle name="Millares 31" xfId="1108"/>
    <cellStyle name="Millares 32" xfId="1109"/>
    <cellStyle name="Millares 33" xfId="1110"/>
    <cellStyle name="Millares 34" xfId="1111"/>
    <cellStyle name="Millares 35" xfId="1112"/>
    <cellStyle name="Millares 36" xfId="1113"/>
    <cellStyle name="Millares 37" xfId="1114"/>
    <cellStyle name="Millares 38" xfId="1115"/>
    <cellStyle name="Millares 39" xfId="1116"/>
    <cellStyle name="Millares 39 2" xfId="1117"/>
    <cellStyle name="Millares 4" xfId="891"/>
    <cellStyle name="Millares 4 2" xfId="1118"/>
    <cellStyle name="Millares 4 3" xfId="1119"/>
    <cellStyle name="Millares 40" xfId="1120"/>
    <cellStyle name="Millares 41" xfId="1121"/>
    <cellStyle name="Millares 5" xfId="892"/>
    <cellStyle name="Millares 5 2" xfId="1122"/>
    <cellStyle name="Millares 6" xfId="893"/>
    <cellStyle name="Millares 6 2" xfId="1123"/>
    <cellStyle name="Millares 6 3" xfId="1124"/>
    <cellStyle name="Millares 7" xfId="894"/>
    <cellStyle name="Millares 7 2" xfId="1125"/>
    <cellStyle name="Millares 7 3" xfId="1126"/>
    <cellStyle name="Millares 8" xfId="895"/>
    <cellStyle name="Millares 8 2" xfId="1127"/>
    <cellStyle name="Millares 9" xfId="896"/>
    <cellStyle name="Moneda 2" xfId="1128"/>
    <cellStyle name="Moneda 2 2" xfId="1129"/>
    <cellStyle name="Moneda 3" xfId="1130"/>
    <cellStyle name="Moneda 3 2" xfId="1131"/>
    <cellStyle name="Moneda 4" xfId="1132"/>
    <cellStyle name="Moneda 4 2" xfId="1133"/>
    <cellStyle name="Moneda 5" xfId="1134"/>
    <cellStyle name="Moneda 5 2" xfId="1135"/>
    <cellStyle name="Monetario0" xfId="592"/>
    <cellStyle name="movimentação" xfId="1576"/>
    <cellStyle name="Neutral 10" xfId="593"/>
    <cellStyle name="Neutral 11" xfId="594"/>
    <cellStyle name="Neutral 12" xfId="595"/>
    <cellStyle name="Neutral 13" xfId="596"/>
    <cellStyle name="Neutral 14" xfId="597"/>
    <cellStyle name="Neutral 15" xfId="598"/>
    <cellStyle name="Neutral 16" xfId="599"/>
    <cellStyle name="Neutral 17" xfId="600"/>
    <cellStyle name="Neutral 18" xfId="601"/>
    <cellStyle name="Neutral 19" xfId="602"/>
    <cellStyle name="Neutral 2" xfId="603"/>
    <cellStyle name="Neutral 20" xfId="604"/>
    <cellStyle name="Neutral 21" xfId="852"/>
    <cellStyle name="Neutral 22" xfId="1577"/>
    <cellStyle name="Neutral 23" xfId="37"/>
    <cellStyle name="Neutral 3" xfId="605"/>
    <cellStyle name="Neutral 4" xfId="606"/>
    <cellStyle name="Neutral 5" xfId="607"/>
    <cellStyle name="Neutral 6" xfId="608"/>
    <cellStyle name="Neutral 7" xfId="609"/>
    <cellStyle name="Neutral 8" xfId="610"/>
    <cellStyle name="Neutral 9" xfId="611"/>
    <cellStyle name="Normal" xfId="0" builtinId="0"/>
    <cellStyle name="Normal 10" xfId="912"/>
    <cellStyle name="Normal 10 2" xfId="1136"/>
    <cellStyle name="Normal 10 2 2" xfId="1137"/>
    <cellStyle name="Normal 10 2 3" xfId="1138"/>
    <cellStyle name="Normal 10 3" xfId="1139"/>
    <cellStyle name="Normal 10 3 2" xfId="1140"/>
    <cellStyle name="Normal 10 4" xfId="1141"/>
    <cellStyle name="Normal 11" xfId="926"/>
    <cellStyle name="Normal 11 2" xfId="1142"/>
    <cellStyle name="Normal 11 2 2" xfId="1143"/>
    <cellStyle name="Normal 11 2 3" xfId="1144"/>
    <cellStyle name="Normal 11 3" xfId="1145"/>
    <cellStyle name="Normal 11 4" xfId="1146"/>
    <cellStyle name="Normal 12" xfId="1147"/>
    <cellStyle name="Normal 12 2" xfId="1148"/>
    <cellStyle name="Normal 12 2 2" xfId="1149"/>
    <cellStyle name="Normal 12 3" xfId="1150"/>
    <cellStyle name="Normal 13" xfId="1151"/>
    <cellStyle name="Normal 13 2" xfId="1152"/>
    <cellStyle name="Normal 13 3" xfId="1153"/>
    <cellStyle name="Normal 14" xfId="1578"/>
    <cellStyle name="Normal 15" xfId="1579"/>
    <cellStyle name="Normal 16" xfId="1580"/>
    <cellStyle name="Normal 17" xfId="1581"/>
    <cellStyle name="Normal 18" xfId="1582"/>
    <cellStyle name="Normal 19" xfId="1583"/>
    <cellStyle name="Normal 2" xfId="49"/>
    <cellStyle name="Normal 2 10" xfId="612"/>
    <cellStyle name="Normal 2 11" xfId="613"/>
    <cellStyle name="Normal 2 12" xfId="614"/>
    <cellStyle name="Normal 2 13" xfId="615"/>
    <cellStyle name="Normal 2 14" xfId="616"/>
    <cellStyle name="Normal 2 15" xfId="617"/>
    <cellStyle name="Normal 2 15 2" xfId="897"/>
    <cellStyle name="Normal 2 16" xfId="618"/>
    <cellStyle name="Normal 2 17" xfId="619"/>
    <cellStyle name="Normal 2 18" xfId="620"/>
    <cellStyle name="Normal 2 19" xfId="621"/>
    <cellStyle name="Normal 2 2" xfId="622"/>
    <cellStyle name="Normal 2 2 2" xfId="898"/>
    <cellStyle name="Normal 2 2 2 2" xfId="1154"/>
    <cellStyle name="Normal 2 20" xfId="623"/>
    <cellStyle name="Normal 2 21" xfId="624"/>
    <cellStyle name="Normal 2 22" xfId="625"/>
    <cellStyle name="Normal 2 23" xfId="626"/>
    <cellStyle name="Normal 2 24" xfId="627"/>
    <cellStyle name="Normal 2 25" xfId="628"/>
    <cellStyle name="Normal 2 26" xfId="629"/>
    <cellStyle name="Normal 2 27" xfId="630"/>
    <cellStyle name="Normal 2 28" xfId="631"/>
    <cellStyle name="Normal 2 29" xfId="632"/>
    <cellStyle name="Normal 2 3" xfId="633"/>
    <cellStyle name="Normal 2 3 2" xfId="899"/>
    <cellStyle name="Normal 2 3 2 2" xfId="1155"/>
    <cellStyle name="Normal 2 3 3" xfId="1584"/>
    <cellStyle name="Normal 2 30" xfId="634"/>
    <cellStyle name="Normal 2 31" xfId="635"/>
    <cellStyle name="Normal 2 32" xfId="636"/>
    <cellStyle name="Normal 2 33" xfId="637"/>
    <cellStyle name="Normal 2 34" xfId="638"/>
    <cellStyle name="Normal 2 35" xfId="639"/>
    <cellStyle name="Normal 2 36" xfId="640"/>
    <cellStyle name="Normal 2 37" xfId="641"/>
    <cellStyle name="Normal 2 38" xfId="900"/>
    <cellStyle name="Normal 2 38 2" xfId="1585"/>
    <cellStyle name="Normal 2 39" xfId="1156"/>
    <cellStyle name="Normal 2 39 2" xfId="1586"/>
    <cellStyle name="Normal 2 4" xfId="642"/>
    <cellStyle name="Normal 2 4 2" xfId="1157"/>
    <cellStyle name="Normal 2 4 3" xfId="1158"/>
    <cellStyle name="Normal 2 40" xfId="1587"/>
    <cellStyle name="Normal 2 41" xfId="1588"/>
    <cellStyle name="Normal 2 42" xfId="1589"/>
    <cellStyle name="Normal 2 43" xfId="1590"/>
    <cellStyle name="Normal 2 44" xfId="1591"/>
    <cellStyle name="Normal 2 45" xfId="1592"/>
    <cellStyle name="Normal 2 46" xfId="1593"/>
    <cellStyle name="Normal 2 47" xfId="1594"/>
    <cellStyle name="Normal 2 48" xfId="1595"/>
    <cellStyle name="Normal 2 49" xfId="1596"/>
    <cellStyle name="Normal 2 5" xfId="643"/>
    <cellStyle name="Normal 2 50" xfId="1597"/>
    <cellStyle name="Normal 2 51" xfId="1598"/>
    <cellStyle name="Normal 2 52" xfId="1599"/>
    <cellStyle name="Normal 2 53" xfId="1600"/>
    <cellStyle name="Normal 2 54" xfId="1601"/>
    <cellStyle name="Normal 2 55" xfId="1602"/>
    <cellStyle name="Normal 2 56" xfId="1603"/>
    <cellStyle name="Normal 2 57" xfId="1604"/>
    <cellStyle name="Normal 2 58" xfId="1605"/>
    <cellStyle name="Normal 2 59" xfId="1606"/>
    <cellStyle name="Normal 2 6" xfId="644"/>
    <cellStyle name="Normal 2 6 2" xfId="1159"/>
    <cellStyle name="Normal 2 60" xfId="1607"/>
    <cellStyle name="Normal 2 61" xfId="1608"/>
    <cellStyle name="Normal 2 62" xfId="1609"/>
    <cellStyle name="Normal 2 63" xfId="1610"/>
    <cellStyle name="Normal 2 64" xfId="1611"/>
    <cellStyle name="Normal 2 65" xfId="1612"/>
    <cellStyle name="Normal 2 66" xfId="1613"/>
    <cellStyle name="Normal 2 67" xfId="1614"/>
    <cellStyle name="Normal 2 68" xfId="1615"/>
    <cellStyle name="Normal 2 7" xfId="645"/>
    <cellStyle name="Normal 2 8" xfId="646"/>
    <cellStyle name="Normal 2 8 2" xfId="901"/>
    <cellStyle name="Normal 2 9" xfId="647"/>
    <cellStyle name="Normal 2_Indexadores Corregidos def_Indexadores_AG_rev2" xfId="1160"/>
    <cellStyle name="Normal 20" xfId="1616"/>
    <cellStyle name="Normal 21" xfId="1617"/>
    <cellStyle name="Normal 22" xfId="1618"/>
    <cellStyle name="Normal 23" xfId="1619"/>
    <cellStyle name="Normal 24" xfId="1620"/>
    <cellStyle name="Normal 25" xfId="1621"/>
    <cellStyle name="Normal 26" xfId="1622"/>
    <cellStyle name="Normal 27" xfId="1623"/>
    <cellStyle name="Normal 28" xfId="1624"/>
    <cellStyle name="Normal 29" xfId="1625"/>
    <cellStyle name="Normal 3" xfId="47"/>
    <cellStyle name="Normal 3 10" xfId="648"/>
    <cellStyle name="Normal 3 11" xfId="649"/>
    <cellStyle name="Normal 3 12" xfId="650"/>
    <cellStyle name="Normal 3 13" xfId="651"/>
    <cellStyle name="Normal 3 14" xfId="652"/>
    <cellStyle name="Normal 3 15" xfId="653"/>
    <cellStyle name="Normal 3 16" xfId="654"/>
    <cellStyle name="Normal 3 17" xfId="655"/>
    <cellStyle name="Normal 3 18" xfId="902"/>
    <cellStyle name="Normal 3 18 2" xfId="1161"/>
    <cellStyle name="Normal 3 18 2 2" xfId="1162"/>
    <cellStyle name="Normal 3 18 3" xfId="1163"/>
    <cellStyle name="Normal 3 18 3 2" xfId="1164"/>
    <cellStyle name="Normal 3 18 4" xfId="1165"/>
    <cellStyle name="Normal 3 19" xfId="1166"/>
    <cellStyle name="Normal 3 19 2" xfId="1167"/>
    <cellStyle name="Normal 3 2" xfId="656"/>
    <cellStyle name="Normal 3 2 2" xfId="903"/>
    <cellStyle name="Normal 3 2 2 2" xfId="1168"/>
    <cellStyle name="Normal 3 2 2 2 2" xfId="1169"/>
    <cellStyle name="Normal 3 2 2 3" xfId="1170"/>
    <cellStyle name="Normal 3 2 2 3 2" xfId="1171"/>
    <cellStyle name="Normal 3 2 2 4" xfId="1172"/>
    <cellStyle name="Normal 3 2 2 4 2" xfId="1173"/>
    <cellStyle name="Normal 3 2 2 5" xfId="1174"/>
    <cellStyle name="Normal 3 2 2 5 2" xfId="1175"/>
    <cellStyle name="Normal 3 2 2 6" xfId="1176"/>
    <cellStyle name="Normal 3 2 3" xfId="1177"/>
    <cellStyle name="Normal 3 2 3 2" xfId="1178"/>
    <cellStyle name="Normal 3 2 4" xfId="1179"/>
    <cellStyle name="Normal 3 2 4 2" xfId="1180"/>
    <cellStyle name="Normal 3 20" xfId="1181"/>
    <cellStyle name="Normal 3 20 2" xfId="1182"/>
    <cellStyle name="Normal 3 3" xfId="657"/>
    <cellStyle name="Normal 3 3 2" xfId="904"/>
    <cellStyle name="Normal 3 3 2 2" xfId="1183"/>
    <cellStyle name="Normal 3 3 2 2 2" xfId="1184"/>
    <cellStyle name="Normal 3 3 2 3" xfId="1185"/>
    <cellStyle name="Normal 3 3 2 3 2" xfId="1186"/>
    <cellStyle name="Normal 3 3 2 4" xfId="1187"/>
    <cellStyle name="Normal 3 3 2 4 2" xfId="1188"/>
    <cellStyle name="Normal 3 3 2 5" xfId="1189"/>
    <cellStyle name="Normal 3 3 2 5 2" xfId="1190"/>
    <cellStyle name="Normal 3 3 2 6" xfId="1191"/>
    <cellStyle name="Normal 3 3 3" xfId="1192"/>
    <cellStyle name="Normal 3 3 3 2" xfId="1193"/>
    <cellStyle name="Normal 3 3 4" xfId="1194"/>
    <cellStyle name="Normal 3 3 4 2" xfId="1195"/>
    <cellStyle name="Normal 3 4" xfId="658"/>
    <cellStyle name="Normal 3 4 2" xfId="905"/>
    <cellStyle name="Normal 3 5" xfId="659"/>
    <cellStyle name="Normal 3 5 2" xfId="1196"/>
    <cellStyle name="Normal 3 5 2 2" xfId="1197"/>
    <cellStyle name="Normal 3 5 3" xfId="1198"/>
    <cellStyle name="Normal 3 5 3 2" xfId="1199"/>
    <cellStyle name="Normal 3 6" xfId="660"/>
    <cellStyle name="Normal 3 7" xfId="661"/>
    <cellStyle name="Normal 3 8" xfId="662"/>
    <cellStyle name="Normal 3 9" xfId="663"/>
    <cellStyle name="Normal 30" xfId="1626"/>
    <cellStyle name="Normal 31" xfId="1627"/>
    <cellStyle name="Normal 32" xfId="1628"/>
    <cellStyle name="Normal 33" xfId="1629"/>
    <cellStyle name="Normal 34" xfId="1630"/>
    <cellStyle name="Normal 35" xfId="1631"/>
    <cellStyle name="Normal 36" xfId="1632"/>
    <cellStyle name="Normal 37" xfId="1633"/>
    <cellStyle name="Normal 38" xfId="1634"/>
    <cellStyle name="Normal 39" xfId="1635"/>
    <cellStyle name="Normal 4" xfId="53"/>
    <cellStyle name="Normal 4 2" xfId="1200"/>
    <cellStyle name="Normal 4 3" xfId="1201"/>
    <cellStyle name="Normal 40" xfId="1636"/>
    <cellStyle name="Normal 41" xfId="1637"/>
    <cellStyle name="Normal 42" xfId="1638"/>
    <cellStyle name="Normal 43" xfId="1639"/>
    <cellStyle name="Normal 44" xfId="1640"/>
    <cellStyle name="Normal 45" xfId="1641"/>
    <cellStyle name="Normal 46" xfId="1642"/>
    <cellStyle name="Normal 47" xfId="1643"/>
    <cellStyle name="Normal 48" xfId="1644"/>
    <cellStyle name="Normal 49" xfId="1645"/>
    <cellStyle name="Normal 5" xfId="50"/>
    <cellStyle name="Normal 5 2" xfId="906"/>
    <cellStyle name="Normal 5 2 2" xfId="1202"/>
    <cellStyle name="Normal 5 2 2 2" xfId="1203"/>
    <cellStyle name="Normal 5 2 3" xfId="1204"/>
    <cellStyle name="Normal 5 2 3 2" xfId="1205"/>
    <cellStyle name="Normal 5 2 4" xfId="1206"/>
    <cellStyle name="Normal 5 2 4 2" xfId="1207"/>
    <cellStyle name="Normal 5 2 5" xfId="1208"/>
    <cellStyle name="Normal 5 2 5 2" xfId="1209"/>
    <cellStyle name="Normal 5 2 6" xfId="1210"/>
    <cellStyle name="Normal 5 3" xfId="1211"/>
    <cellStyle name="Normal 5 3 2" xfId="1212"/>
    <cellStyle name="Normal 5 4" xfId="1213"/>
    <cellStyle name="Normal 5 4 2" xfId="1214"/>
    <cellStyle name="Normal 5 5" xfId="1215"/>
    <cellStyle name="Normal 5 5 2" xfId="1216"/>
    <cellStyle name="Normal 5 6" xfId="1217"/>
    <cellStyle name="Normal 5 6 2" xfId="1218"/>
    <cellStyle name="Normal 5 7" xfId="1219"/>
    <cellStyle name="Normal 5 8" xfId="1220"/>
    <cellStyle name="Normal 50" xfId="1646"/>
    <cellStyle name="Normal 51" xfId="1647"/>
    <cellStyle name="Normal 52" xfId="1648"/>
    <cellStyle name="Normal 53" xfId="1649"/>
    <cellStyle name="Normal 54" xfId="1650"/>
    <cellStyle name="Normal 55" xfId="1651"/>
    <cellStyle name="Normal 56" xfId="1652"/>
    <cellStyle name="Normal 57" xfId="1653"/>
    <cellStyle name="Normal 58" xfId="1654"/>
    <cellStyle name="Normal 59" xfId="1655"/>
    <cellStyle name="Normal 6" xfId="51"/>
    <cellStyle name="Normal 6 2" xfId="664"/>
    <cellStyle name="Normal 6 2 2" xfId="1221"/>
    <cellStyle name="Normal 6 2 2 2" xfId="1222"/>
    <cellStyle name="Normal 6 2 3" xfId="1223"/>
    <cellStyle name="Normal 6 2 3 2" xfId="1224"/>
    <cellStyle name="Normal 6 2 4" xfId="1225"/>
    <cellStyle name="Normal 6 2 5" xfId="1226"/>
    <cellStyle name="Normal 6 3" xfId="907"/>
    <cellStyle name="Normal 6 4" xfId="1227"/>
    <cellStyle name="Normal 6 4 2" xfId="1228"/>
    <cellStyle name="Normal 6 5" xfId="1229"/>
    <cellStyle name="Normal 6 5 2" xfId="1230"/>
    <cellStyle name="Normal 6 6" xfId="1231"/>
    <cellStyle name="Normal 6 7" xfId="1232"/>
    <cellStyle name="Normal 60" xfId="1656"/>
    <cellStyle name="Normal 61" xfId="1657"/>
    <cellStyle name="Normal 62" xfId="1658"/>
    <cellStyle name="Normal 63" xfId="1659"/>
    <cellStyle name="Normal 64" xfId="1660"/>
    <cellStyle name="Normal 65" xfId="1661"/>
    <cellStyle name="Normal 66" xfId="1662"/>
    <cellStyle name="Normal 67" xfId="1663"/>
    <cellStyle name="Normal 68" xfId="1664"/>
    <cellStyle name="Normal 69" xfId="1665"/>
    <cellStyle name="Normal 7" xfId="52"/>
    <cellStyle name="Normal 7 2" xfId="1233"/>
    <cellStyle name="Normal 7 2 2" xfId="1234"/>
    <cellStyle name="Normal 7 2 3" xfId="1235"/>
    <cellStyle name="Normal 7 3" xfId="1236"/>
    <cellStyle name="Normal 7 3 2" xfId="1237"/>
    <cellStyle name="Normal 7 4" xfId="1238"/>
    <cellStyle name="Normal 70" xfId="1666"/>
    <cellStyle name="Normal 71" xfId="3"/>
    <cellStyle name="Normal 8" xfId="844"/>
    <cellStyle name="Normal 8 2" xfId="1239"/>
    <cellStyle name="Normal 8 2 2" xfId="1240"/>
    <cellStyle name="Normal 8 2 3" xfId="1241"/>
    <cellStyle name="Normal 8 3" xfId="1242"/>
    <cellStyle name="Normal 8 3 2" xfId="1243"/>
    <cellStyle name="Normal 8 4" xfId="1244"/>
    <cellStyle name="Normal 8 4 2" xfId="1245"/>
    <cellStyle name="Normal 8 5" xfId="1246"/>
    <cellStyle name="Normal 8 5 2" xfId="1247"/>
    <cellStyle name="Normal 8 6" xfId="1248"/>
    <cellStyle name="Normal 8 7" xfId="1249"/>
    <cellStyle name="Normal 9" xfId="56"/>
    <cellStyle name="Normal 9 2" xfId="1250"/>
    <cellStyle name="Normal 9 3" xfId="1251"/>
    <cellStyle name="Notas 10" xfId="665"/>
    <cellStyle name="Notas 10 2" xfId="1252"/>
    <cellStyle name="Notas 10 2 2" xfId="1253"/>
    <cellStyle name="Notas 10 3" xfId="1254"/>
    <cellStyle name="Notas 11" xfId="666"/>
    <cellStyle name="Notas 11 2" xfId="1255"/>
    <cellStyle name="Notas 11 2 2" xfId="1256"/>
    <cellStyle name="Notas 11 3" xfId="1257"/>
    <cellStyle name="Notas 12" xfId="667"/>
    <cellStyle name="Notas 12 2" xfId="1258"/>
    <cellStyle name="Notas 12 2 2" xfId="1259"/>
    <cellStyle name="Notas 12 3" xfId="1260"/>
    <cellStyle name="Notas 13" xfId="668"/>
    <cellStyle name="Notas 13 2" xfId="1261"/>
    <cellStyle name="Notas 13 2 2" xfId="1262"/>
    <cellStyle name="Notas 13 3" xfId="1263"/>
    <cellStyle name="Notas 14" xfId="669"/>
    <cellStyle name="Notas 14 2" xfId="1264"/>
    <cellStyle name="Notas 14 2 2" xfId="1265"/>
    <cellStyle name="Notas 14 3" xfId="1266"/>
    <cellStyle name="Notas 15" xfId="670"/>
    <cellStyle name="Notas 15 2" xfId="1267"/>
    <cellStyle name="Notas 15 2 2" xfId="1268"/>
    <cellStyle name="Notas 15 3" xfId="1269"/>
    <cellStyle name="Notas 16" xfId="671"/>
    <cellStyle name="Notas 16 2" xfId="1270"/>
    <cellStyle name="Notas 16 2 2" xfId="1271"/>
    <cellStyle name="Notas 16 3" xfId="1272"/>
    <cellStyle name="Notas 17" xfId="672"/>
    <cellStyle name="Notas 17 2" xfId="1273"/>
    <cellStyle name="Notas 17 2 2" xfId="1274"/>
    <cellStyle name="Notas 17 3" xfId="1275"/>
    <cellStyle name="Notas 18" xfId="673"/>
    <cellStyle name="Notas 18 2" xfId="1276"/>
    <cellStyle name="Notas 18 2 2" xfId="1277"/>
    <cellStyle name="Notas 18 3" xfId="1278"/>
    <cellStyle name="Notas 19" xfId="674"/>
    <cellStyle name="Notas 19 2" xfId="1279"/>
    <cellStyle name="Notas 19 2 2" xfId="1280"/>
    <cellStyle name="Notas 19 3" xfId="1281"/>
    <cellStyle name="Notas 2" xfId="675"/>
    <cellStyle name="Notas 2 2" xfId="676"/>
    <cellStyle name="Notas 2 2 2" xfId="1282"/>
    <cellStyle name="Notas 2 2 2 2" xfId="1283"/>
    <cellStyle name="Notas 2 2 3" xfId="1284"/>
    <cellStyle name="Notas 2 3" xfId="1285"/>
    <cellStyle name="Notas 2 3 2" xfId="1286"/>
    <cellStyle name="Notas 2 4" xfId="1287"/>
    <cellStyle name="Notas 20" xfId="677"/>
    <cellStyle name="Notas 20 2" xfId="1288"/>
    <cellStyle name="Notas 20 2 2" xfId="1289"/>
    <cellStyle name="Notas 20 3" xfId="1290"/>
    <cellStyle name="Notas 21" xfId="859"/>
    <cellStyle name="Notas 21 2" xfId="1291"/>
    <cellStyle name="Notas 21 2 2" xfId="1292"/>
    <cellStyle name="Notas 21 3" xfId="1293"/>
    <cellStyle name="Notas 21 3 2" xfId="1294"/>
    <cellStyle name="Notas 21 4" xfId="1295"/>
    <cellStyle name="Notas 22" xfId="913"/>
    <cellStyle name="Notas 22 2" xfId="1296"/>
    <cellStyle name="Notas 22 2 2" xfId="1297"/>
    <cellStyle name="Notas 22 3" xfId="1298"/>
    <cellStyle name="Notas 23" xfId="1299"/>
    <cellStyle name="Notas 24" xfId="38"/>
    <cellStyle name="Notas 3" xfId="678"/>
    <cellStyle name="Notas 3 2" xfId="1300"/>
    <cellStyle name="Notas 3 2 2" xfId="1301"/>
    <cellStyle name="Notas 3 3" xfId="1302"/>
    <cellStyle name="Notas 4" xfId="679"/>
    <cellStyle name="Notas 4 2" xfId="1303"/>
    <cellStyle name="Notas 4 2 2" xfId="1304"/>
    <cellStyle name="Notas 4 3" xfId="1305"/>
    <cellStyle name="Notas 5" xfId="680"/>
    <cellStyle name="Notas 5 2" xfId="1306"/>
    <cellStyle name="Notas 5 2 2" xfId="1307"/>
    <cellStyle name="Notas 5 3" xfId="1308"/>
    <cellStyle name="Notas 6" xfId="681"/>
    <cellStyle name="Notas 6 2" xfId="1309"/>
    <cellStyle name="Notas 6 2 2" xfId="1310"/>
    <cellStyle name="Notas 6 3" xfId="1311"/>
    <cellStyle name="Notas 7" xfId="682"/>
    <cellStyle name="Notas 7 2" xfId="1312"/>
    <cellStyle name="Notas 7 2 2" xfId="1313"/>
    <cellStyle name="Notas 7 3" xfId="1314"/>
    <cellStyle name="Notas 8" xfId="683"/>
    <cellStyle name="Notas 8 2" xfId="1315"/>
    <cellStyle name="Notas 8 2 2" xfId="1316"/>
    <cellStyle name="Notas 8 3" xfId="1317"/>
    <cellStyle name="Notas 9" xfId="684"/>
    <cellStyle name="Notas 9 2" xfId="1318"/>
    <cellStyle name="Notas 9 2 2" xfId="1319"/>
    <cellStyle name="Notas 9 3" xfId="1320"/>
    <cellStyle name="Porcentaje" xfId="2" builtinId="5"/>
    <cellStyle name="Porcentaje 2" xfId="685"/>
    <cellStyle name="Porcentaje 2 2" xfId="1321"/>
    <cellStyle name="Porcentaje 2 2 2" xfId="1322"/>
    <cellStyle name="Porcentaje 2 2 2 2" xfId="1323"/>
    <cellStyle name="Porcentaje 2 2 2 2 2" xfId="1324"/>
    <cellStyle name="Porcentaje 2 2 2 2 3" xfId="1325"/>
    <cellStyle name="Porcentaje 2 2 2 3" xfId="1326"/>
    <cellStyle name="Porcentaje 2 2 3" xfId="1327"/>
    <cellStyle name="Porcentaje 2 2 4" xfId="1800"/>
    <cellStyle name="Porcentaje 2 3" xfId="1328"/>
    <cellStyle name="Porcentaje 2 3 2" xfId="1329"/>
    <cellStyle name="Porcentaje 2 4" xfId="1330"/>
    <cellStyle name="Porcentaje 2 4 2" xfId="1331"/>
    <cellStyle name="Porcentaje 2 5" xfId="1332"/>
    <cellStyle name="Porcentaje 3" xfId="908"/>
    <cellStyle name="Porcentaje 4" xfId="1333"/>
    <cellStyle name="Porcentaje 4 2" xfId="1334"/>
    <cellStyle name="Porcentaje 5" xfId="1335"/>
    <cellStyle name="Porcentaje 5 2" xfId="1336"/>
    <cellStyle name="Porcentaje 6" xfId="1801"/>
    <cellStyle name="Porcentual 10" xfId="1667"/>
    <cellStyle name="Porcentual 11" xfId="1668"/>
    <cellStyle name="Porcentual 12" xfId="1669"/>
    <cellStyle name="Porcentual 13" xfId="1670"/>
    <cellStyle name="Porcentual 14" xfId="1671"/>
    <cellStyle name="Porcentual 15" xfId="1672"/>
    <cellStyle name="Porcentual 16" xfId="1673"/>
    <cellStyle name="Porcentual 17" xfId="1674"/>
    <cellStyle name="Porcentual 18" xfId="1675"/>
    <cellStyle name="Porcentual 19" xfId="1676"/>
    <cellStyle name="Porcentual 2" xfId="48"/>
    <cellStyle name="Porcentual 2 10" xfId="59"/>
    <cellStyle name="Porcentual 2 10 2" xfId="1677"/>
    <cellStyle name="Porcentual 2 11" xfId="686"/>
    <cellStyle name="Porcentual 2 11 2" xfId="1678"/>
    <cellStyle name="Porcentual 2 12" xfId="687"/>
    <cellStyle name="Porcentual 2 12 2" xfId="1679"/>
    <cellStyle name="Porcentual 2 13" xfId="688"/>
    <cellStyle name="Porcentual 2 13 2" xfId="1680"/>
    <cellStyle name="Porcentual 2 14" xfId="689"/>
    <cellStyle name="Porcentual 2 14 2" xfId="1681"/>
    <cellStyle name="Porcentual 2 15" xfId="690"/>
    <cellStyle name="Porcentual 2 15 2" xfId="1682"/>
    <cellStyle name="Porcentual 2 16" xfId="691"/>
    <cellStyle name="Porcentual 2 16 2" xfId="1683"/>
    <cellStyle name="Porcentual 2 17" xfId="692"/>
    <cellStyle name="Porcentual 2 17 2" xfId="1684"/>
    <cellStyle name="Porcentual 2 18" xfId="693"/>
    <cellStyle name="Porcentual 2 18 2" xfId="1685"/>
    <cellStyle name="Porcentual 2 19" xfId="1337"/>
    <cellStyle name="Porcentual 2 2" xfId="694"/>
    <cellStyle name="Porcentual 2 2 2" xfId="1338"/>
    <cellStyle name="Porcentual 2 20" xfId="1686"/>
    <cellStyle name="Porcentual 2 21" xfId="1687"/>
    <cellStyle name="Porcentual 2 22" xfId="1688"/>
    <cellStyle name="Porcentual 2 23" xfId="1689"/>
    <cellStyle name="Porcentual 2 24" xfId="1690"/>
    <cellStyle name="Porcentual 2 25" xfId="1691"/>
    <cellStyle name="Porcentual 2 26" xfId="1692"/>
    <cellStyle name="Porcentual 2 27" xfId="1693"/>
    <cellStyle name="Porcentual 2 28" xfId="1694"/>
    <cellStyle name="Porcentual 2 29" xfId="1695"/>
    <cellStyle name="Porcentual 2 3" xfId="695"/>
    <cellStyle name="Porcentual 2 3 2" xfId="1696"/>
    <cellStyle name="Porcentual 2 30" xfId="1697"/>
    <cellStyle name="Porcentual 2 31" xfId="1698"/>
    <cellStyle name="Porcentual 2 32" xfId="1699"/>
    <cellStyle name="Porcentual 2 33" xfId="1700"/>
    <cellStyle name="Porcentual 2 34" xfId="1701"/>
    <cellStyle name="Porcentual 2 35" xfId="1702"/>
    <cellStyle name="Porcentual 2 36" xfId="1703"/>
    <cellStyle name="Porcentual 2 37" xfId="1704"/>
    <cellStyle name="Porcentual 2 38" xfId="1705"/>
    <cellStyle name="Porcentual 2 39" xfId="1706"/>
    <cellStyle name="Porcentual 2 4" xfId="696"/>
    <cellStyle name="Porcentual 2 4 2" xfId="1707"/>
    <cellStyle name="Porcentual 2 40" xfId="1708"/>
    <cellStyle name="Porcentual 2 41" xfId="1709"/>
    <cellStyle name="Porcentual 2 42" xfId="1710"/>
    <cellStyle name="Porcentual 2 43" xfId="1711"/>
    <cellStyle name="Porcentual 2 44" xfId="1712"/>
    <cellStyle name="Porcentual 2 45" xfId="1713"/>
    <cellStyle name="Porcentual 2 46" xfId="1714"/>
    <cellStyle name="Porcentual 2 47" xfId="1715"/>
    <cellStyle name="Porcentual 2 48" xfId="1716"/>
    <cellStyle name="Porcentual 2 49" xfId="1717"/>
    <cellStyle name="Porcentual 2 5" xfId="697"/>
    <cellStyle name="Porcentual 2 5 2" xfId="1718"/>
    <cellStyle name="Porcentual 2 50" xfId="1719"/>
    <cellStyle name="Porcentual 2 51" xfId="1720"/>
    <cellStyle name="Porcentual 2 52" xfId="1721"/>
    <cellStyle name="Porcentual 2 53" xfId="1722"/>
    <cellStyle name="Porcentual 2 54" xfId="1723"/>
    <cellStyle name="Porcentual 2 55" xfId="1724"/>
    <cellStyle name="Porcentual 2 56" xfId="1725"/>
    <cellStyle name="Porcentual 2 57" xfId="1726"/>
    <cellStyle name="Porcentual 2 58" xfId="1727"/>
    <cellStyle name="Porcentual 2 59" xfId="1728"/>
    <cellStyle name="Porcentual 2 6" xfId="698"/>
    <cellStyle name="Porcentual 2 6 2" xfId="1729"/>
    <cellStyle name="Porcentual 2 60" xfId="1730"/>
    <cellStyle name="Porcentual 2 61" xfId="1731"/>
    <cellStyle name="Porcentual 2 62" xfId="1732"/>
    <cellStyle name="Porcentual 2 63" xfId="1733"/>
    <cellStyle name="Porcentual 2 64" xfId="1734"/>
    <cellStyle name="Porcentual 2 65" xfId="1735"/>
    <cellStyle name="Porcentual 2 66" xfId="1736"/>
    <cellStyle name="Porcentual 2 67" xfId="1737"/>
    <cellStyle name="Porcentual 2 7" xfId="699"/>
    <cellStyle name="Porcentual 2 7 2" xfId="1738"/>
    <cellStyle name="Porcentual 2 8" xfId="700"/>
    <cellStyle name="Porcentual 2 8 2" xfId="1739"/>
    <cellStyle name="Porcentual 2 9" xfId="701"/>
    <cellStyle name="Porcentual 2 9 2" xfId="1740"/>
    <cellStyle name="Porcentual 20" xfId="1741"/>
    <cellStyle name="Porcentual 21" xfId="1742"/>
    <cellStyle name="Porcentual 22" xfId="1743"/>
    <cellStyle name="Porcentual 23" xfId="1744"/>
    <cellStyle name="Porcentual 24" xfId="1745"/>
    <cellStyle name="Porcentual 25" xfId="1746"/>
    <cellStyle name="Porcentual 26" xfId="1747"/>
    <cellStyle name="Porcentual 27" xfId="1748"/>
    <cellStyle name="Porcentual 28" xfId="1749"/>
    <cellStyle name="Porcentual 29" xfId="1750"/>
    <cellStyle name="Porcentual 3" xfId="702"/>
    <cellStyle name="Porcentual 3 10" xfId="703"/>
    <cellStyle name="Porcentual 3 11" xfId="704"/>
    <cellStyle name="Porcentual 3 12" xfId="705"/>
    <cellStyle name="Porcentual 3 13" xfId="706"/>
    <cellStyle name="Porcentual 3 14" xfId="707"/>
    <cellStyle name="Porcentual 3 15" xfId="708"/>
    <cellStyle name="Porcentual 3 16" xfId="709"/>
    <cellStyle name="Porcentual 3 17" xfId="710"/>
    <cellStyle name="Porcentual 3 18" xfId="711"/>
    <cellStyle name="Porcentual 3 19" xfId="909"/>
    <cellStyle name="Porcentual 3 2" xfId="712"/>
    <cellStyle name="Porcentual 3 20" xfId="1339"/>
    <cellStyle name="Porcentual 3 20 2" xfId="1340"/>
    <cellStyle name="Porcentual 3 21" xfId="1341"/>
    <cellStyle name="Porcentual 3 21 2" xfId="1342"/>
    <cellStyle name="Porcentual 3 22" xfId="1343"/>
    <cellStyle name="Porcentual 3 3" xfId="713"/>
    <cellStyle name="Porcentual 3 4" xfId="714"/>
    <cellStyle name="Porcentual 3 5" xfId="715"/>
    <cellStyle name="Porcentual 3 6" xfId="716"/>
    <cellStyle name="Porcentual 3 7" xfId="717"/>
    <cellStyle name="Porcentual 3 8" xfId="718"/>
    <cellStyle name="Porcentual 3 9" xfId="719"/>
    <cellStyle name="Porcentual 30" xfId="1751"/>
    <cellStyle name="Porcentual 31" xfId="1752"/>
    <cellStyle name="Porcentual 32" xfId="1753"/>
    <cellStyle name="Porcentual 33" xfId="1754"/>
    <cellStyle name="Porcentual 34" xfId="1755"/>
    <cellStyle name="Porcentual 35" xfId="1756"/>
    <cellStyle name="Porcentual 36" xfId="1757"/>
    <cellStyle name="Porcentual 37" xfId="1758"/>
    <cellStyle name="Porcentual 38" xfId="1759"/>
    <cellStyle name="Porcentual 39" xfId="1760"/>
    <cellStyle name="Porcentual 4" xfId="910"/>
    <cellStyle name="Porcentual 4 2" xfId="1344"/>
    <cellStyle name="Porcentual 4 3" xfId="1345"/>
    <cellStyle name="Porcentual 40" xfId="1761"/>
    <cellStyle name="Porcentual 41" xfId="1762"/>
    <cellStyle name="Porcentual 42" xfId="1763"/>
    <cellStyle name="Porcentual 43" xfId="1764"/>
    <cellStyle name="Porcentual 44" xfId="1765"/>
    <cellStyle name="Porcentual 45" xfId="1766"/>
    <cellStyle name="Porcentual 46" xfId="1767"/>
    <cellStyle name="Porcentual 47" xfId="1768"/>
    <cellStyle name="Porcentual 48" xfId="1769"/>
    <cellStyle name="Porcentual 49" xfId="1770"/>
    <cellStyle name="Porcentual 5" xfId="911"/>
    <cellStyle name="Porcentual 5 2" xfId="1346"/>
    <cellStyle name="Porcentual 5 3" xfId="1347"/>
    <cellStyle name="Porcentual 50" xfId="1771"/>
    <cellStyle name="Porcentual 51" xfId="1772"/>
    <cellStyle name="Porcentual 52" xfId="1773"/>
    <cellStyle name="Porcentual 53" xfId="1774"/>
    <cellStyle name="Porcentual 54" xfId="1775"/>
    <cellStyle name="Porcentual 55" xfId="1776"/>
    <cellStyle name="Porcentual 56" xfId="1777"/>
    <cellStyle name="Porcentual 57" xfId="1778"/>
    <cellStyle name="Porcentual 58" xfId="1779"/>
    <cellStyle name="Porcentual 59" xfId="1780"/>
    <cellStyle name="Porcentual 6" xfId="720"/>
    <cellStyle name="Porcentual 6 2" xfId="721"/>
    <cellStyle name="Porcentual 6 2 2" xfId="1348"/>
    <cellStyle name="Porcentual 6 2 2 2" xfId="1349"/>
    <cellStyle name="Porcentual 6 2 3" xfId="1350"/>
    <cellStyle name="Porcentual 6 2 3 2" xfId="1351"/>
    <cellStyle name="Porcentual 6 2 4" xfId="1352"/>
    <cellStyle name="Porcentual 6 2 5" xfId="1353"/>
    <cellStyle name="Porcentual 6 3" xfId="1354"/>
    <cellStyle name="Porcentual 6 4" xfId="1355"/>
    <cellStyle name="Porcentual 6 4 2" xfId="1356"/>
    <cellStyle name="Porcentual 6 5" xfId="1357"/>
    <cellStyle name="Porcentual 6 5 2" xfId="1358"/>
    <cellStyle name="Porcentual 6 6" xfId="1359"/>
    <cellStyle name="Porcentual 6 7" xfId="1360"/>
    <cellStyle name="Porcentual 60" xfId="1781"/>
    <cellStyle name="Porcentual 61" xfId="1782"/>
    <cellStyle name="Porcentual 62" xfId="1783"/>
    <cellStyle name="Porcentual 63" xfId="1784"/>
    <cellStyle name="Porcentual 64" xfId="1785"/>
    <cellStyle name="Porcentual 65" xfId="1786"/>
    <cellStyle name="Porcentual 66" xfId="1787"/>
    <cellStyle name="Porcentual 67" xfId="1788"/>
    <cellStyle name="Porcentual 7" xfId="722"/>
    <cellStyle name="Porcentual 7 2" xfId="723"/>
    <cellStyle name="Porcentual 7 2 2" xfId="1361"/>
    <cellStyle name="Porcentual 7 2 2 2" xfId="1362"/>
    <cellStyle name="Porcentual 7 2 3" xfId="1363"/>
    <cellStyle name="Porcentual 7 2 3 2" xfId="1364"/>
    <cellStyle name="Porcentual 7 2 4" xfId="1365"/>
    <cellStyle name="Porcentual 7 2 5" xfId="1366"/>
    <cellStyle name="Porcentual 7 3" xfId="1367"/>
    <cellStyle name="Porcentual 7 3 2" xfId="1368"/>
    <cellStyle name="Porcentual 7 4" xfId="1369"/>
    <cellStyle name="Porcentual 7 4 2" xfId="1370"/>
    <cellStyle name="Porcentual 7 5" xfId="1371"/>
    <cellStyle name="Porcentual 7 6" xfId="1372"/>
    <cellStyle name="Porcentual 8" xfId="724"/>
    <cellStyle name="Porcentual 8 2" xfId="725"/>
    <cellStyle name="Porcentual 8 2 2" xfId="1373"/>
    <cellStyle name="Porcentual 8 2 2 2" xfId="1374"/>
    <cellStyle name="Porcentual 8 2 3" xfId="1375"/>
    <cellStyle name="Porcentual 8 2 3 2" xfId="1376"/>
    <cellStyle name="Porcentual 8 2 4" xfId="1377"/>
    <cellStyle name="Porcentual 8 3" xfId="1378"/>
    <cellStyle name="Porcentual 8 3 2" xfId="1379"/>
    <cellStyle name="Porcentual 8 4" xfId="1380"/>
    <cellStyle name="Porcentual 8 4 2" xfId="1381"/>
    <cellStyle name="Porcentual 8 5" xfId="1382"/>
    <cellStyle name="Porcentual 9" xfId="1789"/>
    <cellStyle name="Punto0" xfId="726"/>
    <cellStyle name="Salida 10" xfId="727"/>
    <cellStyle name="Salida 10 2" xfId="1383"/>
    <cellStyle name="Salida 11" xfId="728"/>
    <cellStyle name="Salida 11 2" xfId="1384"/>
    <cellStyle name="Salida 12" xfId="729"/>
    <cellStyle name="Salida 12 2" xfId="1385"/>
    <cellStyle name="Salida 13" xfId="730"/>
    <cellStyle name="Salida 13 2" xfId="1386"/>
    <cellStyle name="Salida 14" xfId="731"/>
    <cellStyle name="Salida 14 2" xfId="1387"/>
    <cellStyle name="Salida 15" xfId="732"/>
    <cellStyle name="Salida 15 2" xfId="1388"/>
    <cellStyle name="Salida 16" xfId="733"/>
    <cellStyle name="Salida 16 2" xfId="1389"/>
    <cellStyle name="Salida 17" xfId="734"/>
    <cellStyle name="Salida 17 2" xfId="1390"/>
    <cellStyle name="Salida 18" xfId="735"/>
    <cellStyle name="Salida 18 2" xfId="1391"/>
    <cellStyle name="Salida 19" xfId="736"/>
    <cellStyle name="Salida 19 2" xfId="1392"/>
    <cellStyle name="Salida 2" xfId="737"/>
    <cellStyle name="Salida 2 2" xfId="738"/>
    <cellStyle name="Salida 2 2 2" xfId="1393"/>
    <cellStyle name="Salida 2 3" xfId="1394"/>
    <cellStyle name="Salida 20" xfId="739"/>
    <cellStyle name="Salida 20 2" xfId="1395"/>
    <cellStyle name="Salida 21" xfId="854"/>
    <cellStyle name="Salida 22" xfId="1396"/>
    <cellStyle name="Salida 23" xfId="39"/>
    <cellStyle name="Salida 3" xfId="740"/>
    <cellStyle name="Salida 3 2" xfId="1397"/>
    <cellStyle name="Salida 4" xfId="741"/>
    <cellStyle name="Salida 4 2" xfId="1398"/>
    <cellStyle name="Salida 5" xfId="742"/>
    <cellStyle name="Salida 5 2" xfId="1399"/>
    <cellStyle name="Salida 6" xfId="743"/>
    <cellStyle name="Salida 6 2" xfId="1400"/>
    <cellStyle name="Salida 7" xfId="744"/>
    <cellStyle name="Salida 7 2" xfId="1401"/>
    <cellStyle name="Salida 8" xfId="745"/>
    <cellStyle name="Salida 8 2" xfId="1402"/>
    <cellStyle name="Salida 9" xfId="746"/>
    <cellStyle name="Salida 9 2" xfId="1403"/>
    <cellStyle name="ssubtitulo" xfId="1790"/>
    <cellStyle name="subtitulo" xfId="1791"/>
    <cellStyle name="Texto de advertencia 2" xfId="858"/>
    <cellStyle name="Texto de advertencia 3" xfId="40"/>
    <cellStyle name="Texto explicativo 2" xfId="860"/>
    <cellStyle name="Texto explicativo 3" xfId="41"/>
    <cellStyle name="titulo" xfId="1792"/>
    <cellStyle name="Título 1 10" xfId="747"/>
    <cellStyle name="Título 1 11" xfId="748"/>
    <cellStyle name="Título 1 12" xfId="749"/>
    <cellStyle name="Título 1 13" xfId="750"/>
    <cellStyle name="Título 1 14" xfId="751"/>
    <cellStyle name="Título 1 15" xfId="752"/>
    <cellStyle name="Título 1 16" xfId="753"/>
    <cellStyle name="Título 1 17" xfId="754"/>
    <cellStyle name="Título 1 18" xfId="755"/>
    <cellStyle name="Título 1 19" xfId="756"/>
    <cellStyle name="Título 1 2" xfId="757"/>
    <cellStyle name="Título 1 20" xfId="758"/>
    <cellStyle name="Título 1 21" xfId="846"/>
    <cellStyle name="Título 1 22" xfId="1793"/>
    <cellStyle name="Título 1 3" xfId="759"/>
    <cellStyle name="Título 1 4" xfId="760"/>
    <cellStyle name="Título 1 5" xfId="761"/>
    <cellStyle name="Título 1 6" xfId="762"/>
    <cellStyle name="Título 1 7" xfId="763"/>
    <cellStyle name="Título 1 8" xfId="764"/>
    <cellStyle name="Título 1 9" xfId="765"/>
    <cellStyle name="Título 10" xfId="766"/>
    <cellStyle name="Título 11" xfId="767"/>
    <cellStyle name="Título 12" xfId="768"/>
    <cellStyle name="Título 13" xfId="769"/>
    <cellStyle name="Título 14" xfId="770"/>
    <cellStyle name="Título 15" xfId="771"/>
    <cellStyle name="Título 16" xfId="772"/>
    <cellStyle name="Título 17" xfId="773"/>
    <cellStyle name="Título 18" xfId="774"/>
    <cellStyle name="Título 19" xfId="775"/>
    <cellStyle name="Título 2 10" xfId="776"/>
    <cellStyle name="Título 2 11" xfId="777"/>
    <cellStyle name="Título 2 12" xfId="778"/>
    <cellStyle name="Título 2 13" xfId="779"/>
    <cellStyle name="Título 2 14" xfId="780"/>
    <cellStyle name="Título 2 15" xfId="781"/>
    <cellStyle name="Título 2 16" xfId="782"/>
    <cellStyle name="Título 2 17" xfId="783"/>
    <cellStyle name="Título 2 18" xfId="784"/>
    <cellStyle name="Título 2 19" xfId="785"/>
    <cellStyle name="Título 2 2" xfId="786"/>
    <cellStyle name="Título 2 20" xfId="787"/>
    <cellStyle name="Título 2 21" xfId="847"/>
    <cellStyle name="Título 2 22" xfId="1794"/>
    <cellStyle name="Título 2 23" xfId="44"/>
    <cellStyle name="Título 2 3" xfId="788"/>
    <cellStyle name="Título 2 4" xfId="789"/>
    <cellStyle name="Título 2 5" xfId="790"/>
    <cellStyle name="Título 2 6" xfId="791"/>
    <cellStyle name="Título 2 7" xfId="792"/>
    <cellStyle name="Título 2 8" xfId="793"/>
    <cellStyle name="Título 2 9" xfId="794"/>
    <cellStyle name="Título 20" xfId="795"/>
    <cellStyle name="Título 21" xfId="796"/>
    <cellStyle name="Título 22" xfId="797"/>
    <cellStyle name="Título 23" xfId="845"/>
    <cellStyle name="Título 24" xfId="1795"/>
    <cellStyle name="Título 25" xfId="42"/>
    <cellStyle name="Título 3 10" xfId="798"/>
    <cellStyle name="Título 3 10 2" xfId="1404"/>
    <cellStyle name="Título 3 11" xfId="799"/>
    <cellStyle name="Título 3 11 2" xfId="1405"/>
    <cellStyle name="Título 3 12" xfId="800"/>
    <cellStyle name="Título 3 12 2" xfId="1406"/>
    <cellStyle name="Título 3 13" xfId="801"/>
    <cellStyle name="Título 3 13 2" xfId="1407"/>
    <cellStyle name="Título 3 14" xfId="802"/>
    <cellStyle name="Título 3 14 2" xfId="1408"/>
    <cellStyle name="Título 3 15" xfId="803"/>
    <cellStyle name="Título 3 15 2" xfId="1409"/>
    <cellStyle name="Título 3 16" xfId="804"/>
    <cellStyle name="Título 3 16 2" xfId="1410"/>
    <cellStyle name="Título 3 17" xfId="805"/>
    <cellStyle name="Título 3 17 2" xfId="1411"/>
    <cellStyle name="Título 3 18" xfId="806"/>
    <cellStyle name="Título 3 18 2" xfId="1412"/>
    <cellStyle name="Título 3 19" xfId="807"/>
    <cellStyle name="Título 3 19 2" xfId="1413"/>
    <cellStyle name="Título 3 2" xfId="808"/>
    <cellStyle name="Título 3 2 2" xfId="809"/>
    <cellStyle name="Título 3 2 2 2" xfId="1414"/>
    <cellStyle name="Título 3 2 3" xfId="1415"/>
    <cellStyle name="Título 3 2 3 2" xfId="1416"/>
    <cellStyle name="Título 3 20" xfId="810"/>
    <cellStyle name="Título 3 20 2" xfId="1417"/>
    <cellStyle name="Título 3 21" xfId="848"/>
    <cellStyle name="Título 3 22" xfId="1796"/>
    <cellStyle name="Título 3 23" xfId="45"/>
    <cellStyle name="Título 3 3" xfId="811"/>
    <cellStyle name="Título 3 3 2" xfId="1418"/>
    <cellStyle name="Título 3 4" xfId="812"/>
    <cellStyle name="Título 3 4 2" xfId="1419"/>
    <cellStyle name="Título 3 5" xfId="813"/>
    <cellStyle name="Título 3 5 2" xfId="1420"/>
    <cellStyle name="Título 3 6" xfId="814"/>
    <cellStyle name="Título 3 6 2" xfId="1421"/>
    <cellStyle name="Título 3 7" xfId="815"/>
    <cellStyle name="Título 3 7 2" xfId="1422"/>
    <cellStyle name="Título 3 8" xfId="816"/>
    <cellStyle name="Título 3 8 2" xfId="1423"/>
    <cellStyle name="Título 3 9" xfId="817"/>
    <cellStyle name="Título 3 9 2" xfId="1424"/>
    <cellStyle name="Título 4" xfId="818"/>
    <cellStyle name="Título 5" xfId="819"/>
    <cellStyle name="Título 6" xfId="820"/>
    <cellStyle name="Título 7" xfId="821"/>
    <cellStyle name="Título 8" xfId="822"/>
    <cellStyle name="Título 9" xfId="823"/>
    <cellStyle name="titulomov" xfId="1797"/>
    <cellStyle name="Todos" xfId="1798"/>
    <cellStyle name="Total 10" xfId="824"/>
    <cellStyle name="Total 10 2" xfId="1425"/>
    <cellStyle name="Total 11" xfId="825"/>
    <cellStyle name="Total 11 2" xfId="1426"/>
    <cellStyle name="Total 12" xfId="826"/>
    <cellStyle name="Total 12 2" xfId="1427"/>
    <cellStyle name="Total 13" xfId="827"/>
    <cellStyle name="Total 13 2" xfId="1428"/>
    <cellStyle name="Total 14" xfId="828"/>
    <cellStyle name="Total 14 2" xfId="1429"/>
    <cellStyle name="Total 15" xfId="829"/>
    <cellStyle name="Total 15 2" xfId="1430"/>
    <cellStyle name="Total 16" xfId="830"/>
    <cellStyle name="Total 16 2" xfId="1431"/>
    <cellStyle name="Total 17" xfId="831"/>
    <cellStyle name="Total 17 2" xfId="1432"/>
    <cellStyle name="Total 18" xfId="832"/>
    <cellStyle name="Total 18 2" xfId="1433"/>
    <cellStyle name="Total 19" xfId="833"/>
    <cellStyle name="Total 19 2" xfId="1434"/>
    <cellStyle name="Total 2" xfId="834"/>
    <cellStyle name="Total 2 2" xfId="835"/>
    <cellStyle name="Total 2 2 2" xfId="1435"/>
    <cellStyle name="Total 2 3" xfId="1436"/>
    <cellStyle name="Total 20" xfId="836"/>
    <cellStyle name="Total 20 2" xfId="1437"/>
    <cellStyle name="Total 21" xfId="861"/>
    <cellStyle name="Total 22" xfId="1438"/>
    <cellStyle name="Total 23" xfId="46"/>
    <cellStyle name="Total 3" xfId="837"/>
    <cellStyle name="Total 3 2" xfId="1439"/>
    <cellStyle name="Total 4" xfId="838"/>
    <cellStyle name="Total 4 2" xfId="1440"/>
    <cellStyle name="Total 5" xfId="839"/>
    <cellStyle name="Total 5 2" xfId="1441"/>
    <cellStyle name="Total 6" xfId="840"/>
    <cellStyle name="Total 6 2" xfId="1442"/>
    <cellStyle name="Total 7" xfId="841"/>
    <cellStyle name="Total 7 2" xfId="1443"/>
    <cellStyle name="Total 8" xfId="842"/>
    <cellStyle name="Total 8 2" xfId="1444"/>
    <cellStyle name="Total 9" xfId="843"/>
    <cellStyle name="Total 9 2" xfId="1445"/>
    <cellStyle name="totalbalan" xfId="179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B3" sqref="A1:B3"/>
    </sheetView>
  </sheetViews>
  <sheetFormatPr baseColWidth="10" defaultRowHeight="14.4" x14ac:dyDescent="0.3"/>
  <cols>
    <col min="1" max="1" width="15.88671875" bestFit="1" customWidth="1"/>
    <col min="2" max="2" width="117.44140625" bestFit="1" customWidth="1"/>
    <col min="3" max="5" width="11.44140625" style="55"/>
  </cols>
  <sheetData>
    <row r="1" spans="1:2" x14ac:dyDescent="0.3">
      <c r="A1" s="62" t="s">
        <v>352</v>
      </c>
      <c r="B1" s="62" t="s">
        <v>353</v>
      </c>
    </row>
    <row r="2" spans="1:2" x14ac:dyDescent="0.3">
      <c r="A2" s="55" t="s">
        <v>289</v>
      </c>
      <c r="B2" s="55" t="s">
        <v>350</v>
      </c>
    </row>
    <row r="3" spans="1:2" x14ac:dyDescent="0.3">
      <c r="A3" s="55" t="s">
        <v>290</v>
      </c>
      <c r="B3" s="55" t="s">
        <v>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zoomScale="85" zoomScaleNormal="85" workbookViewId="0">
      <selection activeCell="D5" sqref="D5"/>
    </sheetView>
  </sheetViews>
  <sheetFormatPr baseColWidth="10" defaultColWidth="9.109375" defaultRowHeight="14.4" x14ac:dyDescent="0.3"/>
  <cols>
    <col min="1" max="1" width="5.33203125" bestFit="1" customWidth="1"/>
    <col min="2" max="2" width="5.6640625" bestFit="1" customWidth="1"/>
    <col min="3" max="3" width="4.88671875" bestFit="1" customWidth="1"/>
    <col min="4" max="4" width="10.44140625" bestFit="1" customWidth="1"/>
    <col min="5" max="5" width="14" bestFit="1" customWidth="1"/>
    <col min="6" max="6" width="15.88671875" bestFit="1" customWidth="1"/>
    <col min="7" max="7" width="14" bestFit="1" customWidth="1"/>
    <col min="8" max="8" width="11" bestFit="1" customWidth="1"/>
    <col min="9" max="9" width="15" bestFit="1" customWidth="1"/>
    <col min="10" max="10" width="15.88671875" bestFit="1" customWidth="1"/>
    <col min="11" max="11" width="12" bestFit="1" customWidth="1"/>
  </cols>
  <sheetData>
    <row r="1" spans="1:11" x14ac:dyDescent="0.3">
      <c r="A1" s="34" t="s">
        <v>31</v>
      </c>
      <c r="B1" s="34" t="s">
        <v>2</v>
      </c>
      <c r="C1" s="34" t="s">
        <v>3</v>
      </c>
      <c r="D1" s="34" t="s">
        <v>71</v>
      </c>
      <c r="E1" s="34" t="s">
        <v>290</v>
      </c>
      <c r="F1" s="34" t="s">
        <v>292</v>
      </c>
      <c r="G1" s="34" t="s">
        <v>293</v>
      </c>
      <c r="H1" s="34" t="s">
        <v>289</v>
      </c>
      <c r="I1" s="34" t="s">
        <v>291</v>
      </c>
      <c r="J1" s="34" t="s">
        <v>329</v>
      </c>
      <c r="K1" s="34" t="s">
        <v>330</v>
      </c>
    </row>
    <row r="2" spans="1:11" x14ac:dyDescent="0.3">
      <c r="A2">
        <v>1</v>
      </c>
      <c r="B2">
        <v>2016</v>
      </c>
      <c r="C2">
        <v>1</v>
      </c>
      <c r="D2" t="s">
        <v>107</v>
      </c>
      <c r="E2">
        <v>0</v>
      </c>
      <c r="F2">
        <v>1</v>
      </c>
      <c r="G2">
        <v>0</v>
      </c>
      <c r="H2">
        <v>1</v>
      </c>
      <c r="I2">
        <v>0</v>
      </c>
      <c r="J2" t="s">
        <v>292</v>
      </c>
      <c r="K2" t="s">
        <v>289</v>
      </c>
    </row>
    <row r="3" spans="1:11" x14ac:dyDescent="0.3">
      <c r="A3">
        <v>2</v>
      </c>
      <c r="B3">
        <v>2016</v>
      </c>
      <c r="C3">
        <v>2</v>
      </c>
      <c r="D3" t="s">
        <v>110</v>
      </c>
      <c r="E3">
        <v>0</v>
      </c>
      <c r="F3">
        <v>1</v>
      </c>
      <c r="G3">
        <v>0</v>
      </c>
      <c r="H3">
        <v>1</v>
      </c>
      <c r="I3">
        <v>0</v>
      </c>
      <c r="J3" t="s">
        <v>292</v>
      </c>
      <c r="K3" t="s">
        <v>289</v>
      </c>
    </row>
    <row r="4" spans="1:11" x14ac:dyDescent="0.3">
      <c r="A4">
        <v>3</v>
      </c>
      <c r="B4">
        <v>2016</v>
      </c>
      <c r="C4">
        <v>3</v>
      </c>
      <c r="D4" t="s">
        <v>105</v>
      </c>
      <c r="E4">
        <v>0</v>
      </c>
      <c r="F4">
        <v>1</v>
      </c>
      <c r="G4">
        <v>0</v>
      </c>
      <c r="H4">
        <v>1</v>
      </c>
      <c r="I4">
        <v>0</v>
      </c>
      <c r="J4" t="s">
        <v>292</v>
      </c>
      <c r="K4" t="s">
        <v>289</v>
      </c>
    </row>
    <row r="5" spans="1:11" x14ac:dyDescent="0.3">
      <c r="A5">
        <v>4</v>
      </c>
      <c r="B5">
        <v>2016</v>
      </c>
      <c r="C5">
        <v>4</v>
      </c>
      <c r="D5" t="s">
        <v>99</v>
      </c>
      <c r="E5">
        <v>0</v>
      </c>
      <c r="F5">
        <v>1</v>
      </c>
      <c r="G5">
        <v>0</v>
      </c>
      <c r="H5">
        <v>1</v>
      </c>
      <c r="I5">
        <v>0</v>
      </c>
      <c r="J5" t="s">
        <v>292</v>
      </c>
      <c r="K5" t="s">
        <v>289</v>
      </c>
    </row>
    <row r="6" spans="1:11" x14ac:dyDescent="0.3">
      <c r="A6">
        <v>5</v>
      </c>
      <c r="B6">
        <v>2016</v>
      </c>
      <c r="C6">
        <v>5</v>
      </c>
      <c r="D6" t="s">
        <v>134</v>
      </c>
      <c r="E6">
        <v>0</v>
      </c>
      <c r="F6">
        <v>1</v>
      </c>
      <c r="G6">
        <v>0</v>
      </c>
      <c r="H6">
        <v>1</v>
      </c>
      <c r="I6">
        <v>0</v>
      </c>
      <c r="J6" t="s">
        <v>292</v>
      </c>
      <c r="K6" t="s">
        <v>289</v>
      </c>
    </row>
    <row r="7" spans="1:11" x14ac:dyDescent="0.3">
      <c r="A7">
        <v>6</v>
      </c>
      <c r="B7">
        <v>2016</v>
      </c>
      <c r="C7">
        <v>6</v>
      </c>
      <c r="D7" t="s">
        <v>136</v>
      </c>
      <c r="E7">
        <v>0</v>
      </c>
      <c r="F7">
        <v>1</v>
      </c>
      <c r="G7">
        <v>0</v>
      </c>
      <c r="H7">
        <v>1</v>
      </c>
      <c r="I7">
        <v>0</v>
      </c>
      <c r="J7" t="s">
        <v>292</v>
      </c>
      <c r="K7" t="s">
        <v>289</v>
      </c>
    </row>
    <row r="8" spans="1:11" x14ac:dyDescent="0.3">
      <c r="A8">
        <v>7</v>
      </c>
      <c r="B8">
        <v>2016</v>
      </c>
      <c r="C8">
        <v>7</v>
      </c>
      <c r="D8" t="s">
        <v>135</v>
      </c>
      <c r="E8">
        <v>0</v>
      </c>
      <c r="F8">
        <v>1</v>
      </c>
      <c r="G8">
        <v>0</v>
      </c>
      <c r="H8">
        <v>1</v>
      </c>
      <c r="I8">
        <v>0</v>
      </c>
      <c r="J8" t="s">
        <v>292</v>
      </c>
      <c r="K8" t="s">
        <v>289</v>
      </c>
    </row>
    <row r="9" spans="1:11" x14ac:dyDescent="0.3">
      <c r="A9">
        <v>8</v>
      </c>
      <c r="B9">
        <v>2016</v>
      </c>
      <c r="C9">
        <v>8</v>
      </c>
      <c r="D9" t="s">
        <v>129</v>
      </c>
      <c r="E9">
        <v>0</v>
      </c>
      <c r="F9">
        <v>1</v>
      </c>
      <c r="G9">
        <v>0</v>
      </c>
      <c r="H9">
        <v>1</v>
      </c>
      <c r="I9">
        <v>0</v>
      </c>
      <c r="J9" t="s">
        <v>292</v>
      </c>
      <c r="K9" t="s">
        <v>289</v>
      </c>
    </row>
    <row r="10" spans="1:11" x14ac:dyDescent="0.3">
      <c r="A10">
        <v>9</v>
      </c>
      <c r="B10">
        <v>2016</v>
      </c>
      <c r="C10">
        <v>9</v>
      </c>
      <c r="D10" t="s">
        <v>131</v>
      </c>
      <c r="E10">
        <v>0</v>
      </c>
      <c r="F10">
        <v>1</v>
      </c>
      <c r="G10">
        <v>0</v>
      </c>
      <c r="H10">
        <v>1</v>
      </c>
      <c r="I10">
        <v>0</v>
      </c>
      <c r="J10" t="s">
        <v>292</v>
      </c>
      <c r="K10" t="s">
        <v>289</v>
      </c>
    </row>
    <row r="11" spans="1:11" x14ac:dyDescent="0.3">
      <c r="A11">
        <v>10</v>
      </c>
      <c r="B11">
        <v>2016</v>
      </c>
      <c r="C11">
        <v>10</v>
      </c>
      <c r="D11" t="s">
        <v>133</v>
      </c>
      <c r="E11">
        <v>0</v>
      </c>
      <c r="F11">
        <v>1</v>
      </c>
      <c r="G11">
        <v>0</v>
      </c>
      <c r="H11">
        <v>1</v>
      </c>
      <c r="I11">
        <v>0</v>
      </c>
      <c r="J11" t="s">
        <v>292</v>
      </c>
      <c r="K11" t="s">
        <v>289</v>
      </c>
    </row>
    <row r="12" spans="1:11" x14ac:dyDescent="0.3">
      <c r="A12">
        <v>11</v>
      </c>
      <c r="B12">
        <v>2016</v>
      </c>
      <c r="C12">
        <v>11</v>
      </c>
      <c r="D12" t="s">
        <v>130</v>
      </c>
      <c r="E12">
        <v>0</v>
      </c>
      <c r="F12">
        <v>1</v>
      </c>
      <c r="G12">
        <v>0</v>
      </c>
      <c r="H12">
        <v>1</v>
      </c>
      <c r="I12">
        <v>0</v>
      </c>
      <c r="J12" t="s">
        <v>292</v>
      </c>
      <c r="K12" t="s">
        <v>289</v>
      </c>
    </row>
    <row r="13" spans="1:11" x14ac:dyDescent="0.3">
      <c r="A13">
        <v>12</v>
      </c>
      <c r="B13">
        <v>2016</v>
      </c>
      <c r="C13">
        <v>12</v>
      </c>
      <c r="D13" t="s">
        <v>132</v>
      </c>
      <c r="E13">
        <v>0</v>
      </c>
      <c r="F13">
        <v>1</v>
      </c>
      <c r="G13">
        <v>0</v>
      </c>
      <c r="H13">
        <v>1</v>
      </c>
      <c r="I13">
        <v>0</v>
      </c>
      <c r="J13" t="s">
        <v>292</v>
      </c>
      <c r="K13" t="s">
        <v>289</v>
      </c>
    </row>
    <row r="14" spans="1:11" x14ac:dyDescent="0.3">
      <c r="A14">
        <v>13</v>
      </c>
      <c r="B14">
        <v>2017</v>
      </c>
      <c r="C14">
        <v>1</v>
      </c>
      <c r="D14" t="s">
        <v>122</v>
      </c>
      <c r="E14">
        <v>0</v>
      </c>
      <c r="F14">
        <v>1</v>
      </c>
      <c r="G14">
        <v>0</v>
      </c>
      <c r="H14">
        <v>1</v>
      </c>
      <c r="I14">
        <v>0</v>
      </c>
      <c r="J14" t="s">
        <v>292</v>
      </c>
      <c r="K14" t="s">
        <v>289</v>
      </c>
    </row>
    <row r="15" spans="1:11" x14ac:dyDescent="0.3">
      <c r="A15">
        <v>14</v>
      </c>
      <c r="B15">
        <v>2017</v>
      </c>
      <c r="C15">
        <v>2</v>
      </c>
      <c r="D15" t="s">
        <v>124</v>
      </c>
      <c r="E15">
        <v>0</v>
      </c>
      <c r="F15">
        <v>1</v>
      </c>
      <c r="G15">
        <v>0</v>
      </c>
      <c r="H15">
        <v>1</v>
      </c>
      <c r="I15">
        <v>0</v>
      </c>
      <c r="J15" t="s">
        <v>292</v>
      </c>
      <c r="K15" t="s">
        <v>289</v>
      </c>
    </row>
    <row r="16" spans="1:11" x14ac:dyDescent="0.3">
      <c r="A16">
        <v>15</v>
      </c>
      <c r="B16">
        <v>2017</v>
      </c>
      <c r="C16">
        <v>3</v>
      </c>
      <c r="D16" t="s">
        <v>125</v>
      </c>
      <c r="E16">
        <v>0</v>
      </c>
      <c r="F16">
        <v>1</v>
      </c>
      <c r="G16">
        <v>0</v>
      </c>
      <c r="H16">
        <v>1</v>
      </c>
      <c r="I16">
        <v>0</v>
      </c>
      <c r="J16" t="s">
        <v>292</v>
      </c>
      <c r="K16" t="s">
        <v>289</v>
      </c>
    </row>
    <row r="17" spans="1:11" x14ac:dyDescent="0.3">
      <c r="A17">
        <v>16</v>
      </c>
      <c r="B17">
        <v>2017</v>
      </c>
      <c r="C17">
        <v>4</v>
      </c>
      <c r="D17" t="s">
        <v>141</v>
      </c>
      <c r="E17">
        <v>0</v>
      </c>
      <c r="F17">
        <v>1</v>
      </c>
      <c r="G17">
        <v>0</v>
      </c>
      <c r="H17">
        <v>1</v>
      </c>
      <c r="I17">
        <v>0</v>
      </c>
      <c r="J17" t="s">
        <v>292</v>
      </c>
      <c r="K17" t="s">
        <v>289</v>
      </c>
    </row>
    <row r="18" spans="1:11" x14ac:dyDescent="0.3">
      <c r="A18">
        <v>17</v>
      </c>
      <c r="B18">
        <v>2017</v>
      </c>
      <c r="C18">
        <v>5</v>
      </c>
      <c r="D18" t="s">
        <v>144</v>
      </c>
      <c r="E18">
        <v>0</v>
      </c>
      <c r="F18">
        <v>1</v>
      </c>
      <c r="G18">
        <v>0</v>
      </c>
      <c r="H18">
        <v>1</v>
      </c>
      <c r="I18">
        <v>0</v>
      </c>
      <c r="J18" t="s">
        <v>292</v>
      </c>
      <c r="K18" t="s">
        <v>289</v>
      </c>
    </row>
    <row r="19" spans="1:11" x14ac:dyDescent="0.3">
      <c r="A19">
        <v>18</v>
      </c>
      <c r="B19">
        <v>2017</v>
      </c>
      <c r="C19">
        <v>6</v>
      </c>
      <c r="D19" t="s">
        <v>143</v>
      </c>
      <c r="E19">
        <v>0</v>
      </c>
      <c r="F19">
        <v>1</v>
      </c>
      <c r="G19">
        <v>0</v>
      </c>
      <c r="H19">
        <v>1</v>
      </c>
      <c r="I19">
        <v>0</v>
      </c>
      <c r="J19" t="s">
        <v>292</v>
      </c>
      <c r="K19" t="s">
        <v>289</v>
      </c>
    </row>
    <row r="20" spans="1:11" x14ac:dyDescent="0.3">
      <c r="A20">
        <v>19</v>
      </c>
      <c r="B20">
        <v>2017</v>
      </c>
      <c r="C20">
        <v>7</v>
      </c>
      <c r="D20" t="s">
        <v>142</v>
      </c>
      <c r="E20">
        <v>0</v>
      </c>
      <c r="F20">
        <v>1</v>
      </c>
      <c r="G20">
        <v>0</v>
      </c>
      <c r="H20">
        <v>1</v>
      </c>
      <c r="I20">
        <v>0</v>
      </c>
      <c r="J20" t="s">
        <v>292</v>
      </c>
      <c r="K20" t="s">
        <v>289</v>
      </c>
    </row>
    <row r="21" spans="1:11" x14ac:dyDescent="0.3">
      <c r="A21">
        <v>20</v>
      </c>
      <c r="B21">
        <v>2017</v>
      </c>
      <c r="C21">
        <v>8</v>
      </c>
      <c r="D21" t="s">
        <v>137</v>
      </c>
      <c r="E21">
        <v>0</v>
      </c>
      <c r="F21">
        <v>1</v>
      </c>
      <c r="G21">
        <v>0</v>
      </c>
      <c r="H21">
        <v>1</v>
      </c>
      <c r="I21">
        <v>0</v>
      </c>
      <c r="J21" t="s">
        <v>292</v>
      </c>
      <c r="K21" t="s">
        <v>289</v>
      </c>
    </row>
    <row r="22" spans="1:11" x14ac:dyDescent="0.3">
      <c r="A22">
        <v>21</v>
      </c>
      <c r="B22">
        <v>2017</v>
      </c>
      <c r="C22">
        <v>9</v>
      </c>
      <c r="D22" t="s">
        <v>121</v>
      </c>
      <c r="E22">
        <v>0</v>
      </c>
      <c r="F22">
        <v>1</v>
      </c>
      <c r="G22">
        <v>0</v>
      </c>
      <c r="H22">
        <v>1</v>
      </c>
      <c r="I22">
        <v>0</v>
      </c>
      <c r="J22" t="s">
        <v>292</v>
      </c>
      <c r="K22" t="s">
        <v>289</v>
      </c>
    </row>
    <row r="23" spans="1:11" x14ac:dyDescent="0.3">
      <c r="A23">
        <v>22</v>
      </c>
      <c r="B23">
        <v>2017</v>
      </c>
      <c r="C23">
        <v>10</v>
      </c>
      <c r="D23" t="s">
        <v>127</v>
      </c>
      <c r="E23">
        <v>0</v>
      </c>
      <c r="F23">
        <v>1</v>
      </c>
      <c r="G23">
        <v>0</v>
      </c>
      <c r="H23">
        <v>1</v>
      </c>
      <c r="I23">
        <v>0</v>
      </c>
      <c r="J23" t="s">
        <v>292</v>
      </c>
      <c r="K23" t="s">
        <v>289</v>
      </c>
    </row>
    <row r="24" spans="1:11" x14ac:dyDescent="0.3">
      <c r="A24">
        <v>23</v>
      </c>
      <c r="B24">
        <v>2017</v>
      </c>
      <c r="C24">
        <v>11</v>
      </c>
      <c r="D24" t="s">
        <v>128</v>
      </c>
      <c r="E24">
        <v>0</v>
      </c>
      <c r="F24">
        <v>1</v>
      </c>
      <c r="G24">
        <v>0</v>
      </c>
      <c r="H24">
        <v>1</v>
      </c>
      <c r="I24">
        <v>0</v>
      </c>
      <c r="J24" t="s">
        <v>292</v>
      </c>
      <c r="K24" t="s">
        <v>289</v>
      </c>
    </row>
    <row r="25" spans="1:11" x14ac:dyDescent="0.3">
      <c r="A25">
        <v>24</v>
      </c>
      <c r="B25">
        <v>2017</v>
      </c>
      <c r="C25">
        <v>12</v>
      </c>
      <c r="D25" t="s">
        <v>138</v>
      </c>
      <c r="E25">
        <v>0</v>
      </c>
      <c r="F25">
        <v>1</v>
      </c>
      <c r="G25">
        <v>0</v>
      </c>
      <c r="H25">
        <v>1</v>
      </c>
      <c r="I25">
        <v>0</v>
      </c>
      <c r="J25" t="s">
        <v>292</v>
      </c>
      <c r="K25" t="s">
        <v>289</v>
      </c>
    </row>
    <row r="26" spans="1:11" x14ac:dyDescent="0.3">
      <c r="A26">
        <v>25</v>
      </c>
      <c r="B26">
        <v>2018</v>
      </c>
      <c r="C26">
        <v>1</v>
      </c>
      <c r="D26" t="s">
        <v>119</v>
      </c>
      <c r="E26">
        <v>0</v>
      </c>
      <c r="F26">
        <v>1</v>
      </c>
      <c r="G26">
        <v>0</v>
      </c>
      <c r="H26">
        <v>1</v>
      </c>
      <c r="I26">
        <v>0</v>
      </c>
      <c r="J26" t="s">
        <v>292</v>
      </c>
      <c r="K26" t="s">
        <v>289</v>
      </c>
    </row>
    <row r="27" spans="1:11" x14ac:dyDescent="0.3">
      <c r="A27">
        <v>26</v>
      </c>
      <c r="B27">
        <v>2018</v>
      </c>
      <c r="C27">
        <v>2</v>
      </c>
      <c r="D27" t="s">
        <v>117</v>
      </c>
      <c r="E27">
        <v>0</v>
      </c>
      <c r="F27">
        <v>1</v>
      </c>
      <c r="G27">
        <v>0</v>
      </c>
      <c r="H27">
        <v>1</v>
      </c>
      <c r="I27">
        <v>0</v>
      </c>
      <c r="J27" t="s">
        <v>292</v>
      </c>
      <c r="K27" t="s">
        <v>289</v>
      </c>
    </row>
    <row r="28" spans="1:11" x14ac:dyDescent="0.3">
      <c r="A28">
        <v>27</v>
      </c>
      <c r="B28">
        <v>2018</v>
      </c>
      <c r="C28">
        <v>3</v>
      </c>
      <c r="D28" t="s">
        <v>118</v>
      </c>
      <c r="E28">
        <v>0</v>
      </c>
      <c r="F28">
        <v>1</v>
      </c>
      <c r="G28">
        <v>0</v>
      </c>
      <c r="H28">
        <v>1</v>
      </c>
      <c r="I28">
        <v>0</v>
      </c>
      <c r="J28" t="s">
        <v>292</v>
      </c>
      <c r="K28" t="s">
        <v>289</v>
      </c>
    </row>
    <row r="29" spans="1:11" x14ac:dyDescent="0.3">
      <c r="A29">
        <v>28</v>
      </c>
      <c r="B29">
        <v>2018</v>
      </c>
      <c r="C29">
        <v>4</v>
      </c>
      <c r="D29" t="s">
        <v>112</v>
      </c>
      <c r="E29">
        <v>0</v>
      </c>
      <c r="F29">
        <v>1</v>
      </c>
      <c r="G29">
        <v>0</v>
      </c>
      <c r="H29">
        <v>1</v>
      </c>
      <c r="I29">
        <v>0</v>
      </c>
      <c r="J29" t="s">
        <v>292</v>
      </c>
      <c r="K29" t="s">
        <v>289</v>
      </c>
    </row>
    <row r="30" spans="1:11" x14ac:dyDescent="0.3">
      <c r="A30">
        <v>29</v>
      </c>
      <c r="B30">
        <v>2018</v>
      </c>
      <c r="C30">
        <v>5</v>
      </c>
      <c r="D30" t="s">
        <v>120</v>
      </c>
      <c r="E30">
        <v>0</v>
      </c>
      <c r="F30">
        <v>1</v>
      </c>
      <c r="G30">
        <v>0</v>
      </c>
      <c r="H30">
        <v>1</v>
      </c>
      <c r="I30">
        <v>0</v>
      </c>
      <c r="J30" t="s">
        <v>292</v>
      </c>
      <c r="K30" t="s">
        <v>289</v>
      </c>
    </row>
    <row r="31" spans="1:11" x14ac:dyDescent="0.3">
      <c r="A31">
        <v>30</v>
      </c>
      <c r="B31">
        <v>2018</v>
      </c>
      <c r="C31">
        <v>6</v>
      </c>
      <c r="D31" t="s">
        <v>126</v>
      </c>
      <c r="E31">
        <v>0</v>
      </c>
      <c r="F31">
        <v>1</v>
      </c>
      <c r="G31">
        <v>0</v>
      </c>
      <c r="H31">
        <v>1</v>
      </c>
      <c r="I31">
        <v>0</v>
      </c>
      <c r="J31" t="s">
        <v>292</v>
      </c>
      <c r="K31" t="s">
        <v>289</v>
      </c>
    </row>
    <row r="32" spans="1:11" x14ac:dyDescent="0.3">
      <c r="A32">
        <v>31</v>
      </c>
      <c r="B32">
        <v>2018</v>
      </c>
      <c r="C32">
        <v>7</v>
      </c>
      <c r="D32" t="s">
        <v>139</v>
      </c>
      <c r="E32">
        <v>0</v>
      </c>
      <c r="F32">
        <v>1</v>
      </c>
      <c r="G32">
        <v>0</v>
      </c>
      <c r="H32">
        <v>1</v>
      </c>
      <c r="I32">
        <v>0</v>
      </c>
      <c r="J32" t="s">
        <v>292</v>
      </c>
      <c r="K32" t="s">
        <v>289</v>
      </c>
    </row>
    <row r="33" spans="1:11" x14ac:dyDescent="0.3">
      <c r="A33">
        <v>32</v>
      </c>
      <c r="B33">
        <v>2018</v>
      </c>
      <c r="C33">
        <v>8</v>
      </c>
      <c r="D33" t="s">
        <v>140</v>
      </c>
      <c r="E33">
        <v>0</v>
      </c>
      <c r="F33">
        <v>1</v>
      </c>
      <c r="G33">
        <v>0</v>
      </c>
      <c r="H33">
        <v>1</v>
      </c>
      <c r="I33">
        <v>0</v>
      </c>
      <c r="J33" t="s">
        <v>292</v>
      </c>
      <c r="K33" t="s">
        <v>289</v>
      </c>
    </row>
    <row r="34" spans="1:11" x14ac:dyDescent="0.3">
      <c r="A34">
        <v>33</v>
      </c>
      <c r="B34">
        <v>2018</v>
      </c>
      <c r="C34">
        <v>9</v>
      </c>
      <c r="D34" t="s">
        <v>113</v>
      </c>
      <c r="E34">
        <v>1</v>
      </c>
      <c r="F34">
        <v>1</v>
      </c>
      <c r="G34">
        <v>0</v>
      </c>
      <c r="H34">
        <v>1</v>
      </c>
      <c r="I34">
        <v>0</v>
      </c>
      <c r="J34" t="s">
        <v>290</v>
      </c>
      <c r="K34" t="s">
        <v>289</v>
      </c>
    </row>
    <row r="35" spans="1:11" x14ac:dyDescent="0.3">
      <c r="A35">
        <v>34</v>
      </c>
      <c r="B35">
        <v>2018</v>
      </c>
      <c r="C35">
        <v>10</v>
      </c>
      <c r="D35" t="s">
        <v>114</v>
      </c>
      <c r="E35">
        <v>1</v>
      </c>
      <c r="F35">
        <v>1</v>
      </c>
      <c r="G35">
        <v>0</v>
      </c>
      <c r="H35">
        <v>1</v>
      </c>
      <c r="I35">
        <v>0</v>
      </c>
      <c r="J35" t="s">
        <v>290</v>
      </c>
      <c r="K35" t="s">
        <v>289</v>
      </c>
    </row>
    <row r="36" spans="1:11" x14ac:dyDescent="0.3">
      <c r="A36">
        <v>35</v>
      </c>
      <c r="B36">
        <v>2018</v>
      </c>
      <c r="C36">
        <v>11</v>
      </c>
      <c r="D36" t="s">
        <v>115</v>
      </c>
      <c r="E36">
        <v>1</v>
      </c>
      <c r="F36">
        <v>1</v>
      </c>
      <c r="G36">
        <v>0</v>
      </c>
      <c r="H36">
        <v>1</v>
      </c>
      <c r="I36">
        <v>0</v>
      </c>
      <c r="J36" t="s">
        <v>290</v>
      </c>
      <c r="K36" t="s">
        <v>289</v>
      </c>
    </row>
    <row r="37" spans="1:11" x14ac:dyDescent="0.3">
      <c r="A37">
        <v>36</v>
      </c>
      <c r="B37">
        <v>2018</v>
      </c>
      <c r="C37">
        <v>12</v>
      </c>
      <c r="D37" t="s">
        <v>116</v>
      </c>
      <c r="E37">
        <v>1</v>
      </c>
      <c r="F37">
        <v>1</v>
      </c>
      <c r="G37">
        <v>0</v>
      </c>
      <c r="H37">
        <v>1</v>
      </c>
      <c r="I37">
        <v>0</v>
      </c>
      <c r="J37" t="s">
        <v>290</v>
      </c>
      <c r="K37" t="s">
        <v>289</v>
      </c>
    </row>
    <row r="38" spans="1:11" x14ac:dyDescent="0.3">
      <c r="A38">
        <v>37</v>
      </c>
      <c r="B38">
        <v>2019</v>
      </c>
      <c r="C38">
        <v>1</v>
      </c>
      <c r="D38" t="s">
        <v>145</v>
      </c>
      <c r="E38">
        <v>1</v>
      </c>
      <c r="F38">
        <v>1</v>
      </c>
      <c r="G38">
        <v>0</v>
      </c>
      <c r="H38">
        <v>1</v>
      </c>
      <c r="I38">
        <v>0</v>
      </c>
      <c r="J38" t="s">
        <v>290</v>
      </c>
      <c r="K38" t="s">
        <v>289</v>
      </c>
    </row>
    <row r="39" spans="1:11" x14ac:dyDescent="0.3">
      <c r="A39">
        <v>38</v>
      </c>
      <c r="B39">
        <v>2019</v>
      </c>
      <c r="C39">
        <v>2</v>
      </c>
      <c r="D39" t="s">
        <v>147</v>
      </c>
      <c r="E39">
        <v>1</v>
      </c>
      <c r="F39">
        <v>1</v>
      </c>
      <c r="G39">
        <v>0</v>
      </c>
      <c r="H39">
        <v>1</v>
      </c>
      <c r="I39">
        <v>0</v>
      </c>
      <c r="J39" t="s">
        <v>290</v>
      </c>
      <c r="K39" t="s">
        <v>289</v>
      </c>
    </row>
    <row r="40" spans="1:11" x14ac:dyDescent="0.3">
      <c r="A40">
        <v>39</v>
      </c>
      <c r="B40">
        <v>2019</v>
      </c>
      <c r="C40">
        <v>3</v>
      </c>
      <c r="D40" t="s">
        <v>149</v>
      </c>
      <c r="E40">
        <v>1</v>
      </c>
      <c r="F40">
        <v>1</v>
      </c>
      <c r="G40">
        <v>0</v>
      </c>
      <c r="H40">
        <v>1</v>
      </c>
      <c r="I40">
        <v>0</v>
      </c>
      <c r="J40" t="s">
        <v>290</v>
      </c>
      <c r="K40" t="s">
        <v>289</v>
      </c>
    </row>
    <row r="41" spans="1:11" x14ac:dyDescent="0.3">
      <c r="A41">
        <v>40</v>
      </c>
      <c r="B41">
        <v>2019</v>
      </c>
      <c r="C41">
        <v>4</v>
      </c>
      <c r="D41" t="s">
        <v>150</v>
      </c>
      <c r="E41">
        <v>1</v>
      </c>
      <c r="F41">
        <v>1</v>
      </c>
      <c r="G41">
        <v>0</v>
      </c>
      <c r="H41">
        <v>1</v>
      </c>
      <c r="I41">
        <v>0</v>
      </c>
      <c r="J41" t="s">
        <v>290</v>
      </c>
      <c r="K41" t="s">
        <v>289</v>
      </c>
    </row>
    <row r="42" spans="1:11" x14ac:dyDescent="0.3">
      <c r="A42">
        <v>41</v>
      </c>
      <c r="B42">
        <v>2019</v>
      </c>
      <c r="C42">
        <v>5</v>
      </c>
      <c r="D42" t="s">
        <v>152</v>
      </c>
      <c r="E42">
        <v>1</v>
      </c>
      <c r="F42">
        <v>1</v>
      </c>
      <c r="G42">
        <v>0</v>
      </c>
      <c r="H42">
        <v>1</v>
      </c>
      <c r="I42">
        <v>0</v>
      </c>
      <c r="J42" t="s">
        <v>290</v>
      </c>
      <c r="K42" t="s">
        <v>289</v>
      </c>
    </row>
    <row r="43" spans="1:11" x14ac:dyDescent="0.3">
      <c r="A43">
        <v>42</v>
      </c>
      <c r="B43">
        <v>2019</v>
      </c>
      <c r="C43">
        <v>6</v>
      </c>
      <c r="D43" t="s">
        <v>153</v>
      </c>
      <c r="E43">
        <v>1</v>
      </c>
      <c r="F43">
        <v>1</v>
      </c>
      <c r="G43">
        <v>0</v>
      </c>
      <c r="H43">
        <v>1</v>
      </c>
      <c r="I43">
        <v>0</v>
      </c>
      <c r="J43" t="s">
        <v>290</v>
      </c>
      <c r="K43" t="s">
        <v>289</v>
      </c>
    </row>
    <row r="44" spans="1:11" x14ac:dyDescent="0.3">
      <c r="A44">
        <v>43</v>
      </c>
      <c r="B44">
        <v>2019</v>
      </c>
      <c r="C44">
        <v>7</v>
      </c>
      <c r="D44" t="s">
        <v>146</v>
      </c>
      <c r="E44">
        <v>1</v>
      </c>
      <c r="F44">
        <v>1</v>
      </c>
      <c r="G44">
        <v>0</v>
      </c>
      <c r="H44">
        <v>1</v>
      </c>
      <c r="I44">
        <v>0</v>
      </c>
      <c r="J44" t="s">
        <v>290</v>
      </c>
      <c r="K44" t="s">
        <v>289</v>
      </c>
    </row>
    <row r="45" spans="1:11" x14ac:dyDescent="0.3">
      <c r="A45">
        <v>44</v>
      </c>
      <c r="B45">
        <v>2019</v>
      </c>
      <c r="C45">
        <v>8</v>
      </c>
      <c r="D45" t="s">
        <v>151</v>
      </c>
      <c r="E45">
        <v>1</v>
      </c>
      <c r="F45">
        <v>1</v>
      </c>
      <c r="G45">
        <v>0</v>
      </c>
      <c r="H45">
        <v>1</v>
      </c>
      <c r="I45">
        <v>0</v>
      </c>
      <c r="J45" t="s">
        <v>290</v>
      </c>
      <c r="K45" t="s">
        <v>289</v>
      </c>
    </row>
    <row r="46" spans="1:11" x14ac:dyDescent="0.3">
      <c r="A46">
        <v>45</v>
      </c>
      <c r="B46">
        <v>2019</v>
      </c>
      <c r="C46">
        <v>9</v>
      </c>
      <c r="D46" t="s">
        <v>154</v>
      </c>
      <c r="E46">
        <v>1</v>
      </c>
      <c r="F46">
        <v>1</v>
      </c>
      <c r="G46">
        <v>0</v>
      </c>
      <c r="H46">
        <v>1</v>
      </c>
      <c r="I46">
        <v>0</v>
      </c>
      <c r="J46" t="s">
        <v>290</v>
      </c>
      <c r="K46" t="s">
        <v>289</v>
      </c>
    </row>
    <row r="47" spans="1:11" x14ac:dyDescent="0.3">
      <c r="A47">
        <v>46</v>
      </c>
      <c r="B47">
        <v>2019</v>
      </c>
      <c r="C47">
        <v>10</v>
      </c>
      <c r="D47" t="s">
        <v>156</v>
      </c>
      <c r="E47">
        <v>1</v>
      </c>
      <c r="F47">
        <v>1</v>
      </c>
      <c r="G47">
        <v>0</v>
      </c>
      <c r="H47">
        <v>1</v>
      </c>
      <c r="I47">
        <v>0</v>
      </c>
      <c r="J47" t="s">
        <v>290</v>
      </c>
      <c r="K47" t="s">
        <v>289</v>
      </c>
    </row>
    <row r="48" spans="1:11" x14ac:dyDescent="0.3">
      <c r="A48">
        <v>47</v>
      </c>
      <c r="B48">
        <v>2019</v>
      </c>
      <c r="C48">
        <v>11</v>
      </c>
      <c r="D48" t="s">
        <v>155</v>
      </c>
      <c r="E48">
        <v>1</v>
      </c>
      <c r="F48">
        <v>1</v>
      </c>
      <c r="G48">
        <v>0</v>
      </c>
      <c r="H48">
        <v>1</v>
      </c>
      <c r="I48">
        <v>0</v>
      </c>
      <c r="J48" t="s">
        <v>290</v>
      </c>
      <c r="K48" t="s">
        <v>289</v>
      </c>
    </row>
    <row r="49" spans="1:11" x14ac:dyDescent="0.3">
      <c r="A49">
        <v>48</v>
      </c>
      <c r="B49">
        <v>2019</v>
      </c>
      <c r="C49">
        <v>12</v>
      </c>
      <c r="D49" t="s">
        <v>148</v>
      </c>
      <c r="E49">
        <v>1</v>
      </c>
      <c r="F49">
        <v>1</v>
      </c>
      <c r="G49">
        <v>0</v>
      </c>
      <c r="H49">
        <v>1</v>
      </c>
      <c r="I49">
        <v>0</v>
      </c>
      <c r="J49" t="s">
        <v>290</v>
      </c>
      <c r="K49" t="s">
        <v>289</v>
      </c>
    </row>
    <row r="50" spans="1:11" x14ac:dyDescent="0.3">
      <c r="A50">
        <v>49</v>
      </c>
      <c r="B50">
        <v>2020</v>
      </c>
      <c r="C50">
        <v>1</v>
      </c>
      <c r="D50" t="s">
        <v>197</v>
      </c>
      <c r="E50">
        <v>1</v>
      </c>
      <c r="F50">
        <v>1</v>
      </c>
      <c r="G50">
        <v>0</v>
      </c>
      <c r="H50">
        <v>1</v>
      </c>
      <c r="I50">
        <v>0</v>
      </c>
      <c r="J50" t="s">
        <v>290</v>
      </c>
      <c r="K50" t="s">
        <v>289</v>
      </c>
    </row>
    <row r="51" spans="1:11" x14ac:dyDescent="0.3">
      <c r="A51">
        <v>50</v>
      </c>
      <c r="B51">
        <v>2020</v>
      </c>
      <c r="C51">
        <v>2</v>
      </c>
      <c r="D51" t="s">
        <v>201</v>
      </c>
      <c r="E51">
        <v>1</v>
      </c>
      <c r="F51">
        <v>1</v>
      </c>
      <c r="G51">
        <v>0</v>
      </c>
      <c r="H51">
        <v>1</v>
      </c>
      <c r="I51">
        <v>0</v>
      </c>
      <c r="J51" t="s">
        <v>290</v>
      </c>
      <c r="K51" t="s">
        <v>289</v>
      </c>
    </row>
    <row r="52" spans="1:11" x14ac:dyDescent="0.3">
      <c r="A52">
        <v>51</v>
      </c>
      <c r="B52">
        <v>2020</v>
      </c>
      <c r="C52">
        <v>3</v>
      </c>
      <c r="D52" t="s">
        <v>205</v>
      </c>
      <c r="E52">
        <v>1</v>
      </c>
      <c r="F52">
        <v>1</v>
      </c>
      <c r="G52">
        <v>0</v>
      </c>
      <c r="H52">
        <v>1</v>
      </c>
      <c r="I52">
        <v>0</v>
      </c>
      <c r="J52" t="s">
        <v>290</v>
      </c>
      <c r="K52" t="s">
        <v>289</v>
      </c>
    </row>
    <row r="53" spans="1:11" x14ac:dyDescent="0.3">
      <c r="A53">
        <v>52</v>
      </c>
      <c r="B53">
        <v>2020</v>
      </c>
      <c r="C53">
        <v>4</v>
      </c>
      <c r="D53" t="s">
        <v>209</v>
      </c>
      <c r="E53">
        <v>1</v>
      </c>
      <c r="F53">
        <v>1</v>
      </c>
      <c r="G53">
        <v>0</v>
      </c>
      <c r="H53">
        <v>1</v>
      </c>
      <c r="I53">
        <v>0</v>
      </c>
      <c r="J53" t="s">
        <v>290</v>
      </c>
      <c r="K53" t="s">
        <v>289</v>
      </c>
    </row>
    <row r="54" spans="1:11" x14ac:dyDescent="0.3">
      <c r="A54">
        <v>53</v>
      </c>
      <c r="B54">
        <v>2020</v>
      </c>
      <c r="C54">
        <v>5</v>
      </c>
      <c r="D54" t="s">
        <v>216</v>
      </c>
      <c r="E54">
        <v>1</v>
      </c>
      <c r="F54">
        <v>1</v>
      </c>
      <c r="G54">
        <v>0</v>
      </c>
      <c r="H54">
        <v>1</v>
      </c>
      <c r="I54">
        <v>0</v>
      </c>
      <c r="J54" t="s">
        <v>290</v>
      </c>
      <c r="K54" t="s">
        <v>289</v>
      </c>
    </row>
    <row r="55" spans="1:11" x14ac:dyDescent="0.3">
      <c r="A55">
        <v>54</v>
      </c>
      <c r="B55">
        <v>2020</v>
      </c>
      <c r="C55">
        <v>6</v>
      </c>
      <c r="D55" t="s">
        <v>223</v>
      </c>
      <c r="E55">
        <v>1</v>
      </c>
      <c r="F55">
        <v>1</v>
      </c>
      <c r="G55">
        <v>0</v>
      </c>
      <c r="H55">
        <v>1</v>
      </c>
      <c r="I55">
        <v>0</v>
      </c>
      <c r="J55" t="s">
        <v>290</v>
      </c>
      <c r="K55" t="s">
        <v>289</v>
      </c>
    </row>
    <row r="56" spans="1:11" x14ac:dyDescent="0.3">
      <c r="A56">
        <v>55</v>
      </c>
      <c r="B56">
        <v>2020</v>
      </c>
      <c r="C56">
        <v>7</v>
      </c>
      <c r="D56" t="s">
        <v>230</v>
      </c>
      <c r="E56">
        <v>1</v>
      </c>
      <c r="F56">
        <v>0</v>
      </c>
      <c r="G56">
        <v>0</v>
      </c>
      <c r="H56">
        <v>1</v>
      </c>
      <c r="I56">
        <v>0</v>
      </c>
      <c r="J56" t="s">
        <v>290</v>
      </c>
      <c r="K56" t="s">
        <v>289</v>
      </c>
    </row>
    <row r="57" spans="1:11" x14ac:dyDescent="0.3">
      <c r="A57">
        <v>56</v>
      </c>
      <c r="B57">
        <v>2020</v>
      </c>
      <c r="C57">
        <v>8</v>
      </c>
      <c r="D57" t="s">
        <v>237</v>
      </c>
      <c r="E57">
        <v>1</v>
      </c>
      <c r="F57">
        <v>0</v>
      </c>
      <c r="G57">
        <v>0</v>
      </c>
      <c r="H57">
        <v>1</v>
      </c>
      <c r="I57">
        <v>0</v>
      </c>
      <c r="J57" t="s">
        <v>290</v>
      </c>
      <c r="K57" t="s">
        <v>289</v>
      </c>
    </row>
    <row r="58" spans="1:11" x14ac:dyDescent="0.3">
      <c r="A58">
        <v>57</v>
      </c>
      <c r="B58">
        <v>2020</v>
      </c>
      <c r="C58">
        <v>9</v>
      </c>
      <c r="D58" t="s">
        <v>244</v>
      </c>
      <c r="E58">
        <v>1</v>
      </c>
      <c r="F58">
        <v>0</v>
      </c>
      <c r="G58">
        <v>0</v>
      </c>
      <c r="H58">
        <v>1</v>
      </c>
      <c r="I58">
        <v>0</v>
      </c>
      <c r="J58" t="s">
        <v>290</v>
      </c>
      <c r="K58" t="s">
        <v>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7"/>
  <sheetViews>
    <sheetView showGridLines="0" tabSelected="1" topLeftCell="R17" zoomScale="85" zoomScaleNormal="85" workbookViewId="0">
      <selection activeCell="AD36" sqref="AD36:AD37"/>
    </sheetView>
  </sheetViews>
  <sheetFormatPr baseColWidth="10" defaultRowHeight="14.4" x14ac:dyDescent="0.3"/>
  <cols>
    <col min="1" max="1" width="12.33203125" style="38" bestFit="1" customWidth="1"/>
    <col min="2" max="2" width="19" style="5" bestFit="1" customWidth="1"/>
    <col min="3" max="3" width="16.33203125" style="5" bestFit="1" customWidth="1"/>
    <col min="4" max="4" width="54.109375" customWidth="1"/>
    <col min="5" max="5" width="53.5546875" customWidth="1"/>
    <col min="6" max="6" width="20.109375" bestFit="1" customWidth="1"/>
    <col min="7" max="7" width="53.88671875" customWidth="1"/>
    <col min="8" max="8" width="54.5546875" customWidth="1"/>
    <col min="9" max="9" width="20.44140625" bestFit="1" customWidth="1"/>
    <col min="10" max="10" width="14" customWidth="1"/>
    <col min="11" max="11" width="3.44140625" customWidth="1"/>
    <col min="12" max="12" width="20.33203125" bestFit="1" customWidth="1"/>
    <col min="13" max="13" width="54.109375" customWidth="1"/>
    <col min="14" max="14" width="55.5546875" customWidth="1"/>
    <col min="15" max="15" width="20.109375" bestFit="1" customWidth="1"/>
    <col min="16" max="16" width="55" bestFit="1" customWidth="1"/>
    <col min="17" max="17" width="59.33203125" bestFit="1" customWidth="1"/>
    <col min="18" max="18" width="20.44140625" bestFit="1" customWidth="1"/>
    <col min="19" max="19" width="13.44140625" customWidth="1"/>
    <col min="20" max="20" width="3.44140625" customWidth="1"/>
    <col min="21" max="21" width="10.33203125" customWidth="1"/>
    <col min="22" max="22" width="15.33203125" customWidth="1"/>
    <col min="23" max="23" width="19.33203125" style="5" bestFit="1" customWidth="1"/>
    <col min="24" max="24" width="18.6640625" style="5" bestFit="1" customWidth="1"/>
    <col min="25" max="25" width="14.6640625" style="5" bestFit="1" customWidth="1"/>
    <col min="26" max="26" width="13" bestFit="1" customWidth="1"/>
    <col min="27" max="27" width="14" bestFit="1" customWidth="1"/>
    <col min="28" max="28" width="12.6640625" customWidth="1"/>
    <col min="29" max="29" width="16.6640625" customWidth="1"/>
    <col min="30" max="30" width="17.44140625" bestFit="1" customWidth="1"/>
    <col min="31" max="31" width="15.88671875" customWidth="1"/>
  </cols>
  <sheetData>
    <row r="1" spans="1:31" x14ac:dyDescent="0.3">
      <c r="W1"/>
      <c r="X1"/>
      <c r="Y1"/>
    </row>
    <row r="2" spans="1:31" x14ac:dyDescent="0.3">
      <c r="A2" s="6" t="s">
        <v>60</v>
      </c>
      <c r="B2" s="30" t="s">
        <v>96</v>
      </c>
      <c r="W2"/>
      <c r="X2"/>
      <c r="Y2"/>
    </row>
    <row r="3" spans="1:31" x14ac:dyDescent="0.3">
      <c r="A3" s="7" t="s">
        <v>61</v>
      </c>
      <c r="B3" s="31" t="s">
        <v>97</v>
      </c>
      <c r="W3"/>
      <c r="X3"/>
      <c r="Y3"/>
    </row>
    <row r="4" spans="1:31" x14ac:dyDescent="0.3">
      <c r="A4" s="7" t="s">
        <v>45</v>
      </c>
      <c r="B4" s="8" t="s">
        <v>65</v>
      </c>
      <c r="W4"/>
      <c r="X4"/>
      <c r="Y4"/>
    </row>
    <row r="5" spans="1:31" x14ac:dyDescent="0.3">
      <c r="A5" s="9" t="s">
        <v>42</v>
      </c>
      <c r="B5" s="32" t="s">
        <v>98</v>
      </c>
      <c r="W5"/>
      <c r="X5"/>
      <c r="Y5"/>
    </row>
    <row r="7" spans="1:31" ht="14.4" customHeight="1" x14ac:dyDescent="0.3">
      <c r="C7" s="56" t="s">
        <v>294</v>
      </c>
      <c r="D7" s="56"/>
      <c r="E7" s="56"/>
      <c r="F7" s="56"/>
      <c r="G7" s="56"/>
      <c r="H7" s="56"/>
      <c r="I7" s="56"/>
      <c r="J7" s="57"/>
      <c r="L7" s="58" t="s">
        <v>295</v>
      </c>
      <c r="M7" s="58"/>
      <c r="N7" s="58"/>
      <c r="O7" s="58"/>
      <c r="P7" s="58"/>
      <c r="Q7" s="58"/>
      <c r="R7" s="58"/>
      <c r="S7" s="58"/>
      <c r="U7" s="59" t="s">
        <v>297</v>
      </c>
      <c r="V7" s="60"/>
      <c r="W7" s="60"/>
      <c r="X7" s="60"/>
      <c r="Y7" s="60"/>
      <c r="Z7" s="60"/>
      <c r="AA7" s="60"/>
      <c r="AB7" s="60"/>
      <c r="AC7" s="60"/>
      <c r="AD7" s="60"/>
      <c r="AE7" s="61"/>
    </row>
    <row r="8" spans="1:31" s="3" customFormat="1" ht="28.8" x14ac:dyDescent="0.3">
      <c r="A8" s="33" t="s">
        <v>299</v>
      </c>
      <c r="B8" s="33" t="s">
        <v>298</v>
      </c>
      <c r="C8" s="33" t="s">
        <v>296</v>
      </c>
      <c r="D8" s="22" t="s">
        <v>62</v>
      </c>
      <c r="E8" s="23" t="s">
        <v>68</v>
      </c>
      <c r="F8" s="22" t="s">
        <v>64</v>
      </c>
      <c r="G8" s="22" t="s">
        <v>66</v>
      </c>
      <c r="H8" s="23" t="s">
        <v>69</v>
      </c>
      <c r="I8" s="22" t="s">
        <v>67</v>
      </c>
      <c r="J8" s="24" t="s">
        <v>63</v>
      </c>
      <c r="L8" s="33" t="s">
        <v>296</v>
      </c>
      <c r="M8" s="22" t="s">
        <v>62</v>
      </c>
      <c r="N8" s="23" t="s">
        <v>68</v>
      </c>
      <c r="O8" s="22" t="s">
        <v>64</v>
      </c>
      <c r="P8" s="22" t="s">
        <v>66</v>
      </c>
      <c r="Q8" s="23" t="s">
        <v>69</v>
      </c>
      <c r="R8" s="22" t="s">
        <v>67</v>
      </c>
      <c r="S8" s="24" t="s">
        <v>63</v>
      </c>
      <c r="U8" s="16" t="s">
        <v>3</v>
      </c>
      <c r="V8" s="48" t="s">
        <v>319</v>
      </c>
      <c r="W8" s="15" t="s">
        <v>320</v>
      </c>
      <c r="X8" s="16" t="s">
        <v>321</v>
      </c>
      <c r="Y8" s="15" t="s">
        <v>322</v>
      </c>
      <c r="Z8" s="16" t="s">
        <v>323</v>
      </c>
      <c r="AA8" s="15" t="s">
        <v>324</v>
      </c>
      <c r="AB8" s="16" t="s">
        <v>325</v>
      </c>
      <c r="AC8" s="16" t="s">
        <v>326</v>
      </c>
      <c r="AD8" s="15" t="s">
        <v>327</v>
      </c>
      <c r="AE8" s="14" t="s">
        <v>328</v>
      </c>
    </row>
    <row r="9" spans="1:31" x14ac:dyDescent="0.3">
      <c r="A9" s="39">
        <f>9</f>
        <v>9</v>
      </c>
      <c r="B9" s="36">
        <v>43344</v>
      </c>
      <c r="C9" s="50" t="s">
        <v>290</v>
      </c>
      <c r="D9" s="10" t="str">
        <f t="shared" ref="D9:D33" si="0">CONCATENATE("SUMIF(",IF(C9="FACT_EMITIDA","SIGGE_E",C9),"!B:B,Reliquidacion!B",A9,",",IF(C9="FACT_EMITIDA","SIGGE_E",C9),"!S:S)")</f>
        <v>SUMIF(SIGGE_E!B:B,Reliquidacion!B9,SIGGE_E!S:S)</v>
      </c>
      <c r="E9" s="10" t="str">
        <f t="shared" ref="E9:E33" si="1">CONCATENATE("SUMIF(",IF(C9="FACT_EMITIDA","SIGGE_E",C9),"!B:B,Reliquidacion!B",A9,",",IF(C9="FACT_EMITIDA","SIGGE_E",C9),"!T:T)")</f>
        <v>SUMIF(SIGGE_E!B:B,Reliquidacion!B9,SIGGE_E!T:T)</v>
      </c>
      <c r="F9" s="11" t="str">
        <f t="shared" ref="F9:F33" si="2">CONCATENATE("IFERROR((E",A9,"/D",A9,"),0)")</f>
        <v>IFERROR((E9/D9),0)</v>
      </c>
      <c r="G9" s="12" t="str">
        <f t="shared" ref="G9:G33" si="3">CONCATENATE("SUMIF(",IF(C9="FACT_EMITIDA","SIGGE_P",C9),"!B:B,Reliquidacion!B",A9,",",IF(C9="FACT_EMITIDA","SIGGE_P",C9),"!U:U)")</f>
        <v>SUMIF(SIGGE_P!B:B,Reliquidacion!B9,SIGGE_P!U:U)</v>
      </c>
      <c r="H9" s="10" t="str">
        <f t="shared" ref="H9:H33" si="4">CONCATENATE("SUMIF(",IF(C9="FACT_EMITIDA","SIGGE_P",C9),"!B:B,Reliquidacion!B",A9,",",IF(C9="FACT_EMITIDA","SIGGE_P",C9),"!V:V)")</f>
        <v>SUMIF(SIGGE_P!B:B,Reliquidacion!B9,SIGGE_P!V:V)</v>
      </c>
      <c r="I9" s="11" t="str">
        <f t="shared" ref="I9:I33" si="5">CONCATENATE("IFERROR((H",A9,"/G",A9,"),0)")</f>
        <v>IFERROR((H9/G9),0)</v>
      </c>
      <c r="J9" s="10" t="str">
        <f t="shared" ref="J9:J33" si="6">CONCATENATE("(E",A9,"+H",A9,")")</f>
        <v>(E9+H9)</v>
      </c>
      <c r="L9" s="37" t="str">
        <f>(MAPA_DATA!K34)</f>
        <v>EFACT_CNE</v>
      </c>
      <c r="M9" s="10" t="str">
        <f t="shared" ref="M9:M33" si="7">CONCATENATE("SUMIF(",L9,"!B:B,Reliquidacion!B",A9,",",L9,"!S:S)")</f>
        <v>SUMIF(EFACT_CNE!B:B,Reliquidacion!B9,EFACT_CNE!S:S)</v>
      </c>
      <c r="N9" s="10" t="str">
        <f t="shared" ref="N9:N33" si="8">CONCATENATE("SUMIF(",L9,"!B:B,Reliquidacion!B",A9,",",L9,"!T:T)")</f>
        <v>SUMIF(EFACT_CNE!B:B,Reliquidacion!B9,EFACT_CNE!T:T)</v>
      </c>
      <c r="O9" s="11" t="str">
        <f t="shared" ref="O9:O33" si="9">CONCATENATE("IFERROR((N",A9,"/M",A9,"),0)")</f>
        <v>IFERROR((N9/M9),0)</v>
      </c>
      <c r="P9" s="12" t="str">
        <f t="shared" ref="P9:P33" si="10">CONCATENATE("SUMIF(",L9,"!B:B,Reliquidacion!B",A9,",",L9,"!U:U)")</f>
        <v>SUMIF(EFACT_CNE!B:B,Reliquidacion!B9,EFACT_CNE!U:U)</v>
      </c>
      <c r="Q9" s="10" t="str">
        <f t="shared" ref="Q9:Q33" si="11">CONCATENATE("SUMIF(",L9,"!B:B,Reliquidacion!B",A9,",",L9,"!V:V)")</f>
        <v>SUMIF(EFACT_CNE!B:B,Reliquidacion!B9,EFACT_CNE!V:V)</v>
      </c>
      <c r="R9" s="11" t="str">
        <f t="shared" ref="R9:R33" si="12">CONCATENATE("IFERROR((Q",A9,"/P",A9,"),0)")</f>
        <v>IFERROR((Q9/P9),0)</v>
      </c>
      <c r="S9" s="10" t="str">
        <f t="shared" ref="S9:S33" si="13">CONCATENATE("(N",A9,"+Q",A9,")")</f>
        <v>(N9+Q9)</v>
      </c>
      <c r="U9" s="49">
        <v>43344</v>
      </c>
      <c r="V9" s="25" t="str">
        <f t="shared" ref="V9:V33" si="14">CONCATENATE("(S",A9,"-J",A9,")")</f>
        <v>(S9-J9)</v>
      </c>
      <c r="W9" s="50" t="s">
        <v>346</v>
      </c>
      <c r="X9" s="26">
        <v>44137</v>
      </c>
      <c r="Y9" s="27">
        <v>3.61E-2</v>
      </c>
      <c r="Z9" s="28">
        <v>43398</v>
      </c>
      <c r="AA9" s="28">
        <v>44377</v>
      </c>
      <c r="AB9" s="29" t="str">
        <f t="shared" ref="AB9:AB33" si="15">CONCATENATE("(AA",A9,"-Z",A9,")")</f>
        <v>(AA9-Z9)</v>
      </c>
      <c r="AC9" s="29" t="str">
        <f t="shared" ref="AC9:AC33" si="16">CONCATENATE("(1+Y",A9,")^(AB",A9,"/360)-1")</f>
        <v>(1+Y9)^(AB9/360)-1</v>
      </c>
      <c r="AD9" s="50" t="str">
        <f t="shared" ref="AD9:AD33" si="17">CONCATENATE("(AC",A9,"*V",A9,")")</f>
        <v>(AC9*V9)</v>
      </c>
      <c r="AE9" s="29" t="str">
        <f t="shared" ref="AE9:AE33" si="18">CONCATENATE("(V",A9,"+AD",A9,")")</f>
        <v>(V9+AD9)</v>
      </c>
    </row>
    <row r="10" spans="1:31" x14ac:dyDescent="0.3">
      <c r="A10" s="39">
        <f t="shared" ref="A10:A32" si="19">A9+1</f>
        <v>10</v>
      </c>
      <c r="B10" s="36">
        <v>43374</v>
      </c>
      <c r="C10" s="50" t="s">
        <v>290</v>
      </c>
      <c r="D10" s="10" t="str">
        <f t="shared" si="0"/>
        <v>SUMIF(SIGGE_E!B:B,Reliquidacion!B10,SIGGE_E!S:S)</v>
      </c>
      <c r="E10" s="10" t="str">
        <f t="shared" si="1"/>
        <v>SUMIF(SIGGE_E!B:B,Reliquidacion!B10,SIGGE_E!T:T)</v>
      </c>
      <c r="F10" s="11" t="str">
        <f t="shared" si="2"/>
        <v>IFERROR((E10/D10),0)</v>
      </c>
      <c r="G10" s="12" t="str">
        <f t="shared" si="3"/>
        <v>SUMIF(SIGGE_P!B:B,Reliquidacion!B10,SIGGE_P!U:U)</v>
      </c>
      <c r="H10" s="10" t="str">
        <f t="shared" si="4"/>
        <v>SUMIF(SIGGE_P!B:B,Reliquidacion!B10,SIGGE_P!V:V)</v>
      </c>
      <c r="I10" s="11" t="str">
        <f t="shared" si="5"/>
        <v>IFERROR((H10/G10),0)</v>
      </c>
      <c r="J10" s="10" t="str">
        <f t="shared" si="6"/>
        <v>(E10+H10)</v>
      </c>
      <c r="L10" s="37" t="str">
        <f>(MAPA_DATA!K35)</f>
        <v>EFACT_CNE</v>
      </c>
      <c r="M10" s="10" t="str">
        <f t="shared" si="7"/>
        <v>SUMIF(EFACT_CNE!B:B,Reliquidacion!B10,EFACT_CNE!S:S)</v>
      </c>
      <c r="N10" s="10" t="str">
        <f t="shared" si="8"/>
        <v>SUMIF(EFACT_CNE!B:B,Reliquidacion!B10,EFACT_CNE!T:T)</v>
      </c>
      <c r="O10" s="11" t="str">
        <f t="shared" si="9"/>
        <v>IFERROR((N10/M10),0)</v>
      </c>
      <c r="P10" s="12" t="str">
        <f t="shared" si="10"/>
        <v>SUMIF(EFACT_CNE!B:B,Reliquidacion!B10,EFACT_CNE!U:U)</v>
      </c>
      <c r="Q10" s="10" t="str">
        <f t="shared" si="11"/>
        <v>SUMIF(EFACT_CNE!B:B,Reliquidacion!B10,EFACT_CNE!V:V)</v>
      </c>
      <c r="R10" s="11" t="str">
        <f t="shared" si="12"/>
        <v>IFERROR((Q10/P10),0)</v>
      </c>
      <c r="S10" s="10" t="str">
        <f t="shared" si="13"/>
        <v>(N10+Q10)</v>
      </c>
      <c r="U10" s="49">
        <v>43374</v>
      </c>
      <c r="V10" s="25" t="str">
        <f t="shared" si="14"/>
        <v>(S10-J10)</v>
      </c>
      <c r="W10" s="50" t="s">
        <v>346</v>
      </c>
      <c r="X10" s="26">
        <v>44137</v>
      </c>
      <c r="Y10" s="27">
        <v>3.61E-2</v>
      </c>
      <c r="Z10" s="28">
        <v>43429</v>
      </c>
      <c r="AA10" s="28">
        <f t="shared" ref="AA10:AA33" si="20">AA9</f>
        <v>44377</v>
      </c>
      <c r="AB10" s="29" t="str">
        <f t="shared" si="15"/>
        <v>(AA10-Z10)</v>
      </c>
      <c r="AC10" s="29" t="str">
        <f t="shared" si="16"/>
        <v>(1+Y10)^(AB10/360)-1</v>
      </c>
      <c r="AD10" s="50" t="str">
        <f t="shared" si="17"/>
        <v>(AC10*V10)</v>
      </c>
      <c r="AE10" s="29" t="str">
        <f t="shared" si="18"/>
        <v>(V10+AD10)</v>
      </c>
    </row>
    <row r="11" spans="1:31" x14ac:dyDescent="0.3">
      <c r="A11" s="39">
        <f t="shared" si="19"/>
        <v>11</v>
      </c>
      <c r="B11" s="36">
        <v>43405</v>
      </c>
      <c r="C11" s="50" t="s">
        <v>290</v>
      </c>
      <c r="D11" s="10" t="str">
        <f t="shared" si="0"/>
        <v>SUMIF(SIGGE_E!B:B,Reliquidacion!B11,SIGGE_E!S:S)</v>
      </c>
      <c r="E11" s="10" t="str">
        <f t="shared" si="1"/>
        <v>SUMIF(SIGGE_E!B:B,Reliquidacion!B11,SIGGE_E!T:T)</v>
      </c>
      <c r="F11" s="11" t="str">
        <f t="shared" si="2"/>
        <v>IFERROR((E11/D11),0)</v>
      </c>
      <c r="G11" s="12" t="str">
        <f t="shared" si="3"/>
        <v>SUMIF(SIGGE_P!B:B,Reliquidacion!B11,SIGGE_P!U:U)</v>
      </c>
      <c r="H11" s="10" t="str">
        <f t="shared" si="4"/>
        <v>SUMIF(SIGGE_P!B:B,Reliquidacion!B11,SIGGE_P!V:V)</v>
      </c>
      <c r="I11" s="11" t="str">
        <f t="shared" si="5"/>
        <v>IFERROR((H11/G11),0)</v>
      </c>
      <c r="J11" s="10" t="str">
        <f t="shared" si="6"/>
        <v>(E11+H11)</v>
      </c>
      <c r="L11" s="37" t="str">
        <f>(MAPA_DATA!K36)</f>
        <v>EFACT_CNE</v>
      </c>
      <c r="M11" s="10" t="str">
        <f t="shared" si="7"/>
        <v>SUMIF(EFACT_CNE!B:B,Reliquidacion!B11,EFACT_CNE!S:S)</v>
      </c>
      <c r="N11" s="10" t="str">
        <f t="shared" si="8"/>
        <v>SUMIF(EFACT_CNE!B:B,Reliquidacion!B11,EFACT_CNE!T:T)</v>
      </c>
      <c r="O11" s="11" t="str">
        <f t="shared" si="9"/>
        <v>IFERROR((N11/M11),0)</v>
      </c>
      <c r="P11" s="12" t="str">
        <f t="shared" si="10"/>
        <v>SUMIF(EFACT_CNE!B:B,Reliquidacion!B11,EFACT_CNE!U:U)</v>
      </c>
      <c r="Q11" s="10" t="str">
        <f t="shared" si="11"/>
        <v>SUMIF(EFACT_CNE!B:B,Reliquidacion!B11,EFACT_CNE!V:V)</v>
      </c>
      <c r="R11" s="11" t="str">
        <f t="shared" si="12"/>
        <v>IFERROR((Q11/P11),0)</v>
      </c>
      <c r="S11" s="10" t="str">
        <f t="shared" si="13"/>
        <v>(N11+Q11)</v>
      </c>
      <c r="U11" s="49">
        <v>43405</v>
      </c>
      <c r="V11" s="25" t="str">
        <f t="shared" si="14"/>
        <v>(S11-J11)</v>
      </c>
      <c r="W11" s="50" t="s">
        <v>346</v>
      </c>
      <c r="X11" s="26">
        <v>44137</v>
      </c>
      <c r="Y11" s="27">
        <v>3.61E-2</v>
      </c>
      <c r="Z11" s="28">
        <v>43459</v>
      </c>
      <c r="AA11" s="28">
        <f t="shared" si="20"/>
        <v>44377</v>
      </c>
      <c r="AB11" s="29" t="str">
        <f t="shared" si="15"/>
        <v>(AA11-Z11)</v>
      </c>
      <c r="AC11" s="29" t="str">
        <f t="shared" si="16"/>
        <v>(1+Y11)^(AB11/360)-1</v>
      </c>
      <c r="AD11" s="50" t="str">
        <f t="shared" si="17"/>
        <v>(AC11*V11)</v>
      </c>
      <c r="AE11" s="29" t="str">
        <f t="shared" si="18"/>
        <v>(V11+AD11)</v>
      </c>
    </row>
    <row r="12" spans="1:31" x14ac:dyDescent="0.3">
      <c r="A12" s="39">
        <f t="shared" si="19"/>
        <v>12</v>
      </c>
      <c r="B12" s="36">
        <v>43435</v>
      </c>
      <c r="C12" s="50" t="s">
        <v>290</v>
      </c>
      <c r="D12" s="10" t="str">
        <f t="shared" si="0"/>
        <v>SUMIF(SIGGE_E!B:B,Reliquidacion!B12,SIGGE_E!S:S)</v>
      </c>
      <c r="E12" s="10" t="str">
        <f t="shared" si="1"/>
        <v>SUMIF(SIGGE_E!B:B,Reliquidacion!B12,SIGGE_E!T:T)</v>
      </c>
      <c r="F12" s="11" t="str">
        <f t="shared" si="2"/>
        <v>IFERROR((E12/D12),0)</v>
      </c>
      <c r="G12" s="12" t="str">
        <f t="shared" si="3"/>
        <v>SUMIF(SIGGE_P!B:B,Reliquidacion!B12,SIGGE_P!U:U)</v>
      </c>
      <c r="H12" s="10" t="str">
        <f t="shared" si="4"/>
        <v>SUMIF(SIGGE_P!B:B,Reliquidacion!B12,SIGGE_P!V:V)</v>
      </c>
      <c r="I12" s="11" t="str">
        <f t="shared" si="5"/>
        <v>IFERROR((H12/G12),0)</v>
      </c>
      <c r="J12" s="10" t="str">
        <f t="shared" si="6"/>
        <v>(E12+H12)</v>
      </c>
      <c r="L12" s="37" t="str">
        <f>(MAPA_DATA!K37)</f>
        <v>EFACT_CNE</v>
      </c>
      <c r="M12" s="10" t="str">
        <f t="shared" si="7"/>
        <v>SUMIF(EFACT_CNE!B:B,Reliquidacion!B12,EFACT_CNE!S:S)</v>
      </c>
      <c r="N12" s="10" t="str">
        <f t="shared" si="8"/>
        <v>SUMIF(EFACT_CNE!B:B,Reliquidacion!B12,EFACT_CNE!T:T)</v>
      </c>
      <c r="O12" s="11" t="str">
        <f t="shared" si="9"/>
        <v>IFERROR((N12/M12),0)</v>
      </c>
      <c r="P12" s="12" t="str">
        <f t="shared" si="10"/>
        <v>SUMIF(EFACT_CNE!B:B,Reliquidacion!B12,EFACT_CNE!U:U)</v>
      </c>
      <c r="Q12" s="10" t="str">
        <f t="shared" si="11"/>
        <v>SUMIF(EFACT_CNE!B:B,Reliquidacion!B12,EFACT_CNE!V:V)</v>
      </c>
      <c r="R12" s="11" t="str">
        <f t="shared" si="12"/>
        <v>IFERROR((Q12/P12),0)</v>
      </c>
      <c r="S12" s="10" t="str">
        <f t="shared" si="13"/>
        <v>(N12+Q12)</v>
      </c>
      <c r="U12" s="49">
        <v>43435</v>
      </c>
      <c r="V12" s="25" t="str">
        <f t="shared" si="14"/>
        <v>(S12-J12)</v>
      </c>
      <c r="W12" s="50" t="s">
        <v>346</v>
      </c>
      <c r="X12" s="26">
        <v>44137</v>
      </c>
      <c r="Y12" s="27">
        <v>3.61E-2</v>
      </c>
      <c r="Z12" s="28">
        <v>43490</v>
      </c>
      <c r="AA12" s="28">
        <f t="shared" si="20"/>
        <v>44377</v>
      </c>
      <c r="AB12" s="29" t="str">
        <f t="shared" si="15"/>
        <v>(AA12-Z12)</v>
      </c>
      <c r="AC12" s="29" t="str">
        <f t="shared" si="16"/>
        <v>(1+Y12)^(AB12/360)-1</v>
      </c>
      <c r="AD12" s="50" t="str">
        <f t="shared" si="17"/>
        <v>(AC12*V12)</v>
      </c>
      <c r="AE12" s="29" t="str">
        <f t="shared" si="18"/>
        <v>(V12+AD12)</v>
      </c>
    </row>
    <row r="13" spans="1:31" x14ac:dyDescent="0.3">
      <c r="A13" s="39">
        <f t="shared" si="19"/>
        <v>13</v>
      </c>
      <c r="B13" s="36">
        <v>43466</v>
      </c>
      <c r="C13" s="50" t="s">
        <v>290</v>
      </c>
      <c r="D13" s="10" t="str">
        <f t="shared" si="0"/>
        <v>SUMIF(SIGGE_E!B:B,Reliquidacion!B13,SIGGE_E!S:S)</v>
      </c>
      <c r="E13" s="10" t="str">
        <f t="shared" si="1"/>
        <v>SUMIF(SIGGE_E!B:B,Reliquidacion!B13,SIGGE_E!T:T)</v>
      </c>
      <c r="F13" s="11" t="str">
        <f t="shared" si="2"/>
        <v>IFERROR((E13/D13),0)</v>
      </c>
      <c r="G13" s="12" t="str">
        <f t="shared" si="3"/>
        <v>SUMIF(SIGGE_P!B:B,Reliquidacion!B13,SIGGE_P!U:U)</v>
      </c>
      <c r="H13" s="10" t="str">
        <f t="shared" si="4"/>
        <v>SUMIF(SIGGE_P!B:B,Reliquidacion!B13,SIGGE_P!V:V)</v>
      </c>
      <c r="I13" s="11" t="str">
        <f t="shared" si="5"/>
        <v>IFERROR((H13/G13),0)</v>
      </c>
      <c r="J13" s="10" t="str">
        <f t="shared" si="6"/>
        <v>(E13+H13)</v>
      </c>
      <c r="L13" s="37" t="str">
        <f>(MAPA_DATA!K38)</f>
        <v>EFACT_CNE</v>
      </c>
      <c r="M13" s="10" t="str">
        <f t="shared" si="7"/>
        <v>SUMIF(EFACT_CNE!B:B,Reliquidacion!B13,EFACT_CNE!S:S)</v>
      </c>
      <c r="N13" s="10" t="str">
        <f t="shared" si="8"/>
        <v>SUMIF(EFACT_CNE!B:B,Reliquidacion!B13,EFACT_CNE!T:T)</v>
      </c>
      <c r="O13" s="11" t="str">
        <f t="shared" si="9"/>
        <v>IFERROR((N13/M13),0)</v>
      </c>
      <c r="P13" s="12" t="str">
        <f t="shared" si="10"/>
        <v>SUMIF(EFACT_CNE!B:B,Reliquidacion!B13,EFACT_CNE!U:U)</v>
      </c>
      <c r="Q13" s="10" t="str">
        <f t="shared" si="11"/>
        <v>SUMIF(EFACT_CNE!B:B,Reliquidacion!B13,EFACT_CNE!V:V)</v>
      </c>
      <c r="R13" s="11" t="str">
        <f t="shared" si="12"/>
        <v>IFERROR((Q13/P13),0)</v>
      </c>
      <c r="S13" s="10" t="str">
        <f t="shared" si="13"/>
        <v>(N13+Q13)</v>
      </c>
      <c r="U13" s="49">
        <v>43466</v>
      </c>
      <c r="V13" s="25" t="str">
        <f t="shared" si="14"/>
        <v>(S13-J13)</v>
      </c>
      <c r="W13" s="50" t="s">
        <v>346</v>
      </c>
      <c r="X13" s="26">
        <v>44137</v>
      </c>
      <c r="Y13" s="27">
        <v>3.61E-2</v>
      </c>
      <c r="Z13" s="28">
        <v>43521</v>
      </c>
      <c r="AA13" s="28">
        <f t="shared" si="20"/>
        <v>44377</v>
      </c>
      <c r="AB13" s="29" t="str">
        <f t="shared" si="15"/>
        <v>(AA13-Z13)</v>
      </c>
      <c r="AC13" s="29" t="str">
        <f t="shared" si="16"/>
        <v>(1+Y13)^(AB13/360)-1</v>
      </c>
      <c r="AD13" s="50" t="str">
        <f t="shared" si="17"/>
        <v>(AC13*V13)</v>
      </c>
      <c r="AE13" s="29" t="str">
        <f t="shared" si="18"/>
        <v>(V13+AD13)</v>
      </c>
    </row>
    <row r="14" spans="1:31" x14ac:dyDescent="0.3">
      <c r="A14" s="39">
        <f t="shared" si="19"/>
        <v>14</v>
      </c>
      <c r="B14" s="36">
        <v>43497</v>
      </c>
      <c r="C14" s="50" t="s">
        <v>290</v>
      </c>
      <c r="D14" s="10" t="str">
        <f t="shared" si="0"/>
        <v>SUMIF(SIGGE_E!B:B,Reliquidacion!B14,SIGGE_E!S:S)</v>
      </c>
      <c r="E14" s="10" t="str">
        <f t="shared" si="1"/>
        <v>SUMIF(SIGGE_E!B:B,Reliquidacion!B14,SIGGE_E!T:T)</v>
      </c>
      <c r="F14" s="11" t="str">
        <f t="shared" si="2"/>
        <v>IFERROR((E14/D14),0)</v>
      </c>
      <c r="G14" s="12" t="str">
        <f t="shared" si="3"/>
        <v>SUMIF(SIGGE_P!B:B,Reliquidacion!B14,SIGGE_P!U:U)</v>
      </c>
      <c r="H14" s="10" t="str">
        <f t="shared" si="4"/>
        <v>SUMIF(SIGGE_P!B:B,Reliquidacion!B14,SIGGE_P!V:V)</v>
      </c>
      <c r="I14" s="11" t="str">
        <f t="shared" si="5"/>
        <v>IFERROR((H14/G14),0)</v>
      </c>
      <c r="J14" s="10" t="str">
        <f t="shared" si="6"/>
        <v>(E14+H14)</v>
      </c>
      <c r="L14" s="37" t="str">
        <f>(MAPA_DATA!K39)</f>
        <v>EFACT_CNE</v>
      </c>
      <c r="M14" s="10" t="str">
        <f t="shared" si="7"/>
        <v>SUMIF(EFACT_CNE!B:B,Reliquidacion!B14,EFACT_CNE!S:S)</v>
      </c>
      <c r="N14" s="10" t="str">
        <f t="shared" si="8"/>
        <v>SUMIF(EFACT_CNE!B:B,Reliquidacion!B14,EFACT_CNE!T:T)</v>
      </c>
      <c r="O14" s="11" t="str">
        <f t="shared" si="9"/>
        <v>IFERROR((N14/M14),0)</v>
      </c>
      <c r="P14" s="12" t="str">
        <f t="shared" si="10"/>
        <v>SUMIF(EFACT_CNE!B:B,Reliquidacion!B14,EFACT_CNE!U:U)</v>
      </c>
      <c r="Q14" s="10" t="str">
        <f t="shared" si="11"/>
        <v>SUMIF(EFACT_CNE!B:B,Reliquidacion!B14,EFACT_CNE!V:V)</v>
      </c>
      <c r="R14" s="11" t="str">
        <f t="shared" si="12"/>
        <v>IFERROR((Q14/P14),0)</v>
      </c>
      <c r="S14" s="10" t="str">
        <f t="shared" si="13"/>
        <v>(N14+Q14)</v>
      </c>
      <c r="U14" s="49">
        <v>43497</v>
      </c>
      <c r="V14" s="25" t="str">
        <f t="shared" si="14"/>
        <v>(S14-J14)</v>
      </c>
      <c r="W14" s="50" t="s">
        <v>346</v>
      </c>
      <c r="X14" s="26">
        <v>44137</v>
      </c>
      <c r="Y14" s="27">
        <v>3.61E-2</v>
      </c>
      <c r="Z14" s="28">
        <v>43549</v>
      </c>
      <c r="AA14" s="28">
        <f t="shared" si="20"/>
        <v>44377</v>
      </c>
      <c r="AB14" s="29" t="str">
        <f t="shared" si="15"/>
        <v>(AA14-Z14)</v>
      </c>
      <c r="AC14" s="29" t="str">
        <f t="shared" si="16"/>
        <v>(1+Y14)^(AB14/360)-1</v>
      </c>
      <c r="AD14" s="50" t="str">
        <f t="shared" si="17"/>
        <v>(AC14*V14)</v>
      </c>
      <c r="AE14" s="29" t="str">
        <f t="shared" si="18"/>
        <v>(V14+AD14)</v>
      </c>
    </row>
    <row r="15" spans="1:31" x14ac:dyDescent="0.3">
      <c r="A15" s="39">
        <f t="shared" si="19"/>
        <v>15</v>
      </c>
      <c r="B15" s="36">
        <v>43525</v>
      </c>
      <c r="C15" s="50" t="s">
        <v>290</v>
      </c>
      <c r="D15" s="10" t="str">
        <f t="shared" si="0"/>
        <v>SUMIF(SIGGE_E!B:B,Reliquidacion!B15,SIGGE_E!S:S)</v>
      </c>
      <c r="E15" s="10" t="str">
        <f t="shared" si="1"/>
        <v>SUMIF(SIGGE_E!B:B,Reliquidacion!B15,SIGGE_E!T:T)</v>
      </c>
      <c r="F15" s="11" t="str">
        <f t="shared" si="2"/>
        <v>IFERROR((E15/D15),0)</v>
      </c>
      <c r="G15" s="12" t="str">
        <f t="shared" si="3"/>
        <v>SUMIF(SIGGE_P!B:B,Reliquidacion!B15,SIGGE_P!U:U)</v>
      </c>
      <c r="H15" s="10" t="str">
        <f t="shared" si="4"/>
        <v>SUMIF(SIGGE_P!B:B,Reliquidacion!B15,SIGGE_P!V:V)</v>
      </c>
      <c r="I15" s="11" t="str">
        <f t="shared" si="5"/>
        <v>IFERROR((H15/G15),0)</v>
      </c>
      <c r="J15" s="10" t="str">
        <f t="shared" si="6"/>
        <v>(E15+H15)</v>
      </c>
      <c r="L15" s="37" t="str">
        <f>(MAPA_DATA!K40)</f>
        <v>EFACT_CNE</v>
      </c>
      <c r="M15" s="10" t="str">
        <f t="shared" si="7"/>
        <v>SUMIF(EFACT_CNE!B:B,Reliquidacion!B15,EFACT_CNE!S:S)</v>
      </c>
      <c r="N15" s="10" t="str">
        <f t="shared" si="8"/>
        <v>SUMIF(EFACT_CNE!B:B,Reliquidacion!B15,EFACT_CNE!T:T)</v>
      </c>
      <c r="O15" s="11" t="str">
        <f t="shared" si="9"/>
        <v>IFERROR((N15/M15),0)</v>
      </c>
      <c r="P15" s="12" t="str">
        <f t="shared" si="10"/>
        <v>SUMIF(EFACT_CNE!B:B,Reliquidacion!B15,EFACT_CNE!U:U)</v>
      </c>
      <c r="Q15" s="10" t="str">
        <f t="shared" si="11"/>
        <v>SUMIF(EFACT_CNE!B:B,Reliquidacion!B15,EFACT_CNE!V:V)</v>
      </c>
      <c r="R15" s="11" t="str">
        <f t="shared" si="12"/>
        <v>IFERROR((Q15/P15),0)</v>
      </c>
      <c r="S15" s="10" t="str">
        <f t="shared" si="13"/>
        <v>(N15+Q15)</v>
      </c>
      <c r="U15" s="49">
        <v>43525</v>
      </c>
      <c r="V15" s="25" t="str">
        <f t="shared" si="14"/>
        <v>(S15-J15)</v>
      </c>
      <c r="W15" s="50" t="s">
        <v>346</v>
      </c>
      <c r="X15" s="26">
        <v>44137</v>
      </c>
      <c r="Y15" s="27">
        <v>3.61E-2</v>
      </c>
      <c r="Z15" s="28">
        <v>43580</v>
      </c>
      <c r="AA15" s="28">
        <f t="shared" si="20"/>
        <v>44377</v>
      </c>
      <c r="AB15" s="29" t="str">
        <f t="shared" si="15"/>
        <v>(AA15-Z15)</v>
      </c>
      <c r="AC15" s="29" t="str">
        <f t="shared" si="16"/>
        <v>(1+Y15)^(AB15/360)-1</v>
      </c>
      <c r="AD15" s="50" t="str">
        <f t="shared" si="17"/>
        <v>(AC15*V15)</v>
      </c>
      <c r="AE15" s="29" t="str">
        <f t="shared" si="18"/>
        <v>(V15+AD15)</v>
      </c>
    </row>
    <row r="16" spans="1:31" x14ac:dyDescent="0.3">
      <c r="A16" s="39">
        <f t="shared" si="19"/>
        <v>16</v>
      </c>
      <c r="B16" s="36">
        <v>43556</v>
      </c>
      <c r="C16" s="50" t="s">
        <v>290</v>
      </c>
      <c r="D16" s="10" t="str">
        <f t="shared" si="0"/>
        <v>SUMIF(SIGGE_E!B:B,Reliquidacion!B16,SIGGE_E!S:S)</v>
      </c>
      <c r="E16" s="10" t="str">
        <f t="shared" si="1"/>
        <v>SUMIF(SIGGE_E!B:B,Reliquidacion!B16,SIGGE_E!T:T)</v>
      </c>
      <c r="F16" s="11" t="str">
        <f t="shared" si="2"/>
        <v>IFERROR((E16/D16),0)</v>
      </c>
      <c r="G16" s="12" t="str">
        <f t="shared" si="3"/>
        <v>SUMIF(SIGGE_P!B:B,Reliquidacion!B16,SIGGE_P!U:U)</v>
      </c>
      <c r="H16" s="10" t="str">
        <f t="shared" si="4"/>
        <v>SUMIF(SIGGE_P!B:B,Reliquidacion!B16,SIGGE_P!V:V)</v>
      </c>
      <c r="I16" s="11" t="str">
        <f t="shared" si="5"/>
        <v>IFERROR((H16/G16),0)</v>
      </c>
      <c r="J16" s="10" t="str">
        <f t="shared" si="6"/>
        <v>(E16+H16)</v>
      </c>
      <c r="L16" s="37" t="str">
        <f>(MAPA_DATA!K41)</f>
        <v>EFACT_CNE</v>
      </c>
      <c r="M16" s="10" t="str">
        <f t="shared" si="7"/>
        <v>SUMIF(EFACT_CNE!B:B,Reliquidacion!B16,EFACT_CNE!S:S)</v>
      </c>
      <c r="N16" s="10" t="str">
        <f t="shared" si="8"/>
        <v>SUMIF(EFACT_CNE!B:B,Reliquidacion!B16,EFACT_CNE!T:T)</v>
      </c>
      <c r="O16" s="11" t="str">
        <f t="shared" si="9"/>
        <v>IFERROR((N16/M16),0)</v>
      </c>
      <c r="P16" s="12" t="str">
        <f t="shared" si="10"/>
        <v>SUMIF(EFACT_CNE!B:B,Reliquidacion!B16,EFACT_CNE!U:U)</v>
      </c>
      <c r="Q16" s="10" t="str">
        <f t="shared" si="11"/>
        <v>SUMIF(EFACT_CNE!B:B,Reliquidacion!B16,EFACT_CNE!V:V)</v>
      </c>
      <c r="R16" s="11" t="str">
        <f t="shared" si="12"/>
        <v>IFERROR((Q16/P16),0)</v>
      </c>
      <c r="S16" s="10" t="str">
        <f t="shared" si="13"/>
        <v>(N16+Q16)</v>
      </c>
      <c r="U16" s="49">
        <v>43556</v>
      </c>
      <c r="V16" s="25" t="str">
        <f t="shared" si="14"/>
        <v>(S16-J16)</v>
      </c>
      <c r="W16" s="50" t="s">
        <v>346</v>
      </c>
      <c r="X16" s="26">
        <v>44137</v>
      </c>
      <c r="Y16" s="27">
        <v>3.61E-2</v>
      </c>
      <c r="Z16" s="28">
        <v>43610</v>
      </c>
      <c r="AA16" s="28">
        <f t="shared" si="20"/>
        <v>44377</v>
      </c>
      <c r="AB16" s="29" t="str">
        <f t="shared" si="15"/>
        <v>(AA16-Z16)</v>
      </c>
      <c r="AC16" s="29" t="str">
        <f t="shared" si="16"/>
        <v>(1+Y16)^(AB16/360)-1</v>
      </c>
      <c r="AD16" s="50" t="str">
        <f t="shared" si="17"/>
        <v>(AC16*V16)</v>
      </c>
      <c r="AE16" s="29" t="str">
        <f t="shared" si="18"/>
        <v>(V16+AD16)</v>
      </c>
    </row>
    <row r="17" spans="1:31" x14ac:dyDescent="0.3">
      <c r="A17" s="39">
        <f t="shared" si="19"/>
        <v>17</v>
      </c>
      <c r="B17" s="36">
        <v>43586</v>
      </c>
      <c r="C17" s="50" t="s">
        <v>290</v>
      </c>
      <c r="D17" s="10" t="str">
        <f t="shared" si="0"/>
        <v>SUMIF(SIGGE_E!B:B,Reliquidacion!B17,SIGGE_E!S:S)</v>
      </c>
      <c r="E17" s="10" t="str">
        <f t="shared" si="1"/>
        <v>SUMIF(SIGGE_E!B:B,Reliquidacion!B17,SIGGE_E!T:T)</v>
      </c>
      <c r="F17" s="11" t="str">
        <f t="shared" si="2"/>
        <v>IFERROR((E17/D17),0)</v>
      </c>
      <c r="G17" s="12" t="str">
        <f t="shared" si="3"/>
        <v>SUMIF(SIGGE_P!B:B,Reliquidacion!B17,SIGGE_P!U:U)</v>
      </c>
      <c r="H17" s="10" t="str">
        <f t="shared" si="4"/>
        <v>SUMIF(SIGGE_P!B:B,Reliquidacion!B17,SIGGE_P!V:V)</v>
      </c>
      <c r="I17" s="11" t="str">
        <f t="shared" si="5"/>
        <v>IFERROR((H17/G17),0)</v>
      </c>
      <c r="J17" s="10" t="str">
        <f t="shared" si="6"/>
        <v>(E17+H17)</v>
      </c>
      <c r="L17" s="37" t="str">
        <f>(MAPA_DATA!K42)</f>
        <v>EFACT_CNE</v>
      </c>
      <c r="M17" s="10" t="str">
        <f t="shared" si="7"/>
        <v>SUMIF(EFACT_CNE!B:B,Reliquidacion!B17,EFACT_CNE!S:S)</v>
      </c>
      <c r="N17" s="10" t="str">
        <f t="shared" si="8"/>
        <v>SUMIF(EFACT_CNE!B:B,Reliquidacion!B17,EFACT_CNE!T:T)</v>
      </c>
      <c r="O17" s="11" t="str">
        <f t="shared" si="9"/>
        <v>IFERROR((N17/M17),0)</v>
      </c>
      <c r="P17" s="12" t="str">
        <f t="shared" si="10"/>
        <v>SUMIF(EFACT_CNE!B:B,Reliquidacion!B17,EFACT_CNE!U:U)</v>
      </c>
      <c r="Q17" s="10" t="str">
        <f t="shared" si="11"/>
        <v>SUMIF(EFACT_CNE!B:B,Reliquidacion!B17,EFACT_CNE!V:V)</v>
      </c>
      <c r="R17" s="11" t="str">
        <f t="shared" si="12"/>
        <v>IFERROR((Q17/P17),0)</v>
      </c>
      <c r="S17" s="10" t="str">
        <f t="shared" si="13"/>
        <v>(N17+Q17)</v>
      </c>
      <c r="U17" s="49">
        <v>43586</v>
      </c>
      <c r="V17" s="25" t="str">
        <f t="shared" si="14"/>
        <v>(S17-J17)</v>
      </c>
      <c r="W17" s="50" t="s">
        <v>346</v>
      </c>
      <c r="X17" s="26">
        <v>44137</v>
      </c>
      <c r="Y17" s="27">
        <v>3.61E-2</v>
      </c>
      <c r="Z17" s="28">
        <v>43641</v>
      </c>
      <c r="AA17" s="28">
        <f t="shared" si="20"/>
        <v>44377</v>
      </c>
      <c r="AB17" s="29" t="str">
        <f t="shared" si="15"/>
        <v>(AA17-Z17)</v>
      </c>
      <c r="AC17" s="29" t="str">
        <f t="shared" si="16"/>
        <v>(1+Y17)^(AB17/360)-1</v>
      </c>
      <c r="AD17" s="50" t="str">
        <f t="shared" si="17"/>
        <v>(AC17*V17)</v>
      </c>
      <c r="AE17" s="29" t="str">
        <f t="shared" si="18"/>
        <v>(V17+AD17)</v>
      </c>
    </row>
    <row r="18" spans="1:31" x14ac:dyDescent="0.3">
      <c r="A18" s="39">
        <f t="shared" si="19"/>
        <v>18</v>
      </c>
      <c r="B18" s="36">
        <v>43617</v>
      </c>
      <c r="C18" s="50" t="s">
        <v>290</v>
      </c>
      <c r="D18" s="10" t="str">
        <f t="shared" si="0"/>
        <v>SUMIF(SIGGE_E!B:B,Reliquidacion!B18,SIGGE_E!S:S)</v>
      </c>
      <c r="E18" s="10" t="str">
        <f t="shared" si="1"/>
        <v>SUMIF(SIGGE_E!B:B,Reliquidacion!B18,SIGGE_E!T:T)</v>
      </c>
      <c r="F18" s="11" t="str">
        <f t="shared" si="2"/>
        <v>IFERROR((E18/D18),0)</v>
      </c>
      <c r="G18" s="12" t="str">
        <f t="shared" si="3"/>
        <v>SUMIF(SIGGE_P!B:B,Reliquidacion!B18,SIGGE_P!U:U)</v>
      </c>
      <c r="H18" s="10" t="str">
        <f t="shared" si="4"/>
        <v>SUMIF(SIGGE_P!B:B,Reliquidacion!B18,SIGGE_P!V:V)</v>
      </c>
      <c r="I18" s="11" t="str">
        <f t="shared" si="5"/>
        <v>IFERROR((H18/G18),0)</v>
      </c>
      <c r="J18" s="10" t="str">
        <f t="shared" si="6"/>
        <v>(E18+H18)</v>
      </c>
      <c r="L18" s="37" t="str">
        <f>(MAPA_DATA!K43)</f>
        <v>EFACT_CNE</v>
      </c>
      <c r="M18" s="10" t="str">
        <f t="shared" si="7"/>
        <v>SUMIF(EFACT_CNE!B:B,Reliquidacion!B18,EFACT_CNE!S:S)</v>
      </c>
      <c r="N18" s="10" t="str">
        <f t="shared" si="8"/>
        <v>SUMIF(EFACT_CNE!B:B,Reliquidacion!B18,EFACT_CNE!T:T)</v>
      </c>
      <c r="O18" s="11" t="str">
        <f t="shared" si="9"/>
        <v>IFERROR((N18/M18),0)</v>
      </c>
      <c r="P18" s="12" t="str">
        <f t="shared" si="10"/>
        <v>SUMIF(EFACT_CNE!B:B,Reliquidacion!B18,EFACT_CNE!U:U)</v>
      </c>
      <c r="Q18" s="10" t="str">
        <f t="shared" si="11"/>
        <v>SUMIF(EFACT_CNE!B:B,Reliquidacion!B18,EFACT_CNE!V:V)</v>
      </c>
      <c r="R18" s="11" t="str">
        <f t="shared" si="12"/>
        <v>IFERROR((Q18/P18),0)</v>
      </c>
      <c r="S18" s="10" t="str">
        <f t="shared" si="13"/>
        <v>(N18+Q18)</v>
      </c>
      <c r="U18" s="49">
        <v>43617</v>
      </c>
      <c r="V18" s="25" t="str">
        <f t="shared" si="14"/>
        <v>(S18-J18)</v>
      </c>
      <c r="W18" s="50" t="s">
        <v>346</v>
      </c>
      <c r="X18" s="26">
        <v>44137</v>
      </c>
      <c r="Y18" s="27">
        <v>3.61E-2</v>
      </c>
      <c r="Z18" s="28">
        <v>43671</v>
      </c>
      <c r="AA18" s="28">
        <f t="shared" si="20"/>
        <v>44377</v>
      </c>
      <c r="AB18" s="29" t="str">
        <f t="shared" si="15"/>
        <v>(AA18-Z18)</v>
      </c>
      <c r="AC18" s="29" t="str">
        <f t="shared" si="16"/>
        <v>(1+Y18)^(AB18/360)-1</v>
      </c>
      <c r="AD18" s="50" t="str">
        <f t="shared" si="17"/>
        <v>(AC18*V18)</v>
      </c>
      <c r="AE18" s="29" t="str">
        <f t="shared" si="18"/>
        <v>(V18+AD18)</v>
      </c>
    </row>
    <row r="19" spans="1:31" x14ac:dyDescent="0.3">
      <c r="A19" s="39">
        <f t="shared" si="19"/>
        <v>19</v>
      </c>
      <c r="B19" s="36">
        <v>43647</v>
      </c>
      <c r="C19" s="50" t="s">
        <v>290</v>
      </c>
      <c r="D19" s="10" t="str">
        <f t="shared" si="0"/>
        <v>SUMIF(SIGGE_E!B:B,Reliquidacion!B19,SIGGE_E!S:S)</v>
      </c>
      <c r="E19" s="10" t="str">
        <f t="shared" si="1"/>
        <v>SUMIF(SIGGE_E!B:B,Reliquidacion!B19,SIGGE_E!T:T)</v>
      </c>
      <c r="F19" s="11" t="str">
        <f t="shared" si="2"/>
        <v>IFERROR((E19/D19),0)</v>
      </c>
      <c r="G19" s="12" t="str">
        <f t="shared" si="3"/>
        <v>SUMIF(SIGGE_P!B:B,Reliquidacion!B19,SIGGE_P!U:U)</v>
      </c>
      <c r="H19" s="10" t="str">
        <f t="shared" si="4"/>
        <v>SUMIF(SIGGE_P!B:B,Reliquidacion!B19,SIGGE_P!V:V)</v>
      </c>
      <c r="I19" s="11" t="str">
        <f t="shared" si="5"/>
        <v>IFERROR((H19/G19),0)</v>
      </c>
      <c r="J19" s="10" t="str">
        <f t="shared" si="6"/>
        <v>(E19+H19)</v>
      </c>
      <c r="L19" s="37" t="str">
        <f>(MAPA_DATA!K44)</f>
        <v>EFACT_CNE</v>
      </c>
      <c r="M19" s="10" t="str">
        <f t="shared" si="7"/>
        <v>SUMIF(EFACT_CNE!B:B,Reliquidacion!B19,EFACT_CNE!S:S)</v>
      </c>
      <c r="N19" s="10" t="str">
        <f t="shared" si="8"/>
        <v>SUMIF(EFACT_CNE!B:B,Reliquidacion!B19,EFACT_CNE!T:T)</v>
      </c>
      <c r="O19" s="11" t="str">
        <f t="shared" si="9"/>
        <v>IFERROR((N19/M19),0)</v>
      </c>
      <c r="P19" s="12" t="str">
        <f t="shared" si="10"/>
        <v>SUMIF(EFACT_CNE!B:B,Reliquidacion!B19,EFACT_CNE!U:U)</v>
      </c>
      <c r="Q19" s="10" t="str">
        <f t="shared" si="11"/>
        <v>SUMIF(EFACT_CNE!B:B,Reliquidacion!B19,EFACT_CNE!V:V)</v>
      </c>
      <c r="R19" s="11" t="str">
        <f t="shared" si="12"/>
        <v>IFERROR((Q19/P19),0)</v>
      </c>
      <c r="S19" s="10" t="str">
        <f t="shared" si="13"/>
        <v>(N19+Q19)</v>
      </c>
      <c r="U19" s="49">
        <v>43647</v>
      </c>
      <c r="V19" s="25" t="str">
        <f t="shared" si="14"/>
        <v>(S19-J19)</v>
      </c>
      <c r="W19" s="50" t="s">
        <v>346</v>
      </c>
      <c r="X19" s="26">
        <v>44137</v>
      </c>
      <c r="Y19" s="27">
        <v>3.61E-2</v>
      </c>
      <c r="Z19" s="28">
        <v>43702</v>
      </c>
      <c r="AA19" s="28">
        <f t="shared" si="20"/>
        <v>44377</v>
      </c>
      <c r="AB19" s="29" t="str">
        <f t="shared" si="15"/>
        <v>(AA19-Z19)</v>
      </c>
      <c r="AC19" s="29" t="str">
        <f t="shared" si="16"/>
        <v>(1+Y19)^(AB19/360)-1</v>
      </c>
      <c r="AD19" s="50" t="str">
        <f t="shared" si="17"/>
        <v>(AC19*V19)</v>
      </c>
      <c r="AE19" s="29" t="str">
        <f t="shared" si="18"/>
        <v>(V19+AD19)</v>
      </c>
    </row>
    <row r="20" spans="1:31" x14ac:dyDescent="0.3">
      <c r="A20" s="39">
        <f t="shared" si="19"/>
        <v>20</v>
      </c>
      <c r="B20" s="36">
        <v>43678</v>
      </c>
      <c r="C20" s="50" t="s">
        <v>290</v>
      </c>
      <c r="D20" s="10" t="str">
        <f t="shared" si="0"/>
        <v>SUMIF(SIGGE_E!B:B,Reliquidacion!B20,SIGGE_E!S:S)</v>
      </c>
      <c r="E20" s="10" t="str">
        <f t="shared" si="1"/>
        <v>SUMIF(SIGGE_E!B:B,Reliquidacion!B20,SIGGE_E!T:T)</v>
      </c>
      <c r="F20" s="11" t="str">
        <f t="shared" si="2"/>
        <v>IFERROR((E20/D20),0)</v>
      </c>
      <c r="G20" s="12" t="str">
        <f t="shared" si="3"/>
        <v>SUMIF(SIGGE_P!B:B,Reliquidacion!B20,SIGGE_P!U:U)</v>
      </c>
      <c r="H20" s="10" t="str">
        <f t="shared" si="4"/>
        <v>SUMIF(SIGGE_P!B:B,Reliquidacion!B20,SIGGE_P!V:V)</v>
      </c>
      <c r="I20" s="11" t="str">
        <f t="shared" si="5"/>
        <v>IFERROR((H20/G20),0)</v>
      </c>
      <c r="J20" s="10" t="str">
        <f t="shared" si="6"/>
        <v>(E20+H20)</v>
      </c>
      <c r="L20" s="37" t="str">
        <f>(MAPA_DATA!K45)</f>
        <v>EFACT_CNE</v>
      </c>
      <c r="M20" s="10" t="str">
        <f t="shared" si="7"/>
        <v>SUMIF(EFACT_CNE!B:B,Reliquidacion!B20,EFACT_CNE!S:S)</v>
      </c>
      <c r="N20" s="10" t="str">
        <f t="shared" si="8"/>
        <v>SUMIF(EFACT_CNE!B:B,Reliquidacion!B20,EFACT_CNE!T:T)</v>
      </c>
      <c r="O20" s="11" t="str">
        <f t="shared" si="9"/>
        <v>IFERROR((N20/M20),0)</v>
      </c>
      <c r="P20" s="12" t="str">
        <f t="shared" si="10"/>
        <v>SUMIF(EFACT_CNE!B:B,Reliquidacion!B20,EFACT_CNE!U:U)</v>
      </c>
      <c r="Q20" s="10" t="str">
        <f t="shared" si="11"/>
        <v>SUMIF(EFACT_CNE!B:B,Reliquidacion!B20,EFACT_CNE!V:V)</v>
      </c>
      <c r="R20" s="11" t="str">
        <f t="shared" si="12"/>
        <v>IFERROR((Q20/P20),0)</v>
      </c>
      <c r="S20" s="10" t="str">
        <f t="shared" si="13"/>
        <v>(N20+Q20)</v>
      </c>
      <c r="U20" s="49">
        <v>43678</v>
      </c>
      <c r="V20" s="25" t="str">
        <f t="shared" si="14"/>
        <v>(S20-J20)</v>
      </c>
      <c r="W20" s="50" t="s">
        <v>346</v>
      </c>
      <c r="X20" s="26">
        <v>44137</v>
      </c>
      <c r="Y20" s="27">
        <v>3.61E-2</v>
      </c>
      <c r="Z20" s="28">
        <v>43733</v>
      </c>
      <c r="AA20" s="28">
        <f t="shared" si="20"/>
        <v>44377</v>
      </c>
      <c r="AB20" s="29" t="str">
        <f t="shared" si="15"/>
        <v>(AA20-Z20)</v>
      </c>
      <c r="AC20" s="29" t="str">
        <f t="shared" si="16"/>
        <v>(1+Y20)^(AB20/360)-1</v>
      </c>
      <c r="AD20" s="50" t="str">
        <f t="shared" si="17"/>
        <v>(AC20*V20)</v>
      </c>
      <c r="AE20" s="29" t="str">
        <f t="shared" si="18"/>
        <v>(V20+AD20)</v>
      </c>
    </row>
    <row r="21" spans="1:31" x14ac:dyDescent="0.3">
      <c r="A21" s="39">
        <f t="shared" si="19"/>
        <v>21</v>
      </c>
      <c r="B21" s="36">
        <v>43709</v>
      </c>
      <c r="C21" s="50" t="s">
        <v>290</v>
      </c>
      <c r="D21" s="10" t="str">
        <f t="shared" si="0"/>
        <v>SUMIF(SIGGE_E!B:B,Reliquidacion!B21,SIGGE_E!S:S)</v>
      </c>
      <c r="E21" s="10" t="str">
        <f t="shared" si="1"/>
        <v>SUMIF(SIGGE_E!B:B,Reliquidacion!B21,SIGGE_E!T:T)</v>
      </c>
      <c r="F21" s="11" t="str">
        <f t="shared" si="2"/>
        <v>IFERROR((E21/D21),0)</v>
      </c>
      <c r="G21" s="12" t="str">
        <f t="shared" si="3"/>
        <v>SUMIF(SIGGE_P!B:B,Reliquidacion!B21,SIGGE_P!U:U)</v>
      </c>
      <c r="H21" s="10" t="str">
        <f t="shared" si="4"/>
        <v>SUMIF(SIGGE_P!B:B,Reliquidacion!B21,SIGGE_P!V:V)</v>
      </c>
      <c r="I21" s="11" t="str">
        <f t="shared" si="5"/>
        <v>IFERROR((H21/G21),0)</v>
      </c>
      <c r="J21" s="10" t="str">
        <f t="shared" si="6"/>
        <v>(E21+H21)</v>
      </c>
      <c r="L21" s="37" t="str">
        <f>(MAPA_DATA!K46)</f>
        <v>EFACT_CNE</v>
      </c>
      <c r="M21" s="10" t="str">
        <f t="shared" si="7"/>
        <v>SUMIF(EFACT_CNE!B:B,Reliquidacion!B21,EFACT_CNE!S:S)</v>
      </c>
      <c r="N21" s="10" t="str">
        <f t="shared" si="8"/>
        <v>SUMIF(EFACT_CNE!B:B,Reliquidacion!B21,EFACT_CNE!T:T)</v>
      </c>
      <c r="O21" s="11" t="str">
        <f t="shared" si="9"/>
        <v>IFERROR((N21/M21),0)</v>
      </c>
      <c r="P21" s="12" t="str">
        <f t="shared" si="10"/>
        <v>SUMIF(EFACT_CNE!B:B,Reliquidacion!B21,EFACT_CNE!U:U)</v>
      </c>
      <c r="Q21" s="10" t="str">
        <f t="shared" si="11"/>
        <v>SUMIF(EFACT_CNE!B:B,Reliquidacion!B21,EFACT_CNE!V:V)</v>
      </c>
      <c r="R21" s="11" t="str">
        <f t="shared" si="12"/>
        <v>IFERROR((Q21/P21),0)</v>
      </c>
      <c r="S21" s="10" t="str">
        <f t="shared" si="13"/>
        <v>(N21+Q21)</v>
      </c>
      <c r="U21" s="49">
        <v>43709</v>
      </c>
      <c r="V21" s="25" t="str">
        <f t="shared" si="14"/>
        <v>(S21-J21)</v>
      </c>
      <c r="W21" s="50" t="s">
        <v>346</v>
      </c>
      <c r="X21" s="26">
        <v>44137</v>
      </c>
      <c r="Y21" s="27">
        <v>3.61E-2</v>
      </c>
      <c r="Z21" s="28">
        <v>43763</v>
      </c>
      <c r="AA21" s="28">
        <f t="shared" si="20"/>
        <v>44377</v>
      </c>
      <c r="AB21" s="29" t="str">
        <f t="shared" si="15"/>
        <v>(AA21-Z21)</v>
      </c>
      <c r="AC21" s="29" t="str">
        <f t="shared" si="16"/>
        <v>(1+Y21)^(AB21/360)-1</v>
      </c>
      <c r="AD21" s="50" t="str">
        <f t="shared" si="17"/>
        <v>(AC21*V21)</v>
      </c>
      <c r="AE21" s="29" t="str">
        <f t="shared" si="18"/>
        <v>(V21+AD21)</v>
      </c>
    </row>
    <row r="22" spans="1:31" x14ac:dyDescent="0.3">
      <c r="A22" s="39">
        <f t="shared" si="19"/>
        <v>22</v>
      </c>
      <c r="B22" s="36">
        <v>43739</v>
      </c>
      <c r="C22" s="50" t="s">
        <v>290</v>
      </c>
      <c r="D22" s="10" t="str">
        <f t="shared" si="0"/>
        <v>SUMIF(SIGGE_E!B:B,Reliquidacion!B22,SIGGE_E!S:S)</v>
      </c>
      <c r="E22" s="10" t="str">
        <f t="shared" si="1"/>
        <v>SUMIF(SIGGE_E!B:B,Reliquidacion!B22,SIGGE_E!T:T)</v>
      </c>
      <c r="F22" s="11" t="str">
        <f t="shared" si="2"/>
        <v>IFERROR((E22/D22),0)</v>
      </c>
      <c r="G22" s="12" t="str">
        <f t="shared" si="3"/>
        <v>SUMIF(SIGGE_P!B:B,Reliquidacion!B22,SIGGE_P!U:U)</v>
      </c>
      <c r="H22" s="10" t="str">
        <f t="shared" si="4"/>
        <v>SUMIF(SIGGE_P!B:B,Reliquidacion!B22,SIGGE_P!V:V)</v>
      </c>
      <c r="I22" s="11" t="str">
        <f t="shared" si="5"/>
        <v>IFERROR((H22/G22),0)</v>
      </c>
      <c r="J22" s="10" t="str">
        <f t="shared" si="6"/>
        <v>(E22+H22)</v>
      </c>
      <c r="L22" s="37" t="str">
        <f>(MAPA_DATA!K47)</f>
        <v>EFACT_CNE</v>
      </c>
      <c r="M22" s="10" t="str">
        <f t="shared" si="7"/>
        <v>SUMIF(EFACT_CNE!B:B,Reliquidacion!B22,EFACT_CNE!S:S)</v>
      </c>
      <c r="N22" s="10" t="str">
        <f t="shared" si="8"/>
        <v>SUMIF(EFACT_CNE!B:B,Reliquidacion!B22,EFACT_CNE!T:T)</v>
      </c>
      <c r="O22" s="11" t="str">
        <f t="shared" si="9"/>
        <v>IFERROR((N22/M22),0)</v>
      </c>
      <c r="P22" s="12" t="str">
        <f t="shared" si="10"/>
        <v>SUMIF(EFACT_CNE!B:B,Reliquidacion!B22,EFACT_CNE!U:U)</v>
      </c>
      <c r="Q22" s="10" t="str">
        <f t="shared" si="11"/>
        <v>SUMIF(EFACT_CNE!B:B,Reliquidacion!B22,EFACT_CNE!V:V)</v>
      </c>
      <c r="R22" s="11" t="str">
        <f t="shared" si="12"/>
        <v>IFERROR((Q22/P22),0)</v>
      </c>
      <c r="S22" s="10" t="str">
        <f t="shared" si="13"/>
        <v>(N22+Q22)</v>
      </c>
      <c r="U22" s="49">
        <v>43739</v>
      </c>
      <c r="V22" s="25" t="str">
        <f t="shared" si="14"/>
        <v>(S22-J22)</v>
      </c>
      <c r="W22" s="50" t="s">
        <v>346</v>
      </c>
      <c r="X22" s="26">
        <v>44137</v>
      </c>
      <c r="Y22" s="27">
        <v>3.61E-2</v>
      </c>
      <c r="Z22" s="28">
        <v>43794</v>
      </c>
      <c r="AA22" s="28">
        <f t="shared" si="20"/>
        <v>44377</v>
      </c>
      <c r="AB22" s="29" t="str">
        <f t="shared" si="15"/>
        <v>(AA22-Z22)</v>
      </c>
      <c r="AC22" s="29" t="str">
        <f t="shared" si="16"/>
        <v>(1+Y22)^(AB22/360)-1</v>
      </c>
      <c r="AD22" s="50" t="str">
        <f t="shared" si="17"/>
        <v>(AC22*V22)</v>
      </c>
      <c r="AE22" s="29" t="str">
        <f t="shared" si="18"/>
        <v>(V22+AD22)</v>
      </c>
    </row>
    <row r="23" spans="1:31" x14ac:dyDescent="0.3">
      <c r="A23" s="39">
        <f t="shared" si="19"/>
        <v>23</v>
      </c>
      <c r="B23" s="36">
        <v>43770</v>
      </c>
      <c r="C23" s="50" t="s">
        <v>290</v>
      </c>
      <c r="D23" s="10" t="str">
        <f t="shared" si="0"/>
        <v>SUMIF(SIGGE_E!B:B,Reliquidacion!B23,SIGGE_E!S:S)</v>
      </c>
      <c r="E23" s="10" t="str">
        <f t="shared" si="1"/>
        <v>SUMIF(SIGGE_E!B:B,Reliquidacion!B23,SIGGE_E!T:T)</v>
      </c>
      <c r="F23" s="11" t="str">
        <f t="shared" si="2"/>
        <v>IFERROR((E23/D23),0)</v>
      </c>
      <c r="G23" s="12" t="str">
        <f t="shared" si="3"/>
        <v>SUMIF(SIGGE_P!B:B,Reliquidacion!B23,SIGGE_P!U:U)</v>
      </c>
      <c r="H23" s="10" t="str">
        <f t="shared" si="4"/>
        <v>SUMIF(SIGGE_P!B:B,Reliquidacion!B23,SIGGE_P!V:V)</v>
      </c>
      <c r="I23" s="11" t="str">
        <f t="shared" si="5"/>
        <v>IFERROR((H23/G23),0)</v>
      </c>
      <c r="J23" s="10" t="str">
        <f t="shared" si="6"/>
        <v>(E23+H23)</v>
      </c>
      <c r="L23" s="37" t="str">
        <f>(MAPA_DATA!K48)</f>
        <v>EFACT_CNE</v>
      </c>
      <c r="M23" s="10" t="str">
        <f t="shared" si="7"/>
        <v>SUMIF(EFACT_CNE!B:B,Reliquidacion!B23,EFACT_CNE!S:S)</v>
      </c>
      <c r="N23" s="10" t="str">
        <f t="shared" si="8"/>
        <v>SUMIF(EFACT_CNE!B:B,Reliquidacion!B23,EFACT_CNE!T:T)</v>
      </c>
      <c r="O23" s="11" t="str">
        <f t="shared" si="9"/>
        <v>IFERROR((N23/M23),0)</v>
      </c>
      <c r="P23" s="12" t="str">
        <f t="shared" si="10"/>
        <v>SUMIF(EFACT_CNE!B:B,Reliquidacion!B23,EFACT_CNE!U:U)</v>
      </c>
      <c r="Q23" s="10" t="str">
        <f t="shared" si="11"/>
        <v>SUMIF(EFACT_CNE!B:B,Reliquidacion!B23,EFACT_CNE!V:V)</v>
      </c>
      <c r="R23" s="11" t="str">
        <f t="shared" si="12"/>
        <v>IFERROR((Q23/P23),0)</v>
      </c>
      <c r="S23" s="10" t="str">
        <f t="shared" si="13"/>
        <v>(N23+Q23)</v>
      </c>
      <c r="U23" s="49">
        <v>43770</v>
      </c>
      <c r="V23" s="25" t="str">
        <f t="shared" si="14"/>
        <v>(S23-J23)</v>
      </c>
      <c r="W23" s="50" t="s">
        <v>346</v>
      </c>
      <c r="X23" s="26">
        <v>44137</v>
      </c>
      <c r="Y23" s="27">
        <v>3.61E-2</v>
      </c>
      <c r="Z23" s="28">
        <v>43824</v>
      </c>
      <c r="AA23" s="28">
        <f t="shared" si="20"/>
        <v>44377</v>
      </c>
      <c r="AB23" s="29" t="str">
        <f t="shared" si="15"/>
        <v>(AA23-Z23)</v>
      </c>
      <c r="AC23" s="29" t="str">
        <f t="shared" si="16"/>
        <v>(1+Y23)^(AB23/360)-1</v>
      </c>
      <c r="AD23" s="50" t="str">
        <f t="shared" si="17"/>
        <v>(AC23*V23)</v>
      </c>
      <c r="AE23" s="29" t="str">
        <f t="shared" si="18"/>
        <v>(V23+AD23)</v>
      </c>
    </row>
    <row r="24" spans="1:31" x14ac:dyDescent="0.3">
      <c r="A24" s="39">
        <f t="shared" si="19"/>
        <v>24</v>
      </c>
      <c r="B24" s="36">
        <v>43800</v>
      </c>
      <c r="C24" s="50" t="s">
        <v>290</v>
      </c>
      <c r="D24" s="10" t="str">
        <f t="shared" si="0"/>
        <v>SUMIF(SIGGE_E!B:B,Reliquidacion!B24,SIGGE_E!S:S)</v>
      </c>
      <c r="E24" s="10" t="str">
        <f t="shared" si="1"/>
        <v>SUMIF(SIGGE_E!B:B,Reliquidacion!B24,SIGGE_E!T:T)</v>
      </c>
      <c r="F24" s="11" t="str">
        <f t="shared" si="2"/>
        <v>IFERROR((E24/D24),0)</v>
      </c>
      <c r="G24" s="12" t="str">
        <f t="shared" si="3"/>
        <v>SUMIF(SIGGE_P!B:B,Reliquidacion!B24,SIGGE_P!U:U)</v>
      </c>
      <c r="H24" s="10" t="str">
        <f t="shared" si="4"/>
        <v>SUMIF(SIGGE_P!B:B,Reliquidacion!B24,SIGGE_P!V:V)</v>
      </c>
      <c r="I24" s="11" t="str">
        <f t="shared" si="5"/>
        <v>IFERROR((H24/G24),0)</v>
      </c>
      <c r="J24" s="10" t="str">
        <f t="shared" si="6"/>
        <v>(E24+H24)</v>
      </c>
      <c r="L24" s="37" t="str">
        <f>(MAPA_DATA!K49)</f>
        <v>EFACT_CNE</v>
      </c>
      <c r="M24" s="10" t="str">
        <f t="shared" si="7"/>
        <v>SUMIF(EFACT_CNE!B:B,Reliquidacion!B24,EFACT_CNE!S:S)</v>
      </c>
      <c r="N24" s="10" t="str">
        <f t="shared" si="8"/>
        <v>SUMIF(EFACT_CNE!B:B,Reliquidacion!B24,EFACT_CNE!T:T)</v>
      </c>
      <c r="O24" s="11" t="str">
        <f t="shared" si="9"/>
        <v>IFERROR((N24/M24),0)</v>
      </c>
      <c r="P24" s="12" t="str">
        <f t="shared" si="10"/>
        <v>SUMIF(EFACT_CNE!B:B,Reliquidacion!B24,EFACT_CNE!U:U)</v>
      </c>
      <c r="Q24" s="10" t="str">
        <f t="shared" si="11"/>
        <v>SUMIF(EFACT_CNE!B:B,Reliquidacion!B24,EFACT_CNE!V:V)</v>
      </c>
      <c r="R24" s="11" t="str">
        <f t="shared" si="12"/>
        <v>IFERROR((Q24/P24),0)</v>
      </c>
      <c r="S24" s="10" t="str">
        <f t="shared" si="13"/>
        <v>(N24+Q24)</v>
      </c>
      <c r="U24" s="49">
        <v>43800</v>
      </c>
      <c r="V24" s="25" t="str">
        <f t="shared" si="14"/>
        <v>(S24-J24)</v>
      </c>
      <c r="W24" s="50" t="s">
        <v>346</v>
      </c>
      <c r="X24" s="26">
        <v>44137</v>
      </c>
      <c r="Y24" s="27">
        <v>3.61E-2</v>
      </c>
      <c r="Z24" s="28">
        <v>43855</v>
      </c>
      <c r="AA24" s="28">
        <f t="shared" si="20"/>
        <v>44377</v>
      </c>
      <c r="AB24" s="29" t="str">
        <f t="shared" si="15"/>
        <v>(AA24-Z24)</v>
      </c>
      <c r="AC24" s="29" t="str">
        <f t="shared" si="16"/>
        <v>(1+Y24)^(AB24/360)-1</v>
      </c>
      <c r="AD24" s="50" t="str">
        <f t="shared" si="17"/>
        <v>(AC24*V24)</v>
      </c>
      <c r="AE24" s="29" t="str">
        <f t="shared" si="18"/>
        <v>(V24+AD24)</v>
      </c>
    </row>
    <row r="25" spans="1:31" x14ac:dyDescent="0.3">
      <c r="A25" s="39">
        <f t="shared" si="19"/>
        <v>25</v>
      </c>
      <c r="B25" s="36">
        <v>43831</v>
      </c>
      <c r="C25" s="50" t="s">
        <v>290</v>
      </c>
      <c r="D25" s="10" t="str">
        <f t="shared" si="0"/>
        <v>SUMIF(SIGGE_E!B:B,Reliquidacion!B25,SIGGE_E!S:S)</v>
      </c>
      <c r="E25" s="10" t="str">
        <f t="shared" si="1"/>
        <v>SUMIF(SIGGE_E!B:B,Reliquidacion!B25,SIGGE_E!T:T)</v>
      </c>
      <c r="F25" s="11" t="str">
        <f t="shared" si="2"/>
        <v>IFERROR((E25/D25),0)</v>
      </c>
      <c r="G25" s="12" t="str">
        <f t="shared" si="3"/>
        <v>SUMIF(SIGGE_P!B:B,Reliquidacion!B25,SIGGE_P!U:U)</v>
      </c>
      <c r="H25" s="10" t="str">
        <f t="shared" si="4"/>
        <v>SUMIF(SIGGE_P!B:B,Reliquidacion!B25,SIGGE_P!V:V)</v>
      </c>
      <c r="I25" s="11" t="str">
        <f t="shared" si="5"/>
        <v>IFERROR((H25/G25),0)</v>
      </c>
      <c r="J25" s="10" t="str">
        <f t="shared" si="6"/>
        <v>(E25+H25)</v>
      </c>
      <c r="L25" s="37" t="str">
        <f>(MAPA_DATA!K50)</f>
        <v>EFACT_CNE</v>
      </c>
      <c r="M25" s="10" t="str">
        <f t="shared" si="7"/>
        <v>SUMIF(EFACT_CNE!B:B,Reliquidacion!B25,EFACT_CNE!S:S)</v>
      </c>
      <c r="N25" s="10" t="str">
        <f t="shared" si="8"/>
        <v>SUMIF(EFACT_CNE!B:B,Reliquidacion!B25,EFACT_CNE!T:T)</v>
      </c>
      <c r="O25" s="11" t="str">
        <f t="shared" si="9"/>
        <v>IFERROR((N25/M25),0)</v>
      </c>
      <c r="P25" s="12" t="str">
        <f t="shared" si="10"/>
        <v>SUMIF(EFACT_CNE!B:B,Reliquidacion!B25,EFACT_CNE!U:U)</v>
      </c>
      <c r="Q25" s="10" t="str">
        <f t="shared" si="11"/>
        <v>SUMIF(EFACT_CNE!B:B,Reliquidacion!B25,EFACT_CNE!V:V)</v>
      </c>
      <c r="R25" s="11" t="str">
        <f t="shared" si="12"/>
        <v>IFERROR((Q25/P25),0)</v>
      </c>
      <c r="S25" s="10" t="str">
        <f t="shared" si="13"/>
        <v>(N25+Q25)</v>
      </c>
      <c r="U25" s="49">
        <v>43831</v>
      </c>
      <c r="V25" s="25" t="str">
        <f t="shared" si="14"/>
        <v>(S25-J25)</v>
      </c>
      <c r="W25" s="50" t="s">
        <v>347</v>
      </c>
      <c r="X25" s="26">
        <v>44275</v>
      </c>
      <c r="Y25" s="27">
        <v>3.9100000000000003E-2</v>
      </c>
      <c r="Z25" s="28">
        <v>43886</v>
      </c>
      <c r="AA25" s="28">
        <f t="shared" si="20"/>
        <v>44377</v>
      </c>
      <c r="AB25" s="29" t="str">
        <f t="shared" si="15"/>
        <v>(AA25-Z25)</v>
      </c>
      <c r="AC25" s="29" t="str">
        <f t="shared" si="16"/>
        <v>(1+Y25)^(AB25/360)-1</v>
      </c>
      <c r="AD25" s="50" t="str">
        <f t="shared" si="17"/>
        <v>(AC25*V25)</v>
      </c>
      <c r="AE25" s="29" t="str">
        <f t="shared" si="18"/>
        <v>(V25+AD25)</v>
      </c>
    </row>
    <row r="26" spans="1:31" x14ac:dyDescent="0.3">
      <c r="A26" s="39">
        <f t="shared" si="19"/>
        <v>26</v>
      </c>
      <c r="B26" s="36">
        <v>43862</v>
      </c>
      <c r="C26" s="50" t="s">
        <v>290</v>
      </c>
      <c r="D26" s="10" t="str">
        <f t="shared" si="0"/>
        <v>SUMIF(SIGGE_E!B:B,Reliquidacion!B26,SIGGE_E!S:S)</v>
      </c>
      <c r="E26" s="10" t="str">
        <f t="shared" si="1"/>
        <v>SUMIF(SIGGE_E!B:B,Reliquidacion!B26,SIGGE_E!T:T)</v>
      </c>
      <c r="F26" s="11" t="str">
        <f t="shared" si="2"/>
        <v>IFERROR((E26/D26),0)</v>
      </c>
      <c r="G26" s="12" t="str">
        <f t="shared" si="3"/>
        <v>SUMIF(SIGGE_P!B:B,Reliquidacion!B26,SIGGE_P!U:U)</v>
      </c>
      <c r="H26" s="10" t="str">
        <f t="shared" si="4"/>
        <v>SUMIF(SIGGE_P!B:B,Reliquidacion!B26,SIGGE_P!V:V)</v>
      </c>
      <c r="I26" s="11" t="str">
        <f t="shared" si="5"/>
        <v>IFERROR((H26/G26),0)</v>
      </c>
      <c r="J26" s="10" t="str">
        <f t="shared" si="6"/>
        <v>(E26+H26)</v>
      </c>
      <c r="L26" s="37" t="str">
        <f>(MAPA_DATA!K51)</f>
        <v>EFACT_CNE</v>
      </c>
      <c r="M26" s="10" t="str">
        <f t="shared" si="7"/>
        <v>SUMIF(EFACT_CNE!B:B,Reliquidacion!B26,EFACT_CNE!S:S)</v>
      </c>
      <c r="N26" s="10" t="str">
        <f t="shared" si="8"/>
        <v>SUMIF(EFACT_CNE!B:B,Reliquidacion!B26,EFACT_CNE!T:T)</v>
      </c>
      <c r="O26" s="11" t="str">
        <f t="shared" si="9"/>
        <v>IFERROR((N26/M26),0)</v>
      </c>
      <c r="P26" s="12" t="str">
        <f t="shared" si="10"/>
        <v>SUMIF(EFACT_CNE!B:B,Reliquidacion!B26,EFACT_CNE!U:U)</v>
      </c>
      <c r="Q26" s="10" t="str">
        <f t="shared" si="11"/>
        <v>SUMIF(EFACT_CNE!B:B,Reliquidacion!B26,EFACT_CNE!V:V)</v>
      </c>
      <c r="R26" s="11" t="str">
        <f t="shared" si="12"/>
        <v>IFERROR((Q26/P26),0)</v>
      </c>
      <c r="S26" s="10" t="str">
        <f t="shared" si="13"/>
        <v>(N26+Q26)</v>
      </c>
      <c r="U26" s="49">
        <v>43862</v>
      </c>
      <c r="V26" s="25" t="str">
        <f t="shared" si="14"/>
        <v>(S26-J26)</v>
      </c>
      <c r="W26" s="50" t="s">
        <v>347</v>
      </c>
      <c r="X26" s="26">
        <v>44275</v>
      </c>
      <c r="Y26" s="27">
        <v>3.9100000000000003E-2</v>
      </c>
      <c r="Z26" s="28">
        <v>43915</v>
      </c>
      <c r="AA26" s="28">
        <f t="shared" si="20"/>
        <v>44377</v>
      </c>
      <c r="AB26" s="29" t="str">
        <f t="shared" si="15"/>
        <v>(AA26-Z26)</v>
      </c>
      <c r="AC26" s="29" t="str">
        <f t="shared" si="16"/>
        <v>(1+Y26)^(AB26/360)-1</v>
      </c>
      <c r="AD26" s="50" t="str">
        <f t="shared" si="17"/>
        <v>(AC26*V26)</v>
      </c>
      <c r="AE26" s="29" t="str">
        <f t="shared" si="18"/>
        <v>(V26+AD26)</v>
      </c>
    </row>
    <row r="27" spans="1:31" x14ac:dyDescent="0.3">
      <c r="A27" s="39">
        <f t="shared" si="19"/>
        <v>27</v>
      </c>
      <c r="B27" s="36">
        <v>43891</v>
      </c>
      <c r="C27" s="50" t="s">
        <v>290</v>
      </c>
      <c r="D27" s="10" t="str">
        <f t="shared" si="0"/>
        <v>SUMIF(SIGGE_E!B:B,Reliquidacion!B27,SIGGE_E!S:S)</v>
      </c>
      <c r="E27" s="10" t="str">
        <f t="shared" si="1"/>
        <v>SUMIF(SIGGE_E!B:B,Reliquidacion!B27,SIGGE_E!T:T)</v>
      </c>
      <c r="F27" s="11" t="str">
        <f t="shared" si="2"/>
        <v>IFERROR((E27/D27),0)</v>
      </c>
      <c r="G27" s="12" t="str">
        <f t="shared" si="3"/>
        <v>SUMIF(SIGGE_P!B:B,Reliquidacion!B27,SIGGE_P!U:U)</v>
      </c>
      <c r="H27" s="10" t="str">
        <f t="shared" si="4"/>
        <v>SUMIF(SIGGE_P!B:B,Reliquidacion!B27,SIGGE_P!V:V)</v>
      </c>
      <c r="I27" s="11" t="str">
        <f t="shared" si="5"/>
        <v>IFERROR((H27/G27),0)</v>
      </c>
      <c r="J27" s="10" t="str">
        <f t="shared" si="6"/>
        <v>(E27+H27)</v>
      </c>
      <c r="L27" s="37" t="str">
        <f>(MAPA_DATA!K52)</f>
        <v>EFACT_CNE</v>
      </c>
      <c r="M27" s="10" t="str">
        <f t="shared" si="7"/>
        <v>SUMIF(EFACT_CNE!B:B,Reliquidacion!B27,EFACT_CNE!S:S)</v>
      </c>
      <c r="N27" s="10" t="str">
        <f t="shared" si="8"/>
        <v>SUMIF(EFACT_CNE!B:B,Reliquidacion!B27,EFACT_CNE!T:T)</v>
      </c>
      <c r="O27" s="11" t="str">
        <f t="shared" si="9"/>
        <v>IFERROR((N27/M27),0)</v>
      </c>
      <c r="P27" s="12" t="str">
        <f t="shared" si="10"/>
        <v>SUMIF(EFACT_CNE!B:B,Reliquidacion!B27,EFACT_CNE!U:U)</v>
      </c>
      <c r="Q27" s="10" t="str">
        <f t="shared" si="11"/>
        <v>SUMIF(EFACT_CNE!B:B,Reliquidacion!B27,EFACT_CNE!V:V)</v>
      </c>
      <c r="R27" s="11" t="str">
        <f t="shared" si="12"/>
        <v>IFERROR((Q27/P27),0)</v>
      </c>
      <c r="S27" s="10" t="str">
        <f t="shared" si="13"/>
        <v>(N27+Q27)</v>
      </c>
      <c r="U27" s="49">
        <v>43891</v>
      </c>
      <c r="V27" s="25" t="str">
        <f t="shared" si="14"/>
        <v>(S27-J27)</v>
      </c>
      <c r="W27" s="50" t="s">
        <v>347</v>
      </c>
      <c r="X27" s="26">
        <v>44275</v>
      </c>
      <c r="Y27" s="27">
        <v>3.9100000000000003E-2</v>
      </c>
      <c r="Z27" s="28">
        <v>43946</v>
      </c>
      <c r="AA27" s="28">
        <f t="shared" si="20"/>
        <v>44377</v>
      </c>
      <c r="AB27" s="29" t="str">
        <f t="shared" si="15"/>
        <v>(AA27-Z27)</v>
      </c>
      <c r="AC27" s="29" t="str">
        <f t="shared" si="16"/>
        <v>(1+Y27)^(AB27/360)-1</v>
      </c>
      <c r="AD27" s="50" t="str">
        <f t="shared" si="17"/>
        <v>(AC27*V27)</v>
      </c>
      <c r="AE27" s="29" t="str">
        <f t="shared" si="18"/>
        <v>(V27+AD27)</v>
      </c>
    </row>
    <row r="28" spans="1:31" x14ac:dyDescent="0.3">
      <c r="A28" s="39">
        <f t="shared" si="19"/>
        <v>28</v>
      </c>
      <c r="B28" s="36">
        <v>43922</v>
      </c>
      <c r="C28" s="50" t="s">
        <v>290</v>
      </c>
      <c r="D28" s="10" t="str">
        <f t="shared" si="0"/>
        <v>SUMIF(SIGGE_E!B:B,Reliquidacion!B28,SIGGE_E!S:S)</v>
      </c>
      <c r="E28" s="10" t="str">
        <f t="shared" si="1"/>
        <v>SUMIF(SIGGE_E!B:B,Reliquidacion!B28,SIGGE_E!T:T)</v>
      </c>
      <c r="F28" s="11" t="str">
        <f t="shared" si="2"/>
        <v>IFERROR((E28/D28),0)</v>
      </c>
      <c r="G28" s="12" t="str">
        <f t="shared" si="3"/>
        <v>SUMIF(SIGGE_P!B:B,Reliquidacion!B28,SIGGE_P!U:U)</v>
      </c>
      <c r="H28" s="10" t="str">
        <f t="shared" si="4"/>
        <v>SUMIF(SIGGE_P!B:B,Reliquidacion!B28,SIGGE_P!V:V)</v>
      </c>
      <c r="I28" s="11" t="str">
        <f t="shared" si="5"/>
        <v>IFERROR((H28/G28),0)</v>
      </c>
      <c r="J28" s="10" t="str">
        <f t="shared" si="6"/>
        <v>(E28+H28)</v>
      </c>
      <c r="L28" s="37" t="str">
        <f>(MAPA_DATA!K53)</f>
        <v>EFACT_CNE</v>
      </c>
      <c r="M28" s="10" t="str">
        <f t="shared" si="7"/>
        <v>SUMIF(EFACT_CNE!B:B,Reliquidacion!B28,EFACT_CNE!S:S)</v>
      </c>
      <c r="N28" s="10" t="str">
        <f t="shared" si="8"/>
        <v>SUMIF(EFACT_CNE!B:B,Reliquidacion!B28,EFACT_CNE!T:T)</v>
      </c>
      <c r="O28" s="11" t="str">
        <f t="shared" si="9"/>
        <v>IFERROR((N28/M28),0)</v>
      </c>
      <c r="P28" s="12" t="str">
        <f t="shared" si="10"/>
        <v>SUMIF(EFACT_CNE!B:B,Reliquidacion!B28,EFACT_CNE!U:U)</v>
      </c>
      <c r="Q28" s="10" t="str">
        <f t="shared" si="11"/>
        <v>SUMIF(EFACT_CNE!B:B,Reliquidacion!B28,EFACT_CNE!V:V)</v>
      </c>
      <c r="R28" s="11" t="str">
        <f t="shared" si="12"/>
        <v>IFERROR((Q28/P28),0)</v>
      </c>
      <c r="S28" s="10" t="str">
        <f t="shared" si="13"/>
        <v>(N28+Q28)</v>
      </c>
      <c r="U28" s="49">
        <v>43922</v>
      </c>
      <c r="V28" s="25" t="str">
        <f t="shared" si="14"/>
        <v>(S28-J28)</v>
      </c>
      <c r="W28" s="50" t="s">
        <v>347</v>
      </c>
      <c r="X28" s="26">
        <v>44275</v>
      </c>
      <c r="Y28" s="27">
        <v>3.9100000000000003E-2</v>
      </c>
      <c r="Z28" s="28">
        <v>43976</v>
      </c>
      <c r="AA28" s="28">
        <f t="shared" si="20"/>
        <v>44377</v>
      </c>
      <c r="AB28" s="29" t="str">
        <f t="shared" si="15"/>
        <v>(AA28-Z28)</v>
      </c>
      <c r="AC28" s="29" t="str">
        <f t="shared" si="16"/>
        <v>(1+Y28)^(AB28/360)-1</v>
      </c>
      <c r="AD28" s="50" t="str">
        <f t="shared" si="17"/>
        <v>(AC28*V28)</v>
      </c>
      <c r="AE28" s="29" t="str">
        <f t="shared" si="18"/>
        <v>(V28+AD28)</v>
      </c>
    </row>
    <row r="29" spans="1:31" x14ac:dyDescent="0.3">
      <c r="A29" s="39">
        <f t="shared" si="19"/>
        <v>29</v>
      </c>
      <c r="B29" s="36">
        <v>43952</v>
      </c>
      <c r="C29" s="50" t="s">
        <v>290</v>
      </c>
      <c r="D29" s="10" t="str">
        <f t="shared" si="0"/>
        <v>SUMIF(SIGGE_E!B:B,Reliquidacion!B29,SIGGE_E!S:S)</v>
      </c>
      <c r="E29" s="10" t="str">
        <f t="shared" si="1"/>
        <v>SUMIF(SIGGE_E!B:B,Reliquidacion!B29,SIGGE_E!T:T)</v>
      </c>
      <c r="F29" s="11" t="str">
        <f t="shared" si="2"/>
        <v>IFERROR((E29/D29),0)</v>
      </c>
      <c r="G29" s="12" t="str">
        <f t="shared" si="3"/>
        <v>SUMIF(SIGGE_P!B:B,Reliquidacion!B29,SIGGE_P!U:U)</v>
      </c>
      <c r="H29" s="10" t="str">
        <f t="shared" si="4"/>
        <v>SUMIF(SIGGE_P!B:B,Reliquidacion!B29,SIGGE_P!V:V)</v>
      </c>
      <c r="I29" s="11" t="str">
        <f t="shared" si="5"/>
        <v>IFERROR((H29/G29),0)</v>
      </c>
      <c r="J29" s="10" t="str">
        <f t="shared" si="6"/>
        <v>(E29+H29)</v>
      </c>
      <c r="L29" s="37" t="str">
        <f>(MAPA_DATA!K54)</f>
        <v>EFACT_CNE</v>
      </c>
      <c r="M29" s="10" t="str">
        <f t="shared" si="7"/>
        <v>SUMIF(EFACT_CNE!B:B,Reliquidacion!B29,EFACT_CNE!S:S)</v>
      </c>
      <c r="N29" s="10" t="str">
        <f t="shared" si="8"/>
        <v>SUMIF(EFACT_CNE!B:B,Reliquidacion!B29,EFACT_CNE!T:T)</v>
      </c>
      <c r="O29" s="11" t="str">
        <f t="shared" si="9"/>
        <v>IFERROR((N29/M29),0)</v>
      </c>
      <c r="P29" s="12" t="str">
        <f t="shared" si="10"/>
        <v>SUMIF(EFACT_CNE!B:B,Reliquidacion!B29,EFACT_CNE!U:U)</v>
      </c>
      <c r="Q29" s="10" t="str">
        <f t="shared" si="11"/>
        <v>SUMIF(EFACT_CNE!B:B,Reliquidacion!B29,EFACT_CNE!V:V)</v>
      </c>
      <c r="R29" s="11" t="str">
        <f t="shared" si="12"/>
        <v>IFERROR((Q29/P29),0)</v>
      </c>
      <c r="S29" s="10" t="str">
        <f t="shared" si="13"/>
        <v>(N29+Q29)</v>
      </c>
      <c r="U29" s="49">
        <v>43952</v>
      </c>
      <c r="V29" s="25" t="str">
        <f t="shared" si="14"/>
        <v>(S29-J29)</v>
      </c>
      <c r="W29" s="50" t="s">
        <v>347</v>
      </c>
      <c r="X29" s="26">
        <v>44275</v>
      </c>
      <c r="Y29" s="27">
        <v>3.9100000000000003E-2</v>
      </c>
      <c r="Z29" s="28">
        <v>44007</v>
      </c>
      <c r="AA29" s="28">
        <f t="shared" si="20"/>
        <v>44377</v>
      </c>
      <c r="AB29" s="29" t="str">
        <f t="shared" si="15"/>
        <v>(AA29-Z29)</v>
      </c>
      <c r="AC29" s="29" t="str">
        <f t="shared" si="16"/>
        <v>(1+Y29)^(AB29/360)-1</v>
      </c>
      <c r="AD29" s="50" t="str">
        <f t="shared" si="17"/>
        <v>(AC29*V29)</v>
      </c>
      <c r="AE29" s="29" t="str">
        <f t="shared" si="18"/>
        <v>(V29+AD29)</v>
      </c>
    </row>
    <row r="30" spans="1:31" x14ac:dyDescent="0.3">
      <c r="A30" s="39">
        <f t="shared" si="19"/>
        <v>30</v>
      </c>
      <c r="B30" s="36">
        <v>43983</v>
      </c>
      <c r="C30" s="50" t="s">
        <v>290</v>
      </c>
      <c r="D30" s="10" t="str">
        <f t="shared" si="0"/>
        <v>SUMIF(SIGGE_E!B:B,Reliquidacion!B30,SIGGE_E!S:S)</v>
      </c>
      <c r="E30" s="10" t="str">
        <f t="shared" si="1"/>
        <v>SUMIF(SIGGE_E!B:B,Reliquidacion!B30,SIGGE_E!T:T)</v>
      </c>
      <c r="F30" s="11" t="str">
        <f t="shared" si="2"/>
        <v>IFERROR((E30/D30),0)</v>
      </c>
      <c r="G30" s="12" t="str">
        <f t="shared" si="3"/>
        <v>SUMIF(SIGGE_P!B:B,Reliquidacion!B30,SIGGE_P!U:U)</v>
      </c>
      <c r="H30" s="10" t="str">
        <f t="shared" si="4"/>
        <v>SUMIF(SIGGE_P!B:B,Reliquidacion!B30,SIGGE_P!V:V)</v>
      </c>
      <c r="I30" s="11" t="str">
        <f t="shared" si="5"/>
        <v>IFERROR((H30/G30),0)</v>
      </c>
      <c r="J30" s="10" t="str">
        <f t="shared" si="6"/>
        <v>(E30+H30)</v>
      </c>
      <c r="L30" s="37" t="str">
        <f>(MAPA_DATA!K55)</f>
        <v>EFACT_CNE</v>
      </c>
      <c r="M30" s="10" t="str">
        <f t="shared" si="7"/>
        <v>SUMIF(EFACT_CNE!B:B,Reliquidacion!B30,EFACT_CNE!S:S)</v>
      </c>
      <c r="N30" s="10" t="str">
        <f t="shared" si="8"/>
        <v>SUMIF(EFACT_CNE!B:B,Reliquidacion!B30,EFACT_CNE!T:T)</v>
      </c>
      <c r="O30" s="11" t="str">
        <f t="shared" si="9"/>
        <v>IFERROR((N30/M30),0)</v>
      </c>
      <c r="P30" s="12" t="str">
        <f t="shared" si="10"/>
        <v>SUMIF(EFACT_CNE!B:B,Reliquidacion!B30,EFACT_CNE!U:U)</v>
      </c>
      <c r="Q30" s="10" t="str">
        <f t="shared" si="11"/>
        <v>SUMIF(EFACT_CNE!B:B,Reliquidacion!B30,EFACT_CNE!V:V)</v>
      </c>
      <c r="R30" s="11" t="str">
        <f t="shared" si="12"/>
        <v>IFERROR((Q30/P30),0)</v>
      </c>
      <c r="S30" s="10" t="str">
        <f t="shared" si="13"/>
        <v>(N30+Q30)</v>
      </c>
      <c r="U30" s="49">
        <v>43983</v>
      </c>
      <c r="V30" s="25" t="str">
        <f t="shared" si="14"/>
        <v>(S30-J30)</v>
      </c>
      <c r="W30" s="50" t="s">
        <v>347</v>
      </c>
      <c r="X30" s="26">
        <v>44275</v>
      </c>
      <c r="Y30" s="27">
        <v>3.9100000000000003E-2</v>
      </c>
      <c r="Z30" s="28">
        <v>44037</v>
      </c>
      <c r="AA30" s="28">
        <f t="shared" si="20"/>
        <v>44377</v>
      </c>
      <c r="AB30" s="29" t="str">
        <f t="shared" si="15"/>
        <v>(AA30-Z30)</v>
      </c>
      <c r="AC30" s="29" t="str">
        <f t="shared" si="16"/>
        <v>(1+Y30)^(AB30/360)-1</v>
      </c>
      <c r="AD30" s="50" t="str">
        <f t="shared" si="17"/>
        <v>(AC30*V30)</v>
      </c>
      <c r="AE30" s="29" t="str">
        <f t="shared" si="18"/>
        <v>(V30+AD30)</v>
      </c>
    </row>
    <row r="31" spans="1:31" x14ac:dyDescent="0.3">
      <c r="A31" s="39">
        <f t="shared" si="19"/>
        <v>31</v>
      </c>
      <c r="B31" s="36">
        <v>44013</v>
      </c>
      <c r="C31" s="50" t="s">
        <v>290</v>
      </c>
      <c r="D31" s="10" t="str">
        <f t="shared" si="0"/>
        <v>SUMIF(SIGGE_E!B:B,Reliquidacion!B31,SIGGE_E!S:S)</v>
      </c>
      <c r="E31" s="10" t="str">
        <f t="shared" si="1"/>
        <v>SUMIF(SIGGE_E!B:B,Reliquidacion!B31,SIGGE_E!T:T)</v>
      </c>
      <c r="F31" s="11" t="str">
        <f t="shared" si="2"/>
        <v>IFERROR((E31/D31),0)</v>
      </c>
      <c r="G31" s="12" t="str">
        <f t="shared" si="3"/>
        <v>SUMIF(SIGGE_P!B:B,Reliquidacion!B31,SIGGE_P!U:U)</v>
      </c>
      <c r="H31" s="10" t="str">
        <f t="shared" si="4"/>
        <v>SUMIF(SIGGE_P!B:B,Reliquidacion!B31,SIGGE_P!V:V)</v>
      </c>
      <c r="I31" s="11" t="str">
        <f t="shared" si="5"/>
        <v>IFERROR((H31/G31),0)</v>
      </c>
      <c r="J31" s="10" t="str">
        <f t="shared" si="6"/>
        <v>(E31+H31)</v>
      </c>
      <c r="L31" s="37" t="str">
        <f>(MAPA_DATA!K56)</f>
        <v>EFACT_CNE</v>
      </c>
      <c r="M31" s="10" t="str">
        <f t="shared" si="7"/>
        <v>SUMIF(EFACT_CNE!B:B,Reliquidacion!B31,EFACT_CNE!S:S)</v>
      </c>
      <c r="N31" s="10" t="str">
        <f t="shared" si="8"/>
        <v>SUMIF(EFACT_CNE!B:B,Reliquidacion!B31,EFACT_CNE!T:T)</v>
      </c>
      <c r="O31" s="11" t="str">
        <f t="shared" si="9"/>
        <v>IFERROR((N31/M31),0)</v>
      </c>
      <c r="P31" s="12" t="str">
        <f t="shared" si="10"/>
        <v>SUMIF(EFACT_CNE!B:B,Reliquidacion!B31,EFACT_CNE!U:U)</v>
      </c>
      <c r="Q31" s="10" t="str">
        <f t="shared" si="11"/>
        <v>SUMIF(EFACT_CNE!B:B,Reliquidacion!B31,EFACT_CNE!V:V)</v>
      </c>
      <c r="R31" s="11" t="str">
        <f t="shared" si="12"/>
        <v>IFERROR((Q31/P31),0)</v>
      </c>
      <c r="S31" s="10" t="str">
        <f t="shared" si="13"/>
        <v>(N31+Q31)</v>
      </c>
      <c r="U31" s="49">
        <v>44013</v>
      </c>
      <c r="V31" s="25" t="str">
        <f t="shared" si="14"/>
        <v>(S31-J31)</v>
      </c>
      <c r="W31" s="50" t="s">
        <v>348</v>
      </c>
      <c r="X31" s="26">
        <v>44336</v>
      </c>
      <c r="Y31" s="27">
        <v>3.2800000000000003E-2</v>
      </c>
      <c r="Z31" s="28">
        <v>44068</v>
      </c>
      <c r="AA31" s="28">
        <f t="shared" si="20"/>
        <v>44377</v>
      </c>
      <c r="AB31" s="29" t="str">
        <f t="shared" si="15"/>
        <v>(AA31-Z31)</v>
      </c>
      <c r="AC31" s="29" t="str">
        <f t="shared" si="16"/>
        <v>(1+Y31)^(AB31/360)-1</v>
      </c>
      <c r="AD31" s="50" t="str">
        <f t="shared" si="17"/>
        <v>(AC31*V31)</v>
      </c>
      <c r="AE31" s="29" t="str">
        <f t="shared" si="18"/>
        <v>(V31+AD31)</v>
      </c>
    </row>
    <row r="32" spans="1:31" x14ac:dyDescent="0.3">
      <c r="A32" s="39">
        <f t="shared" si="19"/>
        <v>32</v>
      </c>
      <c r="B32" s="36">
        <v>44044</v>
      </c>
      <c r="C32" s="50" t="s">
        <v>290</v>
      </c>
      <c r="D32" s="10" t="str">
        <f t="shared" si="0"/>
        <v>SUMIF(SIGGE_E!B:B,Reliquidacion!B32,SIGGE_E!S:S)</v>
      </c>
      <c r="E32" s="10" t="str">
        <f t="shared" si="1"/>
        <v>SUMIF(SIGGE_E!B:B,Reliquidacion!B32,SIGGE_E!T:T)</v>
      </c>
      <c r="F32" s="11" t="str">
        <f t="shared" si="2"/>
        <v>IFERROR((E32/D32),0)</v>
      </c>
      <c r="G32" s="12" t="str">
        <f t="shared" si="3"/>
        <v>SUMIF(SIGGE_P!B:B,Reliquidacion!B32,SIGGE_P!U:U)</v>
      </c>
      <c r="H32" s="10" t="str">
        <f t="shared" si="4"/>
        <v>SUMIF(SIGGE_P!B:B,Reliquidacion!B32,SIGGE_P!V:V)</v>
      </c>
      <c r="I32" s="11" t="str">
        <f t="shared" si="5"/>
        <v>IFERROR((H32/G32),0)</v>
      </c>
      <c r="J32" s="10" t="str">
        <f t="shared" si="6"/>
        <v>(E32+H32)</v>
      </c>
      <c r="L32" s="37" t="str">
        <f>(MAPA_DATA!K57)</f>
        <v>EFACT_CNE</v>
      </c>
      <c r="M32" s="10" t="str">
        <f t="shared" si="7"/>
        <v>SUMIF(EFACT_CNE!B:B,Reliquidacion!B32,EFACT_CNE!S:S)</v>
      </c>
      <c r="N32" s="10" t="str">
        <f t="shared" si="8"/>
        <v>SUMIF(EFACT_CNE!B:B,Reliquidacion!B32,EFACT_CNE!T:T)</v>
      </c>
      <c r="O32" s="11" t="str">
        <f t="shared" si="9"/>
        <v>IFERROR((N32/M32),0)</v>
      </c>
      <c r="P32" s="12" t="str">
        <f t="shared" si="10"/>
        <v>SUMIF(EFACT_CNE!B:B,Reliquidacion!B32,EFACT_CNE!U:U)</v>
      </c>
      <c r="Q32" s="10" t="str">
        <f t="shared" si="11"/>
        <v>SUMIF(EFACT_CNE!B:B,Reliquidacion!B32,EFACT_CNE!V:V)</v>
      </c>
      <c r="R32" s="11" t="str">
        <f t="shared" si="12"/>
        <v>IFERROR((Q32/P32),0)</v>
      </c>
      <c r="S32" s="10" t="str">
        <f t="shared" si="13"/>
        <v>(N32+Q32)</v>
      </c>
      <c r="U32" s="49">
        <v>44044</v>
      </c>
      <c r="V32" s="25" t="str">
        <f t="shared" si="14"/>
        <v>(S32-J32)</v>
      </c>
      <c r="W32" s="50" t="s">
        <v>348</v>
      </c>
      <c r="X32" s="26">
        <v>44336</v>
      </c>
      <c r="Y32" s="27">
        <v>3.2800000000000003E-2</v>
      </c>
      <c r="Z32" s="28">
        <v>44099</v>
      </c>
      <c r="AA32" s="28">
        <f t="shared" si="20"/>
        <v>44377</v>
      </c>
      <c r="AB32" s="29" t="str">
        <f t="shared" si="15"/>
        <v>(AA32-Z32)</v>
      </c>
      <c r="AC32" s="29" t="str">
        <f t="shared" si="16"/>
        <v>(1+Y32)^(AB32/360)-1</v>
      </c>
      <c r="AD32" s="50" t="str">
        <f t="shared" si="17"/>
        <v>(AC32*V32)</v>
      </c>
      <c r="AE32" s="29" t="str">
        <f t="shared" si="18"/>
        <v>(V32+AD32)</v>
      </c>
    </row>
    <row r="33" spans="1:31" x14ac:dyDescent="0.3">
      <c r="A33" s="39">
        <f>A32+1</f>
        <v>33</v>
      </c>
      <c r="B33" s="36">
        <v>44075</v>
      </c>
      <c r="C33" s="50" t="s">
        <v>290</v>
      </c>
      <c r="D33" s="10" t="str">
        <f t="shared" si="0"/>
        <v>SUMIF(SIGGE_E!B:B,Reliquidacion!B33,SIGGE_E!S:S)</v>
      </c>
      <c r="E33" s="10" t="str">
        <f t="shared" si="1"/>
        <v>SUMIF(SIGGE_E!B:B,Reliquidacion!B33,SIGGE_E!T:T)</v>
      </c>
      <c r="F33" s="11" t="str">
        <f t="shared" si="2"/>
        <v>IFERROR((E33/D33),0)</v>
      </c>
      <c r="G33" s="12" t="str">
        <f t="shared" si="3"/>
        <v>SUMIF(SIGGE_P!B:B,Reliquidacion!B33,SIGGE_P!U:U)</v>
      </c>
      <c r="H33" s="10" t="str">
        <f t="shared" si="4"/>
        <v>SUMIF(SIGGE_P!B:B,Reliquidacion!B33,SIGGE_P!V:V)</v>
      </c>
      <c r="I33" s="11" t="str">
        <f t="shared" si="5"/>
        <v>IFERROR((H33/G33),0)</v>
      </c>
      <c r="J33" s="10" t="str">
        <f t="shared" si="6"/>
        <v>(E33+H33)</v>
      </c>
      <c r="L33" s="37" t="str">
        <f>(MAPA_DATA!K58)</f>
        <v>EFACT_CNE</v>
      </c>
      <c r="M33" s="10" t="str">
        <f t="shared" si="7"/>
        <v>SUMIF(EFACT_CNE!B:B,Reliquidacion!B33,EFACT_CNE!S:S)</v>
      </c>
      <c r="N33" s="10" t="str">
        <f t="shared" si="8"/>
        <v>SUMIF(EFACT_CNE!B:B,Reliquidacion!B33,EFACT_CNE!T:T)</v>
      </c>
      <c r="O33" s="11" t="str">
        <f t="shared" si="9"/>
        <v>IFERROR((N33/M33),0)</v>
      </c>
      <c r="P33" s="12" t="str">
        <f t="shared" si="10"/>
        <v>SUMIF(EFACT_CNE!B:B,Reliquidacion!B33,EFACT_CNE!U:U)</v>
      </c>
      <c r="Q33" s="10" t="str">
        <f t="shared" si="11"/>
        <v>SUMIF(EFACT_CNE!B:B,Reliquidacion!B33,EFACT_CNE!V:V)</v>
      </c>
      <c r="R33" s="11" t="str">
        <f t="shared" si="12"/>
        <v>IFERROR((Q33/P33),0)</v>
      </c>
      <c r="S33" s="10" t="str">
        <f t="shared" si="13"/>
        <v>(N33+Q33)</v>
      </c>
      <c r="U33" s="49">
        <v>44075</v>
      </c>
      <c r="V33" s="25" t="str">
        <f t="shared" si="14"/>
        <v>(S33-J33)</v>
      </c>
      <c r="W33" s="50" t="s">
        <v>348</v>
      </c>
      <c r="X33" s="26">
        <v>44336</v>
      </c>
      <c r="Y33" s="27">
        <v>3.2800000000000003E-2</v>
      </c>
      <c r="Z33" s="28">
        <v>44129</v>
      </c>
      <c r="AA33" s="28">
        <f t="shared" si="20"/>
        <v>44377</v>
      </c>
      <c r="AB33" s="29" t="str">
        <f t="shared" si="15"/>
        <v>(AA33-Z33)</v>
      </c>
      <c r="AC33" s="29" t="str">
        <f t="shared" si="16"/>
        <v>(1+Y33)^(AB33/360)-1</v>
      </c>
      <c r="AD33" s="50" t="str">
        <f t="shared" si="17"/>
        <v>(AC33*V33)</v>
      </c>
      <c r="AE33" s="29" t="str">
        <f t="shared" si="18"/>
        <v>(V33+AD33)</v>
      </c>
    </row>
    <row r="34" spans="1:31" ht="15" thickBot="1" x14ac:dyDescent="0.35">
      <c r="Z34" s="1"/>
      <c r="AD34" s="51" t="s">
        <v>70</v>
      </c>
      <c r="AE34" s="52" t="str">
        <f>CONCATENATE("SUM(AE9:AE65)")</f>
        <v>SUM(AE9:AE65)</v>
      </c>
    </row>
    <row r="36" spans="1:31" x14ac:dyDescent="0.3">
      <c r="AC36" s="17" t="s">
        <v>72</v>
      </c>
      <c r="AD36" s="18" t="s">
        <v>354</v>
      </c>
      <c r="AE36" s="19"/>
    </row>
    <row r="37" spans="1:31" x14ac:dyDescent="0.3">
      <c r="AC37" s="20" t="s">
        <v>73</v>
      </c>
      <c r="AD37" s="13" t="s">
        <v>355</v>
      </c>
      <c r="AE37" s="21"/>
    </row>
  </sheetData>
  <mergeCells count="3">
    <mergeCell ref="C7:J7"/>
    <mergeCell ref="L7:S7"/>
    <mergeCell ref="U7:AE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735"/>
  <sheetViews>
    <sheetView zoomScale="60" zoomScaleNormal="60" workbookViewId="0">
      <selection activeCell="A19" sqref="A19"/>
    </sheetView>
  </sheetViews>
  <sheetFormatPr baseColWidth="10" defaultRowHeight="14.4" x14ac:dyDescent="0.3"/>
  <cols>
    <col min="1" max="1" width="12" bestFit="1" customWidth="1"/>
    <col min="2" max="2" width="21.109375" style="1" bestFit="1" customWidth="1"/>
    <col min="3" max="3" width="45.88671875" bestFit="1" customWidth="1"/>
    <col min="4" max="4" width="54.44140625" bestFit="1" customWidth="1"/>
    <col min="5" max="5" width="15.88671875" bestFit="1" customWidth="1"/>
    <col min="6" max="6" width="65.44140625" bestFit="1" customWidth="1"/>
    <col min="7" max="7" width="18.33203125" bestFit="1" customWidth="1"/>
    <col min="8" max="8" width="21.88671875" bestFit="1" customWidth="1"/>
    <col min="9" max="9" width="8.44140625" bestFit="1" customWidth="1"/>
    <col min="10" max="10" width="13.44140625" bestFit="1" customWidth="1"/>
    <col min="11" max="11" width="15.5546875" bestFit="1" customWidth="1"/>
    <col min="12" max="12" width="10.5546875" bestFit="1" customWidth="1"/>
    <col min="13" max="13" width="12.5546875" bestFit="1" customWidth="1"/>
    <col min="14" max="14" width="16.109375" bestFit="1" customWidth="1"/>
    <col min="15" max="15" width="14" bestFit="1" customWidth="1"/>
    <col min="16" max="16" width="21.88671875" bestFit="1" customWidth="1"/>
    <col min="17" max="17" width="7.5546875" bestFit="1" customWidth="1"/>
    <col min="18" max="18" width="17" bestFit="1" customWidth="1"/>
    <col min="19" max="19" width="15.44140625" bestFit="1" customWidth="1"/>
    <col min="20" max="20" width="19.109375" bestFit="1" customWidth="1"/>
    <col min="21" max="21" width="13" bestFit="1" customWidth="1"/>
    <col min="22" max="22" width="21.33203125" bestFit="1" customWidth="1"/>
    <col min="23" max="23" width="10.109375" bestFit="1" customWidth="1"/>
  </cols>
  <sheetData>
    <row r="1" spans="1:23" s="2" customFormat="1" x14ac:dyDescent="0.3">
      <c r="A1" s="34" t="s">
        <v>29</v>
      </c>
      <c r="B1" s="34" t="s">
        <v>1</v>
      </c>
      <c r="C1" s="34" t="s">
        <v>30</v>
      </c>
      <c r="D1" s="34" t="s">
        <v>34</v>
      </c>
      <c r="E1" s="34" t="s">
        <v>35</v>
      </c>
      <c r="F1" s="34" t="s">
        <v>36</v>
      </c>
      <c r="G1" s="34" t="s">
        <v>37</v>
      </c>
      <c r="H1" s="34" t="s">
        <v>38</v>
      </c>
      <c r="I1" s="34" t="s">
        <v>39</v>
      </c>
      <c r="J1" s="34" t="s">
        <v>40</v>
      </c>
      <c r="K1" s="34" t="s">
        <v>41</v>
      </c>
      <c r="L1" s="34" t="s">
        <v>42</v>
      </c>
      <c r="M1" s="34" t="s">
        <v>43</v>
      </c>
      <c r="N1" s="34" t="s">
        <v>44</v>
      </c>
      <c r="O1" s="34" t="s">
        <v>45</v>
      </c>
      <c r="P1" s="34" t="s">
        <v>46</v>
      </c>
      <c r="Q1" s="34" t="s">
        <v>31</v>
      </c>
      <c r="R1" s="34" t="s">
        <v>32</v>
      </c>
      <c r="S1" s="34" t="s">
        <v>18</v>
      </c>
      <c r="T1" s="34" t="s">
        <v>19</v>
      </c>
      <c r="U1" s="34" t="s">
        <v>21</v>
      </c>
      <c r="V1" s="2" t="s">
        <v>22</v>
      </c>
      <c r="W1" s="2" t="s">
        <v>33</v>
      </c>
    </row>
    <row r="2" spans="1:23" x14ac:dyDescent="0.3">
      <c r="A2" s="1">
        <v>43344</v>
      </c>
      <c r="B2" s="1">
        <v>43344</v>
      </c>
      <c r="C2" t="s">
        <v>157</v>
      </c>
      <c r="D2" t="s">
        <v>48</v>
      </c>
      <c r="E2" t="s">
        <v>49</v>
      </c>
      <c r="F2" t="s">
        <v>158</v>
      </c>
      <c r="G2" s="53">
        <v>43392</v>
      </c>
      <c r="H2">
        <v>33</v>
      </c>
      <c r="I2">
        <v>6305</v>
      </c>
      <c r="J2" t="s">
        <v>50</v>
      </c>
      <c r="K2" t="s">
        <v>50</v>
      </c>
      <c r="L2" t="s">
        <v>159</v>
      </c>
      <c r="M2" t="s">
        <v>51</v>
      </c>
      <c r="N2" t="s">
        <v>92</v>
      </c>
      <c r="O2" s="1">
        <v>41335</v>
      </c>
      <c r="P2" t="s">
        <v>84</v>
      </c>
      <c r="Q2">
        <v>1</v>
      </c>
      <c r="R2" t="s">
        <v>47</v>
      </c>
      <c r="S2">
        <v>3000</v>
      </c>
      <c r="T2">
        <v>58.085000000000001</v>
      </c>
      <c r="U2" t="s">
        <v>349</v>
      </c>
      <c r="V2" t="s">
        <v>349</v>
      </c>
      <c r="W2">
        <v>174255</v>
      </c>
    </row>
    <row r="3" spans="1:23" x14ac:dyDescent="0.3">
      <c r="A3" s="1">
        <v>43374</v>
      </c>
      <c r="B3" s="1">
        <v>43374</v>
      </c>
      <c r="C3" t="s">
        <v>157</v>
      </c>
      <c r="D3" t="s">
        <v>48</v>
      </c>
      <c r="E3" t="s">
        <v>49</v>
      </c>
      <c r="F3" t="s">
        <v>160</v>
      </c>
      <c r="G3" s="53">
        <v>43431</v>
      </c>
      <c r="H3">
        <v>33</v>
      </c>
      <c r="I3">
        <v>6796</v>
      </c>
      <c r="J3" t="s">
        <v>50</v>
      </c>
      <c r="K3" t="s">
        <v>50</v>
      </c>
      <c r="L3" t="s">
        <v>159</v>
      </c>
      <c r="M3" t="s">
        <v>51</v>
      </c>
      <c r="N3" t="s">
        <v>92</v>
      </c>
      <c r="O3" s="1">
        <v>41335</v>
      </c>
      <c r="P3" t="s">
        <v>84</v>
      </c>
      <c r="Q3">
        <v>1</v>
      </c>
      <c r="R3" t="s">
        <v>47</v>
      </c>
      <c r="S3">
        <v>3000</v>
      </c>
      <c r="T3">
        <v>59.677999999999997</v>
      </c>
      <c r="U3" t="s">
        <v>349</v>
      </c>
      <c r="V3" t="s">
        <v>349</v>
      </c>
      <c r="W3">
        <v>179035</v>
      </c>
    </row>
    <row r="4" spans="1:23" x14ac:dyDescent="0.3">
      <c r="A4" s="1">
        <v>43405</v>
      </c>
      <c r="B4" s="1">
        <v>43405</v>
      </c>
      <c r="C4" t="s">
        <v>157</v>
      </c>
      <c r="D4" t="s">
        <v>48</v>
      </c>
      <c r="E4" t="s">
        <v>49</v>
      </c>
      <c r="F4" t="s">
        <v>161</v>
      </c>
      <c r="G4" s="53">
        <v>43448</v>
      </c>
      <c r="H4">
        <v>33</v>
      </c>
      <c r="I4">
        <v>6939</v>
      </c>
      <c r="J4" t="s">
        <v>50</v>
      </c>
      <c r="K4" t="s">
        <v>50</v>
      </c>
      <c r="L4" t="s">
        <v>159</v>
      </c>
      <c r="M4" t="s">
        <v>51</v>
      </c>
      <c r="N4" t="s">
        <v>92</v>
      </c>
      <c r="O4" s="1">
        <v>41335</v>
      </c>
      <c r="P4" t="s">
        <v>84</v>
      </c>
      <c r="Q4">
        <v>1</v>
      </c>
      <c r="R4" t="s">
        <v>47</v>
      </c>
      <c r="S4">
        <v>4000</v>
      </c>
      <c r="T4">
        <v>59.634999999999998</v>
      </c>
      <c r="U4" t="s">
        <v>349</v>
      </c>
      <c r="V4" t="s">
        <v>349</v>
      </c>
      <c r="W4">
        <v>238540</v>
      </c>
    </row>
    <row r="5" spans="1:23" x14ac:dyDescent="0.3">
      <c r="A5" s="1">
        <v>43435</v>
      </c>
      <c r="B5" s="1">
        <v>43435</v>
      </c>
      <c r="C5" t="s">
        <v>157</v>
      </c>
      <c r="D5" t="s">
        <v>48</v>
      </c>
      <c r="E5" t="s">
        <v>49</v>
      </c>
      <c r="F5" t="s">
        <v>162</v>
      </c>
      <c r="G5" s="53">
        <v>43486</v>
      </c>
      <c r="H5">
        <v>33</v>
      </c>
      <c r="I5">
        <v>7194</v>
      </c>
      <c r="J5" t="s">
        <v>50</v>
      </c>
      <c r="K5" t="s">
        <v>50</v>
      </c>
      <c r="L5" t="s">
        <v>159</v>
      </c>
      <c r="M5" t="s">
        <v>51</v>
      </c>
      <c r="N5" t="s">
        <v>92</v>
      </c>
      <c r="O5" s="1">
        <v>41335</v>
      </c>
      <c r="P5" t="s">
        <v>84</v>
      </c>
      <c r="Q5">
        <v>1</v>
      </c>
      <c r="R5" t="s">
        <v>47</v>
      </c>
      <c r="S5">
        <v>5000</v>
      </c>
      <c r="T5">
        <v>67.950999999999993</v>
      </c>
      <c r="U5" t="s">
        <v>349</v>
      </c>
      <c r="V5" t="s">
        <v>349</v>
      </c>
      <c r="W5">
        <v>339757</v>
      </c>
    </row>
    <row r="6" spans="1:23" x14ac:dyDescent="0.3">
      <c r="A6" s="1">
        <v>43466</v>
      </c>
      <c r="B6" s="1">
        <v>43466</v>
      </c>
      <c r="C6" t="s">
        <v>157</v>
      </c>
      <c r="D6" t="s">
        <v>93</v>
      </c>
      <c r="E6" t="s">
        <v>49</v>
      </c>
      <c r="F6" t="s">
        <v>163</v>
      </c>
      <c r="G6" s="53">
        <v>43539</v>
      </c>
      <c r="H6">
        <v>33</v>
      </c>
      <c r="I6" t="s">
        <v>349</v>
      </c>
      <c r="J6" t="s">
        <v>50</v>
      </c>
      <c r="K6" t="s">
        <v>50</v>
      </c>
      <c r="L6" t="s">
        <v>159</v>
      </c>
      <c r="M6" t="s">
        <v>51</v>
      </c>
      <c r="N6" t="s">
        <v>92</v>
      </c>
      <c r="O6" s="1">
        <v>41335</v>
      </c>
      <c r="P6" t="s">
        <v>84</v>
      </c>
      <c r="Q6">
        <v>1</v>
      </c>
      <c r="R6" t="s">
        <v>83</v>
      </c>
      <c r="S6">
        <v>1.4618800000000001</v>
      </c>
      <c r="T6">
        <v>66.900000000000006</v>
      </c>
      <c r="U6" t="s">
        <v>349</v>
      </c>
      <c r="V6" t="s">
        <v>349</v>
      </c>
      <c r="W6">
        <v>98</v>
      </c>
    </row>
    <row r="7" spans="1:23" x14ac:dyDescent="0.3">
      <c r="A7" s="1">
        <v>43466</v>
      </c>
      <c r="B7" s="1">
        <v>43466</v>
      </c>
      <c r="C7" t="s">
        <v>157</v>
      </c>
      <c r="D7" t="s">
        <v>48</v>
      </c>
      <c r="E7" t="s">
        <v>49</v>
      </c>
      <c r="F7" t="s">
        <v>164</v>
      </c>
      <c r="G7" s="53">
        <v>43504</v>
      </c>
      <c r="H7">
        <v>33</v>
      </c>
      <c r="I7">
        <v>7513</v>
      </c>
      <c r="J7" t="s">
        <v>50</v>
      </c>
      <c r="K7" t="s">
        <v>50</v>
      </c>
      <c r="L7" t="s">
        <v>159</v>
      </c>
      <c r="M7" t="s">
        <v>51</v>
      </c>
      <c r="N7" t="s">
        <v>92</v>
      </c>
      <c r="O7" s="1">
        <v>41335</v>
      </c>
      <c r="P7" t="s">
        <v>84</v>
      </c>
      <c r="Q7">
        <v>1</v>
      </c>
      <c r="R7" t="s">
        <v>83</v>
      </c>
      <c r="S7">
        <v>1371.3060350000001</v>
      </c>
      <c r="T7">
        <v>66.900000000000006</v>
      </c>
      <c r="U7" t="s">
        <v>349</v>
      </c>
      <c r="V7" t="s">
        <v>349</v>
      </c>
      <c r="W7">
        <v>91740</v>
      </c>
    </row>
    <row r="8" spans="1:23" x14ac:dyDescent="0.3">
      <c r="A8" s="1">
        <v>43466</v>
      </c>
      <c r="B8" s="1">
        <v>43466</v>
      </c>
      <c r="C8" t="s">
        <v>157</v>
      </c>
      <c r="D8" t="s">
        <v>93</v>
      </c>
      <c r="E8" t="s">
        <v>49</v>
      </c>
      <c r="F8" t="s">
        <v>163</v>
      </c>
      <c r="G8" s="53">
        <v>43539</v>
      </c>
      <c r="H8">
        <v>33</v>
      </c>
      <c r="I8" t="s">
        <v>349</v>
      </c>
      <c r="J8" t="s">
        <v>50</v>
      </c>
      <c r="K8" t="s">
        <v>50</v>
      </c>
      <c r="L8" t="s">
        <v>159</v>
      </c>
      <c r="M8" t="s">
        <v>51</v>
      </c>
      <c r="N8" t="s">
        <v>92</v>
      </c>
      <c r="O8" s="1">
        <v>41335</v>
      </c>
      <c r="P8" t="s">
        <v>84</v>
      </c>
      <c r="Q8">
        <v>2</v>
      </c>
      <c r="R8" t="s">
        <v>94</v>
      </c>
      <c r="S8">
        <v>9.3880000000000005E-3</v>
      </c>
      <c r="T8">
        <v>69.013999999999996</v>
      </c>
      <c r="U8" t="s">
        <v>349</v>
      </c>
      <c r="V8" t="s">
        <v>349</v>
      </c>
      <c r="W8">
        <v>1</v>
      </c>
    </row>
    <row r="9" spans="1:23" x14ac:dyDescent="0.3">
      <c r="A9" s="1">
        <v>43466</v>
      </c>
      <c r="B9" s="1">
        <v>43466</v>
      </c>
      <c r="C9" t="s">
        <v>157</v>
      </c>
      <c r="D9" t="s">
        <v>48</v>
      </c>
      <c r="E9" t="s">
        <v>49</v>
      </c>
      <c r="F9" t="s">
        <v>164</v>
      </c>
      <c r="G9" s="53">
        <v>43504</v>
      </c>
      <c r="H9">
        <v>33</v>
      </c>
      <c r="I9">
        <v>7513</v>
      </c>
      <c r="J9" t="s">
        <v>50</v>
      </c>
      <c r="K9" t="s">
        <v>50</v>
      </c>
      <c r="L9" t="s">
        <v>159</v>
      </c>
      <c r="M9" t="s">
        <v>51</v>
      </c>
      <c r="N9" t="s">
        <v>92</v>
      </c>
      <c r="O9" s="1">
        <v>41335</v>
      </c>
      <c r="P9" t="s">
        <v>84</v>
      </c>
      <c r="Q9">
        <v>2</v>
      </c>
      <c r="R9" t="s">
        <v>94</v>
      </c>
      <c r="S9">
        <v>8.8061659999999993</v>
      </c>
      <c r="T9">
        <v>69.013999999999996</v>
      </c>
      <c r="U9" t="s">
        <v>349</v>
      </c>
      <c r="V9" t="s">
        <v>349</v>
      </c>
      <c r="W9">
        <v>608</v>
      </c>
    </row>
    <row r="10" spans="1:23" x14ac:dyDescent="0.3">
      <c r="A10" s="1">
        <v>43466</v>
      </c>
      <c r="B10" s="1">
        <v>43466</v>
      </c>
      <c r="C10" t="s">
        <v>157</v>
      </c>
      <c r="D10" t="s">
        <v>93</v>
      </c>
      <c r="E10" t="s">
        <v>49</v>
      </c>
      <c r="F10" t="s">
        <v>163</v>
      </c>
      <c r="G10" s="53">
        <v>43539</v>
      </c>
      <c r="H10">
        <v>33</v>
      </c>
      <c r="I10" t="s">
        <v>349</v>
      </c>
      <c r="J10" t="s">
        <v>50</v>
      </c>
      <c r="K10" t="s">
        <v>50</v>
      </c>
      <c r="L10" t="s">
        <v>159</v>
      </c>
      <c r="M10" t="s">
        <v>51</v>
      </c>
      <c r="N10" t="s">
        <v>92</v>
      </c>
      <c r="O10" s="1">
        <v>41335</v>
      </c>
      <c r="P10" t="s">
        <v>84</v>
      </c>
      <c r="Q10">
        <v>3</v>
      </c>
      <c r="R10" t="s">
        <v>81</v>
      </c>
      <c r="S10">
        <v>0.45372099999999999</v>
      </c>
      <c r="T10">
        <v>63.27</v>
      </c>
      <c r="U10" t="s">
        <v>349</v>
      </c>
      <c r="V10" t="s">
        <v>349</v>
      </c>
      <c r="W10">
        <v>29</v>
      </c>
    </row>
    <row r="11" spans="1:23" x14ac:dyDescent="0.3">
      <c r="A11" s="1">
        <v>43466</v>
      </c>
      <c r="B11" s="1">
        <v>43466</v>
      </c>
      <c r="C11" t="s">
        <v>157</v>
      </c>
      <c r="D11" t="s">
        <v>48</v>
      </c>
      <c r="E11" t="s">
        <v>49</v>
      </c>
      <c r="F11" t="s">
        <v>164</v>
      </c>
      <c r="G11" s="53">
        <v>43504</v>
      </c>
      <c r="H11">
        <v>33</v>
      </c>
      <c r="I11">
        <v>7513</v>
      </c>
      <c r="J11" t="s">
        <v>50</v>
      </c>
      <c r="K11" t="s">
        <v>50</v>
      </c>
      <c r="L11" t="s">
        <v>159</v>
      </c>
      <c r="M11" t="s">
        <v>51</v>
      </c>
      <c r="N11" t="s">
        <v>92</v>
      </c>
      <c r="O11" s="1">
        <v>41335</v>
      </c>
      <c r="P11" t="s">
        <v>84</v>
      </c>
      <c r="Q11">
        <v>3</v>
      </c>
      <c r="R11" t="s">
        <v>81</v>
      </c>
      <c r="S11">
        <v>425.60960999999998</v>
      </c>
      <c r="T11">
        <v>63.27</v>
      </c>
      <c r="U11" t="s">
        <v>349</v>
      </c>
      <c r="V11" t="s">
        <v>349</v>
      </c>
      <c r="W11">
        <v>26928</v>
      </c>
    </row>
    <row r="12" spans="1:23" x14ac:dyDescent="0.3">
      <c r="A12" s="1">
        <v>43466</v>
      </c>
      <c r="B12" s="1">
        <v>43466</v>
      </c>
      <c r="C12" t="s">
        <v>157</v>
      </c>
      <c r="D12" t="s">
        <v>93</v>
      </c>
      <c r="E12" t="s">
        <v>49</v>
      </c>
      <c r="F12" t="s">
        <v>163</v>
      </c>
      <c r="G12" s="53">
        <v>43539</v>
      </c>
      <c r="H12">
        <v>33</v>
      </c>
      <c r="I12" t="s">
        <v>349</v>
      </c>
      <c r="J12" t="s">
        <v>50</v>
      </c>
      <c r="K12" t="s">
        <v>50</v>
      </c>
      <c r="L12" t="s">
        <v>159</v>
      </c>
      <c r="M12" t="s">
        <v>51</v>
      </c>
      <c r="N12" t="s">
        <v>92</v>
      </c>
      <c r="O12" s="1">
        <v>41335</v>
      </c>
      <c r="P12" t="s">
        <v>84</v>
      </c>
      <c r="Q12">
        <v>4</v>
      </c>
      <c r="R12" t="s">
        <v>27</v>
      </c>
      <c r="S12">
        <v>2.2124519999999999</v>
      </c>
      <c r="T12">
        <v>65.349000000000004</v>
      </c>
      <c r="U12" t="s">
        <v>349</v>
      </c>
      <c r="V12" t="s">
        <v>349</v>
      </c>
      <c r="W12">
        <v>145</v>
      </c>
    </row>
    <row r="13" spans="1:23" x14ac:dyDescent="0.3">
      <c r="A13" s="1">
        <v>43466</v>
      </c>
      <c r="B13" s="1">
        <v>43466</v>
      </c>
      <c r="C13" t="s">
        <v>157</v>
      </c>
      <c r="D13" t="s">
        <v>48</v>
      </c>
      <c r="E13" t="s">
        <v>49</v>
      </c>
      <c r="F13" t="s">
        <v>164</v>
      </c>
      <c r="G13" s="53">
        <v>43504</v>
      </c>
      <c r="H13">
        <v>33</v>
      </c>
      <c r="I13">
        <v>7513</v>
      </c>
      <c r="J13" t="s">
        <v>50</v>
      </c>
      <c r="K13" t="s">
        <v>50</v>
      </c>
      <c r="L13" t="s">
        <v>159</v>
      </c>
      <c r="M13" t="s">
        <v>51</v>
      </c>
      <c r="N13" t="s">
        <v>92</v>
      </c>
      <c r="O13" s="1">
        <v>41335</v>
      </c>
      <c r="P13" t="s">
        <v>84</v>
      </c>
      <c r="Q13">
        <v>4</v>
      </c>
      <c r="R13" t="s">
        <v>27</v>
      </c>
      <c r="S13">
        <v>2075.3740229999999</v>
      </c>
      <c r="T13">
        <v>65.349000000000004</v>
      </c>
      <c r="U13" t="s">
        <v>349</v>
      </c>
      <c r="V13" t="s">
        <v>349</v>
      </c>
      <c r="W13">
        <v>135624</v>
      </c>
    </row>
    <row r="14" spans="1:23" x14ac:dyDescent="0.3">
      <c r="A14" s="1">
        <v>43466</v>
      </c>
      <c r="B14" s="1">
        <v>43466</v>
      </c>
      <c r="C14" t="s">
        <v>157</v>
      </c>
      <c r="D14" t="s">
        <v>93</v>
      </c>
      <c r="E14" t="s">
        <v>49</v>
      </c>
      <c r="F14" t="s">
        <v>163</v>
      </c>
      <c r="G14" s="53">
        <v>43539</v>
      </c>
      <c r="H14">
        <v>33</v>
      </c>
      <c r="I14" t="s">
        <v>349</v>
      </c>
      <c r="J14" t="s">
        <v>50</v>
      </c>
      <c r="K14" t="s">
        <v>50</v>
      </c>
      <c r="L14" t="s">
        <v>159</v>
      </c>
      <c r="M14" t="s">
        <v>51</v>
      </c>
      <c r="N14" t="s">
        <v>92</v>
      </c>
      <c r="O14" s="1">
        <v>41335</v>
      </c>
      <c r="P14" t="s">
        <v>84</v>
      </c>
      <c r="Q14">
        <v>5</v>
      </c>
      <c r="R14" t="s">
        <v>28</v>
      </c>
      <c r="S14">
        <v>8.6370000000000006E-3</v>
      </c>
      <c r="T14">
        <v>69.367999999999995</v>
      </c>
      <c r="U14" t="s">
        <v>349</v>
      </c>
      <c r="V14" t="s">
        <v>349</v>
      </c>
      <c r="W14">
        <v>1</v>
      </c>
    </row>
    <row r="15" spans="1:23" x14ac:dyDescent="0.3">
      <c r="A15" s="1">
        <v>43466</v>
      </c>
      <c r="B15" s="1">
        <v>43466</v>
      </c>
      <c r="C15" t="s">
        <v>157</v>
      </c>
      <c r="D15" t="s">
        <v>48</v>
      </c>
      <c r="E15" t="s">
        <v>49</v>
      </c>
      <c r="F15" t="s">
        <v>164</v>
      </c>
      <c r="G15" s="53">
        <v>43504</v>
      </c>
      <c r="H15">
        <v>33</v>
      </c>
      <c r="I15">
        <v>7513</v>
      </c>
      <c r="J15" t="s">
        <v>50</v>
      </c>
      <c r="K15" t="s">
        <v>50</v>
      </c>
      <c r="L15" t="s">
        <v>159</v>
      </c>
      <c r="M15" t="s">
        <v>51</v>
      </c>
      <c r="N15" t="s">
        <v>92</v>
      </c>
      <c r="O15" s="1">
        <v>41335</v>
      </c>
      <c r="P15" t="s">
        <v>84</v>
      </c>
      <c r="Q15">
        <v>5</v>
      </c>
      <c r="R15" t="s">
        <v>28</v>
      </c>
      <c r="S15">
        <v>8.1020570000000003</v>
      </c>
      <c r="T15">
        <v>69.367999999999995</v>
      </c>
      <c r="U15" t="s">
        <v>349</v>
      </c>
      <c r="V15" t="s">
        <v>349</v>
      </c>
      <c r="W15">
        <v>562</v>
      </c>
    </row>
    <row r="16" spans="1:23" x14ac:dyDescent="0.3">
      <c r="A16" s="1">
        <v>43497</v>
      </c>
      <c r="B16" s="1">
        <v>43497</v>
      </c>
      <c r="C16" t="s">
        <v>157</v>
      </c>
      <c r="D16" t="s">
        <v>93</v>
      </c>
      <c r="E16" t="s">
        <v>49</v>
      </c>
      <c r="F16" t="s">
        <v>166</v>
      </c>
      <c r="G16" s="53">
        <v>43564</v>
      </c>
      <c r="H16">
        <v>61</v>
      </c>
      <c r="I16" t="s">
        <v>349</v>
      </c>
      <c r="J16" t="s">
        <v>50</v>
      </c>
      <c r="K16" t="s">
        <v>50</v>
      </c>
      <c r="L16" t="s">
        <v>159</v>
      </c>
      <c r="M16" t="s">
        <v>51</v>
      </c>
      <c r="N16" t="s">
        <v>92</v>
      </c>
      <c r="O16" s="1">
        <v>41335</v>
      </c>
      <c r="P16" t="s">
        <v>84</v>
      </c>
      <c r="Q16">
        <v>1</v>
      </c>
      <c r="R16" t="s">
        <v>83</v>
      </c>
      <c r="S16">
        <v>0.23349</v>
      </c>
      <c r="T16">
        <v>66.900000000000006</v>
      </c>
      <c r="U16" t="s">
        <v>349</v>
      </c>
      <c r="V16" t="s">
        <v>349</v>
      </c>
      <c r="W16">
        <v>16</v>
      </c>
    </row>
    <row r="17" spans="1:23" x14ac:dyDescent="0.3">
      <c r="A17" s="1">
        <v>43497</v>
      </c>
      <c r="B17" s="1">
        <v>43497</v>
      </c>
      <c r="C17" t="s">
        <v>157</v>
      </c>
      <c r="D17" t="s">
        <v>48</v>
      </c>
      <c r="E17" t="s">
        <v>49</v>
      </c>
      <c r="F17" t="s">
        <v>165</v>
      </c>
      <c r="G17" s="53">
        <v>43532</v>
      </c>
      <c r="H17">
        <v>33</v>
      </c>
      <c r="I17">
        <v>7798</v>
      </c>
      <c r="J17" t="s">
        <v>50</v>
      </c>
      <c r="K17" t="s">
        <v>50</v>
      </c>
      <c r="L17" t="s">
        <v>159</v>
      </c>
      <c r="M17" t="s">
        <v>51</v>
      </c>
      <c r="N17" t="s">
        <v>92</v>
      </c>
      <c r="O17" s="1">
        <v>41335</v>
      </c>
      <c r="P17" t="s">
        <v>84</v>
      </c>
      <c r="Q17">
        <v>1</v>
      </c>
      <c r="R17" t="s">
        <v>83</v>
      </c>
      <c r="S17">
        <v>1368.5298740000001</v>
      </c>
      <c r="T17">
        <v>66.900000000000006</v>
      </c>
      <c r="U17" t="s">
        <v>349</v>
      </c>
      <c r="V17" t="s">
        <v>349</v>
      </c>
      <c r="W17">
        <v>91555</v>
      </c>
    </row>
    <row r="18" spans="1:23" x14ac:dyDescent="0.3">
      <c r="A18" s="1">
        <v>43497</v>
      </c>
      <c r="B18" s="1">
        <v>43497</v>
      </c>
      <c r="C18" t="s">
        <v>157</v>
      </c>
      <c r="D18" t="s">
        <v>48</v>
      </c>
      <c r="E18" t="s">
        <v>49</v>
      </c>
      <c r="F18" t="s">
        <v>165</v>
      </c>
      <c r="G18" s="53">
        <v>43532</v>
      </c>
      <c r="H18">
        <v>33</v>
      </c>
      <c r="I18">
        <v>7798</v>
      </c>
      <c r="J18" t="s">
        <v>50</v>
      </c>
      <c r="K18" t="s">
        <v>50</v>
      </c>
      <c r="L18" t="s">
        <v>159</v>
      </c>
      <c r="M18" t="s">
        <v>51</v>
      </c>
      <c r="N18" t="s">
        <v>92</v>
      </c>
      <c r="O18" s="1">
        <v>41335</v>
      </c>
      <c r="P18" t="s">
        <v>84</v>
      </c>
      <c r="Q18">
        <v>2</v>
      </c>
      <c r="R18" t="s">
        <v>94</v>
      </c>
      <c r="S18">
        <v>8.8166320000000002</v>
      </c>
      <c r="T18">
        <v>69.013999999999996</v>
      </c>
      <c r="U18" t="s">
        <v>349</v>
      </c>
      <c r="V18" t="s">
        <v>349</v>
      </c>
      <c r="W18">
        <v>608</v>
      </c>
    </row>
    <row r="19" spans="1:23" x14ac:dyDescent="0.3">
      <c r="A19" s="1">
        <v>43497</v>
      </c>
      <c r="B19" s="1">
        <v>43497</v>
      </c>
      <c r="C19" t="s">
        <v>157</v>
      </c>
      <c r="D19" t="s">
        <v>93</v>
      </c>
      <c r="E19" t="s">
        <v>49</v>
      </c>
      <c r="F19" t="s">
        <v>166</v>
      </c>
      <c r="G19" s="53">
        <v>43564</v>
      </c>
      <c r="H19">
        <v>61</v>
      </c>
      <c r="I19" t="s">
        <v>349</v>
      </c>
      <c r="J19" t="s">
        <v>50</v>
      </c>
      <c r="K19" t="s">
        <v>50</v>
      </c>
      <c r="L19" t="s">
        <v>159</v>
      </c>
      <c r="M19" t="s">
        <v>51</v>
      </c>
      <c r="N19" t="s">
        <v>92</v>
      </c>
      <c r="O19" s="1">
        <v>41335</v>
      </c>
      <c r="P19" t="s">
        <v>84</v>
      </c>
      <c r="Q19">
        <v>3</v>
      </c>
      <c r="R19" t="s">
        <v>81</v>
      </c>
      <c r="S19">
        <v>7.2089E-2</v>
      </c>
      <c r="T19">
        <v>63.27</v>
      </c>
      <c r="U19" t="s">
        <v>349</v>
      </c>
      <c r="V19" t="s">
        <v>349</v>
      </c>
      <c r="W19">
        <v>5</v>
      </c>
    </row>
    <row r="20" spans="1:23" x14ac:dyDescent="0.3">
      <c r="A20" s="1">
        <v>43497</v>
      </c>
      <c r="B20" s="1">
        <v>43497</v>
      </c>
      <c r="C20" t="s">
        <v>157</v>
      </c>
      <c r="D20" t="s">
        <v>48</v>
      </c>
      <c r="E20" t="s">
        <v>49</v>
      </c>
      <c r="F20" t="s">
        <v>165</v>
      </c>
      <c r="G20" s="53">
        <v>43532</v>
      </c>
      <c r="H20">
        <v>33</v>
      </c>
      <c r="I20">
        <v>7798</v>
      </c>
      <c r="J20" t="s">
        <v>50</v>
      </c>
      <c r="K20" t="s">
        <v>50</v>
      </c>
      <c r="L20" t="s">
        <v>159</v>
      </c>
      <c r="M20" t="s">
        <v>51</v>
      </c>
      <c r="N20" t="s">
        <v>92</v>
      </c>
      <c r="O20" s="1">
        <v>41335</v>
      </c>
      <c r="P20" t="s">
        <v>84</v>
      </c>
      <c r="Q20">
        <v>3</v>
      </c>
      <c r="R20" t="s">
        <v>81</v>
      </c>
      <c r="S20">
        <v>422.52677699999998</v>
      </c>
      <c r="T20">
        <v>63.27</v>
      </c>
      <c r="U20" t="s">
        <v>349</v>
      </c>
      <c r="V20" t="s">
        <v>349</v>
      </c>
      <c r="W20">
        <v>26733</v>
      </c>
    </row>
    <row r="21" spans="1:23" x14ac:dyDescent="0.3">
      <c r="A21" s="1">
        <v>43497</v>
      </c>
      <c r="B21" s="1">
        <v>43497</v>
      </c>
      <c r="C21" t="s">
        <v>157</v>
      </c>
      <c r="D21" t="s">
        <v>93</v>
      </c>
      <c r="E21" t="s">
        <v>49</v>
      </c>
      <c r="F21" t="s">
        <v>166</v>
      </c>
      <c r="G21" s="53">
        <v>43564</v>
      </c>
      <c r="H21">
        <v>61</v>
      </c>
      <c r="I21" t="s">
        <v>349</v>
      </c>
      <c r="J21" t="s">
        <v>50</v>
      </c>
      <c r="K21" t="s">
        <v>50</v>
      </c>
      <c r="L21" t="s">
        <v>159</v>
      </c>
      <c r="M21" t="s">
        <v>51</v>
      </c>
      <c r="N21" t="s">
        <v>92</v>
      </c>
      <c r="O21" s="1">
        <v>41335</v>
      </c>
      <c r="P21" t="s">
        <v>84</v>
      </c>
      <c r="Q21">
        <v>4</v>
      </c>
      <c r="R21" t="s">
        <v>27</v>
      </c>
      <c r="S21">
        <v>0.353269</v>
      </c>
      <c r="T21">
        <v>65.349000000000004</v>
      </c>
      <c r="U21" t="s">
        <v>349</v>
      </c>
      <c r="V21" t="s">
        <v>349</v>
      </c>
      <c r="W21">
        <v>23</v>
      </c>
    </row>
    <row r="22" spans="1:23" x14ac:dyDescent="0.3">
      <c r="A22" s="1">
        <v>43497</v>
      </c>
      <c r="B22" s="1">
        <v>43497</v>
      </c>
      <c r="C22" t="s">
        <v>157</v>
      </c>
      <c r="D22" t="s">
        <v>48</v>
      </c>
      <c r="E22" t="s">
        <v>49</v>
      </c>
      <c r="F22" t="s">
        <v>165</v>
      </c>
      <c r="G22" s="53">
        <v>43532</v>
      </c>
      <c r="H22">
        <v>33</v>
      </c>
      <c r="I22">
        <v>7798</v>
      </c>
      <c r="J22" t="s">
        <v>50</v>
      </c>
      <c r="K22" t="s">
        <v>50</v>
      </c>
      <c r="L22" t="s">
        <v>159</v>
      </c>
      <c r="M22" t="s">
        <v>51</v>
      </c>
      <c r="N22" t="s">
        <v>92</v>
      </c>
      <c r="O22" s="1">
        <v>41335</v>
      </c>
      <c r="P22" t="s">
        <v>84</v>
      </c>
      <c r="Q22">
        <v>4</v>
      </c>
      <c r="R22" t="s">
        <v>27</v>
      </c>
      <c r="S22">
        <v>2070.5800789999998</v>
      </c>
      <c r="T22">
        <v>65.349000000000004</v>
      </c>
      <c r="U22" t="s">
        <v>349</v>
      </c>
      <c r="V22" t="s">
        <v>349</v>
      </c>
      <c r="W22">
        <v>135310</v>
      </c>
    </row>
    <row r="23" spans="1:23" x14ac:dyDescent="0.3">
      <c r="A23" s="1">
        <v>43497</v>
      </c>
      <c r="B23" s="1">
        <v>43497</v>
      </c>
      <c r="C23" t="s">
        <v>157</v>
      </c>
      <c r="D23" t="s">
        <v>48</v>
      </c>
      <c r="E23" t="s">
        <v>49</v>
      </c>
      <c r="F23" t="s">
        <v>165</v>
      </c>
      <c r="G23" s="53">
        <v>43532</v>
      </c>
      <c r="H23">
        <v>33</v>
      </c>
      <c r="I23">
        <v>7798</v>
      </c>
      <c r="J23" t="s">
        <v>50</v>
      </c>
      <c r="K23" t="s">
        <v>50</v>
      </c>
      <c r="L23" t="s">
        <v>159</v>
      </c>
      <c r="M23" t="s">
        <v>51</v>
      </c>
      <c r="N23" t="s">
        <v>92</v>
      </c>
      <c r="O23" s="1">
        <v>41335</v>
      </c>
      <c r="P23" t="s">
        <v>84</v>
      </c>
      <c r="Q23">
        <v>5</v>
      </c>
      <c r="R23" t="s">
        <v>28</v>
      </c>
      <c r="S23">
        <v>8.102328</v>
      </c>
      <c r="T23">
        <v>69.367999999999995</v>
      </c>
      <c r="U23" t="s">
        <v>349</v>
      </c>
      <c r="V23" t="s">
        <v>349</v>
      </c>
      <c r="W23">
        <v>562</v>
      </c>
    </row>
    <row r="24" spans="1:23" x14ac:dyDescent="0.3">
      <c r="A24" s="1">
        <v>43525</v>
      </c>
      <c r="B24" s="1">
        <v>43525</v>
      </c>
      <c r="C24" t="s">
        <v>157</v>
      </c>
      <c r="D24" t="s">
        <v>93</v>
      </c>
      <c r="E24" t="s">
        <v>49</v>
      </c>
      <c r="F24" t="s">
        <v>168</v>
      </c>
      <c r="G24" s="53">
        <v>43598</v>
      </c>
      <c r="H24">
        <v>33</v>
      </c>
      <c r="I24" t="s">
        <v>349</v>
      </c>
      <c r="J24" t="s">
        <v>50</v>
      </c>
      <c r="K24" t="s">
        <v>50</v>
      </c>
      <c r="L24" t="s">
        <v>159</v>
      </c>
      <c r="M24" t="s">
        <v>51</v>
      </c>
      <c r="N24" t="s">
        <v>92</v>
      </c>
      <c r="O24" s="1">
        <v>41335</v>
      </c>
      <c r="P24" t="s">
        <v>84</v>
      </c>
      <c r="Q24">
        <v>1</v>
      </c>
      <c r="R24" t="s">
        <v>83</v>
      </c>
      <c r="S24">
        <v>0.58060900000000004</v>
      </c>
      <c r="T24">
        <v>66.900000000000006</v>
      </c>
      <c r="U24" t="s">
        <v>349</v>
      </c>
      <c r="V24" t="s">
        <v>349</v>
      </c>
      <c r="W24">
        <v>39</v>
      </c>
    </row>
    <row r="25" spans="1:23" x14ac:dyDescent="0.3">
      <c r="A25" s="1">
        <v>43525</v>
      </c>
      <c r="B25" s="1">
        <v>43525</v>
      </c>
      <c r="C25" t="s">
        <v>157</v>
      </c>
      <c r="D25" t="s">
        <v>48</v>
      </c>
      <c r="E25" t="s">
        <v>49</v>
      </c>
      <c r="F25" t="s">
        <v>167</v>
      </c>
      <c r="G25" s="53">
        <v>43563</v>
      </c>
      <c r="H25">
        <v>33</v>
      </c>
      <c r="I25">
        <v>8389</v>
      </c>
      <c r="J25" t="s">
        <v>50</v>
      </c>
      <c r="K25" t="s">
        <v>50</v>
      </c>
      <c r="L25" t="s">
        <v>159</v>
      </c>
      <c r="M25" t="s">
        <v>51</v>
      </c>
      <c r="N25" t="s">
        <v>92</v>
      </c>
      <c r="O25" s="1">
        <v>41335</v>
      </c>
      <c r="P25" t="s">
        <v>84</v>
      </c>
      <c r="Q25">
        <v>1</v>
      </c>
      <c r="R25" t="s">
        <v>83</v>
      </c>
      <c r="S25">
        <v>1311.623335</v>
      </c>
      <c r="T25">
        <v>66.900000000000006</v>
      </c>
      <c r="U25" t="s">
        <v>349</v>
      </c>
      <c r="V25" t="s">
        <v>349</v>
      </c>
      <c r="W25">
        <v>87748</v>
      </c>
    </row>
    <row r="26" spans="1:23" x14ac:dyDescent="0.3">
      <c r="A26" s="1">
        <v>43525</v>
      </c>
      <c r="B26" s="1">
        <v>43525</v>
      </c>
      <c r="C26" t="s">
        <v>157</v>
      </c>
      <c r="D26" t="s">
        <v>48</v>
      </c>
      <c r="E26" t="s">
        <v>49</v>
      </c>
      <c r="F26" t="s">
        <v>167</v>
      </c>
      <c r="G26" s="53">
        <v>43563</v>
      </c>
      <c r="H26">
        <v>33</v>
      </c>
      <c r="I26">
        <v>8389</v>
      </c>
      <c r="J26" t="s">
        <v>50</v>
      </c>
      <c r="K26" t="s">
        <v>50</v>
      </c>
      <c r="L26" t="s">
        <v>159</v>
      </c>
      <c r="M26" t="s">
        <v>51</v>
      </c>
      <c r="N26" t="s">
        <v>92</v>
      </c>
      <c r="O26" s="1">
        <v>41335</v>
      </c>
      <c r="P26" t="s">
        <v>84</v>
      </c>
      <c r="Q26">
        <v>2</v>
      </c>
      <c r="R26" t="s">
        <v>94</v>
      </c>
      <c r="S26">
        <v>8.1736970000000007</v>
      </c>
      <c r="T26">
        <v>69.013999999999996</v>
      </c>
      <c r="U26" t="s">
        <v>349</v>
      </c>
      <c r="V26" t="s">
        <v>349</v>
      </c>
      <c r="W26">
        <v>564</v>
      </c>
    </row>
    <row r="27" spans="1:23" x14ac:dyDescent="0.3">
      <c r="A27" s="1">
        <v>43525</v>
      </c>
      <c r="B27" s="1">
        <v>43525</v>
      </c>
      <c r="C27" t="s">
        <v>157</v>
      </c>
      <c r="D27" t="s">
        <v>93</v>
      </c>
      <c r="E27" t="s">
        <v>49</v>
      </c>
      <c r="F27" t="s">
        <v>168</v>
      </c>
      <c r="G27" s="53">
        <v>43598</v>
      </c>
      <c r="H27">
        <v>33</v>
      </c>
      <c r="I27" t="s">
        <v>349</v>
      </c>
      <c r="J27" t="s">
        <v>50</v>
      </c>
      <c r="K27" t="s">
        <v>50</v>
      </c>
      <c r="L27" t="s">
        <v>159</v>
      </c>
      <c r="M27" t="s">
        <v>51</v>
      </c>
      <c r="N27" t="s">
        <v>92</v>
      </c>
      <c r="O27" s="1">
        <v>41335</v>
      </c>
      <c r="P27" t="s">
        <v>84</v>
      </c>
      <c r="Q27">
        <v>3</v>
      </c>
      <c r="R27" t="s">
        <v>81</v>
      </c>
      <c r="S27">
        <v>0.17821799999999999</v>
      </c>
      <c r="T27">
        <v>63.27</v>
      </c>
      <c r="U27" t="s">
        <v>349</v>
      </c>
      <c r="V27" t="s">
        <v>349</v>
      </c>
      <c r="W27">
        <v>11</v>
      </c>
    </row>
    <row r="28" spans="1:23" x14ac:dyDescent="0.3">
      <c r="A28" s="1">
        <v>43525</v>
      </c>
      <c r="B28" s="1">
        <v>43525</v>
      </c>
      <c r="C28" t="s">
        <v>157</v>
      </c>
      <c r="D28" t="s">
        <v>48</v>
      </c>
      <c r="E28" t="s">
        <v>49</v>
      </c>
      <c r="F28" t="s">
        <v>167</v>
      </c>
      <c r="G28" s="53">
        <v>43563</v>
      </c>
      <c r="H28">
        <v>33</v>
      </c>
      <c r="I28">
        <v>8389</v>
      </c>
      <c r="J28" t="s">
        <v>50</v>
      </c>
      <c r="K28" t="s">
        <v>50</v>
      </c>
      <c r="L28" t="s">
        <v>159</v>
      </c>
      <c r="M28" t="s">
        <v>51</v>
      </c>
      <c r="N28" t="s">
        <v>92</v>
      </c>
      <c r="O28" s="1">
        <v>41335</v>
      </c>
      <c r="P28" t="s">
        <v>84</v>
      </c>
      <c r="Q28">
        <v>3</v>
      </c>
      <c r="R28" t="s">
        <v>81</v>
      </c>
      <c r="S28">
        <v>402.603993</v>
      </c>
      <c r="T28">
        <v>63.27</v>
      </c>
      <c r="U28" t="s">
        <v>349</v>
      </c>
      <c r="V28" t="s">
        <v>349</v>
      </c>
      <c r="W28">
        <v>25473</v>
      </c>
    </row>
    <row r="29" spans="1:23" x14ac:dyDescent="0.3">
      <c r="A29" s="1">
        <v>43525</v>
      </c>
      <c r="B29" s="1">
        <v>43525</v>
      </c>
      <c r="C29" t="s">
        <v>157</v>
      </c>
      <c r="D29" t="s">
        <v>93</v>
      </c>
      <c r="E29" t="s">
        <v>49</v>
      </c>
      <c r="F29" t="s">
        <v>168</v>
      </c>
      <c r="G29" s="53">
        <v>43598</v>
      </c>
      <c r="H29">
        <v>33</v>
      </c>
      <c r="I29" t="s">
        <v>349</v>
      </c>
      <c r="J29" t="s">
        <v>50</v>
      </c>
      <c r="K29" t="s">
        <v>50</v>
      </c>
      <c r="L29" t="s">
        <v>159</v>
      </c>
      <c r="M29" t="s">
        <v>51</v>
      </c>
      <c r="N29" t="s">
        <v>92</v>
      </c>
      <c r="O29" s="1">
        <v>41335</v>
      </c>
      <c r="P29" t="s">
        <v>84</v>
      </c>
      <c r="Q29">
        <v>4</v>
      </c>
      <c r="R29" t="s">
        <v>27</v>
      </c>
      <c r="S29">
        <v>0.87116000000000005</v>
      </c>
      <c r="T29">
        <v>65.349000000000004</v>
      </c>
      <c r="U29" t="s">
        <v>349</v>
      </c>
      <c r="V29" t="s">
        <v>349</v>
      </c>
      <c r="W29">
        <v>57</v>
      </c>
    </row>
    <row r="30" spans="1:23" x14ac:dyDescent="0.3">
      <c r="A30" s="1">
        <v>43525</v>
      </c>
      <c r="B30" s="1">
        <v>43525</v>
      </c>
      <c r="C30" t="s">
        <v>157</v>
      </c>
      <c r="D30" t="s">
        <v>48</v>
      </c>
      <c r="E30" t="s">
        <v>49</v>
      </c>
      <c r="F30" t="s">
        <v>167</v>
      </c>
      <c r="G30" s="53">
        <v>43563</v>
      </c>
      <c r="H30">
        <v>33</v>
      </c>
      <c r="I30">
        <v>8389</v>
      </c>
      <c r="J30" t="s">
        <v>50</v>
      </c>
      <c r="K30" t="s">
        <v>50</v>
      </c>
      <c r="L30" t="s">
        <v>159</v>
      </c>
      <c r="M30" t="s">
        <v>51</v>
      </c>
      <c r="N30" t="s">
        <v>92</v>
      </c>
      <c r="O30" s="1">
        <v>41335</v>
      </c>
      <c r="P30" t="s">
        <v>84</v>
      </c>
      <c r="Q30">
        <v>4</v>
      </c>
      <c r="R30" t="s">
        <v>27</v>
      </c>
      <c r="S30">
        <v>1967.9945319999999</v>
      </c>
      <c r="T30">
        <v>65.349000000000004</v>
      </c>
      <c r="U30" t="s">
        <v>349</v>
      </c>
      <c r="V30" t="s">
        <v>349</v>
      </c>
      <c r="W30">
        <v>128606</v>
      </c>
    </row>
    <row r="31" spans="1:23" x14ac:dyDescent="0.3">
      <c r="A31" s="1">
        <v>43525</v>
      </c>
      <c r="B31" s="1">
        <v>43525</v>
      </c>
      <c r="C31" t="s">
        <v>157</v>
      </c>
      <c r="D31" t="s">
        <v>48</v>
      </c>
      <c r="E31" t="s">
        <v>49</v>
      </c>
      <c r="F31" t="s">
        <v>167</v>
      </c>
      <c r="G31" s="53">
        <v>43563</v>
      </c>
      <c r="H31">
        <v>33</v>
      </c>
      <c r="I31">
        <v>8389</v>
      </c>
      <c r="J31" t="s">
        <v>50</v>
      </c>
      <c r="K31" t="s">
        <v>50</v>
      </c>
      <c r="L31" t="s">
        <v>159</v>
      </c>
      <c r="M31" t="s">
        <v>51</v>
      </c>
      <c r="N31" t="s">
        <v>92</v>
      </c>
      <c r="O31" s="1">
        <v>41335</v>
      </c>
      <c r="P31" t="s">
        <v>84</v>
      </c>
      <c r="Q31">
        <v>5</v>
      </c>
      <c r="R31" t="s">
        <v>28</v>
      </c>
      <c r="S31">
        <v>7.5148950000000001</v>
      </c>
      <c r="T31">
        <v>69.367999999999995</v>
      </c>
      <c r="U31" t="s">
        <v>349</v>
      </c>
      <c r="V31" t="s">
        <v>349</v>
      </c>
      <c r="W31">
        <v>521</v>
      </c>
    </row>
    <row r="32" spans="1:23" x14ac:dyDescent="0.3">
      <c r="A32" s="1">
        <v>43556</v>
      </c>
      <c r="B32" s="1">
        <v>43556</v>
      </c>
      <c r="C32" t="s">
        <v>157</v>
      </c>
      <c r="D32" t="s">
        <v>54</v>
      </c>
      <c r="E32" t="s">
        <v>21</v>
      </c>
      <c r="F32" t="s">
        <v>170</v>
      </c>
      <c r="G32" s="53">
        <v>43598</v>
      </c>
      <c r="H32">
        <v>33</v>
      </c>
      <c r="I32">
        <v>8451</v>
      </c>
      <c r="J32" t="s">
        <v>50</v>
      </c>
      <c r="K32" t="s">
        <v>50</v>
      </c>
      <c r="L32" t="s">
        <v>159</v>
      </c>
      <c r="M32" t="s">
        <v>51</v>
      </c>
      <c r="N32" t="s">
        <v>92</v>
      </c>
      <c r="O32" s="1">
        <v>41335</v>
      </c>
      <c r="P32" t="s">
        <v>84</v>
      </c>
      <c r="Q32">
        <v>1</v>
      </c>
      <c r="R32" t="s">
        <v>83</v>
      </c>
      <c r="S32" t="s">
        <v>349</v>
      </c>
      <c r="T32" t="s">
        <v>349</v>
      </c>
      <c r="U32">
        <v>0</v>
      </c>
      <c r="V32">
        <v>0</v>
      </c>
      <c r="W32">
        <v>0</v>
      </c>
    </row>
    <row r="33" spans="1:23" x14ac:dyDescent="0.3">
      <c r="A33" s="1">
        <v>43556</v>
      </c>
      <c r="B33" s="1">
        <v>43556</v>
      </c>
      <c r="C33" t="s">
        <v>157</v>
      </c>
      <c r="D33" t="s">
        <v>93</v>
      </c>
      <c r="E33" t="s">
        <v>49</v>
      </c>
      <c r="F33" t="s">
        <v>169</v>
      </c>
      <c r="G33" s="53">
        <v>43913.49763888889</v>
      </c>
      <c r="H33">
        <v>61</v>
      </c>
      <c r="I33" t="s">
        <v>349</v>
      </c>
      <c r="J33" t="s">
        <v>50</v>
      </c>
      <c r="K33" t="s">
        <v>50</v>
      </c>
      <c r="L33" t="s">
        <v>159</v>
      </c>
      <c r="M33" t="s">
        <v>51</v>
      </c>
      <c r="N33" t="s">
        <v>92</v>
      </c>
      <c r="O33" s="1">
        <v>41335</v>
      </c>
      <c r="P33" t="s">
        <v>84</v>
      </c>
      <c r="Q33">
        <v>1</v>
      </c>
      <c r="R33" t="s">
        <v>83</v>
      </c>
      <c r="S33">
        <v>1</v>
      </c>
      <c r="T33">
        <v>-1091</v>
      </c>
      <c r="U33" t="s">
        <v>349</v>
      </c>
      <c r="V33" t="s">
        <v>349</v>
      </c>
      <c r="W33">
        <v>-1091</v>
      </c>
    </row>
    <row r="34" spans="1:23" x14ac:dyDescent="0.3">
      <c r="A34" s="1">
        <v>43556</v>
      </c>
      <c r="B34" s="1">
        <v>43556</v>
      </c>
      <c r="C34" t="s">
        <v>157</v>
      </c>
      <c r="D34" t="s">
        <v>48</v>
      </c>
      <c r="E34" t="s">
        <v>49</v>
      </c>
      <c r="F34" t="s">
        <v>171</v>
      </c>
      <c r="G34" s="53">
        <v>43598</v>
      </c>
      <c r="H34">
        <v>33</v>
      </c>
      <c r="I34">
        <v>8451</v>
      </c>
      <c r="J34" t="s">
        <v>50</v>
      </c>
      <c r="K34" t="s">
        <v>50</v>
      </c>
      <c r="L34" t="s">
        <v>159</v>
      </c>
      <c r="M34" t="s">
        <v>51</v>
      </c>
      <c r="N34" t="s">
        <v>92</v>
      </c>
      <c r="O34" s="1">
        <v>41335</v>
      </c>
      <c r="P34" t="s">
        <v>84</v>
      </c>
      <c r="Q34">
        <v>1</v>
      </c>
      <c r="R34" t="s">
        <v>83</v>
      </c>
      <c r="S34">
        <v>897.96509900000001</v>
      </c>
      <c r="T34">
        <v>66.900000000000006</v>
      </c>
      <c r="U34" t="s">
        <v>349</v>
      </c>
      <c r="V34" t="s">
        <v>349</v>
      </c>
      <c r="W34">
        <v>60074</v>
      </c>
    </row>
    <row r="35" spans="1:23" x14ac:dyDescent="0.3">
      <c r="A35" s="1">
        <v>43556</v>
      </c>
      <c r="B35" s="1">
        <v>43556</v>
      </c>
      <c r="C35" t="s">
        <v>157</v>
      </c>
      <c r="D35" t="s">
        <v>54</v>
      </c>
      <c r="E35" t="s">
        <v>21</v>
      </c>
      <c r="F35" t="s">
        <v>170</v>
      </c>
      <c r="G35" s="53">
        <v>43598</v>
      </c>
      <c r="H35">
        <v>33</v>
      </c>
      <c r="I35">
        <v>8451</v>
      </c>
      <c r="J35" t="s">
        <v>50</v>
      </c>
      <c r="K35" t="s">
        <v>50</v>
      </c>
      <c r="L35" t="s">
        <v>159</v>
      </c>
      <c r="M35" t="s">
        <v>51</v>
      </c>
      <c r="N35" t="s">
        <v>92</v>
      </c>
      <c r="O35" s="1">
        <v>41335</v>
      </c>
      <c r="P35" t="s">
        <v>84</v>
      </c>
      <c r="Q35">
        <v>2</v>
      </c>
      <c r="R35" t="s">
        <v>94</v>
      </c>
      <c r="S35" t="s">
        <v>349</v>
      </c>
      <c r="T35" t="s">
        <v>349</v>
      </c>
      <c r="U35">
        <v>0</v>
      </c>
      <c r="V35">
        <v>0</v>
      </c>
      <c r="W35">
        <v>0</v>
      </c>
    </row>
    <row r="36" spans="1:23" x14ac:dyDescent="0.3">
      <c r="A36" s="1">
        <v>43556</v>
      </c>
      <c r="B36" s="1">
        <v>43556</v>
      </c>
      <c r="C36" t="s">
        <v>157</v>
      </c>
      <c r="D36" t="s">
        <v>93</v>
      </c>
      <c r="E36" t="s">
        <v>49</v>
      </c>
      <c r="F36" t="s">
        <v>169</v>
      </c>
      <c r="G36" s="53">
        <v>43913.49763888889</v>
      </c>
      <c r="H36">
        <v>61</v>
      </c>
      <c r="I36" t="s">
        <v>349</v>
      </c>
      <c r="J36" t="s">
        <v>50</v>
      </c>
      <c r="K36" t="s">
        <v>50</v>
      </c>
      <c r="L36" t="s">
        <v>159</v>
      </c>
      <c r="M36" t="s">
        <v>51</v>
      </c>
      <c r="N36" t="s">
        <v>92</v>
      </c>
      <c r="O36" s="1">
        <v>41335</v>
      </c>
      <c r="P36" t="s">
        <v>84</v>
      </c>
      <c r="Q36">
        <v>2</v>
      </c>
      <c r="R36" t="s">
        <v>94</v>
      </c>
      <c r="S36">
        <v>1</v>
      </c>
      <c r="T36">
        <v>-8</v>
      </c>
      <c r="U36" t="s">
        <v>349</v>
      </c>
      <c r="V36" t="s">
        <v>349</v>
      </c>
      <c r="W36">
        <v>-8</v>
      </c>
    </row>
    <row r="37" spans="1:23" x14ac:dyDescent="0.3">
      <c r="A37" s="1">
        <v>43556</v>
      </c>
      <c r="B37" s="1">
        <v>43556</v>
      </c>
      <c r="C37" t="s">
        <v>157</v>
      </c>
      <c r="D37" t="s">
        <v>48</v>
      </c>
      <c r="E37" t="s">
        <v>49</v>
      </c>
      <c r="F37" t="s">
        <v>171</v>
      </c>
      <c r="G37" s="53">
        <v>43598</v>
      </c>
      <c r="H37">
        <v>33</v>
      </c>
      <c r="I37">
        <v>8451</v>
      </c>
      <c r="J37" t="s">
        <v>50</v>
      </c>
      <c r="K37" t="s">
        <v>50</v>
      </c>
      <c r="L37" t="s">
        <v>159</v>
      </c>
      <c r="M37" t="s">
        <v>51</v>
      </c>
      <c r="N37" t="s">
        <v>92</v>
      </c>
      <c r="O37" s="1">
        <v>41335</v>
      </c>
      <c r="P37" t="s">
        <v>84</v>
      </c>
      <c r="Q37">
        <v>2</v>
      </c>
      <c r="R37" t="s">
        <v>94</v>
      </c>
      <c r="S37">
        <v>5.9124509999999999</v>
      </c>
      <c r="T37">
        <v>69.013999999999996</v>
      </c>
      <c r="U37" t="s">
        <v>349</v>
      </c>
      <c r="V37" t="s">
        <v>349</v>
      </c>
      <c r="W37">
        <v>408</v>
      </c>
    </row>
    <row r="38" spans="1:23" x14ac:dyDescent="0.3">
      <c r="A38" s="1">
        <v>43556</v>
      </c>
      <c r="B38" s="1">
        <v>43556</v>
      </c>
      <c r="C38" t="s">
        <v>157</v>
      </c>
      <c r="D38" t="s">
        <v>54</v>
      </c>
      <c r="E38" t="s">
        <v>21</v>
      </c>
      <c r="F38" t="s">
        <v>170</v>
      </c>
      <c r="G38" s="53">
        <v>43598</v>
      </c>
      <c r="H38">
        <v>33</v>
      </c>
      <c r="I38">
        <v>8451</v>
      </c>
      <c r="J38" t="s">
        <v>50</v>
      </c>
      <c r="K38" t="s">
        <v>50</v>
      </c>
      <c r="L38" t="s">
        <v>159</v>
      </c>
      <c r="M38" t="s">
        <v>51</v>
      </c>
      <c r="N38" t="s">
        <v>92</v>
      </c>
      <c r="O38" s="1">
        <v>41335</v>
      </c>
      <c r="P38" t="s">
        <v>84</v>
      </c>
      <c r="Q38">
        <v>3</v>
      </c>
      <c r="R38" t="s">
        <v>81</v>
      </c>
      <c r="S38" t="s">
        <v>349</v>
      </c>
      <c r="T38" t="s">
        <v>349</v>
      </c>
      <c r="U38">
        <v>0</v>
      </c>
      <c r="V38">
        <v>0</v>
      </c>
      <c r="W38">
        <v>0</v>
      </c>
    </row>
    <row r="39" spans="1:23" x14ac:dyDescent="0.3">
      <c r="A39" s="1">
        <v>43556</v>
      </c>
      <c r="B39" s="1">
        <v>43556</v>
      </c>
      <c r="C39" t="s">
        <v>157</v>
      </c>
      <c r="D39" t="s">
        <v>93</v>
      </c>
      <c r="E39" t="s">
        <v>49</v>
      </c>
      <c r="F39" t="s">
        <v>169</v>
      </c>
      <c r="G39" s="53">
        <v>43913.49763888889</v>
      </c>
      <c r="H39">
        <v>61</v>
      </c>
      <c r="I39" t="s">
        <v>349</v>
      </c>
      <c r="J39" t="s">
        <v>50</v>
      </c>
      <c r="K39" t="s">
        <v>50</v>
      </c>
      <c r="L39" t="s">
        <v>159</v>
      </c>
      <c r="M39" t="s">
        <v>51</v>
      </c>
      <c r="N39" t="s">
        <v>92</v>
      </c>
      <c r="O39" s="1">
        <v>41335</v>
      </c>
      <c r="P39" t="s">
        <v>84</v>
      </c>
      <c r="Q39">
        <v>3</v>
      </c>
      <c r="R39" t="s">
        <v>81</v>
      </c>
      <c r="S39">
        <v>1</v>
      </c>
      <c r="T39">
        <v>-327</v>
      </c>
      <c r="U39" t="s">
        <v>349</v>
      </c>
      <c r="V39" t="s">
        <v>349</v>
      </c>
      <c r="W39">
        <v>-327</v>
      </c>
    </row>
    <row r="40" spans="1:23" x14ac:dyDescent="0.3">
      <c r="A40" s="1">
        <v>43556</v>
      </c>
      <c r="B40" s="1">
        <v>43556</v>
      </c>
      <c r="C40" t="s">
        <v>157</v>
      </c>
      <c r="D40" t="s">
        <v>48</v>
      </c>
      <c r="E40" t="s">
        <v>49</v>
      </c>
      <c r="F40" t="s">
        <v>171</v>
      </c>
      <c r="G40" s="53">
        <v>43598</v>
      </c>
      <c r="H40">
        <v>33</v>
      </c>
      <c r="I40">
        <v>8451</v>
      </c>
      <c r="J40" t="s">
        <v>50</v>
      </c>
      <c r="K40" t="s">
        <v>50</v>
      </c>
      <c r="L40" t="s">
        <v>159</v>
      </c>
      <c r="M40" t="s">
        <v>51</v>
      </c>
      <c r="N40" t="s">
        <v>92</v>
      </c>
      <c r="O40" s="1">
        <v>41335</v>
      </c>
      <c r="P40" t="s">
        <v>84</v>
      </c>
      <c r="Q40">
        <v>3</v>
      </c>
      <c r="R40" t="s">
        <v>81</v>
      </c>
      <c r="S40">
        <v>278.37088999999997</v>
      </c>
      <c r="T40">
        <v>63.27</v>
      </c>
      <c r="U40" t="s">
        <v>349</v>
      </c>
      <c r="V40" t="s">
        <v>349</v>
      </c>
      <c r="W40">
        <v>17613</v>
      </c>
    </row>
    <row r="41" spans="1:23" x14ac:dyDescent="0.3">
      <c r="A41" s="1">
        <v>43556</v>
      </c>
      <c r="B41" s="1">
        <v>43556</v>
      </c>
      <c r="C41" t="s">
        <v>157</v>
      </c>
      <c r="D41" t="s">
        <v>54</v>
      </c>
      <c r="E41" t="s">
        <v>21</v>
      </c>
      <c r="F41" t="s">
        <v>170</v>
      </c>
      <c r="G41" s="53">
        <v>43598</v>
      </c>
      <c r="H41">
        <v>33</v>
      </c>
      <c r="I41">
        <v>8451</v>
      </c>
      <c r="J41" t="s">
        <v>50</v>
      </c>
      <c r="K41" t="s">
        <v>50</v>
      </c>
      <c r="L41" t="s">
        <v>159</v>
      </c>
      <c r="M41" t="s">
        <v>51</v>
      </c>
      <c r="N41" t="s">
        <v>92</v>
      </c>
      <c r="O41" s="1">
        <v>41335</v>
      </c>
      <c r="P41" t="s">
        <v>84</v>
      </c>
      <c r="Q41">
        <v>4</v>
      </c>
      <c r="R41" t="s">
        <v>27</v>
      </c>
      <c r="S41" t="s">
        <v>349</v>
      </c>
      <c r="T41" t="s">
        <v>349</v>
      </c>
      <c r="U41">
        <v>0</v>
      </c>
      <c r="V41">
        <v>0</v>
      </c>
      <c r="W41">
        <v>0</v>
      </c>
    </row>
    <row r="42" spans="1:23" x14ac:dyDescent="0.3">
      <c r="A42" s="1">
        <v>43556</v>
      </c>
      <c r="B42" s="1">
        <v>43556</v>
      </c>
      <c r="C42" t="s">
        <v>157</v>
      </c>
      <c r="D42" t="s">
        <v>93</v>
      </c>
      <c r="E42" t="s">
        <v>49</v>
      </c>
      <c r="F42" t="s">
        <v>169</v>
      </c>
      <c r="G42" s="53">
        <v>43913.49763888889</v>
      </c>
      <c r="H42">
        <v>61</v>
      </c>
      <c r="I42" t="s">
        <v>349</v>
      </c>
      <c r="J42" t="s">
        <v>50</v>
      </c>
      <c r="K42" t="s">
        <v>50</v>
      </c>
      <c r="L42" t="s">
        <v>159</v>
      </c>
      <c r="M42" t="s">
        <v>51</v>
      </c>
      <c r="N42" t="s">
        <v>92</v>
      </c>
      <c r="O42" s="1">
        <v>41335</v>
      </c>
      <c r="P42" t="s">
        <v>84</v>
      </c>
      <c r="Q42">
        <v>4</v>
      </c>
      <c r="R42" t="s">
        <v>27</v>
      </c>
      <c r="S42">
        <v>1</v>
      </c>
      <c r="T42">
        <v>-1638</v>
      </c>
      <c r="U42" t="s">
        <v>349</v>
      </c>
      <c r="V42" t="s">
        <v>349</v>
      </c>
      <c r="W42">
        <v>-1638</v>
      </c>
    </row>
    <row r="43" spans="1:23" x14ac:dyDescent="0.3">
      <c r="A43" s="1">
        <v>43556</v>
      </c>
      <c r="B43" s="1">
        <v>43556</v>
      </c>
      <c r="C43" t="s">
        <v>157</v>
      </c>
      <c r="D43" t="s">
        <v>48</v>
      </c>
      <c r="E43" t="s">
        <v>49</v>
      </c>
      <c r="F43" t="s">
        <v>171</v>
      </c>
      <c r="G43" s="53">
        <v>43598</v>
      </c>
      <c r="H43">
        <v>33</v>
      </c>
      <c r="I43">
        <v>8451</v>
      </c>
      <c r="J43" t="s">
        <v>50</v>
      </c>
      <c r="K43" t="s">
        <v>50</v>
      </c>
      <c r="L43" t="s">
        <v>159</v>
      </c>
      <c r="M43" t="s">
        <v>51</v>
      </c>
      <c r="N43" t="s">
        <v>92</v>
      </c>
      <c r="O43" s="1">
        <v>41335</v>
      </c>
      <c r="P43" t="s">
        <v>84</v>
      </c>
      <c r="Q43">
        <v>4</v>
      </c>
      <c r="R43" t="s">
        <v>27</v>
      </c>
      <c r="S43">
        <v>1366.2586240000001</v>
      </c>
      <c r="T43">
        <v>65.349000000000004</v>
      </c>
      <c r="U43" t="s">
        <v>349</v>
      </c>
      <c r="V43" t="s">
        <v>349</v>
      </c>
      <c r="W43">
        <v>89284</v>
      </c>
    </row>
    <row r="44" spans="1:23" x14ac:dyDescent="0.3">
      <c r="A44" s="1">
        <v>43556</v>
      </c>
      <c r="B44" s="1">
        <v>43556</v>
      </c>
      <c r="C44" t="s">
        <v>157</v>
      </c>
      <c r="D44" t="s">
        <v>54</v>
      </c>
      <c r="E44" t="s">
        <v>21</v>
      </c>
      <c r="F44" t="s">
        <v>170</v>
      </c>
      <c r="G44" s="53">
        <v>43598</v>
      </c>
      <c r="H44">
        <v>33</v>
      </c>
      <c r="I44">
        <v>8451</v>
      </c>
      <c r="J44" t="s">
        <v>50</v>
      </c>
      <c r="K44" t="s">
        <v>50</v>
      </c>
      <c r="L44" t="s">
        <v>159</v>
      </c>
      <c r="M44" t="s">
        <v>51</v>
      </c>
      <c r="N44" t="s">
        <v>92</v>
      </c>
      <c r="O44" s="1">
        <v>41335</v>
      </c>
      <c r="P44" t="s">
        <v>84</v>
      </c>
      <c r="Q44">
        <v>5</v>
      </c>
      <c r="R44" t="s">
        <v>28</v>
      </c>
      <c r="S44" t="s">
        <v>349</v>
      </c>
      <c r="T44" t="s">
        <v>349</v>
      </c>
      <c r="U44">
        <v>0</v>
      </c>
      <c r="V44">
        <v>0</v>
      </c>
      <c r="W44">
        <v>0</v>
      </c>
    </row>
    <row r="45" spans="1:23" x14ac:dyDescent="0.3">
      <c r="A45" s="1">
        <v>43556</v>
      </c>
      <c r="B45" s="1">
        <v>43556</v>
      </c>
      <c r="C45" t="s">
        <v>157</v>
      </c>
      <c r="D45" t="s">
        <v>93</v>
      </c>
      <c r="E45" t="s">
        <v>49</v>
      </c>
      <c r="F45" t="s">
        <v>169</v>
      </c>
      <c r="G45" s="53">
        <v>43913.49763888889</v>
      </c>
      <c r="H45">
        <v>61</v>
      </c>
      <c r="I45" t="s">
        <v>349</v>
      </c>
      <c r="J45" t="s">
        <v>50</v>
      </c>
      <c r="K45" t="s">
        <v>50</v>
      </c>
      <c r="L45" t="s">
        <v>159</v>
      </c>
      <c r="M45" t="s">
        <v>51</v>
      </c>
      <c r="N45" t="s">
        <v>92</v>
      </c>
      <c r="O45" s="1">
        <v>41335</v>
      </c>
      <c r="P45" t="s">
        <v>84</v>
      </c>
      <c r="Q45">
        <v>5</v>
      </c>
      <c r="R45" t="s">
        <v>28</v>
      </c>
      <c r="S45">
        <v>1</v>
      </c>
      <c r="T45">
        <v>-7</v>
      </c>
      <c r="U45" t="s">
        <v>349</v>
      </c>
      <c r="V45" t="s">
        <v>349</v>
      </c>
      <c r="W45">
        <v>-7</v>
      </c>
    </row>
    <row r="46" spans="1:23" x14ac:dyDescent="0.3">
      <c r="A46" s="1">
        <v>43556</v>
      </c>
      <c r="B46" s="1">
        <v>43556</v>
      </c>
      <c r="C46" t="s">
        <v>157</v>
      </c>
      <c r="D46" t="s">
        <v>48</v>
      </c>
      <c r="E46" t="s">
        <v>49</v>
      </c>
      <c r="F46" t="s">
        <v>171</v>
      </c>
      <c r="G46" s="53">
        <v>43598</v>
      </c>
      <c r="H46">
        <v>33</v>
      </c>
      <c r="I46">
        <v>8451</v>
      </c>
      <c r="J46" t="s">
        <v>50</v>
      </c>
      <c r="K46" t="s">
        <v>50</v>
      </c>
      <c r="L46" t="s">
        <v>159</v>
      </c>
      <c r="M46" t="s">
        <v>51</v>
      </c>
      <c r="N46" t="s">
        <v>92</v>
      </c>
      <c r="O46" s="1">
        <v>41335</v>
      </c>
      <c r="P46" t="s">
        <v>84</v>
      </c>
      <c r="Q46">
        <v>5</v>
      </c>
      <c r="R46" t="s">
        <v>28</v>
      </c>
      <c r="S46">
        <v>5.4320240000000002</v>
      </c>
      <c r="T46">
        <v>69.367999999999995</v>
      </c>
      <c r="U46" t="s">
        <v>349</v>
      </c>
      <c r="V46" t="s">
        <v>349</v>
      </c>
      <c r="W46">
        <v>377</v>
      </c>
    </row>
    <row r="47" spans="1:23" x14ac:dyDescent="0.3">
      <c r="A47" s="1">
        <v>43586</v>
      </c>
      <c r="B47" s="1">
        <v>43586</v>
      </c>
      <c r="C47" t="s">
        <v>157</v>
      </c>
      <c r="D47" t="s">
        <v>54</v>
      </c>
      <c r="E47" t="s">
        <v>21</v>
      </c>
      <c r="F47" t="s">
        <v>173</v>
      </c>
      <c r="G47" s="53">
        <v>43627</v>
      </c>
      <c r="H47">
        <v>33</v>
      </c>
      <c r="I47">
        <v>8768</v>
      </c>
      <c r="J47" t="s">
        <v>50</v>
      </c>
      <c r="K47" t="s">
        <v>50</v>
      </c>
      <c r="L47" t="s">
        <v>159</v>
      </c>
      <c r="M47" t="s">
        <v>51</v>
      </c>
      <c r="N47" t="s">
        <v>92</v>
      </c>
      <c r="O47" s="1">
        <v>41335</v>
      </c>
      <c r="P47" t="s">
        <v>84</v>
      </c>
      <c r="Q47">
        <v>1</v>
      </c>
      <c r="R47" t="s">
        <v>83</v>
      </c>
      <c r="S47" t="s">
        <v>349</v>
      </c>
      <c r="T47" t="s">
        <v>349</v>
      </c>
      <c r="U47">
        <v>0</v>
      </c>
      <c r="V47">
        <v>0</v>
      </c>
      <c r="W47">
        <v>0</v>
      </c>
    </row>
    <row r="48" spans="1:23" x14ac:dyDescent="0.3">
      <c r="A48" s="1">
        <v>43586</v>
      </c>
      <c r="B48" s="1">
        <v>43586</v>
      </c>
      <c r="C48" t="s">
        <v>157</v>
      </c>
      <c r="D48" t="s">
        <v>93</v>
      </c>
      <c r="E48" t="s">
        <v>49</v>
      </c>
      <c r="F48" t="s">
        <v>172</v>
      </c>
      <c r="G48" s="53">
        <v>43915.631481481483</v>
      </c>
      <c r="H48">
        <v>61</v>
      </c>
      <c r="I48" t="s">
        <v>349</v>
      </c>
      <c r="J48" t="s">
        <v>50</v>
      </c>
      <c r="K48" t="s">
        <v>50</v>
      </c>
      <c r="L48" t="s">
        <v>159</v>
      </c>
      <c r="M48" t="s">
        <v>51</v>
      </c>
      <c r="N48" t="s">
        <v>92</v>
      </c>
      <c r="O48" s="1">
        <v>41335</v>
      </c>
      <c r="P48" t="s">
        <v>84</v>
      </c>
      <c r="Q48">
        <v>1</v>
      </c>
      <c r="R48" t="s">
        <v>83</v>
      </c>
      <c r="S48">
        <v>1</v>
      </c>
      <c r="T48">
        <v>-337</v>
      </c>
      <c r="U48" t="s">
        <v>349</v>
      </c>
      <c r="V48" t="s">
        <v>349</v>
      </c>
      <c r="W48">
        <v>-337</v>
      </c>
    </row>
    <row r="49" spans="1:23" x14ac:dyDescent="0.3">
      <c r="A49" s="1">
        <v>43586</v>
      </c>
      <c r="B49" s="1">
        <v>43586</v>
      </c>
      <c r="C49" t="s">
        <v>157</v>
      </c>
      <c r="D49" t="s">
        <v>48</v>
      </c>
      <c r="E49" t="s">
        <v>49</v>
      </c>
      <c r="F49" t="s">
        <v>174</v>
      </c>
      <c r="G49" s="53">
        <v>43627</v>
      </c>
      <c r="H49">
        <v>33</v>
      </c>
      <c r="I49">
        <v>8768</v>
      </c>
      <c r="J49" t="s">
        <v>50</v>
      </c>
      <c r="K49" t="s">
        <v>50</v>
      </c>
      <c r="L49" t="s">
        <v>159</v>
      </c>
      <c r="M49" t="s">
        <v>51</v>
      </c>
      <c r="N49" t="s">
        <v>92</v>
      </c>
      <c r="O49" s="1">
        <v>41335</v>
      </c>
      <c r="P49" t="s">
        <v>84</v>
      </c>
      <c r="Q49">
        <v>1</v>
      </c>
      <c r="R49" t="s">
        <v>83</v>
      </c>
      <c r="S49">
        <v>885.88966900000003</v>
      </c>
      <c r="T49">
        <v>74.400999999999996</v>
      </c>
      <c r="U49" t="s">
        <v>349</v>
      </c>
      <c r="V49" t="s">
        <v>349</v>
      </c>
      <c r="W49">
        <v>65911</v>
      </c>
    </row>
    <row r="50" spans="1:23" x14ac:dyDescent="0.3">
      <c r="A50" s="1">
        <v>43586</v>
      </c>
      <c r="B50" s="1">
        <v>43586</v>
      </c>
      <c r="C50" t="s">
        <v>157</v>
      </c>
      <c r="D50" t="s">
        <v>54</v>
      </c>
      <c r="E50" t="s">
        <v>21</v>
      </c>
      <c r="F50" t="s">
        <v>173</v>
      </c>
      <c r="G50" s="53">
        <v>43627</v>
      </c>
      <c r="H50">
        <v>33</v>
      </c>
      <c r="I50">
        <v>8768</v>
      </c>
      <c r="J50" t="s">
        <v>50</v>
      </c>
      <c r="K50" t="s">
        <v>50</v>
      </c>
      <c r="L50" t="s">
        <v>159</v>
      </c>
      <c r="M50" t="s">
        <v>51</v>
      </c>
      <c r="N50" t="s">
        <v>92</v>
      </c>
      <c r="O50" s="1">
        <v>41335</v>
      </c>
      <c r="P50" t="s">
        <v>84</v>
      </c>
      <c r="Q50">
        <v>2</v>
      </c>
      <c r="R50" t="s">
        <v>94</v>
      </c>
      <c r="S50" t="s">
        <v>349</v>
      </c>
      <c r="T50" t="s">
        <v>349</v>
      </c>
      <c r="U50">
        <v>0</v>
      </c>
      <c r="V50">
        <v>0</v>
      </c>
      <c r="W50">
        <v>0</v>
      </c>
    </row>
    <row r="51" spans="1:23" x14ac:dyDescent="0.3">
      <c r="A51" s="1">
        <v>43586</v>
      </c>
      <c r="B51" s="1">
        <v>43586</v>
      </c>
      <c r="C51" t="s">
        <v>157</v>
      </c>
      <c r="D51" t="s">
        <v>93</v>
      </c>
      <c r="E51" t="s">
        <v>49</v>
      </c>
      <c r="F51" t="s">
        <v>172</v>
      </c>
      <c r="G51" s="53">
        <v>43915.631481481483</v>
      </c>
      <c r="H51">
        <v>61</v>
      </c>
      <c r="I51" t="s">
        <v>349</v>
      </c>
      <c r="J51" t="s">
        <v>50</v>
      </c>
      <c r="K51" t="s">
        <v>50</v>
      </c>
      <c r="L51" t="s">
        <v>159</v>
      </c>
      <c r="M51" t="s">
        <v>51</v>
      </c>
      <c r="N51" t="s">
        <v>92</v>
      </c>
      <c r="O51" s="1">
        <v>41335</v>
      </c>
      <c r="P51" t="s">
        <v>84</v>
      </c>
      <c r="Q51">
        <v>2</v>
      </c>
      <c r="R51" t="s">
        <v>94</v>
      </c>
      <c r="S51">
        <v>1</v>
      </c>
      <c r="T51">
        <v>-2</v>
      </c>
      <c r="U51" t="s">
        <v>349</v>
      </c>
      <c r="V51" t="s">
        <v>349</v>
      </c>
      <c r="W51">
        <v>-2</v>
      </c>
    </row>
    <row r="52" spans="1:23" x14ac:dyDescent="0.3">
      <c r="A52" s="1">
        <v>43586</v>
      </c>
      <c r="B52" s="1">
        <v>43586</v>
      </c>
      <c r="C52" t="s">
        <v>157</v>
      </c>
      <c r="D52" t="s">
        <v>48</v>
      </c>
      <c r="E52" t="s">
        <v>49</v>
      </c>
      <c r="F52" t="s">
        <v>174</v>
      </c>
      <c r="G52" s="53">
        <v>43627</v>
      </c>
      <c r="H52">
        <v>33</v>
      </c>
      <c r="I52">
        <v>8768</v>
      </c>
      <c r="J52" t="s">
        <v>50</v>
      </c>
      <c r="K52" t="s">
        <v>50</v>
      </c>
      <c r="L52" t="s">
        <v>159</v>
      </c>
      <c r="M52" t="s">
        <v>51</v>
      </c>
      <c r="N52" t="s">
        <v>92</v>
      </c>
      <c r="O52" s="1">
        <v>41335</v>
      </c>
      <c r="P52" t="s">
        <v>84</v>
      </c>
      <c r="Q52">
        <v>2</v>
      </c>
      <c r="R52" t="s">
        <v>94</v>
      </c>
      <c r="S52">
        <v>5.7284470000000001</v>
      </c>
      <c r="T52">
        <v>75.736999999999995</v>
      </c>
      <c r="U52" t="s">
        <v>349</v>
      </c>
      <c r="V52" t="s">
        <v>349</v>
      </c>
      <c r="W52">
        <v>434</v>
      </c>
    </row>
    <row r="53" spans="1:23" x14ac:dyDescent="0.3">
      <c r="A53" s="1">
        <v>43586</v>
      </c>
      <c r="B53" s="1">
        <v>43586</v>
      </c>
      <c r="C53" t="s">
        <v>157</v>
      </c>
      <c r="D53" t="s">
        <v>54</v>
      </c>
      <c r="E53" t="s">
        <v>21</v>
      </c>
      <c r="F53" t="s">
        <v>173</v>
      </c>
      <c r="G53" s="53">
        <v>43627</v>
      </c>
      <c r="H53">
        <v>33</v>
      </c>
      <c r="I53">
        <v>8768</v>
      </c>
      <c r="J53" t="s">
        <v>50</v>
      </c>
      <c r="K53" t="s">
        <v>50</v>
      </c>
      <c r="L53" t="s">
        <v>159</v>
      </c>
      <c r="M53" t="s">
        <v>51</v>
      </c>
      <c r="N53" t="s">
        <v>92</v>
      </c>
      <c r="O53" s="1">
        <v>41335</v>
      </c>
      <c r="P53" t="s">
        <v>84</v>
      </c>
      <c r="Q53">
        <v>3</v>
      </c>
      <c r="R53" t="s">
        <v>81</v>
      </c>
      <c r="S53" t="s">
        <v>349</v>
      </c>
      <c r="T53" t="s">
        <v>349</v>
      </c>
      <c r="U53">
        <v>0</v>
      </c>
      <c r="V53">
        <v>0</v>
      </c>
      <c r="W53">
        <v>0</v>
      </c>
    </row>
    <row r="54" spans="1:23" x14ac:dyDescent="0.3">
      <c r="A54" s="1">
        <v>43586</v>
      </c>
      <c r="B54" s="1">
        <v>43586</v>
      </c>
      <c r="C54" t="s">
        <v>157</v>
      </c>
      <c r="D54" t="s">
        <v>93</v>
      </c>
      <c r="E54" t="s">
        <v>49</v>
      </c>
      <c r="F54" t="s">
        <v>172</v>
      </c>
      <c r="G54" s="53">
        <v>43915.631481481483</v>
      </c>
      <c r="H54">
        <v>61</v>
      </c>
      <c r="I54" t="s">
        <v>349</v>
      </c>
      <c r="J54" t="s">
        <v>50</v>
      </c>
      <c r="K54" t="s">
        <v>50</v>
      </c>
      <c r="L54" t="s">
        <v>159</v>
      </c>
      <c r="M54" t="s">
        <v>51</v>
      </c>
      <c r="N54" t="s">
        <v>92</v>
      </c>
      <c r="O54" s="1">
        <v>41335</v>
      </c>
      <c r="P54" t="s">
        <v>84</v>
      </c>
      <c r="Q54">
        <v>3</v>
      </c>
      <c r="R54" t="s">
        <v>81</v>
      </c>
      <c r="S54">
        <v>1</v>
      </c>
      <c r="T54">
        <v>-99</v>
      </c>
      <c r="U54" t="s">
        <v>349</v>
      </c>
      <c r="V54" t="s">
        <v>349</v>
      </c>
      <c r="W54">
        <v>-99</v>
      </c>
    </row>
    <row r="55" spans="1:23" x14ac:dyDescent="0.3">
      <c r="A55" s="1">
        <v>43586</v>
      </c>
      <c r="B55" s="1">
        <v>43586</v>
      </c>
      <c r="C55" t="s">
        <v>157</v>
      </c>
      <c r="D55" t="s">
        <v>48</v>
      </c>
      <c r="E55" t="s">
        <v>49</v>
      </c>
      <c r="F55" t="s">
        <v>174</v>
      </c>
      <c r="G55" s="53">
        <v>43627</v>
      </c>
      <c r="H55">
        <v>33</v>
      </c>
      <c r="I55">
        <v>8768</v>
      </c>
      <c r="J55" t="s">
        <v>50</v>
      </c>
      <c r="K55" t="s">
        <v>50</v>
      </c>
      <c r="L55" t="s">
        <v>159</v>
      </c>
      <c r="M55" t="s">
        <v>51</v>
      </c>
      <c r="N55" t="s">
        <v>92</v>
      </c>
      <c r="O55" s="1">
        <v>41335</v>
      </c>
      <c r="P55" t="s">
        <v>84</v>
      </c>
      <c r="Q55">
        <v>3</v>
      </c>
      <c r="R55" t="s">
        <v>81</v>
      </c>
      <c r="S55">
        <v>273.818037</v>
      </c>
      <c r="T55">
        <v>70.436999999999998</v>
      </c>
      <c r="U55" t="s">
        <v>349</v>
      </c>
      <c r="V55" t="s">
        <v>349</v>
      </c>
      <c r="W55">
        <v>19287</v>
      </c>
    </row>
    <row r="56" spans="1:23" x14ac:dyDescent="0.3">
      <c r="A56" s="1">
        <v>43586</v>
      </c>
      <c r="B56" s="1">
        <v>43586</v>
      </c>
      <c r="C56" t="s">
        <v>157</v>
      </c>
      <c r="D56" t="s">
        <v>54</v>
      </c>
      <c r="E56" t="s">
        <v>21</v>
      </c>
      <c r="F56" t="s">
        <v>173</v>
      </c>
      <c r="G56" s="53">
        <v>43627</v>
      </c>
      <c r="H56">
        <v>33</v>
      </c>
      <c r="I56">
        <v>8768</v>
      </c>
      <c r="J56" t="s">
        <v>50</v>
      </c>
      <c r="K56" t="s">
        <v>50</v>
      </c>
      <c r="L56" t="s">
        <v>159</v>
      </c>
      <c r="M56" t="s">
        <v>51</v>
      </c>
      <c r="N56" t="s">
        <v>92</v>
      </c>
      <c r="O56" s="1">
        <v>41335</v>
      </c>
      <c r="P56" t="s">
        <v>84</v>
      </c>
      <c r="Q56">
        <v>4</v>
      </c>
      <c r="R56" t="s">
        <v>27</v>
      </c>
      <c r="S56" t="s">
        <v>349</v>
      </c>
      <c r="T56" t="s">
        <v>349</v>
      </c>
      <c r="U56">
        <v>0</v>
      </c>
      <c r="V56">
        <v>0</v>
      </c>
      <c r="W56">
        <v>0</v>
      </c>
    </row>
    <row r="57" spans="1:23" x14ac:dyDescent="0.3">
      <c r="A57" s="1">
        <v>43586</v>
      </c>
      <c r="B57" s="1">
        <v>43586</v>
      </c>
      <c r="C57" t="s">
        <v>157</v>
      </c>
      <c r="D57" t="s">
        <v>93</v>
      </c>
      <c r="E57" t="s">
        <v>49</v>
      </c>
      <c r="F57" t="s">
        <v>172</v>
      </c>
      <c r="G57" s="53">
        <v>43915.631481481483</v>
      </c>
      <c r="H57">
        <v>61</v>
      </c>
      <c r="I57" t="s">
        <v>349</v>
      </c>
      <c r="J57" t="s">
        <v>50</v>
      </c>
      <c r="K57" t="s">
        <v>50</v>
      </c>
      <c r="L57" t="s">
        <v>159</v>
      </c>
      <c r="M57" t="s">
        <v>51</v>
      </c>
      <c r="N57" t="s">
        <v>92</v>
      </c>
      <c r="O57" s="1">
        <v>41335</v>
      </c>
      <c r="P57" t="s">
        <v>84</v>
      </c>
      <c r="Q57">
        <v>4</v>
      </c>
      <c r="R57" t="s">
        <v>27</v>
      </c>
      <c r="S57">
        <v>1</v>
      </c>
      <c r="T57">
        <v>-494</v>
      </c>
      <c r="U57" t="s">
        <v>349</v>
      </c>
      <c r="V57" t="s">
        <v>349</v>
      </c>
      <c r="W57">
        <v>-494</v>
      </c>
    </row>
    <row r="58" spans="1:23" x14ac:dyDescent="0.3">
      <c r="A58" s="1">
        <v>43586</v>
      </c>
      <c r="B58" s="1">
        <v>43586</v>
      </c>
      <c r="C58" t="s">
        <v>157</v>
      </c>
      <c r="D58" t="s">
        <v>48</v>
      </c>
      <c r="E58" t="s">
        <v>49</v>
      </c>
      <c r="F58" t="s">
        <v>174</v>
      </c>
      <c r="G58" s="53">
        <v>43627</v>
      </c>
      <c r="H58">
        <v>33</v>
      </c>
      <c r="I58">
        <v>8768</v>
      </c>
      <c r="J58" t="s">
        <v>50</v>
      </c>
      <c r="K58" t="s">
        <v>50</v>
      </c>
      <c r="L58" t="s">
        <v>159</v>
      </c>
      <c r="M58" t="s">
        <v>51</v>
      </c>
      <c r="N58" t="s">
        <v>92</v>
      </c>
      <c r="O58" s="1">
        <v>41335</v>
      </c>
      <c r="P58" t="s">
        <v>84</v>
      </c>
      <c r="Q58">
        <v>4</v>
      </c>
      <c r="R58" t="s">
        <v>27</v>
      </c>
      <c r="S58">
        <v>1341.725692</v>
      </c>
      <c r="T58">
        <v>71.983999999999995</v>
      </c>
      <c r="U58" t="s">
        <v>349</v>
      </c>
      <c r="V58" t="s">
        <v>349</v>
      </c>
      <c r="W58">
        <v>96583</v>
      </c>
    </row>
    <row r="59" spans="1:23" x14ac:dyDescent="0.3">
      <c r="A59" s="1">
        <v>43586</v>
      </c>
      <c r="B59" s="1">
        <v>43586</v>
      </c>
      <c r="C59" t="s">
        <v>157</v>
      </c>
      <c r="D59" t="s">
        <v>54</v>
      </c>
      <c r="E59" t="s">
        <v>21</v>
      </c>
      <c r="F59" t="s">
        <v>173</v>
      </c>
      <c r="G59" s="53">
        <v>43627</v>
      </c>
      <c r="H59">
        <v>33</v>
      </c>
      <c r="I59">
        <v>8768</v>
      </c>
      <c r="J59" t="s">
        <v>50</v>
      </c>
      <c r="K59" t="s">
        <v>50</v>
      </c>
      <c r="L59" t="s">
        <v>159</v>
      </c>
      <c r="M59" t="s">
        <v>51</v>
      </c>
      <c r="N59" t="s">
        <v>92</v>
      </c>
      <c r="O59" s="1">
        <v>41335</v>
      </c>
      <c r="P59" t="s">
        <v>84</v>
      </c>
      <c r="Q59">
        <v>5</v>
      </c>
      <c r="R59" t="s">
        <v>28</v>
      </c>
      <c r="S59" t="s">
        <v>349</v>
      </c>
      <c r="T59" t="s">
        <v>349</v>
      </c>
      <c r="U59">
        <v>0</v>
      </c>
      <c r="V59">
        <v>0</v>
      </c>
      <c r="W59">
        <v>0</v>
      </c>
    </row>
    <row r="60" spans="1:23" x14ac:dyDescent="0.3">
      <c r="A60" s="1">
        <v>43586</v>
      </c>
      <c r="B60" s="1">
        <v>43586</v>
      </c>
      <c r="C60" t="s">
        <v>157</v>
      </c>
      <c r="D60" t="s">
        <v>93</v>
      </c>
      <c r="E60" t="s">
        <v>49</v>
      </c>
      <c r="F60" t="s">
        <v>172</v>
      </c>
      <c r="G60" s="53">
        <v>43915.631481481483</v>
      </c>
      <c r="H60">
        <v>61</v>
      </c>
      <c r="I60" t="s">
        <v>349</v>
      </c>
      <c r="J60" t="s">
        <v>50</v>
      </c>
      <c r="K60" t="s">
        <v>50</v>
      </c>
      <c r="L60" t="s">
        <v>159</v>
      </c>
      <c r="M60" t="s">
        <v>51</v>
      </c>
      <c r="N60" t="s">
        <v>92</v>
      </c>
      <c r="O60" s="1">
        <v>41335</v>
      </c>
      <c r="P60" t="s">
        <v>84</v>
      </c>
      <c r="Q60">
        <v>5</v>
      </c>
      <c r="R60" t="s">
        <v>28</v>
      </c>
      <c r="S60">
        <v>1</v>
      </c>
      <c r="T60">
        <v>-2</v>
      </c>
      <c r="U60" t="s">
        <v>349</v>
      </c>
      <c r="V60" t="s">
        <v>349</v>
      </c>
      <c r="W60">
        <v>-2</v>
      </c>
    </row>
    <row r="61" spans="1:23" x14ac:dyDescent="0.3">
      <c r="A61" s="1">
        <v>43586</v>
      </c>
      <c r="B61" s="1">
        <v>43586</v>
      </c>
      <c r="C61" t="s">
        <v>157</v>
      </c>
      <c r="D61" t="s">
        <v>48</v>
      </c>
      <c r="E61" t="s">
        <v>49</v>
      </c>
      <c r="F61" t="s">
        <v>174</v>
      </c>
      <c r="G61" s="53">
        <v>43627</v>
      </c>
      <c r="H61">
        <v>33</v>
      </c>
      <c r="I61">
        <v>8768</v>
      </c>
      <c r="J61" t="s">
        <v>50</v>
      </c>
      <c r="K61" t="s">
        <v>50</v>
      </c>
      <c r="L61" t="s">
        <v>159</v>
      </c>
      <c r="M61" t="s">
        <v>51</v>
      </c>
      <c r="N61" t="s">
        <v>92</v>
      </c>
      <c r="O61" s="1">
        <v>41335</v>
      </c>
      <c r="P61" t="s">
        <v>84</v>
      </c>
      <c r="Q61">
        <v>5</v>
      </c>
      <c r="R61" t="s">
        <v>28</v>
      </c>
      <c r="S61">
        <v>5.2645299999999997</v>
      </c>
      <c r="T61">
        <v>75.617000000000004</v>
      </c>
      <c r="U61" t="s">
        <v>349</v>
      </c>
      <c r="V61" t="s">
        <v>349</v>
      </c>
      <c r="W61">
        <v>398</v>
      </c>
    </row>
    <row r="62" spans="1:23" x14ac:dyDescent="0.3">
      <c r="A62" s="1">
        <v>43617</v>
      </c>
      <c r="B62" s="1">
        <v>43617</v>
      </c>
      <c r="C62" t="s">
        <v>157</v>
      </c>
      <c r="D62" t="s">
        <v>54</v>
      </c>
      <c r="E62" t="s">
        <v>21</v>
      </c>
      <c r="F62" t="s">
        <v>175</v>
      </c>
      <c r="G62" s="53">
        <v>43655</v>
      </c>
      <c r="H62">
        <v>33</v>
      </c>
      <c r="I62">
        <v>9022</v>
      </c>
      <c r="J62" t="s">
        <v>50</v>
      </c>
      <c r="K62" t="s">
        <v>50</v>
      </c>
      <c r="L62" t="s">
        <v>159</v>
      </c>
      <c r="M62" t="s">
        <v>51</v>
      </c>
      <c r="N62" t="s">
        <v>92</v>
      </c>
      <c r="O62" s="1">
        <v>41335</v>
      </c>
      <c r="P62" t="s">
        <v>84</v>
      </c>
      <c r="Q62">
        <v>1</v>
      </c>
      <c r="R62" t="s">
        <v>83</v>
      </c>
      <c r="S62" t="s">
        <v>349</v>
      </c>
      <c r="T62" t="s">
        <v>349</v>
      </c>
      <c r="U62">
        <v>0</v>
      </c>
      <c r="V62">
        <v>0</v>
      </c>
      <c r="W62">
        <v>0</v>
      </c>
    </row>
    <row r="63" spans="1:23" x14ac:dyDescent="0.3">
      <c r="A63" s="1">
        <v>43617</v>
      </c>
      <c r="B63" s="1">
        <v>43617</v>
      </c>
      <c r="C63" t="s">
        <v>157</v>
      </c>
      <c r="D63" t="s">
        <v>93</v>
      </c>
      <c r="E63" t="s">
        <v>49</v>
      </c>
      <c r="F63" t="s">
        <v>176</v>
      </c>
      <c r="G63" s="53">
        <v>43693</v>
      </c>
      <c r="H63">
        <v>33</v>
      </c>
      <c r="I63" t="s">
        <v>349</v>
      </c>
      <c r="J63" t="s">
        <v>50</v>
      </c>
      <c r="K63" t="s">
        <v>50</v>
      </c>
      <c r="L63" t="s">
        <v>159</v>
      </c>
      <c r="M63" t="s">
        <v>51</v>
      </c>
      <c r="N63" t="s">
        <v>92</v>
      </c>
      <c r="O63" s="1">
        <v>41335</v>
      </c>
      <c r="P63" t="s">
        <v>84</v>
      </c>
      <c r="Q63">
        <v>1</v>
      </c>
      <c r="R63" t="s">
        <v>83</v>
      </c>
      <c r="S63">
        <v>1.7759450000000001</v>
      </c>
      <c r="T63">
        <v>74.400999999999996</v>
      </c>
      <c r="U63" t="s">
        <v>349</v>
      </c>
      <c r="V63" t="s">
        <v>349</v>
      </c>
      <c r="W63">
        <v>132</v>
      </c>
    </row>
    <row r="64" spans="1:23" x14ac:dyDescent="0.3">
      <c r="A64" s="1">
        <v>43617</v>
      </c>
      <c r="B64" s="1">
        <v>43617</v>
      </c>
      <c r="C64" t="s">
        <v>157</v>
      </c>
      <c r="D64" t="s">
        <v>48</v>
      </c>
      <c r="E64" t="s">
        <v>49</v>
      </c>
      <c r="F64" t="s">
        <v>177</v>
      </c>
      <c r="G64" s="53">
        <v>43655</v>
      </c>
      <c r="H64">
        <v>33</v>
      </c>
      <c r="I64">
        <v>9022</v>
      </c>
      <c r="J64" t="s">
        <v>50</v>
      </c>
      <c r="K64" t="s">
        <v>50</v>
      </c>
      <c r="L64" t="s">
        <v>159</v>
      </c>
      <c r="M64" t="s">
        <v>51</v>
      </c>
      <c r="N64" t="s">
        <v>92</v>
      </c>
      <c r="O64" s="1">
        <v>41335</v>
      </c>
      <c r="P64" t="s">
        <v>84</v>
      </c>
      <c r="Q64">
        <v>1</v>
      </c>
      <c r="R64" t="s">
        <v>83</v>
      </c>
      <c r="S64">
        <v>790.40862500000003</v>
      </c>
      <c r="T64">
        <v>74.400999999999996</v>
      </c>
      <c r="U64" t="s">
        <v>349</v>
      </c>
      <c r="V64" t="s">
        <v>349</v>
      </c>
      <c r="W64">
        <v>58807</v>
      </c>
    </row>
    <row r="65" spans="1:23" x14ac:dyDescent="0.3">
      <c r="A65" s="1">
        <v>43617</v>
      </c>
      <c r="B65" s="1">
        <v>43617</v>
      </c>
      <c r="C65" t="s">
        <v>157</v>
      </c>
      <c r="D65" t="s">
        <v>54</v>
      </c>
      <c r="E65" t="s">
        <v>21</v>
      </c>
      <c r="F65" t="s">
        <v>175</v>
      </c>
      <c r="G65" s="53">
        <v>43655</v>
      </c>
      <c r="H65">
        <v>33</v>
      </c>
      <c r="I65">
        <v>9022</v>
      </c>
      <c r="J65" t="s">
        <v>50</v>
      </c>
      <c r="K65" t="s">
        <v>50</v>
      </c>
      <c r="L65" t="s">
        <v>159</v>
      </c>
      <c r="M65" t="s">
        <v>51</v>
      </c>
      <c r="N65" t="s">
        <v>92</v>
      </c>
      <c r="O65" s="1">
        <v>41335</v>
      </c>
      <c r="P65" t="s">
        <v>84</v>
      </c>
      <c r="Q65">
        <v>2</v>
      </c>
      <c r="R65" t="s">
        <v>94</v>
      </c>
      <c r="S65" t="s">
        <v>349</v>
      </c>
      <c r="T65" t="s">
        <v>349</v>
      </c>
      <c r="U65">
        <v>0</v>
      </c>
      <c r="V65">
        <v>0</v>
      </c>
      <c r="W65">
        <v>0</v>
      </c>
    </row>
    <row r="66" spans="1:23" x14ac:dyDescent="0.3">
      <c r="A66" s="1">
        <v>43617</v>
      </c>
      <c r="B66" s="1">
        <v>43617</v>
      </c>
      <c r="C66" t="s">
        <v>157</v>
      </c>
      <c r="D66" t="s">
        <v>93</v>
      </c>
      <c r="E66" t="s">
        <v>49</v>
      </c>
      <c r="F66" t="s">
        <v>176</v>
      </c>
      <c r="G66" s="53">
        <v>43693</v>
      </c>
      <c r="H66">
        <v>33</v>
      </c>
      <c r="I66" t="s">
        <v>349</v>
      </c>
      <c r="J66" t="s">
        <v>50</v>
      </c>
      <c r="K66" t="s">
        <v>50</v>
      </c>
      <c r="L66" t="s">
        <v>159</v>
      </c>
      <c r="M66" t="s">
        <v>51</v>
      </c>
      <c r="N66" t="s">
        <v>92</v>
      </c>
      <c r="O66" s="1">
        <v>41335</v>
      </c>
      <c r="P66" t="s">
        <v>84</v>
      </c>
      <c r="Q66">
        <v>2</v>
      </c>
      <c r="R66" t="s">
        <v>94</v>
      </c>
      <c r="S66">
        <v>1.1665999999999999E-2</v>
      </c>
      <c r="T66">
        <v>75.736999999999995</v>
      </c>
      <c r="U66" t="s">
        <v>349</v>
      </c>
      <c r="V66" t="s">
        <v>349</v>
      </c>
      <c r="W66">
        <v>1</v>
      </c>
    </row>
    <row r="67" spans="1:23" x14ac:dyDescent="0.3">
      <c r="A67" s="1">
        <v>43617</v>
      </c>
      <c r="B67" s="1">
        <v>43617</v>
      </c>
      <c r="C67" t="s">
        <v>157</v>
      </c>
      <c r="D67" t="s">
        <v>48</v>
      </c>
      <c r="E67" t="s">
        <v>49</v>
      </c>
      <c r="F67" t="s">
        <v>177</v>
      </c>
      <c r="G67" s="53">
        <v>43655</v>
      </c>
      <c r="H67">
        <v>33</v>
      </c>
      <c r="I67">
        <v>9022</v>
      </c>
      <c r="J67" t="s">
        <v>50</v>
      </c>
      <c r="K67" t="s">
        <v>50</v>
      </c>
      <c r="L67" t="s">
        <v>159</v>
      </c>
      <c r="M67" t="s">
        <v>51</v>
      </c>
      <c r="N67" t="s">
        <v>92</v>
      </c>
      <c r="O67" s="1">
        <v>41335</v>
      </c>
      <c r="P67" t="s">
        <v>84</v>
      </c>
      <c r="Q67">
        <v>2</v>
      </c>
      <c r="R67" t="s">
        <v>94</v>
      </c>
      <c r="S67">
        <v>5.1920700000000002</v>
      </c>
      <c r="T67">
        <v>75.736999999999995</v>
      </c>
      <c r="U67" t="s">
        <v>349</v>
      </c>
      <c r="V67" t="s">
        <v>349</v>
      </c>
      <c r="W67">
        <v>393</v>
      </c>
    </row>
    <row r="68" spans="1:23" x14ac:dyDescent="0.3">
      <c r="A68" s="1">
        <v>43617</v>
      </c>
      <c r="B68" s="1">
        <v>43617</v>
      </c>
      <c r="C68" t="s">
        <v>157</v>
      </c>
      <c r="D68" t="s">
        <v>54</v>
      </c>
      <c r="E68" t="s">
        <v>21</v>
      </c>
      <c r="F68" t="s">
        <v>175</v>
      </c>
      <c r="G68" s="53">
        <v>43655</v>
      </c>
      <c r="H68">
        <v>33</v>
      </c>
      <c r="I68">
        <v>9022</v>
      </c>
      <c r="J68" t="s">
        <v>50</v>
      </c>
      <c r="K68" t="s">
        <v>50</v>
      </c>
      <c r="L68" t="s">
        <v>159</v>
      </c>
      <c r="M68" t="s">
        <v>51</v>
      </c>
      <c r="N68" t="s">
        <v>92</v>
      </c>
      <c r="O68" s="1">
        <v>41335</v>
      </c>
      <c r="P68" t="s">
        <v>84</v>
      </c>
      <c r="Q68">
        <v>3</v>
      </c>
      <c r="R68" t="s">
        <v>81</v>
      </c>
      <c r="S68" t="s">
        <v>349</v>
      </c>
      <c r="T68" t="s">
        <v>349</v>
      </c>
      <c r="U68">
        <v>0</v>
      </c>
      <c r="V68">
        <v>0</v>
      </c>
      <c r="W68">
        <v>0</v>
      </c>
    </row>
    <row r="69" spans="1:23" x14ac:dyDescent="0.3">
      <c r="A69" s="1">
        <v>43617</v>
      </c>
      <c r="B69" s="1">
        <v>43617</v>
      </c>
      <c r="C69" t="s">
        <v>157</v>
      </c>
      <c r="D69" t="s">
        <v>93</v>
      </c>
      <c r="E69" t="s">
        <v>49</v>
      </c>
      <c r="F69" t="s">
        <v>176</v>
      </c>
      <c r="G69" s="53">
        <v>43693</v>
      </c>
      <c r="H69">
        <v>33</v>
      </c>
      <c r="I69" t="s">
        <v>349</v>
      </c>
      <c r="J69" t="s">
        <v>50</v>
      </c>
      <c r="K69" t="s">
        <v>50</v>
      </c>
      <c r="L69" t="s">
        <v>159</v>
      </c>
      <c r="M69" t="s">
        <v>51</v>
      </c>
      <c r="N69" t="s">
        <v>92</v>
      </c>
      <c r="O69" s="1">
        <v>41335</v>
      </c>
      <c r="P69" t="s">
        <v>84</v>
      </c>
      <c r="Q69">
        <v>3</v>
      </c>
      <c r="R69" t="s">
        <v>81</v>
      </c>
      <c r="S69">
        <v>0.55193199999999998</v>
      </c>
      <c r="T69">
        <v>70.436999999999998</v>
      </c>
      <c r="U69" t="s">
        <v>349</v>
      </c>
      <c r="V69" t="s">
        <v>349</v>
      </c>
      <c r="W69">
        <v>39</v>
      </c>
    </row>
    <row r="70" spans="1:23" x14ac:dyDescent="0.3">
      <c r="A70" s="1">
        <v>43617</v>
      </c>
      <c r="B70" s="1">
        <v>43617</v>
      </c>
      <c r="C70" t="s">
        <v>157</v>
      </c>
      <c r="D70" t="s">
        <v>48</v>
      </c>
      <c r="E70" t="s">
        <v>49</v>
      </c>
      <c r="F70" t="s">
        <v>177</v>
      </c>
      <c r="G70" s="53">
        <v>43655</v>
      </c>
      <c r="H70">
        <v>33</v>
      </c>
      <c r="I70">
        <v>9022</v>
      </c>
      <c r="J70" t="s">
        <v>50</v>
      </c>
      <c r="K70" t="s">
        <v>50</v>
      </c>
      <c r="L70" t="s">
        <v>159</v>
      </c>
      <c r="M70" t="s">
        <v>51</v>
      </c>
      <c r="N70" t="s">
        <v>92</v>
      </c>
      <c r="O70" s="1">
        <v>41335</v>
      </c>
      <c r="P70" t="s">
        <v>84</v>
      </c>
      <c r="Q70">
        <v>3</v>
      </c>
      <c r="R70" t="s">
        <v>81</v>
      </c>
      <c r="S70">
        <v>245.64497900000001</v>
      </c>
      <c r="T70">
        <v>70.436999999999998</v>
      </c>
      <c r="U70" t="s">
        <v>349</v>
      </c>
      <c r="V70" t="s">
        <v>349</v>
      </c>
      <c r="W70">
        <v>17302</v>
      </c>
    </row>
    <row r="71" spans="1:23" x14ac:dyDescent="0.3">
      <c r="A71" s="1">
        <v>43617</v>
      </c>
      <c r="B71" s="1">
        <v>43617</v>
      </c>
      <c r="C71" t="s">
        <v>157</v>
      </c>
      <c r="D71" t="s">
        <v>54</v>
      </c>
      <c r="E71" t="s">
        <v>21</v>
      </c>
      <c r="F71" t="s">
        <v>175</v>
      </c>
      <c r="G71" s="53">
        <v>43655</v>
      </c>
      <c r="H71">
        <v>33</v>
      </c>
      <c r="I71">
        <v>9022</v>
      </c>
      <c r="J71" t="s">
        <v>50</v>
      </c>
      <c r="K71" t="s">
        <v>50</v>
      </c>
      <c r="L71" t="s">
        <v>159</v>
      </c>
      <c r="M71" t="s">
        <v>51</v>
      </c>
      <c r="N71" t="s">
        <v>92</v>
      </c>
      <c r="O71" s="1">
        <v>41335</v>
      </c>
      <c r="P71" t="s">
        <v>84</v>
      </c>
      <c r="Q71">
        <v>4</v>
      </c>
      <c r="R71" t="s">
        <v>27</v>
      </c>
      <c r="S71" t="s">
        <v>349</v>
      </c>
      <c r="T71" t="s">
        <v>349</v>
      </c>
      <c r="U71">
        <v>0</v>
      </c>
      <c r="V71">
        <v>0</v>
      </c>
      <c r="W71">
        <v>0</v>
      </c>
    </row>
    <row r="72" spans="1:23" x14ac:dyDescent="0.3">
      <c r="A72" s="1">
        <v>43617</v>
      </c>
      <c r="B72" s="1">
        <v>43617</v>
      </c>
      <c r="C72" t="s">
        <v>157</v>
      </c>
      <c r="D72" t="s">
        <v>93</v>
      </c>
      <c r="E72" t="s">
        <v>49</v>
      </c>
      <c r="F72" t="s">
        <v>176</v>
      </c>
      <c r="G72" s="53">
        <v>43693</v>
      </c>
      <c r="H72">
        <v>33</v>
      </c>
      <c r="I72" t="s">
        <v>349</v>
      </c>
      <c r="J72" t="s">
        <v>50</v>
      </c>
      <c r="K72" t="s">
        <v>50</v>
      </c>
      <c r="L72" t="s">
        <v>159</v>
      </c>
      <c r="M72" t="s">
        <v>51</v>
      </c>
      <c r="N72" t="s">
        <v>92</v>
      </c>
      <c r="O72" s="1">
        <v>41335</v>
      </c>
      <c r="P72" t="s">
        <v>84</v>
      </c>
      <c r="Q72">
        <v>4</v>
      </c>
      <c r="R72" t="s">
        <v>27</v>
      </c>
      <c r="S72">
        <v>2.701975</v>
      </c>
      <c r="T72">
        <v>71.983999999999995</v>
      </c>
      <c r="U72" t="s">
        <v>349</v>
      </c>
      <c r="V72" t="s">
        <v>349</v>
      </c>
      <c r="W72">
        <v>194</v>
      </c>
    </row>
    <row r="73" spans="1:23" x14ac:dyDescent="0.3">
      <c r="A73" s="1">
        <v>43617</v>
      </c>
      <c r="B73" s="1">
        <v>43617</v>
      </c>
      <c r="C73" t="s">
        <v>157</v>
      </c>
      <c r="D73" t="s">
        <v>48</v>
      </c>
      <c r="E73" t="s">
        <v>49</v>
      </c>
      <c r="F73" t="s">
        <v>177</v>
      </c>
      <c r="G73" s="53">
        <v>43655</v>
      </c>
      <c r="H73">
        <v>33</v>
      </c>
      <c r="I73">
        <v>9022</v>
      </c>
      <c r="J73" t="s">
        <v>50</v>
      </c>
      <c r="K73" t="s">
        <v>50</v>
      </c>
      <c r="L73" t="s">
        <v>159</v>
      </c>
      <c r="M73" t="s">
        <v>51</v>
      </c>
      <c r="N73" t="s">
        <v>92</v>
      </c>
      <c r="O73" s="1">
        <v>41335</v>
      </c>
      <c r="P73" t="s">
        <v>84</v>
      </c>
      <c r="Q73">
        <v>4</v>
      </c>
      <c r="R73" t="s">
        <v>27</v>
      </c>
      <c r="S73">
        <v>1202.550551</v>
      </c>
      <c r="T73">
        <v>71.983999999999995</v>
      </c>
      <c r="U73" t="s">
        <v>349</v>
      </c>
      <c r="V73" t="s">
        <v>349</v>
      </c>
      <c r="W73">
        <v>86564</v>
      </c>
    </row>
    <row r="74" spans="1:23" x14ac:dyDescent="0.3">
      <c r="A74" s="1">
        <v>43617</v>
      </c>
      <c r="B74" s="1">
        <v>43617</v>
      </c>
      <c r="C74" t="s">
        <v>157</v>
      </c>
      <c r="D74" t="s">
        <v>54</v>
      </c>
      <c r="E74" t="s">
        <v>21</v>
      </c>
      <c r="F74" t="s">
        <v>175</v>
      </c>
      <c r="G74" s="53">
        <v>43655</v>
      </c>
      <c r="H74">
        <v>33</v>
      </c>
      <c r="I74">
        <v>9022</v>
      </c>
      <c r="J74" t="s">
        <v>50</v>
      </c>
      <c r="K74" t="s">
        <v>50</v>
      </c>
      <c r="L74" t="s">
        <v>159</v>
      </c>
      <c r="M74" t="s">
        <v>51</v>
      </c>
      <c r="N74" t="s">
        <v>92</v>
      </c>
      <c r="O74" s="1">
        <v>41335</v>
      </c>
      <c r="P74" t="s">
        <v>84</v>
      </c>
      <c r="Q74">
        <v>5</v>
      </c>
      <c r="R74" t="s">
        <v>28</v>
      </c>
      <c r="S74" t="s">
        <v>349</v>
      </c>
      <c r="T74" t="s">
        <v>349</v>
      </c>
      <c r="U74">
        <v>0</v>
      </c>
      <c r="V74">
        <v>0</v>
      </c>
      <c r="W74">
        <v>0</v>
      </c>
    </row>
    <row r="75" spans="1:23" x14ac:dyDescent="0.3">
      <c r="A75" s="1">
        <v>43617</v>
      </c>
      <c r="B75" s="1">
        <v>43617</v>
      </c>
      <c r="C75" t="s">
        <v>157</v>
      </c>
      <c r="D75" t="s">
        <v>93</v>
      </c>
      <c r="E75" t="s">
        <v>49</v>
      </c>
      <c r="F75" t="s">
        <v>176</v>
      </c>
      <c r="G75" s="53">
        <v>43693</v>
      </c>
      <c r="H75">
        <v>33</v>
      </c>
      <c r="I75" t="s">
        <v>349</v>
      </c>
      <c r="J75" t="s">
        <v>50</v>
      </c>
      <c r="K75" t="s">
        <v>50</v>
      </c>
      <c r="L75" t="s">
        <v>159</v>
      </c>
      <c r="M75" t="s">
        <v>51</v>
      </c>
      <c r="N75" t="s">
        <v>92</v>
      </c>
      <c r="O75" s="1">
        <v>41335</v>
      </c>
      <c r="P75" t="s">
        <v>84</v>
      </c>
      <c r="Q75">
        <v>5</v>
      </c>
      <c r="R75" t="s">
        <v>28</v>
      </c>
      <c r="S75">
        <v>1.0723999999999999E-2</v>
      </c>
      <c r="T75">
        <v>75.617000000000004</v>
      </c>
      <c r="U75" t="s">
        <v>349</v>
      </c>
      <c r="V75" t="s">
        <v>349</v>
      </c>
      <c r="W75">
        <v>1</v>
      </c>
    </row>
    <row r="76" spans="1:23" x14ac:dyDescent="0.3">
      <c r="A76" s="1">
        <v>43617</v>
      </c>
      <c r="B76" s="1">
        <v>43617</v>
      </c>
      <c r="C76" t="s">
        <v>157</v>
      </c>
      <c r="D76" t="s">
        <v>48</v>
      </c>
      <c r="E76" t="s">
        <v>49</v>
      </c>
      <c r="F76" t="s">
        <v>177</v>
      </c>
      <c r="G76" s="53">
        <v>43655</v>
      </c>
      <c r="H76">
        <v>33</v>
      </c>
      <c r="I76">
        <v>9022</v>
      </c>
      <c r="J76" t="s">
        <v>50</v>
      </c>
      <c r="K76" t="s">
        <v>50</v>
      </c>
      <c r="L76" t="s">
        <v>159</v>
      </c>
      <c r="M76" t="s">
        <v>51</v>
      </c>
      <c r="N76" t="s">
        <v>92</v>
      </c>
      <c r="O76" s="1">
        <v>41335</v>
      </c>
      <c r="P76" t="s">
        <v>84</v>
      </c>
      <c r="Q76">
        <v>5</v>
      </c>
      <c r="R76" t="s">
        <v>28</v>
      </c>
      <c r="S76">
        <v>4.7729540000000004</v>
      </c>
      <c r="T76">
        <v>75.617000000000004</v>
      </c>
      <c r="U76" t="s">
        <v>349</v>
      </c>
      <c r="V76" t="s">
        <v>349</v>
      </c>
      <c r="W76">
        <v>361</v>
      </c>
    </row>
    <row r="77" spans="1:23" x14ac:dyDescent="0.3">
      <c r="A77" s="1">
        <v>43647</v>
      </c>
      <c r="B77" s="1">
        <v>43647</v>
      </c>
      <c r="C77" t="s">
        <v>157</v>
      </c>
      <c r="D77" t="s">
        <v>54</v>
      </c>
      <c r="E77" t="s">
        <v>21</v>
      </c>
      <c r="F77" t="s">
        <v>180</v>
      </c>
      <c r="G77" s="53">
        <v>43686</v>
      </c>
      <c r="H77">
        <v>33</v>
      </c>
      <c r="I77">
        <v>9466</v>
      </c>
      <c r="J77" t="s">
        <v>50</v>
      </c>
      <c r="K77" t="s">
        <v>50</v>
      </c>
      <c r="L77" t="s">
        <v>159</v>
      </c>
      <c r="M77" t="s">
        <v>51</v>
      </c>
      <c r="N77" t="s">
        <v>92</v>
      </c>
      <c r="O77" s="1">
        <v>41335</v>
      </c>
      <c r="P77" t="s">
        <v>84</v>
      </c>
      <c r="Q77">
        <v>1</v>
      </c>
      <c r="R77" t="s">
        <v>83</v>
      </c>
      <c r="S77" t="s">
        <v>349</v>
      </c>
      <c r="T77" t="s">
        <v>349</v>
      </c>
      <c r="U77">
        <v>0</v>
      </c>
      <c r="V77">
        <v>0</v>
      </c>
      <c r="W77">
        <v>0</v>
      </c>
    </row>
    <row r="78" spans="1:23" x14ac:dyDescent="0.3">
      <c r="A78" s="1">
        <v>43647</v>
      </c>
      <c r="B78" s="1">
        <v>43647</v>
      </c>
      <c r="C78" t="s">
        <v>157</v>
      </c>
      <c r="D78" t="s">
        <v>93</v>
      </c>
      <c r="E78" t="s">
        <v>49</v>
      </c>
      <c r="F78" t="s">
        <v>179</v>
      </c>
      <c r="G78" s="53">
        <v>43914.908402777779</v>
      </c>
      <c r="H78">
        <v>61</v>
      </c>
      <c r="I78" t="s">
        <v>349</v>
      </c>
      <c r="J78" t="s">
        <v>50</v>
      </c>
      <c r="K78" t="s">
        <v>50</v>
      </c>
      <c r="L78" t="s">
        <v>159</v>
      </c>
      <c r="M78" t="s">
        <v>51</v>
      </c>
      <c r="N78" t="s">
        <v>92</v>
      </c>
      <c r="O78" s="1">
        <v>41335</v>
      </c>
      <c r="P78" t="s">
        <v>84</v>
      </c>
      <c r="Q78">
        <v>1</v>
      </c>
      <c r="R78" t="s">
        <v>83</v>
      </c>
      <c r="S78">
        <v>1</v>
      </c>
      <c r="T78">
        <v>-19</v>
      </c>
      <c r="U78" t="s">
        <v>349</v>
      </c>
      <c r="V78" t="s">
        <v>349</v>
      </c>
      <c r="W78">
        <v>-19</v>
      </c>
    </row>
    <row r="79" spans="1:23" x14ac:dyDescent="0.3">
      <c r="A79" s="1">
        <v>43647</v>
      </c>
      <c r="B79" s="1">
        <v>43647</v>
      </c>
      <c r="C79" t="s">
        <v>157</v>
      </c>
      <c r="D79" t="s">
        <v>48</v>
      </c>
      <c r="E79" t="s">
        <v>49</v>
      </c>
      <c r="F79" t="s">
        <v>178</v>
      </c>
      <c r="G79" s="53">
        <v>43686</v>
      </c>
      <c r="H79">
        <v>33</v>
      </c>
      <c r="I79">
        <v>9466</v>
      </c>
      <c r="J79" t="s">
        <v>50</v>
      </c>
      <c r="K79" t="s">
        <v>50</v>
      </c>
      <c r="L79" t="s">
        <v>159</v>
      </c>
      <c r="M79" t="s">
        <v>51</v>
      </c>
      <c r="N79" t="s">
        <v>92</v>
      </c>
      <c r="O79" s="1">
        <v>41335</v>
      </c>
      <c r="P79" t="s">
        <v>84</v>
      </c>
      <c r="Q79">
        <v>1</v>
      </c>
      <c r="R79" t="s">
        <v>83</v>
      </c>
      <c r="S79">
        <v>842.75503100000003</v>
      </c>
      <c r="T79">
        <v>74.400999999999996</v>
      </c>
      <c r="U79" t="s">
        <v>349</v>
      </c>
      <c r="V79" t="s">
        <v>349</v>
      </c>
      <c r="W79">
        <v>62702</v>
      </c>
    </row>
    <row r="80" spans="1:23" x14ac:dyDescent="0.3">
      <c r="A80" s="1">
        <v>43647</v>
      </c>
      <c r="B80" s="1">
        <v>43647</v>
      </c>
      <c r="C80" t="s">
        <v>157</v>
      </c>
      <c r="D80" t="s">
        <v>54</v>
      </c>
      <c r="E80" t="s">
        <v>21</v>
      </c>
      <c r="F80" t="s">
        <v>180</v>
      </c>
      <c r="G80" s="53">
        <v>43686</v>
      </c>
      <c r="H80">
        <v>33</v>
      </c>
      <c r="I80">
        <v>9466</v>
      </c>
      <c r="J80" t="s">
        <v>50</v>
      </c>
      <c r="K80" t="s">
        <v>50</v>
      </c>
      <c r="L80" t="s">
        <v>159</v>
      </c>
      <c r="M80" t="s">
        <v>51</v>
      </c>
      <c r="N80" t="s">
        <v>92</v>
      </c>
      <c r="O80" s="1">
        <v>41335</v>
      </c>
      <c r="P80" t="s">
        <v>84</v>
      </c>
      <c r="Q80">
        <v>2</v>
      </c>
      <c r="R80" t="s">
        <v>94</v>
      </c>
      <c r="S80" t="s">
        <v>349</v>
      </c>
      <c r="T80" t="s">
        <v>349</v>
      </c>
      <c r="U80">
        <v>0</v>
      </c>
      <c r="V80">
        <v>0</v>
      </c>
      <c r="W80">
        <v>0</v>
      </c>
    </row>
    <row r="81" spans="1:23" x14ac:dyDescent="0.3">
      <c r="A81" s="1">
        <v>43647</v>
      </c>
      <c r="B81" s="1">
        <v>43647</v>
      </c>
      <c r="C81" t="s">
        <v>157</v>
      </c>
      <c r="D81" t="s">
        <v>48</v>
      </c>
      <c r="E81" t="s">
        <v>49</v>
      </c>
      <c r="F81" t="s">
        <v>178</v>
      </c>
      <c r="G81" s="53">
        <v>43686</v>
      </c>
      <c r="H81">
        <v>33</v>
      </c>
      <c r="I81">
        <v>9466</v>
      </c>
      <c r="J81" t="s">
        <v>50</v>
      </c>
      <c r="K81" t="s">
        <v>50</v>
      </c>
      <c r="L81" t="s">
        <v>159</v>
      </c>
      <c r="M81" t="s">
        <v>51</v>
      </c>
      <c r="N81" t="s">
        <v>92</v>
      </c>
      <c r="O81" s="1">
        <v>41335</v>
      </c>
      <c r="P81" t="s">
        <v>84</v>
      </c>
      <c r="Q81">
        <v>2</v>
      </c>
      <c r="R81" t="s">
        <v>94</v>
      </c>
      <c r="S81">
        <v>3.6725080000000001</v>
      </c>
      <c r="T81">
        <v>75.736999999999995</v>
      </c>
      <c r="U81" t="s">
        <v>349</v>
      </c>
      <c r="V81" t="s">
        <v>349</v>
      </c>
      <c r="W81">
        <v>278</v>
      </c>
    </row>
    <row r="82" spans="1:23" x14ac:dyDescent="0.3">
      <c r="A82" s="1">
        <v>43647</v>
      </c>
      <c r="B82" s="1">
        <v>43647</v>
      </c>
      <c r="C82" t="s">
        <v>157</v>
      </c>
      <c r="D82" t="s">
        <v>54</v>
      </c>
      <c r="E82" t="s">
        <v>21</v>
      </c>
      <c r="F82" t="s">
        <v>180</v>
      </c>
      <c r="G82" s="53">
        <v>43686</v>
      </c>
      <c r="H82">
        <v>33</v>
      </c>
      <c r="I82">
        <v>9466</v>
      </c>
      <c r="J82" t="s">
        <v>50</v>
      </c>
      <c r="K82" t="s">
        <v>50</v>
      </c>
      <c r="L82" t="s">
        <v>159</v>
      </c>
      <c r="M82" t="s">
        <v>51</v>
      </c>
      <c r="N82" t="s">
        <v>92</v>
      </c>
      <c r="O82" s="1">
        <v>41335</v>
      </c>
      <c r="P82" t="s">
        <v>84</v>
      </c>
      <c r="Q82">
        <v>3</v>
      </c>
      <c r="R82" t="s">
        <v>81</v>
      </c>
      <c r="S82" t="s">
        <v>349</v>
      </c>
      <c r="T82" t="s">
        <v>349</v>
      </c>
      <c r="U82">
        <v>0</v>
      </c>
      <c r="V82">
        <v>0</v>
      </c>
      <c r="W82">
        <v>0</v>
      </c>
    </row>
    <row r="83" spans="1:23" x14ac:dyDescent="0.3">
      <c r="A83" s="1">
        <v>43647</v>
      </c>
      <c r="B83" s="1">
        <v>43647</v>
      </c>
      <c r="C83" t="s">
        <v>157</v>
      </c>
      <c r="D83" t="s">
        <v>93</v>
      </c>
      <c r="E83" t="s">
        <v>49</v>
      </c>
      <c r="F83" t="s">
        <v>179</v>
      </c>
      <c r="G83" s="53">
        <v>43914.908402777779</v>
      </c>
      <c r="H83">
        <v>61</v>
      </c>
      <c r="I83" t="s">
        <v>349</v>
      </c>
      <c r="J83" t="s">
        <v>50</v>
      </c>
      <c r="K83" t="s">
        <v>50</v>
      </c>
      <c r="L83" t="s">
        <v>159</v>
      </c>
      <c r="M83" t="s">
        <v>51</v>
      </c>
      <c r="N83" t="s">
        <v>92</v>
      </c>
      <c r="O83" s="1">
        <v>41335</v>
      </c>
      <c r="P83" t="s">
        <v>84</v>
      </c>
      <c r="Q83">
        <v>3</v>
      </c>
      <c r="R83" t="s">
        <v>81</v>
      </c>
      <c r="S83">
        <v>1</v>
      </c>
      <c r="T83">
        <v>-3</v>
      </c>
      <c r="U83" t="s">
        <v>349</v>
      </c>
      <c r="V83" t="s">
        <v>349</v>
      </c>
      <c r="W83">
        <v>-3</v>
      </c>
    </row>
    <row r="84" spans="1:23" x14ac:dyDescent="0.3">
      <c r="A84" s="1">
        <v>43647</v>
      </c>
      <c r="B84" s="1">
        <v>43647</v>
      </c>
      <c r="C84" t="s">
        <v>157</v>
      </c>
      <c r="D84" t="s">
        <v>48</v>
      </c>
      <c r="E84" t="s">
        <v>49</v>
      </c>
      <c r="F84" t="s">
        <v>178</v>
      </c>
      <c r="G84" s="53">
        <v>43686</v>
      </c>
      <c r="H84">
        <v>33</v>
      </c>
      <c r="I84">
        <v>9466</v>
      </c>
      <c r="J84" t="s">
        <v>50</v>
      </c>
      <c r="K84" t="s">
        <v>50</v>
      </c>
      <c r="L84" t="s">
        <v>159</v>
      </c>
      <c r="M84" t="s">
        <v>51</v>
      </c>
      <c r="N84" t="s">
        <v>92</v>
      </c>
      <c r="O84" s="1">
        <v>41335</v>
      </c>
      <c r="P84" t="s">
        <v>84</v>
      </c>
      <c r="Q84">
        <v>3</v>
      </c>
      <c r="R84" t="s">
        <v>81</v>
      </c>
      <c r="S84">
        <v>171.56035499999999</v>
      </c>
      <c r="T84">
        <v>70.436999999999998</v>
      </c>
      <c r="U84" t="s">
        <v>349</v>
      </c>
      <c r="V84" t="s">
        <v>349</v>
      </c>
      <c r="W84">
        <v>12084</v>
      </c>
    </row>
    <row r="85" spans="1:23" x14ac:dyDescent="0.3">
      <c r="A85" s="1">
        <v>43647</v>
      </c>
      <c r="B85" s="1">
        <v>43647</v>
      </c>
      <c r="C85" t="s">
        <v>157</v>
      </c>
      <c r="D85" t="s">
        <v>54</v>
      </c>
      <c r="E85" t="s">
        <v>21</v>
      </c>
      <c r="F85" t="s">
        <v>180</v>
      </c>
      <c r="G85" s="53">
        <v>43686</v>
      </c>
      <c r="H85">
        <v>33</v>
      </c>
      <c r="I85">
        <v>9466</v>
      </c>
      <c r="J85" t="s">
        <v>50</v>
      </c>
      <c r="K85" t="s">
        <v>50</v>
      </c>
      <c r="L85" t="s">
        <v>159</v>
      </c>
      <c r="M85" t="s">
        <v>51</v>
      </c>
      <c r="N85" t="s">
        <v>92</v>
      </c>
      <c r="O85" s="1">
        <v>41335</v>
      </c>
      <c r="P85" t="s">
        <v>84</v>
      </c>
      <c r="Q85">
        <v>4</v>
      </c>
      <c r="R85" t="s">
        <v>27</v>
      </c>
      <c r="S85" t="s">
        <v>349</v>
      </c>
      <c r="T85" t="s">
        <v>349</v>
      </c>
      <c r="U85">
        <v>0</v>
      </c>
      <c r="V85">
        <v>0</v>
      </c>
      <c r="W85">
        <v>0</v>
      </c>
    </row>
    <row r="86" spans="1:23" x14ac:dyDescent="0.3">
      <c r="A86" s="1">
        <v>43647</v>
      </c>
      <c r="B86" s="1">
        <v>43647</v>
      </c>
      <c r="C86" t="s">
        <v>157</v>
      </c>
      <c r="D86" t="s">
        <v>93</v>
      </c>
      <c r="E86" t="s">
        <v>49</v>
      </c>
      <c r="F86" t="s">
        <v>179</v>
      </c>
      <c r="G86" s="53">
        <v>43914.908402777779</v>
      </c>
      <c r="H86">
        <v>61</v>
      </c>
      <c r="I86" t="s">
        <v>349</v>
      </c>
      <c r="J86" t="s">
        <v>50</v>
      </c>
      <c r="K86" t="s">
        <v>50</v>
      </c>
      <c r="L86" t="s">
        <v>159</v>
      </c>
      <c r="M86" t="s">
        <v>51</v>
      </c>
      <c r="N86" t="s">
        <v>92</v>
      </c>
      <c r="O86" s="1">
        <v>41335</v>
      </c>
      <c r="P86" t="s">
        <v>84</v>
      </c>
      <c r="Q86">
        <v>4</v>
      </c>
      <c r="R86" t="s">
        <v>27</v>
      </c>
      <c r="S86">
        <v>1</v>
      </c>
      <c r="T86">
        <v>-25</v>
      </c>
      <c r="U86" t="s">
        <v>349</v>
      </c>
      <c r="V86" t="s">
        <v>349</v>
      </c>
      <c r="W86">
        <v>-25</v>
      </c>
    </row>
    <row r="87" spans="1:23" x14ac:dyDescent="0.3">
      <c r="A87" s="1">
        <v>43647</v>
      </c>
      <c r="B87" s="1">
        <v>43647</v>
      </c>
      <c r="C87" t="s">
        <v>157</v>
      </c>
      <c r="D87" t="s">
        <v>48</v>
      </c>
      <c r="E87" t="s">
        <v>49</v>
      </c>
      <c r="F87" t="s">
        <v>178</v>
      </c>
      <c r="G87" s="53">
        <v>43686</v>
      </c>
      <c r="H87">
        <v>33</v>
      </c>
      <c r="I87">
        <v>9466</v>
      </c>
      <c r="J87" t="s">
        <v>50</v>
      </c>
      <c r="K87" t="s">
        <v>50</v>
      </c>
      <c r="L87" t="s">
        <v>159</v>
      </c>
      <c r="M87" t="s">
        <v>51</v>
      </c>
      <c r="N87" t="s">
        <v>92</v>
      </c>
      <c r="O87" s="1">
        <v>41335</v>
      </c>
      <c r="P87" t="s">
        <v>84</v>
      </c>
      <c r="Q87">
        <v>4</v>
      </c>
      <c r="R87" t="s">
        <v>27</v>
      </c>
      <c r="S87">
        <v>1210.3736879999999</v>
      </c>
      <c r="T87">
        <v>71.983999999999995</v>
      </c>
      <c r="U87" t="s">
        <v>349</v>
      </c>
      <c r="V87" t="s">
        <v>349</v>
      </c>
      <c r="W87">
        <v>87128</v>
      </c>
    </row>
    <row r="88" spans="1:23" x14ac:dyDescent="0.3">
      <c r="A88" s="1">
        <v>43647</v>
      </c>
      <c r="B88" s="1">
        <v>43647</v>
      </c>
      <c r="C88" t="s">
        <v>157</v>
      </c>
      <c r="D88" t="s">
        <v>54</v>
      </c>
      <c r="E88" t="s">
        <v>21</v>
      </c>
      <c r="F88" t="s">
        <v>180</v>
      </c>
      <c r="G88" s="53">
        <v>43686</v>
      </c>
      <c r="H88">
        <v>33</v>
      </c>
      <c r="I88">
        <v>9466</v>
      </c>
      <c r="J88" t="s">
        <v>50</v>
      </c>
      <c r="K88" t="s">
        <v>50</v>
      </c>
      <c r="L88" t="s">
        <v>159</v>
      </c>
      <c r="M88" t="s">
        <v>51</v>
      </c>
      <c r="N88" t="s">
        <v>92</v>
      </c>
      <c r="O88" s="1">
        <v>41335</v>
      </c>
      <c r="P88" t="s">
        <v>84</v>
      </c>
      <c r="Q88">
        <v>5</v>
      </c>
      <c r="R88" t="s">
        <v>28</v>
      </c>
      <c r="S88" t="s">
        <v>349</v>
      </c>
      <c r="T88" t="s">
        <v>349</v>
      </c>
      <c r="U88">
        <v>0</v>
      </c>
      <c r="V88">
        <v>0</v>
      </c>
      <c r="W88">
        <v>0</v>
      </c>
    </row>
    <row r="89" spans="1:23" x14ac:dyDescent="0.3">
      <c r="A89" s="1">
        <v>43647</v>
      </c>
      <c r="B89" s="1">
        <v>43647</v>
      </c>
      <c r="C89" t="s">
        <v>157</v>
      </c>
      <c r="D89" t="s">
        <v>48</v>
      </c>
      <c r="E89" t="s">
        <v>49</v>
      </c>
      <c r="F89" t="s">
        <v>178</v>
      </c>
      <c r="G89" s="53">
        <v>43686</v>
      </c>
      <c r="H89">
        <v>33</v>
      </c>
      <c r="I89">
        <v>9466</v>
      </c>
      <c r="J89" t="s">
        <v>50</v>
      </c>
      <c r="K89" t="s">
        <v>50</v>
      </c>
      <c r="L89" t="s">
        <v>159</v>
      </c>
      <c r="M89" t="s">
        <v>51</v>
      </c>
      <c r="N89" t="s">
        <v>92</v>
      </c>
      <c r="O89" s="1">
        <v>41335</v>
      </c>
      <c r="P89" t="s">
        <v>84</v>
      </c>
      <c r="Q89">
        <v>5</v>
      </c>
      <c r="R89" t="s">
        <v>28</v>
      </c>
      <c r="S89">
        <v>3.7772670000000002</v>
      </c>
      <c r="T89">
        <v>75.617000000000004</v>
      </c>
      <c r="U89" t="s">
        <v>349</v>
      </c>
      <c r="V89" t="s">
        <v>349</v>
      </c>
      <c r="W89">
        <v>286</v>
      </c>
    </row>
    <row r="90" spans="1:23" x14ac:dyDescent="0.3">
      <c r="A90" s="1">
        <v>43678</v>
      </c>
      <c r="B90" s="1">
        <v>43678</v>
      </c>
      <c r="C90" t="s">
        <v>157</v>
      </c>
      <c r="D90" t="s">
        <v>93</v>
      </c>
      <c r="E90" t="s">
        <v>49</v>
      </c>
      <c r="F90" t="s">
        <v>182</v>
      </c>
      <c r="G90" s="53">
        <v>43915.393750000003</v>
      </c>
      <c r="H90">
        <v>61</v>
      </c>
      <c r="I90" t="s">
        <v>349</v>
      </c>
      <c r="J90" t="s">
        <v>50</v>
      </c>
      <c r="K90" t="s">
        <v>50</v>
      </c>
      <c r="L90" t="s">
        <v>159</v>
      </c>
      <c r="M90" t="s">
        <v>51</v>
      </c>
      <c r="N90" t="s">
        <v>92</v>
      </c>
      <c r="O90" s="1">
        <v>41335</v>
      </c>
      <c r="P90" t="s">
        <v>84</v>
      </c>
      <c r="Q90">
        <v>1</v>
      </c>
      <c r="R90" t="s">
        <v>83</v>
      </c>
      <c r="S90">
        <v>1</v>
      </c>
      <c r="T90">
        <v>-415</v>
      </c>
      <c r="U90" t="s">
        <v>349</v>
      </c>
      <c r="V90" t="s">
        <v>349</v>
      </c>
      <c r="W90">
        <v>-415</v>
      </c>
    </row>
    <row r="91" spans="1:23" x14ac:dyDescent="0.3">
      <c r="A91" s="1">
        <v>43678</v>
      </c>
      <c r="B91" s="1">
        <v>43678</v>
      </c>
      <c r="C91" t="s">
        <v>157</v>
      </c>
      <c r="D91" t="s">
        <v>48</v>
      </c>
      <c r="E91" t="s">
        <v>49</v>
      </c>
      <c r="F91" t="s">
        <v>181</v>
      </c>
      <c r="G91" s="53">
        <v>43719</v>
      </c>
      <c r="H91">
        <v>33</v>
      </c>
      <c r="I91">
        <v>9996</v>
      </c>
      <c r="J91" t="s">
        <v>50</v>
      </c>
      <c r="K91" t="s">
        <v>50</v>
      </c>
      <c r="L91" t="s">
        <v>159</v>
      </c>
      <c r="M91" t="s">
        <v>51</v>
      </c>
      <c r="N91" t="s">
        <v>92</v>
      </c>
      <c r="O91" s="1">
        <v>41335</v>
      </c>
      <c r="P91" t="s">
        <v>84</v>
      </c>
      <c r="Q91">
        <v>1</v>
      </c>
      <c r="R91" t="s">
        <v>83</v>
      </c>
      <c r="S91">
        <v>797.16753600000004</v>
      </c>
      <c r="T91">
        <v>74.400999999999996</v>
      </c>
      <c r="U91" t="s">
        <v>349</v>
      </c>
      <c r="V91" t="s">
        <v>349</v>
      </c>
      <c r="W91">
        <v>59310</v>
      </c>
    </row>
    <row r="92" spans="1:23" x14ac:dyDescent="0.3">
      <c r="A92" s="1">
        <v>43678</v>
      </c>
      <c r="B92" s="1">
        <v>43739</v>
      </c>
      <c r="C92" t="s">
        <v>157</v>
      </c>
      <c r="D92" t="s">
        <v>54</v>
      </c>
      <c r="E92" t="s">
        <v>21</v>
      </c>
      <c r="F92" t="s">
        <v>183</v>
      </c>
      <c r="G92" s="53">
        <v>43719</v>
      </c>
      <c r="H92">
        <v>33</v>
      </c>
      <c r="I92">
        <v>9996</v>
      </c>
      <c r="J92" t="s">
        <v>50</v>
      </c>
      <c r="K92" t="s">
        <v>50</v>
      </c>
      <c r="L92" t="s">
        <v>159</v>
      </c>
      <c r="M92" t="s">
        <v>51</v>
      </c>
      <c r="N92" t="s">
        <v>92</v>
      </c>
      <c r="O92" s="1">
        <v>41335</v>
      </c>
      <c r="P92" t="s">
        <v>84</v>
      </c>
      <c r="Q92">
        <v>1</v>
      </c>
      <c r="R92" t="s">
        <v>83</v>
      </c>
      <c r="S92" t="s">
        <v>349</v>
      </c>
      <c r="T92" t="s">
        <v>349</v>
      </c>
      <c r="U92">
        <v>0</v>
      </c>
      <c r="V92">
        <v>0</v>
      </c>
      <c r="W92">
        <v>0</v>
      </c>
    </row>
    <row r="93" spans="1:23" x14ac:dyDescent="0.3">
      <c r="A93" s="1">
        <v>43678</v>
      </c>
      <c r="B93" s="1">
        <v>43678</v>
      </c>
      <c r="C93" t="s">
        <v>157</v>
      </c>
      <c r="D93" t="s">
        <v>93</v>
      </c>
      <c r="E93" t="s">
        <v>49</v>
      </c>
      <c r="F93" t="s">
        <v>182</v>
      </c>
      <c r="G93" s="53">
        <v>43915.393750000003</v>
      </c>
      <c r="H93">
        <v>61</v>
      </c>
      <c r="I93" t="s">
        <v>349</v>
      </c>
      <c r="J93" t="s">
        <v>50</v>
      </c>
      <c r="K93" t="s">
        <v>50</v>
      </c>
      <c r="L93" t="s">
        <v>159</v>
      </c>
      <c r="M93" t="s">
        <v>51</v>
      </c>
      <c r="N93" t="s">
        <v>92</v>
      </c>
      <c r="O93" s="1">
        <v>41335</v>
      </c>
      <c r="P93" t="s">
        <v>84</v>
      </c>
      <c r="Q93">
        <v>2</v>
      </c>
      <c r="R93" t="s">
        <v>94</v>
      </c>
      <c r="S93">
        <v>1</v>
      </c>
      <c r="T93">
        <v>-2</v>
      </c>
      <c r="U93" t="s">
        <v>349</v>
      </c>
      <c r="V93" t="s">
        <v>349</v>
      </c>
      <c r="W93">
        <v>-2</v>
      </c>
    </row>
    <row r="94" spans="1:23" x14ac:dyDescent="0.3">
      <c r="A94" s="1">
        <v>43678</v>
      </c>
      <c r="B94" s="1">
        <v>43678</v>
      </c>
      <c r="C94" t="s">
        <v>157</v>
      </c>
      <c r="D94" t="s">
        <v>48</v>
      </c>
      <c r="E94" t="s">
        <v>49</v>
      </c>
      <c r="F94" t="s">
        <v>181</v>
      </c>
      <c r="G94" s="53">
        <v>43719</v>
      </c>
      <c r="H94">
        <v>33</v>
      </c>
      <c r="I94">
        <v>9996</v>
      </c>
      <c r="J94" t="s">
        <v>50</v>
      </c>
      <c r="K94" t="s">
        <v>50</v>
      </c>
      <c r="L94" t="s">
        <v>159</v>
      </c>
      <c r="M94" t="s">
        <v>51</v>
      </c>
      <c r="N94" t="s">
        <v>92</v>
      </c>
      <c r="O94" s="1">
        <v>41335</v>
      </c>
      <c r="P94" t="s">
        <v>84</v>
      </c>
      <c r="Q94">
        <v>2</v>
      </c>
      <c r="R94" t="s">
        <v>94</v>
      </c>
      <c r="S94">
        <v>3.3512949999999999</v>
      </c>
      <c r="T94">
        <v>75.736999999999995</v>
      </c>
      <c r="U94" t="s">
        <v>349</v>
      </c>
      <c r="V94" t="s">
        <v>349</v>
      </c>
      <c r="W94">
        <v>254</v>
      </c>
    </row>
    <row r="95" spans="1:23" x14ac:dyDescent="0.3">
      <c r="A95" s="1">
        <v>43678</v>
      </c>
      <c r="B95" s="1">
        <v>43739</v>
      </c>
      <c r="C95" t="s">
        <v>157</v>
      </c>
      <c r="D95" t="s">
        <v>54</v>
      </c>
      <c r="E95" t="s">
        <v>21</v>
      </c>
      <c r="F95" t="s">
        <v>183</v>
      </c>
      <c r="G95" s="53">
        <v>43719</v>
      </c>
      <c r="H95">
        <v>33</v>
      </c>
      <c r="I95">
        <v>9996</v>
      </c>
      <c r="J95" t="s">
        <v>50</v>
      </c>
      <c r="K95" t="s">
        <v>50</v>
      </c>
      <c r="L95" t="s">
        <v>159</v>
      </c>
      <c r="M95" t="s">
        <v>51</v>
      </c>
      <c r="N95" t="s">
        <v>92</v>
      </c>
      <c r="O95" s="1">
        <v>41335</v>
      </c>
      <c r="P95" t="s">
        <v>84</v>
      </c>
      <c r="Q95">
        <v>2</v>
      </c>
      <c r="R95" t="s">
        <v>94</v>
      </c>
      <c r="S95" t="s">
        <v>349</v>
      </c>
      <c r="T95" t="s">
        <v>349</v>
      </c>
      <c r="U95">
        <v>0</v>
      </c>
      <c r="V95">
        <v>0</v>
      </c>
      <c r="W95">
        <v>0</v>
      </c>
    </row>
    <row r="96" spans="1:23" x14ac:dyDescent="0.3">
      <c r="A96" s="1">
        <v>43678</v>
      </c>
      <c r="B96" s="1">
        <v>43678</v>
      </c>
      <c r="C96" t="s">
        <v>157</v>
      </c>
      <c r="D96" t="s">
        <v>93</v>
      </c>
      <c r="E96" t="s">
        <v>49</v>
      </c>
      <c r="F96" t="s">
        <v>182</v>
      </c>
      <c r="G96" s="53">
        <v>43915.393750000003</v>
      </c>
      <c r="H96">
        <v>61</v>
      </c>
      <c r="I96" t="s">
        <v>349</v>
      </c>
      <c r="J96" t="s">
        <v>50</v>
      </c>
      <c r="K96" t="s">
        <v>50</v>
      </c>
      <c r="L96" t="s">
        <v>159</v>
      </c>
      <c r="M96" t="s">
        <v>51</v>
      </c>
      <c r="N96" t="s">
        <v>92</v>
      </c>
      <c r="O96" s="1">
        <v>41335</v>
      </c>
      <c r="P96" t="s">
        <v>84</v>
      </c>
      <c r="Q96">
        <v>3</v>
      </c>
      <c r="R96" t="s">
        <v>81</v>
      </c>
      <c r="S96">
        <v>1</v>
      </c>
      <c r="T96">
        <v>-80</v>
      </c>
      <c r="U96" t="s">
        <v>349</v>
      </c>
      <c r="V96" t="s">
        <v>349</v>
      </c>
      <c r="W96">
        <v>-80</v>
      </c>
    </row>
    <row r="97" spans="1:23" x14ac:dyDescent="0.3">
      <c r="A97" s="1">
        <v>43678</v>
      </c>
      <c r="B97" s="1">
        <v>43678</v>
      </c>
      <c r="C97" t="s">
        <v>157</v>
      </c>
      <c r="D97" t="s">
        <v>48</v>
      </c>
      <c r="E97" t="s">
        <v>49</v>
      </c>
      <c r="F97" t="s">
        <v>181</v>
      </c>
      <c r="G97" s="53">
        <v>43719</v>
      </c>
      <c r="H97">
        <v>33</v>
      </c>
      <c r="I97">
        <v>9996</v>
      </c>
      <c r="J97" t="s">
        <v>50</v>
      </c>
      <c r="K97" t="s">
        <v>50</v>
      </c>
      <c r="L97" t="s">
        <v>159</v>
      </c>
      <c r="M97" t="s">
        <v>51</v>
      </c>
      <c r="N97" t="s">
        <v>92</v>
      </c>
      <c r="O97" s="1">
        <v>41335</v>
      </c>
      <c r="P97" t="s">
        <v>84</v>
      </c>
      <c r="Q97">
        <v>3</v>
      </c>
      <c r="R97" t="s">
        <v>81</v>
      </c>
      <c r="S97">
        <v>162.116804</v>
      </c>
      <c r="T97">
        <v>70.436999999999998</v>
      </c>
      <c r="U97" t="s">
        <v>349</v>
      </c>
      <c r="V97" t="s">
        <v>349</v>
      </c>
      <c r="W97">
        <v>11419</v>
      </c>
    </row>
    <row r="98" spans="1:23" x14ac:dyDescent="0.3">
      <c r="A98" s="1">
        <v>43678</v>
      </c>
      <c r="B98" s="1">
        <v>43739</v>
      </c>
      <c r="C98" t="s">
        <v>157</v>
      </c>
      <c r="D98" t="s">
        <v>54</v>
      </c>
      <c r="E98" t="s">
        <v>21</v>
      </c>
      <c r="F98" t="s">
        <v>183</v>
      </c>
      <c r="G98" s="53">
        <v>43719</v>
      </c>
      <c r="H98">
        <v>33</v>
      </c>
      <c r="I98">
        <v>9996</v>
      </c>
      <c r="J98" t="s">
        <v>50</v>
      </c>
      <c r="K98" t="s">
        <v>50</v>
      </c>
      <c r="L98" t="s">
        <v>159</v>
      </c>
      <c r="M98" t="s">
        <v>51</v>
      </c>
      <c r="N98" t="s">
        <v>92</v>
      </c>
      <c r="O98" s="1">
        <v>41335</v>
      </c>
      <c r="P98" t="s">
        <v>84</v>
      </c>
      <c r="Q98">
        <v>3</v>
      </c>
      <c r="R98" t="s">
        <v>81</v>
      </c>
      <c r="S98" t="s">
        <v>349</v>
      </c>
      <c r="T98" t="s">
        <v>349</v>
      </c>
      <c r="U98">
        <v>0</v>
      </c>
      <c r="V98">
        <v>0</v>
      </c>
      <c r="W98">
        <v>0</v>
      </c>
    </row>
    <row r="99" spans="1:23" x14ac:dyDescent="0.3">
      <c r="A99" s="1">
        <v>43678</v>
      </c>
      <c r="B99" s="1">
        <v>43678</v>
      </c>
      <c r="C99" t="s">
        <v>157</v>
      </c>
      <c r="D99" t="s">
        <v>93</v>
      </c>
      <c r="E99" t="s">
        <v>49</v>
      </c>
      <c r="F99" t="s">
        <v>182</v>
      </c>
      <c r="G99" s="53">
        <v>43915.393750000003</v>
      </c>
      <c r="H99">
        <v>61</v>
      </c>
      <c r="I99" t="s">
        <v>349</v>
      </c>
      <c r="J99" t="s">
        <v>50</v>
      </c>
      <c r="K99" t="s">
        <v>50</v>
      </c>
      <c r="L99" t="s">
        <v>159</v>
      </c>
      <c r="M99" t="s">
        <v>51</v>
      </c>
      <c r="N99" t="s">
        <v>92</v>
      </c>
      <c r="O99" s="1">
        <v>41335</v>
      </c>
      <c r="P99" t="s">
        <v>84</v>
      </c>
      <c r="Q99">
        <v>4</v>
      </c>
      <c r="R99" t="s">
        <v>27</v>
      </c>
      <c r="S99">
        <v>1</v>
      </c>
      <c r="T99">
        <v>-572</v>
      </c>
      <c r="U99" t="s">
        <v>349</v>
      </c>
      <c r="V99" t="s">
        <v>349</v>
      </c>
      <c r="W99">
        <v>-572</v>
      </c>
    </row>
    <row r="100" spans="1:23" x14ac:dyDescent="0.3">
      <c r="A100" s="1">
        <v>43678</v>
      </c>
      <c r="B100" s="1">
        <v>43678</v>
      </c>
      <c r="C100" t="s">
        <v>157</v>
      </c>
      <c r="D100" t="s">
        <v>48</v>
      </c>
      <c r="E100" t="s">
        <v>49</v>
      </c>
      <c r="F100" t="s">
        <v>181</v>
      </c>
      <c r="G100" s="53">
        <v>43719</v>
      </c>
      <c r="H100">
        <v>33</v>
      </c>
      <c r="I100">
        <v>9996</v>
      </c>
      <c r="J100" t="s">
        <v>50</v>
      </c>
      <c r="K100" t="s">
        <v>50</v>
      </c>
      <c r="L100" t="s">
        <v>159</v>
      </c>
      <c r="M100" t="s">
        <v>51</v>
      </c>
      <c r="N100" t="s">
        <v>92</v>
      </c>
      <c r="O100" s="1">
        <v>41335</v>
      </c>
      <c r="P100" t="s">
        <v>84</v>
      </c>
      <c r="Q100">
        <v>4</v>
      </c>
      <c r="R100" t="s">
        <v>27</v>
      </c>
      <c r="S100">
        <v>1136.702366</v>
      </c>
      <c r="T100">
        <v>71.983999999999995</v>
      </c>
      <c r="U100" t="s">
        <v>349</v>
      </c>
      <c r="V100" t="s">
        <v>349</v>
      </c>
      <c r="W100">
        <v>81824</v>
      </c>
    </row>
    <row r="101" spans="1:23" x14ac:dyDescent="0.3">
      <c r="A101" s="1">
        <v>43678</v>
      </c>
      <c r="B101" s="1">
        <v>43739</v>
      </c>
      <c r="C101" t="s">
        <v>157</v>
      </c>
      <c r="D101" t="s">
        <v>54</v>
      </c>
      <c r="E101" t="s">
        <v>21</v>
      </c>
      <c r="F101" t="s">
        <v>183</v>
      </c>
      <c r="G101" s="53">
        <v>43719</v>
      </c>
      <c r="H101">
        <v>33</v>
      </c>
      <c r="I101">
        <v>9996</v>
      </c>
      <c r="J101" t="s">
        <v>50</v>
      </c>
      <c r="K101" t="s">
        <v>50</v>
      </c>
      <c r="L101" t="s">
        <v>159</v>
      </c>
      <c r="M101" t="s">
        <v>51</v>
      </c>
      <c r="N101" t="s">
        <v>92</v>
      </c>
      <c r="O101" s="1">
        <v>41335</v>
      </c>
      <c r="P101" t="s">
        <v>84</v>
      </c>
      <c r="Q101">
        <v>4</v>
      </c>
      <c r="R101" t="s">
        <v>27</v>
      </c>
      <c r="S101" t="s">
        <v>349</v>
      </c>
      <c r="T101" t="s">
        <v>349</v>
      </c>
      <c r="U101">
        <v>0</v>
      </c>
      <c r="V101">
        <v>0</v>
      </c>
      <c r="W101">
        <v>0</v>
      </c>
    </row>
    <row r="102" spans="1:23" x14ac:dyDescent="0.3">
      <c r="A102" s="1">
        <v>43678</v>
      </c>
      <c r="B102" s="1">
        <v>43678</v>
      </c>
      <c r="C102" t="s">
        <v>157</v>
      </c>
      <c r="D102" t="s">
        <v>93</v>
      </c>
      <c r="E102" t="s">
        <v>49</v>
      </c>
      <c r="F102" t="s">
        <v>182</v>
      </c>
      <c r="G102" s="53">
        <v>43915.393750000003</v>
      </c>
      <c r="H102">
        <v>61</v>
      </c>
      <c r="I102" t="s">
        <v>349</v>
      </c>
      <c r="J102" t="s">
        <v>50</v>
      </c>
      <c r="K102" t="s">
        <v>50</v>
      </c>
      <c r="L102" t="s">
        <v>159</v>
      </c>
      <c r="M102" t="s">
        <v>51</v>
      </c>
      <c r="N102" t="s">
        <v>92</v>
      </c>
      <c r="O102" s="1">
        <v>41335</v>
      </c>
      <c r="P102" t="s">
        <v>84</v>
      </c>
      <c r="Q102">
        <v>5</v>
      </c>
      <c r="R102" t="s">
        <v>28</v>
      </c>
      <c r="S102">
        <v>1</v>
      </c>
      <c r="T102">
        <v>-2</v>
      </c>
      <c r="U102" t="s">
        <v>349</v>
      </c>
      <c r="V102" t="s">
        <v>349</v>
      </c>
      <c r="W102">
        <v>-2</v>
      </c>
    </row>
    <row r="103" spans="1:23" x14ac:dyDescent="0.3">
      <c r="A103" s="1">
        <v>43678</v>
      </c>
      <c r="B103" s="1">
        <v>43678</v>
      </c>
      <c r="C103" t="s">
        <v>157</v>
      </c>
      <c r="D103" t="s">
        <v>48</v>
      </c>
      <c r="E103" t="s">
        <v>49</v>
      </c>
      <c r="F103" t="s">
        <v>181</v>
      </c>
      <c r="G103" s="53">
        <v>43719</v>
      </c>
      <c r="H103">
        <v>33</v>
      </c>
      <c r="I103">
        <v>9996</v>
      </c>
      <c r="J103" t="s">
        <v>50</v>
      </c>
      <c r="K103" t="s">
        <v>50</v>
      </c>
      <c r="L103" t="s">
        <v>159</v>
      </c>
      <c r="M103" t="s">
        <v>51</v>
      </c>
      <c r="N103" t="s">
        <v>92</v>
      </c>
      <c r="O103" s="1">
        <v>41335</v>
      </c>
      <c r="P103" t="s">
        <v>84</v>
      </c>
      <c r="Q103">
        <v>5</v>
      </c>
      <c r="R103" t="s">
        <v>28</v>
      </c>
      <c r="S103">
        <v>3.471597</v>
      </c>
      <c r="T103">
        <v>75.617000000000004</v>
      </c>
      <c r="U103" t="s">
        <v>349</v>
      </c>
      <c r="V103" t="s">
        <v>349</v>
      </c>
      <c r="W103">
        <v>263</v>
      </c>
    </row>
    <row r="104" spans="1:23" x14ac:dyDescent="0.3">
      <c r="A104" s="1">
        <v>43678</v>
      </c>
      <c r="B104" s="1">
        <v>43739</v>
      </c>
      <c r="C104" t="s">
        <v>157</v>
      </c>
      <c r="D104" t="s">
        <v>54</v>
      </c>
      <c r="E104" t="s">
        <v>21</v>
      </c>
      <c r="F104" t="s">
        <v>183</v>
      </c>
      <c r="G104" s="53">
        <v>43719</v>
      </c>
      <c r="H104">
        <v>33</v>
      </c>
      <c r="I104">
        <v>9996</v>
      </c>
      <c r="J104" t="s">
        <v>50</v>
      </c>
      <c r="K104" t="s">
        <v>50</v>
      </c>
      <c r="L104" t="s">
        <v>159</v>
      </c>
      <c r="M104" t="s">
        <v>51</v>
      </c>
      <c r="N104" t="s">
        <v>92</v>
      </c>
      <c r="O104" s="1">
        <v>41335</v>
      </c>
      <c r="P104" t="s">
        <v>84</v>
      </c>
      <c r="Q104">
        <v>5</v>
      </c>
      <c r="R104" t="s">
        <v>28</v>
      </c>
      <c r="S104" t="s">
        <v>349</v>
      </c>
      <c r="T104" t="s">
        <v>349</v>
      </c>
      <c r="U104">
        <v>0</v>
      </c>
      <c r="V104">
        <v>0</v>
      </c>
      <c r="W104">
        <v>0</v>
      </c>
    </row>
    <row r="105" spans="1:23" x14ac:dyDescent="0.3">
      <c r="A105" s="1">
        <v>43709</v>
      </c>
      <c r="B105" s="1">
        <v>43709</v>
      </c>
      <c r="C105" t="s">
        <v>157</v>
      </c>
      <c r="D105" t="s">
        <v>48</v>
      </c>
      <c r="E105" t="s">
        <v>49</v>
      </c>
      <c r="F105" t="s">
        <v>184</v>
      </c>
      <c r="G105" s="53">
        <v>43748</v>
      </c>
      <c r="H105">
        <v>33</v>
      </c>
      <c r="I105">
        <v>10390</v>
      </c>
      <c r="J105" t="s">
        <v>50</v>
      </c>
      <c r="K105" t="s">
        <v>50</v>
      </c>
      <c r="L105" t="s">
        <v>159</v>
      </c>
      <c r="M105" t="s">
        <v>51</v>
      </c>
      <c r="N105" t="s">
        <v>92</v>
      </c>
      <c r="O105" s="1">
        <v>41335</v>
      </c>
      <c r="P105" t="s">
        <v>84</v>
      </c>
      <c r="Q105">
        <v>1</v>
      </c>
      <c r="R105" t="s">
        <v>83</v>
      </c>
      <c r="S105">
        <v>755.96651699999995</v>
      </c>
      <c r="T105">
        <v>77.384</v>
      </c>
      <c r="U105" t="s">
        <v>349</v>
      </c>
      <c r="V105" t="s">
        <v>349</v>
      </c>
      <c r="W105">
        <v>58500</v>
      </c>
    </row>
    <row r="106" spans="1:23" x14ac:dyDescent="0.3">
      <c r="A106" s="1">
        <v>43709</v>
      </c>
      <c r="B106" s="1">
        <v>43739</v>
      </c>
      <c r="C106" t="s">
        <v>157</v>
      </c>
      <c r="D106" t="s">
        <v>54</v>
      </c>
      <c r="E106" t="s">
        <v>21</v>
      </c>
      <c r="F106" t="s">
        <v>183</v>
      </c>
      <c r="G106" s="53">
        <v>43748</v>
      </c>
      <c r="H106">
        <v>33</v>
      </c>
      <c r="I106">
        <v>10390</v>
      </c>
      <c r="J106" t="s">
        <v>50</v>
      </c>
      <c r="K106" t="s">
        <v>50</v>
      </c>
      <c r="L106" t="s">
        <v>159</v>
      </c>
      <c r="M106" t="s">
        <v>51</v>
      </c>
      <c r="N106" t="s">
        <v>92</v>
      </c>
      <c r="O106" s="1">
        <v>41335</v>
      </c>
      <c r="P106" t="s">
        <v>84</v>
      </c>
      <c r="Q106">
        <v>1</v>
      </c>
      <c r="R106" t="s">
        <v>83</v>
      </c>
      <c r="S106" t="s">
        <v>349</v>
      </c>
      <c r="T106" t="s">
        <v>349</v>
      </c>
      <c r="U106">
        <v>0</v>
      </c>
      <c r="V106">
        <v>0</v>
      </c>
      <c r="W106">
        <v>0</v>
      </c>
    </row>
    <row r="107" spans="1:23" x14ac:dyDescent="0.3">
      <c r="A107" s="1">
        <v>43709</v>
      </c>
      <c r="B107" s="1">
        <v>43709</v>
      </c>
      <c r="C107" t="s">
        <v>157</v>
      </c>
      <c r="D107" t="s">
        <v>48</v>
      </c>
      <c r="E107" t="s">
        <v>49</v>
      </c>
      <c r="F107" t="s">
        <v>184</v>
      </c>
      <c r="G107" s="53">
        <v>43748</v>
      </c>
      <c r="H107">
        <v>33</v>
      </c>
      <c r="I107">
        <v>10390</v>
      </c>
      <c r="J107" t="s">
        <v>50</v>
      </c>
      <c r="K107" t="s">
        <v>50</v>
      </c>
      <c r="L107" t="s">
        <v>159</v>
      </c>
      <c r="M107" t="s">
        <v>51</v>
      </c>
      <c r="N107" t="s">
        <v>92</v>
      </c>
      <c r="O107" s="1">
        <v>41335</v>
      </c>
      <c r="P107" t="s">
        <v>84</v>
      </c>
      <c r="Q107">
        <v>2</v>
      </c>
      <c r="R107" t="s">
        <v>94</v>
      </c>
      <c r="S107">
        <v>3.2400500000000001</v>
      </c>
      <c r="T107">
        <v>79.429000000000002</v>
      </c>
      <c r="U107" t="s">
        <v>349</v>
      </c>
      <c r="V107" t="s">
        <v>349</v>
      </c>
      <c r="W107">
        <v>257</v>
      </c>
    </row>
    <row r="108" spans="1:23" x14ac:dyDescent="0.3">
      <c r="A108" s="1">
        <v>43709</v>
      </c>
      <c r="B108" s="1">
        <v>43739</v>
      </c>
      <c r="C108" t="s">
        <v>157</v>
      </c>
      <c r="D108" t="s">
        <v>54</v>
      </c>
      <c r="E108" t="s">
        <v>21</v>
      </c>
      <c r="F108" t="s">
        <v>183</v>
      </c>
      <c r="G108" s="53">
        <v>43748</v>
      </c>
      <c r="H108">
        <v>33</v>
      </c>
      <c r="I108">
        <v>10390</v>
      </c>
      <c r="J108" t="s">
        <v>50</v>
      </c>
      <c r="K108" t="s">
        <v>50</v>
      </c>
      <c r="L108" t="s">
        <v>159</v>
      </c>
      <c r="M108" t="s">
        <v>51</v>
      </c>
      <c r="N108" t="s">
        <v>92</v>
      </c>
      <c r="O108" s="1">
        <v>41335</v>
      </c>
      <c r="P108" t="s">
        <v>84</v>
      </c>
      <c r="Q108">
        <v>2</v>
      </c>
      <c r="R108" t="s">
        <v>94</v>
      </c>
      <c r="S108" t="s">
        <v>349</v>
      </c>
      <c r="T108" t="s">
        <v>349</v>
      </c>
      <c r="U108">
        <v>0</v>
      </c>
      <c r="V108">
        <v>0</v>
      </c>
      <c r="W108">
        <v>0</v>
      </c>
    </row>
    <row r="109" spans="1:23" x14ac:dyDescent="0.3">
      <c r="A109" s="1">
        <v>43709</v>
      </c>
      <c r="B109" s="1">
        <v>43709</v>
      </c>
      <c r="C109" t="s">
        <v>157</v>
      </c>
      <c r="D109" t="s">
        <v>48</v>
      </c>
      <c r="E109" t="s">
        <v>49</v>
      </c>
      <c r="F109" t="s">
        <v>184</v>
      </c>
      <c r="G109" s="53">
        <v>43748</v>
      </c>
      <c r="H109">
        <v>33</v>
      </c>
      <c r="I109">
        <v>10390</v>
      </c>
      <c r="J109" t="s">
        <v>50</v>
      </c>
      <c r="K109" t="s">
        <v>50</v>
      </c>
      <c r="L109" t="s">
        <v>159</v>
      </c>
      <c r="M109" t="s">
        <v>51</v>
      </c>
      <c r="N109" t="s">
        <v>92</v>
      </c>
      <c r="O109" s="1">
        <v>41335</v>
      </c>
      <c r="P109" t="s">
        <v>84</v>
      </c>
      <c r="Q109">
        <v>3</v>
      </c>
      <c r="R109" t="s">
        <v>81</v>
      </c>
      <c r="S109">
        <v>154.713278</v>
      </c>
      <c r="T109">
        <v>72.400000000000006</v>
      </c>
      <c r="U109" t="s">
        <v>349</v>
      </c>
      <c r="V109" t="s">
        <v>349</v>
      </c>
      <c r="W109">
        <v>11201</v>
      </c>
    </row>
    <row r="110" spans="1:23" x14ac:dyDescent="0.3">
      <c r="A110" s="1">
        <v>43709</v>
      </c>
      <c r="B110" s="1">
        <v>43739</v>
      </c>
      <c r="C110" t="s">
        <v>157</v>
      </c>
      <c r="D110" t="s">
        <v>54</v>
      </c>
      <c r="E110" t="s">
        <v>21</v>
      </c>
      <c r="F110" t="s">
        <v>183</v>
      </c>
      <c r="G110" s="53">
        <v>43748</v>
      </c>
      <c r="H110">
        <v>33</v>
      </c>
      <c r="I110">
        <v>10390</v>
      </c>
      <c r="J110" t="s">
        <v>50</v>
      </c>
      <c r="K110" t="s">
        <v>50</v>
      </c>
      <c r="L110" t="s">
        <v>159</v>
      </c>
      <c r="M110" t="s">
        <v>51</v>
      </c>
      <c r="N110" t="s">
        <v>92</v>
      </c>
      <c r="O110" s="1">
        <v>41335</v>
      </c>
      <c r="P110" t="s">
        <v>84</v>
      </c>
      <c r="Q110">
        <v>3</v>
      </c>
      <c r="R110" t="s">
        <v>81</v>
      </c>
      <c r="S110" t="s">
        <v>349</v>
      </c>
      <c r="T110" t="s">
        <v>349</v>
      </c>
      <c r="U110">
        <v>0</v>
      </c>
      <c r="V110">
        <v>0</v>
      </c>
      <c r="W110">
        <v>0</v>
      </c>
    </row>
    <row r="111" spans="1:23" x14ac:dyDescent="0.3">
      <c r="A111" s="1">
        <v>43709</v>
      </c>
      <c r="B111" s="1">
        <v>43709</v>
      </c>
      <c r="C111" t="s">
        <v>157</v>
      </c>
      <c r="D111" t="s">
        <v>48</v>
      </c>
      <c r="E111" t="s">
        <v>49</v>
      </c>
      <c r="F111" t="s">
        <v>184</v>
      </c>
      <c r="G111" s="53">
        <v>43748</v>
      </c>
      <c r="H111">
        <v>33</v>
      </c>
      <c r="I111">
        <v>10390</v>
      </c>
      <c r="J111" t="s">
        <v>50</v>
      </c>
      <c r="K111" t="s">
        <v>50</v>
      </c>
      <c r="L111" t="s">
        <v>159</v>
      </c>
      <c r="M111" t="s">
        <v>51</v>
      </c>
      <c r="N111" t="s">
        <v>92</v>
      </c>
      <c r="O111" s="1">
        <v>41335</v>
      </c>
      <c r="P111" t="s">
        <v>84</v>
      </c>
      <c r="Q111">
        <v>4</v>
      </c>
      <c r="R111" t="s">
        <v>27</v>
      </c>
      <c r="S111">
        <v>1084.175843</v>
      </c>
      <c r="T111">
        <v>74.936000000000007</v>
      </c>
      <c r="U111" t="s">
        <v>349</v>
      </c>
      <c r="V111" t="s">
        <v>349</v>
      </c>
      <c r="W111">
        <v>81244</v>
      </c>
    </row>
    <row r="112" spans="1:23" x14ac:dyDescent="0.3">
      <c r="A112" s="1">
        <v>43709</v>
      </c>
      <c r="B112" s="1">
        <v>43739</v>
      </c>
      <c r="C112" t="s">
        <v>157</v>
      </c>
      <c r="D112" t="s">
        <v>54</v>
      </c>
      <c r="E112" t="s">
        <v>21</v>
      </c>
      <c r="F112" t="s">
        <v>183</v>
      </c>
      <c r="G112" s="53">
        <v>43748</v>
      </c>
      <c r="H112">
        <v>33</v>
      </c>
      <c r="I112">
        <v>10390</v>
      </c>
      <c r="J112" t="s">
        <v>50</v>
      </c>
      <c r="K112" t="s">
        <v>50</v>
      </c>
      <c r="L112" t="s">
        <v>159</v>
      </c>
      <c r="M112" t="s">
        <v>51</v>
      </c>
      <c r="N112" t="s">
        <v>92</v>
      </c>
      <c r="O112" s="1">
        <v>41335</v>
      </c>
      <c r="P112" t="s">
        <v>84</v>
      </c>
      <c r="Q112">
        <v>4</v>
      </c>
      <c r="R112" t="s">
        <v>27</v>
      </c>
      <c r="S112" t="s">
        <v>349</v>
      </c>
      <c r="T112" t="s">
        <v>349</v>
      </c>
      <c r="U112">
        <v>0</v>
      </c>
      <c r="V112">
        <v>0</v>
      </c>
      <c r="W112">
        <v>0</v>
      </c>
    </row>
    <row r="113" spans="1:23" x14ac:dyDescent="0.3">
      <c r="A113" s="1">
        <v>43709</v>
      </c>
      <c r="B113" s="1">
        <v>43709</v>
      </c>
      <c r="C113" t="s">
        <v>157</v>
      </c>
      <c r="D113" t="s">
        <v>48</v>
      </c>
      <c r="E113" t="s">
        <v>49</v>
      </c>
      <c r="F113" t="s">
        <v>184</v>
      </c>
      <c r="G113" s="53">
        <v>43748</v>
      </c>
      <c r="H113">
        <v>33</v>
      </c>
      <c r="I113">
        <v>10390</v>
      </c>
      <c r="J113" t="s">
        <v>50</v>
      </c>
      <c r="K113" t="s">
        <v>50</v>
      </c>
      <c r="L113" t="s">
        <v>159</v>
      </c>
      <c r="M113" t="s">
        <v>51</v>
      </c>
      <c r="N113" t="s">
        <v>92</v>
      </c>
      <c r="O113" s="1">
        <v>41335</v>
      </c>
      <c r="P113" t="s">
        <v>84</v>
      </c>
      <c r="Q113">
        <v>5</v>
      </c>
      <c r="R113" t="s">
        <v>28</v>
      </c>
      <c r="S113">
        <v>3.3587340000000001</v>
      </c>
      <c r="T113">
        <v>75.665000000000006</v>
      </c>
      <c r="U113" t="s">
        <v>349</v>
      </c>
      <c r="V113" t="s">
        <v>349</v>
      </c>
      <c r="W113">
        <v>254</v>
      </c>
    </row>
    <row r="114" spans="1:23" x14ac:dyDescent="0.3">
      <c r="A114" s="1">
        <v>43709</v>
      </c>
      <c r="B114" s="1">
        <v>43739</v>
      </c>
      <c r="C114" t="s">
        <v>157</v>
      </c>
      <c r="D114" t="s">
        <v>54</v>
      </c>
      <c r="E114" t="s">
        <v>21</v>
      </c>
      <c r="F114" t="s">
        <v>183</v>
      </c>
      <c r="G114" s="53">
        <v>43748</v>
      </c>
      <c r="H114">
        <v>33</v>
      </c>
      <c r="I114">
        <v>10390</v>
      </c>
      <c r="J114" t="s">
        <v>50</v>
      </c>
      <c r="K114" t="s">
        <v>50</v>
      </c>
      <c r="L114" t="s">
        <v>159</v>
      </c>
      <c r="M114" t="s">
        <v>51</v>
      </c>
      <c r="N114" t="s">
        <v>92</v>
      </c>
      <c r="O114" s="1">
        <v>41335</v>
      </c>
      <c r="P114" t="s">
        <v>84</v>
      </c>
      <c r="Q114">
        <v>5</v>
      </c>
      <c r="R114" t="s">
        <v>28</v>
      </c>
      <c r="S114" t="s">
        <v>349</v>
      </c>
      <c r="T114" t="s">
        <v>349</v>
      </c>
      <c r="U114">
        <v>0</v>
      </c>
      <c r="V114">
        <v>0</v>
      </c>
      <c r="W114">
        <v>0</v>
      </c>
    </row>
    <row r="115" spans="1:23" x14ac:dyDescent="0.3">
      <c r="A115" s="1">
        <v>43739</v>
      </c>
      <c r="B115" s="1">
        <v>43709</v>
      </c>
      <c r="C115" t="s">
        <v>157</v>
      </c>
      <c r="D115" t="s">
        <v>57</v>
      </c>
      <c r="E115" t="s">
        <v>49</v>
      </c>
      <c r="F115" t="s">
        <v>185</v>
      </c>
      <c r="G115" s="53">
        <v>43944.47278935185</v>
      </c>
      <c r="H115">
        <v>61</v>
      </c>
      <c r="I115" t="s">
        <v>349</v>
      </c>
      <c r="J115" t="s">
        <v>50</v>
      </c>
      <c r="K115" t="s">
        <v>50</v>
      </c>
      <c r="L115" t="s">
        <v>159</v>
      </c>
      <c r="M115" t="s">
        <v>51</v>
      </c>
      <c r="N115" t="s">
        <v>92</v>
      </c>
      <c r="O115" s="1">
        <v>41335</v>
      </c>
      <c r="P115" t="s">
        <v>84</v>
      </c>
      <c r="Q115">
        <v>1</v>
      </c>
      <c r="R115" t="s">
        <v>83</v>
      </c>
      <c r="S115">
        <v>-755.96651699999995</v>
      </c>
      <c r="T115">
        <v>77.384</v>
      </c>
      <c r="U115" t="s">
        <v>349</v>
      </c>
      <c r="V115" t="s">
        <v>349</v>
      </c>
      <c r="W115">
        <v>-58500</v>
      </c>
    </row>
    <row r="116" spans="1:23" x14ac:dyDescent="0.3">
      <c r="A116" s="1">
        <v>43739</v>
      </c>
      <c r="B116" s="1">
        <v>43709</v>
      </c>
      <c r="C116" t="s">
        <v>157</v>
      </c>
      <c r="D116" t="s">
        <v>58</v>
      </c>
      <c r="E116" t="s">
        <v>21</v>
      </c>
      <c r="F116" t="s">
        <v>186</v>
      </c>
      <c r="G116" s="53">
        <v>43944.47278935185</v>
      </c>
      <c r="H116">
        <v>61</v>
      </c>
      <c r="I116" t="s">
        <v>349</v>
      </c>
      <c r="J116" t="s">
        <v>50</v>
      </c>
      <c r="K116" t="s">
        <v>50</v>
      </c>
      <c r="L116" t="s">
        <v>159</v>
      </c>
      <c r="M116" t="s">
        <v>51</v>
      </c>
      <c r="N116" t="s">
        <v>92</v>
      </c>
      <c r="O116" s="1">
        <v>41335</v>
      </c>
      <c r="P116" t="s">
        <v>84</v>
      </c>
      <c r="Q116">
        <v>1</v>
      </c>
      <c r="R116" t="s">
        <v>83</v>
      </c>
      <c r="S116" t="s">
        <v>349</v>
      </c>
      <c r="T116" t="s">
        <v>349</v>
      </c>
      <c r="U116">
        <v>0</v>
      </c>
      <c r="V116">
        <v>5969.53</v>
      </c>
      <c r="W116">
        <v>0</v>
      </c>
    </row>
    <row r="117" spans="1:23" x14ac:dyDescent="0.3">
      <c r="A117" s="1">
        <v>43739</v>
      </c>
      <c r="B117" s="1">
        <v>43709</v>
      </c>
      <c r="C117" t="s">
        <v>157</v>
      </c>
      <c r="D117" t="s">
        <v>58</v>
      </c>
      <c r="E117" t="s">
        <v>21</v>
      </c>
      <c r="F117" t="s">
        <v>190</v>
      </c>
      <c r="G117" s="53">
        <v>43944.47278935185</v>
      </c>
      <c r="H117">
        <v>61</v>
      </c>
      <c r="I117" t="s">
        <v>349</v>
      </c>
      <c r="J117" t="s">
        <v>50</v>
      </c>
      <c r="K117" t="s">
        <v>50</v>
      </c>
      <c r="L117" t="s">
        <v>159</v>
      </c>
      <c r="M117" t="s">
        <v>51</v>
      </c>
      <c r="N117" t="s">
        <v>92</v>
      </c>
      <c r="O117" s="1">
        <v>41335</v>
      </c>
      <c r="P117" t="s">
        <v>84</v>
      </c>
      <c r="Q117">
        <v>1</v>
      </c>
      <c r="R117" t="s">
        <v>83</v>
      </c>
      <c r="S117" t="s">
        <v>349</v>
      </c>
      <c r="T117" t="s">
        <v>349</v>
      </c>
      <c r="U117">
        <v>0</v>
      </c>
      <c r="V117">
        <v>6360.2</v>
      </c>
      <c r="W117">
        <v>0</v>
      </c>
    </row>
    <row r="118" spans="1:23" x14ac:dyDescent="0.3">
      <c r="A118" s="1">
        <v>43739</v>
      </c>
      <c r="B118" s="1">
        <v>43709</v>
      </c>
      <c r="C118" t="s">
        <v>157</v>
      </c>
      <c r="D118" t="s">
        <v>57</v>
      </c>
      <c r="E118" t="s">
        <v>49</v>
      </c>
      <c r="F118" t="s">
        <v>188</v>
      </c>
      <c r="G118" s="53">
        <v>43944.47278935185</v>
      </c>
      <c r="H118">
        <v>61</v>
      </c>
      <c r="I118" t="s">
        <v>349</v>
      </c>
      <c r="J118" t="s">
        <v>50</v>
      </c>
      <c r="K118" t="s">
        <v>50</v>
      </c>
      <c r="L118" t="s">
        <v>159</v>
      </c>
      <c r="M118" t="s">
        <v>51</v>
      </c>
      <c r="N118" t="s">
        <v>92</v>
      </c>
      <c r="O118" s="1">
        <v>41335</v>
      </c>
      <c r="P118" t="s">
        <v>84</v>
      </c>
      <c r="Q118">
        <v>1</v>
      </c>
      <c r="R118" t="s">
        <v>83</v>
      </c>
      <c r="S118">
        <v>764.87856799999997</v>
      </c>
      <c r="T118">
        <v>74.400999999999996</v>
      </c>
      <c r="U118" t="s">
        <v>349</v>
      </c>
      <c r="V118" t="s">
        <v>349</v>
      </c>
      <c r="W118">
        <v>56908</v>
      </c>
    </row>
    <row r="119" spans="1:23" x14ac:dyDescent="0.3">
      <c r="A119" s="1">
        <v>43739</v>
      </c>
      <c r="B119" s="1">
        <v>43739</v>
      </c>
      <c r="C119" t="s">
        <v>157</v>
      </c>
      <c r="D119" t="s">
        <v>54</v>
      </c>
      <c r="E119" t="s">
        <v>21</v>
      </c>
      <c r="F119" t="s">
        <v>183</v>
      </c>
      <c r="G119" s="53">
        <v>43781</v>
      </c>
      <c r="H119">
        <v>33</v>
      </c>
      <c r="I119">
        <v>10809</v>
      </c>
      <c r="J119" t="s">
        <v>50</v>
      </c>
      <c r="K119" t="s">
        <v>50</v>
      </c>
      <c r="L119" t="s">
        <v>159</v>
      </c>
      <c r="M119" t="s">
        <v>51</v>
      </c>
      <c r="N119" t="s">
        <v>92</v>
      </c>
      <c r="O119" s="1">
        <v>41335</v>
      </c>
      <c r="P119" t="s">
        <v>84</v>
      </c>
      <c r="Q119">
        <v>1</v>
      </c>
      <c r="R119" t="s">
        <v>83</v>
      </c>
      <c r="S119" t="s">
        <v>349</v>
      </c>
      <c r="T119" t="s">
        <v>349</v>
      </c>
      <c r="U119">
        <v>0</v>
      </c>
      <c r="V119">
        <v>5969.53</v>
      </c>
      <c r="W119">
        <v>0</v>
      </c>
    </row>
    <row r="120" spans="1:23" x14ac:dyDescent="0.3">
      <c r="A120" s="1">
        <v>43739</v>
      </c>
      <c r="B120" s="1">
        <v>43739</v>
      </c>
      <c r="C120" t="s">
        <v>157</v>
      </c>
      <c r="D120" t="s">
        <v>93</v>
      </c>
      <c r="E120" t="s">
        <v>49</v>
      </c>
      <c r="F120" t="s">
        <v>187</v>
      </c>
      <c r="G120" s="53">
        <v>43812</v>
      </c>
      <c r="H120">
        <v>61</v>
      </c>
      <c r="I120" t="s">
        <v>349</v>
      </c>
      <c r="J120" t="s">
        <v>50</v>
      </c>
      <c r="K120" t="s">
        <v>50</v>
      </c>
      <c r="L120" t="s">
        <v>159</v>
      </c>
      <c r="M120" t="s">
        <v>51</v>
      </c>
      <c r="N120" t="s">
        <v>92</v>
      </c>
      <c r="O120" s="1">
        <v>41335</v>
      </c>
      <c r="P120" t="s">
        <v>84</v>
      </c>
      <c r="Q120">
        <v>1</v>
      </c>
      <c r="R120" t="s">
        <v>83</v>
      </c>
      <c r="S120">
        <v>1</v>
      </c>
      <c r="T120">
        <v>-194</v>
      </c>
      <c r="U120" t="s">
        <v>349</v>
      </c>
      <c r="V120" t="s">
        <v>349</v>
      </c>
      <c r="W120">
        <v>-194</v>
      </c>
    </row>
    <row r="121" spans="1:23" x14ac:dyDescent="0.3">
      <c r="A121" s="1">
        <v>43739</v>
      </c>
      <c r="B121" s="1">
        <v>43739</v>
      </c>
      <c r="C121" t="s">
        <v>157</v>
      </c>
      <c r="D121" t="s">
        <v>48</v>
      </c>
      <c r="E121" t="s">
        <v>49</v>
      </c>
      <c r="F121" t="s">
        <v>189</v>
      </c>
      <c r="G121" s="53">
        <v>43781</v>
      </c>
      <c r="H121">
        <v>33</v>
      </c>
      <c r="I121">
        <v>10809</v>
      </c>
      <c r="J121" t="s">
        <v>50</v>
      </c>
      <c r="K121" t="s">
        <v>50</v>
      </c>
      <c r="L121" t="s">
        <v>159</v>
      </c>
      <c r="M121" t="s">
        <v>51</v>
      </c>
      <c r="N121" t="s">
        <v>92</v>
      </c>
      <c r="O121" s="1">
        <v>41335</v>
      </c>
      <c r="P121" t="s">
        <v>84</v>
      </c>
      <c r="Q121">
        <v>1</v>
      </c>
      <c r="R121" t="s">
        <v>83</v>
      </c>
      <c r="S121">
        <v>910.42412200000001</v>
      </c>
      <c r="T121">
        <v>74.400999999999996</v>
      </c>
      <c r="U121" t="s">
        <v>349</v>
      </c>
      <c r="V121" t="s">
        <v>349</v>
      </c>
      <c r="W121">
        <v>67736</v>
      </c>
    </row>
    <row r="122" spans="1:23" x14ac:dyDescent="0.3">
      <c r="A122" s="1">
        <v>43739</v>
      </c>
      <c r="B122" s="1">
        <v>43709</v>
      </c>
      <c r="C122" t="s">
        <v>157</v>
      </c>
      <c r="D122" t="s">
        <v>57</v>
      </c>
      <c r="E122" t="s">
        <v>49</v>
      </c>
      <c r="F122" t="s">
        <v>185</v>
      </c>
      <c r="G122" s="53">
        <v>43944.47278935185</v>
      </c>
      <c r="H122">
        <v>61</v>
      </c>
      <c r="I122" t="s">
        <v>349</v>
      </c>
      <c r="J122" t="s">
        <v>50</v>
      </c>
      <c r="K122" t="s">
        <v>50</v>
      </c>
      <c r="L122" t="s">
        <v>159</v>
      </c>
      <c r="M122" t="s">
        <v>51</v>
      </c>
      <c r="N122" t="s">
        <v>92</v>
      </c>
      <c r="O122" s="1">
        <v>41335</v>
      </c>
      <c r="P122" t="s">
        <v>84</v>
      </c>
      <c r="Q122">
        <v>2</v>
      </c>
      <c r="R122" t="s">
        <v>94</v>
      </c>
      <c r="S122">
        <v>-3.2400500000000001</v>
      </c>
      <c r="T122">
        <v>79.429000000000002</v>
      </c>
      <c r="U122" t="s">
        <v>349</v>
      </c>
      <c r="V122" t="s">
        <v>349</v>
      </c>
      <c r="W122">
        <v>-257</v>
      </c>
    </row>
    <row r="123" spans="1:23" x14ac:dyDescent="0.3">
      <c r="A123" s="1">
        <v>43739</v>
      </c>
      <c r="B123" s="1">
        <v>43709</v>
      </c>
      <c r="C123" t="s">
        <v>157</v>
      </c>
      <c r="D123" t="s">
        <v>58</v>
      </c>
      <c r="E123" t="s">
        <v>21</v>
      </c>
      <c r="F123" t="s">
        <v>186</v>
      </c>
      <c r="G123" s="53">
        <v>43944.47278935185</v>
      </c>
      <c r="H123">
        <v>61</v>
      </c>
      <c r="I123" t="s">
        <v>349</v>
      </c>
      <c r="J123" t="s">
        <v>50</v>
      </c>
      <c r="K123" t="s">
        <v>50</v>
      </c>
      <c r="L123" t="s">
        <v>159</v>
      </c>
      <c r="M123" t="s">
        <v>51</v>
      </c>
      <c r="N123" t="s">
        <v>92</v>
      </c>
      <c r="O123" s="1">
        <v>41335</v>
      </c>
      <c r="P123" t="s">
        <v>84</v>
      </c>
      <c r="Q123">
        <v>2</v>
      </c>
      <c r="R123" t="s">
        <v>94</v>
      </c>
      <c r="S123" t="s">
        <v>349</v>
      </c>
      <c r="T123" t="s">
        <v>349</v>
      </c>
      <c r="U123">
        <v>0</v>
      </c>
      <c r="V123">
        <v>6128.55</v>
      </c>
      <c r="W123">
        <v>0</v>
      </c>
    </row>
    <row r="124" spans="1:23" x14ac:dyDescent="0.3">
      <c r="A124" s="1">
        <v>43739</v>
      </c>
      <c r="B124" s="1">
        <v>43709</v>
      </c>
      <c r="C124" t="s">
        <v>157</v>
      </c>
      <c r="D124" t="s">
        <v>58</v>
      </c>
      <c r="E124" t="s">
        <v>21</v>
      </c>
      <c r="F124" t="s">
        <v>190</v>
      </c>
      <c r="G124" s="53">
        <v>43944.47278935185</v>
      </c>
      <c r="H124">
        <v>61</v>
      </c>
      <c r="I124" t="s">
        <v>349</v>
      </c>
      <c r="J124" t="s">
        <v>50</v>
      </c>
      <c r="K124" t="s">
        <v>50</v>
      </c>
      <c r="L124" t="s">
        <v>159</v>
      </c>
      <c r="M124" t="s">
        <v>51</v>
      </c>
      <c r="N124" t="s">
        <v>92</v>
      </c>
      <c r="O124" s="1">
        <v>41335</v>
      </c>
      <c r="P124" t="s">
        <v>84</v>
      </c>
      <c r="Q124">
        <v>2</v>
      </c>
      <c r="R124" t="s">
        <v>94</v>
      </c>
      <c r="S124" t="s">
        <v>349</v>
      </c>
      <c r="T124" t="s">
        <v>349</v>
      </c>
      <c r="U124">
        <v>0</v>
      </c>
      <c r="V124">
        <v>6409.16</v>
      </c>
      <c r="W124">
        <v>0</v>
      </c>
    </row>
    <row r="125" spans="1:23" x14ac:dyDescent="0.3">
      <c r="A125" s="1">
        <v>43739</v>
      </c>
      <c r="B125" s="1">
        <v>43709</v>
      </c>
      <c r="C125" t="s">
        <v>157</v>
      </c>
      <c r="D125" t="s">
        <v>57</v>
      </c>
      <c r="E125" t="s">
        <v>49</v>
      </c>
      <c r="F125" t="s">
        <v>188</v>
      </c>
      <c r="G125" s="53">
        <v>43944.47278935185</v>
      </c>
      <c r="H125">
        <v>61</v>
      </c>
      <c r="I125" t="s">
        <v>349</v>
      </c>
      <c r="J125" t="s">
        <v>50</v>
      </c>
      <c r="K125" t="s">
        <v>50</v>
      </c>
      <c r="L125" t="s">
        <v>159</v>
      </c>
      <c r="M125" t="s">
        <v>51</v>
      </c>
      <c r="N125" t="s">
        <v>92</v>
      </c>
      <c r="O125" s="1">
        <v>41335</v>
      </c>
      <c r="P125" t="s">
        <v>84</v>
      </c>
      <c r="Q125">
        <v>2</v>
      </c>
      <c r="R125" t="s">
        <v>94</v>
      </c>
      <c r="S125">
        <v>3.2782469999999999</v>
      </c>
      <c r="T125">
        <v>75.736999999999995</v>
      </c>
      <c r="U125" t="s">
        <v>349</v>
      </c>
      <c r="V125" t="s">
        <v>349</v>
      </c>
      <c r="W125">
        <v>248</v>
      </c>
    </row>
    <row r="126" spans="1:23" x14ac:dyDescent="0.3">
      <c r="A126" s="1">
        <v>43739</v>
      </c>
      <c r="B126" s="1">
        <v>43739</v>
      </c>
      <c r="C126" t="s">
        <v>157</v>
      </c>
      <c r="D126" t="s">
        <v>54</v>
      </c>
      <c r="E126" t="s">
        <v>21</v>
      </c>
      <c r="F126" t="s">
        <v>183</v>
      </c>
      <c r="G126" s="53">
        <v>43781</v>
      </c>
      <c r="H126">
        <v>33</v>
      </c>
      <c r="I126">
        <v>10809</v>
      </c>
      <c r="J126" t="s">
        <v>50</v>
      </c>
      <c r="K126" t="s">
        <v>50</v>
      </c>
      <c r="L126" t="s">
        <v>159</v>
      </c>
      <c r="M126" t="s">
        <v>51</v>
      </c>
      <c r="N126" t="s">
        <v>92</v>
      </c>
      <c r="O126" s="1">
        <v>41335</v>
      </c>
      <c r="P126" t="s">
        <v>84</v>
      </c>
      <c r="Q126">
        <v>2</v>
      </c>
      <c r="R126" t="s">
        <v>94</v>
      </c>
      <c r="S126" t="s">
        <v>349</v>
      </c>
      <c r="T126" t="s">
        <v>349</v>
      </c>
      <c r="U126">
        <v>0</v>
      </c>
      <c r="V126">
        <v>6128.55</v>
      </c>
      <c r="W126">
        <v>0</v>
      </c>
    </row>
    <row r="127" spans="1:23" x14ac:dyDescent="0.3">
      <c r="A127" s="1">
        <v>43739</v>
      </c>
      <c r="B127" s="1">
        <v>43739</v>
      </c>
      <c r="C127" t="s">
        <v>157</v>
      </c>
      <c r="D127" t="s">
        <v>93</v>
      </c>
      <c r="E127" t="s">
        <v>49</v>
      </c>
      <c r="F127" t="s">
        <v>187</v>
      </c>
      <c r="G127" s="53">
        <v>43812</v>
      </c>
      <c r="H127">
        <v>61</v>
      </c>
      <c r="I127" t="s">
        <v>349</v>
      </c>
      <c r="J127" t="s">
        <v>50</v>
      </c>
      <c r="K127" t="s">
        <v>50</v>
      </c>
      <c r="L127" t="s">
        <v>159</v>
      </c>
      <c r="M127" t="s">
        <v>51</v>
      </c>
      <c r="N127" t="s">
        <v>92</v>
      </c>
      <c r="O127" s="1">
        <v>41335</v>
      </c>
      <c r="P127" t="s">
        <v>84</v>
      </c>
      <c r="Q127">
        <v>2</v>
      </c>
      <c r="R127" t="s">
        <v>94</v>
      </c>
      <c r="S127">
        <v>1</v>
      </c>
      <c r="T127">
        <v>-1</v>
      </c>
      <c r="U127" t="s">
        <v>349</v>
      </c>
      <c r="V127" t="s">
        <v>349</v>
      </c>
      <c r="W127">
        <v>-1</v>
      </c>
    </row>
    <row r="128" spans="1:23" x14ac:dyDescent="0.3">
      <c r="A128" s="1">
        <v>43739</v>
      </c>
      <c r="B128" s="1">
        <v>43739</v>
      </c>
      <c r="C128" t="s">
        <v>157</v>
      </c>
      <c r="D128" t="s">
        <v>48</v>
      </c>
      <c r="E128" t="s">
        <v>49</v>
      </c>
      <c r="F128" t="s">
        <v>189</v>
      </c>
      <c r="G128" s="53">
        <v>43781</v>
      </c>
      <c r="H128">
        <v>33</v>
      </c>
      <c r="I128">
        <v>10809</v>
      </c>
      <c r="J128" t="s">
        <v>50</v>
      </c>
      <c r="K128" t="s">
        <v>50</v>
      </c>
      <c r="L128" t="s">
        <v>159</v>
      </c>
      <c r="M128" t="s">
        <v>51</v>
      </c>
      <c r="N128" t="s">
        <v>92</v>
      </c>
      <c r="O128" s="1">
        <v>41335</v>
      </c>
      <c r="P128" t="s">
        <v>84</v>
      </c>
      <c r="Q128">
        <v>2</v>
      </c>
      <c r="R128" t="s">
        <v>94</v>
      </c>
      <c r="S128">
        <v>3.9241600000000001</v>
      </c>
      <c r="T128">
        <v>75.736999999999995</v>
      </c>
      <c r="U128" t="s">
        <v>349</v>
      </c>
      <c r="V128" t="s">
        <v>349</v>
      </c>
      <c r="W128">
        <v>297</v>
      </c>
    </row>
    <row r="129" spans="1:23" x14ac:dyDescent="0.3">
      <c r="A129" s="1">
        <v>43739</v>
      </c>
      <c r="B129" s="1">
        <v>43709</v>
      </c>
      <c r="C129" t="s">
        <v>157</v>
      </c>
      <c r="D129" t="s">
        <v>57</v>
      </c>
      <c r="E129" t="s">
        <v>49</v>
      </c>
      <c r="F129" t="s">
        <v>185</v>
      </c>
      <c r="G129" s="53">
        <v>43944.47278935185</v>
      </c>
      <c r="H129">
        <v>61</v>
      </c>
      <c r="I129" t="s">
        <v>349</v>
      </c>
      <c r="J129" t="s">
        <v>50</v>
      </c>
      <c r="K129" t="s">
        <v>50</v>
      </c>
      <c r="L129" t="s">
        <v>159</v>
      </c>
      <c r="M129" t="s">
        <v>51</v>
      </c>
      <c r="N129" t="s">
        <v>92</v>
      </c>
      <c r="O129" s="1">
        <v>41335</v>
      </c>
      <c r="P129" t="s">
        <v>84</v>
      </c>
      <c r="Q129">
        <v>3</v>
      </c>
      <c r="R129" t="s">
        <v>81</v>
      </c>
      <c r="S129">
        <v>-154.713278</v>
      </c>
      <c r="T129">
        <v>72.400000000000006</v>
      </c>
      <c r="U129" t="s">
        <v>349</v>
      </c>
      <c r="V129" t="s">
        <v>349</v>
      </c>
      <c r="W129">
        <v>-11201</v>
      </c>
    </row>
    <row r="130" spans="1:23" x14ac:dyDescent="0.3">
      <c r="A130" s="1">
        <v>43739</v>
      </c>
      <c r="B130" s="1">
        <v>43709</v>
      </c>
      <c r="C130" t="s">
        <v>157</v>
      </c>
      <c r="D130" t="s">
        <v>58</v>
      </c>
      <c r="E130" t="s">
        <v>21</v>
      </c>
      <c r="F130" t="s">
        <v>186</v>
      </c>
      <c r="G130" s="53">
        <v>43944.47278935185</v>
      </c>
      <c r="H130">
        <v>61</v>
      </c>
      <c r="I130" t="s">
        <v>349</v>
      </c>
      <c r="J130" t="s">
        <v>50</v>
      </c>
      <c r="K130" t="s">
        <v>50</v>
      </c>
      <c r="L130" t="s">
        <v>159</v>
      </c>
      <c r="M130" t="s">
        <v>51</v>
      </c>
      <c r="N130" t="s">
        <v>92</v>
      </c>
      <c r="O130" s="1">
        <v>41335</v>
      </c>
      <c r="P130" t="s">
        <v>84</v>
      </c>
      <c r="Q130">
        <v>3</v>
      </c>
      <c r="R130" t="s">
        <v>81</v>
      </c>
      <c r="S130" t="s">
        <v>349</v>
      </c>
      <c r="T130" t="s">
        <v>349</v>
      </c>
      <c r="U130">
        <v>0</v>
      </c>
      <c r="V130">
        <v>5735.8</v>
      </c>
      <c r="W130">
        <v>0</v>
      </c>
    </row>
    <row r="131" spans="1:23" x14ac:dyDescent="0.3">
      <c r="A131" s="1">
        <v>43739</v>
      </c>
      <c r="B131" s="1">
        <v>43709</v>
      </c>
      <c r="C131" t="s">
        <v>157</v>
      </c>
      <c r="D131" t="s">
        <v>58</v>
      </c>
      <c r="E131" t="s">
        <v>21</v>
      </c>
      <c r="F131" t="s">
        <v>190</v>
      </c>
      <c r="G131" s="53">
        <v>43944.47278935185</v>
      </c>
      <c r="H131">
        <v>61</v>
      </c>
      <c r="I131" t="s">
        <v>349</v>
      </c>
      <c r="J131" t="s">
        <v>50</v>
      </c>
      <c r="K131" t="s">
        <v>50</v>
      </c>
      <c r="L131" t="s">
        <v>159</v>
      </c>
      <c r="M131" t="s">
        <v>51</v>
      </c>
      <c r="N131" t="s">
        <v>92</v>
      </c>
      <c r="O131" s="1">
        <v>41335</v>
      </c>
      <c r="P131" t="s">
        <v>84</v>
      </c>
      <c r="Q131">
        <v>3</v>
      </c>
      <c r="R131" t="s">
        <v>81</v>
      </c>
      <c r="S131" t="s">
        <v>349</v>
      </c>
      <c r="T131" t="s">
        <v>349</v>
      </c>
      <c r="U131">
        <v>0</v>
      </c>
      <c r="V131">
        <v>6046.73</v>
      </c>
      <c r="W131">
        <v>0</v>
      </c>
    </row>
    <row r="132" spans="1:23" x14ac:dyDescent="0.3">
      <c r="A132" s="1">
        <v>43739</v>
      </c>
      <c r="B132" s="1">
        <v>43709</v>
      </c>
      <c r="C132" t="s">
        <v>157</v>
      </c>
      <c r="D132" t="s">
        <v>57</v>
      </c>
      <c r="E132" t="s">
        <v>49</v>
      </c>
      <c r="F132" t="s">
        <v>188</v>
      </c>
      <c r="G132" s="53">
        <v>43944.47278935185</v>
      </c>
      <c r="H132">
        <v>61</v>
      </c>
      <c r="I132" t="s">
        <v>349</v>
      </c>
      <c r="J132" t="s">
        <v>50</v>
      </c>
      <c r="K132" t="s">
        <v>50</v>
      </c>
      <c r="L132" t="s">
        <v>159</v>
      </c>
      <c r="M132" t="s">
        <v>51</v>
      </c>
      <c r="N132" t="s">
        <v>92</v>
      </c>
      <c r="O132" s="1">
        <v>41335</v>
      </c>
      <c r="P132" t="s">
        <v>84</v>
      </c>
      <c r="Q132">
        <v>3</v>
      </c>
      <c r="R132" t="s">
        <v>81</v>
      </c>
      <c r="S132">
        <v>156.53718499999999</v>
      </c>
      <c r="T132">
        <v>70.436999999999998</v>
      </c>
      <c r="U132" t="s">
        <v>349</v>
      </c>
      <c r="V132" t="s">
        <v>349</v>
      </c>
      <c r="W132">
        <v>11026</v>
      </c>
    </row>
    <row r="133" spans="1:23" x14ac:dyDescent="0.3">
      <c r="A133" s="1">
        <v>43739</v>
      </c>
      <c r="B133" s="1">
        <v>43739</v>
      </c>
      <c r="C133" t="s">
        <v>157</v>
      </c>
      <c r="D133" t="s">
        <v>54</v>
      </c>
      <c r="E133" t="s">
        <v>21</v>
      </c>
      <c r="F133" t="s">
        <v>183</v>
      </c>
      <c r="G133" s="53">
        <v>43781</v>
      </c>
      <c r="H133">
        <v>33</v>
      </c>
      <c r="I133">
        <v>10809</v>
      </c>
      <c r="J133" t="s">
        <v>50</v>
      </c>
      <c r="K133" t="s">
        <v>50</v>
      </c>
      <c r="L133" t="s">
        <v>159</v>
      </c>
      <c r="M133" t="s">
        <v>51</v>
      </c>
      <c r="N133" t="s">
        <v>92</v>
      </c>
      <c r="O133" s="1">
        <v>41335</v>
      </c>
      <c r="P133" t="s">
        <v>84</v>
      </c>
      <c r="Q133">
        <v>3</v>
      </c>
      <c r="R133" t="s">
        <v>81</v>
      </c>
      <c r="S133" t="s">
        <v>349</v>
      </c>
      <c r="T133" t="s">
        <v>349</v>
      </c>
      <c r="U133">
        <v>0</v>
      </c>
      <c r="V133">
        <v>5735.8</v>
      </c>
      <c r="W133">
        <v>0</v>
      </c>
    </row>
    <row r="134" spans="1:23" x14ac:dyDescent="0.3">
      <c r="A134" s="1">
        <v>43739</v>
      </c>
      <c r="B134" s="1">
        <v>43739</v>
      </c>
      <c r="C134" t="s">
        <v>157</v>
      </c>
      <c r="D134" t="s">
        <v>93</v>
      </c>
      <c r="E134" t="s">
        <v>49</v>
      </c>
      <c r="F134" t="s">
        <v>187</v>
      </c>
      <c r="G134" s="53">
        <v>43812</v>
      </c>
      <c r="H134">
        <v>61</v>
      </c>
      <c r="I134" t="s">
        <v>349</v>
      </c>
      <c r="J134" t="s">
        <v>50</v>
      </c>
      <c r="K134" t="s">
        <v>50</v>
      </c>
      <c r="L134" t="s">
        <v>159</v>
      </c>
      <c r="M134" t="s">
        <v>51</v>
      </c>
      <c r="N134" t="s">
        <v>92</v>
      </c>
      <c r="O134" s="1">
        <v>41335</v>
      </c>
      <c r="P134" t="s">
        <v>84</v>
      </c>
      <c r="Q134">
        <v>3</v>
      </c>
      <c r="R134" t="s">
        <v>81</v>
      </c>
      <c r="S134">
        <v>1</v>
      </c>
      <c r="T134">
        <v>-38</v>
      </c>
      <c r="U134" t="s">
        <v>349</v>
      </c>
      <c r="V134" t="s">
        <v>349</v>
      </c>
      <c r="W134">
        <v>-38</v>
      </c>
    </row>
    <row r="135" spans="1:23" x14ac:dyDescent="0.3">
      <c r="A135" s="1">
        <v>43739</v>
      </c>
      <c r="B135" s="1">
        <v>43739</v>
      </c>
      <c r="C135" t="s">
        <v>157</v>
      </c>
      <c r="D135" t="s">
        <v>48</v>
      </c>
      <c r="E135" t="s">
        <v>49</v>
      </c>
      <c r="F135" t="s">
        <v>189</v>
      </c>
      <c r="G135" s="53">
        <v>43781</v>
      </c>
      <c r="H135">
        <v>33</v>
      </c>
      <c r="I135">
        <v>10809</v>
      </c>
      <c r="J135" t="s">
        <v>50</v>
      </c>
      <c r="K135" t="s">
        <v>50</v>
      </c>
      <c r="L135" t="s">
        <v>159</v>
      </c>
      <c r="M135" t="s">
        <v>51</v>
      </c>
      <c r="N135" t="s">
        <v>92</v>
      </c>
      <c r="O135" s="1">
        <v>41335</v>
      </c>
      <c r="P135" t="s">
        <v>84</v>
      </c>
      <c r="Q135">
        <v>3</v>
      </c>
      <c r="R135" t="s">
        <v>81</v>
      </c>
      <c r="S135">
        <v>188.286708</v>
      </c>
      <c r="T135">
        <v>70.436999999999998</v>
      </c>
      <c r="U135" t="s">
        <v>349</v>
      </c>
      <c r="V135" t="s">
        <v>349</v>
      </c>
      <c r="W135">
        <v>13262</v>
      </c>
    </row>
    <row r="136" spans="1:23" x14ac:dyDescent="0.3">
      <c r="A136" s="1">
        <v>43739</v>
      </c>
      <c r="B136" s="1">
        <v>43709</v>
      </c>
      <c r="C136" t="s">
        <v>157</v>
      </c>
      <c r="D136" t="s">
        <v>57</v>
      </c>
      <c r="E136" t="s">
        <v>49</v>
      </c>
      <c r="F136" t="s">
        <v>185</v>
      </c>
      <c r="G136" s="53">
        <v>43944.47278935185</v>
      </c>
      <c r="H136">
        <v>61</v>
      </c>
      <c r="I136" t="s">
        <v>349</v>
      </c>
      <c r="J136" t="s">
        <v>50</v>
      </c>
      <c r="K136" t="s">
        <v>50</v>
      </c>
      <c r="L136" t="s">
        <v>159</v>
      </c>
      <c r="M136" t="s">
        <v>51</v>
      </c>
      <c r="N136" t="s">
        <v>92</v>
      </c>
      <c r="O136" s="1">
        <v>41335</v>
      </c>
      <c r="P136" t="s">
        <v>84</v>
      </c>
      <c r="Q136">
        <v>4</v>
      </c>
      <c r="R136" t="s">
        <v>27</v>
      </c>
      <c r="S136">
        <v>-1084.175843</v>
      </c>
      <c r="T136">
        <v>74.936000000000007</v>
      </c>
      <c r="U136" t="s">
        <v>349</v>
      </c>
      <c r="V136" t="s">
        <v>349</v>
      </c>
      <c r="W136">
        <v>-81244</v>
      </c>
    </row>
    <row r="137" spans="1:23" x14ac:dyDescent="0.3">
      <c r="A137" s="1">
        <v>43739</v>
      </c>
      <c r="B137" s="1">
        <v>43709</v>
      </c>
      <c r="C137" t="s">
        <v>157</v>
      </c>
      <c r="D137" t="s">
        <v>58</v>
      </c>
      <c r="E137" t="s">
        <v>21</v>
      </c>
      <c r="F137" t="s">
        <v>186</v>
      </c>
      <c r="G137" s="53">
        <v>43944.47278935185</v>
      </c>
      <c r="H137">
        <v>61</v>
      </c>
      <c r="I137" t="s">
        <v>349</v>
      </c>
      <c r="J137" t="s">
        <v>50</v>
      </c>
      <c r="K137" t="s">
        <v>50</v>
      </c>
      <c r="L137" t="s">
        <v>159</v>
      </c>
      <c r="M137" t="s">
        <v>51</v>
      </c>
      <c r="N137" t="s">
        <v>92</v>
      </c>
      <c r="O137" s="1">
        <v>41335</v>
      </c>
      <c r="P137" t="s">
        <v>84</v>
      </c>
      <c r="Q137">
        <v>4</v>
      </c>
      <c r="R137" t="s">
        <v>27</v>
      </c>
      <c r="S137" t="s">
        <v>349</v>
      </c>
      <c r="T137" t="s">
        <v>349</v>
      </c>
      <c r="U137">
        <v>0</v>
      </c>
      <c r="V137">
        <v>5821.34</v>
      </c>
      <c r="W137">
        <v>0</v>
      </c>
    </row>
    <row r="138" spans="1:23" x14ac:dyDescent="0.3">
      <c r="A138" s="1">
        <v>43739</v>
      </c>
      <c r="B138" s="1">
        <v>43709</v>
      </c>
      <c r="C138" t="s">
        <v>157</v>
      </c>
      <c r="D138" t="s">
        <v>58</v>
      </c>
      <c r="E138" t="s">
        <v>21</v>
      </c>
      <c r="F138" t="s">
        <v>190</v>
      </c>
      <c r="G138" s="53">
        <v>43944.47278935185</v>
      </c>
      <c r="H138">
        <v>61</v>
      </c>
      <c r="I138" t="s">
        <v>349</v>
      </c>
      <c r="J138" t="s">
        <v>50</v>
      </c>
      <c r="K138" t="s">
        <v>50</v>
      </c>
      <c r="L138" t="s">
        <v>159</v>
      </c>
      <c r="M138" t="s">
        <v>51</v>
      </c>
      <c r="N138" t="s">
        <v>92</v>
      </c>
      <c r="O138" s="1">
        <v>41335</v>
      </c>
      <c r="P138" t="s">
        <v>84</v>
      </c>
      <c r="Q138">
        <v>4</v>
      </c>
      <c r="R138" t="s">
        <v>27</v>
      </c>
      <c r="S138" t="s">
        <v>349</v>
      </c>
      <c r="T138" t="s">
        <v>349</v>
      </c>
      <c r="U138">
        <v>0</v>
      </c>
      <c r="V138">
        <v>6160.55</v>
      </c>
      <c r="W138">
        <v>0</v>
      </c>
    </row>
    <row r="139" spans="1:23" x14ac:dyDescent="0.3">
      <c r="A139" s="1">
        <v>43739</v>
      </c>
      <c r="B139" s="1">
        <v>43709</v>
      </c>
      <c r="C139" t="s">
        <v>157</v>
      </c>
      <c r="D139" t="s">
        <v>57</v>
      </c>
      <c r="E139" t="s">
        <v>49</v>
      </c>
      <c r="F139" t="s">
        <v>188</v>
      </c>
      <c r="G139" s="53">
        <v>43944.47278935185</v>
      </c>
      <c r="H139">
        <v>61</v>
      </c>
      <c r="I139" t="s">
        <v>349</v>
      </c>
      <c r="J139" t="s">
        <v>50</v>
      </c>
      <c r="K139" t="s">
        <v>50</v>
      </c>
      <c r="L139" t="s">
        <v>159</v>
      </c>
      <c r="M139" t="s">
        <v>51</v>
      </c>
      <c r="N139" t="s">
        <v>92</v>
      </c>
      <c r="O139" s="1">
        <v>41335</v>
      </c>
      <c r="P139" t="s">
        <v>84</v>
      </c>
      <c r="Q139">
        <v>4</v>
      </c>
      <c r="R139" t="s">
        <v>27</v>
      </c>
      <c r="S139">
        <v>1096.9571370000001</v>
      </c>
      <c r="T139">
        <v>71.983999999999995</v>
      </c>
      <c r="U139" t="s">
        <v>349</v>
      </c>
      <c r="V139" t="s">
        <v>349</v>
      </c>
      <c r="W139">
        <v>78963</v>
      </c>
    </row>
    <row r="140" spans="1:23" x14ac:dyDescent="0.3">
      <c r="A140" s="1">
        <v>43739</v>
      </c>
      <c r="B140" s="1">
        <v>43739</v>
      </c>
      <c r="C140" t="s">
        <v>157</v>
      </c>
      <c r="D140" t="s">
        <v>54</v>
      </c>
      <c r="E140" t="s">
        <v>21</v>
      </c>
      <c r="F140" t="s">
        <v>183</v>
      </c>
      <c r="G140" s="53">
        <v>43781</v>
      </c>
      <c r="H140">
        <v>33</v>
      </c>
      <c r="I140">
        <v>10809</v>
      </c>
      <c r="J140" t="s">
        <v>50</v>
      </c>
      <c r="K140" t="s">
        <v>50</v>
      </c>
      <c r="L140" t="s">
        <v>159</v>
      </c>
      <c r="M140" t="s">
        <v>51</v>
      </c>
      <c r="N140" t="s">
        <v>92</v>
      </c>
      <c r="O140" s="1">
        <v>41335</v>
      </c>
      <c r="P140" t="s">
        <v>84</v>
      </c>
      <c r="Q140">
        <v>4</v>
      </c>
      <c r="R140" t="s">
        <v>27</v>
      </c>
      <c r="S140" t="s">
        <v>349</v>
      </c>
      <c r="T140" t="s">
        <v>349</v>
      </c>
      <c r="U140">
        <v>0</v>
      </c>
      <c r="V140">
        <v>5821.34</v>
      </c>
      <c r="W140">
        <v>0</v>
      </c>
    </row>
    <row r="141" spans="1:23" x14ac:dyDescent="0.3">
      <c r="A141" s="1">
        <v>43739</v>
      </c>
      <c r="B141" s="1">
        <v>43739</v>
      </c>
      <c r="C141" t="s">
        <v>157</v>
      </c>
      <c r="D141" t="s">
        <v>93</v>
      </c>
      <c r="E141" t="s">
        <v>49</v>
      </c>
      <c r="F141" t="s">
        <v>187</v>
      </c>
      <c r="G141" s="53">
        <v>43812</v>
      </c>
      <c r="H141">
        <v>61</v>
      </c>
      <c r="I141" t="s">
        <v>349</v>
      </c>
      <c r="J141" t="s">
        <v>50</v>
      </c>
      <c r="K141" t="s">
        <v>50</v>
      </c>
      <c r="L141" t="s">
        <v>159</v>
      </c>
      <c r="M141" t="s">
        <v>51</v>
      </c>
      <c r="N141" t="s">
        <v>92</v>
      </c>
      <c r="O141" s="1">
        <v>41335</v>
      </c>
      <c r="P141" t="s">
        <v>84</v>
      </c>
      <c r="Q141">
        <v>4</v>
      </c>
      <c r="R141" t="s">
        <v>27</v>
      </c>
      <c r="S141">
        <v>1</v>
      </c>
      <c r="T141">
        <v>-270</v>
      </c>
      <c r="U141" t="s">
        <v>349</v>
      </c>
      <c r="V141" t="s">
        <v>349</v>
      </c>
      <c r="W141">
        <v>-270</v>
      </c>
    </row>
    <row r="142" spans="1:23" x14ac:dyDescent="0.3">
      <c r="A142" s="1">
        <v>43739</v>
      </c>
      <c r="B142" s="1">
        <v>43739</v>
      </c>
      <c r="C142" t="s">
        <v>157</v>
      </c>
      <c r="D142" t="s">
        <v>48</v>
      </c>
      <c r="E142" t="s">
        <v>49</v>
      </c>
      <c r="F142" t="s">
        <v>189</v>
      </c>
      <c r="G142" s="53">
        <v>43781</v>
      </c>
      <c r="H142">
        <v>33</v>
      </c>
      <c r="I142">
        <v>10809</v>
      </c>
      <c r="J142" t="s">
        <v>50</v>
      </c>
      <c r="K142" t="s">
        <v>50</v>
      </c>
      <c r="L142" t="s">
        <v>159</v>
      </c>
      <c r="M142" t="s">
        <v>51</v>
      </c>
      <c r="N142" t="s">
        <v>92</v>
      </c>
      <c r="O142" s="1">
        <v>41335</v>
      </c>
      <c r="P142" t="s">
        <v>84</v>
      </c>
      <c r="Q142">
        <v>4</v>
      </c>
      <c r="R142" t="s">
        <v>27</v>
      </c>
      <c r="S142">
        <v>1311.6713199999999</v>
      </c>
      <c r="T142">
        <v>71.983999999999995</v>
      </c>
      <c r="U142" t="s">
        <v>349</v>
      </c>
      <c r="V142" t="s">
        <v>349</v>
      </c>
      <c r="W142">
        <v>94419</v>
      </c>
    </row>
    <row r="143" spans="1:23" x14ac:dyDescent="0.3">
      <c r="A143" s="1">
        <v>43739</v>
      </c>
      <c r="B143" s="1">
        <v>43709</v>
      </c>
      <c r="C143" t="s">
        <v>157</v>
      </c>
      <c r="D143" t="s">
        <v>57</v>
      </c>
      <c r="E143" t="s">
        <v>49</v>
      </c>
      <c r="F143" t="s">
        <v>185</v>
      </c>
      <c r="G143" s="53">
        <v>43944.47278935185</v>
      </c>
      <c r="H143">
        <v>61</v>
      </c>
      <c r="I143" t="s">
        <v>349</v>
      </c>
      <c r="J143" t="s">
        <v>50</v>
      </c>
      <c r="K143" t="s">
        <v>50</v>
      </c>
      <c r="L143" t="s">
        <v>159</v>
      </c>
      <c r="M143" t="s">
        <v>51</v>
      </c>
      <c r="N143" t="s">
        <v>92</v>
      </c>
      <c r="O143" s="1">
        <v>41335</v>
      </c>
      <c r="P143" t="s">
        <v>84</v>
      </c>
      <c r="Q143">
        <v>5</v>
      </c>
      <c r="R143" t="s">
        <v>28</v>
      </c>
      <c r="S143">
        <v>-3.3587340000000001</v>
      </c>
      <c r="T143">
        <v>75.665000000000006</v>
      </c>
      <c r="U143" t="s">
        <v>349</v>
      </c>
      <c r="V143" t="s">
        <v>349</v>
      </c>
      <c r="W143">
        <v>-254</v>
      </c>
    </row>
    <row r="144" spans="1:23" x14ac:dyDescent="0.3">
      <c r="A144" s="1">
        <v>43739</v>
      </c>
      <c r="B144" s="1">
        <v>43709</v>
      </c>
      <c r="C144" t="s">
        <v>157</v>
      </c>
      <c r="D144" t="s">
        <v>58</v>
      </c>
      <c r="E144" t="s">
        <v>21</v>
      </c>
      <c r="F144" t="s">
        <v>190</v>
      </c>
      <c r="G144" s="53">
        <v>43944.47278935185</v>
      </c>
      <c r="H144">
        <v>61</v>
      </c>
      <c r="I144" t="s">
        <v>349</v>
      </c>
      <c r="J144" t="s">
        <v>50</v>
      </c>
      <c r="K144" t="s">
        <v>50</v>
      </c>
      <c r="L144" t="s">
        <v>159</v>
      </c>
      <c r="M144" t="s">
        <v>51</v>
      </c>
      <c r="N144" t="s">
        <v>92</v>
      </c>
      <c r="O144" s="1">
        <v>41335</v>
      </c>
      <c r="P144" t="s">
        <v>84</v>
      </c>
      <c r="Q144">
        <v>5</v>
      </c>
      <c r="R144" t="s">
        <v>28</v>
      </c>
      <c r="S144" t="s">
        <v>349</v>
      </c>
      <c r="T144" t="s">
        <v>349</v>
      </c>
      <c r="U144">
        <v>0</v>
      </c>
      <c r="V144">
        <v>5634.08</v>
      </c>
      <c r="W144">
        <v>0</v>
      </c>
    </row>
    <row r="145" spans="1:23" x14ac:dyDescent="0.3">
      <c r="A145" s="1">
        <v>43739</v>
      </c>
      <c r="B145" s="1">
        <v>43709</v>
      </c>
      <c r="C145" t="s">
        <v>157</v>
      </c>
      <c r="D145" t="s">
        <v>58</v>
      </c>
      <c r="E145" t="s">
        <v>21</v>
      </c>
      <c r="F145" t="s">
        <v>186</v>
      </c>
      <c r="G145" s="53">
        <v>43944.47278935185</v>
      </c>
      <c r="H145">
        <v>61</v>
      </c>
      <c r="I145" t="s">
        <v>349</v>
      </c>
      <c r="J145" t="s">
        <v>50</v>
      </c>
      <c r="K145" t="s">
        <v>50</v>
      </c>
      <c r="L145" t="s">
        <v>159</v>
      </c>
      <c r="M145" t="s">
        <v>51</v>
      </c>
      <c r="N145" t="s">
        <v>92</v>
      </c>
      <c r="O145" s="1">
        <v>41335</v>
      </c>
      <c r="P145" t="s">
        <v>84</v>
      </c>
      <c r="Q145">
        <v>5</v>
      </c>
      <c r="R145" t="s">
        <v>28</v>
      </c>
      <c r="S145" t="s">
        <v>349</v>
      </c>
      <c r="T145" t="s">
        <v>349</v>
      </c>
      <c r="U145">
        <v>0</v>
      </c>
      <c r="V145">
        <v>6082.17</v>
      </c>
      <c r="W145">
        <v>0</v>
      </c>
    </row>
    <row r="146" spans="1:23" x14ac:dyDescent="0.3">
      <c r="A146" s="1">
        <v>43739</v>
      </c>
      <c r="B146" s="1">
        <v>43709</v>
      </c>
      <c r="C146" t="s">
        <v>157</v>
      </c>
      <c r="D146" t="s">
        <v>57</v>
      </c>
      <c r="E146" t="s">
        <v>49</v>
      </c>
      <c r="F146" t="s">
        <v>188</v>
      </c>
      <c r="G146" s="53">
        <v>43944.47278935185</v>
      </c>
      <c r="H146">
        <v>61</v>
      </c>
      <c r="I146" t="s">
        <v>349</v>
      </c>
      <c r="J146" t="s">
        <v>50</v>
      </c>
      <c r="K146" t="s">
        <v>50</v>
      </c>
      <c r="L146" t="s">
        <v>159</v>
      </c>
      <c r="M146" t="s">
        <v>51</v>
      </c>
      <c r="N146" t="s">
        <v>92</v>
      </c>
      <c r="O146" s="1">
        <v>41335</v>
      </c>
      <c r="P146" t="s">
        <v>84</v>
      </c>
      <c r="Q146">
        <v>5</v>
      </c>
      <c r="R146" t="s">
        <v>28</v>
      </c>
      <c r="S146">
        <v>3.3983300000000001</v>
      </c>
      <c r="T146">
        <v>75.617000000000004</v>
      </c>
      <c r="U146" t="s">
        <v>349</v>
      </c>
      <c r="V146" t="s">
        <v>349</v>
      </c>
      <c r="W146">
        <v>257</v>
      </c>
    </row>
    <row r="147" spans="1:23" x14ac:dyDescent="0.3">
      <c r="A147" s="1">
        <v>43739</v>
      </c>
      <c r="B147" s="1">
        <v>43739</v>
      </c>
      <c r="C147" t="s">
        <v>157</v>
      </c>
      <c r="D147" t="s">
        <v>54</v>
      </c>
      <c r="E147" t="s">
        <v>21</v>
      </c>
      <c r="F147" t="s">
        <v>183</v>
      </c>
      <c r="G147" s="53">
        <v>43781</v>
      </c>
      <c r="H147">
        <v>33</v>
      </c>
      <c r="I147">
        <v>10809</v>
      </c>
      <c r="J147" t="s">
        <v>50</v>
      </c>
      <c r="K147" t="s">
        <v>50</v>
      </c>
      <c r="L147" t="s">
        <v>159</v>
      </c>
      <c r="M147" t="s">
        <v>51</v>
      </c>
      <c r="N147" t="s">
        <v>92</v>
      </c>
      <c r="O147" s="1">
        <v>41335</v>
      </c>
      <c r="P147" t="s">
        <v>84</v>
      </c>
      <c r="Q147">
        <v>5</v>
      </c>
      <c r="R147" t="s">
        <v>28</v>
      </c>
      <c r="S147" t="s">
        <v>349</v>
      </c>
      <c r="T147" t="s">
        <v>349</v>
      </c>
      <c r="U147">
        <v>0</v>
      </c>
      <c r="V147">
        <v>6082.17</v>
      </c>
      <c r="W147">
        <v>0</v>
      </c>
    </row>
    <row r="148" spans="1:23" x14ac:dyDescent="0.3">
      <c r="A148" s="1">
        <v>43739</v>
      </c>
      <c r="B148" s="1">
        <v>43739</v>
      </c>
      <c r="C148" t="s">
        <v>157</v>
      </c>
      <c r="D148" t="s">
        <v>93</v>
      </c>
      <c r="E148" t="s">
        <v>49</v>
      </c>
      <c r="F148" t="s">
        <v>187</v>
      </c>
      <c r="G148" s="53">
        <v>43812</v>
      </c>
      <c r="H148">
        <v>61</v>
      </c>
      <c r="I148" t="s">
        <v>349</v>
      </c>
      <c r="J148" t="s">
        <v>50</v>
      </c>
      <c r="K148" t="s">
        <v>50</v>
      </c>
      <c r="L148" t="s">
        <v>159</v>
      </c>
      <c r="M148" t="s">
        <v>51</v>
      </c>
      <c r="N148" t="s">
        <v>92</v>
      </c>
      <c r="O148" s="1">
        <v>41335</v>
      </c>
      <c r="P148" t="s">
        <v>84</v>
      </c>
      <c r="Q148">
        <v>5</v>
      </c>
      <c r="R148" t="s">
        <v>28</v>
      </c>
      <c r="S148">
        <v>1</v>
      </c>
      <c r="T148">
        <v>-1</v>
      </c>
      <c r="U148" t="s">
        <v>349</v>
      </c>
      <c r="V148" t="s">
        <v>349</v>
      </c>
      <c r="W148">
        <v>-1</v>
      </c>
    </row>
    <row r="149" spans="1:23" x14ac:dyDescent="0.3">
      <c r="A149" s="1">
        <v>43739</v>
      </c>
      <c r="B149" s="1">
        <v>43739</v>
      </c>
      <c r="C149" t="s">
        <v>157</v>
      </c>
      <c r="D149" t="s">
        <v>48</v>
      </c>
      <c r="E149" t="s">
        <v>49</v>
      </c>
      <c r="F149" t="s">
        <v>189</v>
      </c>
      <c r="G149" s="53">
        <v>43781</v>
      </c>
      <c r="H149">
        <v>33</v>
      </c>
      <c r="I149">
        <v>10809</v>
      </c>
      <c r="J149" t="s">
        <v>50</v>
      </c>
      <c r="K149" t="s">
        <v>50</v>
      </c>
      <c r="L149" t="s">
        <v>159</v>
      </c>
      <c r="M149" t="s">
        <v>51</v>
      </c>
      <c r="N149" t="s">
        <v>92</v>
      </c>
      <c r="O149" s="1">
        <v>41335</v>
      </c>
      <c r="P149" t="s">
        <v>84</v>
      </c>
      <c r="Q149">
        <v>5</v>
      </c>
      <c r="R149" t="s">
        <v>28</v>
      </c>
      <c r="S149">
        <v>4.0964470000000004</v>
      </c>
      <c r="T149">
        <v>75.617000000000004</v>
      </c>
      <c r="U149" t="s">
        <v>349</v>
      </c>
      <c r="V149" t="s">
        <v>349</v>
      </c>
      <c r="W149">
        <v>310</v>
      </c>
    </row>
    <row r="150" spans="1:23" x14ac:dyDescent="0.3">
      <c r="A150" s="1">
        <v>43770</v>
      </c>
      <c r="B150" s="1">
        <v>43770</v>
      </c>
      <c r="C150" t="s">
        <v>157</v>
      </c>
      <c r="D150" t="s">
        <v>54</v>
      </c>
      <c r="E150" t="s">
        <v>21</v>
      </c>
      <c r="F150" t="s">
        <v>191</v>
      </c>
      <c r="G150" s="53">
        <v>43805</v>
      </c>
      <c r="H150">
        <v>33</v>
      </c>
      <c r="I150">
        <v>11167</v>
      </c>
      <c r="J150" t="s">
        <v>50</v>
      </c>
      <c r="K150" t="s">
        <v>50</v>
      </c>
      <c r="L150" t="s">
        <v>159</v>
      </c>
      <c r="M150" t="s">
        <v>51</v>
      </c>
      <c r="N150" t="s">
        <v>92</v>
      </c>
      <c r="O150" s="1">
        <v>41335</v>
      </c>
      <c r="P150" t="s">
        <v>84</v>
      </c>
      <c r="Q150">
        <v>1</v>
      </c>
      <c r="R150" t="s">
        <v>83</v>
      </c>
      <c r="S150" t="s">
        <v>349</v>
      </c>
      <c r="T150" t="s">
        <v>349</v>
      </c>
      <c r="U150">
        <v>0</v>
      </c>
      <c r="V150">
        <v>5969.53</v>
      </c>
      <c r="W150">
        <v>0</v>
      </c>
    </row>
    <row r="151" spans="1:23" x14ac:dyDescent="0.3">
      <c r="A151" s="1">
        <v>43770</v>
      </c>
      <c r="B151" s="1">
        <v>43770</v>
      </c>
      <c r="C151" t="s">
        <v>157</v>
      </c>
      <c r="D151" t="s">
        <v>93</v>
      </c>
      <c r="E151" t="s">
        <v>49</v>
      </c>
      <c r="F151" t="s">
        <v>192</v>
      </c>
      <c r="G151" s="53">
        <v>43837</v>
      </c>
      <c r="H151">
        <v>61</v>
      </c>
      <c r="I151" t="s">
        <v>349</v>
      </c>
      <c r="J151" t="s">
        <v>50</v>
      </c>
      <c r="K151" t="s">
        <v>50</v>
      </c>
      <c r="L151" t="s">
        <v>159</v>
      </c>
      <c r="M151" t="s">
        <v>51</v>
      </c>
      <c r="N151" t="s">
        <v>92</v>
      </c>
      <c r="O151" s="1">
        <v>41335</v>
      </c>
      <c r="P151" t="s">
        <v>84</v>
      </c>
      <c r="Q151">
        <v>1</v>
      </c>
      <c r="R151" t="s">
        <v>83</v>
      </c>
      <c r="S151">
        <v>1</v>
      </c>
      <c r="T151">
        <v>-130</v>
      </c>
      <c r="U151" t="s">
        <v>349</v>
      </c>
      <c r="V151" t="s">
        <v>349</v>
      </c>
      <c r="W151">
        <v>-130</v>
      </c>
    </row>
    <row r="152" spans="1:23" x14ac:dyDescent="0.3">
      <c r="A152" s="1">
        <v>43770</v>
      </c>
      <c r="B152" s="1">
        <v>43770</v>
      </c>
      <c r="C152" t="s">
        <v>157</v>
      </c>
      <c r="D152" t="s">
        <v>48</v>
      </c>
      <c r="E152" t="s">
        <v>49</v>
      </c>
      <c r="F152" t="s">
        <v>193</v>
      </c>
      <c r="G152" s="53">
        <v>43805</v>
      </c>
      <c r="H152">
        <v>33</v>
      </c>
      <c r="I152">
        <v>11167</v>
      </c>
      <c r="J152" t="s">
        <v>50</v>
      </c>
      <c r="K152" t="s">
        <v>50</v>
      </c>
      <c r="L152" t="s">
        <v>159</v>
      </c>
      <c r="M152" t="s">
        <v>51</v>
      </c>
      <c r="N152" t="s">
        <v>92</v>
      </c>
      <c r="O152" s="1">
        <v>41335</v>
      </c>
      <c r="P152" t="s">
        <v>84</v>
      </c>
      <c r="Q152">
        <v>1</v>
      </c>
      <c r="R152" t="s">
        <v>83</v>
      </c>
      <c r="S152">
        <v>1175.9684259999999</v>
      </c>
      <c r="T152">
        <v>74.400999999999996</v>
      </c>
      <c r="U152" t="s">
        <v>349</v>
      </c>
      <c r="V152" t="s">
        <v>349</v>
      </c>
      <c r="W152">
        <v>87493</v>
      </c>
    </row>
    <row r="153" spans="1:23" x14ac:dyDescent="0.3">
      <c r="A153" s="1">
        <v>43770</v>
      </c>
      <c r="B153" s="1">
        <v>43770</v>
      </c>
      <c r="C153" t="s">
        <v>157</v>
      </c>
      <c r="D153" t="s">
        <v>54</v>
      </c>
      <c r="E153" t="s">
        <v>21</v>
      </c>
      <c r="F153" t="s">
        <v>191</v>
      </c>
      <c r="G153" s="53">
        <v>43805</v>
      </c>
      <c r="H153">
        <v>33</v>
      </c>
      <c r="I153">
        <v>11167</v>
      </c>
      <c r="J153" t="s">
        <v>50</v>
      </c>
      <c r="K153" t="s">
        <v>50</v>
      </c>
      <c r="L153" t="s">
        <v>159</v>
      </c>
      <c r="M153" t="s">
        <v>51</v>
      </c>
      <c r="N153" t="s">
        <v>92</v>
      </c>
      <c r="O153" s="1">
        <v>41335</v>
      </c>
      <c r="P153" t="s">
        <v>84</v>
      </c>
      <c r="Q153">
        <v>2</v>
      </c>
      <c r="R153" t="s">
        <v>94</v>
      </c>
      <c r="S153" t="s">
        <v>349</v>
      </c>
      <c r="T153" t="s">
        <v>349</v>
      </c>
      <c r="U153">
        <v>0</v>
      </c>
      <c r="V153">
        <v>6128.55</v>
      </c>
      <c r="W153">
        <v>0</v>
      </c>
    </row>
    <row r="154" spans="1:23" x14ac:dyDescent="0.3">
      <c r="A154" s="1">
        <v>43770</v>
      </c>
      <c r="B154" s="1">
        <v>43770</v>
      </c>
      <c r="C154" t="s">
        <v>157</v>
      </c>
      <c r="D154" t="s">
        <v>48</v>
      </c>
      <c r="E154" t="s">
        <v>49</v>
      </c>
      <c r="F154" t="s">
        <v>193</v>
      </c>
      <c r="G154" s="53">
        <v>43805</v>
      </c>
      <c r="H154">
        <v>33</v>
      </c>
      <c r="I154">
        <v>11167</v>
      </c>
      <c r="J154" t="s">
        <v>50</v>
      </c>
      <c r="K154" t="s">
        <v>50</v>
      </c>
      <c r="L154" t="s">
        <v>159</v>
      </c>
      <c r="M154" t="s">
        <v>51</v>
      </c>
      <c r="N154" t="s">
        <v>92</v>
      </c>
      <c r="O154" s="1">
        <v>41335</v>
      </c>
      <c r="P154" t="s">
        <v>84</v>
      </c>
      <c r="Q154">
        <v>2</v>
      </c>
      <c r="R154" t="s">
        <v>94</v>
      </c>
      <c r="S154">
        <v>4.4374760000000002</v>
      </c>
      <c r="T154">
        <v>75.736999999999995</v>
      </c>
      <c r="U154" t="s">
        <v>349</v>
      </c>
      <c r="V154" t="s">
        <v>349</v>
      </c>
      <c r="W154">
        <v>336</v>
      </c>
    </row>
    <row r="155" spans="1:23" x14ac:dyDescent="0.3">
      <c r="A155" s="1">
        <v>43770</v>
      </c>
      <c r="B155" s="1">
        <v>43770</v>
      </c>
      <c r="C155" t="s">
        <v>157</v>
      </c>
      <c r="D155" t="s">
        <v>54</v>
      </c>
      <c r="E155" t="s">
        <v>21</v>
      </c>
      <c r="F155" t="s">
        <v>191</v>
      </c>
      <c r="G155" s="53">
        <v>43805</v>
      </c>
      <c r="H155">
        <v>33</v>
      </c>
      <c r="I155">
        <v>11167</v>
      </c>
      <c r="J155" t="s">
        <v>50</v>
      </c>
      <c r="K155" t="s">
        <v>50</v>
      </c>
      <c r="L155" t="s">
        <v>159</v>
      </c>
      <c r="M155" t="s">
        <v>51</v>
      </c>
      <c r="N155" t="s">
        <v>92</v>
      </c>
      <c r="O155" s="1">
        <v>41335</v>
      </c>
      <c r="P155" t="s">
        <v>84</v>
      </c>
      <c r="Q155">
        <v>3</v>
      </c>
      <c r="R155" t="s">
        <v>81</v>
      </c>
      <c r="S155" t="s">
        <v>349</v>
      </c>
      <c r="T155" t="s">
        <v>349</v>
      </c>
      <c r="U155">
        <v>0</v>
      </c>
      <c r="V155">
        <v>5735.8</v>
      </c>
      <c r="W155">
        <v>0</v>
      </c>
    </row>
    <row r="156" spans="1:23" x14ac:dyDescent="0.3">
      <c r="A156" s="1">
        <v>43770</v>
      </c>
      <c r="B156" s="1">
        <v>43770</v>
      </c>
      <c r="C156" t="s">
        <v>157</v>
      </c>
      <c r="D156" t="s">
        <v>93</v>
      </c>
      <c r="E156" t="s">
        <v>49</v>
      </c>
      <c r="F156" t="s">
        <v>192</v>
      </c>
      <c r="G156" s="53">
        <v>43837</v>
      </c>
      <c r="H156">
        <v>61</v>
      </c>
      <c r="I156" t="s">
        <v>349</v>
      </c>
      <c r="J156" t="s">
        <v>50</v>
      </c>
      <c r="K156" t="s">
        <v>50</v>
      </c>
      <c r="L156" t="s">
        <v>159</v>
      </c>
      <c r="M156" t="s">
        <v>51</v>
      </c>
      <c r="N156" t="s">
        <v>92</v>
      </c>
      <c r="O156" s="1">
        <v>41335</v>
      </c>
      <c r="P156" t="s">
        <v>84</v>
      </c>
      <c r="Q156">
        <v>3</v>
      </c>
      <c r="R156" t="s">
        <v>81</v>
      </c>
      <c r="S156">
        <v>1</v>
      </c>
      <c r="T156">
        <v>-25</v>
      </c>
      <c r="U156" t="s">
        <v>349</v>
      </c>
      <c r="V156" t="s">
        <v>349</v>
      </c>
      <c r="W156">
        <v>-25</v>
      </c>
    </row>
    <row r="157" spans="1:23" x14ac:dyDescent="0.3">
      <c r="A157" s="1">
        <v>43770</v>
      </c>
      <c r="B157" s="1">
        <v>43770</v>
      </c>
      <c r="C157" t="s">
        <v>157</v>
      </c>
      <c r="D157" t="s">
        <v>48</v>
      </c>
      <c r="E157" t="s">
        <v>49</v>
      </c>
      <c r="F157" t="s">
        <v>193</v>
      </c>
      <c r="G157" s="53">
        <v>43805</v>
      </c>
      <c r="H157">
        <v>33</v>
      </c>
      <c r="I157">
        <v>11167</v>
      </c>
      <c r="J157" t="s">
        <v>50</v>
      </c>
      <c r="K157" t="s">
        <v>50</v>
      </c>
      <c r="L157" t="s">
        <v>159</v>
      </c>
      <c r="M157" t="s">
        <v>51</v>
      </c>
      <c r="N157" t="s">
        <v>92</v>
      </c>
      <c r="O157" s="1">
        <v>41335</v>
      </c>
      <c r="P157" t="s">
        <v>84</v>
      </c>
      <c r="Q157">
        <v>3</v>
      </c>
      <c r="R157" t="s">
        <v>81</v>
      </c>
      <c r="S157">
        <v>237.000969</v>
      </c>
      <c r="T157">
        <v>70.436999999999998</v>
      </c>
      <c r="U157" t="s">
        <v>349</v>
      </c>
      <c r="V157" t="s">
        <v>349</v>
      </c>
      <c r="W157">
        <v>16694</v>
      </c>
    </row>
    <row r="158" spans="1:23" x14ac:dyDescent="0.3">
      <c r="A158" s="1">
        <v>43770</v>
      </c>
      <c r="B158" s="1">
        <v>43770</v>
      </c>
      <c r="C158" t="s">
        <v>157</v>
      </c>
      <c r="D158" t="s">
        <v>54</v>
      </c>
      <c r="E158" t="s">
        <v>21</v>
      </c>
      <c r="F158" t="s">
        <v>191</v>
      </c>
      <c r="G158" s="53">
        <v>43805</v>
      </c>
      <c r="H158">
        <v>33</v>
      </c>
      <c r="I158">
        <v>11167</v>
      </c>
      <c r="J158" t="s">
        <v>50</v>
      </c>
      <c r="K158" t="s">
        <v>50</v>
      </c>
      <c r="L158" t="s">
        <v>159</v>
      </c>
      <c r="M158" t="s">
        <v>51</v>
      </c>
      <c r="N158" t="s">
        <v>92</v>
      </c>
      <c r="O158" s="1">
        <v>41335</v>
      </c>
      <c r="P158" t="s">
        <v>84</v>
      </c>
      <c r="Q158">
        <v>4</v>
      </c>
      <c r="R158" t="s">
        <v>27</v>
      </c>
      <c r="S158" t="s">
        <v>349</v>
      </c>
      <c r="T158" t="s">
        <v>349</v>
      </c>
      <c r="U158">
        <v>0</v>
      </c>
      <c r="V158">
        <v>5821.34</v>
      </c>
      <c r="W158">
        <v>0</v>
      </c>
    </row>
    <row r="159" spans="1:23" x14ac:dyDescent="0.3">
      <c r="A159" s="1">
        <v>43770</v>
      </c>
      <c r="B159" s="1">
        <v>43770</v>
      </c>
      <c r="C159" t="s">
        <v>157</v>
      </c>
      <c r="D159" t="s">
        <v>93</v>
      </c>
      <c r="E159" t="s">
        <v>49</v>
      </c>
      <c r="F159" t="s">
        <v>192</v>
      </c>
      <c r="G159" s="53">
        <v>43837</v>
      </c>
      <c r="H159">
        <v>61</v>
      </c>
      <c r="I159" t="s">
        <v>349</v>
      </c>
      <c r="J159" t="s">
        <v>50</v>
      </c>
      <c r="K159" t="s">
        <v>50</v>
      </c>
      <c r="L159" t="s">
        <v>159</v>
      </c>
      <c r="M159" t="s">
        <v>51</v>
      </c>
      <c r="N159" t="s">
        <v>92</v>
      </c>
      <c r="O159" s="1">
        <v>41335</v>
      </c>
      <c r="P159" t="s">
        <v>84</v>
      </c>
      <c r="Q159">
        <v>4</v>
      </c>
      <c r="R159" t="s">
        <v>27</v>
      </c>
      <c r="S159">
        <v>1</v>
      </c>
      <c r="T159">
        <v>-176</v>
      </c>
      <c r="U159" t="s">
        <v>349</v>
      </c>
      <c r="V159" t="s">
        <v>349</v>
      </c>
      <c r="W159">
        <v>-176</v>
      </c>
    </row>
    <row r="160" spans="1:23" x14ac:dyDescent="0.3">
      <c r="A160" s="1">
        <v>43770</v>
      </c>
      <c r="B160" s="1">
        <v>43770</v>
      </c>
      <c r="C160" t="s">
        <v>157</v>
      </c>
      <c r="D160" t="s">
        <v>48</v>
      </c>
      <c r="E160" t="s">
        <v>49</v>
      </c>
      <c r="F160" t="s">
        <v>193</v>
      </c>
      <c r="G160" s="53">
        <v>43805</v>
      </c>
      <c r="H160">
        <v>33</v>
      </c>
      <c r="I160">
        <v>11167</v>
      </c>
      <c r="J160" t="s">
        <v>50</v>
      </c>
      <c r="K160" t="s">
        <v>50</v>
      </c>
      <c r="L160" t="s">
        <v>159</v>
      </c>
      <c r="M160" t="s">
        <v>51</v>
      </c>
      <c r="N160" t="s">
        <v>92</v>
      </c>
      <c r="O160" s="1">
        <v>41335</v>
      </c>
      <c r="P160" t="s">
        <v>84</v>
      </c>
      <c r="Q160">
        <v>4</v>
      </c>
      <c r="R160" t="s">
        <v>27</v>
      </c>
      <c r="S160">
        <v>1639.539798</v>
      </c>
      <c r="T160">
        <v>71.983999999999995</v>
      </c>
      <c r="U160" t="s">
        <v>349</v>
      </c>
      <c r="V160" t="s">
        <v>349</v>
      </c>
      <c r="W160">
        <v>118021</v>
      </c>
    </row>
    <row r="161" spans="1:23" x14ac:dyDescent="0.3">
      <c r="A161" s="1">
        <v>43770</v>
      </c>
      <c r="B161" s="1">
        <v>43770</v>
      </c>
      <c r="C161" t="s">
        <v>157</v>
      </c>
      <c r="D161" t="s">
        <v>54</v>
      </c>
      <c r="E161" t="s">
        <v>21</v>
      </c>
      <c r="F161" t="s">
        <v>191</v>
      </c>
      <c r="G161" s="53">
        <v>43805</v>
      </c>
      <c r="H161">
        <v>33</v>
      </c>
      <c r="I161">
        <v>11167</v>
      </c>
      <c r="J161" t="s">
        <v>50</v>
      </c>
      <c r="K161" t="s">
        <v>50</v>
      </c>
      <c r="L161" t="s">
        <v>159</v>
      </c>
      <c r="M161" t="s">
        <v>51</v>
      </c>
      <c r="N161" t="s">
        <v>92</v>
      </c>
      <c r="O161" s="1">
        <v>41335</v>
      </c>
      <c r="P161" t="s">
        <v>84</v>
      </c>
      <c r="Q161">
        <v>5</v>
      </c>
      <c r="R161" t="s">
        <v>28</v>
      </c>
      <c r="S161" t="s">
        <v>349</v>
      </c>
      <c r="T161" t="s">
        <v>349</v>
      </c>
      <c r="U161">
        <v>0</v>
      </c>
      <c r="V161">
        <v>6082.17</v>
      </c>
      <c r="W161">
        <v>0</v>
      </c>
    </row>
    <row r="162" spans="1:23" x14ac:dyDescent="0.3">
      <c r="A162" s="1">
        <v>43770</v>
      </c>
      <c r="B162" s="1">
        <v>43770</v>
      </c>
      <c r="C162" t="s">
        <v>157</v>
      </c>
      <c r="D162" t="s">
        <v>93</v>
      </c>
      <c r="E162" t="s">
        <v>49</v>
      </c>
      <c r="F162" t="s">
        <v>192</v>
      </c>
      <c r="G162" s="53">
        <v>43837</v>
      </c>
      <c r="H162">
        <v>61</v>
      </c>
      <c r="I162" t="s">
        <v>349</v>
      </c>
      <c r="J162" t="s">
        <v>50</v>
      </c>
      <c r="K162" t="s">
        <v>50</v>
      </c>
      <c r="L162" t="s">
        <v>159</v>
      </c>
      <c r="M162" t="s">
        <v>51</v>
      </c>
      <c r="N162" t="s">
        <v>92</v>
      </c>
      <c r="O162" s="1">
        <v>41335</v>
      </c>
      <c r="P162" t="s">
        <v>84</v>
      </c>
      <c r="Q162">
        <v>5</v>
      </c>
      <c r="R162" t="s">
        <v>28</v>
      </c>
      <c r="S162">
        <v>1</v>
      </c>
      <c r="T162">
        <v>-1</v>
      </c>
      <c r="U162" t="s">
        <v>349</v>
      </c>
      <c r="V162" t="s">
        <v>349</v>
      </c>
      <c r="W162">
        <v>-1</v>
      </c>
    </row>
    <row r="163" spans="1:23" x14ac:dyDescent="0.3">
      <c r="A163" s="1">
        <v>43770</v>
      </c>
      <c r="B163" s="1">
        <v>43770</v>
      </c>
      <c r="C163" t="s">
        <v>157</v>
      </c>
      <c r="D163" t="s">
        <v>48</v>
      </c>
      <c r="E163" t="s">
        <v>49</v>
      </c>
      <c r="F163" t="s">
        <v>193</v>
      </c>
      <c r="G163" s="53">
        <v>43805</v>
      </c>
      <c r="H163">
        <v>33</v>
      </c>
      <c r="I163">
        <v>11167</v>
      </c>
      <c r="J163" t="s">
        <v>50</v>
      </c>
      <c r="K163" t="s">
        <v>50</v>
      </c>
      <c r="L163" t="s">
        <v>159</v>
      </c>
      <c r="M163" t="s">
        <v>51</v>
      </c>
      <c r="N163" t="s">
        <v>92</v>
      </c>
      <c r="O163" s="1">
        <v>41335</v>
      </c>
      <c r="P163" t="s">
        <v>84</v>
      </c>
      <c r="Q163">
        <v>5</v>
      </c>
      <c r="R163" t="s">
        <v>28</v>
      </c>
      <c r="S163">
        <v>4.6772220000000004</v>
      </c>
      <c r="T163">
        <v>75.617000000000004</v>
      </c>
      <c r="U163" t="s">
        <v>349</v>
      </c>
      <c r="V163" t="s">
        <v>349</v>
      </c>
      <c r="W163">
        <v>354</v>
      </c>
    </row>
    <row r="164" spans="1:23" x14ac:dyDescent="0.3">
      <c r="A164" s="1">
        <v>43800</v>
      </c>
      <c r="B164" s="1">
        <v>43800</v>
      </c>
      <c r="C164" t="s">
        <v>157</v>
      </c>
      <c r="D164" t="s">
        <v>54</v>
      </c>
      <c r="E164" t="s">
        <v>21</v>
      </c>
      <c r="F164" t="s">
        <v>195</v>
      </c>
      <c r="G164" s="53">
        <v>43837</v>
      </c>
      <c r="H164">
        <v>33</v>
      </c>
      <c r="I164">
        <v>11902</v>
      </c>
      <c r="J164" t="s">
        <v>50</v>
      </c>
      <c r="K164" t="s">
        <v>50</v>
      </c>
      <c r="L164" t="s">
        <v>159</v>
      </c>
      <c r="M164" t="s">
        <v>51</v>
      </c>
      <c r="N164" t="s">
        <v>92</v>
      </c>
      <c r="O164" s="1">
        <v>41335</v>
      </c>
      <c r="P164" t="s">
        <v>84</v>
      </c>
      <c r="Q164">
        <v>1</v>
      </c>
      <c r="R164" t="s">
        <v>83</v>
      </c>
      <c r="S164" t="s">
        <v>349</v>
      </c>
      <c r="T164" t="s">
        <v>349</v>
      </c>
      <c r="U164">
        <v>0</v>
      </c>
      <c r="V164">
        <v>5969.53</v>
      </c>
      <c r="W164">
        <v>0</v>
      </c>
    </row>
    <row r="165" spans="1:23" x14ac:dyDescent="0.3">
      <c r="A165" s="1">
        <v>43800</v>
      </c>
      <c r="B165" s="1">
        <v>43800</v>
      </c>
      <c r="C165" t="s">
        <v>157</v>
      </c>
      <c r="D165" t="s">
        <v>93</v>
      </c>
      <c r="E165" t="s">
        <v>49</v>
      </c>
      <c r="F165" t="s">
        <v>194</v>
      </c>
      <c r="G165" s="53">
        <v>43928.729247685187</v>
      </c>
      <c r="H165">
        <v>33</v>
      </c>
      <c r="I165" t="s">
        <v>349</v>
      </c>
      <c r="J165" t="s">
        <v>50</v>
      </c>
      <c r="K165" t="s">
        <v>50</v>
      </c>
      <c r="L165" t="s">
        <v>159</v>
      </c>
      <c r="M165" t="s">
        <v>51</v>
      </c>
      <c r="N165" t="s">
        <v>92</v>
      </c>
      <c r="O165" s="1">
        <v>41335</v>
      </c>
      <c r="P165" t="s">
        <v>84</v>
      </c>
      <c r="Q165">
        <v>1</v>
      </c>
      <c r="R165" t="s">
        <v>83</v>
      </c>
      <c r="S165">
        <v>1</v>
      </c>
      <c r="T165">
        <v>598</v>
      </c>
      <c r="U165" t="s">
        <v>349</v>
      </c>
      <c r="V165" t="s">
        <v>349</v>
      </c>
      <c r="W165">
        <v>598</v>
      </c>
    </row>
    <row r="166" spans="1:23" x14ac:dyDescent="0.3">
      <c r="A166" s="1">
        <v>43800</v>
      </c>
      <c r="B166" s="1">
        <v>43800</v>
      </c>
      <c r="C166" t="s">
        <v>157</v>
      </c>
      <c r="D166" t="s">
        <v>48</v>
      </c>
      <c r="E166" t="s">
        <v>49</v>
      </c>
      <c r="F166" t="s">
        <v>196</v>
      </c>
      <c r="G166" s="53">
        <v>43837</v>
      </c>
      <c r="H166">
        <v>33</v>
      </c>
      <c r="I166">
        <v>11902</v>
      </c>
      <c r="J166" t="s">
        <v>50</v>
      </c>
      <c r="K166" t="s">
        <v>50</v>
      </c>
      <c r="L166" t="s">
        <v>159</v>
      </c>
      <c r="M166" t="s">
        <v>51</v>
      </c>
      <c r="N166" t="s">
        <v>92</v>
      </c>
      <c r="O166" s="1">
        <v>41335</v>
      </c>
      <c r="P166" t="s">
        <v>84</v>
      </c>
      <c r="Q166">
        <v>1</v>
      </c>
      <c r="R166" t="s">
        <v>83</v>
      </c>
      <c r="S166">
        <v>1541.900316</v>
      </c>
      <c r="T166">
        <v>74.400999999999996</v>
      </c>
      <c r="U166" t="s">
        <v>349</v>
      </c>
      <c r="V166" t="s">
        <v>349</v>
      </c>
      <c r="W166">
        <v>114719</v>
      </c>
    </row>
    <row r="167" spans="1:23" x14ac:dyDescent="0.3">
      <c r="A167" s="1">
        <v>43800</v>
      </c>
      <c r="B167" s="1">
        <v>43800</v>
      </c>
      <c r="C167" t="s">
        <v>157</v>
      </c>
      <c r="D167" t="s">
        <v>54</v>
      </c>
      <c r="E167" t="s">
        <v>21</v>
      </c>
      <c r="F167" t="s">
        <v>195</v>
      </c>
      <c r="G167" s="53">
        <v>43837</v>
      </c>
      <c r="H167">
        <v>33</v>
      </c>
      <c r="I167">
        <v>11902</v>
      </c>
      <c r="J167" t="s">
        <v>50</v>
      </c>
      <c r="K167" t="s">
        <v>50</v>
      </c>
      <c r="L167" t="s">
        <v>159</v>
      </c>
      <c r="M167" t="s">
        <v>51</v>
      </c>
      <c r="N167" t="s">
        <v>92</v>
      </c>
      <c r="O167" s="1">
        <v>41335</v>
      </c>
      <c r="P167" t="s">
        <v>84</v>
      </c>
      <c r="Q167">
        <v>2</v>
      </c>
      <c r="R167" t="s">
        <v>94</v>
      </c>
      <c r="S167" t="s">
        <v>349</v>
      </c>
      <c r="T167" t="s">
        <v>349</v>
      </c>
      <c r="U167">
        <v>0</v>
      </c>
      <c r="V167">
        <v>6128.55</v>
      </c>
      <c r="W167">
        <v>0</v>
      </c>
    </row>
    <row r="168" spans="1:23" x14ac:dyDescent="0.3">
      <c r="A168" s="1">
        <v>43800</v>
      </c>
      <c r="B168" s="1">
        <v>43800</v>
      </c>
      <c r="C168" t="s">
        <v>157</v>
      </c>
      <c r="D168" t="s">
        <v>93</v>
      </c>
      <c r="E168" t="s">
        <v>49</v>
      </c>
      <c r="F168" t="s">
        <v>194</v>
      </c>
      <c r="G168" s="53">
        <v>43928.729247685187</v>
      </c>
      <c r="H168">
        <v>33</v>
      </c>
      <c r="I168" t="s">
        <v>349</v>
      </c>
      <c r="J168" t="s">
        <v>50</v>
      </c>
      <c r="K168" t="s">
        <v>50</v>
      </c>
      <c r="L168" t="s">
        <v>159</v>
      </c>
      <c r="M168" t="s">
        <v>51</v>
      </c>
      <c r="N168" t="s">
        <v>92</v>
      </c>
      <c r="O168" s="1">
        <v>41335</v>
      </c>
      <c r="P168" t="s">
        <v>84</v>
      </c>
      <c r="Q168">
        <v>2</v>
      </c>
      <c r="R168" t="s">
        <v>94</v>
      </c>
      <c r="S168">
        <v>1</v>
      </c>
      <c r="T168">
        <v>2</v>
      </c>
      <c r="U168" t="s">
        <v>349</v>
      </c>
      <c r="V168" t="s">
        <v>349</v>
      </c>
      <c r="W168">
        <v>2</v>
      </c>
    </row>
    <row r="169" spans="1:23" x14ac:dyDescent="0.3">
      <c r="A169" s="1">
        <v>43800</v>
      </c>
      <c r="B169" s="1">
        <v>43800</v>
      </c>
      <c r="C169" t="s">
        <v>157</v>
      </c>
      <c r="D169" t="s">
        <v>48</v>
      </c>
      <c r="E169" t="s">
        <v>49</v>
      </c>
      <c r="F169" t="s">
        <v>196</v>
      </c>
      <c r="G169" s="53">
        <v>43837</v>
      </c>
      <c r="H169">
        <v>33</v>
      </c>
      <c r="I169">
        <v>11902</v>
      </c>
      <c r="J169" t="s">
        <v>50</v>
      </c>
      <c r="K169" t="s">
        <v>50</v>
      </c>
      <c r="L169" t="s">
        <v>159</v>
      </c>
      <c r="M169" t="s">
        <v>51</v>
      </c>
      <c r="N169" t="s">
        <v>92</v>
      </c>
      <c r="O169" s="1">
        <v>41335</v>
      </c>
      <c r="P169" t="s">
        <v>84</v>
      </c>
      <c r="Q169">
        <v>2</v>
      </c>
      <c r="R169" t="s">
        <v>94</v>
      </c>
      <c r="S169">
        <v>4.9920920000000004</v>
      </c>
      <c r="T169">
        <v>75.736999999999995</v>
      </c>
      <c r="U169" t="s">
        <v>349</v>
      </c>
      <c r="V169" t="s">
        <v>349</v>
      </c>
      <c r="W169">
        <v>378</v>
      </c>
    </row>
    <row r="170" spans="1:23" x14ac:dyDescent="0.3">
      <c r="A170" s="1">
        <v>43800</v>
      </c>
      <c r="B170" s="1">
        <v>43800</v>
      </c>
      <c r="C170" t="s">
        <v>157</v>
      </c>
      <c r="D170" t="s">
        <v>54</v>
      </c>
      <c r="E170" t="s">
        <v>21</v>
      </c>
      <c r="F170" t="s">
        <v>195</v>
      </c>
      <c r="G170" s="53">
        <v>43837</v>
      </c>
      <c r="H170">
        <v>33</v>
      </c>
      <c r="I170">
        <v>11902</v>
      </c>
      <c r="J170" t="s">
        <v>50</v>
      </c>
      <c r="K170" t="s">
        <v>50</v>
      </c>
      <c r="L170" t="s">
        <v>159</v>
      </c>
      <c r="M170" t="s">
        <v>51</v>
      </c>
      <c r="N170" t="s">
        <v>92</v>
      </c>
      <c r="O170" s="1">
        <v>41335</v>
      </c>
      <c r="P170" t="s">
        <v>84</v>
      </c>
      <c r="Q170">
        <v>3</v>
      </c>
      <c r="R170" t="s">
        <v>81</v>
      </c>
      <c r="S170" t="s">
        <v>349</v>
      </c>
      <c r="T170" t="s">
        <v>349</v>
      </c>
      <c r="U170">
        <v>0</v>
      </c>
      <c r="V170">
        <v>5735.8</v>
      </c>
      <c r="W170">
        <v>0</v>
      </c>
    </row>
    <row r="171" spans="1:23" x14ac:dyDescent="0.3">
      <c r="A171" s="1">
        <v>43800</v>
      </c>
      <c r="B171" s="1">
        <v>43800</v>
      </c>
      <c r="C171" t="s">
        <v>157</v>
      </c>
      <c r="D171" t="s">
        <v>93</v>
      </c>
      <c r="E171" t="s">
        <v>49</v>
      </c>
      <c r="F171" t="s">
        <v>194</v>
      </c>
      <c r="G171" s="53">
        <v>43928.729247685187</v>
      </c>
      <c r="H171">
        <v>33</v>
      </c>
      <c r="I171" t="s">
        <v>349</v>
      </c>
      <c r="J171" t="s">
        <v>50</v>
      </c>
      <c r="K171" t="s">
        <v>50</v>
      </c>
      <c r="L171" t="s">
        <v>159</v>
      </c>
      <c r="M171" t="s">
        <v>51</v>
      </c>
      <c r="N171" t="s">
        <v>92</v>
      </c>
      <c r="O171" s="1">
        <v>41335</v>
      </c>
      <c r="P171" t="s">
        <v>84</v>
      </c>
      <c r="Q171">
        <v>3</v>
      </c>
      <c r="R171" t="s">
        <v>81</v>
      </c>
      <c r="S171">
        <v>1</v>
      </c>
      <c r="T171">
        <v>111</v>
      </c>
      <c r="U171" t="s">
        <v>349</v>
      </c>
      <c r="V171" t="s">
        <v>349</v>
      </c>
      <c r="W171">
        <v>111</v>
      </c>
    </row>
    <row r="172" spans="1:23" x14ac:dyDescent="0.3">
      <c r="A172" s="1">
        <v>43800</v>
      </c>
      <c r="B172" s="1">
        <v>43800</v>
      </c>
      <c r="C172" t="s">
        <v>157</v>
      </c>
      <c r="D172" t="s">
        <v>48</v>
      </c>
      <c r="E172" t="s">
        <v>49</v>
      </c>
      <c r="F172" t="s">
        <v>196</v>
      </c>
      <c r="G172" s="53">
        <v>43837</v>
      </c>
      <c r="H172">
        <v>33</v>
      </c>
      <c r="I172">
        <v>11902</v>
      </c>
      <c r="J172" t="s">
        <v>50</v>
      </c>
      <c r="K172" t="s">
        <v>50</v>
      </c>
      <c r="L172" t="s">
        <v>159</v>
      </c>
      <c r="M172" t="s">
        <v>51</v>
      </c>
      <c r="N172" t="s">
        <v>92</v>
      </c>
      <c r="O172" s="1">
        <v>41335</v>
      </c>
      <c r="P172" t="s">
        <v>84</v>
      </c>
      <c r="Q172">
        <v>3</v>
      </c>
      <c r="R172" t="s">
        <v>81</v>
      </c>
      <c r="S172">
        <v>302.289739</v>
      </c>
      <c r="T172">
        <v>70.436999999999998</v>
      </c>
      <c r="U172" t="s">
        <v>349</v>
      </c>
      <c r="V172" t="s">
        <v>349</v>
      </c>
      <c r="W172">
        <v>21292</v>
      </c>
    </row>
    <row r="173" spans="1:23" x14ac:dyDescent="0.3">
      <c r="A173" s="1">
        <v>43800</v>
      </c>
      <c r="B173" s="1">
        <v>43800</v>
      </c>
      <c r="C173" t="s">
        <v>157</v>
      </c>
      <c r="D173" t="s">
        <v>54</v>
      </c>
      <c r="E173" t="s">
        <v>21</v>
      </c>
      <c r="F173" t="s">
        <v>195</v>
      </c>
      <c r="G173" s="53">
        <v>43837</v>
      </c>
      <c r="H173">
        <v>33</v>
      </c>
      <c r="I173">
        <v>11902</v>
      </c>
      <c r="J173" t="s">
        <v>50</v>
      </c>
      <c r="K173" t="s">
        <v>50</v>
      </c>
      <c r="L173" t="s">
        <v>159</v>
      </c>
      <c r="M173" t="s">
        <v>51</v>
      </c>
      <c r="N173" t="s">
        <v>92</v>
      </c>
      <c r="O173" s="1">
        <v>41335</v>
      </c>
      <c r="P173" t="s">
        <v>84</v>
      </c>
      <c r="Q173">
        <v>4</v>
      </c>
      <c r="R173" t="s">
        <v>27</v>
      </c>
      <c r="S173" t="s">
        <v>349</v>
      </c>
      <c r="T173" t="s">
        <v>349</v>
      </c>
      <c r="U173">
        <v>0</v>
      </c>
      <c r="V173">
        <v>5821.34</v>
      </c>
      <c r="W173">
        <v>0</v>
      </c>
    </row>
    <row r="174" spans="1:23" x14ac:dyDescent="0.3">
      <c r="A174" s="1">
        <v>43800</v>
      </c>
      <c r="B174" s="1">
        <v>43800</v>
      </c>
      <c r="C174" t="s">
        <v>157</v>
      </c>
      <c r="D174" t="s">
        <v>93</v>
      </c>
      <c r="E174" t="s">
        <v>49</v>
      </c>
      <c r="F174" t="s">
        <v>194</v>
      </c>
      <c r="G174" s="53">
        <v>43928.729247685187</v>
      </c>
      <c r="H174">
        <v>33</v>
      </c>
      <c r="I174" t="s">
        <v>349</v>
      </c>
      <c r="J174" t="s">
        <v>50</v>
      </c>
      <c r="K174" t="s">
        <v>50</v>
      </c>
      <c r="L174" t="s">
        <v>159</v>
      </c>
      <c r="M174" t="s">
        <v>51</v>
      </c>
      <c r="N174" t="s">
        <v>92</v>
      </c>
      <c r="O174" s="1">
        <v>41335</v>
      </c>
      <c r="P174" t="s">
        <v>84</v>
      </c>
      <c r="Q174">
        <v>4</v>
      </c>
      <c r="R174" t="s">
        <v>27</v>
      </c>
      <c r="S174">
        <v>1</v>
      </c>
      <c r="T174">
        <v>780</v>
      </c>
      <c r="U174" t="s">
        <v>349</v>
      </c>
      <c r="V174" t="s">
        <v>349</v>
      </c>
      <c r="W174">
        <v>780</v>
      </c>
    </row>
    <row r="175" spans="1:23" x14ac:dyDescent="0.3">
      <c r="A175" s="1">
        <v>43800</v>
      </c>
      <c r="B175" s="1">
        <v>43800</v>
      </c>
      <c r="C175" t="s">
        <v>157</v>
      </c>
      <c r="D175" t="s">
        <v>48</v>
      </c>
      <c r="E175" t="s">
        <v>49</v>
      </c>
      <c r="F175" t="s">
        <v>196</v>
      </c>
      <c r="G175" s="53">
        <v>43837</v>
      </c>
      <c r="H175">
        <v>33</v>
      </c>
      <c r="I175">
        <v>11902</v>
      </c>
      <c r="J175" t="s">
        <v>50</v>
      </c>
      <c r="K175" t="s">
        <v>50</v>
      </c>
      <c r="L175" t="s">
        <v>159</v>
      </c>
      <c r="M175" t="s">
        <v>51</v>
      </c>
      <c r="N175" t="s">
        <v>92</v>
      </c>
      <c r="O175" s="1">
        <v>41335</v>
      </c>
      <c r="P175" t="s">
        <v>84</v>
      </c>
      <c r="Q175">
        <v>4</v>
      </c>
      <c r="R175" t="s">
        <v>27</v>
      </c>
      <c r="S175">
        <v>2077.3259159999998</v>
      </c>
      <c r="T175">
        <v>71.983999999999995</v>
      </c>
      <c r="U175" t="s">
        <v>349</v>
      </c>
      <c r="V175" t="s">
        <v>349</v>
      </c>
      <c r="W175">
        <v>149534</v>
      </c>
    </row>
    <row r="176" spans="1:23" x14ac:dyDescent="0.3">
      <c r="A176" s="1">
        <v>43800</v>
      </c>
      <c r="B176" s="1">
        <v>43800</v>
      </c>
      <c r="C176" t="s">
        <v>157</v>
      </c>
      <c r="D176" t="s">
        <v>54</v>
      </c>
      <c r="E176" t="s">
        <v>21</v>
      </c>
      <c r="F176" t="s">
        <v>195</v>
      </c>
      <c r="G176" s="53">
        <v>43837</v>
      </c>
      <c r="H176">
        <v>33</v>
      </c>
      <c r="I176">
        <v>11902</v>
      </c>
      <c r="J176" t="s">
        <v>50</v>
      </c>
      <c r="K176" t="s">
        <v>50</v>
      </c>
      <c r="L176" t="s">
        <v>159</v>
      </c>
      <c r="M176" t="s">
        <v>51</v>
      </c>
      <c r="N176" t="s">
        <v>92</v>
      </c>
      <c r="O176" s="1">
        <v>41335</v>
      </c>
      <c r="P176" t="s">
        <v>84</v>
      </c>
      <c r="Q176">
        <v>5</v>
      </c>
      <c r="R176" t="s">
        <v>28</v>
      </c>
      <c r="S176" t="s">
        <v>349</v>
      </c>
      <c r="T176" t="s">
        <v>349</v>
      </c>
      <c r="U176">
        <v>0</v>
      </c>
      <c r="V176">
        <v>6082.17</v>
      </c>
      <c r="W176">
        <v>0</v>
      </c>
    </row>
    <row r="177" spans="1:23" x14ac:dyDescent="0.3">
      <c r="A177" s="1">
        <v>43800</v>
      </c>
      <c r="B177" s="1">
        <v>43800</v>
      </c>
      <c r="C177" t="s">
        <v>157</v>
      </c>
      <c r="D177" t="s">
        <v>93</v>
      </c>
      <c r="E177" t="s">
        <v>49</v>
      </c>
      <c r="F177" t="s">
        <v>194</v>
      </c>
      <c r="G177" s="53">
        <v>43928.729247685187</v>
      </c>
      <c r="H177">
        <v>33</v>
      </c>
      <c r="I177" t="s">
        <v>349</v>
      </c>
      <c r="J177" t="s">
        <v>50</v>
      </c>
      <c r="K177" t="s">
        <v>50</v>
      </c>
      <c r="L177" t="s">
        <v>159</v>
      </c>
      <c r="M177" t="s">
        <v>51</v>
      </c>
      <c r="N177" t="s">
        <v>92</v>
      </c>
      <c r="O177" s="1">
        <v>41335</v>
      </c>
      <c r="P177" t="s">
        <v>84</v>
      </c>
      <c r="Q177">
        <v>5</v>
      </c>
      <c r="R177" t="s">
        <v>28</v>
      </c>
      <c r="S177">
        <v>1</v>
      </c>
      <c r="T177">
        <v>4</v>
      </c>
      <c r="U177" t="s">
        <v>349</v>
      </c>
      <c r="V177" t="s">
        <v>349</v>
      </c>
      <c r="W177">
        <v>4</v>
      </c>
    </row>
    <row r="178" spans="1:23" x14ac:dyDescent="0.3">
      <c r="A178" s="1">
        <v>43800</v>
      </c>
      <c r="B178" s="1">
        <v>43800</v>
      </c>
      <c r="C178" t="s">
        <v>157</v>
      </c>
      <c r="D178" t="s">
        <v>48</v>
      </c>
      <c r="E178" t="s">
        <v>49</v>
      </c>
      <c r="F178" t="s">
        <v>196</v>
      </c>
      <c r="G178" s="53">
        <v>43837</v>
      </c>
      <c r="H178">
        <v>33</v>
      </c>
      <c r="I178">
        <v>11902</v>
      </c>
      <c r="J178" t="s">
        <v>50</v>
      </c>
      <c r="K178" t="s">
        <v>50</v>
      </c>
      <c r="L178" t="s">
        <v>159</v>
      </c>
      <c r="M178" t="s">
        <v>51</v>
      </c>
      <c r="N178" t="s">
        <v>92</v>
      </c>
      <c r="O178" s="1">
        <v>41335</v>
      </c>
      <c r="P178" t="s">
        <v>84</v>
      </c>
      <c r="Q178">
        <v>5</v>
      </c>
      <c r="R178" t="s">
        <v>28</v>
      </c>
      <c r="S178">
        <v>5.3231200000000003</v>
      </c>
      <c r="T178">
        <v>75.617000000000004</v>
      </c>
      <c r="U178" t="s">
        <v>349</v>
      </c>
      <c r="V178" t="s">
        <v>349</v>
      </c>
      <c r="W178">
        <v>403</v>
      </c>
    </row>
    <row r="179" spans="1:23" x14ac:dyDescent="0.3">
      <c r="A179" s="1">
        <v>43831</v>
      </c>
      <c r="B179" s="1">
        <v>43831</v>
      </c>
      <c r="C179" t="s">
        <v>157</v>
      </c>
      <c r="D179" t="s">
        <v>54</v>
      </c>
      <c r="E179" t="s">
        <v>21</v>
      </c>
      <c r="F179" t="s">
        <v>199</v>
      </c>
      <c r="G179" s="53">
        <v>43910.518553240741</v>
      </c>
      <c r="H179">
        <v>33</v>
      </c>
      <c r="I179">
        <v>13159</v>
      </c>
      <c r="J179" t="s">
        <v>50</v>
      </c>
      <c r="K179" t="s">
        <v>50</v>
      </c>
      <c r="L179" t="s">
        <v>159</v>
      </c>
      <c r="M179" t="s">
        <v>51</v>
      </c>
      <c r="N179" t="s">
        <v>92</v>
      </c>
      <c r="O179" s="1">
        <v>41335</v>
      </c>
      <c r="P179" t="s">
        <v>84</v>
      </c>
      <c r="Q179">
        <v>1</v>
      </c>
      <c r="R179" t="s">
        <v>83</v>
      </c>
      <c r="S179" t="s">
        <v>349</v>
      </c>
      <c r="T179" t="s">
        <v>349</v>
      </c>
      <c r="U179">
        <v>0</v>
      </c>
      <c r="V179">
        <v>5969.53</v>
      </c>
      <c r="W179">
        <v>0</v>
      </c>
    </row>
    <row r="180" spans="1:23" x14ac:dyDescent="0.3">
      <c r="A180" s="1">
        <v>43831</v>
      </c>
      <c r="B180" s="1">
        <v>43831</v>
      </c>
      <c r="C180" t="s">
        <v>157</v>
      </c>
      <c r="D180" t="s">
        <v>93</v>
      </c>
      <c r="E180" t="s">
        <v>49</v>
      </c>
      <c r="F180" t="s">
        <v>198</v>
      </c>
      <c r="G180" s="53">
        <v>43917.77002314815</v>
      </c>
      <c r="H180">
        <v>33</v>
      </c>
      <c r="I180">
        <v>13702</v>
      </c>
      <c r="J180" t="s">
        <v>50</v>
      </c>
      <c r="K180" t="s">
        <v>50</v>
      </c>
      <c r="L180" t="s">
        <v>159</v>
      </c>
      <c r="M180" t="s">
        <v>51</v>
      </c>
      <c r="N180" t="s">
        <v>92</v>
      </c>
      <c r="O180" s="1">
        <v>41335</v>
      </c>
      <c r="P180" t="s">
        <v>84</v>
      </c>
      <c r="Q180">
        <v>1</v>
      </c>
      <c r="R180" t="s">
        <v>83</v>
      </c>
      <c r="S180">
        <v>1</v>
      </c>
      <c r="T180">
        <v>29633</v>
      </c>
      <c r="U180" t="s">
        <v>349</v>
      </c>
      <c r="V180" t="s">
        <v>349</v>
      </c>
      <c r="W180">
        <v>29633</v>
      </c>
    </row>
    <row r="181" spans="1:23" x14ac:dyDescent="0.3">
      <c r="A181" s="1">
        <v>43831</v>
      </c>
      <c r="B181" s="1">
        <v>43831</v>
      </c>
      <c r="C181" t="s">
        <v>157</v>
      </c>
      <c r="D181" t="s">
        <v>48</v>
      </c>
      <c r="E181" t="s">
        <v>49</v>
      </c>
      <c r="F181" t="s">
        <v>200</v>
      </c>
      <c r="G181" s="53">
        <v>43910.518553240741</v>
      </c>
      <c r="H181">
        <v>33</v>
      </c>
      <c r="I181">
        <v>13159</v>
      </c>
      <c r="J181" t="s">
        <v>50</v>
      </c>
      <c r="K181" t="s">
        <v>50</v>
      </c>
      <c r="L181" t="s">
        <v>159</v>
      </c>
      <c r="M181" t="s">
        <v>51</v>
      </c>
      <c r="N181" t="s">
        <v>92</v>
      </c>
      <c r="O181" s="1">
        <v>41335</v>
      </c>
      <c r="P181" t="s">
        <v>84</v>
      </c>
      <c r="Q181">
        <v>1</v>
      </c>
      <c r="R181" t="s">
        <v>83</v>
      </c>
      <c r="S181">
        <v>4352.0722839999999</v>
      </c>
      <c r="T181">
        <v>62.720154999999998</v>
      </c>
      <c r="U181" t="s">
        <v>349</v>
      </c>
      <c r="V181" t="s">
        <v>349</v>
      </c>
      <c r="W181">
        <v>272963</v>
      </c>
    </row>
    <row r="182" spans="1:23" x14ac:dyDescent="0.3">
      <c r="A182" s="1">
        <v>43831</v>
      </c>
      <c r="B182" s="1">
        <v>43831</v>
      </c>
      <c r="C182" t="s">
        <v>157</v>
      </c>
      <c r="D182" t="s">
        <v>54</v>
      </c>
      <c r="E182" t="s">
        <v>21</v>
      </c>
      <c r="F182" t="s">
        <v>199</v>
      </c>
      <c r="G182" s="53">
        <v>43910.518553240741</v>
      </c>
      <c r="H182">
        <v>33</v>
      </c>
      <c r="I182">
        <v>13159</v>
      </c>
      <c r="J182" t="s">
        <v>50</v>
      </c>
      <c r="K182" t="s">
        <v>50</v>
      </c>
      <c r="L182" t="s">
        <v>159</v>
      </c>
      <c r="M182" t="s">
        <v>51</v>
      </c>
      <c r="N182" t="s">
        <v>92</v>
      </c>
      <c r="O182" s="1">
        <v>41335</v>
      </c>
      <c r="P182" t="s">
        <v>84</v>
      </c>
      <c r="Q182">
        <v>2</v>
      </c>
      <c r="R182" t="s">
        <v>94</v>
      </c>
      <c r="S182" t="s">
        <v>349</v>
      </c>
      <c r="T182" t="s">
        <v>349</v>
      </c>
      <c r="U182">
        <v>0</v>
      </c>
      <c r="V182">
        <v>6128.55</v>
      </c>
      <c r="W182">
        <v>0</v>
      </c>
    </row>
    <row r="183" spans="1:23" x14ac:dyDescent="0.3">
      <c r="A183" s="1">
        <v>43831</v>
      </c>
      <c r="B183" s="1">
        <v>43831</v>
      </c>
      <c r="C183" t="s">
        <v>157</v>
      </c>
      <c r="D183" t="s">
        <v>93</v>
      </c>
      <c r="E183" t="s">
        <v>49</v>
      </c>
      <c r="F183" t="s">
        <v>198</v>
      </c>
      <c r="G183" s="53">
        <v>43917.77002314815</v>
      </c>
      <c r="H183">
        <v>33</v>
      </c>
      <c r="I183">
        <v>13702</v>
      </c>
      <c r="J183" t="s">
        <v>50</v>
      </c>
      <c r="K183" t="s">
        <v>50</v>
      </c>
      <c r="L183" t="s">
        <v>159</v>
      </c>
      <c r="M183" t="s">
        <v>51</v>
      </c>
      <c r="N183" t="s">
        <v>92</v>
      </c>
      <c r="O183" s="1">
        <v>41335</v>
      </c>
      <c r="P183" t="s">
        <v>84</v>
      </c>
      <c r="Q183">
        <v>2</v>
      </c>
      <c r="R183" t="s">
        <v>94</v>
      </c>
      <c r="S183">
        <v>1</v>
      </c>
      <c r="T183">
        <v>68</v>
      </c>
      <c r="U183" t="s">
        <v>349</v>
      </c>
      <c r="V183" t="s">
        <v>349</v>
      </c>
      <c r="W183">
        <v>68</v>
      </c>
    </row>
    <row r="184" spans="1:23" x14ac:dyDescent="0.3">
      <c r="A184" s="1">
        <v>43831</v>
      </c>
      <c r="B184" s="1">
        <v>43831</v>
      </c>
      <c r="C184" t="s">
        <v>157</v>
      </c>
      <c r="D184" t="s">
        <v>48</v>
      </c>
      <c r="E184" t="s">
        <v>49</v>
      </c>
      <c r="F184" t="s">
        <v>200</v>
      </c>
      <c r="G184" s="53">
        <v>43910.518553240741</v>
      </c>
      <c r="H184">
        <v>33</v>
      </c>
      <c r="I184">
        <v>13159</v>
      </c>
      <c r="J184" t="s">
        <v>50</v>
      </c>
      <c r="K184" t="s">
        <v>50</v>
      </c>
      <c r="L184" t="s">
        <v>159</v>
      </c>
      <c r="M184" t="s">
        <v>51</v>
      </c>
      <c r="N184" t="s">
        <v>92</v>
      </c>
      <c r="O184" s="1">
        <v>41335</v>
      </c>
      <c r="P184" t="s">
        <v>84</v>
      </c>
      <c r="Q184">
        <v>2</v>
      </c>
      <c r="R184" t="s">
        <v>94</v>
      </c>
      <c r="S184">
        <v>8.3147540000000006</v>
      </c>
      <c r="T184">
        <v>63.846404999999997</v>
      </c>
      <c r="U184" t="s">
        <v>349</v>
      </c>
      <c r="V184" t="s">
        <v>349</v>
      </c>
      <c r="W184">
        <v>531</v>
      </c>
    </row>
    <row r="185" spans="1:23" x14ac:dyDescent="0.3">
      <c r="A185" s="1">
        <v>43831</v>
      </c>
      <c r="B185" s="1">
        <v>43831</v>
      </c>
      <c r="C185" t="s">
        <v>157</v>
      </c>
      <c r="D185" t="s">
        <v>54</v>
      </c>
      <c r="E185" t="s">
        <v>21</v>
      </c>
      <c r="F185" t="s">
        <v>199</v>
      </c>
      <c r="G185" s="53">
        <v>43910.518553240741</v>
      </c>
      <c r="H185">
        <v>33</v>
      </c>
      <c r="I185">
        <v>13159</v>
      </c>
      <c r="J185" t="s">
        <v>50</v>
      </c>
      <c r="K185" t="s">
        <v>50</v>
      </c>
      <c r="L185" t="s">
        <v>159</v>
      </c>
      <c r="M185" t="s">
        <v>51</v>
      </c>
      <c r="N185" t="s">
        <v>92</v>
      </c>
      <c r="O185" s="1">
        <v>41335</v>
      </c>
      <c r="P185" t="s">
        <v>84</v>
      </c>
      <c r="Q185">
        <v>3</v>
      </c>
      <c r="R185" t="s">
        <v>81</v>
      </c>
      <c r="S185" t="s">
        <v>349</v>
      </c>
      <c r="T185" t="s">
        <v>349</v>
      </c>
      <c r="U185">
        <v>0</v>
      </c>
      <c r="V185">
        <v>5735.8</v>
      </c>
      <c r="W185">
        <v>0</v>
      </c>
    </row>
    <row r="186" spans="1:23" x14ac:dyDescent="0.3">
      <c r="A186" s="1">
        <v>43831</v>
      </c>
      <c r="B186" s="1">
        <v>43831</v>
      </c>
      <c r="C186" t="s">
        <v>157</v>
      </c>
      <c r="D186" t="s">
        <v>93</v>
      </c>
      <c r="E186" t="s">
        <v>49</v>
      </c>
      <c r="F186" t="s">
        <v>198</v>
      </c>
      <c r="G186" s="53">
        <v>43917.77002314815</v>
      </c>
      <c r="H186">
        <v>33</v>
      </c>
      <c r="I186">
        <v>13702</v>
      </c>
      <c r="J186" t="s">
        <v>50</v>
      </c>
      <c r="K186" t="s">
        <v>50</v>
      </c>
      <c r="L186" t="s">
        <v>159</v>
      </c>
      <c r="M186" t="s">
        <v>51</v>
      </c>
      <c r="N186" t="s">
        <v>92</v>
      </c>
      <c r="O186" s="1">
        <v>41335</v>
      </c>
      <c r="P186" t="s">
        <v>84</v>
      </c>
      <c r="Q186">
        <v>3</v>
      </c>
      <c r="R186" t="s">
        <v>81</v>
      </c>
      <c r="S186">
        <v>1</v>
      </c>
      <c r="T186">
        <v>4168</v>
      </c>
      <c r="U186" t="s">
        <v>349</v>
      </c>
      <c r="V186" t="s">
        <v>349</v>
      </c>
      <c r="W186">
        <v>4168</v>
      </c>
    </row>
    <row r="187" spans="1:23" x14ac:dyDescent="0.3">
      <c r="A187" s="1">
        <v>43831</v>
      </c>
      <c r="B187" s="1">
        <v>43831</v>
      </c>
      <c r="C187" t="s">
        <v>157</v>
      </c>
      <c r="D187" t="s">
        <v>48</v>
      </c>
      <c r="E187" t="s">
        <v>49</v>
      </c>
      <c r="F187" t="s">
        <v>200</v>
      </c>
      <c r="G187" s="53">
        <v>43910.518553240741</v>
      </c>
      <c r="H187">
        <v>33</v>
      </c>
      <c r="I187">
        <v>13159</v>
      </c>
      <c r="J187" t="s">
        <v>50</v>
      </c>
      <c r="K187" t="s">
        <v>50</v>
      </c>
      <c r="L187" t="s">
        <v>159</v>
      </c>
      <c r="M187" t="s">
        <v>51</v>
      </c>
      <c r="N187" t="s">
        <v>92</v>
      </c>
      <c r="O187" s="1">
        <v>41335</v>
      </c>
      <c r="P187" t="s">
        <v>84</v>
      </c>
      <c r="Q187">
        <v>3</v>
      </c>
      <c r="R187" t="s">
        <v>81</v>
      </c>
      <c r="S187">
        <v>615.07463700000005</v>
      </c>
      <c r="T187">
        <v>59.378497000000003</v>
      </c>
      <c r="U187" t="s">
        <v>349</v>
      </c>
      <c r="V187" t="s">
        <v>349</v>
      </c>
      <c r="W187">
        <v>36522</v>
      </c>
    </row>
    <row r="188" spans="1:23" x14ac:dyDescent="0.3">
      <c r="A188" s="1">
        <v>43831</v>
      </c>
      <c r="B188" s="1">
        <v>43831</v>
      </c>
      <c r="C188" t="s">
        <v>157</v>
      </c>
      <c r="D188" t="s">
        <v>54</v>
      </c>
      <c r="E188" t="s">
        <v>21</v>
      </c>
      <c r="F188" t="s">
        <v>199</v>
      </c>
      <c r="G188" s="53">
        <v>43910.518553240741</v>
      </c>
      <c r="H188">
        <v>33</v>
      </c>
      <c r="I188">
        <v>13159</v>
      </c>
      <c r="J188" t="s">
        <v>50</v>
      </c>
      <c r="K188" t="s">
        <v>50</v>
      </c>
      <c r="L188" t="s">
        <v>159</v>
      </c>
      <c r="M188" t="s">
        <v>51</v>
      </c>
      <c r="N188" t="s">
        <v>92</v>
      </c>
      <c r="O188" s="1">
        <v>41335</v>
      </c>
      <c r="P188" t="s">
        <v>84</v>
      </c>
      <c r="Q188">
        <v>4</v>
      </c>
      <c r="R188" t="s">
        <v>27</v>
      </c>
      <c r="S188" t="s">
        <v>349</v>
      </c>
      <c r="T188" t="s">
        <v>349</v>
      </c>
      <c r="U188">
        <v>0</v>
      </c>
      <c r="V188">
        <v>5821.34</v>
      </c>
      <c r="W188">
        <v>0</v>
      </c>
    </row>
    <row r="189" spans="1:23" x14ac:dyDescent="0.3">
      <c r="A189" s="1">
        <v>43831</v>
      </c>
      <c r="B189" s="1">
        <v>43831</v>
      </c>
      <c r="C189" t="s">
        <v>157</v>
      </c>
      <c r="D189" t="s">
        <v>93</v>
      </c>
      <c r="E189" t="s">
        <v>49</v>
      </c>
      <c r="F189" t="s">
        <v>198</v>
      </c>
      <c r="G189" s="53">
        <v>43917.77002314815</v>
      </c>
      <c r="H189">
        <v>33</v>
      </c>
      <c r="I189">
        <v>13702</v>
      </c>
      <c r="J189" t="s">
        <v>50</v>
      </c>
      <c r="K189" t="s">
        <v>50</v>
      </c>
      <c r="L189" t="s">
        <v>159</v>
      </c>
      <c r="M189" t="s">
        <v>51</v>
      </c>
      <c r="N189" t="s">
        <v>92</v>
      </c>
      <c r="O189" s="1">
        <v>41335</v>
      </c>
      <c r="P189" t="s">
        <v>84</v>
      </c>
      <c r="Q189">
        <v>4</v>
      </c>
      <c r="R189" t="s">
        <v>27</v>
      </c>
      <c r="S189">
        <v>1</v>
      </c>
      <c r="T189">
        <v>25632</v>
      </c>
      <c r="U189" t="s">
        <v>349</v>
      </c>
      <c r="V189" t="s">
        <v>349</v>
      </c>
      <c r="W189">
        <v>25632</v>
      </c>
    </row>
    <row r="190" spans="1:23" x14ac:dyDescent="0.3">
      <c r="A190" s="1">
        <v>43831</v>
      </c>
      <c r="B190" s="1">
        <v>43831</v>
      </c>
      <c r="C190" t="s">
        <v>157</v>
      </c>
      <c r="D190" t="s">
        <v>48</v>
      </c>
      <c r="E190" t="s">
        <v>49</v>
      </c>
      <c r="F190" t="s">
        <v>200</v>
      </c>
      <c r="G190" s="53">
        <v>43910.518553240741</v>
      </c>
      <c r="H190">
        <v>33</v>
      </c>
      <c r="I190">
        <v>13159</v>
      </c>
      <c r="J190" t="s">
        <v>50</v>
      </c>
      <c r="K190" t="s">
        <v>50</v>
      </c>
      <c r="L190" t="s">
        <v>159</v>
      </c>
      <c r="M190" t="s">
        <v>51</v>
      </c>
      <c r="N190" t="s">
        <v>92</v>
      </c>
      <c r="O190" s="1">
        <v>41335</v>
      </c>
      <c r="P190" t="s">
        <v>84</v>
      </c>
      <c r="Q190">
        <v>4</v>
      </c>
      <c r="R190" t="s">
        <v>27</v>
      </c>
      <c r="S190">
        <v>3772.6657449999998</v>
      </c>
      <c r="T190">
        <v>60.68262</v>
      </c>
      <c r="U190" t="s">
        <v>349</v>
      </c>
      <c r="V190" t="s">
        <v>349</v>
      </c>
      <c r="W190">
        <v>228935</v>
      </c>
    </row>
    <row r="191" spans="1:23" x14ac:dyDescent="0.3">
      <c r="A191" s="1">
        <v>43831</v>
      </c>
      <c r="B191" s="1">
        <v>43831</v>
      </c>
      <c r="C191" t="s">
        <v>157</v>
      </c>
      <c r="D191" t="s">
        <v>54</v>
      </c>
      <c r="E191" t="s">
        <v>21</v>
      </c>
      <c r="F191" t="s">
        <v>199</v>
      </c>
      <c r="G191" s="53">
        <v>43910.518553240741</v>
      </c>
      <c r="H191">
        <v>33</v>
      </c>
      <c r="I191">
        <v>13159</v>
      </c>
      <c r="J191" t="s">
        <v>50</v>
      </c>
      <c r="K191" t="s">
        <v>50</v>
      </c>
      <c r="L191" t="s">
        <v>159</v>
      </c>
      <c r="M191" t="s">
        <v>51</v>
      </c>
      <c r="N191" t="s">
        <v>92</v>
      </c>
      <c r="O191" s="1">
        <v>41335</v>
      </c>
      <c r="P191" t="s">
        <v>84</v>
      </c>
      <c r="Q191">
        <v>5</v>
      </c>
      <c r="R191" t="s">
        <v>28</v>
      </c>
      <c r="S191" t="s">
        <v>349</v>
      </c>
      <c r="T191" t="s">
        <v>349</v>
      </c>
      <c r="U191">
        <v>0</v>
      </c>
      <c r="V191">
        <v>6082.17</v>
      </c>
      <c r="W191">
        <v>0</v>
      </c>
    </row>
    <row r="192" spans="1:23" x14ac:dyDescent="0.3">
      <c r="A192" s="1">
        <v>43831</v>
      </c>
      <c r="B192" s="1">
        <v>43831</v>
      </c>
      <c r="C192" t="s">
        <v>157</v>
      </c>
      <c r="D192" t="s">
        <v>93</v>
      </c>
      <c r="E192" t="s">
        <v>49</v>
      </c>
      <c r="F192" t="s">
        <v>198</v>
      </c>
      <c r="G192" s="53">
        <v>43917.77002314815</v>
      </c>
      <c r="H192">
        <v>33</v>
      </c>
      <c r="I192">
        <v>13702</v>
      </c>
      <c r="J192" t="s">
        <v>50</v>
      </c>
      <c r="K192" t="s">
        <v>50</v>
      </c>
      <c r="L192" t="s">
        <v>159</v>
      </c>
      <c r="M192" t="s">
        <v>51</v>
      </c>
      <c r="N192" t="s">
        <v>92</v>
      </c>
      <c r="O192" s="1">
        <v>41335</v>
      </c>
      <c r="P192" t="s">
        <v>84</v>
      </c>
      <c r="Q192">
        <v>5</v>
      </c>
      <c r="R192" t="s">
        <v>28</v>
      </c>
      <c r="S192">
        <v>1</v>
      </c>
      <c r="T192">
        <v>130</v>
      </c>
      <c r="U192" t="s">
        <v>349</v>
      </c>
      <c r="V192" t="s">
        <v>349</v>
      </c>
      <c r="W192">
        <v>130</v>
      </c>
    </row>
    <row r="193" spans="1:23" x14ac:dyDescent="0.3">
      <c r="A193" s="1">
        <v>43831</v>
      </c>
      <c r="B193" s="1">
        <v>43831</v>
      </c>
      <c r="C193" t="s">
        <v>157</v>
      </c>
      <c r="D193" t="s">
        <v>48</v>
      </c>
      <c r="E193" t="s">
        <v>49</v>
      </c>
      <c r="F193" t="s">
        <v>200</v>
      </c>
      <c r="G193" s="53">
        <v>43910.518553240741</v>
      </c>
      <c r="H193">
        <v>33</v>
      </c>
      <c r="I193">
        <v>13159</v>
      </c>
      <c r="J193" t="s">
        <v>50</v>
      </c>
      <c r="K193" t="s">
        <v>50</v>
      </c>
      <c r="L193" t="s">
        <v>159</v>
      </c>
      <c r="M193" t="s">
        <v>51</v>
      </c>
      <c r="N193" t="s">
        <v>92</v>
      </c>
      <c r="O193" s="1">
        <v>41335</v>
      </c>
      <c r="P193" t="s">
        <v>84</v>
      </c>
      <c r="Q193">
        <v>5</v>
      </c>
      <c r="R193" t="s">
        <v>28</v>
      </c>
      <c r="S193">
        <v>19.961974999999999</v>
      </c>
      <c r="T193">
        <v>63.745244</v>
      </c>
      <c r="U193" t="s">
        <v>349</v>
      </c>
      <c r="V193" t="s">
        <v>349</v>
      </c>
      <c r="W193">
        <v>1272</v>
      </c>
    </row>
    <row r="194" spans="1:23" x14ac:dyDescent="0.3">
      <c r="A194" s="1">
        <v>43862</v>
      </c>
      <c r="B194" s="1">
        <v>43862</v>
      </c>
      <c r="C194" t="s">
        <v>157</v>
      </c>
      <c r="D194" t="s">
        <v>54</v>
      </c>
      <c r="E194" t="s">
        <v>21</v>
      </c>
      <c r="F194" t="s">
        <v>203</v>
      </c>
      <c r="G194" s="53">
        <v>43902.628391203703</v>
      </c>
      <c r="H194">
        <v>33</v>
      </c>
      <c r="I194">
        <v>13209</v>
      </c>
      <c r="J194" t="s">
        <v>50</v>
      </c>
      <c r="K194" t="s">
        <v>50</v>
      </c>
      <c r="L194" t="s">
        <v>159</v>
      </c>
      <c r="M194" t="s">
        <v>51</v>
      </c>
      <c r="N194" t="s">
        <v>92</v>
      </c>
      <c r="O194" s="1">
        <v>41335</v>
      </c>
      <c r="P194" t="s">
        <v>84</v>
      </c>
      <c r="Q194">
        <v>1</v>
      </c>
      <c r="R194" t="s">
        <v>83</v>
      </c>
      <c r="S194" t="s">
        <v>349</v>
      </c>
      <c r="T194" t="s">
        <v>349</v>
      </c>
      <c r="U194">
        <v>0</v>
      </c>
      <c r="V194">
        <v>6208.06</v>
      </c>
      <c r="W194">
        <v>0</v>
      </c>
    </row>
    <row r="195" spans="1:23" x14ac:dyDescent="0.3">
      <c r="A195" s="1">
        <v>43862</v>
      </c>
      <c r="B195" s="1">
        <v>43862</v>
      </c>
      <c r="C195" t="s">
        <v>157</v>
      </c>
      <c r="D195" t="s">
        <v>93</v>
      </c>
      <c r="E195" t="s">
        <v>49</v>
      </c>
      <c r="F195" t="s">
        <v>204</v>
      </c>
      <c r="G195" s="53">
        <v>43928.689675925925</v>
      </c>
      <c r="H195">
        <v>33</v>
      </c>
      <c r="I195">
        <v>13670</v>
      </c>
      <c r="J195" t="s">
        <v>50</v>
      </c>
      <c r="K195" t="s">
        <v>50</v>
      </c>
      <c r="L195" t="s">
        <v>159</v>
      </c>
      <c r="M195" t="s">
        <v>51</v>
      </c>
      <c r="N195" t="s">
        <v>92</v>
      </c>
      <c r="O195" s="1">
        <v>41335</v>
      </c>
      <c r="P195" t="s">
        <v>84</v>
      </c>
      <c r="Q195">
        <v>1</v>
      </c>
      <c r="R195" t="s">
        <v>83</v>
      </c>
      <c r="S195">
        <v>1</v>
      </c>
      <c r="T195">
        <v>698</v>
      </c>
      <c r="U195" t="s">
        <v>349</v>
      </c>
      <c r="V195" t="s">
        <v>349</v>
      </c>
      <c r="W195">
        <v>698</v>
      </c>
    </row>
    <row r="196" spans="1:23" x14ac:dyDescent="0.3">
      <c r="A196" s="1">
        <v>43862</v>
      </c>
      <c r="B196" s="1">
        <v>43862</v>
      </c>
      <c r="C196" t="s">
        <v>157</v>
      </c>
      <c r="D196" t="s">
        <v>48</v>
      </c>
      <c r="E196" t="s">
        <v>49</v>
      </c>
      <c r="F196" t="s">
        <v>202</v>
      </c>
      <c r="G196" s="53">
        <v>43902.628391203703</v>
      </c>
      <c r="H196">
        <v>33</v>
      </c>
      <c r="I196">
        <v>13209</v>
      </c>
      <c r="J196" t="s">
        <v>50</v>
      </c>
      <c r="K196" t="s">
        <v>50</v>
      </c>
      <c r="L196" t="s">
        <v>159</v>
      </c>
      <c r="M196" t="s">
        <v>51</v>
      </c>
      <c r="N196" t="s">
        <v>92</v>
      </c>
      <c r="O196" s="1">
        <v>41335</v>
      </c>
      <c r="P196" t="s">
        <v>84</v>
      </c>
      <c r="Q196">
        <v>1</v>
      </c>
      <c r="R196" t="s">
        <v>83</v>
      </c>
      <c r="S196">
        <v>4259.97</v>
      </c>
      <c r="T196">
        <v>69.512</v>
      </c>
      <c r="U196" t="s">
        <v>349</v>
      </c>
      <c r="V196" t="s">
        <v>349</v>
      </c>
      <c r="W196">
        <v>296119</v>
      </c>
    </row>
    <row r="197" spans="1:23" x14ac:dyDescent="0.3">
      <c r="A197" s="1">
        <v>43862</v>
      </c>
      <c r="B197" s="1">
        <v>43862</v>
      </c>
      <c r="C197" t="s">
        <v>157</v>
      </c>
      <c r="D197" t="s">
        <v>54</v>
      </c>
      <c r="E197" t="s">
        <v>21</v>
      </c>
      <c r="F197" t="s">
        <v>203</v>
      </c>
      <c r="G197" s="53">
        <v>43902.628391203703</v>
      </c>
      <c r="H197">
        <v>33</v>
      </c>
      <c r="I197">
        <v>13209</v>
      </c>
      <c r="J197" t="s">
        <v>50</v>
      </c>
      <c r="K197" t="s">
        <v>50</v>
      </c>
      <c r="L197" t="s">
        <v>159</v>
      </c>
      <c r="M197" t="s">
        <v>51</v>
      </c>
      <c r="N197" t="s">
        <v>92</v>
      </c>
      <c r="O197" s="1">
        <v>41335</v>
      </c>
      <c r="P197" t="s">
        <v>84</v>
      </c>
      <c r="Q197">
        <v>2</v>
      </c>
      <c r="R197" t="s">
        <v>94</v>
      </c>
      <c r="S197" t="s">
        <v>349</v>
      </c>
      <c r="T197" t="s">
        <v>349</v>
      </c>
      <c r="U197">
        <v>0</v>
      </c>
      <c r="V197">
        <v>6283.67</v>
      </c>
      <c r="W197">
        <v>0</v>
      </c>
    </row>
    <row r="198" spans="1:23" x14ac:dyDescent="0.3">
      <c r="A198" s="1">
        <v>43862</v>
      </c>
      <c r="B198" s="1">
        <v>43862</v>
      </c>
      <c r="C198" t="s">
        <v>157</v>
      </c>
      <c r="D198" t="s">
        <v>93</v>
      </c>
      <c r="E198" t="s">
        <v>49</v>
      </c>
      <c r="F198" t="s">
        <v>204</v>
      </c>
      <c r="G198" s="53">
        <v>43928.689675925925</v>
      </c>
      <c r="H198">
        <v>33</v>
      </c>
      <c r="I198">
        <v>13670</v>
      </c>
      <c r="J198" t="s">
        <v>50</v>
      </c>
      <c r="K198" t="s">
        <v>50</v>
      </c>
      <c r="L198" t="s">
        <v>159</v>
      </c>
      <c r="M198" t="s">
        <v>51</v>
      </c>
      <c r="N198" t="s">
        <v>92</v>
      </c>
      <c r="O198" s="1">
        <v>41335</v>
      </c>
      <c r="P198" t="s">
        <v>84</v>
      </c>
      <c r="Q198">
        <v>2</v>
      </c>
      <c r="R198" t="s">
        <v>94</v>
      </c>
      <c r="S198">
        <v>1</v>
      </c>
      <c r="T198">
        <v>2</v>
      </c>
      <c r="U198" t="s">
        <v>349</v>
      </c>
      <c r="V198" t="s">
        <v>349</v>
      </c>
      <c r="W198">
        <v>2</v>
      </c>
    </row>
    <row r="199" spans="1:23" x14ac:dyDescent="0.3">
      <c r="A199" s="1">
        <v>43862</v>
      </c>
      <c r="B199" s="1">
        <v>43862</v>
      </c>
      <c r="C199" t="s">
        <v>157</v>
      </c>
      <c r="D199" t="s">
        <v>48</v>
      </c>
      <c r="E199" t="s">
        <v>49</v>
      </c>
      <c r="F199" t="s">
        <v>202</v>
      </c>
      <c r="G199" s="53">
        <v>43902.628391203703</v>
      </c>
      <c r="H199">
        <v>33</v>
      </c>
      <c r="I199">
        <v>13209</v>
      </c>
      <c r="J199" t="s">
        <v>50</v>
      </c>
      <c r="K199" t="s">
        <v>50</v>
      </c>
      <c r="L199" t="s">
        <v>159</v>
      </c>
      <c r="M199" t="s">
        <v>51</v>
      </c>
      <c r="N199" t="s">
        <v>92</v>
      </c>
      <c r="O199" s="1">
        <v>41335</v>
      </c>
      <c r="P199" t="s">
        <v>84</v>
      </c>
      <c r="Q199">
        <v>2</v>
      </c>
      <c r="R199" t="s">
        <v>94</v>
      </c>
      <c r="S199">
        <v>8.2387359999999994</v>
      </c>
      <c r="T199">
        <v>72.001000000000005</v>
      </c>
      <c r="U199" t="s">
        <v>349</v>
      </c>
      <c r="V199" t="s">
        <v>349</v>
      </c>
      <c r="W199">
        <v>593</v>
      </c>
    </row>
    <row r="200" spans="1:23" x14ac:dyDescent="0.3">
      <c r="A200" s="1">
        <v>43862</v>
      </c>
      <c r="B200" s="1">
        <v>43862</v>
      </c>
      <c r="C200" t="s">
        <v>157</v>
      </c>
      <c r="D200" t="s">
        <v>54</v>
      </c>
      <c r="E200" t="s">
        <v>21</v>
      </c>
      <c r="F200" t="s">
        <v>203</v>
      </c>
      <c r="G200" s="53">
        <v>43902.628391203703</v>
      </c>
      <c r="H200">
        <v>33</v>
      </c>
      <c r="I200">
        <v>13209</v>
      </c>
      <c r="J200" t="s">
        <v>50</v>
      </c>
      <c r="K200" t="s">
        <v>50</v>
      </c>
      <c r="L200" t="s">
        <v>159</v>
      </c>
      <c r="M200" t="s">
        <v>51</v>
      </c>
      <c r="N200" t="s">
        <v>92</v>
      </c>
      <c r="O200" s="1">
        <v>41335</v>
      </c>
      <c r="P200" t="s">
        <v>84</v>
      </c>
      <c r="Q200">
        <v>3</v>
      </c>
      <c r="R200" t="s">
        <v>81</v>
      </c>
      <c r="S200" t="s">
        <v>349</v>
      </c>
      <c r="T200" t="s">
        <v>349</v>
      </c>
      <c r="U200">
        <v>0</v>
      </c>
      <c r="V200">
        <v>5891.37</v>
      </c>
      <c r="W200">
        <v>0</v>
      </c>
    </row>
    <row r="201" spans="1:23" x14ac:dyDescent="0.3">
      <c r="A201" s="1">
        <v>43862</v>
      </c>
      <c r="B201" s="1">
        <v>43862</v>
      </c>
      <c r="C201" t="s">
        <v>157</v>
      </c>
      <c r="D201" t="s">
        <v>93</v>
      </c>
      <c r="E201" t="s">
        <v>49</v>
      </c>
      <c r="F201" t="s">
        <v>204</v>
      </c>
      <c r="G201" s="53">
        <v>43928.689675925925</v>
      </c>
      <c r="H201">
        <v>33</v>
      </c>
      <c r="I201">
        <v>13670</v>
      </c>
      <c r="J201" t="s">
        <v>50</v>
      </c>
      <c r="K201" t="s">
        <v>50</v>
      </c>
      <c r="L201" t="s">
        <v>159</v>
      </c>
      <c r="M201" t="s">
        <v>51</v>
      </c>
      <c r="N201" t="s">
        <v>92</v>
      </c>
      <c r="O201" s="1">
        <v>41335</v>
      </c>
      <c r="P201" t="s">
        <v>84</v>
      </c>
      <c r="Q201">
        <v>3</v>
      </c>
      <c r="R201" t="s">
        <v>81</v>
      </c>
      <c r="S201">
        <v>1</v>
      </c>
      <c r="T201">
        <v>94</v>
      </c>
      <c r="U201" t="s">
        <v>349</v>
      </c>
      <c r="V201" t="s">
        <v>349</v>
      </c>
      <c r="W201">
        <v>94</v>
      </c>
    </row>
    <row r="202" spans="1:23" x14ac:dyDescent="0.3">
      <c r="A202" s="1">
        <v>43862</v>
      </c>
      <c r="B202" s="1">
        <v>43862</v>
      </c>
      <c r="C202" t="s">
        <v>157</v>
      </c>
      <c r="D202" t="s">
        <v>48</v>
      </c>
      <c r="E202" t="s">
        <v>49</v>
      </c>
      <c r="F202" t="s">
        <v>202</v>
      </c>
      <c r="G202" s="53">
        <v>43902.628391203703</v>
      </c>
      <c r="H202">
        <v>33</v>
      </c>
      <c r="I202">
        <v>13209</v>
      </c>
      <c r="J202" t="s">
        <v>50</v>
      </c>
      <c r="K202" t="s">
        <v>50</v>
      </c>
      <c r="L202" t="s">
        <v>159</v>
      </c>
      <c r="M202" t="s">
        <v>51</v>
      </c>
      <c r="N202" t="s">
        <v>92</v>
      </c>
      <c r="O202" s="1">
        <v>41335</v>
      </c>
      <c r="P202" t="s">
        <v>84</v>
      </c>
      <c r="Q202">
        <v>3</v>
      </c>
      <c r="R202" t="s">
        <v>81</v>
      </c>
      <c r="S202">
        <v>604.49491499999999</v>
      </c>
      <c r="T202">
        <v>66.138000000000005</v>
      </c>
      <c r="U202" t="s">
        <v>349</v>
      </c>
      <c r="V202" t="s">
        <v>349</v>
      </c>
      <c r="W202">
        <v>39980</v>
      </c>
    </row>
    <row r="203" spans="1:23" x14ac:dyDescent="0.3">
      <c r="A203" s="1">
        <v>43862</v>
      </c>
      <c r="B203" s="1">
        <v>43862</v>
      </c>
      <c r="C203" t="s">
        <v>157</v>
      </c>
      <c r="D203" t="s">
        <v>54</v>
      </c>
      <c r="E203" t="s">
        <v>21</v>
      </c>
      <c r="F203" t="s">
        <v>203</v>
      </c>
      <c r="G203" s="53">
        <v>43902.628391203703</v>
      </c>
      <c r="H203">
        <v>33</v>
      </c>
      <c r="I203">
        <v>13209</v>
      </c>
      <c r="J203" t="s">
        <v>50</v>
      </c>
      <c r="K203" t="s">
        <v>50</v>
      </c>
      <c r="L203" t="s">
        <v>159</v>
      </c>
      <c r="M203" t="s">
        <v>51</v>
      </c>
      <c r="N203" t="s">
        <v>92</v>
      </c>
      <c r="O203" s="1">
        <v>41335</v>
      </c>
      <c r="P203" t="s">
        <v>84</v>
      </c>
      <c r="Q203">
        <v>4</v>
      </c>
      <c r="R203" t="s">
        <v>27</v>
      </c>
      <c r="S203" t="s">
        <v>349</v>
      </c>
      <c r="T203" t="s">
        <v>349</v>
      </c>
      <c r="U203">
        <v>0</v>
      </c>
      <c r="V203">
        <v>6091.55</v>
      </c>
      <c r="W203">
        <v>0</v>
      </c>
    </row>
    <row r="204" spans="1:23" x14ac:dyDescent="0.3">
      <c r="A204" s="1">
        <v>43862</v>
      </c>
      <c r="B204" s="1">
        <v>43862</v>
      </c>
      <c r="C204" t="s">
        <v>157</v>
      </c>
      <c r="D204" t="s">
        <v>93</v>
      </c>
      <c r="E204" t="s">
        <v>49</v>
      </c>
      <c r="F204" t="s">
        <v>204</v>
      </c>
      <c r="G204" s="53">
        <v>43928.689675925925</v>
      </c>
      <c r="H204">
        <v>33</v>
      </c>
      <c r="I204">
        <v>13670</v>
      </c>
      <c r="J204" t="s">
        <v>50</v>
      </c>
      <c r="K204" t="s">
        <v>50</v>
      </c>
      <c r="L204" t="s">
        <v>159</v>
      </c>
      <c r="M204" t="s">
        <v>51</v>
      </c>
      <c r="N204" t="s">
        <v>92</v>
      </c>
      <c r="O204" s="1">
        <v>41335</v>
      </c>
      <c r="P204" t="s">
        <v>84</v>
      </c>
      <c r="Q204">
        <v>4</v>
      </c>
      <c r="R204" t="s">
        <v>27</v>
      </c>
      <c r="S204">
        <v>1</v>
      </c>
      <c r="T204">
        <v>589</v>
      </c>
      <c r="U204" t="s">
        <v>349</v>
      </c>
      <c r="V204" t="s">
        <v>349</v>
      </c>
      <c r="W204">
        <v>589</v>
      </c>
    </row>
    <row r="205" spans="1:23" x14ac:dyDescent="0.3">
      <c r="A205" s="1">
        <v>43862</v>
      </c>
      <c r="B205" s="1">
        <v>43862</v>
      </c>
      <c r="C205" t="s">
        <v>157</v>
      </c>
      <c r="D205" t="s">
        <v>48</v>
      </c>
      <c r="E205" t="s">
        <v>49</v>
      </c>
      <c r="F205" t="s">
        <v>202</v>
      </c>
      <c r="G205" s="53">
        <v>43902.628391203703</v>
      </c>
      <c r="H205">
        <v>33</v>
      </c>
      <c r="I205">
        <v>13209</v>
      </c>
      <c r="J205" t="s">
        <v>50</v>
      </c>
      <c r="K205" t="s">
        <v>50</v>
      </c>
      <c r="L205" t="s">
        <v>159</v>
      </c>
      <c r="M205" t="s">
        <v>51</v>
      </c>
      <c r="N205" t="s">
        <v>92</v>
      </c>
      <c r="O205" s="1">
        <v>41335</v>
      </c>
      <c r="P205" t="s">
        <v>84</v>
      </c>
      <c r="Q205">
        <v>4</v>
      </c>
      <c r="R205" t="s">
        <v>27</v>
      </c>
      <c r="S205">
        <v>3695.5145980000002</v>
      </c>
      <c r="T205">
        <v>67.459999999999994</v>
      </c>
      <c r="U205" t="s">
        <v>349</v>
      </c>
      <c r="V205" t="s">
        <v>349</v>
      </c>
      <c r="W205">
        <v>249299</v>
      </c>
    </row>
    <row r="206" spans="1:23" x14ac:dyDescent="0.3">
      <c r="A206" s="1">
        <v>43862</v>
      </c>
      <c r="B206" s="1">
        <v>43862</v>
      </c>
      <c r="C206" t="s">
        <v>157</v>
      </c>
      <c r="D206" t="s">
        <v>54</v>
      </c>
      <c r="E206" t="s">
        <v>21</v>
      </c>
      <c r="F206" t="s">
        <v>203</v>
      </c>
      <c r="G206" s="53">
        <v>43902.628391203703</v>
      </c>
      <c r="H206">
        <v>33</v>
      </c>
      <c r="I206">
        <v>13209</v>
      </c>
      <c r="J206" t="s">
        <v>50</v>
      </c>
      <c r="K206" t="s">
        <v>50</v>
      </c>
      <c r="L206" t="s">
        <v>159</v>
      </c>
      <c r="M206" t="s">
        <v>51</v>
      </c>
      <c r="N206" t="s">
        <v>92</v>
      </c>
      <c r="O206" s="1">
        <v>41335</v>
      </c>
      <c r="P206" t="s">
        <v>84</v>
      </c>
      <c r="Q206">
        <v>5</v>
      </c>
      <c r="R206" t="s">
        <v>28</v>
      </c>
      <c r="S206" t="s">
        <v>349</v>
      </c>
      <c r="T206" t="s">
        <v>349</v>
      </c>
      <c r="U206">
        <v>0</v>
      </c>
      <c r="V206">
        <v>5908.1</v>
      </c>
      <c r="W206">
        <v>0</v>
      </c>
    </row>
    <row r="207" spans="1:23" x14ac:dyDescent="0.3">
      <c r="A207" s="1">
        <v>43862</v>
      </c>
      <c r="B207" s="1">
        <v>43862</v>
      </c>
      <c r="C207" t="s">
        <v>157</v>
      </c>
      <c r="D207" t="s">
        <v>93</v>
      </c>
      <c r="E207" t="s">
        <v>49</v>
      </c>
      <c r="F207" t="s">
        <v>204</v>
      </c>
      <c r="G207" s="53">
        <v>43928.689675925925</v>
      </c>
      <c r="H207">
        <v>33</v>
      </c>
      <c r="I207">
        <v>13670</v>
      </c>
      <c r="J207" t="s">
        <v>50</v>
      </c>
      <c r="K207" t="s">
        <v>50</v>
      </c>
      <c r="L207" t="s">
        <v>159</v>
      </c>
      <c r="M207" t="s">
        <v>51</v>
      </c>
      <c r="N207" t="s">
        <v>92</v>
      </c>
      <c r="O207" s="1">
        <v>41335</v>
      </c>
      <c r="P207" t="s">
        <v>84</v>
      </c>
      <c r="Q207">
        <v>5</v>
      </c>
      <c r="R207" t="s">
        <v>28</v>
      </c>
      <c r="S207">
        <v>1</v>
      </c>
      <c r="T207">
        <v>3</v>
      </c>
      <c r="U207" t="s">
        <v>349</v>
      </c>
      <c r="V207" t="s">
        <v>349</v>
      </c>
      <c r="W207">
        <v>3</v>
      </c>
    </row>
    <row r="208" spans="1:23" x14ac:dyDescent="0.3">
      <c r="A208" s="1">
        <v>43862</v>
      </c>
      <c r="B208" s="1">
        <v>43862</v>
      </c>
      <c r="C208" t="s">
        <v>157</v>
      </c>
      <c r="D208" t="s">
        <v>48</v>
      </c>
      <c r="E208" t="s">
        <v>49</v>
      </c>
      <c r="F208" t="s">
        <v>202</v>
      </c>
      <c r="G208" s="53">
        <v>43902.628391203703</v>
      </c>
      <c r="H208">
        <v>33</v>
      </c>
      <c r="I208">
        <v>13209</v>
      </c>
      <c r="J208" t="s">
        <v>50</v>
      </c>
      <c r="K208" t="s">
        <v>50</v>
      </c>
      <c r="L208" t="s">
        <v>159</v>
      </c>
      <c r="M208" t="s">
        <v>51</v>
      </c>
      <c r="N208" t="s">
        <v>92</v>
      </c>
      <c r="O208" s="1">
        <v>41335</v>
      </c>
      <c r="P208" t="s">
        <v>84</v>
      </c>
      <c r="Q208">
        <v>5</v>
      </c>
      <c r="R208" t="s">
        <v>28</v>
      </c>
      <c r="S208">
        <v>19.558841000000001</v>
      </c>
      <c r="T208">
        <v>70.204999999999998</v>
      </c>
      <c r="U208" t="s">
        <v>349</v>
      </c>
      <c r="V208" t="s">
        <v>349</v>
      </c>
      <c r="W208">
        <v>1373</v>
      </c>
    </row>
    <row r="209" spans="1:23" x14ac:dyDescent="0.3">
      <c r="A209" s="1">
        <v>43891</v>
      </c>
      <c r="B209" s="1">
        <v>43891</v>
      </c>
      <c r="C209" t="s">
        <v>157</v>
      </c>
      <c r="D209" t="s">
        <v>54</v>
      </c>
      <c r="E209" t="s">
        <v>21</v>
      </c>
      <c r="F209" t="s">
        <v>206</v>
      </c>
      <c r="G209" s="53">
        <v>43928.620706018519</v>
      </c>
      <c r="H209">
        <v>33</v>
      </c>
      <c r="I209">
        <v>13219</v>
      </c>
      <c r="J209" t="s">
        <v>50</v>
      </c>
      <c r="K209" t="s">
        <v>50</v>
      </c>
      <c r="L209" t="s">
        <v>159</v>
      </c>
      <c r="M209" t="s">
        <v>51</v>
      </c>
      <c r="N209" t="s">
        <v>92</v>
      </c>
      <c r="O209" s="1">
        <v>41335</v>
      </c>
      <c r="P209" t="s">
        <v>84</v>
      </c>
      <c r="Q209">
        <v>1</v>
      </c>
      <c r="R209" t="s">
        <v>83</v>
      </c>
      <c r="S209" t="s">
        <v>349</v>
      </c>
      <c r="T209" t="s">
        <v>349</v>
      </c>
      <c r="U209">
        <v>0</v>
      </c>
      <c r="V209">
        <v>6208.06</v>
      </c>
      <c r="W209">
        <v>0</v>
      </c>
    </row>
    <row r="210" spans="1:23" x14ac:dyDescent="0.3">
      <c r="A210" s="1">
        <v>43891</v>
      </c>
      <c r="B210" s="1">
        <v>43891</v>
      </c>
      <c r="C210" t="s">
        <v>157</v>
      </c>
      <c r="D210" t="s">
        <v>93</v>
      </c>
      <c r="E210" t="s">
        <v>49</v>
      </c>
      <c r="F210" t="s">
        <v>207</v>
      </c>
      <c r="G210" s="53">
        <v>43970.737210648149</v>
      </c>
      <c r="H210">
        <v>33</v>
      </c>
      <c r="I210" t="s">
        <v>349</v>
      </c>
      <c r="J210" t="s">
        <v>50</v>
      </c>
      <c r="K210" t="s">
        <v>50</v>
      </c>
      <c r="L210" t="s">
        <v>159</v>
      </c>
      <c r="M210" t="s">
        <v>51</v>
      </c>
      <c r="N210" t="s">
        <v>92</v>
      </c>
      <c r="O210" s="1">
        <v>41335</v>
      </c>
      <c r="P210" t="s">
        <v>84</v>
      </c>
      <c r="Q210">
        <v>1</v>
      </c>
      <c r="R210" t="s">
        <v>83</v>
      </c>
      <c r="S210">
        <v>1</v>
      </c>
      <c r="T210">
        <v>7163</v>
      </c>
      <c r="U210" t="s">
        <v>349</v>
      </c>
      <c r="V210" t="s">
        <v>349</v>
      </c>
      <c r="W210">
        <v>7163</v>
      </c>
    </row>
    <row r="211" spans="1:23" x14ac:dyDescent="0.3">
      <c r="A211" s="1">
        <v>43891</v>
      </c>
      <c r="B211" s="1">
        <v>43891</v>
      </c>
      <c r="C211" t="s">
        <v>157</v>
      </c>
      <c r="D211" t="s">
        <v>48</v>
      </c>
      <c r="E211" t="s">
        <v>49</v>
      </c>
      <c r="F211" t="s">
        <v>208</v>
      </c>
      <c r="G211" s="53">
        <v>43928.620706018519</v>
      </c>
      <c r="H211">
        <v>33</v>
      </c>
      <c r="I211">
        <v>13219</v>
      </c>
      <c r="J211" t="s">
        <v>50</v>
      </c>
      <c r="K211" t="s">
        <v>50</v>
      </c>
      <c r="L211" t="s">
        <v>159</v>
      </c>
      <c r="M211" t="s">
        <v>51</v>
      </c>
      <c r="N211" t="s">
        <v>92</v>
      </c>
      <c r="O211" s="1">
        <v>41335</v>
      </c>
      <c r="P211" t="s">
        <v>84</v>
      </c>
      <c r="Q211">
        <v>1</v>
      </c>
      <c r="R211" t="s">
        <v>83</v>
      </c>
      <c r="S211">
        <v>4075.112783</v>
      </c>
      <c r="T211">
        <v>69.512</v>
      </c>
      <c r="U211" t="s">
        <v>349</v>
      </c>
      <c r="V211" t="s">
        <v>349</v>
      </c>
      <c r="W211">
        <v>283269</v>
      </c>
    </row>
    <row r="212" spans="1:23" x14ac:dyDescent="0.3">
      <c r="A212" s="1">
        <v>43891</v>
      </c>
      <c r="B212" s="1">
        <v>43891</v>
      </c>
      <c r="C212" t="s">
        <v>157</v>
      </c>
      <c r="D212" t="s">
        <v>54</v>
      </c>
      <c r="E212" t="s">
        <v>21</v>
      </c>
      <c r="F212" t="s">
        <v>206</v>
      </c>
      <c r="G212" s="53">
        <v>43928.620706018519</v>
      </c>
      <c r="H212">
        <v>33</v>
      </c>
      <c r="I212">
        <v>13219</v>
      </c>
      <c r="J212" t="s">
        <v>50</v>
      </c>
      <c r="K212" t="s">
        <v>50</v>
      </c>
      <c r="L212" t="s">
        <v>159</v>
      </c>
      <c r="M212" t="s">
        <v>51</v>
      </c>
      <c r="N212" t="s">
        <v>92</v>
      </c>
      <c r="O212" s="1">
        <v>41335</v>
      </c>
      <c r="P212" t="s">
        <v>84</v>
      </c>
      <c r="Q212">
        <v>2</v>
      </c>
      <c r="R212" t="s">
        <v>94</v>
      </c>
      <c r="S212" t="s">
        <v>349</v>
      </c>
      <c r="T212" t="s">
        <v>349</v>
      </c>
      <c r="U212">
        <v>0</v>
      </c>
      <c r="V212">
        <v>6283.67</v>
      </c>
      <c r="W212">
        <v>0</v>
      </c>
    </row>
    <row r="213" spans="1:23" x14ac:dyDescent="0.3">
      <c r="A213" s="1">
        <v>43891</v>
      </c>
      <c r="B213" s="1">
        <v>43891</v>
      </c>
      <c r="C213" t="s">
        <v>157</v>
      </c>
      <c r="D213" t="s">
        <v>93</v>
      </c>
      <c r="E213" t="s">
        <v>49</v>
      </c>
      <c r="F213" t="s">
        <v>207</v>
      </c>
      <c r="G213" s="53">
        <v>43970.737210648149</v>
      </c>
      <c r="H213">
        <v>33</v>
      </c>
      <c r="I213" t="s">
        <v>349</v>
      </c>
      <c r="J213" t="s">
        <v>50</v>
      </c>
      <c r="K213" t="s">
        <v>50</v>
      </c>
      <c r="L213" t="s">
        <v>159</v>
      </c>
      <c r="M213" t="s">
        <v>51</v>
      </c>
      <c r="N213" t="s">
        <v>92</v>
      </c>
      <c r="O213" s="1">
        <v>41335</v>
      </c>
      <c r="P213" t="s">
        <v>84</v>
      </c>
      <c r="Q213">
        <v>2</v>
      </c>
      <c r="R213" t="s">
        <v>94</v>
      </c>
      <c r="S213">
        <v>1</v>
      </c>
      <c r="T213">
        <v>14</v>
      </c>
      <c r="U213" t="s">
        <v>349</v>
      </c>
      <c r="V213" t="s">
        <v>349</v>
      </c>
      <c r="W213">
        <v>14</v>
      </c>
    </row>
    <row r="214" spans="1:23" x14ac:dyDescent="0.3">
      <c r="A214" s="1">
        <v>43891</v>
      </c>
      <c r="B214" s="1">
        <v>43891</v>
      </c>
      <c r="C214" t="s">
        <v>157</v>
      </c>
      <c r="D214" t="s">
        <v>48</v>
      </c>
      <c r="E214" t="s">
        <v>49</v>
      </c>
      <c r="F214" t="s">
        <v>208</v>
      </c>
      <c r="G214" s="53">
        <v>43928.620706018519</v>
      </c>
      <c r="H214">
        <v>33</v>
      </c>
      <c r="I214">
        <v>13219</v>
      </c>
      <c r="J214" t="s">
        <v>50</v>
      </c>
      <c r="K214" t="s">
        <v>50</v>
      </c>
      <c r="L214" t="s">
        <v>159</v>
      </c>
      <c r="M214" t="s">
        <v>51</v>
      </c>
      <c r="N214" t="s">
        <v>92</v>
      </c>
      <c r="O214" s="1">
        <v>41335</v>
      </c>
      <c r="P214" t="s">
        <v>84</v>
      </c>
      <c r="Q214">
        <v>2</v>
      </c>
      <c r="R214" t="s">
        <v>94</v>
      </c>
      <c r="S214">
        <v>7.8423639999999999</v>
      </c>
      <c r="T214">
        <v>72.001000000000005</v>
      </c>
      <c r="U214" t="s">
        <v>349</v>
      </c>
      <c r="V214" t="s">
        <v>349</v>
      </c>
      <c r="W214">
        <v>565</v>
      </c>
    </row>
    <row r="215" spans="1:23" x14ac:dyDescent="0.3">
      <c r="A215" s="1">
        <v>43891</v>
      </c>
      <c r="B215" s="1">
        <v>43891</v>
      </c>
      <c r="C215" t="s">
        <v>157</v>
      </c>
      <c r="D215" t="s">
        <v>54</v>
      </c>
      <c r="E215" t="s">
        <v>21</v>
      </c>
      <c r="F215" t="s">
        <v>206</v>
      </c>
      <c r="G215" s="53">
        <v>43928.620706018519</v>
      </c>
      <c r="H215">
        <v>33</v>
      </c>
      <c r="I215">
        <v>13219</v>
      </c>
      <c r="J215" t="s">
        <v>50</v>
      </c>
      <c r="K215" t="s">
        <v>50</v>
      </c>
      <c r="L215" t="s">
        <v>159</v>
      </c>
      <c r="M215" t="s">
        <v>51</v>
      </c>
      <c r="N215" t="s">
        <v>92</v>
      </c>
      <c r="O215" s="1">
        <v>41335</v>
      </c>
      <c r="P215" t="s">
        <v>84</v>
      </c>
      <c r="Q215">
        <v>3</v>
      </c>
      <c r="R215" t="s">
        <v>81</v>
      </c>
      <c r="S215" t="s">
        <v>349</v>
      </c>
      <c r="T215" t="s">
        <v>349</v>
      </c>
      <c r="U215">
        <v>0</v>
      </c>
      <c r="V215">
        <v>5891.37</v>
      </c>
      <c r="W215">
        <v>0</v>
      </c>
    </row>
    <row r="216" spans="1:23" x14ac:dyDescent="0.3">
      <c r="A216" s="1">
        <v>43891</v>
      </c>
      <c r="B216" s="1">
        <v>43891</v>
      </c>
      <c r="C216" t="s">
        <v>157</v>
      </c>
      <c r="D216" t="s">
        <v>93</v>
      </c>
      <c r="E216" t="s">
        <v>49</v>
      </c>
      <c r="F216" t="s">
        <v>207</v>
      </c>
      <c r="G216" s="53">
        <v>43970.737210648149</v>
      </c>
      <c r="H216">
        <v>33</v>
      </c>
      <c r="I216" t="s">
        <v>349</v>
      </c>
      <c r="J216" t="s">
        <v>50</v>
      </c>
      <c r="K216" t="s">
        <v>50</v>
      </c>
      <c r="L216" t="s">
        <v>159</v>
      </c>
      <c r="M216" t="s">
        <v>51</v>
      </c>
      <c r="N216" t="s">
        <v>92</v>
      </c>
      <c r="O216" s="1">
        <v>41335</v>
      </c>
      <c r="P216" t="s">
        <v>84</v>
      </c>
      <c r="Q216">
        <v>3</v>
      </c>
      <c r="R216" t="s">
        <v>81</v>
      </c>
      <c r="S216">
        <v>1</v>
      </c>
      <c r="T216">
        <v>965</v>
      </c>
      <c r="U216" t="s">
        <v>349</v>
      </c>
      <c r="V216" t="s">
        <v>349</v>
      </c>
      <c r="W216">
        <v>965</v>
      </c>
    </row>
    <row r="217" spans="1:23" x14ac:dyDescent="0.3">
      <c r="A217" s="1">
        <v>43891</v>
      </c>
      <c r="B217" s="1">
        <v>43891</v>
      </c>
      <c r="C217" t="s">
        <v>157</v>
      </c>
      <c r="D217" t="s">
        <v>48</v>
      </c>
      <c r="E217" t="s">
        <v>49</v>
      </c>
      <c r="F217" t="s">
        <v>208</v>
      </c>
      <c r="G217" s="53">
        <v>43928.620706018519</v>
      </c>
      <c r="H217">
        <v>33</v>
      </c>
      <c r="I217">
        <v>13219</v>
      </c>
      <c r="J217" t="s">
        <v>50</v>
      </c>
      <c r="K217" t="s">
        <v>50</v>
      </c>
      <c r="L217" t="s">
        <v>159</v>
      </c>
      <c r="M217" t="s">
        <v>51</v>
      </c>
      <c r="N217" t="s">
        <v>92</v>
      </c>
      <c r="O217" s="1">
        <v>41335</v>
      </c>
      <c r="P217" t="s">
        <v>84</v>
      </c>
      <c r="Q217">
        <v>3</v>
      </c>
      <c r="R217" t="s">
        <v>81</v>
      </c>
      <c r="S217">
        <v>577.13526899999999</v>
      </c>
      <c r="T217">
        <v>66.138000000000005</v>
      </c>
      <c r="U217" t="s">
        <v>349</v>
      </c>
      <c r="V217" t="s">
        <v>349</v>
      </c>
      <c r="W217">
        <v>38171</v>
      </c>
    </row>
    <row r="218" spans="1:23" x14ac:dyDescent="0.3">
      <c r="A218" s="1">
        <v>43891</v>
      </c>
      <c r="B218" s="1">
        <v>43891</v>
      </c>
      <c r="C218" t="s">
        <v>157</v>
      </c>
      <c r="D218" t="s">
        <v>54</v>
      </c>
      <c r="E218" t="s">
        <v>21</v>
      </c>
      <c r="F218" t="s">
        <v>206</v>
      </c>
      <c r="G218" s="53">
        <v>43928.620706018519</v>
      </c>
      <c r="H218">
        <v>33</v>
      </c>
      <c r="I218">
        <v>13219</v>
      </c>
      <c r="J218" t="s">
        <v>50</v>
      </c>
      <c r="K218" t="s">
        <v>50</v>
      </c>
      <c r="L218" t="s">
        <v>159</v>
      </c>
      <c r="M218" t="s">
        <v>51</v>
      </c>
      <c r="N218" t="s">
        <v>92</v>
      </c>
      <c r="O218" s="1">
        <v>41335</v>
      </c>
      <c r="P218" t="s">
        <v>84</v>
      </c>
      <c r="Q218">
        <v>4</v>
      </c>
      <c r="R218" t="s">
        <v>27</v>
      </c>
      <c r="S218" t="s">
        <v>349</v>
      </c>
      <c r="T218" t="s">
        <v>349</v>
      </c>
      <c r="U218">
        <v>0</v>
      </c>
      <c r="V218">
        <v>6091.55</v>
      </c>
      <c r="W218">
        <v>0</v>
      </c>
    </row>
    <row r="219" spans="1:23" x14ac:dyDescent="0.3">
      <c r="A219" s="1">
        <v>43891</v>
      </c>
      <c r="B219" s="1">
        <v>43891</v>
      </c>
      <c r="C219" t="s">
        <v>157</v>
      </c>
      <c r="D219" t="s">
        <v>93</v>
      </c>
      <c r="E219" t="s">
        <v>49</v>
      </c>
      <c r="F219" t="s">
        <v>207</v>
      </c>
      <c r="G219" s="53">
        <v>43970.737210648149</v>
      </c>
      <c r="H219">
        <v>33</v>
      </c>
      <c r="I219" t="s">
        <v>349</v>
      </c>
      <c r="J219" t="s">
        <v>50</v>
      </c>
      <c r="K219" t="s">
        <v>50</v>
      </c>
      <c r="L219" t="s">
        <v>159</v>
      </c>
      <c r="M219" t="s">
        <v>51</v>
      </c>
      <c r="N219" t="s">
        <v>92</v>
      </c>
      <c r="O219" s="1">
        <v>41335</v>
      </c>
      <c r="P219" t="s">
        <v>84</v>
      </c>
      <c r="Q219">
        <v>4</v>
      </c>
      <c r="R219" t="s">
        <v>27</v>
      </c>
      <c r="S219">
        <v>1</v>
      </c>
      <c r="T219">
        <v>6012</v>
      </c>
      <c r="U219" t="s">
        <v>349</v>
      </c>
      <c r="V219" t="s">
        <v>349</v>
      </c>
      <c r="W219">
        <v>6012</v>
      </c>
    </row>
    <row r="220" spans="1:23" x14ac:dyDescent="0.3">
      <c r="A220" s="1">
        <v>43891</v>
      </c>
      <c r="B220" s="1">
        <v>43891</v>
      </c>
      <c r="C220" t="s">
        <v>157</v>
      </c>
      <c r="D220" t="s">
        <v>48</v>
      </c>
      <c r="E220" t="s">
        <v>49</v>
      </c>
      <c r="F220" t="s">
        <v>208</v>
      </c>
      <c r="G220" s="53">
        <v>43928.620706018519</v>
      </c>
      <c r="H220">
        <v>33</v>
      </c>
      <c r="I220">
        <v>13219</v>
      </c>
      <c r="J220" t="s">
        <v>50</v>
      </c>
      <c r="K220" t="s">
        <v>50</v>
      </c>
      <c r="L220" t="s">
        <v>159</v>
      </c>
      <c r="M220" t="s">
        <v>51</v>
      </c>
      <c r="N220" t="s">
        <v>92</v>
      </c>
      <c r="O220" s="1">
        <v>41335</v>
      </c>
      <c r="P220" t="s">
        <v>84</v>
      </c>
      <c r="Q220">
        <v>4</v>
      </c>
      <c r="R220" t="s">
        <v>27</v>
      </c>
      <c r="S220">
        <v>3523.8486549999998</v>
      </c>
      <c r="T220">
        <v>67.459999999999994</v>
      </c>
      <c r="U220" t="s">
        <v>349</v>
      </c>
      <c r="V220" t="s">
        <v>349</v>
      </c>
      <c r="W220">
        <v>237719</v>
      </c>
    </row>
    <row r="221" spans="1:23" x14ac:dyDescent="0.3">
      <c r="A221" s="1">
        <v>43891</v>
      </c>
      <c r="B221" s="1">
        <v>43891</v>
      </c>
      <c r="C221" t="s">
        <v>157</v>
      </c>
      <c r="D221" t="s">
        <v>54</v>
      </c>
      <c r="E221" t="s">
        <v>21</v>
      </c>
      <c r="F221" t="s">
        <v>206</v>
      </c>
      <c r="G221" s="53">
        <v>43928.620706018519</v>
      </c>
      <c r="H221">
        <v>33</v>
      </c>
      <c r="I221">
        <v>13219</v>
      </c>
      <c r="J221" t="s">
        <v>50</v>
      </c>
      <c r="K221" t="s">
        <v>50</v>
      </c>
      <c r="L221" t="s">
        <v>159</v>
      </c>
      <c r="M221" t="s">
        <v>51</v>
      </c>
      <c r="N221" t="s">
        <v>92</v>
      </c>
      <c r="O221" s="1">
        <v>41335</v>
      </c>
      <c r="P221" t="s">
        <v>84</v>
      </c>
      <c r="Q221">
        <v>5</v>
      </c>
      <c r="R221" t="s">
        <v>28</v>
      </c>
      <c r="S221" t="s">
        <v>349</v>
      </c>
      <c r="T221" t="s">
        <v>349</v>
      </c>
      <c r="U221">
        <v>0</v>
      </c>
      <c r="V221">
        <v>5908.1</v>
      </c>
      <c r="W221">
        <v>0</v>
      </c>
    </row>
    <row r="222" spans="1:23" x14ac:dyDescent="0.3">
      <c r="A222" s="1">
        <v>43891</v>
      </c>
      <c r="B222" s="1">
        <v>43891</v>
      </c>
      <c r="C222" t="s">
        <v>157</v>
      </c>
      <c r="D222" t="s">
        <v>93</v>
      </c>
      <c r="E222" t="s">
        <v>49</v>
      </c>
      <c r="F222" t="s">
        <v>207</v>
      </c>
      <c r="G222" s="53">
        <v>43970.737210648149</v>
      </c>
      <c r="H222">
        <v>33</v>
      </c>
      <c r="I222" t="s">
        <v>349</v>
      </c>
      <c r="J222" t="s">
        <v>50</v>
      </c>
      <c r="K222" t="s">
        <v>50</v>
      </c>
      <c r="L222" t="s">
        <v>159</v>
      </c>
      <c r="M222" t="s">
        <v>51</v>
      </c>
      <c r="N222" t="s">
        <v>92</v>
      </c>
      <c r="O222" s="1">
        <v>41335</v>
      </c>
      <c r="P222" t="s">
        <v>84</v>
      </c>
      <c r="Q222">
        <v>5</v>
      </c>
      <c r="R222" t="s">
        <v>28</v>
      </c>
      <c r="S222">
        <v>1</v>
      </c>
      <c r="T222">
        <v>33</v>
      </c>
      <c r="U222" t="s">
        <v>349</v>
      </c>
      <c r="V222" t="s">
        <v>349</v>
      </c>
      <c r="W222">
        <v>33</v>
      </c>
    </row>
    <row r="223" spans="1:23" x14ac:dyDescent="0.3">
      <c r="A223" s="1">
        <v>43891</v>
      </c>
      <c r="B223" s="1">
        <v>43891</v>
      </c>
      <c r="C223" t="s">
        <v>157</v>
      </c>
      <c r="D223" t="s">
        <v>48</v>
      </c>
      <c r="E223" t="s">
        <v>49</v>
      </c>
      <c r="F223" t="s">
        <v>208</v>
      </c>
      <c r="G223" s="53">
        <v>43928.620706018519</v>
      </c>
      <c r="H223">
        <v>33</v>
      </c>
      <c r="I223">
        <v>13219</v>
      </c>
      <c r="J223" t="s">
        <v>50</v>
      </c>
      <c r="K223" t="s">
        <v>50</v>
      </c>
      <c r="L223" t="s">
        <v>159</v>
      </c>
      <c r="M223" t="s">
        <v>51</v>
      </c>
      <c r="N223" t="s">
        <v>92</v>
      </c>
      <c r="O223" s="1">
        <v>41335</v>
      </c>
      <c r="P223" t="s">
        <v>84</v>
      </c>
      <c r="Q223">
        <v>5</v>
      </c>
      <c r="R223" t="s">
        <v>28</v>
      </c>
      <c r="S223">
        <v>18.504829999999998</v>
      </c>
      <c r="T223">
        <v>70.204999999999998</v>
      </c>
      <c r="U223" t="s">
        <v>349</v>
      </c>
      <c r="V223" t="s">
        <v>349</v>
      </c>
      <c r="W223">
        <v>1299</v>
      </c>
    </row>
    <row r="224" spans="1:23" x14ac:dyDescent="0.3">
      <c r="A224" s="1">
        <v>43922</v>
      </c>
      <c r="B224" s="1">
        <v>43922</v>
      </c>
      <c r="C224" t="s">
        <v>157</v>
      </c>
      <c r="D224" t="s">
        <v>54</v>
      </c>
      <c r="E224" t="s">
        <v>21</v>
      </c>
      <c r="F224" t="s">
        <v>212</v>
      </c>
      <c r="G224" s="53">
        <v>43959.644641203704</v>
      </c>
      <c r="H224">
        <v>33</v>
      </c>
      <c r="I224">
        <v>13722</v>
      </c>
      <c r="J224" t="s">
        <v>50</v>
      </c>
      <c r="K224" t="s">
        <v>50</v>
      </c>
      <c r="L224" t="s">
        <v>159</v>
      </c>
      <c r="M224" t="s">
        <v>51</v>
      </c>
      <c r="N224" t="s">
        <v>92</v>
      </c>
      <c r="O224" s="1">
        <v>41335</v>
      </c>
      <c r="P224" t="s">
        <v>84</v>
      </c>
      <c r="Q224">
        <v>1</v>
      </c>
      <c r="R224" t="s">
        <v>83</v>
      </c>
      <c r="S224" t="s">
        <v>349</v>
      </c>
      <c r="T224" t="s">
        <v>349</v>
      </c>
      <c r="U224">
        <v>0</v>
      </c>
      <c r="V224">
        <v>6077.2</v>
      </c>
      <c r="W224">
        <v>0</v>
      </c>
    </row>
    <row r="225" spans="1:23" x14ac:dyDescent="0.3">
      <c r="A225" s="1">
        <v>43922</v>
      </c>
      <c r="B225" s="1">
        <v>43922</v>
      </c>
      <c r="C225" t="s">
        <v>157</v>
      </c>
      <c r="D225" t="s">
        <v>93</v>
      </c>
      <c r="E225" t="s">
        <v>49</v>
      </c>
      <c r="F225" t="s">
        <v>211</v>
      </c>
      <c r="G225" s="53">
        <v>43992.659548611111</v>
      </c>
      <c r="H225">
        <v>33</v>
      </c>
      <c r="I225" t="s">
        <v>349</v>
      </c>
      <c r="J225" t="s">
        <v>50</v>
      </c>
      <c r="K225" t="s">
        <v>50</v>
      </c>
      <c r="L225" t="s">
        <v>159</v>
      </c>
      <c r="M225" t="s">
        <v>51</v>
      </c>
      <c r="N225" t="s">
        <v>92</v>
      </c>
      <c r="O225" s="1">
        <v>41335</v>
      </c>
      <c r="P225" t="s">
        <v>84</v>
      </c>
      <c r="Q225">
        <v>1</v>
      </c>
      <c r="R225" t="s">
        <v>83</v>
      </c>
      <c r="S225">
        <v>1</v>
      </c>
      <c r="T225">
        <v>3814</v>
      </c>
      <c r="U225" t="s">
        <v>349</v>
      </c>
      <c r="V225" t="s">
        <v>349</v>
      </c>
      <c r="W225">
        <v>3814</v>
      </c>
    </row>
    <row r="226" spans="1:23" x14ac:dyDescent="0.3">
      <c r="A226" s="1">
        <v>43922</v>
      </c>
      <c r="B226" s="1">
        <v>43922</v>
      </c>
      <c r="C226" t="s">
        <v>157</v>
      </c>
      <c r="D226" t="s">
        <v>48</v>
      </c>
      <c r="E226" t="s">
        <v>49</v>
      </c>
      <c r="F226" t="s">
        <v>215</v>
      </c>
      <c r="G226" s="53">
        <v>43959.644641203704</v>
      </c>
      <c r="H226">
        <v>33</v>
      </c>
      <c r="I226">
        <v>13722</v>
      </c>
      <c r="J226" t="s">
        <v>50</v>
      </c>
      <c r="K226" t="s">
        <v>50</v>
      </c>
      <c r="L226" t="s">
        <v>159</v>
      </c>
      <c r="M226" t="s">
        <v>51</v>
      </c>
      <c r="N226" t="s">
        <v>92</v>
      </c>
      <c r="O226" s="1">
        <v>41335</v>
      </c>
      <c r="P226" t="s">
        <v>84</v>
      </c>
      <c r="Q226">
        <v>1</v>
      </c>
      <c r="R226" t="s">
        <v>83</v>
      </c>
      <c r="S226">
        <v>2937.81</v>
      </c>
      <c r="T226">
        <v>71.221999999999994</v>
      </c>
      <c r="U226" t="s">
        <v>349</v>
      </c>
      <c r="V226" t="s">
        <v>349</v>
      </c>
      <c r="W226">
        <v>209237</v>
      </c>
    </row>
    <row r="227" spans="1:23" x14ac:dyDescent="0.3">
      <c r="A227" s="1">
        <v>43922</v>
      </c>
      <c r="B227" s="1">
        <v>43922</v>
      </c>
      <c r="C227" t="s">
        <v>157</v>
      </c>
      <c r="D227" t="s">
        <v>54</v>
      </c>
      <c r="E227" t="s">
        <v>21</v>
      </c>
      <c r="F227" t="s">
        <v>212</v>
      </c>
      <c r="G227" s="53">
        <v>43959.644641203704</v>
      </c>
      <c r="H227">
        <v>33</v>
      </c>
      <c r="I227">
        <v>13722</v>
      </c>
      <c r="J227" t="s">
        <v>50</v>
      </c>
      <c r="K227" t="s">
        <v>50</v>
      </c>
      <c r="L227" t="s">
        <v>159</v>
      </c>
      <c r="M227" t="s">
        <v>51</v>
      </c>
      <c r="N227" t="s">
        <v>92</v>
      </c>
      <c r="O227" s="1">
        <v>41335</v>
      </c>
      <c r="P227" t="s">
        <v>84</v>
      </c>
      <c r="Q227">
        <v>2</v>
      </c>
      <c r="R227" t="s">
        <v>94</v>
      </c>
      <c r="S227" t="s">
        <v>349</v>
      </c>
      <c r="T227" t="s">
        <v>349</v>
      </c>
      <c r="U227">
        <v>0</v>
      </c>
      <c r="V227">
        <v>6151.21</v>
      </c>
      <c r="W227">
        <v>0</v>
      </c>
    </row>
    <row r="228" spans="1:23" x14ac:dyDescent="0.3">
      <c r="A228" s="1">
        <v>43922</v>
      </c>
      <c r="B228" s="1">
        <v>43922</v>
      </c>
      <c r="C228" t="s">
        <v>157</v>
      </c>
      <c r="D228" t="s">
        <v>93</v>
      </c>
      <c r="E228" t="s">
        <v>49</v>
      </c>
      <c r="F228" t="s">
        <v>211</v>
      </c>
      <c r="G228" s="53">
        <v>43992.659548611111</v>
      </c>
      <c r="H228">
        <v>33</v>
      </c>
      <c r="I228" t="s">
        <v>349</v>
      </c>
      <c r="J228" t="s">
        <v>50</v>
      </c>
      <c r="K228" t="s">
        <v>50</v>
      </c>
      <c r="L228" t="s">
        <v>159</v>
      </c>
      <c r="M228" t="s">
        <v>51</v>
      </c>
      <c r="N228" t="s">
        <v>92</v>
      </c>
      <c r="O228" s="1">
        <v>41335</v>
      </c>
      <c r="P228" t="s">
        <v>84</v>
      </c>
      <c r="Q228">
        <v>2</v>
      </c>
      <c r="R228" t="s">
        <v>94</v>
      </c>
      <c r="S228">
        <v>1</v>
      </c>
      <c r="T228">
        <v>8</v>
      </c>
      <c r="U228" t="s">
        <v>349</v>
      </c>
      <c r="V228" t="s">
        <v>349</v>
      </c>
      <c r="W228">
        <v>8</v>
      </c>
    </row>
    <row r="229" spans="1:23" x14ac:dyDescent="0.3">
      <c r="A229" s="1">
        <v>43922</v>
      </c>
      <c r="B229" s="1">
        <v>43922</v>
      </c>
      <c r="C229" t="s">
        <v>157</v>
      </c>
      <c r="D229" t="s">
        <v>48</v>
      </c>
      <c r="E229" t="s">
        <v>49</v>
      </c>
      <c r="F229" t="s">
        <v>215</v>
      </c>
      <c r="G229" s="53">
        <v>43959.644641203704</v>
      </c>
      <c r="H229">
        <v>33</v>
      </c>
      <c r="I229">
        <v>13722</v>
      </c>
      <c r="J229" t="s">
        <v>50</v>
      </c>
      <c r="K229" t="s">
        <v>50</v>
      </c>
      <c r="L229" t="s">
        <v>159</v>
      </c>
      <c r="M229" t="s">
        <v>51</v>
      </c>
      <c r="N229" t="s">
        <v>92</v>
      </c>
      <c r="O229" s="1">
        <v>41335</v>
      </c>
      <c r="P229" t="s">
        <v>84</v>
      </c>
      <c r="Q229">
        <v>2</v>
      </c>
      <c r="R229" t="s">
        <v>94</v>
      </c>
      <c r="S229">
        <v>6.150766</v>
      </c>
      <c r="T229">
        <v>73.772999999999996</v>
      </c>
      <c r="U229" t="s">
        <v>349</v>
      </c>
      <c r="V229" t="s">
        <v>349</v>
      </c>
      <c r="W229">
        <v>454</v>
      </c>
    </row>
    <row r="230" spans="1:23" x14ac:dyDescent="0.3">
      <c r="A230" s="1">
        <v>43922</v>
      </c>
      <c r="B230" s="1">
        <v>43922</v>
      </c>
      <c r="C230" t="s">
        <v>157</v>
      </c>
      <c r="D230" t="s">
        <v>54</v>
      </c>
      <c r="E230" t="s">
        <v>21</v>
      </c>
      <c r="F230" t="s">
        <v>212</v>
      </c>
      <c r="G230" s="53">
        <v>43959.644641203704</v>
      </c>
      <c r="H230">
        <v>33</v>
      </c>
      <c r="I230">
        <v>13722</v>
      </c>
      <c r="J230" t="s">
        <v>50</v>
      </c>
      <c r="K230" t="s">
        <v>50</v>
      </c>
      <c r="L230" t="s">
        <v>159</v>
      </c>
      <c r="M230" t="s">
        <v>51</v>
      </c>
      <c r="N230" t="s">
        <v>92</v>
      </c>
      <c r="O230" s="1">
        <v>41335</v>
      </c>
      <c r="P230" t="s">
        <v>84</v>
      </c>
      <c r="Q230">
        <v>3</v>
      </c>
      <c r="R230" t="s">
        <v>81</v>
      </c>
      <c r="S230" t="s">
        <v>349</v>
      </c>
      <c r="T230" t="s">
        <v>349</v>
      </c>
      <c r="U230">
        <v>0</v>
      </c>
      <c r="V230">
        <v>5767.18</v>
      </c>
      <c r="W230">
        <v>0</v>
      </c>
    </row>
    <row r="231" spans="1:23" x14ac:dyDescent="0.3">
      <c r="A231" s="1">
        <v>43922</v>
      </c>
      <c r="B231" s="1">
        <v>43922</v>
      </c>
      <c r="C231" t="s">
        <v>157</v>
      </c>
      <c r="D231" t="s">
        <v>93</v>
      </c>
      <c r="E231" t="s">
        <v>49</v>
      </c>
      <c r="F231" t="s">
        <v>211</v>
      </c>
      <c r="G231" s="53">
        <v>43992.659548611111</v>
      </c>
      <c r="H231">
        <v>33</v>
      </c>
      <c r="I231" t="s">
        <v>349</v>
      </c>
      <c r="J231" t="s">
        <v>50</v>
      </c>
      <c r="K231" t="s">
        <v>50</v>
      </c>
      <c r="L231" t="s">
        <v>159</v>
      </c>
      <c r="M231" t="s">
        <v>51</v>
      </c>
      <c r="N231" t="s">
        <v>92</v>
      </c>
      <c r="O231" s="1">
        <v>41335</v>
      </c>
      <c r="P231" t="s">
        <v>84</v>
      </c>
      <c r="Q231">
        <v>3</v>
      </c>
      <c r="R231" t="s">
        <v>81</v>
      </c>
      <c r="S231">
        <v>1</v>
      </c>
      <c r="T231">
        <v>531</v>
      </c>
      <c r="U231" t="s">
        <v>349</v>
      </c>
      <c r="V231" t="s">
        <v>349</v>
      </c>
      <c r="W231">
        <v>531</v>
      </c>
    </row>
    <row r="232" spans="1:23" x14ac:dyDescent="0.3">
      <c r="A232" s="1">
        <v>43922</v>
      </c>
      <c r="B232" s="1">
        <v>43922</v>
      </c>
      <c r="C232" t="s">
        <v>157</v>
      </c>
      <c r="D232" t="s">
        <v>48</v>
      </c>
      <c r="E232" t="s">
        <v>49</v>
      </c>
      <c r="F232" t="s">
        <v>215</v>
      </c>
      <c r="G232" s="53">
        <v>43959.644641203704</v>
      </c>
      <c r="H232">
        <v>33</v>
      </c>
      <c r="I232">
        <v>13722</v>
      </c>
      <c r="J232" t="s">
        <v>50</v>
      </c>
      <c r="K232" t="s">
        <v>50</v>
      </c>
      <c r="L232" t="s">
        <v>159</v>
      </c>
      <c r="M232" t="s">
        <v>51</v>
      </c>
      <c r="N232" t="s">
        <v>92</v>
      </c>
      <c r="O232" s="1">
        <v>41335</v>
      </c>
      <c r="P232" t="s">
        <v>84</v>
      </c>
      <c r="Q232">
        <v>3</v>
      </c>
      <c r="R232" t="s">
        <v>81</v>
      </c>
      <c r="S232">
        <v>430.04700800000001</v>
      </c>
      <c r="T232">
        <v>67.765000000000001</v>
      </c>
      <c r="U232" t="s">
        <v>349</v>
      </c>
      <c r="V232" t="s">
        <v>349</v>
      </c>
      <c r="W232">
        <v>29142</v>
      </c>
    </row>
    <row r="233" spans="1:23" x14ac:dyDescent="0.3">
      <c r="A233" s="1">
        <v>43922</v>
      </c>
      <c r="B233" s="1">
        <v>43922</v>
      </c>
      <c r="C233" t="s">
        <v>157</v>
      </c>
      <c r="D233" t="s">
        <v>54</v>
      </c>
      <c r="E233" t="s">
        <v>21</v>
      </c>
      <c r="F233" t="s">
        <v>212</v>
      </c>
      <c r="G233" s="53">
        <v>43959.644641203704</v>
      </c>
      <c r="H233">
        <v>33</v>
      </c>
      <c r="I233">
        <v>13722</v>
      </c>
      <c r="J233" t="s">
        <v>50</v>
      </c>
      <c r="K233" t="s">
        <v>50</v>
      </c>
      <c r="L233" t="s">
        <v>159</v>
      </c>
      <c r="M233" t="s">
        <v>51</v>
      </c>
      <c r="N233" t="s">
        <v>92</v>
      </c>
      <c r="O233" s="1">
        <v>41335</v>
      </c>
      <c r="P233" t="s">
        <v>84</v>
      </c>
      <c r="Q233">
        <v>4</v>
      </c>
      <c r="R233" t="s">
        <v>27</v>
      </c>
      <c r="S233" t="s">
        <v>349</v>
      </c>
      <c r="T233" t="s">
        <v>349</v>
      </c>
      <c r="U233">
        <v>0</v>
      </c>
      <c r="V233">
        <v>5963.14</v>
      </c>
      <c r="W233">
        <v>0</v>
      </c>
    </row>
    <row r="234" spans="1:23" x14ac:dyDescent="0.3">
      <c r="A234" s="1">
        <v>43922</v>
      </c>
      <c r="B234" s="1">
        <v>43922</v>
      </c>
      <c r="C234" t="s">
        <v>157</v>
      </c>
      <c r="D234" t="s">
        <v>93</v>
      </c>
      <c r="E234" t="s">
        <v>49</v>
      </c>
      <c r="F234" t="s">
        <v>211</v>
      </c>
      <c r="G234" s="53">
        <v>43992.659548611111</v>
      </c>
      <c r="H234">
        <v>33</v>
      </c>
      <c r="I234" t="s">
        <v>349</v>
      </c>
      <c r="J234" t="s">
        <v>50</v>
      </c>
      <c r="K234" t="s">
        <v>50</v>
      </c>
      <c r="L234" t="s">
        <v>159</v>
      </c>
      <c r="M234" t="s">
        <v>51</v>
      </c>
      <c r="N234" t="s">
        <v>92</v>
      </c>
      <c r="O234" s="1">
        <v>41335</v>
      </c>
      <c r="P234" t="s">
        <v>84</v>
      </c>
      <c r="Q234">
        <v>4</v>
      </c>
      <c r="R234" t="s">
        <v>27</v>
      </c>
      <c r="S234">
        <v>1</v>
      </c>
      <c r="T234">
        <v>3349</v>
      </c>
      <c r="U234" t="s">
        <v>349</v>
      </c>
      <c r="V234" t="s">
        <v>349</v>
      </c>
      <c r="W234">
        <v>3349</v>
      </c>
    </row>
    <row r="235" spans="1:23" x14ac:dyDescent="0.3">
      <c r="A235" s="1">
        <v>43922</v>
      </c>
      <c r="B235" s="1">
        <v>43922</v>
      </c>
      <c r="C235" t="s">
        <v>157</v>
      </c>
      <c r="D235" t="s">
        <v>48</v>
      </c>
      <c r="E235" t="s">
        <v>49</v>
      </c>
      <c r="F235" t="s">
        <v>215</v>
      </c>
      <c r="G235" s="53">
        <v>43959.644641203704</v>
      </c>
      <c r="H235">
        <v>33</v>
      </c>
      <c r="I235">
        <v>13722</v>
      </c>
      <c r="J235" t="s">
        <v>50</v>
      </c>
      <c r="K235" t="s">
        <v>50</v>
      </c>
      <c r="L235" t="s">
        <v>159</v>
      </c>
      <c r="M235" t="s">
        <v>51</v>
      </c>
      <c r="N235" t="s">
        <v>92</v>
      </c>
      <c r="O235" s="1">
        <v>41335</v>
      </c>
      <c r="P235" t="s">
        <v>84</v>
      </c>
      <c r="Q235">
        <v>4</v>
      </c>
      <c r="R235" t="s">
        <v>27</v>
      </c>
      <c r="S235">
        <v>2658.6885689999999</v>
      </c>
      <c r="T235">
        <v>69.12</v>
      </c>
      <c r="U235" t="s">
        <v>349</v>
      </c>
      <c r="V235" t="s">
        <v>349</v>
      </c>
      <c r="W235">
        <v>183769</v>
      </c>
    </row>
    <row r="236" spans="1:23" x14ac:dyDescent="0.3">
      <c r="A236" s="1">
        <v>43922</v>
      </c>
      <c r="B236" s="1">
        <v>43922</v>
      </c>
      <c r="C236" t="s">
        <v>157</v>
      </c>
      <c r="D236" t="s">
        <v>54</v>
      </c>
      <c r="E236" t="s">
        <v>21</v>
      </c>
      <c r="F236" t="s">
        <v>212</v>
      </c>
      <c r="G236" s="53">
        <v>43959.644641203704</v>
      </c>
      <c r="H236">
        <v>33</v>
      </c>
      <c r="I236">
        <v>13722</v>
      </c>
      <c r="J236" t="s">
        <v>50</v>
      </c>
      <c r="K236" t="s">
        <v>50</v>
      </c>
      <c r="L236" t="s">
        <v>159</v>
      </c>
      <c r="M236" t="s">
        <v>51</v>
      </c>
      <c r="N236" t="s">
        <v>92</v>
      </c>
      <c r="O236" s="1">
        <v>41335</v>
      </c>
      <c r="P236" t="s">
        <v>84</v>
      </c>
      <c r="Q236">
        <v>5</v>
      </c>
      <c r="R236" t="s">
        <v>28</v>
      </c>
      <c r="S236" t="s">
        <v>349</v>
      </c>
      <c r="T236" t="s">
        <v>349</v>
      </c>
      <c r="U236">
        <v>0</v>
      </c>
      <c r="V236">
        <v>5783.56</v>
      </c>
      <c r="W236">
        <v>0</v>
      </c>
    </row>
    <row r="237" spans="1:23" x14ac:dyDescent="0.3">
      <c r="A237" s="1">
        <v>43922</v>
      </c>
      <c r="B237" s="1">
        <v>43922</v>
      </c>
      <c r="C237" t="s">
        <v>157</v>
      </c>
      <c r="D237" t="s">
        <v>93</v>
      </c>
      <c r="E237" t="s">
        <v>49</v>
      </c>
      <c r="F237" t="s">
        <v>211</v>
      </c>
      <c r="G237" s="53">
        <v>43992.659548611111</v>
      </c>
      <c r="H237">
        <v>33</v>
      </c>
      <c r="I237" t="s">
        <v>349</v>
      </c>
      <c r="J237" t="s">
        <v>50</v>
      </c>
      <c r="K237" t="s">
        <v>50</v>
      </c>
      <c r="L237" t="s">
        <v>159</v>
      </c>
      <c r="M237" t="s">
        <v>51</v>
      </c>
      <c r="N237" t="s">
        <v>92</v>
      </c>
      <c r="O237" s="1">
        <v>41335</v>
      </c>
      <c r="P237" t="s">
        <v>84</v>
      </c>
      <c r="Q237">
        <v>5</v>
      </c>
      <c r="R237" t="s">
        <v>28</v>
      </c>
      <c r="S237">
        <v>1</v>
      </c>
      <c r="T237">
        <v>20</v>
      </c>
      <c r="U237" t="s">
        <v>349</v>
      </c>
      <c r="V237" t="s">
        <v>349</v>
      </c>
      <c r="W237">
        <v>20</v>
      </c>
    </row>
    <row r="238" spans="1:23" x14ac:dyDescent="0.3">
      <c r="A238" s="1">
        <v>43922</v>
      </c>
      <c r="B238" s="1">
        <v>43922</v>
      </c>
      <c r="C238" t="s">
        <v>157</v>
      </c>
      <c r="D238" t="s">
        <v>48</v>
      </c>
      <c r="E238" t="s">
        <v>49</v>
      </c>
      <c r="F238" t="s">
        <v>215</v>
      </c>
      <c r="G238" s="53">
        <v>43959.644641203704</v>
      </c>
      <c r="H238">
        <v>33</v>
      </c>
      <c r="I238">
        <v>13722</v>
      </c>
      <c r="J238" t="s">
        <v>50</v>
      </c>
      <c r="K238" t="s">
        <v>50</v>
      </c>
      <c r="L238" t="s">
        <v>159</v>
      </c>
      <c r="M238" t="s">
        <v>51</v>
      </c>
      <c r="N238" t="s">
        <v>92</v>
      </c>
      <c r="O238" s="1">
        <v>41335</v>
      </c>
      <c r="P238" t="s">
        <v>84</v>
      </c>
      <c r="Q238">
        <v>5</v>
      </c>
      <c r="R238" t="s">
        <v>28</v>
      </c>
      <c r="S238">
        <v>15.457482000000001</v>
      </c>
      <c r="T238">
        <v>71.932000000000002</v>
      </c>
      <c r="U238" t="s">
        <v>349</v>
      </c>
      <c r="V238" t="s">
        <v>349</v>
      </c>
      <c r="W238">
        <v>1112</v>
      </c>
    </row>
    <row r="239" spans="1:23" x14ac:dyDescent="0.3">
      <c r="A239" s="1">
        <v>43952</v>
      </c>
      <c r="B239" s="1">
        <v>43952</v>
      </c>
      <c r="C239" t="s">
        <v>157</v>
      </c>
      <c r="D239" t="s">
        <v>54</v>
      </c>
      <c r="E239" t="s">
        <v>21</v>
      </c>
      <c r="F239" t="s">
        <v>221</v>
      </c>
      <c r="G239" s="53">
        <v>43987.496550925927</v>
      </c>
      <c r="H239">
        <v>33</v>
      </c>
      <c r="I239">
        <v>14013</v>
      </c>
      <c r="J239" t="s">
        <v>50</v>
      </c>
      <c r="K239" t="s">
        <v>50</v>
      </c>
      <c r="L239" t="s">
        <v>159</v>
      </c>
      <c r="M239" t="s">
        <v>51</v>
      </c>
      <c r="N239" t="s">
        <v>92</v>
      </c>
      <c r="O239" s="1">
        <v>41335</v>
      </c>
      <c r="P239" t="s">
        <v>84</v>
      </c>
      <c r="Q239">
        <v>1</v>
      </c>
      <c r="R239" t="s">
        <v>83</v>
      </c>
      <c r="S239" t="s">
        <v>349</v>
      </c>
      <c r="T239" t="s">
        <v>349</v>
      </c>
      <c r="U239">
        <v>0</v>
      </c>
      <c r="V239">
        <v>6077.2</v>
      </c>
      <c r="W239">
        <v>0</v>
      </c>
    </row>
    <row r="240" spans="1:23" x14ac:dyDescent="0.3">
      <c r="A240" s="1">
        <v>43952</v>
      </c>
      <c r="B240" s="1">
        <v>43952</v>
      </c>
      <c r="C240" t="s">
        <v>157</v>
      </c>
      <c r="D240" t="s">
        <v>93</v>
      </c>
      <c r="E240" t="s">
        <v>49</v>
      </c>
      <c r="F240" t="s">
        <v>217</v>
      </c>
      <c r="G240" s="53">
        <v>44027.009201388886</v>
      </c>
      <c r="H240">
        <v>33</v>
      </c>
      <c r="I240">
        <v>14695</v>
      </c>
      <c r="J240" t="s">
        <v>50</v>
      </c>
      <c r="K240" t="s">
        <v>50</v>
      </c>
      <c r="L240" t="s">
        <v>159</v>
      </c>
      <c r="M240" t="s">
        <v>51</v>
      </c>
      <c r="N240" t="s">
        <v>92</v>
      </c>
      <c r="O240" s="1">
        <v>41335</v>
      </c>
      <c r="P240" t="s">
        <v>84</v>
      </c>
      <c r="Q240">
        <v>1</v>
      </c>
      <c r="R240" t="s">
        <v>83</v>
      </c>
      <c r="S240">
        <v>1</v>
      </c>
      <c r="T240">
        <v>269</v>
      </c>
      <c r="U240" t="s">
        <v>349</v>
      </c>
      <c r="V240" t="s">
        <v>349</v>
      </c>
      <c r="W240">
        <v>269</v>
      </c>
    </row>
    <row r="241" spans="1:23" x14ac:dyDescent="0.3">
      <c r="A241" s="1">
        <v>43952</v>
      </c>
      <c r="B241" s="1">
        <v>43952</v>
      </c>
      <c r="C241" t="s">
        <v>157</v>
      </c>
      <c r="D241" t="s">
        <v>48</v>
      </c>
      <c r="E241" t="s">
        <v>49</v>
      </c>
      <c r="F241" t="s">
        <v>220</v>
      </c>
      <c r="G241" s="53">
        <v>43987.496550925927</v>
      </c>
      <c r="H241">
        <v>33</v>
      </c>
      <c r="I241">
        <v>14013</v>
      </c>
      <c r="J241" t="s">
        <v>50</v>
      </c>
      <c r="K241" t="s">
        <v>50</v>
      </c>
      <c r="L241" t="s">
        <v>159</v>
      </c>
      <c r="M241" t="s">
        <v>51</v>
      </c>
      <c r="N241" t="s">
        <v>92</v>
      </c>
      <c r="O241" s="1">
        <v>41335</v>
      </c>
      <c r="P241" t="s">
        <v>84</v>
      </c>
      <c r="Q241">
        <v>1</v>
      </c>
      <c r="R241" t="s">
        <v>83</v>
      </c>
      <c r="S241">
        <v>2850.9896789999998</v>
      </c>
      <c r="T241">
        <v>71.221999999999994</v>
      </c>
      <c r="U241" t="s">
        <v>349</v>
      </c>
      <c r="V241" t="s">
        <v>349</v>
      </c>
      <c r="W241">
        <v>203053</v>
      </c>
    </row>
    <row r="242" spans="1:23" x14ac:dyDescent="0.3">
      <c r="A242" s="1">
        <v>43952</v>
      </c>
      <c r="B242" s="1">
        <v>43952</v>
      </c>
      <c r="C242" t="s">
        <v>157</v>
      </c>
      <c r="D242" t="s">
        <v>54</v>
      </c>
      <c r="E242" t="s">
        <v>21</v>
      </c>
      <c r="F242" t="s">
        <v>221</v>
      </c>
      <c r="G242" s="53">
        <v>43987.496550925927</v>
      </c>
      <c r="H242">
        <v>33</v>
      </c>
      <c r="I242">
        <v>14013</v>
      </c>
      <c r="J242" t="s">
        <v>50</v>
      </c>
      <c r="K242" t="s">
        <v>50</v>
      </c>
      <c r="L242" t="s">
        <v>159</v>
      </c>
      <c r="M242" t="s">
        <v>51</v>
      </c>
      <c r="N242" t="s">
        <v>92</v>
      </c>
      <c r="O242" s="1">
        <v>41335</v>
      </c>
      <c r="P242" t="s">
        <v>84</v>
      </c>
      <c r="Q242">
        <v>2</v>
      </c>
      <c r="R242" t="s">
        <v>94</v>
      </c>
      <c r="S242" t="s">
        <v>349</v>
      </c>
      <c r="T242" t="s">
        <v>349</v>
      </c>
      <c r="U242">
        <v>0</v>
      </c>
      <c r="V242">
        <v>6151.21</v>
      </c>
      <c r="W242">
        <v>0</v>
      </c>
    </row>
    <row r="243" spans="1:23" x14ac:dyDescent="0.3">
      <c r="A243" s="1">
        <v>43952</v>
      </c>
      <c r="B243" s="1">
        <v>43952</v>
      </c>
      <c r="C243" t="s">
        <v>157</v>
      </c>
      <c r="D243" t="s">
        <v>48</v>
      </c>
      <c r="E243" t="s">
        <v>49</v>
      </c>
      <c r="F243" t="s">
        <v>220</v>
      </c>
      <c r="G243" s="53">
        <v>43987.496550925927</v>
      </c>
      <c r="H243">
        <v>33</v>
      </c>
      <c r="I243">
        <v>14013</v>
      </c>
      <c r="J243" t="s">
        <v>50</v>
      </c>
      <c r="K243" t="s">
        <v>50</v>
      </c>
      <c r="L243" t="s">
        <v>159</v>
      </c>
      <c r="M243" t="s">
        <v>51</v>
      </c>
      <c r="N243" t="s">
        <v>92</v>
      </c>
      <c r="O243" s="1">
        <v>41335</v>
      </c>
      <c r="P243" t="s">
        <v>84</v>
      </c>
      <c r="Q243">
        <v>2</v>
      </c>
      <c r="R243" t="s">
        <v>94</v>
      </c>
      <c r="S243">
        <v>6.0668620000000004</v>
      </c>
      <c r="T243">
        <v>73.772999999999996</v>
      </c>
      <c r="U243" t="s">
        <v>349</v>
      </c>
      <c r="V243" t="s">
        <v>349</v>
      </c>
      <c r="W243">
        <v>448</v>
      </c>
    </row>
    <row r="244" spans="1:23" x14ac:dyDescent="0.3">
      <c r="A244" s="1">
        <v>43952</v>
      </c>
      <c r="B244" s="1">
        <v>43952</v>
      </c>
      <c r="C244" t="s">
        <v>157</v>
      </c>
      <c r="D244" t="s">
        <v>54</v>
      </c>
      <c r="E244" t="s">
        <v>21</v>
      </c>
      <c r="F244" t="s">
        <v>221</v>
      </c>
      <c r="G244" s="53">
        <v>43987.496550925927</v>
      </c>
      <c r="H244">
        <v>33</v>
      </c>
      <c r="I244">
        <v>14013</v>
      </c>
      <c r="J244" t="s">
        <v>50</v>
      </c>
      <c r="K244" t="s">
        <v>50</v>
      </c>
      <c r="L244" t="s">
        <v>159</v>
      </c>
      <c r="M244" t="s">
        <v>51</v>
      </c>
      <c r="N244" t="s">
        <v>92</v>
      </c>
      <c r="O244" s="1">
        <v>41335</v>
      </c>
      <c r="P244" t="s">
        <v>84</v>
      </c>
      <c r="Q244">
        <v>3</v>
      </c>
      <c r="R244" t="s">
        <v>81</v>
      </c>
      <c r="S244" t="s">
        <v>349</v>
      </c>
      <c r="T244" t="s">
        <v>349</v>
      </c>
      <c r="U244">
        <v>0</v>
      </c>
      <c r="V244">
        <v>5767.18</v>
      </c>
      <c r="W244">
        <v>0</v>
      </c>
    </row>
    <row r="245" spans="1:23" x14ac:dyDescent="0.3">
      <c r="A245" s="1">
        <v>43952</v>
      </c>
      <c r="B245" s="1">
        <v>43952</v>
      </c>
      <c r="C245" t="s">
        <v>157</v>
      </c>
      <c r="D245" t="s">
        <v>93</v>
      </c>
      <c r="E245" t="s">
        <v>49</v>
      </c>
      <c r="F245" t="s">
        <v>217</v>
      </c>
      <c r="G245" s="53">
        <v>44027.009201388886</v>
      </c>
      <c r="H245">
        <v>33</v>
      </c>
      <c r="I245">
        <v>14695</v>
      </c>
      <c r="J245" t="s">
        <v>50</v>
      </c>
      <c r="K245" t="s">
        <v>50</v>
      </c>
      <c r="L245" t="s">
        <v>159</v>
      </c>
      <c r="M245" t="s">
        <v>51</v>
      </c>
      <c r="N245" t="s">
        <v>92</v>
      </c>
      <c r="O245" s="1">
        <v>41335</v>
      </c>
      <c r="P245" t="s">
        <v>84</v>
      </c>
      <c r="Q245">
        <v>3</v>
      </c>
      <c r="R245" t="s">
        <v>81</v>
      </c>
      <c r="S245">
        <v>1</v>
      </c>
      <c r="T245">
        <v>38</v>
      </c>
      <c r="U245" t="s">
        <v>349</v>
      </c>
      <c r="V245" t="s">
        <v>349</v>
      </c>
      <c r="W245">
        <v>38</v>
      </c>
    </row>
    <row r="246" spans="1:23" x14ac:dyDescent="0.3">
      <c r="A246" s="1">
        <v>43952</v>
      </c>
      <c r="B246" s="1">
        <v>43952</v>
      </c>
      <c r="C246" t="s">
        <v>157</v>
      </c>
      <c r="D246" t="s">
        <v>48</v>
      </c>
      <c r="E246" t="s">
        <v>49</v>
      </c>
      <c r="F246" t="s">
        <v>220</v>
      </c>
      <c r="G246" s="53">
        <v>43987.496550925927</v>
      </c>
      <c r="H246">
        <v>33</v>
      </c>
      <c r="I246">
        <v>14013</v>
      </c>
      <c r="J246" t="s">
        <v>50</v>
      </c>
      <c r="K246" t="s">
        <v>50</v>
      </c>
      <c r="L246" t="s">
        <v>159</v>
      </c>
      <c r="M246" t="s">
        <v>51</v>
      </c>
      <c r="N246" t="s">
        <v>92</v>
      </c>
      <c r="O246" s="1">
        <v>41335</v>
      </c>
      <c r="P246" t="s">
        <v>84</v>
      </c>
      <c r="Q246">
        <v>3</v>
      </c>
      <c r="R246" t="s">
        <v>81</v>
      </c>
      <c r="S246">
        <v>420.03741300000002</v>
      </c>
      <c r="T246">
        <v>67.765000000000001</v>
      </c>
      <c r="U246" t="s">
        <v>349</v>
      </c>
      <c r="V246" t="s">
        <v>349</v>
      </c>
      <c r="W246">
        <v>28464</v>
      </c>
    </row>
    <row r="247" spans="1:23" x14ac:dyDescent="0.3">
      <c r="A247" s="1">
        <v>43952</v>
      </c>
      <c r="B247" s="1">
        <v>43952</v>
      </c>
      <c r="C247" t="s">
        <v>157</v>
      </c>
      <c r="D247" t="s">
        <v>54</v>
      </c>
      <c r="E247" t="s">
        <v>21</v>
      </c>
      <c r="F247" t="s">
        <v>221</v>
      </c>
      <c r="G247" s="53">
        <v>43987.496550925927</v>
      </c>
      <c r="H247">
        <v>33</v>
      </c>
      <c r="I247">
        <v>14013</v>
      </c>
      <c r="J247" t="s">
        <v>50</v>
      </c>
      <c r="K247" t="s">
        <v>50</v>
      </c>
      <c r="L247" t="s">
        <v>159</v>
      </c>
      <c r="M247" t="s">
        <v>51</v>
      </c>
      <c r="N247" t="s">
        <v>92</v>
      </c>
      <c r="O247" s="1">
        <v>41335</v>
      </c>
      <c r="P247" t="s">
        <v>84</v>
      </c>
      <c r="Q247">
        <v>4</v>
      </c>
      <c r="R247" t="s">
        <v>27</v>
      </c>
      <c r="S247" t="s">
        <v>349</v>
      </c>
      <c r="T247" t="s">
        <v>349</v>
      </c>
      <c r="U247">
        <v>0</v>
      </c>
      <c r="V247">
        <v>5963.14</v>
      </c>
      <c r="W247">
        <v>0</v>
      </c>
    </row>
    <row r="248" spans="1:23" x14ac:dyDescent="0.3">
      <c r="A248" s="1">
        <v>43952</v>
      </c>
      <c r="B248" s="1">
        <v>43952</v>
      </c>
      <c r="C248" t="s">
        <v>157</v>
      </c>
      <c r="D248" t="s">
        <v>93</v>
      </c>
      <c r="E248" t="s">
        <v>49</v>
      </c>
      <c r="F248" t="s">
        <v>217</v>
      </c>
      <c r="G248" s="53">
        <v>44027.009201388886</v>
      </c>
      <c r="H248">
        <v>33</v>
      </c>
      <c r="I248">
        <v>14695</v>
      </c>
      <c r="J248" t="s">
        <v>50</v>
      </c>
      <c r="K248" t="s">
        <v>50</v>
      </c>
      <c r="L248" t="s">
        <v>159</v>
      </c>
      <c r="M248" t="s">
        <v>51</v>
      </c>
      <c r="N248" t="s">
        <v>92</v>
      </c>
      <c r="O248" s="1">
        <v>41335</v>
      </c>
      <c r="P248" t="s">
        <v>84</v>
      </c>
      <c r="Q248">
        <v>4</v>
      </c>
      <c r="R248" t="s">
        <v>27</v>
      </c>
      <c r="S248">
        <v>1</v>
      </c>
      <c r="T248">
        <v>238</v>
      </c>
      <c r="U248" t="s">
        <v>349</v>
      </c>
      <c r="V248" t="s">
        <v>349</v>
      </c>
      <c r="W248">
        <v>238</v>
      </c>
    </row>
    <row r="249" spans="1:23" x14ac:dyDescent="0.3">
      <c r="A249" s="1">
        <v>43952</v>
      </c>
      <c r="B249" s="1">
        <v>43952</v>
      </c>
      <c r="C249" t="s">
        <v>157</v>
      </c>
      <c r="D249" t="s">
        <v>48</v>
      </c>
      <c r="E249" t="s">
        <v>49</v>
      </c>
      <c r="F249" t="s">
        <v>220</v>
      </c>
      <c r="G249" s="53">
        <v>43987.496550925927</v>
      </c>
      <c r="H249">
        <v>33</v>
      </c>
      <c r="I249">
        <v>14013</v>
      </c>
      <c r="J249" t="s">
        <v>50</v>
      </c>
      <c r="K249" t="s">
        <v>50</v>
      </c>
      <c r="L249" t="s">
        <v>159</v>
      </c>
      <c r="M249" t="s">
        <v>51</v>
      </c>
      <c r="N249" t="s">
        <v>92</v>
      </c>
      <c r="O249" s="1">
        <v>41335</v>
      </c>
      <c r="P249" t="s">
        <v>84</v>
      </c>
      <c r="Q249">
        <v>4</v>
      </c>
      <c r="R249" t="s">
        <v>27</v>
      </c>
      <c r="S249">
        <v>2600.4811690000001</v>
      </c>
      <c r="T249">
        <v>69.12</v>
      </c>
      <c r="U249" t="s">
        <v>349</v>
      </c>
      <c r="V249" t="s">
        <v>349</v>
      </c>
      <c r="W249">
        <v>179745</v>
      </c>
    </row>
    <row r="250" spans="1:23" x14ac:dyDescent="0.3">
      <c r="A250" s="1">
        <v>43952</v>
      </c>
      <c r="B250" s="1">
        <v>43952</v>
      </c>
      <c r="C250" t="s">
        <v>157</v>
      </c>
      <c r="D250" t="s">
        <v>54</v>
      </c>
      <c r="E250" t="s">
        <v>21</v>
      </c>
      <c r="F250" t="s">
        <v>221</v>
      </c>
      <c r="G250" s="53">
        <v>43987.496550925927</v>
      </c>
      <c r="H250">
        <v>33</v>
      </c>
      <c r="I250">
        <v>14013</v>
      </c>
      <c r="J250" t="s">
        <v>50</v>
      </c>
      <c r="K250" t="s">
        <v>50</v>
      </c>
      <c r="L250" t="s">
        <v>159</v>
      </c>
      <c r="M250" t="s">
        <v>51</v>
      </c>
      <c r="N250" t="s">
        <v>92</v>
      </c>
      <c r="O250" s="1">
        <v>41335</v>
      </c>
      <c r="P250" t="s">
        <v>84</v>
      </c>
      <c r="Q250">
        <v>5</v>
      </c>
      <c r="R250" t="s">
        <v>28</v>
      </c>
      <c r="S250" t="s">
        <v>349</v>
      </c>
      <c r="T250" t="s">
        <v>349</v>
      </c>
      <c r="U250">
        <v>0</v>
      </c>
      <c r="V250">
        <v>5783.56</v>
      </c>
      <c r="W250">
        <v>0</v>
      </c>
    </row>
    <row r="251" spans="1:23" x14ac:dyDescent="0.3">
      <c r="A251" s="1">
        <v>43952</v>
      </c>
      <c r="B251" s="1">
        <v>43952</v>
      </c>
      <c r="C251" t="s">
        <v>157</v>
      </c>
      <c r="D251" t="s">
        <v>93</v>
      </c>
      <c r="E251" t="s">
        <v>49</v>
      </c>
      <c r="F251" t="s">
        <v>217</v>
      </c>
      <c r="G251" s="53">
        <v>44027.009201388886</v>
      </c>
      <c r="H251">
        <v>33</v>
      </c>
      <c r="I251">
        <v>14695</v>
      </c>
      <c r="J251" t="s">
        <v>50</v>
      </c>
      <c r="K251" t="s">
        <v>50</v>
      </c>
      <c r="L251" t="s">
        <v>159</v>
      </c>
      <c r="M251" t="s">
        <v>51</v>
      </c>
      <c r="N251" t="s">
        <v>92</v>
      </c>
      <c r="O251" s="1">
        <v>41335</v>
      </c>
      <c r="P251" t="s">
        <v>84</v>
      </c>
      <c r="Q251">
        <v>5</v>
      </c>
      <c r="R251" t="s">
        <v>28</v>
      </c>
      <c r="S251">
        <v>1</v>
      </c>
      <c r="T251">
        <v>1</v>
      </c>
      <c r="U251" t="s">
        <v>349</v>
      </c>
      <c r="V251" t="s">
        <v>349</v>
      </c>
      <c r="W251">
        <v>1</v>
      </c>
    </row>
    <row r="252" spans="1:23" x14ac:dyDescent="0.3">
      <c r="A252" s="1">
        <v>43952</v>
      </c>
      <c r="B252" s="1">
        <v>43952</v>
      </c>
      <c r="C252" t="s">
        <v>157</v>
      </c>
      <c r="D252" t="s">
        <v>48</v>
      </c>
      <c r="E252" t="s">
        <v>49</v>
      </c>
      <c r="F252" t="s">
        <v>220</v>
      </c>
      <c r="G252" s="53">
        <v>43987.496550925927</v>
      </c>
      <c r="H252">
        <v>33</v>
      </c>
      <c r="I252">
        <v>14013</v>
      </c>
      <c r="J252" t="s">
        <v>50</v>
      </c>
      <c r="K252" t="s">
        <v>50</v>
      </c>
      <c r="L252" t="s">
        <v>159</v>
      </c>
      <c r="M252" t="s">
        <v>51</v>
      </c>
      <c r="N252" t="s">
        <v>92</v>
      </c>
      <c r="O252" s="1">
        <v>41335</v>
      </c>
      <c r="P252" t="s">
        <v>84</v>
      </c>
      <c r="Q252">
        <v>5</v>
      </c>
      <c r="R252" t="s">
        <v>28</v>
      </c>
      <c r="S252">
        <v>15.361321</v>
      </c>
      <c r="T252">
        <v>71.932000000000002</v>
      </c>
      <c r="U252" t="s">
        <v>349</v>
      </c>
      <c r="V252" t="s">
        <v>349</v>
      </c>
      <c r="W252">
        <v>1105</v>
      </c>
    </row>
    <row r="253" spans="1:23" x14ac:dyDescent="0.3">
      <c r="A253" s="1">
        <v>43983</v>
      </c>
      <c r="B253" s="1">
        <v>43983</v>
      </c>
      <c r="C253" t="s">
        <v>157</v>
      </c>
      <c r="D253" t="s">
        <v>54</v>
      </c>
      <c r="E253" t="s">
        <v>21</v>
      </c>
      <c r="F253" t="s">
        <v>224</v>
      </c>
      <c r="G253" s="53">
        <v>44020.479664351849</v>
      </c>
      <c r="H253">
        <v>33</v>
      </c>
      <c r="I253">
        <v>14392</v>
      </c>
      <c r="J253" t="s">
        <v>50</v>
      </c>
      <c r="K253" t="s">
        <v>50</v>
      </c>
      <c r="L253" t="s">
        <v>159</v>
      </c>
      <c r="M253" t="s">
        <v>51</v>
      </c>
      <c r="N253" t="s">
        <v>92</v>
      </c>
      <c r="O253" s="1">
        <v>41335</v>
      </c>
      <c r="P253" t="s">
        <v>84</v>
      </c>
      <c r="Q253">
        <v>1</v>
      </c>
      <c r="R253" t="s">
        <v>83</v>
      </c>
      <c r="S253" t="s">
        <v>349</v>
      </c>
      <c r="T253" t="s">
        <v>349</v>
      </c>
      <c r="U253">
        <v>0</v>
      </c>
      <c r="V253">
        <v>6077.2</v>
      </c>
      <c r="W253">
        <v>0</v>
      </c>
    </row>
    <row r="254" spans="1:23" x14ac:dyDescent="0.3">
      <c r="A254" s="1">
        <v>43983</v>
      </c>
      <c r="B254" s="1">
        <v>43983</v>
      </c>
      <c r="C254" t="s">
        <v>157</v>
      </c>
      <c r="D254" t="s">
        <v>93</v>
      </c>
      <c r="E254" t="s">
        <v>49</v>
      </c>
      <c r="F254" t="s">
        <v>229</v>
      </c>
      <c r="G254" s="53">
        <v>44057.743877314817</v>
      </c>
      <c r="H254">
        <v>61</v>
      </c>
      <c r="I254" t="s">
        <v>349</v>
      </c>
      <c r="J254" t="s">
        <v>50</v>
      </c>
      <c r="K254" t="s">
        <v>50</v>
      </c>
      <c r="L254" t="s">
        <v>159</v>
      </c>
      <c r="M254" t="s">
        <v>51</v>
      </c>
      <c r="N254" t="s">
        <v>92</v>
      </c>
      <c r="O254" s="1">
        <v>41335</v>
      </c>
      <c r="P254" t="s">
        <v>84</v>
      </c>
      <c r="Q254">
        <v>1</v>
      </c>
      <c r="R254" t="s">
        <v>83</v>
      </c>
      <c r="S254">
        <v>1</v>
      </c>
      <c r="T254">
        <v>-1449</v>
      </c>
      <c r="U254" t="s">
        <v>349</v>
      </c>
      <c r="V254" t="s">
        <v>349</v>
      </c>
      <c r="W254">
        <v>-1449</v>
      </c>
    </row>
    <row r="255" spans="1:23" x14ac:dyDescent="0.3">
      <c r="A255" s="1">
        <v>43983</v>
      </c>
      <c r="B255" s="1">
        <v>43983</v>
      </c>
      <c r="C255" t="s">
        <v>157</v>
      </c>
      <c r="D255" t="s">
        <v>48</v>
      </c>
      <c r="E255" t="s">
        <v>49</v>
      </c>
      <c r="F255" t="s">
        <v>228</v>
      </c>
      <c r="G255" s="53">
        <v>44020.479664351849</v>
      </c>
      <c r="H255">
        <v>33</v>
      </c>
      <c r="I255">
        <v>14392</v>
      </c>
      <c r="J255" t="s">
        <v>50</v>
      </c>
      <c r="K255" t="s">
        <v>50</v>
      </c>
      <c r="L255" t="s">
        <v>159</v>
      </c>
      <c r="M255" t="s">
        <v>51</v>
      </c>
      <c r="N255" t="s">
        <v>92</v>
      </c>
      <c r="O255" s="1">
        <v>41335</v>
      </c>
      <c r="P255" t="s">
        <v>84</v>
      </c>
      <c r="Q255">
        <v>1</v>
      </c>
      <c r="R255" t="s">
        <v>83</v>
      </c>
      <c r="S255">
        <v>2496.08</v>
      </c>
      <c r="T255">
        <v>71.221999999999994</v>
      </c>
      <c r="U255" t="s">
        <v>349</v>
      </c>
      <c r="V255" t="s">
        <v>349</v>
      </c>
      <c r="W255">
        <v>177776</v>
      </c>
    </row>
    <row r="256" spans="1:23" x14ac:dyDescent="0.3">
      <c r="A256" s="1">
        <v>43983</v>
      </c>
      <c r="B256" s="1">
        <v>43983</v>
      </c>
      <c r="C256" t="s">
        <v>157</v>
      </c>
      <c r="D256" t="s">
        <v>54</v>
      </c>
      <c r="E256" t="s">
        <v>21</v>
      </c>
      <c r="F256" t="s">
        <v>224</v>
      </c>
      <c r="G256" s="53">
        <v>44020.479664351849</v>
      </c>
      <c r="H256">
        <v>33</v>
      </c>
      <c r="I256">
        <v>14392</v>
      </c>
      <c r="J256" t="s">
        <v>50</v>
      </c>
      <c r="K256" t="s">
        <v>50</v>
      </c>
      <c r="L256" t="s">
        <v>159</v>
      </c>
      <c r="M256" t="s">
        <v>51</v>
      </c>
      <c r="N256" t="s">
        <v>92</v>
      </c>
      <c r="O256" s="1">
        <v>41335</v>
      </c>
      <c r="P256" t="s">
        <v>84</v>
      </c>
      <c r="Q256">
        <v>2</v>
      </c>
      <c r="R256" t="s">
        <v>94</v>
      </c>
      <c r="S256" t="s">
        <v>349</v>
      </c>
      <c r="T256" t="s">
        <v>349</v>
      </c>
      <c r="U256">
        <v>0</v>
      </c>
      <c r="V256">
        <v>6151.21</v>
      </c>
      <c r="W256">
        <v>0</v>
      </c>
    </row>
    <row r="257" spans="1:23" x14ac:dyDescent="0.3">
      <c r="A257" s="1">
        <v>43983</v>
      </c>
      <c r="B257" s="1">
        <v>43983</v>
      </c>
      <c r="C257" t="s">
        <v>157</v>
      </c>
      <c r="D257" t="s">
        <v>93</v>
      </c>
      <c r="E257" t="s">
        <v>49</v>
      </c>
      <c r="F257" t="s">
        <v>229</v>
      </c>
      <c r="G257" s="53">
        <v>44057.743877314817</v>
      </c>
      <c r="H257">
        <v>61</v>
      </c>
      <c r="I257" t="s">
        <v>349</v>
      </c>
      <c r="J257" t="s">
        <v>50</v>
      </c>
      <c r="K257" t="s">
        <v>50</v>
      </c>
      <c r="L257" t="s">
        <v>159</v>
      </c>
      <c r="M257" t="s">
        <v>51</v>
      </c>
      <c r="N257" t="s">
        <v>92</v>
      </c>
      <c r="O257" s="1">
        <v>41335</v>
      </c>
      <c r="P257" t="s">
        <v>84</v>
      </c>
      <c r="Q257">
        <v>2</v>
      </c>
      <c r="R257" t="s">
        <v>94</v>
      </c>
      <c r="S257">
        <v>1</v>
      </c>
      <c r="T257">
        <v>-3</v>
      </c>
      <c r="U257" t="s">
        <v>349</v>
      </c>
      <c r="V257" t="s">
        <v>349</v>
      </c>
      <c r="W257">
        <v>-3</v>
      </c>
    </row>
    <row r="258" spans="1:23" x14ac:dyDescent="0.3">
      <c r="A258" s="1">
        <v>43983</v>
      </c>
      <c r="B258" s="1">
        <v>43983</v>
      </c>
      <c r="C258" t="s">
        <v>157</v>
      </c>
      <c r="D258" t="s">
        <v>48</v>
      </c>
      <c r="E258" t="s">
        <v>49</v>
      </c>
      <c r="F258" t="s">
        <v>228</v>
      </c>
      <c r="G258" s="53">
        <v>44020.479664351849</v>
      </c>
      <c r="H258">
        <v>33</v>
      </c>
      <c r="I258">
        <v>14392</v>
      </c>
      <c r="J258" t="s">
        <v>50</v>
      </c>
      <c r="K258" t="s">
        <v>50</v>
      </c>
      <c r="L258" t="s">
        <v>159</v>
      </c>
      <c r="M258" t="s">
        <v>51</v>
      </c>
      <c r="N258" t="s">
        <v>92</v>
      </c>
      <c r="O258" s="1">
        <v>41335</v>
      </c>
      <c r="P258" t="s">
        <v>84</v>
      </c>
      <c r="Q258">
        <v>2</v>
      </c>
      <c r="R258" t="s">
        <v>94</v>
      </c>
      <c r="S258">
        <v>5.0652330000000001</v>
      </c>
      <c r="T258">
        <v>73.772999999999996</v>
      </c>
      <c r="U258" t="s">
        <v>349</v>
      </c>
      <c r="V258" t="s">
        <v>349</v>
      </c>
      <c r="W258">
        <v>374</v>
      </c>
    </row>
    <row r="259" spans="1:23" x14ac:dyDescent="0.3">
      <c r="A259" s="1">
        <v>43983</v>
      </c>
      <c r="B259" s="1">
        <v>43983</v>
      </c>
      <c r="C259" t="s">
        <v>157</v>
      </c>
      <c r="D259" t="s">
        <v>54</v>
      </c>
      <c r="E259" t="s">
        <v>21</v>
      </c>
      <c r="F259" t="s">
        <v>224</v>
      </c>
      <c r="G259" s="53">
        <v>44020.479664351849</v>
      </c>
      <c r="H259">
        <v>33</v>
      </c>
      <c r="I259">
        <v>14392</v>
      </c>
      <c r="J259" t="s">
        <v>50</v>
      </c>
      <c r="K259" t="s">
        <v>50</v>
      </c>
      <c r="L259" t="s">
        <v>159</v>
      </c>
      <c r="M259" t="s">
        <v>51</v>
      </c>
      <c r="N259" t="s">
        <v>92</v>
      </c>
      <c r="O259" s="1">
        <v>41335</v>
      </c>
      <c r="P259" t="s">
        <v>84</v>
      </c>
      <c r="Q259">
        <v>3</v>
      </c>
      <c r="R259" t="s">
        <v>81</v>
      </c>
      <c r="S259" t="s">
        <v>349</v>
      </c>
      <c r="T259" t="s">
        <v>349</v>
      </c>
      <c r="U259">
        <v>0</v>
      </c>
      <c r="V259">
        <v>5767.18</v>
      </c>
      <c r="W259">
        <v>0</v>
      </c>
    </row>
    <row r="260" spans="1:23" x14ac:dyDescent="0.3">
      <c r="A260" s="1">
        <v>43983</v>
      </c>
      <c r="B260" s="1">
        <v>43983</v>
      </c>
      <c r="C260" t="s">
        <v>157</v>
      </c>
      <c r="D260" t="s">
        <v>93</v>
      </c>
      <c r="E260" t="s">
        <v>49</v>
      </c>
      <c r="F260" t="s">
        <v>229</v>
      </c>
      <c r="G260" s="53">
        <v>44057.743877314817</v>
      </c>
      <c r="H260">
        <v>61</v>
      </c>
      <c r="I260" t="s">
        <v>349</v>
      </c>
      <c r="J260" t="s">
        <v>50</v>
      </c>
      <c r="K260" t="s">
        <v>50</v>
      </c>
      <c r="L260" t="s">
        <v>159</v>
      </c>
      <c r="M260" t="s">
        <v>51</v>
      </c>
      <c r="N260" t="s">
        <v>92</v>
      </c>
      <c r="O260" s="1">
        <v>41335</v>
      </c>
      <c r="P260" t="s">
        <v>84</v>
      </c>
      <c r="Q260">
        <v>3</v>
      </c>
      <c r="R260" t="s">
        <v>81</v>
      </c>
      <c r="S260">
        <v>1</v>
      </c>
      <c r="T260">
        <v>-200</v>
      </c>
      <c r="U260" t="s">
        <v>349</v>
      </c>
      <c r="V260" t="s">
        <v>349</v>
      </c>
      <c r="W260">
        <v>-200</v>
      </c>
    </row>
    <row r="261" spans="1:23" x14ac:dyDescent="0.3">
      <c r="A261" s="1">
        <v>43983</v>
      </c>
      <c r="B261" s="1">
        <v>43983</v>
      </c>
      <c r="C261" t="s">
        <v>157</v>
      </c>
      <c r="D261" t="s">
        <v>48</v>
      </c>
      <c r="E261" t="s">
        <v>49</v>
      </c>
      <c r="F261" t="s">
        <v>228</v>
      </c>
      <c r="G261" s="53">
        <v>44020.479664351849</v>
      </c>
      <c r="H261">
        <v>33</v>
      </c>
      <c r="I261">
        <v>14392</v>
      </c>
      <c r="J261" t="s">
        <v>50</v>
      </c>
      <c r="K261" t="s">
        <v>50</v>
      </c>
      <c r="L261" t="s">
        <v>159</v>
      </c>
      <c r="M261" t="s">
        <v>51</v>
      </c>
      <c r="N261" t="s">
        <v>92</v>
      </c>
      <c r="O261" s="1">
        <v>41335</v>
      </c>
      <c r="P261" t="s">
        <v>84</v>
      </c>
      <c r="Q261">
        <v>3</v>
      </c>
      <c r="R261" t="s">
        <v>81</v>
      </c>
      <c r="S261">
        <v>361.77921099999998</v>
      </c>
      <c r="T261">
        <v>67.765000000000001</v>
      </c>
      <c r="U261" t="s">
        <v>349</v>
      </c>
      <c r="V261" t="s">
        <v>349</v>
      </c>
      <c r="W261">
        <v>24516</v>
      </c>
    </row>
    <row r="262" spans="1:23" x14ac:dyDescent="0.3">
      <c r="A262" s="1">
        <v>43983</v>
      </c>
      <c r="B262" s="1">
        <v>43983</v>
      </c>
      <c r="C262" t="s">
        <v>157</v>
      </c>
      <c r="D262" t="s">
        <v>54</v>
      </c>
      <c r="E262" t="s">
        <v>21</v>
      </c>
      <c r="F262" t="s">
        <v>224</v>
      </c>
      <c r="G262" s="53">
        <v>44020.479664351849</v>
      </c>
      <c r="H262">
        <v>33</v>
      </c>
      <c r="I262">
        <v>14392</v>
      </c>
      <c r="J262" t="s">
        <v>50</v>
      </c>
      <c r="K262" t="s">
        <v>50</v>
      </c>
      <c r="L262" t="s">
        <v>159</v>
      </c>
      <c r="M262" t="s">
        <v>51</v>
      </c>
      <c r="N262" t="s">
        <v>92</v>
      </c>
      <c r="O262" s="1">
        <v>41335</v>
      </c>
      <c r="P262" t="s">
        <v>84</v>
      </c>
      <c r="Q262">
        <v>4</v>
      </c>
      <c r="R262" t="s">
        <v>27</v>
      </c>
      <c r="S262" t="s">
        <v>349</v>
      </c>
      <c r="T262" t="s">
        <v>349</v>
      </c>
      <c r="U262">
        <v>0</v>
      </c>
      <c r="V262">
        <v>5963.14</v>
      </c>
      <c r="W262">
        <v>0</v>
      </c>
    </row>
    <row r="263" spans="1:23" x14ac:dyDescent="0.3">
      <c r="A263" s="1">
        <v>43983</v>
      </c>
      <c r="B263" s="1">
        <v>43983</v>
      </c>
      <c r="C263" t="s">
        <v>157</v>
      </c>
      <c r="D263" t="s">
        <v>93</v>
      </c>
      <c r="E263" t="s">
        <v>49</v>
      </c>
      <c r="F263" t="s">
        <v>229</v>
      </c>
      <c r="G263" s="53">
        <v>44057.743877314817</v>
      </c>
      <c r="H263">
        <v>61</v>
      </c>
      <c r="I263" t="s">
        <v>349</v>
      </c>
      <c r="J263" t="s">
        <v>50</v>
      </c>
      <c r="K263" t="s">
        <v>50</v>
      </c>
      <c r="L263" t="s">
        <v>159</v>
      </c>
      <c r="M263" t="s">
        <v>51</v>
      </c>
      <c r="N263" t="s">
        <v>92</v>
      </c>
      <c r="O263" s="1">
        <v>41335</v>
      </c>
      <c r="P263" t="s">
        <v>84</v>
      </c>
      <c r="Q263">
        <v>4</v>
      </c>
      <c r="R263" t="s">
        <v>27</v>
      </c>
      <c r="S263">
        <v>1</v>
      </c>
      <c r="T263">
        <v>-1279</v>
      </c>
      <c r="U263" t="s">
        <v>349</v>
      </c>
      <c r="V263" t="s">
        <v>349</v>
      </c>
      <c r="W263">
        <v>-1279</v>
      </c>
    </row>
    <row r="264" spans="1:23" x14ac:dyDescent="0.3">
      <c r="A264" s="1">
        <v>43983</v>
      </c>
      <c r="B264" s="1">
        <v>43983</v>
      </c>
      <c r="C264" t="s">
        <v>157</v>
      </c>
      <c r="D264" t="s">
        <v>48</v>
      </c>
      <c r="E264" t="s">
        <v>49</v>
      </c>
      <c r="F264" t="s">
        <v>228</v>
      </c>
      <c r="G264" s="53">
        <v>44020.479664351849</v>
      </c>
      <c r="H264">
        <v>33</v>
      </c>
      <c r="I264">
        <v>14392</v>
      </c>
      <c r="J264" t="s">
        <v>50</v>
      </c>
      <c r="K264" t="s">
        <v>50</v>
      </c>
      <c r="L264" t="s">
        <v>159</v>
      </c>
      <c r="M264" t="s">
        <v>51</v>
      </c>
      <c r="N264" t="s">
        <v>92</v>
      </c>
      <c r="O264" s="1">
        <v>41335</v>
      </c>
      <c r="P264" t="s">
        <v>84</v>
      </c>
      <c r="Q264">
        <v>4</v>
      </c>
      <c r="R264" t="s">
        <v>27</v>
      </c>
      <c r="S264">
        <v>2272.4959020000001</v>
      </c>
      <c r="T264">
        <v>69.12</v>
      </c>
      <c r="U264" t="s">
        <v>349</v>
      </c>
      <c r="V264" t="s">
        <v>349</v>
      </c>
      <c r="W264">
        <v>157075</v>
      </c>
    </row>
    <row r="265" spans="1:23" x14ac:dyDescent="0.3">
      <c r="A265" s="1">
        <v>43983</v>
      </c>
      <c r="B265" s="1">
        <v>43983</v>
      </c>
      <c r="C265" t="s">
        <v>157</v>
      </c>
      <c r="D265" t="s">
        <v>54</v>
      </c>
      <c r="E265" t="s">
        <v>21</v>
      </c>
      <c r="F265" t="s">
        <v>224</v>
      </c>
      <c r="G265" s="53">
        <v>44020.479664351849</v>
      </c>
      <c r="H265">
        <v>33</v>
      </c>
      <c r="I265">
        <v>14392</v>
      </c>
      <c r="J265" t="s">
        <v>50</v>
      </c>
      <c r="K265" t="s">
        <v>50</v>
      </c>
      <c r="L265" t="s">
        <v>159</v>
      </c>
      <c r="M265" t="s">
        <v>51</v>
      </c>
      <c r="N265" t="s">
        <v>92</v>
      </c>
      <c r="O265" s="1">
        <v>41335</v>
      </c>
      <c r="P265" t="s">
        <v>84</v>
      </c>
      <c r="Q265">
        <v>5</v>
      </c>
      <c r="R265" t="s">
        <v>28</v>
      </c>
      <c r="S265" t="s">
        <v>349</v>
      </c>
      <c r="T265" t="s">
        <v>349</v>
      </c>
      <c r="U265">
        <v>0</v>
      </c>
      <c r="V265">
        <v>5783.56</v>
      </c>
      <c r="W265">
        <v>0</v>
      </c>
    </row>
    <row r="266" spans="1:23" x14ac:dyDescent="0.3">
      <c r="A266" s="1">
        <v>43983</v>
      </c>
      <c r="B266" s="1">
        <v>43983</v>
      </c>
      <c r="C266" t="s">
        <v>157</v>
      </c>
      <c r="D266" t="s">
        <v>93</v>
      </c>
      <c r="E266" t="s">
        <v>49</v>
      </c>
      <c r="F266" t="s">
        <v>229</v>
      </c>
      <c r="G266" s="53">
        <v>44057.743877314817</v>
      </c>
      <c r="H266">
        <v>61</v>
      </c>
      <c r="I266" t="s">
        <v>349</v>
      </c>
      <c r="J266" t="s">
        <v>50</v>
      </c>
      <c r="K266" t="s">
        <v>50</v>
      </c>
      <c r="L266" t="s">
        <v>159</v>
      </c>
      <c r="M266" t="s">
        <v>51</v>
      </c>
      <c r="N266" t="s">
        <v>92</v>
      </c>
      <c r="O266" s="1">
        <v>41335</v>
      </c>
      <c r="P266" t="s">
        <v>84</v>
      </c>
      <c r="Q266">
        <v>5</v>
      </c>
      <c r="R266" t="s">
        <v>28</v>
      </c>
      <c r="S266">
        <v>1</v>
      </c>
      <c r="T266">
        <v>-8</v>
      </c>
      <c r="U266" t="s">
        <v>349</v>
      </c>
      <c r="V266" t="s">
        <v>349</v>
      </c>
      <c r="W266">
        <v>-8</v>
      </c>
    </row>
    <row r="267" spans="1:23" x14ac:dyDescent="0.3">
      <c r="A267" s="1">
        <v>43983</v>
      </c>
      <c r="B267" s="1">
        <v>43983</v>
      </c>
      <c r="C267" t="s">
        <v>157</v>
      </c>
      <c r="D267" t="s">
        <v>48</v>
      </c>
      <c r="E267" t="s">
        <v>49</v>
      </c>
      <c r="F267" t="s">
        <v>228</v>
      </c>
      <c r="G267" s="53">
        <v>44020.479664351849</v>
      </c>
      <c r="H267">
        <v>33</v>
      </c>
      <c r="I267">
        <v>14392</v>
      </c>
      <c r="J267" t="s">
        <v>50</v>
      </c>
      <c r="K267" t="s">
        <v>50</v>
      </c>
      <c r="L267" t="s">
        <v>159</v>
      </c>
      <c r="M267" t="s">
        <v>51</v>
      </c>
      <c r="N267" t="s">
        <v>92</v>
      </c>
      <c r="O267" s="1">
        <v>41335</v>
      </c>
      <c r="P267" t="s">
        <v>84</v>
      </c>
      <c r="Q267">
        <v>5</v>
      </c>
      <c r="R267" t="s">
        <v>28</v>
      </c>
      <c r="S267">
        <v>13.447563000000001</v>
      </c>
      <c r="T267">
        <v>71.932000000000002</v>
      </c>
      <c r="U267" t="s">
        <v>349</v>
      </c>
      <c r="V267" t="s">
        <v>349</v>
      </c>
      <c r="W267">
        <v>967</v>
      </c>
    </row>
    <row r="268" spans="1:23" x14ac:dyDescent="0.3">
      <c r="A268" s="1">
        <v>44013</v>
      </c>
      <c r="B268" s="1">
        <v>44013</v>
      </c>
      <c r="C268" t="s">
        <v>157</v>
      </c>
      <c r="D268" t="s">
        <v>54</v>
      </c>
      <c r="E268" t="s">
        <v>21</v>
      </c>
      <c r="F268" t="s">
        <v>231</v>
      </c>
      <c r="G268" s="53">
        <v>44053.449259259258</v>
      </c>
      <c r="H268">
        <v>33</v>
      </c>
      <c r="I268">
        <v>14796</v>
      </c>
      <c r="J268" t="s">
        <v>50</v>
      </c>
      <c r="K268" t="s">
        <v>50</v>
      </c>
      <c r="L268" t="s">
        <v>159</v>
      </c>
      <c r="M268" t="s">
        <v>51</v>
      </c>
      <c r="N268" t="s">
        <v>92</v>
      </c>
      <c r="O268" s="1">
        <v>41335</v>
      </c>
      <c r="P268" t="s">
        <v>84</v>
      </c>
      <c r="Q268">
        <v>1</v>
      </c>
      <c r="R268" t="s">
        <v>83</v>
      </c>
      <c r="S268" t="s">
        <v>349</v>
      </c>
      <c r="T268" t="s">
        <v>349</v>
      </c>
      <c r="U268">
        <v>0</v>
      </c>
      <c r="V268">
        <v>6059.26</v>
      </c>
      <c r="W268">
        <v>0</v>
      </c>
    </row>
    <row r="269" spans="1:23" x14ac:dyDescent="0.3">
      <c r="A269" s="1">
        <v>44013</v>
      </c>
      <c r="B269" s="1">
        <v>44013</v>
      </c>
      <c r="C269" t="s">
        <v>157</v>
      </c>
      <c r="D269" t="s">
        <v>93</v>
      </c>
      <c r="E269" t="s">
        <v>49</v>
      </c>
      <c r="F269" t="s">
        <v>236</v>
      </c>
      <c r="G269" s="53">
        <v>44082.485532407409</v>
      </c>
      <c r="H269">
        <v>33</v>
      </c>
      <c r="I269" t="s">
        <v>349</v>
      </c>
      <c r="J269" t="s">
        <v>50</v>
      </c>
      <c r="K269" t="s">
        <v>50</v>
      </c>
      <c r="L269" t="s">
        <v>159</v>
      </c>
      <c r="M269" t="s">
        <v>51</v>
      </c>
      <c r="N269" t="s">
        <v>92</v>
      </c>
      <c r="O269" s="1">
        <v>41335</v>
      </c>
      <c r="P269" t="s">
        <v>84</v>
      </c>
      <c r="Q269">
        <v>1</v>
      </c>
      <c r="R269" t="s">
        <v>83</v>
      </c>
      <c r="S269">
        <v>1</v>
      </c>
      <c r="T269">
        <v>7664</v>
      </c>
      <c r="U269" t="s">
        <v>349</v>
      </c>
      <c r="V269" t="s">
        <v>349</v>
      </c>
      <c r="W269">
        <v>7664</v>
      </c>
    </row>
    <row r="270" spans="1:23" x14ac:dyDescent="0.3">
      <c r="A270" s="1">
        <v>44013</v>
      </c>
      <c r="B270" s="1">
        <v>44013</v>
      </c>
      <c r="C270" t="s">
        <v>157</v>
      </c>
      <c r="D270" t="s">
        <v>48</v>
      </c>
      <c r="E270" t="s">
        <v>49</v>
      </c>
      <c r="F270" t="s">
        <v>235</v>
      </c>
      <c r="G270" s="53">
        <v>44053.449259259258</v>
      </c>
      <c r="H270">
        <v>33</v>
      </c>
      <c r="I270">
        <v>14796</v>
      </c>
      <c r="J270" t="s">
        <v>50</v>
      </c>
      <c r="K270" t="s">
        <v>50</v>
      </c>
      <c r="L270" t="s">
        <v>159</v>
      </c>
      <c r="M270" t="s">
        <v>51</v>
      </c>
      <c r="N270" t="s">
        <v>92</v>
      </c>
      <c r="O270" s="1">
        <v>41335</v>
      </c>
      <c r="P270" t="s">
        <v>84</v>
      </c>
      <c r="Q270">
        <v>1</v>
      </c>
      <c r="R270" t="s">
        <v>83</v>
      </c>
      <c r="S270">
        <v>2138.52</v>
      </c>
      <c r="T270">
        <v>76.587000000000003</v>
      </c>
      <c r="U270" t="s">
        <v>349</v>
      </c>
      <c r="V270" t="s">
        <v>349</v>
      </c>
      <c r="W270">
        <v>163783</v>
      </c>
    </row>
    <row r="271" spans="1:23" x14ac:dyDescent="0.3">
      <c r="A271" s="1">
        <v>44013</v>
      </c>
      <c r="B271" s="1">
        <v>44013</v>
      </c>
      <c r="C271" t="s">
        <v>157</v>
      </c>
      <c r="D271" t="s">
        <v>54</v>
      </c>
      <c r="E271" t="s">
        <v>21</v>
      </c>
      <c r="F271" t="s">
        <v>231</v>
      </c>
      <c r="G271" s="53">
        <v>44053.449259259258</v>
      </c>
      <c r="H271">
        <v>33</v>
      </c>
      <c r="I271">
        <v>14796</v>
      </c>
      <c r="J271" t="s">
        <v>50</v>
      </c>
      <c r="K271" t="s">
        <v>50</v>
      </c>
      <c r="L271" t="s">
        <v>159</v>
      </c>
      <c r="M271" t="s">
        <v>51</v>
      </c>
      <c r="N271" t="s">
        <v>92</v>
      </c>
      <c r="O271" s="1">
        <v>41335</v>
      </c>
      <c r="P271" t="s">
        <v>84</v>
      </c>
      <c r="Q271">
        <v>2</v>
      </c>
      <c r="R271" t="s">
        <v>94</v>
      </c>
      <c r="S271" t="s">
        <v>349</v>
      </c>
      <c r="T271" t="s">
        <v>349</v>
      </c>
      <c r="U271">
        <v>0</v>
      </c>
      <c r="V271">
        <v>6135.34</v>
      </c>
      <c r="W271">
        <v>0</v>
      </c>
    </row>
    <row r="272" spans="1:23" x14ac:dyDescent="0.3">
      <c r="A272" s="1">
        <v>44013</v>
      </c>
      <c r="B272" s="1">
        <v>44013</v>
      </c>
      <c r="C272" t="s">
        <v>157</v>
      </c>
      <c r="D272" t="s">
        <v>93</v>
      </c>
      <c r="E272" t="s">
        <v>49</v>
      </c>
      <c r="F272" t="s">
        <v>236</v>
      </c>
      <c r="G272" s="53">
        <v>44082.485532407409</v>
      </c>
      <c r="H272">
        <v>33</v>
      </c>
      <c r="I272" t="s">
        <v>349</v>
      </c>
      <c r="J272" t="s">
        <v>50</v>
      </c>
      <c r="K272" t="s">
        <v>50</v>
      </c>
      <c r="L272" t="s">
        <v>159</v>
      </c>
      <c r="M272" t="s">
        <v>51</v>
      </c>
      <c r="N272" t="s">
        <v>92</v>
      </c>
      <c r="O272" s="1">
        <v>41335</v>
      </c>
      <c r="P272" t="s">
        <v>84</v>
      </c>
      <c r="Q272">
        <v>2</v>
      </c>
      <c r="R272" t="s">
        <v>94</v>
      </c>
      <c r="S272">
        <v>1</v>
      </c>
      <c r="T272">
        <v>35</v>
      </c>
      <c r="U272" t="s">
        <v>349</v>
      </c>
      <c r="V272" t="s">
        <v>349</v>
      </c>
      <c r="W272">
        <v>35</v>
      </c>
    </row>
    <row r="273" spans="1:23" x14ac:dyDescent="0.3">
      <c r="A273" s="1">
        <v>44013</v>
      </c>
      <c r="B273" s="1">
        <v>44013</v>
      </c>
      <c r="C273" t="s">
        <v>157</v>
      </c>
      <c r="D273" t="s">
        <v>48</v>
      </c>
      <c r="E273" t="s">
        <v>49</v>
      </c>
      <c r="F273" t="s">
        <v>235</v>
      </c>
      <c r="G273" s="53">
        <v>44053.449259259258</v>
      </c>
      <c r="H273">
        <v>33</v>
      </c>
      <c r="I273">
        <v>14796</v>
      </c>
      <c r="J273" t="s">
        <v>50</v>
      </c>
      <c r="K273" t="s">
        <v>50</v>
      </c>
      <c r="L273" t="s">
        <v>159</v>
      </c>
      <c r="M273" t="s">
        <v>51</v>
      </c>
      <c r="N273" t="s">
        <v>92</v>
      </c>
      <c r="O273" s="1">
        <v>41335</v>
      </c>
      <c r="P273" t="s">
        <v>84</v>
      </c>
      <c r="Q273">
        <v>2</v>
      </c>
      <c r="R273" t="s">
        <v>94</v>
      </c>
      <c r="S273">
        <v>9.5288520000000005</v>
      </c>
      <c r="T273">
        <v>77.677999999999997</v>
      </c>
      <c r="U273" t="s">
        <v>349</v>
      </c>
      <c r="V273" t="s">
        <v>349</v>
      </c>
      <c r="W273">
        <v>740</v>
      </c>
    </row>
    <row r="274" spans="1:23" x14ac:dyDescent="0.3">
      <c r="A274" s="1">
        <v>44013</v>
      </c>
      <c r="B274" s="1">
        <v>44013</v>
      </c>
      <c r="C274" t="s">
        <v>157</v>
      </c>
      <c r="D274" t="s">
        <v>54</v>
      </c>
      <c r="E274" t="s">
        <v>21</v>
      </c>
      <c r="F274" t="s">
        <v>231</v>
      </c>
      <c r="G274" s="53">
        <v>44053.449259259258</v>
      </c>
      <c r="H274">
        <v>33</v>
      </c>
      <c r="I274">
        <v>14796</v>
      </c>
      <c r="J274" t="s">
        <v>50</v>
      </c>
      <c r="K274" t="s">
        <v>50</v>
      </c>
      <c r="L274" t="s">
        <v>159</v>
      </c>
      <c r="M274" t="s">
        <v>51</v>
      </c>
      <c r="N274" t="s">
        <v>92</v>
      </c>
      <c r="O274" s="1">
        <v>41335</v>
      </c>
      <c r="P274" t="s">
        <v>84</v>
      </c>
      <c r="Q274">
        <v>3</v>
      </c>
      <c r="R274" t="s">
        <v>81</v>
      </c>
      <c r="S274" t="s">
        <v>349</v>
      </c>
      <c r="T274" t="s">
        <v>349</v>
      </c>
      <c r="U274">
        <v>0</v>
      </c>
      <c r="V274">
        <v>5857.61</v>
      </c>
      <c r="W274">
        <v>0</v>
      </c>
    </row>
    <row r="275" spans="1:23" x14ac:dyDescent="0.3">
      <c r="A275" s="1">
        <v>44013</v>
      </c>
      <c r="B275" s="1">
        <v>44013</v>
      </c>
      <c r="C275" t="s">
        <v>157</v>
      </c>
      <c r="D275" t="s">
        <v>93</v>
      </c>
      <c r="E275" t="s">
        <v>49</v>
      </c>
      <c r="F275" t="s">
        <v>236</v>
      </c>
      <c r="G275" s="53">
        <v>44082.485532407409</v>
      </c>
      <c r="H275">
        <v>33</v>
      </c>
      <c r="I275" t="s">
        <v>349</v>
      </c>
      <c r="J275" t="s">
        <v>50</v>
      </c>
      <c r="K275" t="s">
        <v>50</v>
      </c>
      <c r="L275" t="s">
        <v>159</v>
      </c>
      <c r="M275" t="s">
        <v>51</v>
      </c>
      <c r="N275" t="s">
        <v>92</v>
      </c>
      <c r="O275" s="1">
        <v>41335</v>
      </c>
      <c r="P275" t="s">
        <v>84</v>
      </c>
      <c r="Q275">
        <v>3</v>
      </c>
      <c r="R275" t="s">
        <v>81</v>
      </c>
      <c r="S275">
        <v>1</v>
      </c>
      <c r="T275">
        <v>1075</v>
      </c>
      <c r="U275" t="s">
        <v>349</v>
      </c>
      <c r="V275" t="s">
        <v>349</v>
      </c>
      <c r="W275">
        <v>1075</v>
      </c>
    </row>
    <row r="276" spans="1:23" x14ac:dyDescent="0.3">
      <c r="A276" s="1">
        <v>44013</v>
      </c>
      <c r="B276" s="1">
        <v>44013</v>
      </c>
      <c r="C276" t="s">
        <v>157</v>
      </c>
      <c r="D276" t="s">
        <v>48</v>
      </c>
      <c r="E276" t="s">
        <v>49</v>
      </c>
      <c r="F276" t="s">
        <v>235</v>
      </c>
      <c r="G276" s="53">
        <v>44053.449259259258</v>
      </c>
      <c r="H276">
        <v>33</v>
      </c>
      <c r="I276">
        <v>14796</v>
      </c>
      <c r="J276" t="s">
        <v>50</v>
      </c>
      <c r="K276" t="s">
        <v>50</v>
      </c>
      <c r="L276" t="s">
        <v>159</v>
      </c>
      <c r="M276" t="s">
        <v>51</v>
      </c>
      <c r="N276" t="s">
        <v>92</v>
      </c>
      <c r="O276" s="1">
        <v>41335</v>
      </c>
      <c r="P276" t="s">
        <v>84</v>
      </c>
      <c r="Q276">
        <v>3</v>
      </c>
      <c r="R276" t="s">
        <v>81</v>
      </c>
      <c r="S276">
        <v>314.28954700000003</v>
      </c>
      <c r="T276">
        <v>73.070999999999998</v>
      </c>
      <c r="U276" t="s">
        <v>349</v>
      </c>
      <c r="V276" t="s">
        <v>349</v>
      </c>
      <c r="W276">
        <v>22965</v>
      </c>
    </row>
    <row r="277" spans="1:23" x14ac:dyDescent="0.3">
      <c r="A277" s="1">
        <v>44013</v>
      </c>
      <c r="B277" s="1">
        <v>44013</v>
      </c>
      <c r="C277" t="s">
        <v>157</v>
      </c>
      <c r="D277" t="s">
        <v>54</v>
      </c>
      <c r="E277" t="s">
        <v>21</v>
      </c>
      <c r="F277" t="s">
        <v>231</v>
      </c>
      <c r="G277" s="53">
        <v>44053.449259259258</v>
      </c>
      <c r="H277">
        <v>33</v>
      </c>
      <c r="I277">
        <v>14796</v>
      </c>
      <c r="J277" t="s">
        <v>50</v>
      </c>
      <c r="K277" t="s">
        <v>50</v>
      </c>
      <c r="L277" t="s">
        <v>159</v>
      </c>
      <c r="M277" t="s">
        <v>51</v>
      </c>
      <c r="N277" t="s">
        <v>92</v>
      </c>
      <c r="O277" s="1">
        <v>41335</v>
      </c>
      <c r="P277" t="s">
        <v>84</v>
      </c>
      <c r="Q277">
        <v>4</v>
      </c>
      <c r="R277" t="s">
        <v>27</v>
      </c>
      <c r="S277" t="s">
        <v>349</v>
      </c>
      <c r="T277" t="s">
        <v>349</v>
      </c>
      <c r="U277">
        <v>0</v>
      </c>
      <c r="V277">
        <v>5984.4</v>
      </c>
      <c r="W277">
        <v>0</v>
      </c>
    </row>
    <row r="278" spans="1:23" x14ac:dyDescent="0.3">
      <c r="A278" s="1">
        <v>44013</v>
      </c>
      <c r="B278" s="1">
        <v>44013</v>
      </c>
      <c r="C278" t="s">
        <v>157</v>
      </c>
      <c r="D278" t="s">
        <v>93</v>
      </c>
      <c r="E278" t="s">
        <v>49</v>
      </c>
      <c r="F278" t="s">
        <v>236</v>
      </c>
      <c r="G278" s="53">
        <v>44082.485532407409</v>
      </c>
      <c r="H278">
        <v>33</v>
      </c>
      <c r="I278" t="s">
        <v>349</v>
      </c>
      <c r="J278" t="s">
        <v>50</v>
      </c>
      <c r="K278" t="s">
        <v>50</v>
      </c>
      <c r="L278" t="s">
        <v>159</v>
      </c>
      <c r="M278" t="s">
        <v>51</v>
      </c>
      <c r="N278" t="s">
        <v>92</v>
      </c>
      <c r="O278" s="1">
        <v>41335</v>
      </c>
      <c r="P278" t="s">
        <v>84</v>
      </c>
      <c r="Q278">
        <v>4</v>
      </c>
      <c r="R278" t="s">
        <v>27</v>
      </c>
      <c r="S278">
        <v>1</v>
      </c>
      <c r="T278">
        <v>9294</v>
      </c>
      <c r="U278" t="s">
        <v>349</v>
      </c>
      <c r="V278" t="s">
        <v>349</v>
      </c>
      <c r="W278">
        <v>9294</v>
      </c>
    </row>
    <row r="279" spans="1:23" x14ac:dyDescent="0.3">
      <c r="A279" s="1">
        <v>44013</v>
      </c>
      <c r="B279" s="1">
        <v>44013</v>
      </c>
      <c r="C279" t="s">
        <v>157</v>
      </c>
      <c r="D279" t="s">
        <v>48</v>
      </c>
      <c r="E279" t="s">
        <v>49</v>
      </c>
      <c r="F279" t="s">
        <v>235</v>
      </c>
      <c r="G279" s="53">
        <v>44053.449259259258</v>
      </c>
      <c r="H279">
        <v>33</v>
      </c>
      <c r="I279">
        <v>14796</v>
      </c>
      <c r="J279" t="s">
        <v>50</v>
      </c>
      <c r="K279" t="s">
        <v>50</v>
      </c>
      <c r="L279" t="s">
        <v>159</v>
      </c>
      <c r="M279" t="s">
        <v>51</v>
      </c>
      <c r="N279" t="s">
        <v>92</v>
      </c>
      <c r="O279" s="1">
        <v>41335</v>
      </c>
      <c r="P279" t="s">
        <v>84</v>
      </c>
      <c r="Q279">
        <v>4</v>
      </c>
      <c r="R279" t="s">
        <v>27</v>
      </c>
      <c r="S279">
        <v>2713.5583329999999</v>
      </c>
      <c r="T279">
        <v>73.188999999999993</v>
      </c>
      <c r="U279" t="s">
        <v>349</v>
      </c>
      <c r="V279" t="s">
        <v>349</v>
      </c>
      <c r="W279">
        <v>198603</v>
      </c>
    </row>
    <row r="280" spans="1:23" x14ac:dyDescent="0.3">
      <c r="A280" s="1">
        <v>44013</v>
      </c>
      <c r="B280" s="1">
        <v>44013</v>
      </c>
      <c r="C280" t="s">
        <v>157</v>
      </c>
      <c r="D280" t="s">
        <v>54</v>
      </c>
      <c r="E280" t="s">
        <v>21</v>
      </c>
      <c r="F280" t="s">
        <v>231</v>
      </c>
      <c r="G280" s="53">
        <v>44053.449259259258</v>
      </c>
      <c r="H280">
        <v>33</v>
      </c>
      <c r="I280">
        <v>14796</v>
      </c>
      <c r="J280" t="s">
        <v>50</v>
      </c>
      <c r="K280" t="s">
        <v>50</v>
      </c>
      <c r="L280" t="s">
        <v>159</v>
      </c>
      <c r="M280" t="s">
        <v>51</v>
      </c>
      <c r="N280" t="s">
        <v>92</v>
      </c>
      <c r="O280" s="1">
        <v>41335</v>
      </c>
      <c r="P280" t="s">
        <v>84</v>
      </c>
      <c r="Q280">
        <v>5</v>
      </c>
      <c r="R280" t="s">
        <v>28</v>
      </c>
      <c r="S280" t="s">
        <v>349</v>
      </c>
      <c r="T280" t="s">
        <v>349</v>
      </c>
      <c r="U280">
        <v>0</v>
      </c>
      <c r="V280">
        <v>5746.52</v>
      </c>
      <c r="W280">
        <v>0</v>
      </c>
    </row>
    <row r="281" spans="1:23" x14ac:dyDescent="0.3">
      <c r="A281" s="1">
        <v>44013</v>
      </c>
      <c r="B281" s="1">
        <v>44013</v>
      </c>
      <c r="C281" t="s">
        <v>157</v>
      </c>
      <c r="D281" t="s">
        <v>93</v>
      </c>
      <c r="E281" t="s">
        <v>49</v>
      </c>
      <c r="F281" t="s">
        <v>236</v>
      </c>
      <c r="G281" s="53">
        <v>44082.485532407409</v>
      </c>
      <c r="H281">
        <v>33</v>
      </c>
      <c r="I281" t="s">
        <v>349</v>
      </c>
      <c r="J281" t="s">
        <v>50</v>
      </c>
      <c r="K281" t="s">
        <v>50</v>
      </c>
      <c r="L281" t="s">
        <v>159</v>
      </c>
      <c r="M281" t="s">
        <v>51</v>
      </c>
      <c r="N281" t="s">
        <v>92</v>
      </c>
      <c r="O281" s="1">
        <v>41335</v>
      </c>
      <c r="P281" t="s">
        <v>84</v>
      </c>
      <c r="Q281">
        <v>5</v>
      </c>
      <c r="R281" t="s">
        <v>28</v>
      </c>
      <c r="S281">
        <v>1</v>
      </c>
      <c r="T281">
        <v>40</v>
      </c>
      <c r="U281" t="s">
        <v>349</v>
      </c>
      <c r="V281" t="s">
        <v>349</v>
      </c>
      <c r="W281">
        <v>40</v>
      </c>
    </row>
    <row r="282" spans="1:23" x14ac:dyDescent="0.3">
      <c r="A282" s="1">
        <v>44013</v>
      </c>
      <c r="B282" s="1">
        <v>44013</v>
      </c>
      <c r="C282" t="s">
        <v>157</v>
      </c>
      <c r="D282" t="s">
        <v>48</v>
      </c>
      <c r="E282" t="s">
        <v>49</v>
      </c>
      <c r="F282" t="s">
        <v>235</v>
      </c>
      <c r="G282" s="53">
        <v>44053.449259259258</v>
      </c>
      <c r="H282">
        <v>33</v>
      </c>
      <c r="I282">
        <v>14796</v>
      </c>
      <c r="J282" t="s">
        <v>50</v>
      </c>
      <c r="K282" t="s">
        <v>50</v>
      </c>
      <c r="L282" t="s">
        <v>159</v>
      </c>
      <c r="M282" t="s">
        <v>51</v>
      </c>
      <c r="N282" t="s">
        <v>92</v>
      </c>
      <c r="O282" s="1">
        <v>41335</v>
      </c>
      <c r="P282" t="s">
        <v>84</v>
      </c>
      <c r="Q282">
        <v>5</v>
      </c>
      <c r="R282" t="s">
        <v>28</v>
      </c>
      <c r="S282">
        <v>11.248535</v>
      </c>
      <c r="T282">
        <v>75.629000000000005</v>
      </c>
      <c r="U282" t="s">
        <v>349</v>
      </c>
      <c r="V282" t="s">
        <v>349</v>
      </c>
      <c r="W282">
        <v>851</v>
      </c>
    </row>
    <row r="283" spans="1:23" x14ac:dyDescent="0.3">
      <c r="A283" s="1">
        <v>44044</v>
      </c>
      <c r="B283" s="1">
        <v>44044</v>
      </c>
      <c r="C283" t="s">
        <v>157</v>
      </c>
      <c r="D283" t="s">
        <v>54</v>
      </c>
      <c r="E283" t="s">
        <v>21</v>
      </c>
      <c r="F283" t="s">
        <v>238</v>
      </c>
      <c r="G283" s="53">
        <v>44081.950659722221</v>
      </c>
      <c r="H283">
        <v>33</v>
      </c>
      <c r="I283">
        <v>15128</v>
      </c>
      <c r="J283" t="s">
        <v>50</v>
      </c>
      <c r="K283" t="s">
        <v>50</v>
      </c>
      <c r="L283" t="s">
        <v>159</v>
      </c>
      <c r="M283" t="s">
        <v>51</v>
      </c>
      <c r="N283" t="s">
        <v>92</v>
      </c>
      <c r="O283" s="1">
        <v>41335</v>
      </c>
      <c r="P283" t="s">
        <v>84</v>
      </c>
      <c r="Q283">
        <v>1</v>
      </c>
      <c r="R283" t="s">
        <v>83</v>
      </c>
      <c r="S283" t="s">
        <v>349</v>
      </c>
      <c r="T283" t="s">
        <v>349</v>
      </c>
      <c r="U283">
        <v>0</v>
      </c>
      <c r="V283">
        <v>6060.78</v>
      </c>
      <c r="W283">
        <v>0</v>
      </c>
    </row>
    <row r="284" spans="1:23" x14ac:dyDescent="0.3">
      <c r="A284" s="1">
        <v>44044</v>
      </c>
      <c r="B284" s="1">
        <v>44044</v>
      </c>
      <c r="C284" t="s">
        <v>157</v>
      </c>
      <c r="D284" t="s">
        <v>93</v>
      </c>
      <c r="E284" t="s">
        <v>49</v>
      </c>
      <c r="F284" t="s">
        <v>243</v>
      </c>
      <c r="G284" s="53">
        <v>44119.739837962959</v>
      </c>
      <c r="H284">
        <v>33</v>
      </c>
      <c r="I284" t="s">
        <v>349</v>
      </c>
      <c r="J284" t="s">
        <v>50</v>
      </c>
      <c r="K284" t="s">
        <v>50</v>
      </c>
      <c r="L284" t="s">
        <v>159</v>
      </c>
      <c r="M284" t="s">
        <v>51</v>
      </c>
      <c r="N284" t="s">
        <v>92</v>
      </c>
      <c r="O284" s="1">
        <v>41335</v>
      </c>
      <c r="P284" t="s">
        <v>84</v>
      </c>
      <c r="Q284">
        <v>1</v>
      </c>
      <c r="R284" t="s">
        <v>83</v>
      </c>
      <c r="S284">
        <v>1</v>
      </c>
      <c r="T284">
        <v>689</v>
      </c>
      <c r="U284" t="s">
        <v>349</v>
      </c>
      <c r="V284" t="s">
        <v>349</v>
      </c>
      <c r="W284">
        <v>689</v>
      </c>
    </row>
    <row r="285" spans="1:23" x14ac:dyDescent="0.3">
      <c r="A285" s="1">
        <v>44044</v>
      </c>
      <c r="B285" s="1">
        <v>44044</v>
      </c>
      <c r="C285" t="s">
        <v>157</v>
      </c>
      <c r="D285" t="s">
        <v>48</v>
      </c>
      <c r="E285" t="s">
        <v>49</v>
      </c>
      <c r="F285" t="s">
        <v>239</v>
      </c>
      <c r="G285" s="53">
        <v>44081.950659722221</v>
      </c>
      <c r="H285">
        <v>33</v>
      </c>
      <c r="I285">
        <v>15128</v>
      </c>
      <c r="J285" t="s">
        <v>50</v>
      </c>
      <c r="K285" t="s">
        <v>50</v>
      </c>
      <c r="L285" t="s">
        <v>159</v>
      </c>
      <c r="M285" t="s">
        <v>51</v>
      </c>
      <c r="N285" t="s">
        <v>92</v>
      </c>
      <c r="O285" s="1">
        <v>41335</v>
      </c>
      <c r="P285" t="s">
        <v>84</v>
      </c>
      <c r="Q285">
        <v>1</v>
      </c>
      <c r="R285" t="s">
        <v>83</v>
      </c>
      <c r="S285">
        <v>2023.204197</v>
      </c>
      <c r="T285">
        <v>80.305999999999997</v>
      </c>
      <c r="U285" t="s">
        <v>349</v>
      </c>
      <c r="V285" t="s">
        <v>349</v>
      </c>
      <c r="W285">
        <v>162475</v>
      </c>
    </row>
    <row r="286" spans="1:23" x14ac:dyDescent="0.3">
      <c r="A286" s="1">
        <v>44044</v>
      </c>
      <c r="B286" s="1">
        <v>44044</v>
      </c>
      <c r="C286" t="s">
        <v>157</v>
      </c>
      <c r="D286" t="s">
        <v>54</v>
      </c>
      <c r="E286" t="s">
        <v>21</v>
      </c>
      <c r="F286" t="s">
        <v>238</v>
      </c>
      <c r="G286" s="53">
        <v>44081.950659722221</v>
      </c>
      <c r="H286">
        <v>33</v>
      </c>
      <c r="I286">
        <v>15128</v>
      </c>
      <c r="J286" t="s">
        <v>50</v>
      </c>
      <c r="K286" t="s">
        <v>50</v>
      </c>
      <c r="L286" t="s">
        <v>159</v>
      </c>
      <c r="M286" t="s">
        <v>51</v>
      </c>
      <c r="N286" t="s">
        <v>92</v>
      </c>
      <c r="O286" s="1">
        <v>41335</v>
      </c>
      <c r="P286" t="s">
        <v>84</v>
      </c>
      <c r="Q286">
        <v>2</v>
      </c>
      <c r="R286" t="s">
        <v>94</v>
      </c>
      <c r="S286" t="s">
        <v>349</v>
      </c>
      <c r="T286" t="s">
        <v>349</v>
      </c>
      <c r="U286">
        <v>0</v>
      </c>
      <c r="V286">
        <v>6136.88</v>
      </c>
      <c r="W286">
        <v>0</v>
      </c>
    </row>
    <row r="287" spans="1:23" x14ac:dyDescent="0.3">
      <c r="A287" s="1">
        <v>44044</v>
      </c>
      <c r="B287" s="1">
        <v>44044</v>
      </c>
      <c r="C287" t="s">
        <v>157</v>
      </c>
      <c r="D287" t="s">
        <v>93</v>
      </c>
      <c r="E287" t="s">
        <v>49</v>
      </c>
      <c r="F287" t="s">
        <v>243</v>
      </c>
      <c r="G287" s="53">
        <v>44119.739837962959</v>
      </c>
      <c r="H287">
        <v>33</v>
      </c>
      <c r="I287" t="s">
        <v>349</v>
      </c>
      <c r="J287" t="s">
        <v>50</v>
      </c>
      <c r="K287" t="s">
        <v>50</v>
      </c>
      <c r="L287" t="s">
        <v>159</v>
      </c>
      <c r="M287" t="s">
        <v>51</v>
      </c>
      <c r="N287" t="s">
        <v>92</v>
      </c>
      <c r="O287" s="1">
        <v>41335</v>
      </c>
      <c r="P287" t="s">
        <v>84</v>
      </c>
      <c r="Q287">
        <v>2</v>
      </c>
      <c r="R287" t="s">
        <v>94</v>
      </c>
      <c r="S287">
        <v>1</v>
      </c>
      <c r="T287">
        <v>2</v>
      </c>
      <c r="U287" t="s">
        <v>349</v>
      </c>
      <c r="V287" t="s">
        <v>349</v>
      </c>
      <c r="W287">
        <v>2</v>
      </c>
    </row>
    <row r="288" spans="1:23" x14ac:dyDescent="0.3">
      <c r="A288" s="1">
        <v>44044</v>
      </c>
      <c r="B288" s="1">
        <v>44044</v>
      </c>
      <c r="C288" t="s">
        <v>157</v>
      </c>
      <c r="D288" t="s">
        <v>48</v>
      </c>
      <c r="E288" t="s">
        <v>49</v>
      </c>
      <c r="F288" t="s">
        <v>239</v>
      </c>
      <c r="G288" s="53">
        <v>44081.950659722221</v>
      </c>
      <c r="H288">
        <v>33</v>
      </c>
      <c r="I288">
        <v>15128</v>
      </c>
      <c r="J288" t="s">
        <v>50</v>
      </c>
      <c r="K288" t="s">
        <v>50</v>
      </c>
      <c r="L288" t="s">
        <v>159</v>
      </c>
      <c r="M288" t="s">
        <v>51</v>
      </c>
      <c r="N288" t="s">
        <v>92</v>
      </c>
      <c r="O288" s="1">
        <v>41335</v>
      </c>
      <c r="P288" t="s">
        <v>84</v>
      </c>
      <c r="Q288">
        <v>2</v>
      </c>
      <c r="R288" t="s">
        <v>94</v>
      </c>
      <c r="S288">
        <v>8.7799999999999994</v>
      </c>
      <c r="T288">
        <v>81.448999999999998</v>
      </c>
      <c r="U288" t="s">
        <v>349</v>
      </c>
      <c r="V288" t="s">
        <v>349</v>
      </c>
      <c r="W288">
        <v>715</v>
      </c>
    </row>
    <row r="289" spans="1:23" x14ac:dyDescent="0.3">
      <c r="A289" s="1">
        <v>44044</v>
      </c>
      <c r="B289" s="1">
        <v>44044</v>
      </c>
      <c r="C289" t="s">
        <v>157</v>
      </c>
      <c r="D289" t="s">
        <v>54</v>
      </c>
      <c r="E289" t="s">
        <v>21</v>
      </c>
      <c r="F289" t="s">
        <v>238</v>
      </c>
      <c r="G289" s="53">
        <v>44081.950659722221</v>
      </c>
      <c r="H289">
        <v>33</v>
      </c>
      <c r="I289">
        <v>15128</v>
      </c>
      <c r="J289" t="s">
        <v>50</v>
      </c>
      <c r="K289" t="s">
        <v>50</v>
      </c>
      <c r="L289" t="s">
        <v>159</v>
      </c>
      <c r="M289" t="s">
        <v>51</v>
      </c>
      <c r="N289" t="s">
        <v>92</v>
      </c>
      <c r="O289" s="1">
        <v>41335</v>
      </c>
      <c r="P289" t="s">
        <v>84</v>
      </c>
      <c r="Q289">
        <v>3</v>
      </c>
      <c r="R289" t="s">
        <v>81</v>
      </c>
      <c r="S289" t="s">
        <v>349</v>
      </c>
      <c r="T289" t="s">
        <v>349</v>
      </c>
      <c r="U289">
        <v>0</v>
      </c>
      <c r="V289">
        <v>5859.08</v>
      </c>
      <c r="W289">
        <v>0</v>
      </c>
    </row>
    <row r="290" spans="1:23" x14ac:dyDescent="0.3">
      <c r="A290" s="1">
        <v>44044</v>
      </c>
      <c r="B290" s="1">
        <v>44044</v>
      </c>
      <c r="C290" t="s">
        <v>157</v>
      </c>
      <c r="D290" t="s">
        <v>93</v>
      </c>
      <c r="E290" t="s">
        <v>49</v>
      </c>
      <c r="F290" t="s">
        <v>243</v>
      </c>
      <c r="G290" s="53">
        <v>44119.739837962959</v>
      </c>
      <c r="H290">
        <v>33</v>
      </c>
      <c r="I290" t="s">
        <v>349</v>
      </c>
      <c r="J290" t="s">
        <v>50</v>
      </c>
      <c r="K290" t="s">
        <v>50</v>
      </c>
      <c r="L290" t="s">
        <v>159</v>
      </c>
      <c r="M290" t="s">
        <v>51</v>
      </c>
      <c r="N290" t="s">
        <v>92</v>
      </c>
      <c r="O290" s="1">
        <v>41335</v>
      </c>
      <c r="P290" t="s">
        <v>84</v>
      </c>
      <c r="Q290">
        <v>3</v>
      </c>
      <c r="R290" t="s">
        <v>81</v>
      </c>
      <c r="S290">
        <v>1</v>
      </c>
      <c r="T290">
        <v>99</v>
      </c>
      <c r="U290" t="s">
        <v>349</v>
      </c>
      <c r="V290" t="s">
        <v>349</v>
      </c>
      <c r="W290">
        <v>99</v>
      </c>
    </row>
    <row r="291" spans="1:23" x14ac:dyDescent="0.3">
      <c r="A291" s="1">
        <v>44044</v>
      </c>
      <c r="B291" s="1">
        <v>44044</v>
      </c>
      <c r="C291" t="s">
        <v>157</v>
      </c>
      <c r="D291" t="s">
        <v>48</v>
      </c>
      <c r="E291" t="s">
        <v>49</v>
      </c>
      <c r="F291" t="s">
        <v>239</v>
      </c>
      <c r="G291" s="53">
        <v>44081.950659722221</v>
      </c>
      <c r="H291">
        <v>33</v>
      </c>
      <c r="I291">
        <v>15128</v>
      </c>
      <c r="J291" t="s">
        <v>50</v>
      </c>
      <c r="K291" t="s">
        <v>50</v>
      </c>
      <c r="L291" t="s">
        <v>159</v>
      </c>
      <c r="M291" t="s">
        <v>51</v>
      </c>
      <c r="N291" t="s">
        <v>92</v>
      </c>
      <c r="O291" s="1">
        <v>41335</v>
      </c>
      <c r="P291" t="s">
        <v>84</v>
      </c>
      <c r="Q291">
        <v>3</v>
      </c>
      <c r="R291" t="s">
        <v>81</v>
      </c>
      <c r="S291">
        <v>304.37409600000001</v>
      </c>
      <c r="T291">
        <v>76.619</v>
      </c>
      <c r="U291" t="s">
        <v>349</v>
      </c>
      <c r="V291" t="s">
        <v>349</v>
      </c>
      <c r="W291">
        <v>23321</v>
      </c>
    </row>
    <row r="292" spans="1:23" x14ac:dyDescent="0.3">
      <c r="A292" s="1">
        <v>44044</v>
      </c>
      <c r="B292" s="1">
        <v>44044</v>
      </c>
      <c r="C292" t="s">
        <v>157</v>
      </c>
      <c r="D292" t="s">
        <v>54</v>
      </c>
      <c r="E292" t="s">
        <v>21</v>
      </c>
      <c r="F292" t="s">
        <v>238</v>
      </c>
      <c r="G292" s="53">
        <v>44081.950659722221</v>
      </c>
      <c r="H292">
        <v>33</v>
      </c>
      <c r="I292">
        <v>15128</v>
      </c>
      <c r="J292" t="s">
        <v>50</v>
      </c>
      <c r="K292" t="s">
        <v>50</v>
      </c>
      <c r="L292" t="s">
        <v>159</v>
      </c>
      <c r="M292" t="s">
        <v>51</v>
      </c>
      <c r="N292" t="s">
        <v>92</v>
      </c>
      <c r="O292" s="1">
        <v>41335</v>
      </c>
      <c r="P292" t="s">
        <v>84</v>
      </c>
      <c r="Q292">
        <v>4</v>
      </c>
      <c r="R292" t="s">
        <v>27</v>
      </c>
      <c r="S292" t="s">
        <v>349</v>
      </c>
      <c r="T292" t="s">
        <v>349</v>
      </c>
      <c r="U292">
        <v>0</v>
      </c>
      <c r="V292">
        <v>5985.9</v>
      </c>
      <c r="W292">
        <v>0</v>
      </c>
    </row>
    <row r="293" spans="1:23" x14ac:dyDescent="0.3">
      <c r="A293" s="1">
        <v>44044</v>
      </c>
      <c r="B293" s="1">
        <v>44044</v>
      </c>
      <c r="C293" t="s">
        <v>157</v>
      </c>
      <c r="D293" t="s">
        <v>93</v>
      </c>
      <c r="E293" t="s">
        <v>49</v>
      </c>
      <c r="F293" t="s">
        <v>243</v>
      </c>
      <c r="G293" s="53">
        <v>44119.739837962959</v>
      </c>
      <c r="H293">
        <v>33</v>
      </c>
      <c r="I293" t="s">
        <v>349</v>
      </c>
      <c r="J293" t="s">
        <v>50</v>
      </c>
      <c r="K293" t="s">
        <v>50</v>
      </c>
      <c r="L293" t="s">
        <v>159</v>
      </c>
      <c r="M293" t="s">
        <v>51</v>
      </c>
      <c r="N293" t="s">
        <v>92</v>
      </c>
      <c r="O293" s="1">
        <v>41335</v>
      </c>
      <c r="P293" t="s">
        <v>84</v>
      </c>
      <c r="Q293">
        <v>4</v>
      </c>
      <c r="R293" t="s">
        <v>27</v>
      </c>
      <c r="S293">
        <v>1</v>
      </c>
      <c r="T293">
        <v>835</v>
      </c>
      <c r="U293" t="s">
        <v>349</v>
      </c>
      <c r="V293" t="s">
        <v>349</v>
      </c>
      <c r="W293">
        <v>835</v>
      </c>
    </row>
    <row r="294" spans="1:23" x14ac:dyDescent="0.3">
      <c r="A294" s="1">
        <v>44044</v>
      </c>
      <c r="B294" s="1">
        <v>44044</v>
      </c>
      <c r="C294" t="s">
        <v>157</v>
      </c>
      <c r="D294" t="s">
        <v>48</v>
      </c>
      <c r="E294" t="s">
        <v>49</v>
      </c>
      <c r="F294" t="s">
        <v>239</v>
      </c>
      <c r="G294" s="53">
        <v>44081.950659722221</v>
      </c>
      <c r="H294">
        <v>33</v>
      </c>
      <c r="I294">
        <v>15128</v>
      </c>
      <c r="J294" t="s">
        <v>50</v>
      </c>
      <c r="K294" t="s">
        <v>50</v>
      </c>
      <c r="L294" t="s">
        <v>159</v>
      </c>
      <c r="M294" t="s">
        <v>51</v>
      </c>
      <c r="N294" t="s">
        <v>92</v>
      </c>
      <c r="O294" s="1">
        <v>41335</v>
      </c>
      <c r="P294" t="s">
        <v>84</v>
      </c>
      <c r="Q294">
        <v>4</v>
      </c>
      <c r="R294" t="s">
        <v>27</v>
      </c>
      <c r="S294">
        <v>2559.6909580000001</v>
      </c>
      <c r="T294">
        <v>76.742999999999995</v>
      </c>
      <c r="U294" t="s">
        <v>349</v>
      </c>
      <c r="V294" t="s">
        <v>349</v>
      </c>
      <c r="W294">
        <v>196438</v>
      </c>
    </row>
    <row r="295" spans="1:23" x14ac:dyDescent="0.3">
      <c r="A295" s="1">
        <v>44044</v>
      </c>
      <c r="B295" s="1">
        <v>44044</v>
      </c>
      <c r="C295" t="s">
        <v>157</v>
      </c>
      <c r="D295" t="s">
        <v>54</v>
      </c>
      <c r="E295" t="s">
        <v>21</v>
      </c>
      <c r="F295" t="s">
        <v>238</v>
      </c>
      <c r="G295" s="53">
        <v>44081.950659722221</v>
      </c>
      <c r="H295">
        <v>33</v>
      </c>
      <c r="I295">
        <v>15128</v>
      </c>
      <c r="J295" t="s">
        <v>50</v>
      </c>
      <c r="K295" t="s">
        <v>50</v>
      </c>
      <c r="L295" t="s">
        <v>159</v>
      </c>
      <c r="M295" t="s">
        <v>51</v>
      </c>
      <c r="N295" t="s">
        <v>92</v>
      </c>
      <c r="O295" s="1">
        <v>41335</v>
      </c>
      <c r="P295" t="s">
        <v>84</v>
      </c>
      <c r="Q295">
        <v>5</v>
      </c>
      <c r="R295" t="s">
        <v>28</v>
      </c>
      <c r="S295" t="s">
        <v>349</v>
      </c>
      <c r="T295" t="s">
        <v>349</v>
      </c>
      <c r="U295">
        <v>0</v>
      </c>
      <c r="V295">
        <v>5747.96</v>
      </c>
      <c r="W295">
        <v>0</v>
      </c>
    </row>
    <row r="296" spans="1:23" x14ac:dyDescent="0.3">
      <c r="A296" s="1">
        <v>44044</v>
      </c>
      <c r="B296" s="1">
        <v>44044</v>
      </c>
      <c r="C296" t="s">
        <v>157</v>
      </c>
      <c r="D296" t="s">
        <v>93</v>
      </c>
      <c r="E296" t="s">
        <v>49</v>
      </c>
      <c r="F296" t="s">
        <v>243</v>
      </c>
      <c r="G296" s="53">
        <v>44119.739837962959</v>
      </c>
      <c r="H296">
        <v>33</v>
      </c>
      <c r="I296" t="s">
        <v>349</v>
      </c>
      <c r="J296" t="s">
        <v>50</v>
      </c>
      <c r="K296" t="s">
        <v>50</v>
      </c>
      <c r="L296" t="s">
        <v>159</v>
      </c>
      <c r="M296" t="s">
        <v>51</v>
      </c>
      <c r="N296" t="s">
        <v>92</v>
      </c>
      <c r="O296" s="1">
        <v>41335</v>
      </c>
      <c r="P296" t="s">
        <v>84</v>
      </c>
      <c r="Q296">
        <v>5</v>
      </c>
      <c r="R296" t="s">
        <v>28</v>
      </c>
      <c r="S296">
        <v>1</v>
      </c>
      <c r="T296">
        <v>4</v>
      </c>
      <c r="U296" t="s">
        <v>349</v>
      </c>
      <c r="V296" t="s">
        <v>349</v>
      </c>
      <c r="W296">
        <v>4</v>
      </c>
    </row>
    <row r="297" spans="1:23" x14ac:dyDescent="0.3">
      <c r="A297" s="1">
        <v>44044</v>
      </c>
      <c r="B297" s="1">
        <v>44044</v>
      </c>
      <c r="C297" t="s">
        <v>157</v>
      </c>
      <c r="D297" t="s">
        <v>48</v>
      </c>
      <c r="E297" t="s">
        <v>49</v>
      </c>
      <c r="F297" t="s">
        <v>239</v>
      </c>
      <c r="G297" s="53">
        <v>44081.950659722221</v>
      </c>
      <c r="H297">
        <v>33</v>
      </c>
      <c r="I297">
        <v>15128</v>
      </c>
      <c r="J297" t="s">
        <v>50</v>
      </c>
      <c r="K297" t="s">
        <v>50</v>
      </c>
      <c r="L297" t="s">
        <v>159</v>
      </c>
      <c r="M297" t="s">
        <v>51</v>
      </c>
      <c r="N297" t="s">
        <v>92</v>
      </c>
      <c r="O297" s="1">
        <v>41335</v>
      </c>
      <c r="P297" t="s">
        <v>84</v>
      </c>
      <c r="Q297">
        <v>5</v>
      </c>
      <c r="R297" t="s">
        <v>28</v>
      </c>
      <c r="S297">
        <v>10.585311000000001</v>
      </c>
      <c r="T297">
        <v>79.302000000000007</v>
      </c>
      <c r="U297" t="s">
        <v>349</v>
      </c>
      <c r="V297" t="s">
        <v>349</v>
      </c>
      <c r="W297">
        <v>839</v>
      </c>
    </row>
    <row r="298" spans="1:23" x14ac:dyDescent="0.3">
      <c r="A298" s="1">
        <v>44075</v>
      </c>
      <c r="B298" s="1">
        <v>44075</v>
      </c>
      <c r="C298" t="s">
        <v>157</v>
      </c>
      <c r="D298" t="s">
        <v>54</v>
      </c>
      <c r="E298" t="s">
        <v>21</v>
      </c>
      <c r="F298" t="s">
        <v>248</v>
      </c>
      <c r="G298" s="53">
        <v>44111.714999999997</v>
      </c>
      <c r="H298">
        <v>33</v>
      </c>
      <c r="I298">
        <v>15552</v>
      </c>
      <c r="J298" t="s">
        <v>50</v>
      </c>
      <c r="K298" t="s">
        <v>50</v>
      </c>
      <c r="L298" t="s">
        <v>159</v>
      </c>
      <c r="M298" t="s">
        <v>51</v>
      </c>
      <c r="N298" t="s">
        <v>92</v>
      </c>
      <c r="O298" s="1">
        <v>41335</v>
      </c>
      <c r="P298" t="s">
        <v>84</v>
      </c>
      <c r="Q298">
        <v>1</v>
      </c>
      <c r="R298" t="s">
        <v>83</v>
      </c>
      <c r="S298" t="s">
        <v>349</v>
      </c>
      <c r="T298" t="s">
        <v>349</v>
      </c>
      <c r="U298">
        <v>0</v>
      </c>
      <c r="V298">
        <v>6059.26</v>
      </c>
      <c r="W298">
        <v>0</v>
      </c>
    </row>
    <row r="299" spans="1:23" x14ac:dyDescent="0.3">
      <c r="A299" s="1">
        <v>44075</v>
      </c>
      <c r="B299" s="1">
        <v>44075</v>
      </c>
      <c r="C299" t="s">
        <v>157</v>
      </c>
      <c r="D299" t="s">
        <v>93</v>
      </c>
      <c r="E299" t="s">
        <v>49</v>
      </c>
      <c r="F299" t="s">
        <v>245</v>
      </c>
      <c r="G299" s="53">
        <v>44153.723773148151</v>
      </c>
      <c r="H299">
        <v>61</v>
      </c>
      <c r="I299" t="s">
        <v>349</v>
      </c>
      <c r="J299" t="s">
        <v>50</v>
      </c>
      <c r="K299" t="s">
        <v>50</v>
      </c>
      <c r="L299" t="s">
        <v>159</v>
      </c>
      <c r="M299" t="s">
        <v>51</v>
      </c>
      <c r="N299" t="s">
        <v>92</v>
      </c>
      <c r="O299" s="1">
        <v>41335</v>
      </c>
      <c r="P299" t="s">
        <v>84</v>
      </c>
      <c r="Q299">
        <v>1</v>
      </c>
      <c r="R299" t="s">
        <v>83</v>
      </c>
      <c r="S299">
        <v>1</v>
      </c>
      <c r="T299">
        <v>-323</v>
      </c>
      <c r="U299" t="s">
        <v>349</v>
      </c>
      <c r="V299" t="s">
        <v>349</v>
      </c>
      <c r="W299">
        <v>-323</v>
      </c>
    </row>
    <row r="300" spans="1:23" x14ac:dyDescent="0.3">
      <c r="A300" s="1">
        <v>44075</v>
      </c>
      <c r="B300" s="1">
        <v>44075</v>
      </c>
      <c r="C300" t="s">
        <v>157</v>
      </c>
      <c r="D300" t="s">
        <v>48</v>
      </c>
      <c r="E300" t="s">
        <v>49</v>
      </c>
      <c r="F300" t="s">
        <v>249</v>
      </c>
      <c r="G300" s="53">
        <v>44111.714999999997</v>
      </c>
      <c r="H300">
        <v>33</v>
      </c>
      <c r="I300">
        <v>15552</v>
      </c>
      <c r="J300" t="s">
        <v>50</v>
      </c>
      <c r="K300" t="s">
        <v>50</v>
      </c>
      <c r="L300" t="s">
        <v>159</v>
      </c>
      <c r="M300" t="s">
        <v>51</v>
      </c>
      <c r="N300" t="s">
        <v>92</v>
      </c>
      <c r="O300" s="1">
        <v>41335</v>
      </c>
      <c r="P300" t="s">
        <v>84</v>
      </c>
      <c r="Q300">
        <v>1</v>
      </c>
      <c r="R300" t="s">
        <v>83</v>
      </c>
      <c r="S300">
        <v>1931.180057</v>
      </c>
      <c r="T300">
        <v>80.344999999999999</v>
      </c>
      <c r="U300" t="s">
        <v>349</v>
      </c>
      <c r="V300" t="s">
        <v>349</v>
      </c>
      <c r="W300">
        <v>155161</v>
      </c>
    </row>
    <row r="301" spans="1:23" x14ac:dyDescent="0.3">
      <c r="A301" s="1">
        <v>44075</v>
      </c>
      <c r="B301" s="1">
        <v>44075</v>
      </c>
      <c r="C301" t="s">
        <v>157</v>
      </c>
      <c r="D301" t="s">
        <v>54</v>
      </c>
      <c r="E301" t="s">
        <v>21</v>
      </c>
      <c r="F301" t="s">
        <v>248</v>
      </c>
      <c r="G301" s="53">
        <v>44111.714999999997</v>
      </c>
      <c r="H301">
        <v>33</v>
      </c>
      <c r="I301">
        <v>15552</v>
      </c>
      <c r="J301" t="s">
        <v>50</v>
      </c>
      <c r="K301" t="s">
        <v>50</v>
      </c>
      <c r="L301" t="s">
        <v>159</v>
      </c>
      <c r="M301" t="s">
        <v>51</v>
      </c>
      <c r="N301" t="s">
        <v>92</v>
      </c>
      <c r="O301" s="1">
        <v>41335</v>
      </c>
      <c r="P301" t="s">
        <v>84</v>
      </c>
      <c r="Q301">
        <v>2</v>
      </c>
      <c r="R301" t="s">
        <v>94</v>
      </c>
      <c r="S301" t="s">
        <v>349</v>
      </c>
      <c r="T301" t="s">
        <v>349</v>
      </c>
      <c r="U301">
        <v>0</v>
      </c>
      <c r="V301">
        <v>6135.33</v>
      </c>
      <c r="W301">
        <v>0</v>
      </c>
    </row>
    <row r="302" spans="1:23" x14ac:dyDescent="0.3">
      <c r="A302" s="1">
        <v>44075</v>
      </c>
      <c r="B302" s="1">
        <v>44075</v>
      </c>
      <c r="C302" t="s">
        <v>157</v>
      </c>
      <c r="D302" t="s">
        <v>93</v>
      </c>
      <c r="E302" t="s">
        <v>49</v>
      </c>
      <c r="F302" t="s">
        <v>245</v>
      </c>
      <c r="G302" s="53">
        <v>44153.723773148151</v>
      </c>
      <c r="H302">
        <v>61</v>
      </c>
      <c r="I302" t="s">
        <v>349</v>
      </c>
      <c r="J302" t="s">
        <v>50</v>
      </c>
      <c r="K302" t="s">
        <v>50</v>
      </c>
      <c r="L302" t="s">
        <v>159</v>
      </c>
      <c r="M302" t="s">
        <v>51</v>
      </c>
      <c r="N302" t="s">
        <v>92</v>
      </c>
      <c r="O302" s="1">
        <v>41335</v>
      </c>
      <c r="P302" t="s">
        <v>84</v>
      </c>
      <c r="Q302">
        <v>2</v>
      </c>
      <c r="R302" t="s">
        <v>94</v>
      </c>
      <c r="S302">
        <v>1</v>
      </c>
      <c r="T302">
        <v>-2</v>
      </c>
      <c r="U302" t="s">
        <v>349</v>
      </c>
      <c r="V302" t="s">
        <v>349</v>
      </c>
      <c r="W302">
        <v>-2</v>
      </c>
    </row>
    <row r="303" spans="1:23" x14ac:dyDescent="0.3">
      <c r="A303" s="1">
        <v>44075</v>
      </c>
      <c r="B303" s="1">
        <v>44075</v>
      </c>
      <c r="C303" t="s">
        <v>157</v>
      </c>
      <c r="D303" t="s">
        <v>48</v>
      </c>
      <c r="E303" t="s">
        <v>49</v>
      </c>
      <c r="F303" t="s">
        <v>249</v>
      </c>
      <c r="G303" s="53">
        <v>44111.714999999997</v>
      </c>
      <c r="H303">
        <v>33</v>
      </c>
      <c r="I303">
        <v>15552</v>
      </c>
      <c r="J303" t="s">
        <v>50</v>
      </c>
      <c r="K303" t="s">
        <v>50</v>
      </c>
      <c r="L303" t="s">
        <v>159</v>
      </c>
      <c r="M303" t="s">
        <v>51</v>
      </c>
      <c r="N303" t="s">
        <v>92</v>
      </c>
      <c r="O303" s="1">
        <v>41335</v>
      </c>
      <c r="P303" t="s">
        <v>84</v>
      </c>
      <c r="Q303">
        <v>2</v>
      </c>
      <c r="R303" t="s">
        <v>94</v>
      </c>
      <c r="S303">
        <v>8.5106800000000007</v>
      </c>
      <c r="T303">
        <v>81.489000000000004</v>
      </c>
      <c r="U303" t="s">
        <v>349</v>
      </c>
      <c r="V303" t="s">
        <v>349</v>
      </c>
      <c r="W303">
        <v>694</v>
      </c>
    </row>
    <row r="304" spans="1:23" x14ac:dyDescent="0.3">
      <c r="A304" s="1">
        <v>44075</v>
      </c>
      <c r="B304" s="1">
        <v>44075</v>
      </c>
      <c r="C304" t="s">
        <v>157</v>
      </c>
      <c r="D304" t="s">
        <v>54</v>
      </c>
      <c r="E304" t="s">
        <v>21</v>
      </c>
      <c r="F304" t="s">
        <v>248</v>
      </c>
      <c r="G304" s="53">
        <v>44111.714999999997</v>
      </c>
      <c r="H304">
        <v>33</v>
      </c>
      <c r="I304">
        <v>15552</v>
      </c>
      <c r="J304" t="s">
        <v>50</v>
      </c>
      <c r="K304" t="s">
        <v>50</v>
      </c>
      <c r="L304" t="s">
        <v>159</v>
      </c>
      <c r="M304" t="s">
        <v>51</v>
      </c>
      <c r="N304" t="s">
        <v>92</v>
      </c>
      <c r="O304" s="1">
        <v>41335</v>
      </c>
      <c r="P304" t="s">
        <v>84</v>
      </c>
      <c r="Q304">
        <v>3</v>
      </c>
      <c r="R304" t="s">
        <v>81</v>
      </c>
      <c r="S304" t="s">
        <v>349</v>
      </c>
      <c r="T304" t="s">
        <v>349</v>
      </c>
      <c r="U304">
        <v>0</v>
      </c>
      <c r="V304">
        <v>5857.6</v>
      </c>
      <c r="W304">
        <v>0</v>
      </c>
    </row>
    <row r="305" spans="1:23" x14ac:dyDescent="0.3">
      <c r="A305" s="1">
        <v>44075</v>
      </c>
      <c r="B305" s="1">
        <v>44075</v>
      </c>
      <c r="C305" t="s">
        <v>157</v>
      </c>
      <c r="D305" t="s">
        <v>93</v>
      </c>
      <c r="E305" t="s">
        <v>49</v>
      </c>
      <c r="F305" t="s">
        <v>245</v>
      </c>
      <c r="G305" s="53">
        <v>44153.723773148151</v>
      </c>
      <c r="H305">
        <v>61</v>
      </c>
      <c r="I305" t="s">
        <v>349</v>
      </c>
      <c r="J305" t="s">
        <v>50</v>
      </c>
      <c r="K305" t="s">
        <v>50</v>
      </c>
      <c r="L305" t="s">
        <v>159</v>
      </c>
      <c r="M305" t="s">
        <v>51</v>
      </c>
      <c r="N305" t="s">
        <v>92</v>
      </c>
      <c r="O305" s="1">
        <v>41335</v>
      </c>
      <c r="P305" t="s">
        <v>84</v>
      </c>
      <c r="Q305">
        <v>3</v>
      </c>
      <c r="R305" t="s">
        <v>81</v>
      </c>
      <c r="S305">
        <v>1</v>
      </c>
      <c r="T305">
        <v>-44</v>
      </c>
      <c r="U305" t="s">
        <v>349</v>
      </c>
      <c r="V305" t="s">
        <v>349</v>
      </c>
      <c r="W305">
        <v>-44</v>
      </c>
    </row>
    <row r="306" spans="1:23" x14ac:dyDescent="0.3">
      <c r="A306" s="1">
        <v>44075</v>
      </c>
      <c r="B306" s="1">
        <v>44075</v>
      </c>
      <c r="C306" t="s">
        <v>157</v>
      </c>
      <c r="D306" t="s">
        <v>48</v>
      </c>
      <c r="E306" t="s">
        <v>49</v>
      </c>
      <c r="F306" t="s">
        <v>249</v>
      </c>
      <c r="G306" s="53">
        <v>44111.714999999997</v>
      </c>
      <c r="H306">
        <v>33</v>
      </c>
      <c r="I306">
        <v>15552</v>
      </c>
      <c r="J306" t="s">
        <v>50</v>
      </c>
      <c r="K306" t="s">
        <v>50</v>
      </c>
      <c r="L306" t="s">
        <v>159</v>
      </c>
      <c r="M306" t="s">
        <v>51</v>
      </c>
      <c r="N306" t="s">
        <v>92</v>
      </c>
      <c r="O306" s="1">
        <v>41335</v>
      </c>
      <c r="P306" t="s">
        <v>84</v>
      </c>
      <c r="Q306">
        <v>3</v>
      </c>
      <c r="R306" t="s">
        <v>81</v>
      </c>
      <c r="S306">
        <v>286.86</v>
      </c>
      <c r="T306">
        <v>76.656999999999996</v>
      </c>
      <c r="U306" t="s">
        <v>349</v>
      </c>
      <c r="V306" t="s">
        <v>349</v>
      </c>
      <c r="W306">
        <v>21990</v>
      </c>
    </row>
    <row r="307" spans="1:23" x14ac:dyDescent="0.3">
      <c r="A307" s="1">
        <v>44075</v>
      </c>
      <c r="B307" s="1">
        <v>44075</v>
      </c>
      <c r="C307" t="s">
        <v>157</v>
      </c>
      <c r="D307" t="s">
        <v>54</v>
      </c>
      <c r="E307" t="s">
        <v>21</v>
      </c>
      <c r="F307" t="s">
        <v>248</v>
      </c>
      <c r="G307" s="53">
        <v>44111.714999999997</v>
      </c>
      <c r="H307">
        <v>33</v>
      </c>
      <c r="I307">
        <v>15552</v>
      </c>
      <c r="J307" t="s">
        <v>50</v>
      </c>
      <c r="K307" t="s">
        <v>50</v>
      </c>
      <c r="L307" t="s">
        <v>159</v>
      </c>
      <c r="M307" t="s">
        <v>51</v>
      </c>
      <c r="N307" t="s">
        <v>92</v>
      </c>
      <c r="O307" s="1">
        <v>41335</v>
      </c>
      <c r="P307" t="s">
        <v>84</v>
      </c>
      <c r="Q307">
        <v>4</v>
      </c>
      <c r="R307" t="s">
        <v>27</v>
      </c>
      <c r="S307" t="s">
        <v>349</v>
      </c>
      <c r="T307" t="s">
        <v>349</v>
      </c>
      <c r="U307">
        <v>0</v>
      </c>
      <c r="V307">
        <v>5984.39</v>
      </c>
      <c r="W307">
        <v>0</v>
      </c>
    </row>
    <row r="308" spans="1:23" x14ac:dyDescent="0.3">
      <c r="A308" s="1">
        <v>44075</v>
      </c>
      <c r="B308" s="1">
        <v>44075</v>
      </c>
      <c r="C308" t="s">
        <v>157</v>
      </c>
      <c r="D308" t="s">
        <v>93</v>
      </c>
      <c r="E308" t="s">
        <v>49</v>
      </c>
      <c r="F308" t="s">
        <v>245</v>
      </c>
      <c r="G308" s="53">
        <v>44153.723773148151</v>
      </c>
      <c r="H308">
        <v>61</v>
      </c>
      <c r="I308" t="s">
        <v>349</v>
      </c>
      <c r="J308" t="s">
        <v>50</v>
      </c>
      <c r="K308" t="s">
        <v>50</v>
      </c>
      <c r="L308" t="s">
        <v>159</v>
      </c>
      <c r="M308" t="s">
        <v>51</v>
      </c>
      <c r="N308" t="s">
        <v>92</v>
      </c>
      <c r="O308" s="1">
        <v>41335</v>
      </c>
      <c r="P308" t="s">
        <v>84</v>
      </c>
      <c r="Q308">
        <v>4</v>
      </c>
      <c r="R308" t="s">
        <v>27</v>
      </c>
      <c r="S308">
        <v>1</v>
      </c>
      <c r="T308">
        <v>-390</v>
      </c>
      <c r="U308" t="s">
        <v>349</v>
      </c>
      <c r="V308" t="s">
        <v>349</v>
      </c>
      <c r="W308">
        <v>-390</v>
      </c>
    </row>
    <row r="309" spans="1:23" x14ac:dyDescent="0.3">
      <c r="A309" s="1">
        <v>44075</v>
      </c>
      <c r="B309" s="1">
        <v>44075</v>
      </c>
      <c r="C309" t="s">
        <v>157</v>
      </c>
      <c r="D309" t="s">
        <v>48</v>
      </c>
      <c r="E309" t="s">
        <v>49</v>
      </c>
      <c r="F309" t="s">
        <v>249</v>
      </c>
      <c r="G309" s="53">
        <v>44111.714999999997</v>
      </c>
      <c r="H309">
        <v>33</v>
      </c>
      <c r="I309">
        <v>15552</v>
      </c>
      <c r="J309" t="s">
        <v>50</v>
      </c>
      <c r="K309" t="s">
        <v>50</v>
      </c>
      <c r="L309" t="s">
        <v>159</v>
      </c>
      <c r="M309" t="s">
        <v>51</v>
      </c>
      <c r="N309" t="s">
        <v>92</v>
      </c>
      <c r="O309" s="1">
        <v>41335</v>
      </c>
      <c r="P309" t="s">
        <v>84</v>
      </c>
      <c r="Q309">
        <v>4</v>
      </c>
      <c r="R309" t="s">
        <v>27</v>
      </c>
      <c r="S309">
        <v>2447.9884910000001</v>
      </c>
      <c r="T309">
        <v>76.781000000000006</v>
      </c>
      <c r="U309" t="s">
        <v>349</v>
      </c>
      <c r="V309" t="s">
        <v>349</v>
      </c>
      <c r="W309">
        <v>187959</v>
      </c>
    </row>
    <row r="310" spans="1:23" x14ac:dyDescent="0.3">
      <c r="A310" s="1">
        <v>44075</v>
      </c>
      <c r="B310" s="1">
        <v>44075</v>
      </c>
      <c r="C310" t="s">
        <v>157</v>
      </c>
      <c r="D310" t="s">
        <v>54</v>
      </c>
      <c r="E310" t="s">
        <v>21</v>
      </c>
      <c r="F310" t="s">
        <v>248</v>
      </c>
      <c r="G310" s="53">
        <v>44111.714999999997</v>
      </c>
      <c r="H310">
        <v>33</v>
      </c>
      <c r="I310">
        <v>15552</v>
      </c>
      <c r="J310" t="s">
        <v>50</v>
      </c>
      <c r="K310" t="s">
        <v>50</v>
      </c>
      <c r="L310" t="s">
        <v>159</v>
      </c>
      <c r="M310" t="s">
        <v>51</v>
      </c>
      <c r="N310" t="s">
        <v>92</v>
      </c>
      <c r="O310" s="1">
        <v>41335</v>
      </c>
      <c r="P310" t="s">
        <v>84</v>
      </c>
      <c r="Q310">
        <v>5</v>
      </c>
      <c r="R310" t="s">
        <v>28</v>
      </c>
      <c r="S310" t="s">
        <v>349</v>
      </c>
      <c r="T310" t="s">
        <v>349</v>
      </c>
      <c r="U310">
        <v>0</v>
      </c>
      <c r="V310">
        <v>5746.51</v>
      </c>
      <c r="W310">
        <v>0</v>
      </c>
    </row>
    <row r="311" spans="1:23" x14ac:dyDescent="0.3">
      <c r="A311" s="1">
        <v>44075</v>
      </c>
      <c r="B311" s="1">
        <v>44075</v>
      </c>
      <c r="C311" t="s">
        <v>157</v>
      </c>
      <c r="D311" t="s">
        <v>93</v>
      </c>
      <c r="E311" t="s">
        <v>49</v>
      </c>
      <c r="F311" t="s">
        <v>245</v>
      </c>
      <c r="G311" s="53">
        <v>44153.723773148151</v>
      </c>
      <c r="H311">
        <v>61</v>
      </c>
      <c r="I311" t="s">
        <v>349</v>
      </c>
      <c r="J311" t="s">
        <v>50</v>
      </c>
      <c r="K311" t="s">
        <v>50</v>
      </c>
      <c r="L311" t="s">
        <v>159</v>
      </c>
      <c r="M311" t="s">
        <v>51</v>
      </c>
      <c r="N311" t="s">
        <v>92</v>
      </c>
      <c r="O311" s="1">
        <v>41335</v>
      </c>
      <c r="P311" t="s">
        <v>84</v>
      </c>
      <c r="Q311">
        <v>5</v>
      </c>
      <c r="R311" t="s">
        <v>28</v>
      </c>
      <c r="S311">
        <v>1</v>
      </c>
      <c r="T311">
        <v>-2</v>
      </c>
      <c r="U311" t="s">
        <v>349</v>
      </c>
      <c r="V311" t="s">
        <v>349</v>
      </c>
      <c r="W311">
        <v>-2</v>
      </c>
    </row>
    <row r="312" spans="1:23" x14ac:dyDescent="0.3">
      <c r="A312" s="1">
        <v>44075</v>
      </c>
      <c r="B312" s="1">
        <v>44075</v>
      </c>
      <c r="C312" t="s">
        <v>157</v>
      </c>
      <c r="D312" t="s">
        <v>48</v>
      </c>
      <c r="E312" t="s">
        <v>49</v>
      </c>
      <c r="F312" t="s">
        <v>249</v>
      </c>
      <c r="G312" s="53">
        <v>44111.714999999997</v>
      </c>
      <c r="H312">
        <v>33</v>
      </c>
      <c r="I312">
        <v>15552</v>
      </c>
      <c r="J312" t="s">
        <v>50</v>
      </c>
      <c r="K312" t="s">
        <v>50</v>
      </c>
      <c r="L312" t="s">
        <v>159</v>
      </c>
      <c r="M312" t="s">
        <v>51</v>
      </c>
      <c r="N312" t="s">
        <v>92</v>
      </c>
      <c r="O312" s="1">
        <v>41335</v>
      </c>
      <c r="P312" t="s">
        <v>84</v>
      </c>
      <c r="Q312">
        <v>5</v>
      </c>
      <c r="R312" t="s">
        <v>28</v>
      </c>
      <c r="S312">
        <v>10.140453000000001</v>
      </c>
      <c r="T312">
        <v>79.340999999999994</v>
      </c>
      <c r="U312" t="s">
        <v>349</v>
      </c>
      <c r="V312" t="s">
        <v>349</v>
      </c>
      <c r="W312">
        <v>805</v>
      </c>
    </row>
    <row r="313" spans="1:23" x14ac:dyDescent="0.3">
      <c r="A313" s="1">
        <v>44105</v>
      </c>
      <c r="B313" s="1">
        <v>44105</v>
      </c>
      <c r="C313" t="s">
        <v>157</v>
      </c>
      <c r="D313" t="s">
        <v>54</v>
      </c>
      <c r="E313" t="s">
        <v>21</v>
      </c>
      <c r="F313" t="s">
        <v>251</v>
      </c>
      <c r="G313" s="53">
        <v>44141.821956018517</v>
      </c>
      <c r="H313">
        <v>33</v>
      </c>
      <c r="I313">
        <v>15894</v>
      </c>
      <c r="J313" t="s">
        <v>50</v>
      </c>
      <c r="K313" t="s">
        <v>50</v>
      </c>
      <c r="L313" t="s">
        <v>159</v>
      </c>
      <c r="M313" t="s">
        <v>51</v>
      </c>
      <c r="N313" t="s">
        <v>92</v>
      </c>
      <c r="O313" s="1">
        <v>41335</v>
      </c>
      <c r="P313" t="s">
        <v>84</v>
      </c>
      <c r="Q313">
        <v>1</v>
      </c>
      <c r="R313" t="s">
        <v>83</v>
      </c>
      <c r="S313" t="s">
        <v>349</v>
      </c>
      <c r="T313" t="s">
        <v>349</v>
      </c>
      <c r="U313">
        <v>0</v>
      </c>
      <c r="V313">
        <v>6059.26</v>
      </c>
      <c r="W313">
        <v>0</v>
      </c>
    </row>
    <row r="314" spans="1:23" x14ac:dyDescent="0.3">
      <c r="A314" s="1">
        <v>44105</v>
      </c>
      <c r="B314" s="1">
        <v>44105</v>
      </c>
      <c r="C314" t="s">
        <v>157</v>
      </c>
      <c r="D314" t="s">
        <v>93</v>
      </c>
      <c r="E314" t="s">
        <v>49</v>
      </c>
      <c r="F314" t="s">
        <v>253</v>
      </c>
      <c r="G314" s="53">
        <v>44221.697384259256</v>
      </c>
      <c r="H314">
        <v>61</v>
      </c>
      <c r="I314" t="s">
        <v>349</v>
      </c>
      <c r="J314" t="s">
        <v>50</v>
      </c>
      <c r="K314" t="s">
        <v>50</v>
      </c>
      <c r="L314" t="s">
        <v>159</v>
      </c>
      <c r="M314" t="s">
        <v>51</v>
      </c>
      <c r="N314" t="s">
        <v>92</v>
      </c>
      <c r="O314" s="1">
        <v>41335</v>
      </c>
      <c r="P314" t="s">
        <v>84</v>
      </c>
      <c r="Q314">
        <v>1</v>
      </c>
      <c r="R314" t="s">
        <v>83</v>
      </c>
      <c r="S314">
        <v>1</v>
      </c>
      <c r="T314">
        <v>-570</v>
      </c>
      <c r="U314" t="s">
        <v>349</v>
      </c>
      <c r="V314" t="s">
        <v>349</v>
      </c>
      <c r="W314">
        <v>-570</v>
      </c>
    </row>
    <row r="315" spans="1:23" x14ac:dyDescent="0.3">
      <c r="A315" s="1">
        <v>44105</v>
      </c>
      <c r="B315" s="1">
        <v>44105</v>
      </c>
      <c r="C315" t="s">
        <v>157</v>
      </c>
      <c r="D315" t="s">
        <v>48</v>
      </c>
      <c r="E315" t="s">
        <v>49</v>
      </c>
      <c r="F315" t="s">
        <v>256</v>
      </c>
      <c r="G315" s="53">
        <v>44141.821956018517</v>
      </c>
      <c r="H315">
        <v>33</v>
      </c>
      <c r="I315">
        <v>15894</v>
      </c>
      <c r="J315" t="s">
        <v>50</v>
      </c>
      <c r="K315" t="s">
        <v>50</v>
      </c>
      <c r="L315" t="s">
        <v>159</v>
      </c>
      <c r="M315" t="s">
        <v>51</v>
      </c>
      <c r="N315" t="s">
        <v>92</v>
      </c>
      <c r="O315" s="1">
        <v>41335</v>
      </c>
      <c r="P315" t="s">
        <v>84</v>
      </c>
      <c r="Q315">
        <v>1</v>
      </c>
      <c r="R315" t="s">
        <v>83</v>
      </c>
      <c r="S315">
        <v>2430.743117</v>
      </c>
      <c r="T315">
        <v>80.344999999999999</v>
      </c>
      <c r="U315" t="s">
        <v>349</v>
      </c>
      <c r="V315" t="s">
        <v>349</v>
      </c>
      <c r="W315">
        <v>195298</v>
      </c>
    </row>
    <row r="316" spans="1:23" x14ac:dyDescent="0.3">
      <c r="A316" s="1">
        <v>44105</v>
      </c>
      <c r="B316" s="1">
        <v>44105</v>
      </c>
      <c r="C316" t="s">
        <v>157</v>
      </c>
      <c r="D316" t="s">
        <v>54</v>
      </c>
      <c r="E316" t="s">
        <v>21</v>
      </c>
      <c r="F316" t="s">
        <v>251</v>
      </c>
      <c r="G316" s="53">
        <v>44141.821956018517</v>
      </c>
      <c r="H316">
        <v>33</v>
      </c>
      <c r="I316">
        <v>15894</v>
      </c>
      <c r="J316" t="s">
        <v>50</v>
      </c>
      <c r="K316" t="s">
        <v>50</v>
      </c>
      <c r="L316" t="s">
        <v>159</v>
      </c>
      <c r="M316" t="s">
        <v>51</v>
      </c>
      <c r="N316" t="s">
        <v>92</v>
      </c>
      <c r="O316" s="1">
        <v>41335</v>
      </c>
      <c r="P316" t="s">
        <v>84</v>
      </c>
      <c r="Q316">
        <v>2</v>
      </c>
      <c r="R316" t="s">
        <v>94</v>
      </c>
      <c r="S316" t="s">
        <v>349</v>
      </c>
      <c r="T316" t="s">
        <v>349</v>
      </c>
      <c r="U316">
        <v>0</v>
      </c>
      <c r="V316">
        <v>6135.33</v>
      </c>
      <c r="W316">
        <v>0</v>
      </c>
    </row>
    <row r="317" spans="1:23" x14ac:dyDescent="0.3">
      <c r="A317" s="1">
        <v>44105</v>
      </c>
      <c r="B317" s="1">
        <v>44105</v>
      </c>
      <c r="C317" t="s">
        <v>157</v>
      </c>
      <c r="D317" t="s">
        <v>93</v>
      </c>
      <c r="E317" t="s">
        <v>49</v>
      </c>
      <c r="F317" t="s">
        <v>253</v>
      </c>
      <c r="G317" s="53">
        <v>44221.697384259256</v>
      </c>
      <c r="H317">
        <v>61</v>
      </c>
      <c r="I317" t="s">
        <v>349</v>
      </c>
      <c r="J317" t="s">
        <v>50</v>
      </c>
      <c r="K317" t="s">
        <v>50</v>
      </c>
      <c r="L317" t="s">
        <v>159</v>
      </c>
      <c r="M317" t="s">
        <v>51</v>
      </c>
      <c r="N317" t="s">
        <v>92</v>
      </c>
      <c r="O317" s="1">
        <v>41335</v>
      </c>
      <c r="P317" t="s">
        <v>84</v>
      </c>
      <c r="Q317">
        <v>2</v>
      </c>
      <c r="R317" t="s">
        <v>94</v>
      </c>
      <c r="S317">
        <v>1</v>
      </c>
      <c r="T317">
        <v>-3</v>
      </c>
      <c r="U317" t="s">
        <v>349</v>
      </c>
      <c r="V317" t="s">
        <v>349</v>
      </c>
      <c r="W317">
        <v>-3</v>
      </c>
    </row>
    <row r="318" spans="1:23" x14ac:dyDescent="0.3">
      <c r="A318" s="1">
        <v>44105</v>
      </c>
      <c r="B318" s="1">
        <v>44105</v>
      </c>
      <c r="C318" t="s">
        <v>157</v>
      </c>
      <c r="D318" t="s">
        <v>48</v>
      </c>
      <c r="E318" t="s">
        <v>49</v>
      </c>
      <c r="F318" t="s">
        <v>256</v>
      </c>
      <c r="G318" s="53">
        <v>44141.821956018517</v>
      </c>
      <c r="H318">
        <v>33</v>
      </c>
      <c r="I318">
        <v>15894</v>
      </c>
      <c r="J318" t="s">
        <v>50</v>
      </c>
      <c r="K318" t="s">
        <v>50</v>
      </c>
      <c r="L318" t="s">
        <v>159</v>
      </c>
      <c r="M318" t="s">
        <v>51</v>
      </c>
      <c r="N318" t="s">
        <v>92</v>
      </c>
      <c r="O318" s="1">
        <v>41335</v>
      </c>
      <c r="P318" t="s">
        <v>84</v>
      </c>
      <c r="Q318">
        <v>2</v>
      </c>
      <c r="R318" t="s">
        <v>94</v>
      </c>
      <c r="S318">
        <v>10.588209000000001</v>
      </c>
      <c r="T318">
        <v>81.489000000000004</v>
      </c>
      <c r="U318" t="s">
        <v>349</v>
      </c>
      <c r="V318" t="s">
        <v>349</v>
      </c>
      <c r="W318">
        <v>863</v>
      </c>
    </row>
    <row r="319" spans="1:23" x14ac:dyDescent="0.3">
      <c r="A319" s="1">
        <v>44105</v>
      </c>
      <c r="B319" s="1">
        <v>44105</v>
      </c>
      <c r="C319" t="s">
        <v>157</v>
      </c>
      <c r="D319" t="s">
        <v>54</v>
      </c>
      <c r="E319" t="s">
        <v>21</v>
      </c>
      <c r="F319" t="s">
        <v>251</v>
      </c>
      <c r="G319" s="53">
        <v>44141.821956018517</v>
      </c>
      <c r="H319">
        <v>33</v>
      </c>
      <c r="I319">
        <v>15894</v>
      </c>
      <c r="J319" t="s">
        <v>50</v>
      </c>
      <c r="K319" t="s">
        <v>50</v>
      </c>
      <c r="L319" t="s">
        <v>159</v>
      </c>
      <c r="M319" t="s">
        <v>51</v>
      </c>
      <c r="N319" t="s">
        <v>92</v>
      </c>
      <c r="O319" s="1">
        <v>41335</v>
      </c>
      <c r="P319" t="s">
        <v>84</v>
      </c>
      <c r="Q319">
        <v>3</v>
      </c>
      <c r="R319" t="s">
        <v>81</v>
      </c>
      <c r="S319" t="s">
        <v>349</v>
      </c>
      <c r="T319" t="s">
        <v>349</v>
      </c>
      <c r="U319">
        <v>0</v>
      </c>
      <c r="V319">
        <v>5857.6</v>
      </c>
      <c r="W319">
        <v>0</v>
      </c>
    </row>
    <row r="320" spans="1:23" x14ac:dyDescent="0.3">
      <c r="A320" s="1">
        <v>44105</v>
      </c>
      <c r="B320" s="1">
        <v>44105</v>
      </c>
      <c r="C320" t="s">
        <v>157</v>
      </c>
      <c r="D320" t="s">
        <v>93</v>
      </c>
      <c r="E320" t="s">
        <v>49</v>
      </c>
      <c r="F320" t="s">
        <v>253</v>
      </c>
      <c r="G320" s="53">
        <v>44221.697384259256</v>
      </c>
      <c r="H320">
        <v>61</v>
      </c>
      <c r="I320" t="s">
        <v>349</v>
      </c>
      <c r="J320" t="s">
        <v>50</v>
      </c>
      <c r="K320" t="s">
        <v>50</v>
      </c>
      <c r="L320" t="s">
        <v>159</v>
      </c>
      <c r="M320" t="s">
        <v>51</v>
      </c>
      <c r="N320" t="s">
        <v>92</v>
      </c>
      <c r="O320" s="1">
        <v>41335</v>
      </c>
      <c r="P320" t="s">
        <v>84</v>
      </c>
      <c r="Q320">
        <v>3</v>
      </c>
      <c r="R320" t="s">
        <v>81</v>
      </c>
      <c r="S320">
        <v>1</v>
      </c>
      <c r="T320">
        <v>-80</v>
      </c>
      <c r="U320" t="s">
        <v>349</v>
      </c>
      <c r="V320" t="s">
        <v>349</v>
      </c>
      <c r="W320">
        <v>-80</v>
      </c>
    </row>
    <row r="321" spans="1:23" x14ac:dyDescent="0.3">
      <c r="A321" s="1">
        <v>44105</v>
      </c>
      <c r="B321" s="1">
        <v>44105</v>
      </c>
      <c r="C321" t="s">
        <v>157</v>
      </c>
      <c r="D321" t="s">
        <v>48</v>
      </c>
      <c r="E321" t="s">
        <v>49</v>
      </c>
      <c r="F321" t="s">
        <v>256</v>
      </c>
      <c r="G321" s="53">
        <v>44141.821956018517</v>
      </c>
      <c r="H321">
        <v>33</v>
      </c>
      <c r="I321">
        <v>15894</v>
      </c>
      <c r="J321" t="s">
        <v>50</v>
      </c>
      <c r="K321" t="s">
        <v>50</v>
      </c>
      <c r="L321" t="s">
        <v>159</v>
      </c>
      <c r="M321" t="s">
        <v>51</v>
      </c>
      <c r="N321" t="s">
        <v>92</v>
      </c>
      <c r="O321" s="1">
        <v>41335</v>
      </c>
      <c r="P321" t="s">
        <v>84</v>
      </c>
      <c r="Q321">
        <v>3</v>
      </c>
      <c r="R321" t="s">
        <v>81</v>
      </c>
      <c r="S321">
        <v>359.39598799999999</v>
      </c>
      <c r="T321">
        <v>76.656999999999996</v>
      </c>
      <c r="U321" t="s">
        <v>349</v>
      </c>
      <c r="V321" t="s">
        <v>349</v>
      </c>
      <c r="W321">
        <v>27550</v>
      </c>
    </row>
    <row r="322" spans="1:23" x14ac:dyDescent="0.3">
      <c r="A322" s="1">
        <v>44105</v>
      </c>
      <c r="B322" s="1">
        <v>44105</v>
      </c>
      <c r="C322" t="s">
        <v>157</v>
      </c>
      <c r="D322" t="s">
        <v>54</v>
      </c>
      <c r="E322" t="s">
        <v>21</v>
      </c>
      <c r="F322" t="s">
        <v>251</v>
      </c>
      <c r="G322" s="53">
        <v>44141.821956018517</v>
      </c>
      <c r="H322">
        <v>33</v>
      </c>
      <c r="I322">
        <v>15894</v>
      </c>
      <c r="J322" t="s">
        <v>50</v>
      </c>
      <c r="K322" t="s">
        <v>50</v>
      </c>
      <c r="L322" t="s">
        <v>159</v>
      </c>
      <c r="M322" t="s">
        <v>51</v>
      </c>
      <c r="N322" t="s">
        <v>92</v>
      </c>
      <c r="O322" s="1">
        <v>41335</v>
      </c>
      <c r="P322" t="s">
        <v>84</v>
      </c>
      <c r="Q322">
        <v>4</v>
      </c>
      <c r="R322" t="s">
        <v>27</v>
      </c>
      <c r="S322" t="s">
        <v>349</v>
      </c>
      <c r="T322" t="s">
        <v>349</v>
      </c>
      <c r="U322">
        <v>0</v>
      </c>
      <c r="V322">
        <v>5984.39</v>
      </c>
      <c r="W322">
        <v>0</v>
      </c>
    </row>
    <row r="323" spans="1:23" x14ac:dyDescent="0.3">
      <c r="A323" s="1">
        <v>44105</v>
      </c>
      <c r="B323" s="1">
        <v>44105</v>
      </c>
      <c r="C323" t="s">
        <v>157</v>
      </c>
      <c r="D323" t="s">
        <v>93</v>
      </c>
      <c r="E323" t="s">
        <v>49</v>
      </c>
      <c r="F323" t="s">
        <v>253</v>
      </c>
      <c r="G323" s="53">
        <v>44221.697384259256</v>
      </c>
      <c r="H323">
        <v>61</v>
      </c>
      <c r="I323" t="s">
        <v>349</v>
      </c>
      <c r="J323" t="s">
        <v>50</v>
      </c>
      <c r="K323" t="s">
        <v>50</v>
      </c>
      <c r="L323" t="s">
        <v>159</v>
      </c>
      <c r="M323" t="s">
        <v>51</v>
      </c>
      <c r="N323" t="s">
        <v>92</v>
      </c>
      <c r="O323" s="1">
        <v>41335</v>
      </c>
      <c r="P323" t="s">
        <v>84</v>
      </c>
      <c r="Q323">
        <v>4</v>
      </c>
      <c r="R323" t="s">
        <v>27</v>
      </c>
      <c r="S323">
        <v>1</v>
      </c>
      <c r="T323">
        <v>-689</v>
      </c>
      <c r="U323" t="s">
        <v>349</v>
      </c>
      <c r="V323" t="s">
        <v>349</v>
      </c>
      <c r="W323">
        <v>-689</v>
      </c>
    </row>
    <row r="324" spans="1:23" x14ac:dyDescent="0.3">
      <c r="A324" s="1">
        <v>44105</v>
      </c>
      <c r="B324" s="1">
        <v>44105</v>
      </c>
      <c r="C324" t="s">
        <v>157</v>
      </c>
      <c r="D324" t="s">
        <v>48</v>
      </c>
      <c r="E324" t="s">
        <v>49</v>
      </c>
      <c r="F324" t="s">
        <v>256</v>
      </c>
      <c r="G324" s="53">
        <v>44141.821956018517</v>
      </c>
      <c r="H324">
        <v>33</v>
      </c>
      <c r="I324">
        <v>15894</v>
      </c>
      <c r="J324" t="s">
        <v>50</v>
      </c>
      <c r="K324" t="s">
        <v>50</v>
      </c>
      <c r="L324" t="s">
        <v>159</v>
      </c>
      <c r="M324" t="s">
        <v>51</v>
      </c>
      <c r="N324" t="s">
        <v>92</v>
      </c>
      <c r="O324" s="1">
        <v>41335</v>
      </c>
      <c r="P324" t="s">
        <v>84</v>
      </c>
      <c r="Q324">
        <v>4</v>
      </c>
      <c r="R324" t="s">
        <v>27</v>
      </c>
      <c r="S324">
        <v>3072.8331600000001</v>
      </c>
      <c r="T324">
        <v>76.781000000000006</v>
      </c>
      <c r="U324" t="s">
        <v>349</v>
      </c>
      <c r="V324" t="s">
        <v>349</v>
      </c>
      <c r="W324">
        <v>235935</v>
      </c>
    </row>
    <row r="325" spans="1:23" x14ac:dyDescent="0.3">
      <c r="A325" s="1">
        <v>44105</v>
      </c>
      <c r="B325" s="1">
        <v>44105</v>
      </c>
      <c r="C325" t="s">
        <v>157</v>
      </c>
      <c r="D325" t="s">
        <v>54</v>
      </c>
      <c r="E325" t="s">
        <v>21</v>
      </c>
      <c r="F325" t="s">
        <v>251</v>
      </c>
      <c r="G325" s="53">
        <v>44141.821956018517</v>
      </c>
      <c r="H325">
        <v>33</v>
      </c>
      <c r="I325">
        <v>15894</v>
      </c>
      <c r="J325" t="s">
        <v>50</v>
      </c>
      <c r="K325" t="s">
        <v>50</v>
      </c>
      <c r="L325" t="s">
        <v>159</v>
      </c>
      <c r="M325" t="s">
        <v>51</v>
      </c>
      <c r="N325" t="s">
        <v>92</v>
      </c>
      <c r="O325" s="1">
        <v>41335</v>
      </c>
      <c r="P325" t="s">
        <v>84</v>
      </c>
      <c r="Q325">
        <v>5</v>
      </c>
      <c r="R325" t="s">
        <v>28</v>
      </c>
      <c r="S325" t="s">
        <v>349</v>
      </c>
      <c r="T325" t="s">
        <v>349</v>
      </c>
      <c r="U325">
        <v>0</v>
      </c>
      <c r="V325">
        <v>5746.51</v>
      </c>
      <c r="W325">
        <v>0</v>
      </c>
    </row>
    <row r="326" spans="1:23" x14ac:dyDescent="0.3">
      <c r="A326" s="1">
        <v>44105</v>
      </c>
      <c r="B326" s="1">
        <v>44105</v>
      </c>
      <c r="C326" t="s">
        <v>157</v>
      </c>
      <c r="D326" t="s">
        <v>93</v>
      </c>
      <c r="E326" t="s">
        <v>49</v>
      </c>
      <c r="F326" t="s">
        <v>253</v>
      </c>
      <c r="G326" s="53">
        <v>44221.697384259256</v>
      </c>
      <c r="H326">
        <v>61</v>
      </c>
      <c r="I326" t="s">
        <v>349</v>
      </c>
      <c r="J326" t="s">
        <v>50</v>
      </c>
      <c r="K326" t="s">
        <v>50</v>
      </c>
      <c r="L326" t="s">
        <v>159</v>
      </c>
      <c r="M326" t="s">
        <v>51</v>
      </c>
      <c r="N326" t="s">
        <v>92</v>
      </c>
      <c r="O326" s="1">
        <v>41335</v>
      </c>
      <c r="P326" t="s">
        <v>84</v>
      </c>
      <c r="Q326">
        <v>5</v>
      </c>
      <c r="R326" t="s">
        <v>28</v>
      </c>
      <c r="S326">
        <v>1</v>
      </c>
      <c r="T326">
        <v>-3</v>
      </c>
      <c r="U326" t="s">
        <v>349</v>
      </c>
      <c r="V326" t="s">
        <v>349</v>
      </c>
      <c r="W326">
        <v>-3</v>
      </c>
    </row>
    <row r="327" spans="1:23" x14ac:dyDescent="0.3">
      <c r="A327" s="1">
        <v>44105</v>
      </c>
      <c r="B327" s="1">
        <v>44105</v>
      </c>
      <c r="C327" t="s">
        <v>157</v>
      </c>
      <c r="D327" t="s">
        <v>48</v>
      </c>
      <c r="E327" t="s">
        <v>49</v>
      </c>
      <c r="F327" t="s">
        <v>256</v>
      </c>
      <c r="G327" s="53">
        <v>44141.821956018517</v>
      </c>
      <c r="H327">
        <v>33</v>
      </c>
      <c r="I327">
        <v>15894</v>
      </c>
      <c r="J327" t="s">
        <v>50</v>
      </c>
      <c r="K327" t="s">
        <v>50</v>
      </c>
      <c r="L327" t="s">
        <v>159</v>
      </c>
      <c r="M327" t="s">
        <v>51</v>
      </c>
      <c r="N327" t="s">
        <v>92</v>
      </c>
      <c r="O327" s="1">
        <v>41335</v>
      </c>
      <c r="P327" t="s">
        <v>84</v>
      </c>
      <c r="Q327">
        <v>5</v>
      </c>
      <c r="R327" t="s">
        <v>28</v>
      </c>
      <c r="S327">
        <v>12.686017</v>
      </c>
      <c r="T327">
        <v>79.340999999999994</v>
      </c>
      <c r="U327" t="s">
        <v>349</v>
      </c>
      <c r="V327" t="s">
        <v>349</v>
      </c>
      <c r="W327">
        <v>1007</v>
      </c>
    </row>
    <row r="328" spans="1:23" x14ac:dyDescent="0.3">
      <c r="A328" s="1">
        <v>44136</v>
      </c>
      <c r="B328" s="1">
        <v>44136</v>
      </c>
      <c r="C328" t="s">
        <v>157</v>
      </c>
      <c r="D328" t="s">
        <v>54</v>
      </c>
      <c r="E328" t="s">
        <v>21</v>
      </c>
      <c r="F328" t="s">
        <v>261</v>
      </c>
      <c r="G328" s="53">
        <v>44169.666030092594</v>
      </c>
      <c r="H328">
        <v>33</v>
      </c>
      <c r="I328">
        <v>16653</v>
      </c>
      <c r="J328" t="s">
        <v>50</v>
      </c>
      <c r="K328" t="s">
        <v>50</v>
      </c>
      <c r="L328" t="s">
        <v>159</v>
      </c>
      <c r="M328" t="s">
        <v>51</v>
      </c>
      <c r="N328" t="s">
        <v>92</v>
      </c>
      <c r="O328" s="1">
        <v>41335</v>
      </c>
      <c r="P328" t="s">
        <v>84</v>
      </c>
      <c r="Q328">
        <v>1</v>
      </c>
      <c r="R328" t="s">
        <v>83</v>
      </c>
      <c r="S328" t="s">
        <v>349</v>
      </c>
      <c r="T328" t="s">
        <v>349</v>
      </c>
      <c r="U328">
        <v>0</v>
      </c>
      <c r="V328">
        <v>6059.26</v>
      </c>
      <c r="W328">
        <v>0</v>
      </c>
    </row>
    <row r="329" spans="1:23" x14ac:dyDescent="0.3">
      <c r="A329" s="1">
        <v>44136</v>
      </c>
      <c r="B329" s="1">
        <v>44136</v>
      </c>
      <c r="C329" t="s">
        <v>157</v>
      </c>
      <c r="D329" t="s">
        <v>93</v>
      </c>
      <c r="E329" t="s">
        <v>49</v>
      </c>
      <c r="F329" t="s">
        <v>259</v>
      </c>
      <c r="G329" s="53">
        <v>44215.508055555554</v>
      </c>
      <c r="H329">
        <v>61</v>
      </c>
      <c r="I329" t="s">
        <v>349</v>
      </c>
      <c r="J329" t="s">
        <v>50</v>
      </c>
      <c r="K329" t="s">
        <v>50</v>
      </c>
      <c r="L329" t="s">
        <v>159</v>
      </c>
      <c r="M329" t="s">
        <v>51</v>
      </c>
      <c r="N329" t="s">
        <v>92</v>
      </c>
      <c r="O329" s="1">
        <v>41335</v>
      </c>
      <c r="P329" t="s">
        <v>84</v>
      </c>
      <c r="Q329">
        <v>1</v>
      </c>
      <c r="R329" t="s">
        <v>83</v>
      </c>
      <c r="S329">
        <v>1</v>
      </c>
      <c r="T329">
        <v>-1312</v>
      </c>
      <c r="U329" t="s">
        <v>349</v>
      </c>
      <c r="V329" t="s">
        <v>349</v>
      </c>
      <c r="W329">
        <v>-1312</v>
      </c>
    </row>
    <row r="330" spans="1:23" x14ac:dyDescent="0.3">
      <c r="A330" s="1">
        <v>44136</v>
      </c>
      <c r="B330" s="1">
        <v>44136</v>
      </c>
      <c r="C330" t="s">
        <v>157</v>
      </c>
      <c r="D330" t="s">
        <v>48</v>
      </c>
      <c r="E330" t="s">
        <v>49</v>
      </c>
      <c r="F330" t="s">
        <v>264</v>
      </c>
      <c r="G330" s="53">
        <v>44169.666030092594</v>
      </c>
      <c r="H330">
        <v>33</v>
      </c>
      <c r="I330">
        <v>16653</v>
      </c>
      <c r="J330" t="s">
        <v>50</v>
      </c>
      <c r="K330" t="s">
        <v>50</v>
      </c>
      <c r="L330" t="s">
        <v>159</v>
      </c>
      <c r="M330" t="s">
        <v>51</v>
      </c>
      <c r="N330" t="s">
        <v>92</v>
      </c>
      <c r="O330" s="1">
        <v>41335</v>
      </c>
      <c r="P330" t="s">
        <v>84</v>
      </c>
      <c r="Q330">
        <v>1</v>
      </c>
      <c r="R330" t="s">
        <v>83</v>
      </c>
      <c r="S330">
        <v>2836.8555449999999</v>
      </c>
      <c r="T330">
        <v>80.344999999999999</v>
      </c>
      <c r="U330" t="s">
        <v>349</v>
      </c>
      <c r="V330" t="s">
        <v>349</v>
      </c>
      <c r="W330">
        <v>227927</v>
      </c>
    </row>
    <row r="331" spans="1:23" x14ac:dyDescent="0.3">
      <c r="A331" s="1">
        <v>44136</v>
      </c>
      <c r="B331" s="1">
        <v>44136</v>
      </c>
      <c r="C331" t="s">
        <v>157</v>
      </c>
      <c r="D331" t="s">
        <v>54</v>
      </c>
      <c r="E331" t="s">
        <v>21</v>
      </c>
      <c r="F331" t="s">
        <v>261</v>
      </c>
      <c r="G331" s="53">
        <v>44169.666030092594</v>
      </c>
      <c r="H331">
        <v>33</v>
      </c>
      <c r="I331">
        <v>16653</v>
      </c>
      <c r="J331" t="s">
        <v>50</v>
      </c>
      <c r="K331" t="s">
        <v>50</v>
      </c>
      <c r="L331" t="s">
        <v>159</v>
      </c>
      <c r="M331" t="s">
        <v>51</v>
      </c>
      <c r="N331" t="s">
        <v>92</v>
      </c>
      <c r="O331" s="1">
        <v>41335</v>
      </c>
      <c r="P331" t="s">
        <v>84</v>
      </c>
      <c r="Q331">
        <v>2</v>
      </c>
      <c r="R331" t="s">
        <v>94</v>
      </c>
      <c r="S331" t="s">
        <v>349</v>
      </c>
      <c r="T331" t="s">
        <v>349</v>
      </c>
      <c r="U331">
        <v>0</v>
      </c>
      <c r="V331">
        <v>6135.33</v>
      </c>
      <c r="W331">
        <v>0</v>
      </c>
    </row>
    <row r="332" spans="1:23" x14ac:dyDescent="0.3">
      <c r="A332" s="1">
        <v>44136</v>
      </c>
      <c r="B332" s="1">
        <v>44136</v>
      </c>
      <c r="C332" t="s">
        <v>157</v>
      </c>
      <c r="D332" t="s">
        <v>93</v>
      </c>
      <c r="E332" t="s">
        <v>49</v>
      </c>
      <c r="F332" t="s">
        <v>259</v>
      </c>
      <c r="G332" s="53">
        <v>44215.508055555554</v>
      </c>
      <c r="H332">
        <v>61</v>
      </c>
      <c r="I332" t="s">
        <v>349</v>
      </c>
      <c r="J332" t="s">
        <v>50</v>
      </c>
      <c r="K332" t="s">
        <v>50</v>
      </c>
      <c r="L332" t="s">
        <v>159</v>
      </c>
      <c r="M332" t="s">
        <v>51</v>
      </c>
      <c r="N332" t="s">
        <v>92</v>
      </c>
      <c r="O332" s="1">
        <v>41335</v>
      </c>
      <c r="P332" t="s">
        <v>84</v>
      </c>
      <c r="Q332">
        <v>2</v>
      </c>
      <c r="R332" t="s">
        <v>94</v>
      </c>
      <c r="S332">
        <v>1</v>
      </c>
      <c r="T332">
        <v>-6</v>
      </c>
      <c r="U332" t="s">
        <v>349</v>
      </c>
      <c r="V332" t="s">
        <v>349</v>
      </c>
      <c r="W332">
        <v>-6</v>
      </c>
    </row>
    <row r="333" spans="1:23" x14ac:dyDescent="0.3">
      <c r="A333" s="1">
        <v>44136</v>
      </c>
      <c r="B333" s="1">
        <v>44136</v>
      </c>
      <c r="C333" t="s">
        <v>157</v>
      </c>
      <c r="D333" t="s">
        <v>48</v>
      </c>
      <c r="E333" t="s">
        <v>49</v>
      </c>
      <c r="F333" t="s">
        <v>264</v>
      </c>
      <c r="G333" s="53">
        <v>44169.666030092594</v>
      </c>
      <c r="H333">
        <v>33</v>
      </c>
      <c r="I333">
        <v>16653</v>
      </c>
      <c r="J333" t="s">
        <v>50</v>
      </c>
      <c r="K333" t="s">
        <v>50</v>
      </c>
      <c r="L333" t="s">
        <v>159</v>
      </c>
      <c r="M333" t="s">
        <v>51</v>
      </c>
      <c r="N333" t="s">
        <v>92</v>
      </c>
      <c r="O333" s="1">
        <v>41335</v>
      </c>
      <c r="P333" t="s">
        <v>84</v>
      </c>
      <c r="Q333">
        <v>2</v>
      </c>
      <c r="R333" t="s">
        <v>94</v>
      </c>
      <c r="S333">
        <v>11.915349000000001</v>
      </c>
      <c r="T333">
        <v>81.489000000000004</v>
      </c>
      <c r="U333" t="s">
        <v>349</v>
      </c>
      <c r="V333" t="s">
        <v>349</v>
      </c>
      <c r="W333">
        <v>971</v>
      </c>
    </row>
    <row r="334" spans="1:23" x14ac:dyDescent="0.3">
      <c r="A334" s="1">
        <v>44136</v>
      </c>
      <c r="B334" s="1">
        <v>44136</v>
      </c>
      <c r="C334" t="s">
        <v>157</v>
      </c>
      <c r="D334" t="s">
        <v>54</v>
      </c>
      <c r="E334" t="s">
        <v>21</v>
      </c>
      <c r="F334" t="s">
        <v>261</v>
      </c>
      <c r="G334" s="53">
        <v>44169.666030092594</v>
      </c>
      <c r="H334">
        <v>33</v>
      </c>
      <c r="I334">
        <v>16653</v>
      </c>
      <c r="J334" t="s">
        <v>50</v>
      </c>
      <c r="K334" t="s">
        <v>50</v>
      </c>
      <c r="L334" t="s">
        <v>159</v>
      </c>
      <c r="M334" t="s">
        <v>51</v>
      </c>
      <c r="N334" t="s">
        <v>92</v>
      </c>
      <c r="O334" s="1">
        <v>41335</v>
      </c>
      <c r="P334" t="s">
        <v>84</v>
      </c>
      <c r="Q334">
        <v>3</v>
      </c>
      <c r="R334" t="s">
        <v>81</v>
      </c>
      <c r="S334" t="s">
        <v>349</v>
      </c>
      <c r="T334" t="s">
        <v>349</v>
      </c>
      <c r="U334">
        <v>0</v>
      </c>
      <c r="V334">
        <v>5857.6</v>
      </c>
      <c r="W334">
        <v>0</v>
      </c>
    </row>
    <row r="335" spans="1:23" x14ac:dyDescent="0.3">
      <c r="A335" s="1">
        <v>44136</v>
      </c>
      <c r="B335" s="1">
        <v>44136</v>
      </c>
      <c r="C335" t="s">
        <v>157</v>
      </c>
      <c r="D335" t="s">
        <v>93</v>
      </c>
      <c r="E335" t="s">
        <v>49</v>
      </c>
      <c r="F335" t="s">
        <v>259</v>
      </c>
      <c r="G335" s="53">
        <v>44215.508055555554</v>
      </c>
      <c r="H335">
        <v>61</v>
      </c>
      <c r="I335" t="s">
        <v>349</v>
      </c>
      <c r="J335" t="s">
        <v>50</v>
      </c>
      <c r="K335" t="s">
        <v>50</v>
      </c>
      <c r="L335" t="s">
        <v>159</v>
      </c>
      <c r="M335" t="s">
        <v>51</v>
      </c>
      <c r="N335" t="s">
        <v>92</v>
      </c>
      <c r="O335" s="1">
        <v>41335</v>
      </c>
      <c r="P335" t="s">
        <v>84</v>
      </c>
      <c r="Q335">
        <v>3</v>
      </c>
      <c r="R335" t="s">
        <v>81</v>
      </c>
      <c r="S335">
        <v>1</v>
      </c>
      <c r="T335">
        <v>-189</v>
      </c>
      <c r="U335" t="s">
        <v>349</v>
      </c>
      <c r="V335" t="s">
        <v>349</v>
      </c>
      <c r="W335">
        <v>-189</v>
      </c>
    </row>
    <row r="336" spans="1:23" x14ac:dyDescent="0.3">
      <c r="A336" s="1">
        <v>44136</v>
      </c>
      <c r="B336" s="1">
        <v>44136</v>
      </c>
      <c r="C336" t="s">
        <v>157</v>
      </c>
      <c r="D336" t="s">
        <v>48</v>
      </c>
      <c r="E336" t="s">
        <v>49</v>
      </c>
      <c r="F336" t="s">
        <v>264</v>
      </c>
      <c r="G336" s="53">
        <v>44169.666030092594</v>
      </c>
      <c r="H336">
        <v>33</v>
      </c>
      <c r="I336">
        <v>16653</v>
      </c>
      <c r="J336" t="s">
        <v>50</v>
      </c>
      <c r="K336" t="s">
        <v>50</v>
      </c>
      <c r="L336" t="s">
        <v>159</v>
      </c>
      <c r="M336" t="s">
        <v>51</v>
      </c>
      <c r="N336" t="s">
        <v>92</v>
      </c>
      <c r="O336" s="1">
        <v>41335</v>
      </c>
      <c r="P336" t="s">
        <v>84</v>
      </c>
      <c r="Q336">
        <v>3</v>
      </c>
      <c r="R336" t="s">
        <v>81</v>
      </c>
      <c r="S336">
        <v>427.739485</v>
      </c>
      <c r="T336">
        <v>76.656999999999996</v>
      </c>
      <c r="U336" t="s">
        <v>349</v>
      </c>
      <c r="V336" t="s">
        <v>349</v>
      </c>
      <c r="W336">
        <v>32789</v>
      </c>
    </row>
    <row r="337" spans="1:23" x14ac:dyDescent="0.3">
      <c r="A337" s="1">
        <v>44136</v>
      </c>
      <c r="B337" s="1">
        <v>44136</v>
      </c>
      <c r="C337" t="s">
        <v>157</v>
      </c>
      <c r="D337" t="s">
        <v>54</v>
      </c>
      <c r="E337" t="s">
        <v>21</v>
      </c>
      <c r="F337" t="s">
        <v>261</v>
      </c>
      <c r="G337" s="53">
        <v>44169.666030092594</v>
      </c>
      <c r="H337">
        <v>33</v>
      </c>
      <c r="I337">
        <v>16653</v>
      </c>
      <c r="J337" t="s">
        <v>50</v>
      </c>
      <c r="K337" t="s">
        <v>50</v>
      </c>
      <c r="L337" t="s">
        <v>159</v>
      </c>
      <c r="M337" t="s">
        <v>51</v>
      </c>
      <c r="N337" t="s">
        <v>92</v>
      </c>
      <c r="O337" s="1">
        <v>41335</v>
      </c>
      <c r="P337" t="s">
        <v>84</v>
      </c>
      <c r="Q337">
        <v>4</v>
      </c>
      <c r="R337" t="s">
        <v>27</v>
      </c>
      <c r="S337" t="s">
        <v>349</v>
      </c>
      <c r="T337" t="s">
        <v>349</v>
      </c>
      <c r="U337">
        <v>0</v>
      </c>
      <c r="V337">
        <v>5984.39</v>
      </c>
      <c r="W337">
        <v>0</v>
      </c>
    </row>
    <row r="338" spans="1:23" x14ac:dyDescent="0.3">
      <c r="A338" s="1">
        <v>44136</v>
      </c>
      <c r="B338" s="1">
        <v>44136</v>
      </c>
      <c r="C338" t="s">
        <v>157</v>
      </c>
      <c r="D338" t="s">
        <v>93</v>
      </c>
      <c r="E338" t="s">
        <v>49</v>
      </c>
      <c r="F338" t="s">
        <v>259</v>
      </c>
      <c r="G338" s="53">
        <v>44215.508055555554</v>
      </c>
      <c r="H338">
        <v>61</v>
      </c>
      <c r="I338" t="s">
        <v>349</v>
      </c>
      <c r="J338" t="s">
        <v>50</v>
      </c>
      <c r="K338" t="s">
        <v>50</v>
      </c>
      <c r="L338" t="s">
        <v>159</v>
      </c>
      <c r="M338" t="s">
        <v>51</v>
      </c>
      <c r="N338" t="s">
        <v>92</v>
      </c>
      <c r="O338" s="1">
        <v>41335</v>
      </c>
      <c r="P338" t="s">
        <v>84</v>
      </c>
      <c r="Q338">
        <v>4</v>
      </c>
      <c r="R338" t="s">
        <v>27</v>
      </c>
      <c r="S338">
        <v>1</v>
      </c>
      <c r="T338">
        <v>-1578</v>
      </c>
      <c r="U338" t="s">
        <v>349</v>
      </c>
      <c r="V338" t="s">
        <v>349</v>
      </c>
      <c r="W338">
        <v>-1578</v>
      </c>
    </row>
    <row r="339" spans="1:23" x14ac:dyDescent="0.3">
      <c r="A339" s="1">
        <v>44136</v>
      </c>
      <c r="B339" s="1">
        <v>44136</v>
      </c>
      <c r="C339" t="s">
        <v>157</v>
      </c>
      <c r="D339" t="s">
        <v>48</v>
      </c>
      <c r="E339" t="s">
        <v>49</v>
      </c>
      <c r="F339" t="s">
        <v>264</v>
      </c>
      <c r="G339" s="53">
        <v>44169.666030092594</v>
      </c>
      <c r="H339">
        <v>33</v>
      </c>
      <c r="I339">
        <v>16653</v>
      </c>
      <c r="J339" t="s">
        <v>50</v>
      </c>
      <c r="K339" t="s">
        <v>50</v>
      </c>
      <c r="L339" t="s">
        <v>159</v>
      </c>
      <c r="M339" t="s">
        <v>51</v>
      </c>
      <c r="N339" t="s">
        <v>92</v>
      </c>
      <c r="O339" s="1">
        <v>41335</v>
      </c>
      <c r="P339" t="s">
        <v>84</v>
      </c>
      <c r="Q339">
        <v>4</v>
      </c>
      <c r="R339" t="s">
        <v>27</v>
      </c>
      <c r="S339">
        <v>3569.1454020000001</v>
      </c>
      <c r="T339">
        <v>76.781000000000006</v>
      </c>
      <c r="U339" t="s">
        <v>349</v>
      </c>
      <c r="V339" t="s">
        <v>349</v>
      </c>
      <c r="W339">
        <v>274043</v>
      </c>
    </row>
    <row r="340" spans="1:23" x14ac:dyDescent="0.3">
      <c r="A340" s="1">
        <v>44136</v>
      </c>
      <c r="B340" s="1">
        <v>44136</v>
      </c>
      <c r="C340" t="s">
        <v>157</v>
      </c>
      <c r="D340" t="s">
        <v>54</v>
      </c>
      <c r="E340" t="s">
        <v>21</v>
      </c>
      <c r="F340" t="s">
        <v>261</v>
      </c>
      <c r="G340" s="53">
        <v>44169.666030092594</v>
      </c>
      <c r="H340">
        <v>33</v>
      </c>
      <c r="I340">
        <v>16653</v>
      </c>
      <c r="J340" t="s">
        <v>50</v>
      </c>
      <c r="K340" t="s">
        <v>50</v>
      </c>
      <c r="L340" t="s">
        <v>159</v>
      </c>
      <c r="M340" t="s">
        <v>51</v>
      </c>
      <c r="N340" t="s">
        <v>92</v>
      </c>
      <c r="O340" s="1">
        <v>41335</v>
      </c>
      <c r="P340" t="s">
        <v>84</v>
      </c>
      <c r="Q340">
        <v>5</v>
      </c>
      <c r="R340" t="s">
        <v>28</v>
      </c>
      <c r="S340" t="s">
        <v>349</v>
      </c>
      <c r="T340" t="s">
        <v>349</v>
      </c>
      <c r="U340">
        <v>0</v>
      </c>
      <c r="V340">
        <v>5746.51</v>
      </c>
      <c r="W340">
        <v>0</v>
      </c>
    </row>
    <row r="341" spans="1:23" x14ac:dyDescent="0.3">
      <c r="A341" s="1">
        <v>44136</v>
      </c>
      <c r="B341" s="1">
        <v>44136</v>
      </c>
      <c r="C341" t="s">
        <v>157</v>
      </c>
      <c r="D341" t="s">
        <v>93</v>
      </c>
      <c r="E341" t="s">
        <v>49</v>
      </c>
      <c r="F341" t="s">
        <v>259</v>
      </c>
      <c r="G341" s="53">
        <v>44215.508055555554</v>
      </c>
      <c r="H341">
        <v>61</v>
      </c>
      <c r="I341" t="s">
        <v>349</v>
      </c>
      <c r="J341" t="s">
        <v>50</v>
      </c>
      <c r="K341" t="s">
        <v>50</v>
      </c>
      <c r="L341" t="s">
        <v>159</v>
      </c>
      <c r="M341" t="s">
        <v>51</v>
      </c>
      <c r="N341" t="s">
        <v>92</v>
      </c>
      <c r="O341" s="1">
        <v>41335</v>
      </c>
      <c r="P341" t="s">
        <v>84</v>
      </c>
      <c r="Q341">
        <v>5</v>
      </c>
      <c r="R341" t="s">
        <v>28</v>
      </c>
      <c r="S341">
        <v>1</v>
      </c>
      <c r="T341">
        <v>-7</v>
      </c>
      <c r="U341" t="s">
        <v>349</v>
      </c>
      <c r="V341" t="s">
        <v>349</v>
      </c>
      <c r="W341">
        <v>-7</v>
      </c>
    </row>
    <row r="342" spans="1:23" x14ac:dyDescent="0.3">
      <c r="A342" s="1">
        <v>44136</v>
      </c>
      <c r="B342" s="1">
        <v>44136</v>
      </c>
      <c r="C342" t="s">
        <v>157</v>
      </c>
      <c r="D342" t="s">
        <v>48</v>
      </c>
      <c r="E342" t="s">
        <v>49</v>
      </c>
      <c r="F342" t="s">
        <v>264</v>
      </c>
      <c r="G342" s="53">
        <v>44169.666030092594</v>
      </c>
      <c r="H342">
        <v>33</v>
      </c>
      <c r="I342">
        <v>16653</v>
      </c>
      <c r="J342" t="s">
        <v>50</v>
      </c>
      <c r="K342" t="s">
        <v>50</v>
      </c>
      <c r="L342" t="s">
        <v>159</v>
      </c>
      <c r="M342" t="s">
        <v>51</v>
      </c>
      <c r="N342" t="s">
        <v>92</v>
      </c>
      <c r="O342" s="1">
        <v>41335</v>
      </c>
      <c r="P342" t="s">
        <v>84</v>
      </c>
      <c r="Q342">
        <v>5</v>
      </c>
      <c r="R342" t="s">
        <v>28</v>
      </c>
      <c r="S342">
        <v>14.665755000000001</v>
      </c>
      <c r="T342">
        <v>79.340999999999994</v>
      </c>
      <c r="U342" t="s">
        <v>349</v>
      </c>
      <c r="V342" t="s">
        <v>349</v>
      </c>
      <c r="W342">
        <v>1164</v>
      </c>
    </row>
    <row r="343" spans="1:23" x14ac:dyDescent="0.3">
      <c r="A343" s="1">
        <v>44166</v>
      </c>
      <c r="B343" s="1">
        <v>44166</v>
      </c>
      <c r="C343" t="s">
        <v>157</v>
      </c>
      <c r="D343" t="s">
        <v>54</v>
      </c>
      <c r="E343" t="s">
        <v>21</v>
      </c>
      <c r="F343" t="s">
        <v>265</v>
      </c>
      <c r="G343" s="53">
        <v>44203.692604166667</v>
      </c>
      <c r="H343">
        <v>33</v>
      </c>
      <c r="I343">
        <v>16938</v>
      </c>
      <c r="J343" t="s">
        <v>50</v>
      </c>
      <c r="K343" t="s">
        <v>50</v>
      </c>
      <c r="L343" t="s">
        <v>159</v>
      </c>
      <c r="M343" t="s">
        <v>51</v>
      </c>
      <c r="N343" t="s">
        <v>92</v>
      </c>
      <c r="O343" s="1">
        <v>41335</v>
      </c>
      <c r="P343" t="s">
        <v>84</v>
      </c>
      <c r="Q343">
        <v>1</v>
      </c>
      <c r="R343" t="s">
        <v>83</v>
      </c>
      <c r="S343" t="s">
        <v>349</v>
      </c>
      <c r="T343" t="s">
        <v>349</v>
      </c>
      <c r="U343">
        <v>0</v>
      </c>
      <c r="V343">
        <v>6059.26</v>
      </c>
      <c r="W343">
        <v>0</v>
      </c>
    </row>
    <row r="344" spans="1:23" x14ac:dyDescent="0.3">
      <c r="A344" s="1">
        <v>44166</v>
      </c>
      <c r="B344" s="1">
        <v>44166</v>
      </c>
      <c r="C344" t="s">
        <v>157</v>
      </c>
      <c r="D344" t="s">
        <v>93</v>
      </c>
      <c r="E344" t="s">
        <v>49</v>
      </c>
      <c r="F344" t="s">
        <v>268</v>
      </c>
      <c r="G344" s="53">
        <v>44251.474293981482</v>
      </c>
      <c r="H344">
        <v>33</v>
      </c>
      <c r="I344" t="s">
        <v>349</v>
      </c>
      <c r="J344" t="s">
        <v>50</v>
      </c>
      <c r="K344" t="s">
        <v>50</v>
      </c>
      <c r="L344" t="s">
        <v>159</v>
      </c>
      <c r="M344" t="s">
        <v>51</v>
      </c>
      <c r="N344" t="s">
        <v>92</v>
      </c>
      <c r="O344" s="1">
        <v>41335</v>
      </c>
      <c r="P344" t="s">
        <v>84</v>
      </c>
      <c r="Q344">
        <v>1</v>
      </c>
      <c r="R344" t="s">
        <v>83</v>
      </c>
      <c r="S344">
        <v>1</v>
      </c>
      <c r="T344">
        <v>882</v>
      </c>
      <c r="U344" t="s">
        <v>349</v>
      </c>
      <c r="V344" t="s">
        <v>349</v>
      </c>
      <c r="W344">
        <v>882</v>
      </c>
    </row>
    <row r="345" spans="1:23" x14ac:dyDescent="0.3">
      <c r="A345" s="1">
        <v>44166</v>
      </c>
      <c r="B345" s="1">
        <v>44166</v>
      </c>
      <c r="C345" t="s">
        <v>157</v>
      </c>
      <c r="D345" t="s">
        <v>48</v>
      </c>
      <c r="E345" t="s">
        <v>49</v>
      </c>
      <c r="F345" t="s">
        <v>267</v>
      </c>
      <c r="G345" s="53">
        <v>44203.692604166667</v>
      </c>
      <c r="H345">
        <v>33</v>
      </c>
      <c r="I345">
        <v>16938</v>
      </c>
      <c r="J345" t="s">
        <v>50</v>
      </c>
      <c r="K345" t="s">
        <v>50</v>
      </c>
      <c r="L345" t="s">
        <v>159</v>
      </c>
      <c r="M345" t="s">
        <v>51</v>
      </c>
      <c r="N345" t="s">
        <v>92</v>
      </c>
      <c r="O345" s="1">
        <v>41335</v>
      </c>
      <c r="P345" t="s">
        <v>84</v>
      </c>
      <c r="Q345">
        <v>1</v>
      </c>
      <c r="R345" t="s">
        <v>83</v>
      </c>
      <c r="S345">
        <v>3655.0122390000001</v>
      </c>
      <c r="T345">
        <v>80.344999999999999</v>
      </c>
      <c r="U345" t="s">
        <v>349</v>
      </c>
      <c r="V345" t="s">
        <v>349</v>
      </c>
      <c r="W345">
        <v>293662</v>
      </c>
    </row>
    <row r="346" spans="1:23" x14ac:dyDescent="0.3">
      <c r="A346" s="1">
        <v>44166</v>
      </c>
      <c r="B346" s="1">
        <v>44166</v>
      </c>
      <c r="C346" t="s">
        <v>157</v>
      </c>
      <c r="D346" t="s">
        <v>54</v>
      </c>
      <c r="E346" t="s">
        <v>21</v>
      </c>
      <c r="F346" t="s">
        <v>265</v>
      </c>
      <c r="G346" s="53">
        <v>44203.692604166667</v>
      </c>
      <c r="H346">
        <v>33</v>
      </c>
      <c r="I346">
        <v>16938</v>
      </c>
      <c r="J346" t="s">
        <v>50</v>
      </c>
      <c r="K346" t="s">
        <v>50</v>
      </c>
      <c r="L346" t="s">
        <v>159</v>
      </c>
      <c r="M346" t="s">
        <v>51</v>
      </c>
      <c r="N346" t="s">
        <v>92</v>
      </c>
      <c r="O346" s="1">
        <v>41335</v>
      </c>
      <c r="P346" t="s">
        <v>84</v>
      </c>
      <c r="Q346">
        <v>2</v>
      </c>
      <c r="R346" t="s">
        <v>94</v>
      </c>
      <c r="S346" t="s">
        <v>349</v>
      </c>
      <c r="T346" t="s">
        <v>349</v>
      </c>
      <c r="U346">
        <v>0</v>
      </c>
      <c r="V346">
        <v>6135.33</v>
      </c>
      <c r="W346">
        <v>0</v>
      </c>
    </row>
    <row r="347" spans="1:23" x14ac:dyDescent="0.3">
      <c r="A347" s="1">
        <v>44166</v>
      </c>
      <c r="B347" s="1">
        <v>44166</v>
      </c>
      <c r="C347" t="s">
        <v>157</v>
      </c>
      <c r="D347" t="s">
        <v>93</v>
      </c>
      <c r="E347" t="s">
        <v>49</v>
      </c>
      <c r="F347" t="s">
        <v>268</v>
      </c>
      <c r="G347" s="53">
        <v>44251.474293981482</v>
      </c>
      <c r="H347">
        <v>33</v>
      </c>
      <c r="I347" t="s">
        <v>349</v>
      </c>
      <c r="J347" t="s">
        <v>50</v>
      </c>
      <c r="K347" t="s">
        <v>50</v>
      </c>
      <c r="L347" t="s">
        <v>159</v>
      </c>
      <c r="M347" t="s">
        <v>51</v>
      </c>
      <c r="N347" t="s">
        <v>92</v>
      </c>
      <c r="O347" s="1">
        <v>41335</v>
      </c>
      <c r="P347" t="s">
        <v>84</v>
      </c>
      <c r="Q347">
        <v>2</v>
      </c>
      <c r="R347" t="s">
        <v>94</v>
      </c>
      <c r="S347">
        <v>1</v>
      </c>
      <c r="T347">
        <v>4</v>
      </c>
      <c r="U347" t="s">
        <v>349</v>
      </c>
      <c r="V347" t="s">
        <v>349</v>
      </c>
      <c r="W347">
        <v>4</v>
      </c>
    </row>
    <row r="348" spans="1:23" x14ac:dyDescent="0.3">
      <c r="A348" s="1">
        <v>44166</v>
      </c>
      <c r="B348" s="1">
        <v>44166</v>
      </c>
      <c r="C348" t="s">
        <v>157</v>
      </c>
      <c r="D348" t="s">
        <v>48</v>
      </c>
      <c r="E348" t="s">
        <v>49</v>
      </c>
      <c r="F348" t="s">
        <v>267</v>
      </c>
      <c r="G348" s="53">
        <v>44203.692604166667</v>
      </c>
      <c r="H348">
        <v>33</v>
      </c>
      <c r="I348">
        <v>16938</v>
      </c>
      <c r="J348" t="s">
        <v>50</v>
      </c>
      <c r="K348" t="s">
        <v>50</v>
      </c>
      <c r="L348" t="s">
        <v>159</v>
      </c>
      <c r="M348" t="s">
        <v>51</v>
      </c>
      <c r="N348" t="s">
        <v>92</v>
      </c>
      <c r="O348" s="1">
        <v>41335</v>
      </c>
      <c r="P348" t="s">
        <v>84</v>
      </c>
      <c r="Q348">
        <v>2</v>
      </c>
      <c r="R348" t="s">
        <v>94</v>
      </c>
      <c r="S348">
        <v>14.851406000000001</v>
      </c>
      <c r="T348">
        <v>81.489000000000004</v>
      </c>
      <c r="U348" t="s">
        <v>349</v>
      </c>
      <c r="V348" t="s">
        <v>349</v>
      </c>
      <c r="W348">
        <v>1210</v>
      </c>
    </row>
    <row r="349" spans="1:23" x14ac:dyDescent="0.3">
      <c r="A349" s="1">
        <v>44166</v>
      </c>
      <c r="B349" s="1">
        <v>44166</v>
      </c>
      <c r="C349" t="s">
        <v>157</v>
      </c>
      <c r="D349" t="s">
        <v>54</v>
      </c>
      <c r="E349" t="s">
        <v>21</v>
      </c>
      <c r="F349" t="s">
        <v>265</v>
      </c>
      <c r="G349" s="53">
        <v>44203.692604166667</v>
      </c>
      <c r="H349">
        <v>33</v>
      </c>
      <c r="I349">
        <v>16938</v>
      </c>
      <c r="J349" t="s">
        <v>50</v>
      </c>
      <c r="K349" t="s">
        <v>50</v>
      </c>
      <c r="L349" t="s">
        <v>159</v>
      </c>
      <c r="M349" t="s">
        <v>51</v>
      </c>
      <c r="N349" t="s">
        <v>92</v>
      </c>
      <c r="O349" s="1">
        <v>41335</v>
      </c>
      <c r="P349" t="s">
        <v>84</v>
      </c>
      <c r="Q349">
        <v>3</v>
      </c>
      <c r="R349" t="s">
        <v>81</v>
      </c>
      <c r="S349" t="s">
        <v>349</v>
      </c>
      <c r="T349" t="s">
        <v>349</v>
      </c>
      <c r="U349">
        <v>0</v>
      </c>
      <c r="V349">
        <v>5857.6</v>
      </c>
      <c r="W349">
        <v>0</v>
      </c>
    </row>
    <row r="350" spans="1:23" x14ac:dyDescent="0.3">
      <c r="A350" s="1">
        <v>44166</v>
      </c>
      <c r="B350" s="1">
        <v>44166</v>
      </c>
      <c r="C350" t="s">
        <v>157</v>
      </c>
      <c r="D350" t="s">
        <v>93</v>
      </c>
      <c r="E350" t="s">
        <v>49</v>
      </c>
      <c r="F350" t="s">
        <v>268</v>
      </c>
      <c r="G350" s="53">
        <v>44251.474293981482</v>
      </c>
      <c r="H350">
        <v>33</v>
      </c>
      <c r="I350" t="s">
        <v>349</v>
      </c>
      <c r="J350" t="s">
        <v>50</v>
      </c>
      <c r="K350" t="s">
        <v>50</v>
      </c>
      <c r="L350" t="s">
        <v>159</v>
      </c>
      <c r="M350" t="s">
        <v>51</v>
      </c>
      <c r="N350" t="s">
        <v>92</v>
      </c>
      <c r="O350" s="1">
        <v>41335</v>
      </c>
      <c r="P350" t="s">
        <v>84</v>
      </c>
      <c r="Q350">
        <v>3</v>
      </c>
      <c r="R350" t="s">
        <v>81</v>
      </c>
      <c r="S350">
        <v>1</v>
      </c>
      <c r="T350">
        <v>128</v>
      </c>
      <c r="U350" t="s">
        <v>349</v>
      </c>
      <c r="V350" t="s">
        <v>349</v>
      </c>
      <c r="W350">
        <v>128</v>
      </c>
    </row>
    <row r="351" spans="1:23" x14ac:dyDescent="0.3">
      <c r="A351" s="1">
        <v>44166</v>
      </c>
      <c r="B351" s="1">
        <v>44166</v>
      </c>
      <c r="C351" t="s">
        <v>157</v>
      </c>
      <c r="D351" t="s">
        <v>48</v>
      </c>
      <c r="E351" t="s">
        <v>49</v>
      </c>
      <c r="F351" t="s">
        <v>267</v>
      </c>
      <c r="G351" s="53">
        <v>44203.692604166667</v>
      </c>
      <c r="H351">
        <v>33</v>
      </c>
      <c r="I351">
        <v>16938</v>
      </c>
      <c r="J351" t="s">
        <v>50</v>
      </c>
      <c r="K351" t="s">
        <v>50</v>
      </c>
      <c r="L351" t="s">
        <v>159</v>
      </c>
      <c r="M351" t="s">
        <v>51</v>
      </c>
      <c r="N351" t="s">
        <v>92</v>
      </c>
      <c r="O351" s="1">
        <v>41335</v>
      </c>
      <c r="P351" t="s">
        <v>84</v>
      </c>
      <c r="Q351">
        <v>3</v>
      </c>
      <c r="R351" t="s">
        <v>81</v>
      </c>
      <c r="S351">
        <v>555.09301300000004</v>
      </c>
      <c r="T351">
        <v>76.656999999999996</v>
      </c>
      <c r="U351" t="s">
        <v>349</v>
      </c>
      <c r="V351" t="s">
        <v>349</v>
      </c>
      <c r="W351">
        <v>42552</v>
      </c>
    </row>
    <row r="352" spans="1:23" x14ac:dyDescent="0.3">
      <c r="A352" s="1">
        <v>44166</v>
      </c>
      <c r="B352" s="1">
        <v>44166</v>
      </c>
      <c r="C352" t="s">
        <v>157</v>
      </c>
      <c r="D352" t="s">
        <v>54</v>
      </c>
      <c r="E352" t="s">
        <v>21</v>
      </c>
      <c r="F352" t="s">
        <v>265</v>
      </c>
      <c r="G352" s="53">
        <v>44203.692604166667</v>
      </c>
      <c r="H352">
        <v>33</v>
      </c>
      <c r="I352">
        <v>16938</v>
      </c>
      <c r="J352" t="s">
        <v>50</v>
      </c>
      <c r="K352" t="s">
        <v>50</v>
      </c>
      <c r="L352" t="s">
        <v>159</v>
      </c>
      <c r="M352" t="s">
        <v>51</v>
      </c>
      <c r="N352" t="s">
        <v>92</v>
      </c>
      <c r="O352" s="1">
        <v>41335</v>
      </c>
      <c r="P352" t="s">
        <v>84</v>
      </c>
      <c r="Q352">
        <v>4</v>
      </c>
      <c r="R352" t="s">
        <v>27</v>
      </c>
      <c r="S352" t="s">
        <v>349</v>
      </c>
      <c r="T352" t="s">
        <v>349</v>
      </c>
      <c r="U352">
        <v>0</v>
      </c>
      <c r="V352">
        <v>5984.39</v>
      </c>
      <c r="W352">
        <v>0</v>
      </c>
    </row>
    <row r="353" spans="1:23" x14ac:dyDescent="0.3">
      <c r="A353" s="1">
        <v>44166</v>
      </c>
      <c r="B353" s="1">
        <v>44166</v>
      </c>
      <c r="C353" t="s">
        <v>157</v>
      </c>
      <c r="D353" t="s">
        <v>93</v>
      </c>
      <c r="E353" t="s">
        <v>49</v>
      </c>
      <c r="F353" t="s">
        <v>268</v>
      </c>
      <c r="G353" s="53">
        <v>44251.474293981482</v>
      </c>
      <c r="H353">
        <v>33</v>
      </c>
      <c r="I353" t="s">
        <v>349</v>
      </c>
      <c r="J353" t="s">
        <v>50</v>
      </c>
      <c r="K353" t="s">
        <v>50</v>
      </c>
      <c r="L353" t="s">
        <v>159</v>
      </c>
      <c r="M353" t="s">
        <v>51</v>
      </c>
      <c r="N353" t="s">
        <v>92</v>
      </c>
      <c r="O353" s="1">
        <v>41335</v>
      </c>
      <c r="P353" t="s">
        <v>84</v>
      </c>
      <c r="Q353">
        <v>4</v>
      </c>
      <c r="R353" t="s">
        <v>27</v>
      </c>
      <c r="S353">
        <v>1</v>
      </c>
      <c r="T353">
        <v>1055</v>
      </c>
      <c r="U353" t="s">
        <v>349</v>
      </c>
      <c r="V353" t="s">
        <v>349</v>
      </c>
      <c r="W353">
        <v>1055</v>
      </c>
    </row>
    <row r="354" spans="1:23" x14ac:dyDescent="0.3">
      <c r="A354" s="1">
        <v>44166</v>
      </c>
      <c r="B354" s="1">
        <v>44166</v>
      </c>
      <c r="C354" t="s">
        <v>157</v>
      </c>
      <c r="D354" t="s">
        <v>48</v>
      </c>
      <c r="E354" t="s">
        <v>49</v>
      </c>
      <c r="F354" t="s">
        <v>267</v>
      </c>
      <c r="G354" s="53">
        <v>44203.692604166667</v>
      </c>
      <c r="H354">
        <v>33</v>
      </c>
      <c r="I354">
        <v>16938</v>
      </c>
      <c r="J354" t="s">
        <v>50</v>
      </c>
      <c r="K354" t="s">
        <v>50</v>
      </c>
      <c r="L354" t="s">
        <v>159</v>
      </c>
      <c r="M354" t="s">
        <v>51</v>
      </c>
      <c r="N354" t="s">
        <v>92</v>
      </c>
      <c r="O354" s="1">
        <v>41335</v>
      </c>
      <c r="P354" t="s">
        <v>84</v>
      </c>
      <c r="Q354">
        <v>4</v>
      </c>
      <c r="R354" t="s">
        <v>27</v>
      </c>
      <c r="S354">
        <v>4574.312688</v>
      </c>
      <c r="T354">
        <v>76.781000000000006</v>
      </c>
      <c r="U354" t="s">
        <v>349</v>
      </c>
      <c r="V354" t="s">
        <v>349</v>
      </c>
      <c r="W354">
        <v>351220</v>
      </c>
    </row>
    <row r="355" spans="1:23" x14ac:dyDescent="0.3">
      <c r="A355" s="1">
        <v>44166</v>
      </c>
      <c r="B355" s="1">
        <v>44166</v>
      </c>
      <c r="C355" t="s">
        <v>157</v>
      </c>
      <c r="D355" t="s">
        <v>54</v>
      </c>
      <c r="E355" t="s">
        <v>21</v>
      </c>
      <c r="F355" t="s">
        <v>265</v>
      </c>
      <c r="G355" s="53">
        <v>44203.692604166667</v>
      </c>
      <c r="H355">
        <v>33</v>
      </c>
      <c r="I355">
        <v>16938</v>
      </c>
      <c r="J355" t="s">
        <v>50</v>
      </c>
      <c r="K355" t="s">
        <v>50</v>
      </c>
      <c r="L355" t="s">
        <v>159</v>
      </c>
      <c r="M355" t="s">
        <v>51</v>
      </c>
      <c r="N355" t="s">
        <v>92</v>
      </c>
      <c r="O355" s="1">
        <v>41335</v>
      </c>
      <c r="P355" t="s">
        <v>84</v>
      </c>
      <c r="Q355">
        <v>5</v>
      </c>
      <c r="R355" t="s">
        <v>28</v>
      </c>
      <c r="S355" t="s">
        <v>349</v>
      </c>
      <c r="T355" t="s">
        <v>349</v>
      </c>
      <c r="U355">
        <v>0</v>
      </c>
      <c r="V355">
        <v>5746.51</v>
      </c>
      <c r="W355">
        <v>0</v>
      </c>
    </row>
    <row r="356" spans="1:23" x14ac:dyDescent="0.3">
      <c r="A356" s="1">
        <v>44166</v>
      </c>
      <c r="B356" s="1">
        <v>44166</v>
      </c>
      <c r="C356" t="s">
        <v>157</v>
      </c>
      <c r="D356" t="s">
        <v>93</v>
      </c>
      <c r="E356" t="s">
        <v>49</v>
      </c>
      <c r="F356" t="s">
        <v>268</v>
      </c>
      <c r="G356" s="53">
        <v>44251.474293981482</v>
      </c>
      <c r="H356">
        <v>33</v>
      </c>
      <c r="I356" t="s">
        <v>349</v>
      </c>
      <c r="J356" t="s">
        <v>50</v>
      </c>
      <c r="K356" t="s">
        <v>50</v>
      </c>
      <c r="L356" t="s">
        <v>159</v>
      </c>
      <c r="M356" t="s">
        <v>51</v>
      </c>
      <c r="N356" t="s">
        <v>92</v>
      </c>
      <c r="O356" s="1">
        <v>41335</v>
      </c>
      <c r="P356" t="s">
        <v>84</v>
      </c>
      <c r="Q356">
        <v>5</v>
      </c>
      <c r="R356" t="s">
        <v>28</v>
      </c>
      <c r="S356">
        <v>1</v>
      </c>
      <c r="T356">
        <v>4</v>
      </c>
      <c r="U356" t="s">
        <v>349</v>
      </c>
      <c r="V356" t="s">
        <v>349</v>
      </c>
      <c r="W356">
        <v>4</v>
      </c>
    </row>
    <row r="357" spans="1:23" x14ac:dyDescent="0.3">
      <c r="A357" s="1">
        <v>44166</v>
      </c>
      <c r="B357" s="1">
        <v>44166</v>
      </c>
      <c r="C357" t="s">
        <v>157</v>
      </c>
      <c r="D357" t="s">
        <v>48</v>
      </c>
      <c r="E357" t="s">
        <v>49</v>
      </c>
      <c r="F357" t="s">
        <v>267</v>
      </c>
      <c r="G357" s="53">
        <v>44203.692604166667</v>
      </c>
      <c r="H357">
        <v>33</v>
      </c>
      <c r="I357">
        <v>16938</v>
      </c>
      <c r="J357" t="s">
        <v>50</v>
      </c>
      <c r="K357" t="s">
        <v>50</v>
      </c>
      <c r="L357" t="s">
        <v>159</v>
      </c>
      <c r="M357" t="s">
        <v>51</v>
      </c>
      <c r="N357" t="s">
        <v>92</v>
      </c>
      <c r="O357" s="1">
        <v>41335</v>
      </c>
      <c r="P357" t="s">
        <v>84</v>
      </c>
      <c r="Q357">
        <v>5</v>
      </c>
      <c r="R357" t="s">
        <v>28</v>
      </c>
      <c r="S357">
        <v>18.685690000000001</v>
      </c>
      <c r="T357">
        <v>79.340999999999994</v>
      </c>
      <c r="U357" t="s">
        <v>349</v>
      </c>
      <c r="V357" t="s">
        <v>349</v>
      </c>
      <c r="W357">
        <v>1483</v>
      </c>
    </row>
    <row r="358" spans="1:23" x14ac:dyDescent="0.3">
      <c r="A358" s="1">
        <v>44197</v>
      </c>
      <c r="B358" s="1">
        <v>44197</v>
      </c>
      <c r="C358" t="s">
        <v>157</v>
      </c>
      <c r="D358" t="s">
        <v>54</v>
      </c>
      <c r="E358" t="s">
        <v>21</v>
      </c>
      <c r="F358" t="s">
        <v>274</v>
      </c>
      <c r="G358" s="53">
        <v>44235.838287037041</v>
      </c>
      <c r="H358">
        <v>33</v>
      </c>
      <c r="I358">
        <v>17339</v>
      </c>
      <c r="J358" t="s">
        <v>50</v>
      </c>
      <c r="K358" t="s">
        <v>50</v>
      </c>
      <c r="L358" t="s">
        <v>159</v>
      </c>
      <c r="M358" t="s">
        <v>51</v>
      </c>
      <c r="N358" t="s">
        <v>92</v>
      </c>
      <c r="O358" s="1">
        <v>41335</v>
      </c>
      <c r="P358" t="s">
        <v>84</v>
      </c>
      <c r="Q358">
        <v>1</v>
      </c>
      <c r="R358" t="s">
        <v>83</v>
      </c>
      <c r="S358" t="s">
        <v>349</v>
      </c>
      <c r="T358" t="s">
        <v>349</v>
      </c>
      <c r="U358">
        <v>0</v>
      </c>
      <c r="V358">
        <v>5914.42</v>
      </c>
      <c r="W358">
        <v>0</v>
      </c>
    </row>
    <row r="359" spans="1:23" x14ac:dyDescent="0.3">
      <c r="A359" s="1">
        <v>44197</v>
      </c>
      <c r="B359" s="1">
        <v>44197</v>
      </c>
      <c r="C359" t="s">
        <v>157</v>
      </c>
      <c r="D359" t="s">
        <v>93</v>
      </c>
      <c r="E359" t="s">
        <v>49</v>
      </c>
      <c r="F359" t="s">
        <v>270</v>
      </c>
      <c r="G359" s="53">
        <v>44273.429872685185</v>
      </c>
      <c r="H359">
        <v>61</v>
      </c>
      <c r="I359" t="s">
        <v>349</v>
      </c>
      <c r="J359" t="s">
        <v>50</v>
      </c>
      <c r="K359" t="s">
        <v>50</v>
      </c>
      <c r="L359" t="s">
        <v>159</v>
      </c>
      <c r="M359" t="s">
        <v>51</v>
      </c>
      <c r="N359" t="s">
        <v>92</v>
      </c>
      <c r="O359" s="1">
        <v>41335</v>
      </c>
      <c r="P359" t="s">
        <v>84</v>
      </c>
      <c r="Q359">
        <v>1</v>
      </c>
      <c r="R359" t="s">
        <v>83</v>
      </c>
      <c r="S359">
        <v>1</v>
      </c>
      <c r="T359">
        <v>-332</v>
      </c>
      <c r="U359" t="s">
        <v>349</v>
      </c>
      <c r="V359" t="s">
        <v>349</v>
      </c>
      <c r="W359">
        <v>-332</v>
      </c>
    </row>
    <row r="360" spans="1:23" x14ac:dyDescent="0.3">
      <c r="A360" s="1">
        <v>44197</v>
      </c>
      <c r="B360" s="1">
        <v>44197</v>
      </c>
      <c r="C360" t="s">
        <v>157</v>
      </c>
      <c r="D360" t="s">
        <v>48</v>
      </c>
      <c r="E360" t="s">
        <v>49</v>
      </c>
      <c r="F360" t="s">
        <v>272</v>
      </c>
      <c r="G360" s="53">
        <v>44235.838287037041</v>
      </c>
      <c r="H360">
        <v>33</v>
      </c>
      <c r="I360">
        <v>17339</v>
      </c>
      <c r="J360" t="s">
        <v>50</v>
      </c>
      <c r="K360" t="s">
        <v>50</v>
      </c>
      <c r="L360" t="s">
        <v>159</v>
      </c>
      <c r="M360" t="s">
        <v>51</v>
      </c>
      <c r="N360" t="s">
        <v>92</v>
      </c>
      <c r="O360" s="1">
        <v>41335</v>
      </c>
      <c r="P360" t="s">
        <v>84</v>
      </c>
      <c r="Q360">
        <v>1</v>
      </c>
      <c r="R360" t="s">
        <v>83</v>
      </c>
      <c r="S360">
        <v>2962.3663649999999</v>
      </c>
      <c r="T360">
        <v>85.203000000000003</v>
      </c>
      <c r="U360" t="s">
        <v>349</v>
      </c>
      <c r="V360" t="s">
        <v>349</v>
      </c>
      <c r="W360">
        <v>252403</v>
      </c>
    </row>
    <row r="361" spans="1:23" x14ac:dyDescent="0.3">
      <c r="A361" s="1">
        <v>44197</v>
      </c>
      <c r="B361" s="1">
        <v>44197</v>
      </c>
      <c r="C361" t="s">
        <v>157</v>
      </c>
      <c r="D361" t="s">
        <v>54</v>
      </c>
      <c r="E361" t="s">
        <v>21</v>
      </c>
      <c r="F361" t="s">
        <v>274</v>
      </c>
      <c r="G361" s="53">
        <v>44235.838287037041</v>
      </c>
      <c r="H361">
        <v>33</v>
      </c>
      <c r="I361">
        <v>17339</v>
      </c>
      <c r="J361" t="s">
        <v>50</v>
      </c>
      <c r="K361" t="s">
        <v>50</v>
      </c>
      <c r="L361" t="s">
        <v>159</v>
      </c>
      <c r="M361" t="s">
        <v>51</v>
      </c>
      <c r="N361" t="s">
        <v>92</v>
      </c>
      <c r="O361" s="1">
        <v>41335</v>
      </c>
      <c r="P361" t="s">
        <v>84</v>
      </c>
      <c r="Q361">
        <v>2</v>
      </c>
      <c r="R361" t="s">
        <v>94</v>
      </c>
      <c r="S361" t="s">
        <v>349</v>
      </c>
      <c r="T361" t="s">
        <v>349</v>
      </c>
      <c r="U361">
        <v>0</v>
      </c>
      <c r="V361">
        <v>6007.37</v>
      </c>
      <c r="W361">
        <v>0</v>
      </c>
    </row>
    <row r="362" spans="1:23" x14ac:dyDescent="0.3">
      <c r="A362" s="1">
        <v>44197</v>
      </c>
      <c r="B362" s="1">
        <v>44197</v>
      </c>
      <c r="C362" t="s">
        <v>157</v>
      </c>
      <c r="D362" t="s">
        <v>93</v>
      </c>
      <c r="E362" t="s">
        <v>49</v>
      </c>
      <c r="F362" t="s">
        <v>270</v>
      </c>
      <c r="G362" s="53">
        <v>44273.429872685185</v>
      </c>
      <c r="H362">
        <v>61</v>
      </c>
      <c r="I362" t="s">
        <v>349</v>
      </c>
      <c r="J362" t="s">
        <v>50</v>
      </c>
      <c r="K362" t="s">
        <v>50</v>
      </c>
      <c r="L362" t="s">
        <v>159</v>
      </c>
      <c r="M362" t="s">
        <v>51</v>
      </c>
      <c r="N362" t="s">
        <v>92</v>
      </c>
      <c r="O362" s="1">
        <v>41335</v>
      </c>
      <c r="P362" t="s">
        <v>84</v>
      </c>
      <c r="Q362">
        <v>2</v>
      </c>
      <c r="R362" t="s">
        <v>94</v>
      </c>
      <c r="S362">
        <v>1</v>
      </c>
      <c r="T362">
        <v>-1</v>
      </c>
      <c r="U362" t="s">
        <v>349</v>
      </c>
      <c r="V362" t="s">
        <v>349</v>
      </c>
      <c r="W362">
        <v>-1</v>
      </c>
    </row>
    <row r="363" spans="1:23" x14ac:dyDescent="0.3">
      <c r="A363" s="1">
        <v>44197</v>
      </c>
      <c r="B363" s="1">
        <v>44197</v>
      </c>
      <c r="C363" t="s">
        <v>157</v>
      </c>
      <c r="D363" t="s">
        <v>48</v>
      </c>
      <c r="E363" t="s">
        <v>49</v>
      </c>
      <c r="F363" t="s">
        <v>272</v>
      </c>
      <c r="G363" s="53">
        <v>44235.838287037041</v>
      </c>
      <c r="H363">
        <v>33</v>
      </c>
      <c r="I363">
        <v>17339</v>
      </c>
      <c r="J363" t="s">
        <v>50</v>
      </c>
      <c r="K363" t="s">
        <v>50</v>
      </c>
      <c r="L363" t="s">
        <v>159</v>
      </c>
      <c r="M363" t="s">
        <v>51</v>
      </c>
      <c r="N363" t="s">
        <v>92</v>
      </c>
      <c r="O363" s="1">
        <v>41335</v>
      </c>
      <c r="P363" t="s">
        <v>84</v>
      </c>
      <c r="Q363">
        <v>2</v>
      </c>
      <c r="R363" t="s">
        <v>94</v>
      </c>
      <c r="S363">
        <v>9.6260829999999995</v>
      </c>
      <c r="T363">
        <v>86.819000000000003</v>
      </c>
      <c r="U363" t="s">
        <v>349</v>
      </c>
      <c r="V363" t="s">
        <v>349</v>
      </c>
      <c r="W363">
        <v>836</v>
      </c>
    </row>
    <row r="364" spans="1:23" x14ac:dyDescent="0.3">
      <c r="A364" s="1">
        <v>44197</v>
      </c>
      <c r="B364" s="1">
        <v>44197</v>
      </c>
      <c r="C364" t="s">
        <v>157</v>
      </c>
      <c r="D364" t="s">
        <v>54</v>
      </c>
      <c r="E364" t="s">
        <v>21</v>
      </c>
      <c r="F364" t="s">
        <v>274</v>
      </c>
      <c r="G364" s="53">
        <v>44235.838287037041</v>
      </c>
      <c r="H364">
        <v>33</v>
      </c>
      <c r="I364">
        <v>17339</v>
      </c>
      <c r="J364" t="s">
        <v>50</v>
      </c>
      <c r="K364" t="s">
        <v>50</v>
      </c>
      <c r="L364" t="s">
        <v>159</v>
      </c>
      <c r="M364" t="s">
        <v>51</v>
      </c>
      <c r="N364" t="s">
        <v>92</v>
      </c>
      <c r="O364" s="1">
        <v>41335</v>
      </c>
      <c r="P364" t="s">
        <v>84</v>
      </c>
      <c r="Q364">
        <v>3</v>
      </c>
      <c r="R364" t="s">
        <v>81</v>
      </c>
      <c r="S364" t="s">
        <v>349</v>
      </c>
      <c r="T364" t="s">
        <v>349</v>
      </c>
      <c r="U364">
        <v>0</v>
      </c>
      <c r="V364">
        <v>5302.48</v>
      </c>
      <c r="W364">
        <v>0</v>
      </c>
    </row>
    <row r="365" spans="1:23" x14ac:dyDescent="0.3">
      <c r="A365" s="1">
        <v>44197</v>
      </c>
      <c r="B365" s="1">
        <v>44197</v>
      </c>
      <c r="C365" t="s">
        <v>157</v>
      </c>
      <c r="D365" t="s">
        <v>93</v>
      </c>
      <c r="E365" t="s">
        <v>49</v>
      </c>
      <c r="F365" t="s">
        <v>270</v>
      </c>
      <c r="G365" s="53">
        <v>44273.429872685185</v>
      </c>
      <c r="H365">
        <v>61</v>
      </c>
      <c r="I365" t="s">
        <v>349</v>
      </c>
      <c r="J365" t="s">
        <v>50</v>
      </c>
      <c r="K365" t="s">
        <v>50</v>
      </c>
      <c r="L365" t="s">
        <v>159</v>
      </c>
      <c r="M365" t="s">
        <v>51</v>
      </c>
      <c r="N365" t="s">
        <v>92</v>
      </c>
      <c r="O365" s="1">
        <v>41335</v>
      </c>
      <c r="P365" t="s">
        <v>84</v>
      </c>
      <c r="Q365">
        <v>3</v>
      </c>
      <c r="R365" t="s">
        <v>81</v>
      </c>
      <c r="S365">
        <v>1</v>
      </c>
      <c r="T365">
        <v>-33</v>
      </c>
      <c r="U365" t="s">
        <v>349</v>
      </c>
      <c r="V365" t="s">
        <v>349</v>
      </c>
      <c r="W365">
        <v>-33</v>
      </c>
    </row>
    <row r="366" spans="1:23" x14ac:dyDescent="0.3">
      <c r="A366" s="1">
        <v>44197</v>
      </c>
      <c r="B366" s="1">
        <v>44197</v>
      </c>
      <c r="C366" t="s">
        <v>157</v>
      </c>
      <c r="D366" t="s">
        <v>48</v>
      </c>
      <c r="E366" t="s">
        <v>49</v>
      </c>
      <c r="F366" t="s">
        <v>272</v>
      </c>
      <c r="G366" s="53">
        <v>44235.838287037041</v>
      </c>
      <c r="H366">
        <v>33</v>
      </c>
      <c r="I366">
        <v>17339</v>
      </c>
      <c r="J366" t="s">
        <v>50</v>
      </c>
      <c r="K366" t="s">
        <v>50</v>
      </c>
      <c r="L366" t="s">
        <v>159</v>
      </c>
      <c r="M366" t="s">
        <v>51</v>
      </c>
      <c r="N366" t="s">
        <v>92</v>
      </c>
      <c r="O366" s="1">
        <v>41335</v>
      </c>
      <c r="P366" t="s">
        <v>84</v>
      </c>
      <c r="Q366">
        <v>3</v>
      </c>
      <c r="R366" t="s">
        <v>81</v>
      </c>
      <c r="S366">
        <v>320.36813000000001</v>
      </c>
      <c r="T366">
        <v>78.597999999999999</v>
      </c>
      <c r="U366" t="s">
        <v>349</v>
      </c>
      <c r="V366" t="s">
        <v>349</v>
      </c>
      <c r="W366">
        <v>25180</v>
      </c>
    </row>
    <row r="367" spans="1:23" x14ac:dyDescent="0.3">
      <c r="A367" s="1">
        <v>44197</v>
      </c>
      <c r="B367" s="1">
        <v>44197</v>
      </c>
      <c r="C367" t="s">
        <v>157</v>
      </c>
      <c r="D367" t="s">
        <v>54</v>
      </c>
      <c r="E367" t="s">
        <v>21</v>
      </c>
      <c r="F367" t="s">
        <v>274</v>
      </c>
      <c r="G367" s="53">
        <v>44235.838287037041</v>
      </c>
      <c r="H367">
        <v>33</v>
      </c>
      <c r="I367">
        <v>17339</v>
      </c>
      <c r="J367" t="s">
        <v>50</v>
      </c>
      <c r="K367" t="s">
        <v>50</v>
      </c>
      <c r="L367" t="s">
        <v>159</v>
      </c>
      <c r="M367" t="s">
        <v>51</v>
      </c>
      <c r="N367" t="s">
        <v>92</v>
      </c>
      <c r="O367" s="1">
        <v>41335</v>
      </c>
      <c r="P367" t="s">
        <v>84</v>
      </c>
      <c r="Q367">
        <v>4</v>
      </c>
      <c r="R367" t="s">
        <v>27</v>
      </c>
      <c r="S367" t="s">
        <v>349</v>
      </c>
      <c r="T367" t="s">
        <v>349</v>
      </c>
      <c r="U367">
        <v>0</v>
      </c>
      <c r="V367">
        <v>5512.82</v>
      </c>
      <c r="W367">
        <v>0</v>
      </c>
    </row>
    <row r="368" spans="1:23" x14ac:dyDescent="0.3">
      <c r="A368" s="1">
        <v>44197</v>
      </c>
      <c r="B368" s="1">
        <v>44197</v>
      </c>
      <c r="C368" t="s">
        <v>157</v>
      </c>
      <c r="D368" t="s">
        <v>93</v>
      </c>
      <c r="E368" t="s">
        <v>49</v>
      </c>
      <c r="F368" t="s">
        <v>270</v>
      </c>
      <c r="G368" s="53">
        <v>44273.429872685185</v>
      </c>
      <c r="H368">
        <v>61</v>
      </c>
      <c r="I368" t="s">
        <v>349</v>
      </c>
      <c r="J368" t="s">
        <v>50</v>
      </c>
      <c r="K368" t="s">
        <v>50</v>
      </c>
      <c r="L368" t="s">
        <v>159</v>
      </c>
      <c r="M368" t="s">
        <v>51</v>
      </c>
      <c r="N368" t="s">
        <v>92</v>
      </c>
      <c r="O368" s="1">
        <v>41335</v>
      </c>
      <c r="P368" t="s">
        <v>84</v>
      </c>
      <c r="Q368">
        <v>4</v>
      </c>
      <c r="R368" t="s">
        <v>27</v>
      </c>
      <c r="S368">
        <v>1</v>
      </c>
      <c r="T368">
        <v>-385</v>
      </c>
      <c r="U368" t="s">
        <v>349</v>
      </c>
      <c r="V368" t="s">
        <v>349</v>
      </c>
      <c r="W368">
        <v>-385</v>
      </c>
    </row>
    <row r="369" spans="1:23" x14ac:dyDescent="0.3">
      <c r="A369" s="1">
        <v>44197</v>
      </c>
      <c r="B369" s="1">
        <v>44197</v>
      </c>
      <c r="C369" t="s">
        <v>157</v>
      </c>
      <c r="D369" t="s">
        <v>48</v>
      </c>
      <c r="E369" t="s">
        <v>49</v>
      </c>
      <c r="F369" t="s">
        <v>272</v>
      </c>
      <c r="G369" s="53">
        <v>44235.838287037041</v>
      </c>
      <c r="H369">
        <v>33</v>
      </c>
      <c r="I369">
        <v>17339</v>
      </c>
      <c r="J369" t="s">
        <v>50</v>
      </c>
      <c r="K369" t="s">
        <v>50</v>
      </c>
      <c r="L369" t="s">
        <v>159</v>
      </c>
      <c r="M369" t="s">
        <v>51</v>
      </c>
      <c r="N369" t="s">
        <v>92</v>
      </c>
      <c r="O369" s="1">
        <v>41335</v>
      </c>
      <c r="P369" t="s">
        <v>84</v>
      </c>
      <c r="Q369">
        <v>4</v>
      </c>
      <c r="R369" t="s">
        <v>27</v>
      </c>
      <c r="S369">
        <v>3662.8658420000002</v>
      </c>
      <c r="T369">
        <v>80.213999999999999</v>
      </c>
      <c r="U369" t="s">
        <v>349</v>
      </c>
      <c r="V369" t="s">
        <v>349</v>
      </c>
      <c r="W369">
        <v>293813</v>
      </c>
    </row>
    <row r="370" spans="1:23" x14ac:dyDescent="0.3">
      <c r="A370" s="1">
        <v>44197</v>
      </c>
      <c r="B370" s="1">
        <v>44197</v>
      </c>
      <c r="C370" t="s">
        <v>157</v>
      </c>
      <c r="D370" t="s">
        <v>54</v>
      </c>
      <c r="E370" t="s">
        <v>21</v>
      </c>
      <c r="F370" t="s">
        <v>274</v>
      </c>
      <c r="G370" s="53">
        <v>44235.838287037041</v>
      </c>
      <c r="H370">
        <v>33</v>
      </c>
      <c r="I370">
        <v>17339</v>
      </c>
      <c r="J370" t="s">
        <v>50</v>
      </c>
      <c r="K370" t="s">
        <v>50</v>
      </c>
      <c r="L370" t="s">
        <v>159</v>
      </c>
      <c r="M370" t="s">
        <v>51</v>
      </c>
      <c r="N370" t="s">
        <v>92</v>
      </c>
      <c r="O370" s="1">
        <v>41335</v>
      </c>
      <c r="P370" t="s">
        <v>84</v>
      </c>
      <c r="Q370">
        <v>5</v>
      </c>
      <c r="R370" t="s">
        <v>28</v>
      </c>
      <c r="S370" t="s">
        <v>349</v>
      </c>
      <c r="T370" t="s">
        <v>349</v>
      </c>
      <c r="U370">
        <v>0</v>
      </c>
      <c r="V370">
        <v>5963.28</v>
      </c>
      <c r="W370">
        <v>0</v>
      </c>
    </row>
    <row r="371" spans="1:23" x14ac:dyDescent="0.3">
      <c r="A371" s="1">
        <v>44197</v>
      </c>
      <c r="B371" s="1">
        <v>44197</v>
      </c>
      <c r="C371" t="s">
        <v>157</v>
      </c>
      <c r="D371" t="s">
        <v>93</v>
      </c>
      <c r="E371" t="s">
        <v>49</v>
      </c>
      <c r="F371" t="s">
        <v>270</v>
      </c>
      <c r="G371" s="53">
        <v>44273.429872685185</v>
      </c>
      <c r="H371">
        <v>61</v>
      </c>
      <c r="I371" t="s">
        <v>349</v>
      </c>
      <c r="J371" t="s">
        <v>50</v>
      </c>
      <c r="K371" t="s">
        <v>50</v>
      </c>
      <c r="L371" t="s">
        <v>159</v>
      </c>
      <c r="M371" t="s">
        <v>51</v>
      </c>
      <c r="N371" t="s">
        <v>92</v>
      </c>
      <c r="O371" s="1">
        <v>41335</v>
      </c>
      <c r="P371" t="s">
        <v>84</v>
      </c>
      <c r="Q371">
        <v>5</v>
      </c>
      <c r="R371" t="s">
        <v>28</v>
      </c>
      <c r="S371">
        <v>1</v>
      </c>
      <c r="T371">
        <v>-1</v>
      </c>
      <c r="U371" t="s">
        <v>349</v>
      </c>
      <c r="V371" t="s">
        <v>349</v>
      </c>
      <c r="W371">
        <v>-1</v>
      </c>
    </row>
    <row r="372" spans="1:23" x14ac:dyDescent="0.3">
      <c r="A372" s="1">
        <v>44197</v>
      </c>
      <c r="B372" s="1">
        <v>44197</v>
      </c>
      <c r="C372" t="s">
        <v>157</v>
      </c>
      <c r="D372" t="s">
        <v>48</v>
      </c>
      <c r="E372" t="s">
        <v>49</v>
      </c>
      <c r="F372" t="s">
        <v>272</v>
      </c>
      <c r="G372" s="53">
        <v>44235.838287037041</v>
      </c>
      <c r="H372">
        <v>33</v>
      </c>
      <c r="I372">
        <v>17339</v>
      </c>
      <c r="J372" t="s">
        <v>50</v>
      </c>
      <c r="K372" t="s">
        <v>50</v>
      </c>
      <c r="L372" t="s">
        <v>159</v>
      </c>
      <c r="M372" t="s">
        <v>51</v>
      </c>
      <c r="N372" t="s">
        <v>92</v>
      </c>
      <c r="O372" s="1">
        <v>41335</v>
      </c>
      <c r="P372" t="s">
        <v>84</v>
      </c>
      <c r="Q372">
        <v>5</v>
      </c>
      <c r="R372" t="s">
        <v>28</v>
      </c>
      <c r="S372">
        <v>10.591604999999999</v>
      </c>
      <c r="T372">
        <v>86.617999999999995</v>
      </c>
      <c r="U372" t="s">
        <v>349</v>
      </c>
      <c r="V372" t="s">
        <v>349</v>
      </c>
      <c r="W372">
        <v>917</v>
      </c>
    </row>
    <row r="373" spans="1:23" x14ac:dyDescent="0.3">
      <c r="A373" s="1">
        <v>44228</v>
      </c>
      <c r="B373" s="1">
        <v>44228</v>
      </c>
      <c r="C373" t="s">
        <v>157</v>
      </c>
      <c r="D373" t="s">
        <v>54</v>
      </c>
      <c r="E373" t="s">
        <v>21</v>
      </c>
      <c r="F373" t="s">
        <v>275</v>
      </c>
      <c r="G373" s="53">
        <v>44259.815057870372</v>
      </c>
      <c r="H373">
        <v>33</v>
      </c>
      <c r="I373">
        <v>17645</v>
      </c>
      <c r="J373" t="s">
        <v>50</v>
      </c>
      <c r="K373" t="s">
        <v>50</v>
      </c>
      <c r="L373" t="s">
        <v>159</v>
      </c>
      <c r="M373" t="s">
        <v>51</v>
      </c>
      <c r="N373" t="s">
        <v>92</v>
      </c>
      <c r="O373" s="1">
        <v>41335</v>
      </c>
      <c r="P373" t="s">
        <v>84</v>
      </c>
      <c r="Q373">
        <v>1</v>
      </c>
      <c r="R373" t="s">
        <v>83</v>
      </c>
      <c r="S373" t="s">
        <v>349</v>
      </c>
      <c r="T373" t="s">
        <v>349</v>
      </c>
      <c r="U373">
        <v>0</v>
      </c>
      <c r="V373">
        <v>5914.42</v>
      </c>
      <c r="W373">
        <v>0</v>
      </c>
    </row>
    <row r="374" spans="1:23" x14ac:dyDescent="0.3">
      <c r="A374" s="1">
        <v>44228</v>
      </c>
      <c r="B374" s="1">
        <v>44228</v>
      </c>
      <c r="C374" t="s">
        <v>157</v>
      </c>
      <c r="D374" t="s">
        <v>93</v>
      </c>
      <c r="E374" t="s">
        <v>49</v>
      </c>
      <c r="F374" t="s">
        <v>278</v>
      </c>
      <c r="G374" s="53">
        <v>44302.769236111111</v>
      </c>
      <c r="H374">
        <v>33</v>
      </c>
      <c r="I374" t="s">
        <v>349</v>
      </c>
      <c r="J374" t="s">
        <v>50</v>
      </c>
      <c r="K374" t="s">
        <v>50</v>
      </c>
      <c r="L374" t="s">
        <v>159</v>
      </c>
      <c r="M374" t="s">
        <v>51</v>
      </c>
      <c r="N374" t="s">
        <v>92</v>
      </c>
      <c r="O374" s="1">
        <v>41335</v>
      </c>
      <c r="P374" t="s">
        <v>84</v>
      </c>
      <c r="Q374">
        <v>1</v>
      </c>
      <c r="R374" t="s">
        <v>83</v>
      </c>
      <c r="S374">
        <v>1</v>
      </c>
      <c r="T374">
        <v>1042</v>
      </c>
      <c r="U374" t="s">
        <v>349</v>
      </c>
      <c r="V374" t="s">
        <v>349</v>
      </c>
      <c r="W374">
        <v>1042</v>
      </c>
    </row>
    <row r="375" spans="1:23" x14ac:dyDescent="0.3">
      <c r="A375" s="1">
        <v>44228</v>
      </c>
      <c r="B375" s="1">
        <v>44228</v>
      </c>
      <c r="C375" t="s">
        <v>157</v>
      </c>
      <c r="D375" t="s">
        <v>48</v>
      </c>
      <c r="E375" t="s">
        <v>49</v>
      </c>
      <c r="F375" t="s">
        <v>277</v>
      </c>
      <c r="G375" s="53">
        <v>44259.815057870372</v>
      </c>
      <c r="H375">
        <v>33</v>
      </c>
      <c r="I375">
        <v>17645</v>
      </c>
      <c r="J375" t="s">
        <v>50</v>
      </c>
      <c r="K375" t="s">
        <v>50</v>
      </c>
      <c r="L375" t="s">
        <v>159</v>
      </c>
      <c r="M375" t="s">
        <v>51</v>
      </c>
      <c r="N375" t="s">
        <v>92</v>
      </c>
      <c r="O375" s="1">
        <v>41335</v>
      </c>
      <c r="P375" t="s">
        <v>84</v>
      </c>
      <c r="Q375">
        <v>1</v>
      </c>
      <c r="R375" t="s">
        <v>83</v>
      </c>
      <c r="S375">
        <v>2149.7309340000002</v>
      </c>
      <c r="T375">
        <v>85.203000000000003</v>
      </c>
      <c r="U375" t="s">
        <v>349</v>
      </c>
      <c r="V375" t="s">
        <v>349</v>
      </c>
      <c r="W375">
        <v>183164</v>
      </c>
    </row>
    <row r="376" spans="1:23" x14ac:dyDescent="0.3">
      <c r="A376" s="1">
        <v>44228</v>
      </c>
      <c r="B376" s="1">
        <v>44228</v>
      </c>
      <c r="C376" t="s">
        <v>157</v>
      </c>
      <c r="D376" t="s">
        <v>54</v>
      </c>
      <c r="E376" t="s">
        <v>21</v>
      </c>
      <c r="F376" t="s">
        <v>275</v>
      </c>
      <c r="G376" s="53">
        <v>44259.815057870372</v>
      </c>
      <c r="H376">
        <v>33</v>
      </c>
      <c r="I376">
        <v>17645</v>
      </c>
      <c r="J376" t="s">
        <v>50</v>
      </c>
      <c r="K376" t="s">
        <v>50</v>
      </c>
      <c r="L376" t="s">
        <v>159</v>
      </c>
      <c r="M376" t="s">
        <v>51</v>
      </c>
      <c r="N376" t="s">
        <v>92</v>
      </c>
      <c r="O376" s="1">
        <v>41335</v>
      </c>
      <c r="P376" t="s">
        <v>84</v>
      </c>
      <c r="Q376">
        <v>2</v>
      </c>
      <c r="R376" t="s">
        <v>94</v>
      </c>
      <c r="S376" t="s">
        <v>349</v>
      </c>
      <c r="T376" t="s">
        <v>349</v>
      </c>
      <c r="U376">
        <v>0</v>
      </c>
      <c r="V376">
        <v>6007.37</v>
      </c>
      <c r="W376">
        <v>0</v>
      </c>
    </row>
    <row r="377" spans="1:23" x14ac:dyDescent="0.3">
      <c r="A377" s="1">
        <v>44228</v>
      </c>
      <c r="B377" s="1">
        <v>44228</v>
      </c>
      <c r="C377" t="s">
        <v>157</v>
      </c>
      <c r="D377" t="s">
        <v>93</v>
      </c>
      <c r="E377" t="s">
        <v>49</v>
      </c>
      <c r="F377" t="s">
        <v>278</v>
      </c>
      <c r="G377" s="53">
        <v>44302.769236111111</v>
      </c>
      <c r="H377">
        <v>33</v>
      </c>
      <c r="I377" t="s">
        <v>349</v>
      </c>
      <c r="J377" t="s">
        <v>50</v>
      </c>
      <c r="K377" t="s">
        <v>50</v>
      </c>
      <c r="L377" t="s">
        <v>159</v>
      </c>
      <c r="M377" t="s">
        <v>51</v>
      </c>
      <c r="N377" t="s">
        <v>92</v>
      </c>
      <c r="O377" s="1">
        <v>41335</v>
      </c>
      <c r="P377" t="s">
        <v>84</v>
      </c>
      <c r="Q377">
        <v>2</v>
      </c>
      <c r="R377" t="s">
        <v>94</v>
      </c>
      <c r="S377">
        <v>1</v>
      </c>
      <c r="T377">
        <v>4</v>
      </c>
      <c r="U377" t="s">
        <v>349</v>
      </c>
      <c r="V377" t="s">
        <v>349</v>
      </c>
      <c r="W377">
        <v>4</v>
      </c>
    </row>
    <row r="378" spans="1:23" x14ac:dyDescent="0.3">
      <c r="A378" s="1">
        <v>44228</v>
      </c>
      <c r="B378" s="1">
        <v>44228</v>
      </c>
      <c r="C378" t="s">
        <v>157</v>
      </c>
      <c r="D378" t="s">
        <v>48</v>
      </c>
      <c r="E378" t="s">
        <v>49</v>
      </c>
      <c r="F378" t="s">
        <v>277</v>
      </c>
      <c r="G378" s="53">
        <v>44259.815057870372</v>
      </c>
      <c r="H378">
        <v>33</v>
      </c>
      <c r="I378">
        <v>17645</v>
      </c>
      <c r="J378" t="s">
        <v>50</v>
      </c>
      <c r="K378" t="s">
        <v>50</v>
      </c>
      <c r="L378" t="s">
        <v>159</v>
      </c>
      <c r="M378" t="s">
        <v>51</v>
      </c>
      <c r="N378" t="s">
        <v>92</v>
      </c>
      <c r="O378" s="1">
        <v>41335</v>
      </c>
      <c r="P378" t="s">
        <v>84</v>
      </c>
      <c r="Q378">
        <v>2</v>
      </c>
      <c r="R378" t="s">
        <v>94</v>
      </c>
      <c r="S378">
        <v>7.2339039999999999</v>
      </c>
      <c r="T378">
        <v>86.819000000000003</v>
      </c>
      <c r="U378" t="s">
        <v>349</v>
      </c>
      <c r="V378" t="s">
        <v>349</v>
      </c>
      <c r="W378">
        <v>628</v>
      </c>
    </row>
    <row r="379" spans="1:23" x14ac:dyDescent="0.3">
      <c r="A379" s="1">
        <v>44228</v>
      </c>
      <c r="B379" s="1">
        <v>44228</v>
      </c>
      <c r="C379" t="s">
        <v>157</v>
      </c>
      <c r="D379" t="s">
        <v>54</v>
      </c>
      <c r="E379" t="s">
        <v>21</v>
      </c>
      <c r="F379" t="s">
        <v>275</v>
      </c>
      <c r="G379" s="53">
        <v>44259.815057870372</v>
      </c>
      <c r="H379">
        <v>33</v>
      </c>
      <c r="I379">
        <v>17645</v>
      </c>
      <c r="J379" t="s">
        <v>50</v>
      </c>
      <c r="K379" t="s">
        <v>50</v>
      </c>
      <c r="L379" t="s">
        <v>159</v>
      </c>
      <c r="M379" t="s">
        <v>51</v>
      </c>
      <c r="N379" t="s">
        <v>92</v>
      </c>
      <c r="O379" s="1">
        <v>41335</v>
      </c>
      <c r="P379" t="s">
        <v>84</v>
      </c>
      <c r="Q379">
        <v>3</v>
      </c>
      <c r="R379" t="s">
        <v>81</v>
      </c>
      <c r="S379" t="s">
        <v>349</v>
      </c>
      <c r="T379" t="s">
        <v>349</v>
      </c>
      <c r="U379">
        <v>0</v>
      </c>
      <c r="V379">
        <v>5302.48</v>
      </c>
      <c r="W379">
        <v>0</v>
      </c>
    </row>
    <row r="380" spans="1:23" x14ac:dyDescent="0.3">
      <c r="A380" s="1">
        <v>44228</v>
      </c>
      <c r="B380" s="1">
        <v>44228</v>
      </c>
      <c r="C380" t="s">
        <v>157</v>
      </c>
      <c r="D380" t="s">
        <v>93</v>
      </c>
      <c r="E380" t="s">
        <v>49</v>
      </c>
      <c r="F380" t="s">
        <v>278</v>
      </c>
      <c r="G380" s="53">
        <v>44302.769236111111</v>
      </c>
      <c r="H380">
        <v>33</v>
      </c>
      <c r="I380" t="s">
        <v>349</v>
      </c>
      <c r="J380" t="s">
        <v>50</v>
      </c>
      <c r="K380" t="s">
        <v>50</v>
      </c>
      <c r="L380" t="s">
        <v>159</v>
      </c>
      <c r="M380" t="s">
        <v>51</v>
      </c>
      <c r="N380" t="s">
        <v>92</v>
      </c>
      <c r="O380" s="1">
        <v>41335</v>
      </c>
      <c r="P380" t="s">
        <v>84</v>
      </c>
      <c r="Q380">
        <v>3</v>
      </c>
      <c r="R380" t="s">
        <v>81</v>
      </c>
      <c r="S380">
        <v>1</v>
      </c>
      <c r="T380">
        <v>105</v>
      </c>
      <c r="U380" t="s">
        <v>349</v>
      </c>
      <c r="V380" t="s">
        <v>349</v>
      </c>
      <c r="W380">
        <v>105</v>
      </c>
    </row>
    <row r="381" spans="1:23" x14ac:dyDescent="0.3">
      <c r="A381" s="1">
        <v>44228</v>
      </c>
      <c r="B381" s="1">
        <v>44228</v>
      </c>
      <c r="C381" t="s">
        <v>157</v>
      </c>
      <c r="D381" t="s">
        <v>48</v>
      </c>
      <c r="E381" t="s">
        <v>49</v>
      </c>
      <c r="F381" t="s">
        <v>277</v>
      </c>
      <c r="G381" s="53">
        <v>44259.815057870372</v>
      </c>
      <c r="H381">
        <v>33</v>
      </c>
      <c r="I381">
        <v>17645</v>
      </c>
      <c r="J381" t="s">
        <v>50</v>
      </c>
      <c r="K381" t="s">
        <v>50</v>
      </c>
      <c r="L381" t="s">
        <v>159</v>
      </c>
      <c r="M381" t="s">
        <v>51</v>
      </c>
      <c r="N381" t="s">
        <v>92</v>
      </c>
      <c r="O381" s="1">
        <v>41335</v>
      </c>
      <c r="P381" t="s">
        <v>84</v>
      </c>
      <c r="Q381">
        <v>3</v>
      </c>
      <c r="R381" t="s">
        <v>81</v>
      </c>
      <c r="S381">
        <v>234.44251299999999</v>
      </c>
      <c r="T381">
        <v>78.597999999999999</v>
      </c>
      <c r="U381" t="s">
        <v>349</v>
      </c>
      <c r="V381" t="s">
        <v>349</v>
      </c>
      <c r="W381">
        <v>18427</v>
      </c>
    </row>
    <row r="382" spans="1:23" x14ac:dyDescent="0.3">
      <c r="A382" s="1">
        <v>44228</v>
      </c>
      <c r="B382" s="1">
        <v>44228</v>
      </c>
      <c r="C382" t="s">
        <v>157</v>
      </c>
      <c r="D382" t="s">
        <v>54</v>
      </c>
      <c r="E382" t="s">
        <v>21</v>
      </c>
      <c r="F382" t="s">
        <v>275</v>
      </c>
      <c r="G382" s="53">
        <v>44259.815057870372</v>
      </c>
      <c r="H382">
        <v>33</v>
      </c>
      <c r="I382">
        <v>17645</v>
      </c>
      <c r="J382" t="s">
        <v>50</v>
      </c>
      <c r="K382" t="s">
        <v>50</v>
      </c>
      <c r="L382" t="s">
        <v>159</v>
      </c>
      <c r="M382" t="s">
        <v>51</v>
      </c>
      <c r="N382" t="s">
        <v>92</v>
      </c>
      <c r="O382" s="1">
        <v>41335</v>
      </c>
      <c r="P382" t="s">
        <v>84</v>
      </c>
      <c r="Q382">
        <v>4</v>
      </c>
      <c r="R382" t="s">
        <v>27</v>
      </c>
      <c r="S382" t="s">
        <v>349</v>
      </c>
      <c r="T382" t="s">
        <v>349</v>
      </c>
      <c r="U382">
        <v>0</v>
      </c>
      <c r="V382">
        <v>5512.82</v>
      </c>
      <c r="W382">
        <v>0</v>
      </c>
    </row>
    <row r="383" spans="1:23" x14ac:dyDescent="0.3">
      <c r="A383" s="1">
        <v>44228</v>
      </c>
      <c r="B383" s="1">
        <v>44228</v>
      </c>
      <c r="C383" t="s">
        <v>157</v>
      </c>
      <c r="D383" t="s">
        <v>93</v>
      </c>
      <c r="E383" t="s">
        <v>49</v>
      </c>
      <c r="F383" t="s">
        <v>278</v>
      </c>
      <c r="G383" s="53">
        <v>44302.769236111111</v>
      </c>
      <c r="H383">
        <v>33</v>
      </c>
      <c r="I383" t="s">
        <v>349</v>
      </c>
      <c r="J383" t="s">
        <v>50</v>
      </c>
      <c r="K383" t="s">
        <v>50</v>
      </c>
      <c r="L383" t="s">
        <v>159</v>
      </c>
      <c r="M383" t="s">
        <v>51</v>
      </c>
      <c r="N383" t="s">
        <v>92</v>
      </c>
      <c r="O383" s="1">
        <v>41335</v>
      </c>
      <c r="P383" t="s">
        <v>84</v>
      </c>
      <c r="Q383">
        <v>4</v>
      </c>
      <c r="R383" t="s">
        <v>27</v>
      </c>
      <c r="S383">
        <v>1</v>
      </c>
      <c r="T383">
        <v>1221</v>
      </c>
      <c r="U383" t="s">
        <v>349</v>
      </c>
      <c r="V383" t="s">
        <v>349</v>
      </c>
      <c r="W383">
        <v>1221</v>
      </c>
    </row>
    <row r="384" spans="1:23" x14ac:dyDescent="0.3">
      <c r="A384" s="1">
        <v>44228</v>
      </c>
      <c r="B384" s="1">
        <v>44228</v>
      </c>
      <c r="C384" t="s">
        <v>157</v>
      </c>
      <c r="D384" t="s">
        <v>48</v>
      </c>
      <c r="E384" t="s">
        <v>49</v>
      </c>
      <c r="F384" t="s">
        <v>277</v>
      </c>
      <c r="G384" s="53">
        <v>44259.815057870372</v>
      </c>
      <c r="H384">
        <v>33</v>
      </c>
      <c r="I384">
        <v>17645</v>
      </c>
      <c r="J384" t="s">
        <v>50</v>
      </c>
      <c r="K384" t="s">
        <v>50</v>
      </c>
      <c r="L384" t="s">
        <v>159</v>
      </c>
      <c r="M384" t="s">
        <v>51</v>
      </c>
      <c r="N384" t="s">
        <v>92</v>
      </c>
      <c r="O384" s="1">
        <v>41335</v>
      </c>
      <c r="P384" t="s">
        <v>84</v>
      </c>
      <c r="Q384">
        <v>4</v>
      </c>
      <c r="R384" t="s">
        <v>27</v>
      </c>
      <c r="S384">
        <v>2674.997464</v>
      </c>
      <c r="T384">
        <v>80.213999999999999</v>
      </c>
      <c r="U384" t="s">
        <v>349</v>
      </c>
      <c r="V384" t="s">
        <v>349</v>
      </c>
      <c r="W384">
        <v>214572</v>
      </c>
    </row>
    <row r="385" spans="1:23" x14ac:dyDescent="0.3">
      <c r="A385" s="1">
        <v>44228</v>
      </c>
      <c r="B385" s="1">
        <v>44228</v>
      </c>
      <c r="C385" t="s">
        <v>157</v>
      </c>
      <c r="D385" t="s">
        <v>54</v>
      </c>
      <c r="E385" t="s">
        <v>21</v>
      </c>
      <c r="F385" t="s">
        <v>275</v>
      </c>
      <c r="G385" s="53">
        <v>44259.815057870372</v>
      </c>
      <c r="H385">
        <v>33</v>
      </c>
      <c r="I385">
        <v>17645</v>
      </c>
      <c r="J385" t="s">
        <v>50</v>
      </c>
      <c r="K385" t="s">
        <v>50</v>
      </c>
      <c r="L385" t="s">
        <v>159</v>
      </c>
      <c r="M385" t="s">
        <v>51</v>
      </c>
      <c r="N385" t="s">
        <v>92</v>
      </c>
      <c r="O385" s="1">
        <v>41335</v>
      </c>
      <c r="P385" t="s">
        <v>84</v>
      </c>
      <c r="Q385">
        <v>5</v>
      </c>
      <c r="R385" t="s">
        <v>28</v>
      </c>
      <c r="S385" t="s">
        <v>349</v>
      </c>
      <c r="T385" t="s">
        <v>349</v>
      </c>
      <c r="U385">
        <v>0</v>
      </c>
      <c r="V385">
        <v>5963.28</v>
      </c>
      <c r="W385">
        <v>0</v>
      </c>
    </row>
    <row r="386" spans="1:23" x14ac:dyDescent="0.3">
      <c r="A386" s="1">
        <v>44228</v>
      </c>
      <c r="B386" s="1">
        <v>44228</v>
      </c>
      <c r="C386" t="s">
        <v>157</v>
      </c>
      <c r="D386" t="s">
        <v>93</v>
      </c>
      <c r="E386" t="s">
        <v>49</v>
      </c>
      <c r="F386" t="s">
        <v>278</v>
      </c>
      <c r="G386" s="53">
        <v>44302.769236111111</v>
      </c>
      <c r="H386">
        <v>33</v>
      </c>
      <c r="I386" t="s">
        <v>349</v>
      </c>
      <c r="J386" t="s">
        <v>50</v>
      </c>
      <c r="K386" t="s">
        <v>50</v>
      </c>
      <c r="L386" t="s">
        <v>159</v>
      </c>
      <c r="M386" t="s">
        <v>51</v>
      </c>
      <c r="N386" t="s">
        <v>92</v>
      </c>
      <c r="O386" s="1">
        <v>41335</v>
      </c>
      <c r="P386" t="s">
        <v>84</v>
      </c>
      <c r="Q386">
        <v>5</v>
      </c>
      <c r="R386" t="s">
        <v>28</v>
      </c>
      <c r="S386">
        <v>1</v>
      </c>
      <c r="T386">
        <v>3</v>
      </c>
      <c r="U386" t="s">
        <v>349</v>
      </c>
      <c r="V386" t="s">
        <v>349</v>
      </c>
      <c r="W386">
        <v>3</v>
      </c>
    </row>
    <row r="387" spans="1:23" x14ac:dyDescent="0.3">
      <c r="A387" s="1">
        <v>44228</v>
      </c>
      <c r="B387" s="1">
        <v>44228</v>
      </c>
      <c r="C387" t="s">
        <v>157</v>
      </c>
      <c r="D387" t="s">
        <v>48</v>
      </c>
      <c r="E387" t="s">
        <v>49</v>
      </c>
      <c r="F387" t="s">
        <v>277</v>
      </c>
      <c r="G387" s="53">
        <v>44259.815057870372</v>
      </c>
      <c r="H387">
        <v>33</v>
      </c>
      <c r="I387">
        <v>17645</v>
      </c>
      <c r="J387" t="s">
        <v>50</v>
      </c>
      <c r="K387" t="s">
        <v>50</v>
      </c>
      <c r="L387" t="s">
        <v>159</v>
      </c>
      <c r="M387" t="s">
        <v>51</v>
      </c>
      <c r="N387" t="s">
        <v>92</v>
      </c>
      <c r="O387" s="1">
        <v>41335</v>
      </c>
      <c r="P387" t="s">
        <v>84</v>
      </c>
      <c r="Q387">
        <v>5</v>
      </c>
      <c r="R387" t="s">
        <v>28</v>
      </c>
      <c r="S387">
        <v>7.8341200000000004</v>
      </c>
      <c r="T387">
        <v>86.617999999999995</v>
      </c>
      <c r="U387" t="s">
        <v>349</v>
      </c>
      <c r="V387" t="s">
        <v>349</v>
      </c>
      <c r="W387">
        <v>679</v>
      </c>
    </row>
    <row r="388" spans="1:23" x14ac:dyDescent="0.3">
      <c r="A388" s="1">
        <v>44256</v>
      </c>
      <c r="B388" s="1">
        <v>44256</v>
      </c>
      <c r="C388" t="s">
        <v>157</v>
      </c>
      <c r="D388" t="s">
        <v>54</v>
      </c>
      <c r="E388" t="s">
        <v>21</v>
      </c>
      <c r="F388" t="s">
        <v>280</v>
      </c>
      <c r="G388" s="53">
        <v>44294.484247685185</v>
      </c>
      <c r="H388">
        <v>33</v>
      </c>
      <c r="I388">
        <v>18264</v>
      </c>
      <c r="J388" t="s">
        <v>50</v>
      </c>
      <c r="K388" t="s">
        <v>50</v>
      </c>
      <c r="L388" t="s">
        <v>159</v>
      </c>
      <c r="M388" t="s">
        <v>51</v>
      </c>
      <c r="N388" t="s">
        <v>92</v>
      </c>
      <c r="O388" s="1">
        <v>41335</v>
      </c>
      <c r="P388" t="s">
        <v>84</v>
      </c>
      <c r="Q388">
        <v>1</v>
      </c>
      <c r="R388" t="s">
        <v>83</v>
      </c>
      <c r="S388" t="s">
        <v>349</v>
      </c>
      <c r="T388" t="s">
        <v>349</v>
      </c>
      <c r="U388">
        <v>0</v>
      </c>
      <c r="V388">
        <v>5914.4219999999996</v>
      </c>
      <c r="W388">
        <v>0</v>
      </c>
    </row>
    <row r="389" spans="1:23" x14ac:dyDescent="0.3">
      <c r="A389" s="1">
        <v>44256</v>
      </c>
      <c r="B389" s="1">
        <v>44256</v>
      </c>
      <c r="C389" t="s">
        <v>157</v>
      </c>
      <c r="D389" t="s">
        <v>93</v>
      </c>
      <c r="E389" t="s">
        <v>49</v>
      </c>
      <c r="F389" t="s">
        <v>284</v>
      </c>
      <c r="G389" s="53">
        <v>44327.522789351853</v>
      </c>
      <c r="H389">
        <v>33</v>
      </c>
      <c r="I389" t="s">
        <v>349</v>
      </c>
      <c r="J389" t="s">
        <v>50</v>
      </c>
      <c r="K389" t="s">
        <v>50</v>
      </c>
      <c r="L389" t="s">
        <v>159</v>
      </c>
      <c r="M389" t="s">
        <v>51</v>
      </c>
      <c r="N389" t="s">
        <v>92</v>
      </c>
      <c r="O389" s="1">
        <v>41335</v>
      </c>
      <c r="P389" t="s">
        <v>84</v>
      </c>
      <c r="Q389">
        <v>1</v>
      </c>
      <c r="R389" t="s">
        <v>83</v>
      </c>
      <c r="S389">
        <v>1</v>
      </c>
      <c r="T389">
        <v>1933</v>
      </c>
      <c r="U389" t="s">
        <v>349</v>
      </c>
      <c r="V389" t="s">
        <v>349</v>
      </c>
      <c r="W389">
        <v>1933</v>
      </c>
    </row>
    <row r="390" spans="1:23" x14ac:dyDescent="0.3">
      <c r="A390" s="1">
        <v>44256</v>
      </c>
      <c r="B390" s="1">
        <v>44256</v>
      </c>
      <c r="C390" t="s">
        <v>157</v>
      </c>
      <c r="D390" t="s">
        <v>48</v>
      </c>
      <c r="E390" t="s">
        <v>49</v>
      </c>
      <c r="F390" t="s">
        <v>282</v>
      </c>
      <c r="G390" s="53">
        <v>44294.484247685185</v>
      </c>
      <c r="H390">
        <v>33</v>
      </c>
      <c r="I390">
        <v>18264</v>
      </c>
      <c r="J390" t="s">
        <v>50</v>
      </c>
      <c r="K390" t="s">
        <v>50</v>
      </c>
      <c r="L390" t="s">
        <v>159</v>
      </c>
      <c r="M390" t="s">
        <v>51</v>
      </c>
      <c r="N390" t="s">
        <v>92</v>
      </c>
      <c r="O390" s="1">
        <v>41335</v>
      </c>
      <c r="P390" t="s">
        <v>84</v>
      </c>
      <c r="Q390">
        <v>1</v>
      </c>
      <c r="R390" t="s">
        <v>83</v>
      </c>
      <c r="S390">
        <v>2429.5084940000002</v>
      </c>
      <c r="T390">
        <v>85.203000000000003</v>
      </c>
      <c r="U390" t="s">
        <v>349</v>
      </c>
      <c r="V390" t="s">
        <v>349</v>
      </c>
      <c r="W390">
        <v>207001</v>
      </c>
    </row>
    <row r="391" spans="1:23" x14ac:dyDescent="0.3">
      <c r="A391" s="1">
        <v>44256</v>
      </c>
      <c r="B391" s="1">
        <v>44256</v>
      </c>
      <c r="C391" t="s">
        <v>157</v>
      </c>
      <c r="D391" t="s">
        <v>54</v>
      </c>
      <c r="E391" t="s">
        <v>21</v>
      </c>
      <c r="F391" t="s">
        <v>280</v>
      </c>
      <c r="G391" s="53">
        <v>44294.484247685185</v>
      </c>
      <c r="H391">
        <v>33</v>
      </c>
      <c r="I391">
        <v>18264</v>
      </c>
      <c r="J391" t="s">
        <v>50</v>
      </c>
      <c r="K391" t="s">
        <v>50</v>
      </c>
      <c r="L391" t="s">
        <v>159</v>
      </c>
      <c r="M391" t="s">
        <v>51</v>
      </c>
      <c r="N391" t="s">
        <v>92</v>
      </c>
      <c r="O391" s="1">
        <v>41335</v>
      </c>
      <c r="P391" t="s">
        <v>84</v>
      </c>
      <c r="Q391">
        <v>2</v>
      </c>
      <c r="R391" t="s">
        <v>94</v>
      </c>
      <c r="S391" t="s">
        <v>349</v>
      </c>
      <c r="T391" t="s">
        <v>349</v>
      </c>
      <c r="U391">
        <v>0</v>
      </c>
      <c r="V391">
        <v>6007.3739999999998</v>
      </c>
      <c r="W391">
        <v>0</v>
      </c>
    </row>
    <row r="392" spans="1:23" x14ac:dyDescent="0.3">
      <c r="A392" s="1">
        <v>44256</v>
      </c>
      <c r="B392" s="1">
        <v>44256</v>
      </c>
      <c r="C392" t="s">
        <v>157</v>
      </c>
      <c r="D392" t="s">
        <v>93</v>
      </c>
      <c r="E392" t="s">
        <v>49</v>
      </c>
      <c r="F392" t="s">
        <v>284</v>
      </c>
      <c r="G392" s="53">
        <v>44327.522789351853</v>
      </c>
      <c r="H392">
        <v>33</v>
      </c>
      <c r="I392" t="s">
        <v>349</v>
      </c>
      <c r="J392" t="s">
        <v>50</v>
      </c>
      <c r="K392" t="s">
        <v>50</v>
      </c>
      <c r="L392" t="s">
        <v>159</v>
      </c>
      <c r="M392" t="s">
        <v>51</v>
      </c>
      <c r="N392" t="s">
        <v>92</v>
      </c>
      <c r="O392" s="1">
        <v>41335</v>
      </c>
      <c r="P392" t="s">
        <v>84</v>
      </c>
      <c r="Q392">
        <v>2</v>
      </c>
      <c r="R392" t="s">
        <v>94</v>
      </c>
      <c r="S392">
        <v>1</v>
      </c>
      <c r="T392">
        <v>6</v>
      </c>
      <c r="U392" t="s">
        <v>349</v>
      </c>
      <c r="V392" t="s">
        <v>349</v>
      </c>
      <c r="W392">
        <v>6</v>
      </c>
    </row>
    <row r="393" spans="1:23" x14ac:dyDescent="0.3">
      <c r="A393" s="1">
        <v>44256</v>
      </c>
      <c r="B393" s="1">
        <v>44256</v>
      </c>
      <c r="C393" t="s">
        <v>157</v>
      </c>
      <c r="D393" t="s">
        <v>48</v>
      </c>
      <c r="E393" t="s">
        <v>49</v>
      </c>
      <c r="F393" t="s">
        <v>282</v>
      </c>
      <c r="G393" s="53">
        <v>44294.484247685185</v>
      </c>
      <c r="H393">
        <v>33</v>
      </c>
      <c r="I393">
        <v>18264</v>
      </c>
      <c r="J393" t="s">
        <v>50</v>
      </c>
      <c r="K393" t="s">
        <v>50</v>
      </c>
      <c r="L393" t="s">
        <v>159</v>
      </c>
      <c r="M393" t="s">
        <v>51</v>
      </c>
      <c r="N393" t="s">
        <v>92</v>
      </c>
      <c r="O393" s="1">
        <v>41335</v>
      </c>
      <c r="P393" t="s">
        <v>84</v>
      </c>
      <c r="Q393">
        <v>2</v>
      </c>
      <c r="R393" t="s">
        <v>94</v>
      </c>
      <c r="S393">
        <v>8.2069919999999996</v>
      </c>
      <c r="T393">
        <v>86.819000000000003</v>
      </c>
      <c r="U393" t="s">
        <v>349</v>
      </c>
      <c r="V393" t="s">
        <v>349</v>
      </c>
      <c r="W393">
        <v>713</v>
      </c>
    </row>
    <row r="394" spans="1:23" x14ac:dyDescent="0.3">
      <c r="A394" s="1">
        <v>44256</v>
      </c>
      <c r="B394" s="1">
        <v>44256</v>
      </c>
      <c r="C394" t="s">
        <v>157</v>
      </c>
      <c r="D394" t="s">
        <v>54</v>
      </c>
      <c r="E394" t="s">
        <v>21</v>
      </c>
      <c r="F394" t="s">
        <v>280</v>
      </c>
      <c r="G394" s="53">
        <v>44294.484247685185</v>
      </c>
      <c r="H394">
        <v>33</v>
      </c>
      <c r="I394">
        <v>18264</v>
      </c>
      <c r="J394" t="s">
        <v>50</v>
      </c>
      <c r="K394" t="s">
        <v>50</v>
      </c>
      <c r="L394" t="s">
        <v>159</v>
      </c>
      <c r="M394" t="s">
        <v>51</v>
      </c>
      <c r="N394" t="s">
        <v>92</v>
      </c>
      <c r="O394" s="1">
        <v>41335</v>
      </c>
      <c r="P394" t="s">
        <v>84</v>
      </c>
      <c r="Q394">
        <v>3</v>
      </c>
      <c r="R394" t="s">
        <v>81</v>
      </c>
      <c r="S394" t="s">
        <v>349</v>
      </c>
      <c r="T394" t="s">
        <v>349</v>
      </c>
      <c r="U394">
        <v>0</v>
      </c>
      <c r="V394">
        <v>5302.482</v>
      </c>
      <c r="W394">
        <v>0</v>
      </c>
    </row>
    <row r="395" spans="1:23" x14ac:dyDescent="0.3">
      <c r="A395" s="1">
        <v>44256</v>
      </c>
      <c r="B395" s="1">
        <v>44256</v>
      </c>
      <c r="C395" t="s">
        <v>157</v>
      </c>
      <c r="D395" t="s">
        <v>93</v>
      </c>
      <c r="E395" t="s">
        <v>49</v>
      </c>
      <c r="F395" t="s">
        <v>284</v>
      </c>
      <c r="G395" s="53">
        <v>44327.522789351853</v>
      </c>
      <c r="H395">
        <v>33</v>
      </c>
      <c r="I395" t="s">
        <v>349</v>
      </c>
      <c r="J395" t="s">
        <v>50</v>
      </c>
      <c r="K395" t="s">
        <v>50</v>
      </c>
      <c r="L395" t="s">
        <v>159</v>
      </c>
      <c r="M395" t="s">
        <v>51</v>
      </c>
      <c r="N395" t="s">
        <v>92</v>
      </c>
      <c r="O395" s="1">
        <v>41335</v>
      </c>
      <c r="P395" t="s">
        <v>84</v>
      </c>
      <c r="Q395">
        <v>3</v>
      </c>
      <c r="R395" t="s">
        <v>81</v>
      </c>
      <c r="S395">
        <v>1</v>
      </c>
      <c r="T395">
        <v>196</v>
      </c>
      <c r="U395" t="s">
        <v>349</v>
      </c>
      <c r="V395" t="s">
        <v>349</v>
      </c>
      <c r="W395">
        <v>196</v>
      </c>
    </row>
    <row r="396" spans="1:23" x14ac:dyDescent="0.3">
      <c r="A396" s="1">
        <v>44256</v>
      </c>
      <c r="B396" s="1">
        <v>44256</v>
      </c>
      <c r="C396" t="s">
        <v>157</v>
      </c>
      <c r="D396" t="s">
        <v>48</v>
      </c>
      <c r="E396" t="s">
        <v>49</v>
      </c>
      <c r="F396" t="s">
        <v>282</v>
      </c>
      <c r="G396" s="53">
        <v>44294.484247685185</v>
      </c>
      <c r="H396">
        <v>33</v>
      </c>
      <c r="I396">
        <v>18264</v>
      </c>
      <c r="J396" t="s">
        <v>50</v>
      </c>
      <c r="K396" t="s">
        <v>50</v>
      </c>
      <c r="L396" t="s">
        <v>159</v>
      </c>
      <c r="M396" t="s">
        <v>51</v>
      </c>
      <c r="N396" t="s">
        <v>92</v>
      </c>
      <c r="O396" s="1">
        <v>41335</v>
      </c>
      <c r="P396" t="s">
        <v>84</v>
      </c>
      <c r="Q396">
        <v>3</v>
      </c>
      <c r="R396" t="s">
        <v>81</v>
      </c>
      <c r="S396">
        <v>266.55027999999999</v>
      </c>
      <c r="T396">
        <v>78.597999999999999</v>
      </c>
      <c r="U396" t="s">
        <v>349</v>
      </c>
      <c r="V396" t="s">
        <v>349</v>
      </c>
      <c r="W396">
        <v>20950</v>
      </c>
    </row>
    <row r="397" spans="1:23" x14ac:dyDescent="0.3">
      <c r="A397" s="1">
        <v>44256</v>
      </c>
      <c r="B397" s="1">
        <v>44256</v>
      </c>
      <c r="C397" t="s">
        <v>157</v>
      </c>
      <c r="D397" t="s">
        <v>54</v>
      </c>
      <c r="E397" t="s">
        <v>21</v>
      </c>
      <c r="F397" t="s">
        <v>280</v>
      </c>
      <c r="G397" s="53">
        <v>44294.484247685185</v>
      </c>
      <c r="H397">
        <v>33</v>
      </c>
      <c r="I397">
        <v>18264</v>
      </c>
      <c r="J397" t="s">
        <v>50</v>
      </c>
      <c r="K397" t="s">
        <v>50</v>
      </c>
      <c r="L397" t="s">
        <v>159</v>
      </c>
      <c r="M397" t="s">
        <v>51</v>
      </c>
      <c r="N397" t="s">
        <v>92</v>
      </c>
      <c r="O397" s="1">
        <v>41335</v>
      </c>
      <c r="P397" t="s">
        <v>84</v>
      </c>
      <c r="Q397">
        <v>4</v>
      </c>
      <c r="R397" t="s">
        <v>27</v>
      </c>
      <c r="S397" t="s">
        <v>349</v>
      </c>
      <c r="T397" t="s">
        <v>349</v>
      </c>
      <c r="U397">
        <v>0</v>
      </c>
      <c r="V397">
        <v>5512.8180000000002</v>
      </c>
      <c r="W397">
        <v>0</v>
      </c>
    </row>
    <row r="398" spans="1:23" x14ac:dyDescent="0.3">
      <c r="A398" s="1">
        <v>44256</v>
      </c>
      <c r="B398" s="1">
        <v>44256</v>
      </c>
      <c r="C398" t="s">
        <v>157</v>
      </c>
      <c r="D398" t="s">
        <v>93</v>
      </c>
      <c r="E398" t="s">
        <v>49</v>
      </c>
      <c r="F398" t="s">
        <v>284</v>
      </c>
      <c r="G398" s="53">
        <v>44327.522789351853</v>
      </c>
      <c r="H398">
        <v>33</v>
      </c>
      <c r="I398" t="s">
        <v>349</v>
      </c>
      <c r="J398" t="s">
        <v>50</v>
      </c>
      <c r="K398" t="s">
        <v>50</v>
      </c>
      <c r="L398" t="s">
        <v>159</v>
      </c>
      <c r="M398" t="s">
        <v>51</v>
      </c>
      <c r="N398" t="s">
        <v>92</v>
      </c>
      <c r="O398" s="1">
        <v>41335</v>
      </c>
      <c r="P398" t="s">
        <v>84</v>
      </c>
      <c r="Q398">
        <v>4</v>
      </c>
      <c r="R398" t="s">
        <v>27</v>
      </c>
      <c r="S398">
        <v>1</v>
      </c>
      <c r="T398">
        <v>2266</v>
      </c>
      <c r="U398" t="s">
        <v>349</v>
      </c>
      <c r="V398" t="s">
        <v>349</v>
      </c>
      <c r="W398">
        <v>2266</v>
      </c>
    </row>
    <row r="399" spans="1:23" x14ac:dyDescent="0.3">
      <c r="A399" s="1">
        <v>44256</v>
      </c>
      <c r="B399" s="1">
        <v>44256</v>
      </c>
      <c r="C399" t="s">
        <v>157</v>
      </c>
      <c r="D399" t="s">
        <v>48</v>
      </c>
      <c r="E399" t="s">
        <v>49</v>
      </c>
      <c r="F399" t="s">
        <v>282</v>
      </c>
      <c r="G399" s="53">
        <v>44294.484247685185</v>
      </c>
      <c r="H399">
        <v>33</v>
      </c>
      <c r="I399">
        <v>18264</v>
      </c>
      <c r="J399" t="s">
        <v>50</v>
      </c>
      <c r="K399" t="s">
        <v>50</v>
      </c>
      <c r="L399" t="s">
        <v>159</v>
      </c>
      <c r="M399" t="s">
        <v>51</v>
      </c>
      <c r="N399" t="s">
        <v>92</v>
      </c>
      <c r="O399" s="1">
        <v>41335</v>
      </c>
      <c r="P399" t="s">
        <v>84</v>
      </c>
      <c r="Q399">
        <v>4</v>
      </c>
      <c r="R399" t="s">
        <v>27</v>
      </c>
      <c r="S399">
        <v>3026.9486430000002</v>
      </c>
      <c r="T399">
        <v>80.213999999999999</v>
      </c>
      <c r="U399" t="s">
        <v>349</v>
      </c>
      <c r="V399" t="s">
        <v>349</v>
      </c>
      <c r="W399">
        <v>242804</v>
      </c>
    </row>
    <row r="400" spans="1:23" x14ac:dyDescent="0.3">
      <c r="A400" s="1">
        <v>44256</v>
      </c>
      <c r="B400" s="1">
        <v>44256</v>
      </c>
      <c r="C400" t="s">
        <v>157</v>
      </c>
      <c r="D400" t="s">
        <v>54</v>
      </c>
      <c r="E400" t="s">
        <v>21</v>
      </c>
      <c r="F400" t="s">
        <v>280</v>
      </c>
      <c r="G400" s="53">
        <v>44294.484247685185</v>
      </c>
      <c r="H400">
        <v>33</v>
      </c>
      <c r="I400">
        <v>18264</v>
      </c>
      <c r="J400" t="s">
        <v>50</v>
      </c>
      <c r="K400" t="s">
        <v>50</v>
      </c>
      <c r="L400" t="s">
        <v>159</v>
      </c>
      <c r="M400" t="s">
        <v>51</v>
      </c>
      <c r="N400" t="s">
        <v>92</v>
      </c>
      <c r="O400" s="1">
        <v>41335</v>
      </c>
      <c r="P400" t="s">
        <v>84</v>
      </c>
      <c r="Q400">
        <v>5</v>
      </c>
      <c r="R400" t="s">
        <v>28</v>
      </c>
      <c r="S400" t="s">
        <v>349</v>
      </c>
      <c r="T400" t="s">
        <v>349</v>
      </c>
      <c r="U400">
        <v>0</v>
      </c>
      <c r="V400">
        <v>5963.2809999999999</v>
      </c>
      <c r="W400">
        <v>0</v>
      </c>
    </row>
    <row r="401" spans="1:23" x14ac:dyDescent="0.3">
      <c r="A401" s="1">
        <v>44256</v>
      </c>
      <c r="B401" s="1">
        <v>44256</v>
      </c>
      <c r="C401" t="s">
        <v>157</v>
      </c>
      <c r="D401" t="s">
        <v>93</v>
      </c>
      <c r="E401" t="s">
        <v>49</v>
      </c>
      <c r="F401" t="s">
        <v>284</v>
      </c>
      <c r="G401" s="53">
        <v>44327.522789351853</v>
      </c>
      <c r="H401">
        <v>33</v>
      </c>
      <c r="I401" t="s">
        <v>349</v>
      </c>
      <c r="J401" t="s">
        <v>50</v>
      </c>
      <c r="K401" t="s">
        <v>50</v>
      </c>
      <c r="L401" t="s">
        <v>159</v>
      </c>
      <c r="M401" t="s">
        <v>51</v>
      </c>
      <c r="N401" t="s">
        <v>92</v>
      </c>
      <c r="O401" s="1">
        <v>41335</v>
      </c>
      <c r="P401" t="s">
        <v>84</v>
      </c>
      <c r="Q401">
        <v>5</v>
      </c>
      <c r="R401" t="s">
        <v>28</v>
      </c>
      <c r="S401">
        <v>1</v>
      </c>
      <c r="T401">
        <v>7</v>
      </c>
      <c r="U401" t="s">
        <v>349</v>
      </c>
      <c r="V401" t="s">
        <v>349</v>
      </c>
      <c r="W401">
        <v>7</v>
      </c>
    </row>
    <row r="402" spans="1:23" x14ac:dyDescent="0.3">
      <c r="A402" s="1">
        <v>44256</v>
      </c>
      <c r="B402" s="1">
        <v>44256</v>
      </c>
      <c r="C402" t="s">
        <v>157</v>
      </c>
      <c r="D402" t="s">
        <v>48</v>
      </c>
      <c r="E402" t="s">
        <v>49</v>
      </c>
      <c r="F402" t="s">
        <v>282</v>
      </c>
      <c r="G402" s="53">
        <v>44294.484247685185</v>
      </c>
      <c r="H402">
        <v>33</v>
      </c>
      <c r="I402">
        <v>18264</v>
      </c>
      <c r="J402" t="s">
        <v>50</v>
      </c>
      <c r="K402" t="s">
        <v>50</v>
      </c>
      <c r="L402" t="s">
        <v>159</v>
      </c>
      <c r="M402" t="s">
        <v>51</v>
      </c>
      <c r="N402" t="s">
        <v>92</v>
      </c>
      <c r="O402" s="1">
        <v>41335</v>
      </c>
      <c r="P402" t="s">
        <v>84</v>
      </c>
      <c r="Q402">
        <v>5</v>
      </c>
      <c r="R402" t="s">
        <v>28</v>
      </c>
      <c r="S402">
        <v>8.8766890000000007</v>
      </c>
      <c r="T402">
        <v>86.617999999999995</v>
      </c>
      <c r="U402" t="s">
        <v>349</v>
      </c>
      <c r="V402" t="s">
        <v>349</v>
      </c>
      <c r="W402">
        <v>769</v>
      </c>
    </row>
    <row r="403" spans="1:23" x14ac:dyDescent="0.3">
      <c r="A403" s="1">
        <v>44287</v>
      </c>
      <c r="B403" s="1">
        <v>44287</v>
      </c>
      <c r="C403" t="s">
        <v>157</v>
      </c>
      <c r="D403" t="s">
        <v>54</v>
      </c>
      <c r="E403" t="s">
        <v>21</v>
      </c>
      <c r="F403" t="s">
        <v>285</v>
      </c>
      <c r="G403" s="53">
        <v>44323.702997685185</v>
      </c>
      <c r="H403">
        <v>33</v>
      </c>
      <c r="I403">
        <v>18700</v>
      </c>
      <c r="J403" t="s">
        <v>50</v>
      </c>
      <c r="K403" t="s">
        <v>50</v>
      </c>
      <c r="L403" t="s">
        <v>159</v>
      </c>
      <c r="M403" t="s">
        <v>51</v>
      </c>
      <c r="N403" t="s">
        <v>92</v>
      </c>
      <c r="O403" s="1">
        <v>41335</v>
      </c>
      <c r="P403" t="s">
        <v>84</v>
      </c>
      <c r="Q403">
        <v>1</v>
      </c>
      <c r="R403" t="s">
        <v>83</v>
      </c>
      <c r="S403" t="s">
        <v>349</v>
      </c>
      <c r="T403" t="s">
        <v>349</v>
      </c>
      <c r="U403">
        <v>0</v>
      </c>
      <c r="V403">
        <v>5914.4219999999996</v>
      </c>
      <c r="W403">
        <v>0</v>
      </c>
    </row>
    <row r="404" spans="1:23" x14ac:dyDescent="0.3">
      <c r="A404" s="1">
        <v>44287</v>
      </c>
      <c r="B404" s="1">
        <v>44287</v>
      </c>
      <c r="C404" t="s">
        <v>157</v>
      </c>
      <c r="D404" t="s">
        <v>48</v>
      </c>
      <c r="E404" t="s">
        <v>49</v>
      </c>
      <c r="F404" t="s">
        <v>286</v>
      </c>
      <c r="G404" s="53">
        <v>44323.702997685185</v>
      </c>
      <c r="H404">
        <v>33</v>
      </c>
      <c r="I404">
        <v>18700</v>
      </c>
      <c r="J404" t="s">
        <v>50</v>
      </c>
      <c r="K404" t="s">
        <v>50</v>
      </c>
      <c r="L404" t="s">
        <v>159</v>
      </c>
      <c r="M404" t="s">
        <v>51</v>
      </c>
      <c r="N404" t="s">
        <v>92</v>
      </c>
      <c r="O404" s="1">
        <v>41335</v>
      </c>
      <c r="P404" t="s">
        <v>84</v>
      </c>
      <c r="Q404">
        <v>1</v>
      </c>
      <c r="R404" t="s">
        <v>83</v>
      </c>
      <c r="S404">
        <v>1898.22228</v>
      </c>
      <c r="T404">
        <v>85.203000000000003</v>
      </c>
      <c r="U404" t="s">
        <v>349</v>
      </c>
      <c r="V404" t="s">
        <v>349</v>
      </c>
      <c r="W404">
        <v>161734</v>
      </c>
    </row>
    <row r="405" spans="1:23" x14ac:dyDescent="0.3">
      <c r="A405" s="1">
        <v>44287</v>
      </c>
      <c r="B405" s="1">
        <v>44287</v>
      </c>
      <c r="C405" t="s">
        <v>157</v>
      </c>
      <c r="D405" t="s">
        <v>54</v>
      </c>
      <c r="E405" t="s">
        <v>21</v>
      </c>
      <c r="F405" t="s">
        <v>285</v>
      </c>
      <c r="G405" s="53">
        <v>44323.702997685185</v>
      </c>
      <c r="H405">
        <v>33</v>
      </c>
      <c r="I405">
        <v>18700</v>
      </c>
      <c r="J405" t="s">
        <v>50</v>
      </c>
      <c r="K405" t="s">
        <v>50</v>
      </c>
      <c r="L405" t="s">
        <v>159</v>
      </c>
      <c r="M405" t="s">
        <v>51</v>
      </c>
      <c r="N405" t="s">
        <v>92</v>
      </c>
      <c r="O405" s="1">
        <v>41335</v>
      </c>
      <c r="P405" t="s">
        <v>84</v>
      </c>
      <c r="Q405">
        <v>2</v>
      </c>
      <c r="R405" t="s">
        <v>94</v>
      </c>
      <c r="S405" t="s">
        <v>349</v>
      </c>
      <c r="T405" t="s">
        <v>349</v>
      </c>
      <c r="U405">
        <v>0</v>
      </c>
      <c r="V405">
        <v>6007.3739999999998</v>
      </c>
      <c r="W405">
        <v>0</v>
      </c>
    </row>
    <row r="406" spans="1:23" x14ac:dyDescent="0.3">
      <c r="A406" s="1">
        <v>44287</v>
      </c>
      <c r="B406" s="1">
        <v>44287</v>
      </c>
      <c r="C406" t="s">
        <v>157</v>
      </c>
      <c r="D406" t="s">
        <v>48</v>
      </c>
      <c r="E406" t="s">
        <v>49</v>
      </c>
      <c r="F406" t="s">
        <v>286</v>
      </c>
      <c r="G406" s="53">
        <v>44323.702997685185</v>
      </c>
      <c r="H406">
        <v>33</v>
      </c>
      <c r="I406">
        <v>18700</v>
      </c>
      <c r="J406" t="s">
        <v>50</v>
      </c>
      <c r="K406" t="s">
        <v>50</v>
      </c>
      <c r="L406" t="s">
        <v>159</v>
      </c>
      <c r="M406" t="s">
        <v>51</v>
      </c>
      <c r="N406" t="s">
        <v>92</v>
      </c>
      <c r="O406" s="1">
        <v>41335</v>
      </c>
      <c r="P406" t="s">
        <v>84</v>
      </c>
      <c r="Q406">
        <v>2</v>
      </c>
      <c r="R406" t="s">
        <v>94</v>
      </c>
      <c r="S406">
        <v>6.7238790000000002</v>
      </c>
      <c r="T406">
        <v>86.819000000000003</v>
      </c>
      <c r="U406" t="s">
        <v>349</v>
      </c>
      <c r="V406" t="s">
        <v>349</v>
      </c>
      <c r="W406">
        <v>584</v>
      </c>
    </row>
    <row r="407" spans="1:23" x14ac:dyDescent="0.3">
      <c r="A407" s="1">
        <v>44287</v>
      </c>
      <c r="B407" s="1">
        <v>44287</v>
      </c>
      <c r="C407" t="s">
        <v>157</v>
      </c>
      <c r="D407" t="s">
        <v>54</v>
      </c>
      <c r="E407" t="s">
        <v>21</v>
      </c>
      <c r="F407" t="s">
        <v>285</v>
      </c>
      <c r="G407" s="53">
        <v>44323.702997685185</v>
      </c>
      <c r="H407">
        <v>33</v>
      </c>
      <c r="I407">
        <v>18700</v>
      </c>
      <c r="J407" t="s">
        <v>50</v>
      </c>
      <c r="K407" t="s">
        <v>50</v>
      </c>
      <c r="L407" t="s">
        <v>159</v>
      </c>
      <c r="M407" t="s">
        <v>51</v>
      </c>
      <c r="N407" t="s">
        <v>92</v>
      </c>
      <c r="O407" s="1">
        <v>41335</v>
      </c>
      <c r="P407" t="s">
        <v>84</v>
      </c>
      <c r="Q407">
        <v>3</v>
      </c>
      <c r="R407" t="s">
        <v>81</v>
      </c>
      <c r="S407" t="s">
        <v>349</v>
      </c>
      <c r="T407" t="s">
        <v>349</v>
      </c>
      <c r="U407">
        <v>0</v>
      </c>
      <c r="V407">
        <v>5302.482</v>
      </c>
      <c r="W407">
        <v>0</v>
      </c>
    </row>
    <row r="408" spans="1:23" x14ac:dyDescent="0.3">
      <c r="A408" s="1">
        <v>44287</v>
      </c>
      <c r="B408" s="1">
        <v>44287</v>
      </c>
      <c r="C408" t="s">
        <v>157</v>
      </c>
      <c r="D408" t="s">
        <v>48</v>
      </c>
      <c r="E408" t="s">
        <v>49</v>
      </c>
      <c r="F408" t="s">
        <v>286</v>
      </c>
      <c r="G408" s="53">
        <v>44323.702997685185</v>
      </c>
      <c r="H408">
        <v>33</v>
      </c>
      <c r="I408">
        <v>18700</v>
      </c>
      <c r="J408" t="s">
        <v>50</v>
      </c>
      <c r="K408" t="s">
        <v>50</v>
      </c>
      <c r="L408" t="s">
        <v>159</v>
      </c>
      <c r="M408" t="s">
        <v>51</v>
      </c>
      <c r="N408" t="s">
        <v>92</v>
      </c>
      <c r="O408" s="1">
        <v>41335</v>
      </c>
      <c r="P408" t="s">
        <v>84</v>
      </c>
      <c r="Q408">
        <v>3</v>
      </c>
      <c r="R408" t="s">
        <v>81</v>
      </c>
      <c r="S408">
        <v>210.80923799999999</v>
      </c>
      <c r="T408">
        <v>78.597999999999999</v>
      </c>
      <c r="U408" t="s">
        <v>349</v>
      </c>
      <c r="V408" t="s">
        <v>349</v>
      </c>
      <c r="W408">
        <v>16569</v>
      </c>
    </row>
    <row r="409" spans="1:23" x14ac:dyDescent="0.3">
      <c r="A409" s="1">
        <v>44287</v>
      </c>
      <c r="B409" s="1">
        <v>44287</v>
      </c>
      <c r="C409" t="s">
        <v>157</v>
      </c>
      <c r="D409" t="s">
        <v>54</v>
      </c>
      <c r="E409" t="s">
        <v>21</v>
      </c>
      <c r="F409" t="s">
        <v>285</v>
      </c>
      <c r="G409" s="53">
        <v>44323.702997685185</v>
      </c>
      <c r="H409">
        <v>33</v>
      </c>
      <c r="I409">
        <v>18700</v>
      </c>
      <c r="J409" t="s">
        <v>50</v>
      </c>
      <c r="K409" t="s">
        <v>50</v>
      </c>
      <c r="L409" t="s">
        <v>159</v>
      </c>
      <c r="M409" t="s">
        <v>51</v>
      </c>
      <c r="N409" t="s">
        <v>92</v>
      </c>
      <c r="O409" s="1">
        <v>41335</v>
      </c>
      <c r="P409" t="s">
        <v>84</v>
      </c>
      <c r="Q409">
        <v>4</v>
      </c>
      <c r="R409" t="s">
        <v>27</v>
      </c>
      <c r="S409" t="s">
        <v>349</v>
      </c>
      <c r="T409" t="s">
        <v>349</v>
      </c>
      <c r="U409">
        <v>0</v>
      </c>
      <c r="V409">
        <v>5512.8180000000002</v>
      </c>
      <c r="W409">
        <v>0</v>
      </c>
    </row>
    <row r="410" spans="1:23" x14ac:dyDescent="0.3">
      <c r="A410" s="1">
        <v>44287</v>
      </c>
      <c r="B410" s="1">
        <v>44287</v>
      </c>
      <c r="C410" t="s">
        <v>157</v>
      </c>
      <c r="D410" t="s">
        <v>48</v>
      </c>
      <c r="E410" t="s">
        <v>49</v>
      </c>
      <c r="F410" t="s">
        <v>286</v>
      </c>
      <c r="G410" s="53">
        <v>44323.702997685185</v>
      </c>
      <c r="H410">
        <v>33</v>
      </c>
      <c r="I410">
        <v>18700</v>
      </c>
      <c r="J410" t="s">
        <v>50</v>
      </c>
      <c r="K410" t="s">
        <v>50</v>
      </c>
      <c r="L410" t="s">
        <v>159</v>
      </c>
      <c r="M410" t="s">
        <v>51</v>
      </c>
      <c r="N410" t="s">
        <v>92</v>
      </c>
      <c r="O410" s="1">
        <v>41335</v>
      </c>
      <c r="P410" t="s">
        <v>84</v>
      </c>
      <c r="Q410">
        <v>4</v>
      </c>
      <c r="R410" t="s">
        <v>27</v>
      </c>
      <c r="S410">
        <v>2386.3591110000002</v>
      </c>
      <c r="T410">
        <v>80.213999999999999</v>
      </c>
      <c r="U410" t="s">
        <v>349</v>
      </c>
      <c r="V410" t="s">
        <v>349</v>
      </c>
      <c r="W410">
        <v>191419</v>
      </c>
    </row>
    <row r="411" spans="1:23" x14ac:dyDescent="0.3">
      <c r="A411" s="1">
        <v>44287</v>
      </c>
      <c r="B411" s="1">
        <v>44287</v>
      </c>
      <c r="C411" t="s">
        <v>157</v>
      </c>
      <c r="D411" t="s">
        <v>54</v>
      </c>
      <c r="E411" t="s">
        <v>21</v>
      </c>
      <c r="F411" t="s">
        <v>285</v>
      </c>
      <c r="G411" s="53">
        <v>44323.702997685185</v>
      </c>
      <c r="H411">
        <v>33</v>
      </c>
      <c r="I411">
        <v>18700</v>
      </c>
      <c r="J411" t="s">
        <v>50</v>
      </c>
      <c r="K411" t="s">
        <v>50</v>
      </c>
      <c r="L411" t="s">
        <v>159</v>
      </c>
      <c r="M411" t="s">
        <v>51</v>
      </c>
      <c r="N411" t="s">
        <v>92</v>
      </c>
      <c r="O411" s="1">
        <v>41335</v>
      </c>
      <c r="P411" t="s">
        <v>84</v>
      </c>
      <c r="Q411">
        <v>5</v>
      </c>
      <c r="R411" t="s">
        <v>28</v>
      </c>
      <c r="S411" t="s">
        <v>349</v>
      </c>
      <c r="T411" t="s">
        <v>349</v>
      </c>
      <c r="U411">
        <v>0</v>
      </c>
      <c r="V411">
        <v>5963.2809999999999</v>
      </c>
      <c r="W411">
        <v>0</v>
      </c>
    </row>
    <row r="412" spans="1:23" x14ac:dyDescent="0.3">
      <c r="A412" s="1">
        <v>44287</v>
      </c>
      <c r="B412" s="1">
        <v>44287</v>
      </c>
      <c r="C412" t="s">
        <v>157</v>
      </c>
      <c r="D412" t="s">
        <v>48</v>
      </c>
      <c r="E412" t="s">
        <v>49</v>
      </c>
      <c r="F412" t="s">
        <v>286</v>
      </c>
      <c r="G412" s="53">
        <v>44323.702997685185</v>
      </c>
      <c r="H412">
        <v>33</v>
      </c>
      <c r="I412">
        <v>18700</v>
      </c>
      <c r="J412" t="s">
        <v>50</v>
      </c>
      <c r="K412" t="s">
        <v>50</v>
      </c>
      <c r="L412" t="s">
        <v>159</v>
      </c>
      <c r="M412" t="s">
        <v>51</v>
      </c>
      <c r="N412" t="s">
        <v>92</v>
      </c>
      <c r="O412" s="1">
        <v>41335</v>
      </c>
      <c r="P412" t="s">
        <v>84</v>
      </c>
      <c r="Q412">
        <v>5</v>
      </c>
      <c r="R412" t="s">
        <v>28</v>
      </c>
      <c r="S412">
        <v>7.1214380000000004</v>
      </c>
      <c r="T412">
        <v>86.617999999999995</v>
      </c>
      <c r="U412" t="s">
        <v>349</v>
      </c>
      <c r="V412" t="s">
        <v>349</v>
      </c>
      <c r="W412">
        <v>617</v>
      </c>
    </row>
    <row r="413" spans="1:23" x14ac:dyDescent="0.3">
      <c r="A413" s="1">
        <v>43922</v>
      </c>
      <c r="B413" s="1">
        <v>43922</v>
      </c>
      <c r="C413" t="s">
        <v>157</v>
      </c>
      <c r="D413" t="s">
        <v>52</v>
      </c>
      <c r="E413" t="s">
        <v>53</v>
      </c>
      <c r="F413" t="s">
        <v>210</v>
      </c>
      <c r="G413" s="53">
        <v>43959.644641203704</v>
      </c>
      <c r="H413">
        <v>33</v>
      </c>
      <c r="I413">
        <v>13722</v>
      </c>
      <c r="J413" t="s">
        <v>50</v>
      </c>
      <c r="K413" t="s">
        <v>50</v>
      </c>
      <c r="L413" t="s">
        <v>159</v>
      </c>
      <c r="M413" t="s">
        <v>51</v>
      </c>
      <c r="N413" t="s">
        <v>92</v>
      </c>
      <c r="O413" s="1">
        <v>41335</v>
      </c>
      <c r="P413" t="s">
        <v>84</v>
      </c>
      <c r="Q413">
        <v>5</v>
      </c>
      <c r="R413" t="s">
        <v>28</v>
      </c>
      <c r="S413">
        <v>0</v>
      </c>
      <c r="T413">
        <v>0</v>
      </c>
      <c r="U413">
        <v>0</v>
      </c>
    </row>
    <row r="414" spans="1:23" x14ac:dyDescent="0.3">
      <c r="A414" s="1">
        <v>43922</v>
      </c>
      <c r="B414" s="1">
        <v>43922</v>
      </c>
      <c r="C414" t="s">
        <v>157</v>
      </c>
      <c r="D414" t="s">
        <v>95</v>
      </c>
      <c r="E414" t="s">
        <v>56</v>
      </c>
      <c r="F414" t="s">
        <v>213</v>
      </c>
      <c r="G414" s="53">
        <v>43992.659548611111</v>
      </c>
      <c r="H414">
        <v>33</v>
      </c>
      <c r="I414" t="s">
        <v>349</v>
      </c>
      <c r="J414" t="s">
        <v>50</v>
      </c>
      <c r="K414" t="s">
        <v>50</v>
      </c>
      <c r="L414" t="s">
        <v>159</v>
      </c>
      <c r="M414" t="s">
        <v>51</v>
      </c>
      <c r="N414" t="s">
        <v>92</v>
      </c>
      <c r="O414" s="1">
        <v>41335</v>
      </c>
      <c r="P414" t="s">
        <v>84</v>
      </c>
      <c r="Q414">
        <v>5</v>
      </c>
      <c r="R414" t="s">
        <v>28</v>
      </c>
      <c r="S414">
        <v>1</v>
      </c>
      <c r="T414">
        <v>1</v>
      </c>
      <c r="U414">
        <v>1</v>
      </c>
    </row>
    <row r="415" spans="1:23" x14ac:dyDescent="0.3">
      <c r="A415" s="1">
        <v>43922</v>
      </c>
      <c r="B415" s="1">
        <v>43922</v>
      </c>
      <c r="C415" t="s">
        <v>157</v>
      </c>
      <c r="D415" t="s">
        <v>93</v>
      </c>
      <c r="E415" t="s">
        <v>49</v>
      </c>
      <c r="F415" t="s">
        <v>211</v>
      </c>
      <c r="G415" s="53">
        <v>43992.659548611111</v>
      </c>
      <c r="H415">
        <v>33</v>
      </c>
      <c r="I415" t="s">
        <v>349</v>
      </c>
      <c r="J415" t="s">
        <v>50</v>
      </c>
      <c r="K415" t="s">
        <v>50</v>
      </c>
      <c r="L415" t="s">
        <v>159</v>
      </c>
      <c r="M415" t="s">
        <v>51</v>
      </c>
      <c r="N415" t="s">
        <v>92</v>
      </c>
      <c r="O415" s="1">
        <v>41335</v>
      </c>
      <c r="P415" t="s">
        <v>84</v>
      </c>
      <c r="Q415">
        <v>5</v>
      </c>
      <c r="R415" t="s">
        <v>28</v>
      </c>
      <c r="S415">
        <v>1</v>
      </c>
      <c r="T415">
        <v>20</v>
      </c>
      <c r="U415">
        <v>20</v>
      </c>
    </row>
    <row r="416" spans="1:23" x14ac:dyDescent="0.3">
      <c r="A416" s="1">
        <v>43922</v>
      </c>
      <c r="B416" s="1">
        <v>43922</v>
      </c>
      <c r="C416" t="s">
        <v>157</v>
      </c>
      <c r="D416" t="s">
        <v>55</v>
      </c>
      <c r="E416" t="s">
        <v>56</v>
      </c>
      <c r="F416" t="s">
        <v>214</v>
      </c>
      <c r="G416" s="53">
        <v>43959.644641203704</v>
      </c>
      <c r="H416">
        <v>33</v>
      </c>
      <c r="I416">
        <v>13722</v>
      </c>
      <c r="J416" t="s">
        <v>50</v>
      </c>
      <c r="K416" t="s">
        <v>50</v>
      </c>
      <c r="L416" t="s">
        <v>159</v>
      </c>
      <c r="M416" t="s">
        <v>51</v>
      </c>
      <c r="N416" t="s">
        <v>92</v>
      </c>
      <c r="O416" s="1">
        <v>41335</v>
      </c>
      <c r="P416" t="s">
        <v>84</v>
      </c>
      <c r="Q416">
        <v>5</v>
      </c>
      <c r="R416" t="s">
        <v>28</v>
      </c>
      <c r="S416">
        <v>15.457482000000001</v>
      </c>
      <c r="T416">
        <v>1.0669999999999999</v>
      </c>
      <c r="U416">
        <v>16</v>
      </c>
    </row>
    <row r="417" spans="1:21" x14ac:dyDescent="0.3">
      <c r="A417" s="1">
        <v>43952</v>
      </c>
      <c r="B417" s="1">
        <v>43952</v>
      </c>
      <c r="C417" t="s">
        <v>157</v>
      </c>
      <c r="D417" t="s">
        <v>93</v>
      </c>
      <c r="E417" t="s">
        <v>49</v>
      </c>
      <c r="F417" t="s">
        <v>217</v>
      </c>
      <c r="G417" s="53">
        <v>44027.009201388886</v>
      </c>
      <c r="H417">
        <v>33</v>
      </c>
      <c r="I417">
        <v>14695</v>
      </c>
      <c r="J417" t="s">
        <v>50</v>
      </c>
      <c r="K417" t="s">
        <v>50</v>
      </c>
      <c r="L417" t="s">
        <v>159</v>
      </c>
      <c r="M417" t="s">
        <v>51</v>
      </c>
      <c r="N417" t="s">
        <v>92</v>
      </c>
      <c r="O417" s="1">
        <v>41335</v>
      </c>
      <c r="P417" t="s">
        <v>84</v>
      </c>
      <c r="Q417">
        <v>1</v>
      </c>
      <c r="R417" t="s">
        <v>83</v>
      </c>
      <c r="S417">
        <v>1</v>
      </c>
      <c r="T417">
        <v>269</v>
      </c>
      <c r="U417">
        <v>269</v>
      </c>
    </row>
    <row r="418" spans="1:21" x14ac:dyDescent="0.3">
      <c r="A418" s="1">
        <v>43952</v>
      </c>
      <c r="B418" s="1">
        <v>43952</v>
      </c>
      <c r="C418" t="s">
        <v>157</v>
      </c>
      <c r="D418" t="s">
        <v>95</v>
      </c>
      <c r="E418" t="s">
        <v>56</v>
      </c>
      <c r="F418" t="s">
        <v>218</v>
      </c>
      <c r="G418" s="53">
        <v>44027.009201388886</v>
      </c>
      <c r="H418">
        <v>33</v>
      </c>
      <c r="I418">
        <v>14695</v>
      </c>
      <c r="J418" t="s">
        <v>50</v>
      </c>
      <c r="K418" t="s">
        <v>50</v>
      </c>
      <c r="L418" t="s">
        <v>159</v>
      </c>
      <c r="M418" t="s">
        <v>51</v>
      </c>
      <c r="N418" t="s">
        <v>92</v>
      </c>
      <c r="O418" s="1">
        <v>41335</v>
      </c>
      <c r="P418" t="s">
        <v>84</v>
      </c>
      <c r="Q418">
        <v>1</v>
      </c>
      <c r="R418" t="s">
        <v>83</v>
      </c>
      <c r="S418">
        <v>1</v>
      </c>
      <c r="T418">
        <v>4</v>
      </c>
      <c r="U418">
        <v>4</v>
      </c>
    </row>
    <row r="419" spans="1:21" x14ac:dyDescent="0.3">
      <c r="A419" s="1">
        <v>43952</v>
      </c>
      <c r="B419" s="1">
        <v>43952</v>
      </c>
      <c r="C419" t="s">
        <v>157</v>
      </c>
      <c r="D419" t="s">
        <v>52</v>
      </c>
      <c r="E419" t="s">
        <v>53</v>
      </c>
      <c r="F419" t="s">
        <v>219</v>
      </c>
      <c r="G419" s="53">
        <v>43987.496550925927</v>
      </c>
      <c r="H419">
        <v>33</v>
      </c>
      <c r="I419">
        <v>14013</v>
      </c>
      <c r="J419" t="s">
        <v>50</v>
      </c>
      <c r="K419" t="s">
        <v>50</v>
      </c>
      <c r="L419" t="s">
        <v>159</v>
      </c>
      <c r="M419" t="s">
        <v>51</v>
      </c>
      <c r="N419" t="s">
        <v>92</v>
      </c>
      <c r="O419" s="1">
        <v>41335</v>
      </c>
      <c r="P419" t="s">
        <v>84</v>
      </c>
      <c r="Q419">
        <v>1</v>
      </c>
      <c r="R419" t="s">
        <v>83</v>
      </c>
      <c r="S419">
        <v>0</v>
      </c>
      <c r="T419">
        <v>0</v>
      </c>
      <c r="U419">
        <v>0</v>
      </c>
    </row>
    <row r="420" spans="1:21" x14ac:dyDescent="0.3">
      <c r="A420" s="1">
        <v>43952</v>
      </c>
      <c r="B420" s="1">
        <v>43952</v>
      </c>
      <c r="C420" t="s">
        <v>157</v>
      </c>
      <c r="D420" t="s">
        <v>48</v>
      </c>
      <c r="E420" t="s">
        <v>49</v>
      </c>
      <c r="F420" t="s">
        <v>220</v>
      </c>
      <c r="G420" s="53">
        <v>43987.496550925927</v>
      </c>
      <c r="H420">
        <v>33</v>
      </c>
      <c r="I420">
        <v>14013</v>
      </c>
      <c r="J420" t="s">
        <v>50</v>
      </c>
      <c r="K420" t="s">
        <v>50</v>
      </c>
      <c r="L420" t="s">
        <v>159</v>
      </c>
      <c r="M420" t="s">
        <v>51</v>
      </c>
      <c r="N420" t="s">
        <v>92</v>
      </c>
      <c r="O420" s="1">
        <v>41335</v>
      </c>
      <c r="P420" t="s">
        <v>84</v>
      </c>
      <c r="Q420">
        <v>1</v>
      </c>
      <c r="R420" t="s">
        <v>83</v>
      </c>
      <c r="S420">
        <v>2850.9896789999998</v>
      </c>
      <c r="T420">
        <v>71.221999999999994</v>
      </c>
      <c r="U420">
        <v>203053</v>
      </c>
    </row>
    <row r="421" spans="1:21" x14ac:dyDescent="0.3">
      <c r="A421" s="1">
        <v>43952</v>
      </c>
      <c r="B421" s="1">
        <v>43952</v>
      </c>
      <c r="C421" t="s">
        <v>157</v>
      </c>
      <c r="D421" t="s">
        <v>54</v>
      </c>
      <c r="E421" t="s">
        <v>21</v>
      </c>
      <c r="F421" t="s">
        <v>221</v>
      </c>
      <c r="G421" s="53">
        <v>43987.496550925927</v>
      </c>
      <c r="H421">
        <v>33</v>
      </c>
      <c r="I421">
        <v>14013</v>
      </c>
      <c r="J421" t="s">
        <v>50</v>
      </c>
      <c r="K421" t="s">
        <v>50</v>
      </c>
      <c r="L421" t="s">
        <v>159</v>
      </c>
      <c r="M421" t="s">
        <v>51</v>
      </c>
      <c r="N421" t="s">
        <v>92</v>
      </c>
      <c r="O421" s="1">
        <v>41335</v>
      </c>
      <c r="P421" t="s">
        <v>84</v>
      </c>
      <c r="Q421">
        <v>1</v>
      </c>
      <c r="R421" t="s">
        <v>83</v>
      </c>
      <c r="S421">
        <v>0</v>
      </c>
      <c r="T421">
        <v>6077.2</v>
      </c>
      <c r="U421">
        <v>0</v>
      </c>
    </row>
    <row r="422" spans="1:21" x14ac:dyDescent="0.3">
      <c r="A422" s="1">
        <v>43952</v>
      </c>
      <c r="B422" s="1">
        <v>43952</v>
      </c>
      <c r="C422" t="s">
        <v>157</v>
      </c>
      <c r="D422" t="s">
        <v>55</v>
      </c>
      <c r="E422" t="s">
        <v>56</v>
      </c>
      <c r="F422" t="s">
        <v>222</v>
      </c>
      <c r="G422" s="53">
        <v>43987.496550925927</v>
      </c>
      <c r="H422">
        <v>33</v>
      </c>
      <c r="I422">
        <v>14013</v>
      </c>
      <c r="J422" t="s">
        <v>50</v>
      </c>
      <c r="K422" t="s">
        <v>50</v>
      </c>
      <c r="L422" t="s">
        <v>159</v>
      </c>
      <c r="M422" t="s">
        <v>51</v>
      </c>
      <c r="N422" t="s">
        <v>92</v>
      </c>
      <c r="O422" s="1">
        <v>41335</v>
      </c>
      <c r="P422" t="s">
        <v>84</v>
      </c>
      <c r="Q422">
        <v>1</v>
      </c>
      <c r="R422" t="s">
        <v>83</v>
      </c>
      <c r="S422">
        <v>2850.9896789999998</v>
      </c>
      <c r="T422">
        <v>1.0669999999999999</v>
      </c>
      <c r="U422">
        <v>3042</v>
      </c>
    </row>
    <row r="423" spans="1:21" x14ac:dyDescent="0.3">
      <c r="A423" s="1">
        <v>43952</v>
      </c>
      <c r="B423" s="1">
        <v>43952</v>
      </c>
      <c r="C423" t="s">
        <v>157</v>
      </c>
      <c r="D423" t="s">
        <v>48</v>
      </c>
      <c r="E423" t="s">
        <v>49</v>
      </c>
      <c r="F423" t="s">
        <v>220</v>
      </c>
      <c r="G423" s="53">
        <v>43987.496550925927</v>
      </c>
      <c r="H423">
        <v>33</v>
      </c>
      <c r="I423">
        <v>14013</v>
      </c>
      <c r="J423" t="s">
        <v>50</v>
      </c>
      <c r="K423" t="s">
        <v>50</v>
      </c>
      <c r="L423" t="s">
        <v>159</v>
      </c>
      <c r="M423" t="s">
        <v>51</v>
      </c>
      <c r="N423" t="s">
        <v>92</v>
      </c>
      <c r="O423" s="1">
        <v>41335</v>
      </c>
      <c r="P423" t="s">
        <v>84</v>
      </c>
      <c r="Q423">
        <v>2</v>
      </c>
      <c r="R423" t="s">
        <v>94</v>
      </c>
      <c r="S423">
        <v>6.0668620000000004</v>
      </c>
      <c r="T423">
        <v>73.772999999999996</v>
      </c>
      <c r="U423">
        <v>448</v>
      </c>
    </row>
    <row r="424" spans="1:21" x14ac:dyDescent="0.3">
      <c r="A424" s="1">
        <v>43952</v>
      </c>
      <c r="B424" s="1">
        <v>43952</v>
      </c>
      <c r="C424" t="s">
        <v>157</v>
      </c>
      <c r="D424" t="s">
        <v>52</v>
      </c>
      <c r="E424" t="s">
        <v>53</v>
      </c>
      <c r="F424" t="s">
        <v>219</v>
      </c>
      <c r="G424" s="53">
        <v>43987.496550925927</v>
      </c>
      <c r="H424">
        <v>33</v>
      </c>
      <c r="I424">
        <v>14013</v>
      </c>
      <c r="J424" t="s">
        <v>50</v>
      </c>
      <c r="K424" t="s">
        <v>50</v>
      </c>
      <c r="L424" t="s">
        <v>159</v>
      </c>
      <c r="M424" t="s">
        <v>51</v>
      </c>
      <c r="N424" t="s">
        <v>92</v>
      </c>
      <c r="O424" s="1">
        <v>41335</v>
      </c>
      <c r="P424" t="s">
        <v>84</v>
      </c>
      <c r="Q424">
        <v>2</v>
      </c>
      <c r="R424" t="s">
        <v>94</v>
      </c>
      <c r="S424">
        <v>0</v>
      </c>
      <c r="T424">
        <v>0</v>
      </c>
      <c r="U424">
        <v>0</v>
      </c>
    </row>
    <row r="425" spans="1:21" x14ac:dyDescent="0.3">
      <c r="A425" s="1">
        <v>43952</v>
      </c>
      <c r="B425" s="1">
        <v>43952</v>
      </c>
      <c r="C425" t="s">
        <v>157</v>
      </c>
      <c r="D425" t="s">
        <v>54</v>
      </c>
      <c r="E425" t="s">
        <v>21</v>
      </c>
      <c r="F425" t="s">
        <v>221</v>
      </c>
      <c r="G425" s="53">
        <v>43987.496550925927</v>
      </c>
      <c r="H425">
        <v>33</v>
      </c>
      <c r="I425">
        <v>14013</v>
      </c>
      <c r="J425" t="s">
        <v>50</v>
      </c>
      <c r="K425" t="s">
        <v>50</v>
      </c>
      <c r="L425" t="s">
        <v>159</v>
      </c>
      <c r="M425" t="s">
        <v>51</v>
      </c>
      <c r="N425" t="s">
        <v>92</v>
      </c>
      <c r="O425" s="1">
        <v>41335</v>
      </c>
      <c r="P425" t="s">
        <v>84</v>
      </c>
      <c r="Q425">
        <v>2</v>
      </c>
      <c r="R425" t="s">
        <v>94</v>
      </c>
      <c r="S425">
        <v>0</v>
      </c>
      <c r="T425">
        <v>6151.21</v>
      </c>
      <c r="U425">
        <v>0</v>
      </c>
    </row>
    <row r="426" spans="1:21" x14ac:dyDescent="0.3">
      <c r="A426" s="1">
        <v>43952</v>
      </c>
      <c r="B426" s="1">
        <v>43952</v>
      </c>
      <c r="C426" t="s">
        <v>157</v>
      </c>
      <c r="D426" t="s">
        <v>55</v>
      </c>
      <c r="E426" t="s">
        <v>56</v>
      </c>
      <c r="F426" t="s">
        <v>222</v>
      </c>
      <c r="G426" s="53">
        <v>43987.496550925927</v>
      </c>
      <c r="H426">
        <v>33</v>
      </c>
      <c r="I426">
        <v>14013</v>
      </c>
      <c r="J426" t="s">
        <v>50</v>
      </c>
      <c r="K426" t="s">
        <v>50</v>
      </c>
      <c r="L426" t="s">
        <v>159</v>
      </c>
      <c r="M426" t="s">
        <v>51</v>
      </c>
      <c r="N426" t="s">
        <v>92</v>
      </c>
      <c r="O426" s="1">
        <v>41335</v>
      </c>
      <c r="P426" t="s">
        <v>84</v>
      </c>
      <c r="Q426">
        <v>2</v>
      </c>
      <c r="R426" t="s">
        <v>94</v>
      </c>
      <c r="S426">
        <v>6.9</v>
      </c>
      <c r="T426">
        <v>1.0669999999999999</v>
      </c>
      <c r="U426">
        <v>7</v>
      </c>
    </row>
    <row r="427" spans="1:21" x14ac:dyDescent="0.3">
      <c r="A427" s="1">
        <v>43952</v>
      </c>
      <c r="B427" s="1">
        <v>43952</v>
      </c>
      <c r="C427" t="s">
        <v>157</v>
      </c>
      <c r="D427" t="s">
        <v>95</v>
      </c>
      <c r="E427" t="s">
        <v>56</v>
      </c>
      <c r="F427" t="s">
        <v>218</v>
      </c>
      <c r="G427" s="53">
        <v>44027.009201388886</v>
      </c>
      <c r="H427">
        <v>33</v>
      </c>
      <c r="I427">
        <v>14695</v>
      </c>
      <c r="J427" t="s">
        <v>50</v>
      </c>
      <c r="K427" t="s">
        <v>50</v>
      </c>
      <c r="L427" t="s">
        <v>159</v>
      </c>
      <c r="M427" t="s">
        <v>51</v>
      </c>
      <c r="N427" t="s">
        <v>92</v>
      </c>
      <c r="O427" s="1">
        <v>41335</v>
      </c>
      <c r="P427" t="s">
        <v>84</v>
      </c>
      <c r="Q427">
        <v>3</v>
      </c>
      <c r="R427" t="s">
        <v>81</v>
      </c>
      <c r="S427">
        <v>1</v>
      </c>
      <c r="T427">
        <v>1</v>
      </c>
      <c r="U427">
        <v>1</v>
      </c>
    </row>
    <row r="428" spans="1:21" x14ac:dyDescent="0.3">
      <c r="A428" s="1">
        <v>43952</v>
      </c>
      <c r="B428" s="1">
        <v>43952</v>
      </c>
      <c r="C428" t="s">
        <v>157</v>
      </c>
      <c r="D428" t="s">
        <v>52</v>
      </c>
      <c r="E428" t="s">
        <v>53</v>
      </c>
      <c r="F428" t="s">
        <v>219</v>
      </c>
      <c r="G428" s="53">
        <v>43987.496550925927</v>
      </c>
      <c r="H428">
        <v>33</v>
      </c>
      <c r="I428">
        <v>14013</v>
      </c>
      <c r="J428" t="s">
        <v>50</v>
      </c>
      <c r="K428" t="s">
        <v>50</v>
      </c>
      <c r="L428" t="s">
        <v>159</v>
      </c>
      <c r="M428" t="s">
        <v>51</v>
      </c>
      <c r="N428" t="s">
        <v>92</v>
      </c>
      <c r="O428" s="1">
        <v>41335</v>
      </c>
      <c r="P428" t="s">
        <v>84</v>
      </c>
      <c r="Q428">
        <v>3</v>
      </c>
      <c r="R428" t="s">
        <v>81</v>
      </c>
      <c r="S428">
        <v>0</v>
      </c>
      <c r="T428">
        <v>0</v>
      </c>
      <c r="U428">
        <v>0</v>
      </c>
    </row>
    <row r="429" spans="1:21" x14ac:dyDescent="0.3">
      <c r="A429" s="1">
        <v>43952</v>
      </c>
      <c r="B429" s="1">
        <v>43952</v>
      </c>
      <c r="C429" t="s">
        <v>157</v>
      </c>
      <c r="D429" t="s">
        <v>93</v>
      </c>
      <c r="E429" t="s">
        <v>49</v>
      </c>
      <c r="F429" t="s">
        <v>217</v>
      </c>
      <c r="G429" s="53">
        <v>44027.009201388886</v>
      </c>
      <c r="H429">
        <v>33</v>
      </c>
      <c r="I429">
        <v>14695</v>
      </c>
      <c r="J429" t="s">
        <v>50</v>
      </c>
      <c r="K429" t="s">
        <v>50</v>
      </c>
      <c r="L429" t="s">
        <v>159</v>
      </c>
      <c r="M429" t="s">
        <v>51</v>
      </c>
      <c r="N429" t="s">
        <v>92</v>
      </c>
      <c r="O429" s="1">
        <v>41335</v>
      </c>
      <c r="P429" t="s">
        <v>84</v>
      </c>
      <c r="Q429">
        <v>3</v>
      </c>
      <c r="R429" t="s">
        <v>81</v>
      </c>
      <c r="S429">
        <v>1</v>
      </c>
      <c r="T429">
        <v>38</v>
      </c>
      <c r="U429">
        <v>38</v>
      </c>
    </row>
    <row r="430" spans="1:21" x14ac:dyDescent="0.3">
      <c r="A430" s="1">
        <v>43952</v>
      </c>
      <c r="B430" s="1">
        <v>43952</v>
      </c>
      <c r="C430" t="s">
        <v>157</v>
      </c>
      <c r="D430" t="s">
        <v>54</v>
      </c>
      <c r="E430" t="s">
        <v>21</v>
      </c>
      <c r="F430" t="s">
        <v>221</v>
      </c>
      <c r="G430" s="53">
        <v>43987.496550925927</v>
      </c>
      <c r="H430">
        <v>33</v>
      </c>
      <c r="I430">
        <v>14013</v>
      </c>
      <c r="J430" t="s">
        <v>50</v>
      </c>
      <c r="K430" t="s">
        <v>50</v>
      </c>
      <c r="L430" t="s">
        <v>159</v>
      </c>
      <c r="M430" t="s">
        <v>51</v>
      </c>
      <c r="N430" t="s">
        <v>92</v>
      </c>
      <c r="O430" s="1">
        <v>41335</v>
      </c>
      <c r="P430" t="s">
        <v>84</v>
      </c>
      <c r="Q430">
        <v>3</v>
      </c>
      <c r="R430" t="s">
        <v>81</v>
      </c>
      <c r="S430">
        <v>0</v>
      </c>
      <c r="T430">
        <v>5767.18</v>
      </c>
      <c r="U430">
        <v>0</v>
      </c>
    </row>
    <row r="431" spans="1:21" x14ac:dyDescent="0.3">
      <c r="A431" s="1">
        <v>43952</v>
      </c>
      <c r="B431" s="1">
        <v>43952</v>
      </c>
      <c r="C431" t="s">
        <v>157</v>
      </c>
      <c r="D431" t="s">
        <v>55</v>
      </c>
      <c r="E431" t="s">
        <v>56</v>
      </c>
      <c r="F431" t="s">
        <v>222</v>
      </c>
      <c r="G431" s="53">
        <v>43987.496550925927</v>
      </c>
      <c r="H431">
        <v>33</v>
      </c>
      <c r="I431">
        <v>14013</v>
      </c>
      <c r="J431" t="s">
        <v>50</v>
      </c>
      <c r="K431" t="s">
        <v>50</v>
      </c>
      <c r="L431" t="s">
        <v>159</v>
      </c>
      <c r="M431" t="s">
        <v>51</v>
      </c>
      <c r="N431" t="s">
        <v>92</v>
      </c>
      <c r="O431" s="1">
        <v>41335</v>
      </c>
      <c r="P431" t="s">
        <v>84</v>
      </c>
      <c r="Q431">
        <v>3</v>
      </c>
      <c r="R431" t="s">
        <v>81</v>
      </c>
      <c r="S431">
        <v>420.03741300000002</v>
      </c>
      <c r="T431">
        <v>1.0669999999999999</v>
      </c>
      <c r="U431">
        <v>448</v>
      </c>
    </row>
    <row r="432" spans="1:21" x14ac:dyDescent="0.3">
      <c r="A432" s="1">
        <v>43952</v>
      </c>
      <c r="B432" s="1">
        <v>43952</v>
      </c>
      <c r="C432" t="s">
        <v>157</v>
      </c>
      <c r="D432" t="s">
        <v>48</v>
      </c>
      <c r="E432" t="s">
        <v>49</v>
      </c>
      <c r="F432" t="s">
        <v>220</v>
      </c>
      <c r="G432" s="53">
        <v>43987.496550925927</v>
      </c>
      <c r="H432">
        <v>33</v>
      </c>
      <c r="I432">
        <v>14013</v>
      </c>
      <c r="J432" t="s">
        <v>50</v>
      </c>
      <c r="K432" t="s">
        <v>50</v>
      </c>
      <c r="L432" t="s">
        <v>159</v>
      </c>
      <c r="M432" t="s">
        <v>51</v>
      </c>
      <c r="N432" t="s">
        <v>92</v>
      </c>
      <c r="O432" s="1">
        <v>41335</v>
      </c>
      <c r="P432" t="s">
        <v>84</v>
      </c>
      <c r="Q432">
        <v>3</v>
      </c>
      <c r="R432" t="s">
        <v>81</v>
      </c>
      <c r="S432">
        <v>420.03741300000002</v>
      </c>
      <c r="T432">
        <v>67.765000000000001</v>
      </c>
      <c r="U432">
        <v>28464</v>
      </c>
    </row>
    <row r="433" spans="1:21" x14ac:dyDescent="0.3">
      <c r="A433" s="1">
        <v>43952</v>
      </c>
      <c r="B433" s="1">
        <v>43952</v>
      </c>
      <c r="C433" t="s">
        <v>157</v>
      </c>
      <c r="D433" t="s">
        <v>55</v>
      </c>
      <c r="E433" t="s">
        <v>56</v>
      </c>
      <c r="F433" t="s">
        <v>222</v>
      </c>
      <c r="G433" s="53">
        <v>43987.496550925927</v>
      </c>
      <c r="H433">
        <v>33</v>
      </c>
      <c r="I433">
        <v>14013</v>
      </c>
      <c r="J433" t="s">
        <v>50</v>
      </c>
      <c r="K433" t="s">
        <v>50</v>
      </c>
      <c r="L433" t="s">
        <v>159</v>
      </c>
      <c r="M433" t="s">
        <v>51</v>
      </c>
      <c r="N433" t="s">
        <v>92</v>
      </c>
      <c r="O433" s="1">
        <v>41335</v>
      </c>
      <c r="P433" t="s">
        <v>84</v>
      </c>
      <c r="Q433">
        <v>4</v>
      </c>
      <c r="R433" t="s">
        <v>27</v>
      </c>
      <c r="S433">
        <v>2600.4811690000001</v>
      </c>
      <c r="T433">
        <v>1.0669999999999999</v>
      </c>
      <c r="U433">
        <v>2775</v>
      </c>
    </row>
    <row r="434" spans="1:21" x14ac:dyDescent="0.3">
      <c r="A434" s="1">
        <v>43952</v>
      </c>
      <c r="B434" s="1">
        <v>43952</v>
      </c>
      <c r="C434" t="s">
        <v>157</v>
      </c>
      <c r="D434" t="s">
        <v>52</v>
      </c>
      <c r="E434" t="s">
        <v>53</v>
      </c>
      <c r="F434" t="s">
        <v>219</v>
      </c>
      <c r="G434" s="53">
        <v>43987.496550925927</v>
      </c>
      <c r="H434">
        <v>33</v>
      </c>
      <c r="I434">
        <v>14013</v>
      </c>
      <c r="J434" t="s">
        <v>50</v>
      </c>
      <c r="K434" t="s">
        <v>50</v>
      </c>
      <c r="L434" t="s">
        <v>159</v>
      </c>
      <c r="M434" t="s">
        <v>51</v>
      </c>
      <c r="N434" t="s">
        <v>92</v>
      </c>
      <c r="O434" s="1">
        <v>41335</v>
      </c>
      <c r="P434" t="s">
        <v>84</v>
      </c>
      <c r="Q434">
        <v>4</v>
      </c>
      <c r="R434" t="s">
        <v>27</v>
      </c>
      <c r="S434">
        <v>0</v>
      </c>
      <c r="T434">
        <v>0</v>
      </c>
      <c r="U434">
        <v>0</v>
      </c>
    </row>
    <row r="435" spans="1:21" x14ac:dyDescent="0.3">
      <c r="A435" s="1">
        <v>43952</v>
      </c>
      <c r="B435" s="1">
        <v>43952</v>
      </c>
      <c r="C435" t="s">
        <v>157</v>
      </c>
      <c r="D435" t="s">
        <v>95</v>
      </c>
      <c r="E435" t="s">
        <v>56</v>
      </c>
      <c r="F435" t="s">
        <v>218</v>
      </c>
      <c r="G435" s="53">
        <v>44027.009201388886</v>
      </c>
      <c r="H435">
        <v>33</v>
      </c>
      <c r="I435">
        <v>14695</v>
      </c>
      <c r="J435" t="s">
        <v>50</v>
      </c>
      <c r="K435" t="s">
        <v>50</v>
      </c>
      <c r="L435" t="s">
        <v>159</v>
      </c>
      <c r="M435" t="s">
        <v>51</v>
      </c>
      <c r="N435" t="s">
        <v>92</v>
      </c>
      <c r="O435" s="1">
        <v>41335</v>
      </c>
      <c r="P435" t="s">
        <v>84</v>
      </c>
      <c r="Q435">
        <v>4</v>
      </c>
      <c r="R435" t="s">
        <v>27</v>
      </c>
      <c r="S435">
        <v>1</v>
      </c>
      <c r="T435">
        <v>3</v>
      </c>
      <c r="U435">
        <v>3</v>
      </c>
    </row>
    <row r="436" spans="1:21" x14ac:dyDescent="0.3">
      <c r="A436" s="1">
        <v>43952</v>
      </c>
      <c r="B436" s="1">
        <v>43952</v>
      </c>
      <c r="C436" t="s">
        <v>157</v>
      </c>
      <c r="D436" t="s">
        <v>93</v>
      </c>
      <c r="E436" t="s">
        <v>49</v>
      </c>
      <c r="F436" t="s">
        <v>217</v>
      </c>
      <c r="G436" s="53">
        <v>44027.009201388886</v>
      </c>
      <c r="H436">
        <v>33</v>
      </c>
      <c r="I436">
        <v>14695</v>
      </c>
      <c r="J436" t="s">
        <v>50</v>
      </c>
      <c r="K436" t="s">
        <v>50</v>
      </c>
      <c r="L436" t="s">
        <v>159</v>
      </c>
      <c r="M436" t="s">
        <v>51</v>
      </c>
      <c r="N436" t="s">
        <v>92</v>
      </c>
      <c r="O436" s="1">
        <v>41335</v>
      </c>
      <c r="P436" t="s">
        <v>84</v>
      </c>
      <c r="Q436">
        <v>4</v>
      </c>
      <c r="R436" t="s">
        <v>27</v>
      </c>
      <c r="S436">
        <v>1</v>
      </c>
      <c r="T436">
        <v>238</v>
      </c>
      <c r="U436">
        <v>238</v>
      </c>
    </row>
    <row r="437" spans="1:21" x14ac:dyDescent="0.3">
      <c r="A437" s="1">
        <v>43952</v>
      </c>
      <c r="B437" s="1">
        <v>43952</v>
      </c>
      <c r="C437" t="s">
        <v>157</v>
      </c>
      <c r="D437" t="s">
        <v>48</v>
      </c>
      <c r="E437" t="s">
        <v>49</v>
      </c>
      <c r="F437" t="s">
        <v>220</v>
      </c>
      <c r="G437" s="53">
        <v>43987.496550925927</v>
      </c>
      <c r="H437">
        <v>33</v>
      </c>
      <c r="I437">
        <v>14013</v>
      </c>
      <c r="J437" t="s">
        <v>50</v>
      </c>
      <c r="K437" t="s">
        <v>50</v>
      </c>
      <c r="L437" t="s">
        <v>159</v>
      </c>
      <c r="M437" t="s">
        <v>51</v>
      </c>
      <c r="N437" t="s">
        <v>92</v>
      </c>
      <c r="O437" s="1">
        <v>41335</v>
      </c>
      <c r="P437" t="s">
        <v>84</v>
      </c>
      <c r="Q437">
        <v>4</v>
      </c>
      <c r="R437" t="s">
        <v>27</v>
      </c>
      <c r="S437">
        <v>2600.4811690000001</v>
      </c>
      <c r="T437">
        <v>69.12</v>
      </c>
      <c r="U437">
        <v>179745</v>
      </c>
    </row>
    <row r="438" spans="1:21" x14ac:dyDescent="0.3">
      <c r="A438" s="1">
        <v>43952</v>
      </c>
      <c r="B438" s="1">
        <v>43952</v>
      </c>
      <c r="C438" t="s">
        <v>157</v>
      </c>
      <c r="D438" t="s">
        <v>54</v>
      </c>
      <c r="E438" t="s">
        <v>21</v>
      </c>
      <c r="F438" t="s">
        <v>221</v>
      </c>
      <c r="G438" s="53">
        <v>43987.496550925927</v>
      </c>
      <c r="H438">
        <v>33</v>
      </c>
      <c r="I438">
        <v>14013</v>
      </c>
      <c r="J438" t="s">
        <v>50</v>
      </c>
      <c r="K438" t="s">
        <v>50</v>
      </c>
      <c r="L438" t="s">
        <v>159</v>
      </c>
      <c r="M438" t="s">
        <v>51</v>
      </c>
      <c r="N438" t="s">
        <v>92</v>
      </c>
      <c r="O438" s="1">
        <v>41335</v>
      </c>
      <c r="P438" t="s">
        <v>84</v>
      </c>
      <c r="Q438">
        <v>4</v>
      </c>
      <c r="R438" t="s">
        <v>27</v>
      </c>
      <c r="S438">
        <v>0</v>
      </c>
      <c r="T438">
        <v>5963.14</v>
      </c>
      <c r="U438">
        <v>0</v>
      </c>
    </row>
    <row r="439" spans="1:21" x14ac:dyDescent="0.3">
      <c r="A439" s="1">
        <v>43952</v>
      </c>
      <c r="B439" s="1">
        <v>43952</v>
      </c>
      <c r="C439" t="s">
        <v>157</v>
      </c>
      <c r="D439" t="s">
        <v>55</v>
      </c>
      <c r="E439" t="s">
        <v>56</v>
      </c>
      <c r="F439" t="s">
        <v>222</v>
      </c>
      <c r="G439" s="53">
        <v>43987.496550925927</v>
      </c>
      <c r="H439">
        <v>33</v>
      </c>
      <c r="I439">
        <v>14013</v>
      </c>
      <c r="J439" t="s">
        <v>50</v>
      </c>
      <c r="K439" t="s">
        <v>50</v>
      </c>
      <c r="L439" t="s">
        <v>159</v>
      </c>
      <c r="M439" t="s">
        <v>51</v>
      </c>
      <c r="N439" t="s">
        <v>92</v>
      </c>
      <c r="O439" s="1">
        <v>41335</v>
      </c>
      <c r="P439" t="s">
        <v>84</v>
      </c>
      <c r="Q439">
        <v>5</v>
      </c>
      <c r="R439" t="s">
        <v>28</v>
      </c>
      <c r="S439">
        <v>15.361321</v>
      </c>
      <c r="T439">
        <v>1.0669999999999999</v>
      </c>
      <c r="U439">
        <v>16</v>
      </c>
    </row>
    <row r="440" spans="1:21" x14ac:dyDescent="0.3">
      <c r="A440" s="1">
        <v>43952</v>
      </c>
      <c r="B440" s="1">
        <v>43952</v>
      </c>
      <c r="C440" t="s">
        <v>157</v>
      </c>
      <c r="D440" t="s">
        <v>54</v>
      </c>
      <c r="E440" t="s">
        <v>21</v>
      </c>
      <c r="F440" t="s">
        <v>221</v>
      </c>
      <c r="G440" s="53">
        <v>43987.496550925927</v>
      </c>
      <c r="H440">
        <v>33</v>
      </c>
      <c r="I440">
        <v>14013</v>
      </c>
      <c r="J440" t="s">
        <v>50</v>
      </c>
      <c r="K440" t="s">
        <v>50</v>
      </c>
      <c r="L440" t="s">
        <v>159</v>
      </c>
      <c r="M440" t="s">
        <v>51</v>
      </c>
      <c r="N440" t="s">
        <v>92</v>
      </c>
      <c r="O440" s="1">
        <v>41335</v>
      </c>
      <c r="P440" t="s">
        <v>84</v>
      </c>
      <c r="Q440">
        <v>5</v>
      </c>
      <c r="R440" t="s">
        <v>28</v>
      </c>
      <c r="S440">
        <v>0</v>
      </c>
      <c r="T440">
        <v>5783.56</v>
      </c>
      <c r="U440">
        <v>0</v>
      </c>
    </row>
    <row r="441" spans="1:21" x14ac:dyDescent="0.3">
      <c r="A441" s="1">
        <v>43952</v>
      </c>
      <c r="B441" s="1">
        <v>43952</v>
      </c>
      <c r="C441" t="s">
        <v>157</v>
      </c>
      <c r="D441" t="s">
        <v>52</v>
      </c>
      <c r="E441" t="s">
        <v>53</v>
      </c>
      <c r="F441" t="s">
        <v>219</v>
      </c>
      <c r="G441" s="53">
        <v>43987.496550925927</v>
      </c>
      <c r="H441">
        <v>33</v>
      </c>
      <c r="I441">
        <v>14013</v>
      </c>
      <c r="J441" t="s">
        <v>50</v>
      </c>
      <c r="K441" t="s">
        <v>50</v>
      </c>
      <c r="L441" t="s">
        <v>159</v>
      </c>
      <c r="M441" t="s">
        <v>51</v>
      </c>
      <c r="N441" t="s">
        <v>92</v>
      </c>
      <c r="O441" s="1">
        <v>41335</v>
      </c>
      <c r="P441" t="s">
        <v>84</v>
      </c>
      <c r="Q441">
        <v>5</v>
      </c>
      <c r="R441" t="s">
        <v>28</v>
      </c>
      <c r="S441">
        <v>0</v>
      </c>
      <c r="T441">
        <v>0</v>
      </c>
      <c r="U441">
        <v>0</v>
      </c>
    </row>
    <row r="442" spans="1:21" x14ac:dyDescent="0.3">
      <c r="A442" s="1">
        <v>43952</v>
      </c>
      <c r="B442" s="1">
        <v>43952</v>
      </c>
      <c r="C442" t="s">
        <v>157</v>
      </c>
      <c r="D442" t="s">
        <v>93</v>
      </c>
      <c r="E442" t="s">
        <v>49</v>
      </c>
      <c r="F442" t="s">
        <v>217</v>
      </c>
      <c r="G442" s="53">
        <v>44027.009201388886</v>
      </c>
      <c r="H442">
        <v>33</v>
      </c>
      <c r="I442">
        <v>14695</v>
      </c>
      <c r="J442" t="s">
        <v>50</v>
      </c>
      <c r="K442" t="s">
        <v>50</v>
      </c>
      <c r="L442" t="s">
        <v>159</v>
      </c>
      <c r="M442" t="s">
        <v>51</v>
      </c>
      <c r="N442" t="s">
        <v>92</v>
      </c>
      <c r="O442" s="1">
        <v>41335</v>
      </c>
      <c r="P442" t="s">
        <v>84</v>
      </c>
      <c r="Q442">
        <v>5</v>
      </c>
      <c r="R442" t="s">
        <v>28</v>
      </c>
      <c r="S442">
        <v>1</v>
      </c>
      <c r="T442">
        <v>1</v>
      </c>
      <c r="U442">
        <v>1</v>
      </c>
    </row>
    <row r="443" spans="1:21" x14ac:dyDescent="0.3">
      <c r="A443" s="1">
        <v>43952</v>
      </c>
      <c r="B443" s="1">
        <v>43952</v>
      </c>
      <c r="C443" t="s">
        <v>157</v>
      </c>
      <c r="D443" t="s">
        <v>48</v>
      </c>
      <c r="E443" t="s">
        <v>49</v>
      </c>
      <c r="F443" t="s">
        <v>220</v>
      </c>
      <c r="G443" s="53">
        <v>43987.496550925927</v>
      </c>
      <c r="H443">
        <v>33</v>
      </c>
      <c r="I443">
        <v>14013</v>
      </c>
      <c r="J443" t="s">
        <v>50</v>
      </c>
      <c r="K443" t="s">
        <v>50</v>
      </c>
      <c r="L443" t="s">
        <v>159</v>
      </c>
      <c r="M443" t="s">
        <v>51</v>
      </c>
      <c r="N443" t="s">
        <v>92</v>
      </c>
      <c r="O443" s="1">
        <v>41335</v>
      </c>
      <c r="P443" t="s">
        <v>84</v>
      </c>
      <c r="Q443">
        <v>5</v>
      </c>
      <c r="R443" t="s">
        <v>28</v>
      </c>
      <c r="S443">
        <v>15.361321</v>
      </c>
      <c r="T443">
        <v>71.932000000000002</v>
      </c>
      <c r="U443">
        <v>1105</v>
      </c>
    </row>
    <row r="444" spans="1:21" x14ac:dyDescent="0.3">
      <c r="A444" s="1">
        <v>43983</v>
      </c>
      <c r="B444" s="1">
        <v>43983</v>
      </c>
      <c r="C444" t="s">
        <v>157</v>
      </c>
      <c r="D444" t="s">
        <v>54</v>
      </c>
      <c r="E444" t="s">
        <v>21</v>
      </c>
      <c r="F444" t="s">
        <v>224</v>
      </c>
      <c r="G444" s="53">
        <v>44020.479664351849</v>
      </c>
      <c r="H444">
        <v>33</v>
      </c>
      <c r="I444">
        <v>14392</v>
      </c>
      <c r="J444" t="s">
        <v>50</v>
      </c>
      <c r="K444" t="s">
        <v>50</v>
      </c>
      <c r="L444" t="s">
        <v>159</v>
      </c>
      <c r="M444" t="s">
        <v>51</v>
      </c>
      <c r="N444" t="s">
        <v>92</v>
      </c>
      <c r="O444" s="1">
        <v>41335</v>
      </c>
      <c r="P444" t="s">
        <v>84</v>
      </c>
      <c r="Q444">
        <v>1</v>
      </c>
      <c r="R444" t="s">
        <v>83</v>
      </c>
      <c r="S444">
        <v>0</v>
      </c>
      <c r="T444">
        <v>6077.2</v>
      </c>
      <c r="U444">
        <v>0</v>
      </c>
    </row>
    <row r="445" spans="1:21" x14ac:dyDescent="0.3">
      <c r="A445" s="1">
        <v>43983</v>
      </c>
      <c r="B445" s="1">
        <v>43983</v>
      </c>
      <c r="C445" t="s">
        <v>157</v>
      </c>
      <c r="D445" t="s">
        <v>52</v>
      </c>
      <c r="E445" t="s">
        <v>53</v>
      </c>
      <c r="F445" t="s">
        <v>225</v>
      </c>
      <c r="G445" s="53">
        <v>44020.479664351849</v>
      </c>
      <c r="H445">
        <v>33</v>
      </c>
      <c r="I445">
        <v>14392</v>
      </c>
      <c r="J445" t="s">
        <v>50</v>
      </c>
      <c r="K445" t="s">
        <v>50</v>
      </c>
      <c r="L445" t="s">
        <v>159</v>
      </c>
      <c r="M445" t="s">
        <v>51</v>
      </c>
      <c r="N445" t="s">
        <v>92</v>
      </c>
      <c r="O445" s="1">
        <v>41335</v>
      </c>
      <c r="P445" t="s">
        <v>84</v>
      </c>
      <c r="Q445">
        <v>1</v>
      </c>
      <c r="R445" t="s">
        <v>83</v>
      </c>
      <c r="S445">
        <v>0</v>
      </c>
      <c r="T445">
        <v>0</v>
      </c>
      <c r="U445">
        <v>0</v>
      </c>
    </row>
    <row r="446" spans="1:21" x14ac:dyDescent="0.3">
      <c r="A446" s="1">
        <v>43983</v>
      </c>
      <c r="B446" s="1">
        <v>43983</v>
      </c>
      <c r="C446" t="s">
        <v>157</v>
      </c>
      <c r="D446" t="s">
        <v>55</v>
      </c>
      <c r="E446" t="s">
        <v>56</v>
      </c>
      <c r="F446" t="s">
        <v>226</v>
      </c>
      <c r="G446" s="53">
        <v>44020.479664351849</v>
      </c>
      <c r="H446">
        <v>33</v>
      </c>
      <c r="I446">
        <v>14392</v>
      </c>
      <c r="J446" t="s">
        <v>50</v>
      </c>
      <c r="K446" t="s">
        <v>50</v>
      </c>
      <c r="L446" t="s">
        <v>159</v>
      </c>
      <c r="M446" t="s">
        <v>51</v>
      </c>
      <c r="N446" t="s">
        <v>92</v>
      </c>
      <c r="O446" s="1">
        <v>41335</v>
      </c>
      <c r="P446" t="s">
        <v>84</v>
      </c>
      <c r="Q446">
        <v>1</v>
      </c>
      <c r="R446" t="s">
        <v>83</v>
      </c>
      <c r="S446">
        <v>2496.0713719999999</v>
      </c>
      <c r="T446">
        <v>1.0669999999999999</v>
      </c>
      <c r="U446">
        <v>2663</v>
      </c>
    </row>
    <row r="447" spans="1:21" x14ac:dyDescent="0.3">
      <c r="A447" s="1">
        <v>43983</v>
      </c>
      <c r="B447" s="1">
        <v>43983</v>
      </c>
      <c r="C447" t="s">
        <v>157</v>
      </c>
      <c r="D447" t="s">
        <v>95</v>
      </c>
      <c r="E447" t="s">
        <v>56</v>
      </c>
      <c r="F447" t="s">
        <v>227</v>
      </c>
      <c r="G447" s="53">
        <v>44057.743877314817</v>
      </c>
      <c r="H447">
        <v>61</v>
      </c>
      <c r="I447" t="s">
        <v>349</v>
      </c>
      <c r="J447" t="s">
        <v>50</v>
      </c>
      <c r="K447" t="s">
        <v>50</v>
      </c>
      <c r="L447" t="s">
        <v>159</v>
      </c>
      <c r="M447" t="s">
        <v>51</v>
      </c>
      <c r="N447" t="s">
        <v>92</v>
      </c>
      <c r="O447" s="1">
        <v>41335</v>
      </c>
      <c r="P447" t="s">
        <v>84</v>
      </c>
      <c r="Q447">
        <v>1</v>
      </c>
      <c r="R447" t="s">
        <v>83</v>
      </c>
      <c r="S447">
        <v>1</v>
      </c>
      <c r="T447">
        <v>-21</v>
      </c>
      <c r="U447">
        <v>-21</v>
      </c>
    </row>
    <row r="448" spans="1:21" x14ac:dyDescent="0.3">
      <c r="A448" s="1">
        <v>43983</v>
      </c>
      <c r="B448" s="1">
        <v>43983</v>
      </c>
      <c r="C448" t="s">
        <v>157</v>
      </c>
      <c r="D448" t="s">
        <v>48</v>
      </c>
      <c r="E448" t="s">
        <v>49</v>
      </c>
      <c r="F448" t="s">
        <v>228</v>
      </c>
      <c r="G448" s="53">
        <v>44020.479664351849</v>
      </c>
      <c r="H448">
        <v>33</v>
      </c>
      <c r="I448">
        <v>14392</v>
      </c>
      <c r="J448" t="s">
        <v>50</v>
      </c>
      <c r="K448" t="s">
        <v>50</v>
      </c>
      <c r="L448" t="s">
        <v>159</v>
      </c>
      <c r="M448" t="s">
        <v>51</v>
      </c>
      <c r="N448" t="s">
        <v>92</v>
      </c>
      <c r="O448" s="1">
        <v>41335</v>
      </c>
      <c r="P448" t="s">
        <v>84</v>
      </c>
      <c r="Q448">
        <v>1</v>
      </c>
      <c r="R448" t="s">
        <v>83</v>
      </c>
      <c r="S448">
        <v>2496.08</v>
      </c>
      <c r="T448">
        <v>71.221999999999994</v>
      </c>
      <c r="U448">
        <v>177776</v>
      </c>
    </row>
    <row r="449" spans="1:21" x14ac:dyDescent="0.3">
      <c r="A449" s="1">
        <v>43983</v>
      </c>
      <c r="B449" s="1">
        <v>43983</v>
      </c>
      <c r="C449" t="s">
        <v>157</v>
      </c>
      <c r="D449" t="s">
        <v>93</v>
      </c>
      <c r="E449" t="s">
        <v>49</v>
      </c>
      <c r="F449" t="s">
        <v>229</v>
      </c>
      <c r="G449" s="53">
        <v>44057.743877314817</v>
      </c>
      <c r="H449">
        <v>61</v>
      </c>
      <c r="I449" t="s">
        <v>349</v>
      </c>
      <c r="J449" t="s">
        <v>50</v>
      </c>
      <c r="K449" t="s">
        <v>50</v>
      </c>
      <c r="L449" t="s">
        <v>159</v>
      </c>
      <c r="M449" t="s">
        <v>51</v>
      </c>
      <c r="N449" t="s">
        <v>92</v>
      </c>
      <c r="O449" s="1">
        <v>41335</v>
      </c>
      <c r="P449" t="s">
        <v>84</v>
      </c>
      <c r="Q449">
        <v>1</v>
      </c>
      <c r="R449" t="s">
        <v>83</v>
      </c>
      <c r="S449">
        <v>1</v>
      </c>
      <c r="T449">
        <v>-1449</v>
      </c>
      <c r="U449">
        <v>-1449</v>
      </c>
    </row>
    <row r="450" spans="1:21" x14ac:dyDescent="0.3">
      <c r="A450" s="1">
        <v>43983</v>
      </c>
      <c r="B450" s="1">
        <v>43983</v>
      </c>
      <c r="C450" t="s">
        <v>157</v>
      </c>
      <c r="D450" t="s">
        <v>48</v>
      </c>
      <c r="E450" t="s">
        <v>49</v>
      </c>
      <c r="F450" t="s">
        <v>228</v>
      </c>
      <c r="G450" s="53">
        <v>44020.479664351849</v>
      </c>
      <c r="H450">
        <v>33</v>
      </c>
      <c r="I450">
        <v>14392</v>
      </c>
      <c r="J450" t="s">
        <v>50</v>
      </c>
      <c r="K450" t="s">
        <v>50</v>
      </c>
      <c r="L450" t="s">
        <v>159</v>
      </c>
      <c r="M450" t="s">
        <v>51</v>
      </c>
      <c r="N450" t="s">
        <v>92</v>
      </c>
      <c r="O450" s="1">
        <v>41335</v>
      </c>
      <c r="P450" t="s">
        <v>84</v>
      </c>
      <c r="Q450">
        <v>2</v>
      </c>
      <c r="R450" t="s">
        <v>94</v>
      </c>
      <c r="S450">
        <v>5.0652330000000001</v>
      </c>
      <c r="T450">
        <v>73.772999999999996</v>
      </c>
      <c r="U450">
        <v>374</v>
      </c>
    </row>
    <row r="451" spans="1:21" x14ac:dyDescent="0.3">
      <c r="A451" s="1">
        <v>43983</v>
      </c>
      <c r="B451" s="1">
        <v>43983</v>
      </c>
      <c r="C451" t="s">
        <v>157</v>
      </c>
      <c r="D451" t="s">
        <v>93</v>
      </c>
      <c r="E451" t="s">
        <v>49</v>
      </c>
      <c r="F451" t="s">
        <v>229</v>
      </c>
      <c r="G451" s="53">
        <v>44057.743877314817</v>
      </c>
      <c r="H451">
        <v>61</v>
      </c>
      <c r="I451" t="s">
        <v>349</v>
      </c>
      <c r="J451" t="s">
        <v>50</v>
      </c>
      <c r="K451" t="s">
        <v>50</v>
      </c>
      <c r="L451" t="s">
        <v>159</v>
      </c>
      <c r="M451" t="s">
        <v>51</v>
      </c>
      <c r="N451" t="s">
        <v>92</v>
      </c>
      <c r="O451" s="1">
        <v>41335</v>
      </c>
      <c r="P451" t="s">
        <v>84</v>
      </c>
      <c r="Q451">
        <v>2</v>
      </c>
      <c r="R451" t="s">
        <v>94</v>
      </c>
      <c r="S451">
        <v>1</v>
      </c>
      <c r="T451">
        <v>-3</v>
      </c>
      <c r="U451">
        <v>-3</v>
      </c>
    </row>
    <row r="452" spans="1:21" x14ac:dyDescent="0.3">
      <c r="A452" s="1">
        <v>43983</v>
      </c>
      <c r="B452" s="1">
        <v>43983</v>
      </c>
      <c r="C452" t="s">
        <v>157</v>
      </c>
      <c r="D452" t="s">
        <v>54</v>
      </c>
      <c r="E452" t="s">
        <v>21</v>
      </c>
      <c r="F452" t="s">
        <v>224</v>
      </c>
      <c r="G452" s="53">
        <v>44020.479664351849</v>
      </c>
      <c r="H452">
        <v>33</v>
      </c>
      <c r="I452">
        <v>14392</v>
      </c>
      <c r="J452" t="s">
        <v>50</v>
      </c>
      <c r="K452" t="s">
        <v>50</v>
      </c>
      <c r="L452" t="s">
        <v>159</v>
      </c>
      <c r="M452" t="s">
        <v>51</v>
      </c>
      <c r="N452" t="s">
        <v>92</v>
      </c>
      <c r="O452" s="1">
        <v>41335</v>
      </c>
      <c r="P452" t="s">
        <v>84</v>
      </c>
      <c r="Q452">
        <v>2</v>
      </c>
      <c r="R452" t="s">
        <v>94</v>
      </c>
      <c r="S452">
        <v>0</v>
      </c>
      <c r="T452">
        <v>6151.21</v>
      </c>
      <c r="U452">
        <v>0</v>
      </c>
    </row>
    <row r="453" spans="1:21" x14ac:dyDescent="0.3">
      <c r="A453" s="1">
        <v>43983</v>
      </c>
      <c r="B453" s="1">
        <v>43983</v>
      </c>
      <c r="C453" t="s">
        <v>157</v>
      </c>
      <c r="D453" t="s">
        <v>55</v>
      </c>
      <c r="E453" t="s">
        <v>56</v>
      </c>
      <c r="F453" t="s">
        <v>226</v>
      </c>
      <c r="G453" s="53">
        <v>44020.479664351849</v>
      </c>
      <c r="H453">
        <v>33</v>
      </c>
      <c r="I453">
        <v>14392</v>
      </c>
      <c r="J453" t="s">
        <v>50</v>
      </c>
      <c r="K453" t="s">
        <v>50</v>
      </c>
      <c r="L453" t="s">
        <v>159</v>
      </c>
      <c r="M453" t="s">
        <v>51</v>
      </c>
      <c r="N453" t="s">
        <v>92</v>
      </c>
      <c r="O453" s="1">
        <v>41335</v>
      </c>
      <c r="P453" t="s">
        <v>84</v>
      </c>
      <c r="Q453">
        <v>2</v>
      </c>
      <c r="R453" t="s">
        <v>94</v>
      </c>
      <c r="S453">
        <v>5.0652330000000001</v>
      </c>
      <c r="T453">
        <v>1.0669999999999999</v>
      </c>
      <c r="U453">
        <v>5</v>
      </c>
    </row>
    <row r="454" spans="1:21" x14ac:dyDescent="0.3">
      <c r="A454" s="1">
        <v>43983</v>
      </c>
      <c r="B454" s="1">
        <v>43983</v>
      </c>
      <c r="C454" t="s">
        <v>157</v>
      </c>
      <c r="D454" t="s">
        <v>52</v>
      </c>
      <c r="E454" t="s">
        <v>53</v>
      </c>
      <c r="F454" t="s">
        <v>225</v>
      </c>
      <c r="G454" s="53">
        <v>44020.479664351849</v>
      </c>
      <c r="H454">
        <v>33</v>
      </c>
      <c r="I454">
        <v>14392</v>
      </c>
      <c r="J454" t="s">
        <v>50</v>
      </c>
      <c r="K454" t="s">
        <v>50</v>
      </c>
      <c r="L454" t="s">
        <v>159</v>
      </c>
      <c r="M454" t="s">
        <v>51</v>
      </c>
      <c r="N454" t="s">
        <v>92</v>
      </c>
      <c r="O454" s="1">
        <v>41335</v>
      </c>
      <c r="P454" t="s">
        <v>84</v>
      </c>
      <c r="Q454">
        <v>2</v>
      </c>
      <c r="R454" t="s">
        <v>94</v>
      </c>
      <c r="S454">
        <v>0</v>
      </c>
      <c r="T454">
        <v>0</v>
      </c>
      <c r="U454">
        <v>0</v>
      </c>
    </row>
    <row r="455" spans="1:21" x14ac:dyDescent="0.3">
      <c r="A455" s="1">
        <v>43983</v>
      </c>
      <c r="B455" s="1">
        <v>43983</v>
      </c>
      <c r="C455" t="s">
        <v>157</v>
      </c>
      <c r="D455" t="s">
        <v>52</v>
      </c>
      <c r="E455" t="s">
        <v>53</v>
      </c>
      <c r="F455" t="s">
        <v>225</v>
      </c>
      <c r="G455" s="53">
        <v>44020.479664351849</v>
      </c>
      <c r="H455">
        <v>33</v>
      </c>
      <c r="I455">
        <v>14392</v>
      </c>
      <c r="J455" t="s">
        <v>50</v>
      </c>
      <c r="K455" t="s">
        <v>50</v>
      </c>
      <c r="L455" t="s">
        <v>159</v>
      </c>
      <c r="M455" t="s">
        <v>51</v>
      </c>
      <c r="N455" t="s">
        <v>92</v>
      </c>
      <c r="O455" s="1">
        <v>41335</v>
      </c>
      <c r="P455" t="s">
        <v>84</v>
      </c>
      <c r="Q455">
        <v>3</v>
      </c>
      <c r="R455" t="s">
        <v>81</v>
      </c>
      <c r="S455">
        <v>0</v>
      </c>
      <c r="T455">
        <v>0</v>
      </c>
      <c r="U455">
        <v>0</v>
      </c>
    </row>
    <row r="456" spans="1:21" x14ac:dyDescent="0.3">
      <c r="A456" s="1">
        <v>43983</v>
      </c>
      <c r="B456" s="1">
        <v>43983</v>
      </c>
      <c r="C456" t="s">
        <v>157</v>
      </c>
      <c r="D456" t="s">
        <v>54</v>
      </c>
      <c r="E456" t="s">
        <v>21</v>
      </c>
      <c r="F456" t="s">
        <v>224</v>
      </c>
      <c r="G456" s="53">
        <v>44020.479664351849</v>
      </c>
      <c r="H456">
        <v>33</v>
      </c>
      <c r="I456">
        <v>14392</v>
      </c>
      <c r="J456" t="s">
        <v>50</v>
      </c>
      <c r="K456" t="s">
        <v>50</v>
      </c>
      <c r="L456" t="s">
        <v>159</v>
      </c>
      <c r="M456" t="s">
        <v>51</v>
      </c>
      <c r="N456" t="s">
        <v>92</v>
      </c>
      <c r="O456" s="1">
        <v>41335</v>
      </c>
      <c r="P456" t="s">
        <v>84</v>
      </c>
      <c r="Q456">
        <v>3</v>
      </c>
      <c r="R456" t="s">
        <v>81</v>
      </c>
      <c r="S456">
        <v>0</v>
      </c>
      <c r="T456">
        <v>5767.18</v>
      </c>
      <c r="U456">
        <v>0</v>
      </c>
    </row>
    <row r="457" spans="1:21" x14ac:dyDescent="0.3">
      <c r="A457" s="1">
        <v>43983</v>
      </c>
      <c r="B457" s="1">
        <v>43983</v>
      </c>
      <c r="C457" t="s">
        <v>157</v>
      </c>
      <c r="D457" t="s">
        <v>93</v>
      </c>
      <c r="E457" t="s">
        <v>49</v>
      </c>
      <c r="F457" t="s">
        <v>229</v>
      </c>
      <c r="G457" s="53">
        <v>44057.743877314817</v>
      </c>
      <c r="H457">
        <v>61</v>
      </c>
      <c r="I457" t="s">
        <v>349</v>
      </c>
      <c r="J457" t="s">
        <v>50</v>
      </c>
      <c r="K457" t="s">
        <v>50</v>
      </c>
      <c r="L457" t="s">
        <v>159</v>
      </c>
      <c r="M457" t="s">
        <v>51</v>
      </c>
      <c r="N457" t="s">
        <v>92</v>
      </c>
      <c r="O457" s="1">
        <v>41335</v>
      </c>
      <c r="P457" t="s">
        <v>84</v>
      </c>
      <c r="Q457">
        <v>3</v>
      </c>
      <c r="R457" t="s">
        <v>81</v>
      </c>
      <c r="S457">
        <v>1</v>
      </c>
      <c r="T457">
        <v>-200</v>
      </c>
      <c r="U457">
        <v>-200</v>
      </c>
    </row>
    <row r="458" spans="1:21" x14ac:dyDescent="0.3">
      <c r="A458" s="1">
        <v>43983</v>
      </c>
      <c r="B458" s="1">
        <v>43983</v>
      </c>
      <c r="C458" t="s">
        <v>157</v>
      </c>
      <c r="D458" t="s">
        <v>95</v>
      </c>
      <c r="E458" t="s">
        <v>56</v>
      </c>
      <c r="F458" t="s">
        <v>227</v>
      </c>
      <c r="G458" s="53">
        <v>44057.743877314817</v>
      </c>
      <c r="H458">
        <v>61</v>
      </c>
      <c r="I458" t="s">
        <v>349</v>
      </c>
      <c r="J458" t="s">
        <v>50</v>
      </c>
      <c r="K458" t="s">
        <v>50</v>
      </c>
      <c r="L458" t="s">
        <v>159</v>
      </c>
      <c r="M458" t="s">
        <v>51</v>
      </c>
      <c r="N458" t="s">
        <v>92</v>
      </c>
      <c r="O458" s="1">
        <v>41335</v>
      </c>
      <c r="P458" t="s">
        <v>84</v>
      </c>
      <c r="Q458">
        <v>3</v>
      </c>
      <c r="R458" t="s">
        <v>81</v>
      </c>
      <c r="S458">
        <v>1</v>
      </c>
      <c r="T458">
        <v>-3</v>
      </c>
      <c r="U458">
        <v>-3</v>
      </c>
    </row>
    <row r="459" spans="1:21" x14ac:dyDescent="0.3">
      <c r="A459" s="1">
        <v>43983</v>
      </c>
      <c r="B459" s="1">
        <v>43983</v>
      </c>
      <c r="C459" t="s">
        <v>157</v>
      </c>
      <c r="D459" t="s">
        <v>55</v>
      </c>
      <c r="E459" t="s">
        <v>56</v>
      </c>
      <c r="F459" t="s">
        <v>226</v>
      </c>
      <c r="G459" s="53">
        <v>44020.479664351849</v>
      </c>
      <c r="H459">
        <v>33</v>
      </c>
      <c r="I459">
        <v>14392</v>
      </c>
      <c r="J459" t="s">
        <v>50</v>
      </c>
      <c r="K459" t="s">
        <v>50</v>
      </c>
      <c r="L459" t="s">
        <v>159</v>
      </c>
      <c r="M459" t="s">
        <v>51</v>
      </c>
      <c r="N459" t="s">
        <v>92</v>
      </c>
      <c r="O459" s="1">
        <v>41335</v>
      </c>
      <c r="P459" t="s">
        <v>84</v>
      </c>
      <c r="Q459">
        <v>3</v>
      </c>
      <c r="R459" t="s">
        <v>81</v>
      </c>
      <c r="S459">
        <v>361.77921099999998</v>
      </c>
      <c r="T459">
        <v>1.0669999999999999</v>
      </c>
      <c r="U459">
        <v>386</v>
      </c>
    </row>
    <row r="460" spans="1:21" x14ac:dyDescent="0.3">
      <c r="A460" s="1">
        <v>43983</v>
      </c>
      <c r="B460" s="1">
        <v>43983</v>
      </c>
      <c r="C460" t="s">
        <v>157</v>
      </c>
      <c r="D460" t="s">
        <v>48</v>
      </c>
      <c r="E460" t="s">
        <v>49</v>
      </c>
      <c r="F460" t="s">
        <v>228</v>
      </c>
      <c r="G460" s="53">
        <v>44020.479664351849</v>
      </c>
      <c r="H460">
        <v>33</v>
      </c>
      <c r="I460">
        <v>14392</v>
      </c>
      <c r="J460" t="s">
        <v>50</v>
      </c>
      <c r="K460" t="s">
        <v>50</v>
      </c>
      <c r="L460" t="s">
        <v>159</v>
      </c>
      <c r="M460" t="s">
        <v>51</v>
      </c>
      <c r="N460" t="s">
        <v>92</v>
      </c>
      <c r="O460" s="1">
        <v>41335</v>
      </c>
      <c r="P460" t="s">
        <v>84</v>
      </c>
      <c r="Q460">
        <v>3</v>
      </c>
      <c r="R460" t="s">
        <v>81</v>
      </c>
      <c r="S460">
        <v>361.77921099999998</v>
      </c>
      <c r="T460">
        <v>67.765000000000001</v>
      </c>
      <c r="U460">
        <v>24516</v>
      </c>
    </row>
    <row r="461" spans="1:21" x14ac:dyDescent="0.3">
      <c r="A461" s="1">
        <v>43983</v>
      </c>
      <c r="B461" s="1">
        <v>43983</v>
      </c>
      <c r="C461" t="s">
        <v>157</v>
      </c>
      <c r="D461" t="s">
        <v>52</v>
      </c>
      <c r="E461" t="s">
        <v>53</v>
      </c>
      <c r="F461" t="s">
        <v>225</v>
      </c>
      <c r="G461" s="53">
        <v>44020.479664351849</v>
      </c>
      <c r="H461">
        <v>33</v>
      </c>
      <c r="I461">
        <v>14392</v>
      </c>
      <c r="J461" t="s">
        <v>50</v>
      </c>
      <c r="K461" t="s">
        <v>50</v>
      </c>
      <c r="L461" t="s">
        <v>159</v>
      </c>
      <c r="M461" t="s">
        <v>51</v>
      </c>
      <c r="N461" t="s">
        <v>92</v>
      </c>
      <c r="O461" s="1">
        <v>41335</v>
      </c>
      <c r="P461" t="s">
        <v>84</v>
      </c>
      <c r="Q461">
        <v>4</v>
      </c>
      <c r="R461" t="s">
        <v>27</v>
      </c>
      <c r="S461">
        <v>0</v>
      </c>
      <c r="T461">
        <v>0</v>
      </c>
      <c r="U461">
        <v>0</v>
      </c>
    </row>
    <row r="462" spans="1:21" x14ac:dyDescent="0.3">
      <c r="A462" s="1">
        <v>43983</v>
      </c>
      <c r="B462" s="1">
        <v>43983</v>
      </c>
      <c r="C462" t="s">
        <v>157</v>
      </c>
      <c r="D462" t="s">
        <v>55</v>
      </c>
      <c r="E462" t="s">
        <v>56</v>
      </c>
      <c r="F462" t="s">
        <v>226</v>
      </c>
      <c r="G462" s="53">
        <v>44020.479664351849</v>
      </c>
      <c r="H462">
        <v>33</v>
      </c>
      <c r="I462">
        <v>14392</v>
      </c>
      <c r="J462" t="s">
        <v>50</v>
      </c>
      <c r="K462" t="s">
        <v>50</v>
      </c>
      <c r="L462" t="s">
        <v>159</v>
      </c>
      <c r="M462" t="s">
        <v>51</v>
      </c>
      <c r="N462" t="s">
        <v>92</v>
      </c>
      <c r="O462" s="1">
        <v>41335</v>
      </c>
      <c r="P462" t="s">
        <v>84</v>
      </c>
      <c r="Q462">
        <v>4</v>
      </c>
      <c r="R462" t="s">
        <v>27</v>
      </c>
      <c r="S462">
        <v>2272.4959020000001</v>
      </c>
      <c r="T462">
        <v>1.0669999999999999</v>
      </c>
      <c r="U462">
        <v>2425</v>
      </c>
    </row>
    <row r="463" spans="1:21" x14ac:dyDescent="0.3">
      <c r="A463" s="1">
        <v>43983</v>
      </c>
      <c r="B463" s="1">
        <v>43983</v>
      </c>
      <c r="C463" t="s">
        <v>157</v>
      </c>
      <c r="D463" t="s">
        <v>93</v>
      </c>
      <c r="E463" t="s">
        <v>49</v>
      </c>
      <c r="F463" t="s">
        <v>229</v>
      </c>
      <c r="G463" s="53">
        <v>44057.743877314817</v>
      </c>
      <c r="H463">
        <v>61</v>
      </c>
      <c r="I463" t="s">
        <v>349</v>
      </c>
      <c r="J463" t="s">
        <v>50</v>
      </c>
      <c r="K463" t="s">
        <v>50</v>
      </c>
      <c r="L463" t="s">
        <v>159</v>
      </c>
      <c r="M463" t="s">
        <v>51</v>
      </c>
      <c r="N463" t="s">
        <v>92</v>
      </c>
      <c r="O463" s="1">
        <v>41335</v>
      </c>
      <c r="P463" t="s">
        <v>84</v>
      </c>
      <c r="Q463">
        <v>4</v>
      </c>
      <c r="R463" t="s">
        <v>27</v>
      </c>
      <c r="S463">
        <v>1</v>
      </c>
      <c r="T463">
        <v>-1279</v>
      </c>
      <c r="U463">
        <v>-1279</v>
      </c>
    </row>
    <row r="464" spans="1:21" x14ac:dyDescent="0.3">
      <c r="A464" s="1">
        <v>43983</v>
      </c>
      <c r="B464" s="1">
        <v>43983</v>
      </c>
      <c r="C464" t="s">
        <v>157</v>
      </c>
      <c r="D464" t="s">
        <v>54</v>
      </c>
      <c r="E464" t="s">
        <v>21</v>
      </c>
      <c r="F464" t="s">
        <v>224</v>
      </c>
      <c r="G464" s="53">
        <v>44020.479664351849</v>
      </c>
      <c r="H464">
        <v>33</v>
      </c>
      <c r="I464">
        <v>14392</v>
      </c>
      <c r="J464" t="s">
        <v>50</v>
      </c>
      <c r="K464" t="s">
        <v>50</v>
      </c>
      <c r="L464" t="s">
        <v>159</v>
      </c>
      <c r="M464" t="s">
        <v>51</v>
      </c>
      <c r="N464" t="s">
        <v>92</v>
      </c>
      <c r="O464" s="1">
        <v>41335</v>
      </c>
      <c r="P464" t="s">
        <v>84</v>
      </c>
      <c r="Q464">
        <v>4</v>
      </c>
      <c r="R464" t="s">
        <v>27</v>
      </c>
      <c r="S464">
        <v>0</v>
      </c>
      <c r="T464">
        <v>5963.14</v>
      </c>
      <c r="U464">
        <v>0</v>
      </c>
    </row>
    <row r="465" spans="1:21" x14ac:dyDescent="0.3">
      <c r="A465" s="1">
        <v>43983</v>
      </c>
      <c r="B465" s="1">
        <v>43983</v>
      </c>
      <c r="C465" t="s">
        <v>157</v>
      </c>
      <c r="D465" t="s">
        <v>95</v>
      </c>
      <c r="E465" t="s">
        <v>56</v>
      </c>
      <c r="F465" t="s">
        <v>227</v>
      </c>
      <c r="G465" s="53">
        <v>44057.743877314817</v>
      </c>
      <c r="H465">
        <v>61</v>
      </c>
      <c r="I465" t="s">
        <v>349</v>
      </c>
      <c r="J465" t="s">
        <v>50</v>
      </c>
      <c r="K465" t="s">
        <v>50</v>
      </c>
      <c r="L465" t="s">
        <v>159</v>
      </c>
      <c r="M465" t="s">
        <v>51</v>
      </c>
      <c r="N465" t="s">
        <v>92</v>
      </c>
      <c r="O465" s="1">
        <v>41335</v>
      </c>
      <c r="P465" t="s">
        <v>84</v>
      </c>
      <c r="Q465">
        <v>4</v>
      </c>
      <c r="R465" t="s">
        <v>27</v>
      </c>
      <c r="S465">
        <v>1</v>
      </c>
      <c r="T465">
        <v>-20</v>
      </c>
      <c r="U465">
        <v>-20</v>
      </c>
    </row>
    <row r="466" spans="1:21" x14ac:dyDescent="0.3">
      <c r="A466" s="1">
        <v>43983</v>
      </c>
      <c r="B466" s="1">
        <v>43983</v>
      </c>
      <c r="C466" t="s">
        <v>157</v>
      </c>
      <c r="D466" t="s">
        <v>48</v>
      </c>
      <c r="E466" t="s">
        <v>49</v>
      </c>
      <c r="F466" t="s">
        <v>228</v>
      </c>
      <c r="G466" s="53">
        <v>44020.479664351849</v>
      </c>
      <c r="H466">
        <v>33</v>
      </c>
      <c r="I466">
        <v>14392</v>
      </c>
      <c r="J466" t="s">
        <v>50</v>
      </c>
      <c r="K466" t="s">
        <v>50</v>
      </c>
      <c r="L466" t="s">
        <v>159</v>
      </c>
      <c r="M466" t="s">
        <v>51</v>
      </c>
      <c r="N466" t="s">
        <v>92</v>
      </c>
      <c r="O466" s="1">
        <v>41335</v>
      </c>
      <c r="P466" t="s">
        <v>84</v>
      </c>
      <c r="Q466">
        <v>4</v>
      </c>
      <c r="R466" t="s">
        <v>27</v>
      </c>
      <c r="S466">
        <v>2272.4959020000001</v>
      </c>
      <c r="T466">
        <v>69.12</v>
      </c>
      <c r="U466">
        <v>157075</v>
      </c>
    </row>
    <row r="467" spans="1:21" x14ac:dyDescent="0.3">
      <c r="A467" s="1">
        <v>43983</v>
      </c>
      <c r="B467" s="1">
        <v>43983</v>
      </c>
      <c r="C467" t="s">
        <v>157</v>
      </c>
      <c r="D467" t="s">
        <v>48</v>
      </c>
      <c r="E467" t="s">
        <v>49</v>
      </c>
      <c r="F467" t="s">
        <v>228</v>
      </c>
      <c r="G467" s="53">
        <v>44020.479664351849</v>
      </c>
      <c r="H467">
        <v>33</v>
      </c>
      <c r="I467">
        <v>14392</v>
      </c>
      <c r="J467" t="s">
        <v>50</v>
      </c>
      <c r="K467" t="s">
        <v>50</v>
      </c>
      <c r="L467" t="s">
        <v>159</v>
      </c>
      <c r="M467" t="s">
        <v>51</v>
      </c>
      <c r="N467" t="s">
        <v>92</v>
      </c>
      <c r="O467" s="1">
        <v>41335</v>
      </c>
      <c r="P467" t="s">
        <v>84</v>
      </c>
      <c r="Q467">
        <v>5</v>
      </c>
      <c r="R467" t="s">
        <v>28</v>
      </c>
      <c r="S467">
        <v>13.447563000000001</v>
      </c>
      <c r="T467">
        <v>71.932000000000002</v>
      </c>
      <c r="U467">
        <v>967</v>
      </c>
    </row>
    <row r="468" spans="1:21" x14ac:dyDescent="0.3">
      <c r="A468" s="1">
        <v>43983</v>
      </c>
      <c r="B468" s="1">
        <v>43983</v>
      </c>
      <c r="C468" t="s">
        <v>157</v>
      </c>
      <c r="D468" t="s">
        <v>55</v>
      </c>
      <c r="E468" t="s">
        <v>56</v>
      </c>
      <c r="F468" t="s">
        <v>226</v>
      </c>
      <c r="G468" s="53">
        <v>44020.479664351849</v>
      </c>
      <c r="H468">
        <v>33</v>
      </c>
      <c r="I468">
        <v>14392</v>
      </c>
      <c r="J468" t="s">
        <v>50</v>
      </c>
      <c r="K468" t="s">
        <v>50</v>
      </c>
      <c r="L468" t="s">
        <v>159</v>
      </c>
      <c r="M468" t="s">
        <v>51</v>
      </c>
      <c r="N468" t="s">
        <v>92</v>
      </c>
      <c r="O468" s="1">
        <v>41335</v>
      </c>
      <c r="P468" t="s">
        <v>84</v>
      </c>
      <c r="Q468">
        <v>5</v>
      </c>
      <c r="R468" t="s">
        <v>28</v>
      </c>
      <c r="S468">
        <v>13.447563000000001</v>
      </c>
      <c r="T468">
        <v>1.0669999999999999</v>
      </c>
      <c r="U468">
        <v>14</v>
      </c>
    </row>
    <row r="469" spans="1:21" x14ac:dyDescent="0.3">
      <c r="A469" s="1">
        <v>43983</v>
      </c>
      <c r="B469" s="1">
        <v>43983</v>
      </c>
      <c r="C469" t="s">
        <v>157</v>
      </c>
      <c r="D469" t="s">
        <v>93</v>
      </c>
      <c r="E469" t="s">
        <v>49</v>
      </c>
      <c r="F469" t="s">
        <v>229</v>
      </c>
      <c r="G469" s="53">
        <v>44057.743877314817</v>
      </c>
      <c r="H469">
        <v>61</v>
      </c>
      <c r="I469" t="s">
        <v>349</v>
      </c>
      <c r="J469" t="s">
        <v>50</v>
      </c>
      <c r="K469" t="s">
        <v>50</v>
      </c>
      <c r="L469" t="s">
        <v>159</v>
      </c>
      <c r="M469" t="s">
        <v>51</v>
      </c>
      <c r="N469" t="s">
        <v>92</v>
      </c>
      <c r="O469" s="1">
        <v>41335</v>
      </c>
      <c r="P469" t="s">
        <v>84</v>
      </c>
      <c r="Q469">
        <v>5</v>
      </c>
      <c r="R469" t="s">
        <v>28</v>
      </c>
      <c r="S469">
        <v>1</v>
      </c>
      <c r="T469">
        <v>-8</v>
      </c>
      <c r="U469">
        <v>-8</v>
      </c>
    </row>
    <row r="470" spans="1:21" x14ac:dyDescent="0.3">
      <c r="A470" s="1">
        <v>43983</v>
      </c>
      <c r="B470" s="1">
        <v>43983</v>
      </c>
      <c r="C470" t="s">
        <v>157</v>
      </c>
      <c r="D470" t="s">
        <v>54</v>
      </c>
      <c r="E470" t="s">
        <v>21</v>
      </c>
      <c r="F470" t="s">
        <v>224</v>
      </c>
      <c r="G470" s="53">
        <v>44020.479664351849</v>
      </c>
      <c r="H470">
        <v>33</v>
      </c>
      <c r="I470">
        <v>14392</v>
      </c>
      <c r="J470" t="s">
        <v>50</v>
      </c>
      <c r="K470" t="s">
        <v>50</v>
      </c>
      <c r="L470" t="s">
        <v>159</v>
      </c>
      <c r="M470" t="s">
        <v>51</v>
      </c>
      <c r="N470" t="s">
        <v>92</v>
      </c>
      <c r="O470" s="1">
        <v>41335</v>
      </c>
      <c r="P470" t="s">
        <v>84</v>
      </c>
      <c r="Q470">
        <v>5</v>
      </c>
      <c r="R470" t="s">
        <v>28</v>
      </c>
      <c r="S470">
        <v>0</v>
      </c>
      <c r="T470">
        <v>5783.56</v>
      </c>
      <c r="U470">
        <v>0</v>
      </c>
    </row>
    <row r="471" spans="1:21" x14ac:dyDescent="0.3">
      <c r="A471" s="1">
        <v>43983</v>
      </c>
      <c r="B471" s="1">
        <v>43983</v>
      </c>
      <c r="C471" t="s">
        <v>157</v>
      </c>
      <c r="D471" t="s">
        <v>52</v>
      </c>
      <c r="E471" t="s">
        <v>53</v>
      </c>
      <c r="F471" t="s">
        <v>225</v>
      </c>
      <c r="G471" s="53">
        <v>44020.479664351849</v>
      </c>
      <c r="H471">
        <v>33</v>
      </c>
      <c r="I471">
        <v>14392</v>
      </c>
      <c r="J471" t="s">
        <v>50</v>
      </c>
      <c r="K471" t="s">
        <v>50</v>
      </c>
      <c r="L471" t="s">
        <v>159</v>
      </c>
      <c r="M471" t="s">
        <v>51</v>
      </c>
      <c r="N471" t="s">
        <v>92</v>
      </c>
      <c r="O471" s="1">
        <v>41335</v>
      </c>
      <c r="P471" t="s">
        <v>84</v>
      </c>
      <c r="Q471">
        <v>5</v>
      </c>
      <c r="R471" t="s">
        <v>28</v>
      </c>
      <c r="S471">
        <v>0</v>
      </c>
      <c r="T471">
        <v>0</v>
      </c>
      <c r="U471">
        <v>0</v>
      </c>
    </row>
    <row r="472" spans="1:21" x14ac:dyDescent="0.3">
      <c r="A472" s="1">
        <v>44013</v>
      </c>
      <c r="B472" s="1">
        <v>44013</v>
      </c>
      <c r="C472" t="s">
        <v>157</v>
      </c>
      <c r="D472" t="s">
        <v>54</v>
      </c>
      <c r="E472" t="s">
        <v>21</v>
      </c>
      <c r="F472" t="s">
        <v>231</v>
      </c>
      <c r="G472" s="53">
        <v>44053.449259259258</v>
      </c>
      <c r="H472">
        <v>33</v>
      </c>
      <c r="I472">
        <v>14796</v>
      </c>
      <c r="J472" t="s">
        <v>50</v>
      </c>
      <c r="K472" t="s">
        <v>50</v>
      </c>
      <c r="L472" t="s">
        <v>159</v>
      </c>
      <c r="M472" t="s">
        <v>51</v>
      </c>
      <c r="N472" t="s">
        <v>92</v>
      </c>
      <c r="O472" s="1">
        <v>41335</v>
      </c>
      <c r="P472" t="s">
        <v>84</v>
      </c>
      <c r="Q472">
        <v>1</v>
      </c>
      <c r="R472" t="s">
        <v>83</v>
      </c>
      <c r="S472">
        <v>0</v>
      </c>
      <c r="T472">
        <v>6059.26</v>
      </c>
      <c r="U472">
        <v>0</v>
      </c>
    </row>
    <row r="473" spans="1:21" x14ac:dyDescent="0.3">
      <c r="A473" s="1">
        <v>44013</v>
      </c>
      <c r="B473" s="1">
        <v>44013</v>
      </c>
      <c r="C473" t="s">
        <v>157</v>
      </c>
      <c r="D473" t="s">
        <v>95</v>
      </c>
      <c r="E473" t="s">
        <v>56</v>
      </c>
      <c r="F473" t="s">
        <v>232</v>
      </c>
      <c r="G473" s="53">
        <v>44082.485532407409</v>
      </c>
      <c r="H473">
        <v>33</v>
      </c>
      <c r="I473" t="s">
        <v>349</v>
      </c>
      <c r="J473" t="s">
        <v>50</v>
      </c>
      <c r="K473" t="s">
        <v>50</v>
      </c>
      <c r="L473" t="s">
        <v>159</v>
      </c>
      <c r="M473" t="s">
        <v>51</v>
      </c>
      <c r="N473" t="s">
        <v>92</v>
      </c>
      <c r="O473" s="1">
        <v>41335</v>
      </c>
      <c r="P473" t="s">
        <v>84</v>
      </c>
      <c r="Q473">
        <v>1</v>
      </c>
      <c r="R473" t="s">
        <v>83</v>
      </c>
      <c r="S473">
        <v>1</v>
      </c>
      <c r="T473">
        <v>-4</v>
      </c>
      <c r="U473">
        <v>-4</v>
      </c>
    </row>
    <row r="474" spans="1:21" x14ac:dyDescent="0.3">
      <c r="A474" s="1">
        <v>44013</v>
      </c>
      <c r="B474" s="1">
        <v>44013</v>
      </c>
      <c r="C474" t="s">
        <v>157</v>
      </c>
      <c r="D474" t="s">
        <v>52</v>
      </c>
      <c r="E474" t="s">
        <v>53</v>
      </c>
      <c r="F474" t="s">
        <v>233</v>
      </c>
      <c r="G474" s="53">
        <v>44053.449259259258</v>
      </c>
      <c r="H474">
        <v>33</v>
      </c>
      <c r="I474">
        <v>14796</v>
      </c>
      <c r="J474" t="s">
        <v>50</v>
      </c>
      <c r="K474" t="s">
        <v>50</v>
      </c>
      <c r="L474" t="s">
        <v>159</v>
      </c>
      <c r="M474" t="s">
        <v>51</v>
      </c>
      <c r="N474" t="s">
        <v>92</v>
      </c>
      <c r="O474" s="1">
        <v>41335</v>
      </c>
      <c r="P474" t="s">
        <v>84</v>
      </c>
      <c r="Q474">
        <v>1</v>
      </c>
      <c r="R474" t="s">
        <v>83</v>
      </c>
      <c r="S474">
        <v>0</v>
      </c>
      <c r="T474">
        <v>0</v>
      </c>
      <c r="U474">
        <v>0</v>
      </c>
    </row>
    <row r="475" spans="1:21" x14ac:dyDescent="0.3">
      <c r="A475" s="1">
        <v>44013</v>
      </c>
      <c r="B475" s="1">
        <v>44013</v>
      </c>
      <c r="C475" t="s">
        <v>157</v>
      </c>
      <c r="D475" t="s">
        <v>55</v>
      </c>
      <c r="E475" t="s">
        <v>56</v>
      </c>
      <c r="F475" t="s">
        <v>234</v>
      </c>
      <c r="G475" s="53">
        <v>44053.449259259258</v>
      </c>
      <c r="H475">
        <v>33</v>
      </c>
      <c r="I475">
        <v>14796</v>
      </c>
      <c r="J475" t="s">
        <v>50</v>
      </c>
      <c r="K475" t="s">
        <v>50</v>
      </c>
      <c r="L475" t="s">
        <v>159</v>
      </c>
      <c r="M475" t="s">
        <v>51</v>
      </c>
      <c r="N475" t="s">
        <v>92</v>
      </c>
      <c r="O475" s="1">
        <v>41335</v>
      </c>
      <c r="P475" t="s">
        <v>84</v>
      </c>
      <c r="Q475">
        <v>1</v>
      </c>
      <c r="R475" t="s">
        <v>83</v>
      </c>
      <c r="S475">
        <v>2138.513688</v>
      </c>
      <c r="T475">
        <v>1.0669999999999999</v>
      </c>
      <c r="U475">
        <v>2282</v>
      </c>
    </row>
    <row r="476" spans="1:21" x14ac:dyDescent="0.3">
      <c r="A476" s="1">
        <v>44013</v>
      </c>
      <c r="B476" s="1">
        <v>44013</v>
      </c>
      <c r="C476" t="s">
        <v>157</v>
      </c>
      <c r="D476" t="s">
        <v>48</v>
      </c>
      <c r="E476" t="s">
        <v>49</v>
      </c>
      <c r="F476" t="s">
        <v>235</v>
      </c>
      <c r="G476" s="53">
        <v>44053.449259259258</v>
      </c>
      <c r="H476">
        <v>33</v>
      </c>
      <c r="I476">
        <v>14796</v>
      </c>
      <c r="J476" t="s">
        <v>50</v>
      </c>
      <c r="K476" t="s">
        <v>50</v>
      </c>
      <c r="L476" t="s">
        <v>159</v>
      </c>
      <c r="M476" t="s">
        <v>51</v>
      </c>
      <c r="N476" t="s">
        <v>92</v>
      </c>
      <c r="O476" s="1">
        <v>41335</v>
      </c>
      <c r="P476" t="s">
        <v>84</v>
      </c>
      <c r="Q476">
        <v>1</v>
      </c>
      <c r="R476" t="s">
        <v>83</v>
      </c>
      <c r="S476">
        <v>2138.52</v>
      </c>
      <c r="T476">
        <v>76.587000000000003</v>
      </c>
      <c r="U476">
        <v>163783</v>
      </c>
    </row>
    <row r="477" spans="1:21" x14ac:dyDescent="0.3">
      <c r="A477" s="1">
        <v>44013</v>
      </c>
      <c r="B477" s="1">
        <v>44013</v>
      </c>
      <c r="C477" t="s">
        <v>157</v>
      </c>
      <c r="D477" t="s">
        <v>93</v>
      </c>
      <c r="E477" t="s">
        <v>49</v>
      </c>
      <c r="F477" t="s">
        <v>236</v>
      </c>
      <c r="G477" s="53">
        <v>44082.485532407409</v>
      </c>
      <c r="H477">
        <v>33</v>
      </c>
      <c r="I477" t="s">
        <v>349</v>
      </c>
      <c r="J477" t="s">
        <v>50</v>
      </c>
      <c r="K477" t="s">
        <v>50</v>
      </c>
      <c r="L477" t="s">
        <v>159</v>
      </c>
      <c r="M477" t="s">
        <v>51</v>
      </c>
      <c r="N477" t="s">
        <v>92</v>
      </c>
      <c r="O477" s="1">
        <v>41335</v>
      </c>
      <c r="P477" t="s">
        <v>84</v>
      </c>
      <c r="Q477">
        <v>1</v>
      </c>
      <c r="R477" t="s">
        <v>83</v>
      </c>
      <c r="S477">
        <v>1</v>
      </c>
      <c r="T477">
        <v>7664</v>
      </c>
      <c r="U477">
        <v>7664</v>
      </c>
    </row>
    <row r="478" spans="1:21" x14ac:dyDescent="0.3">
      <c r="A478" s="1">
        <v>44013</v>
      </c>
      <c r="B478" s="1">
        <v>44013</v>
      </c>
      <c r="C478" t="s">
        <v>157</v>
      </c>
      <c r="D478" t="s">
        <v>54</v>
      </c>
      <c r="E478" t="s">
        <v>21</v>
      </c>
      <c r="F478" t="s">
        <v>231</v>
      </c>
      <c r="G478" s="53">
        <v>44053.449259259258</v>
      </c>
      <c r="H478">
        <v>33</v>
      </c>
      <c r="I478">
        <v>14796</v>
      </c>
      <c r="J478" t="s">
        <v>50</v>
      </c>
      <c r="K478" t="s">
        <v>50</v>
      </c>
      <c r="L478" t="s">
        <v>159</v>
      </c>
      <c r="M478" t="s">
        <v>51</v>
      </c>
      <c r="N478" t="s">
        <v>92</v>
      </c>
      <c r="O478" s="1">
        <v>41335</v>
      </c>
      <c r="P478" t="s">
        <v>84</v>
      </c>
      <c r="Q478">
        <v>2</v>
      </c>
      <c r="R478" t="s">
        <v>94</v>
      </c>
      <c r="S478">
        <v>0</v>
      </c>
      <c r="T478">
        <v>6135.34</v>
      </c>
      <c r="U478">
        <v>0</v>
      </c>
    </row>
    <row r="479" spans="1:21" x14ac:dyDescent="0.3">
      <c r="A479" s="1">
        <v>44013</v>
      </c>
      <c r="B479" s="1">
        <v>44013</v>
      </c>
      <c r="C479" t="s">
        <v>157</v>
      </c>
      <c r="D479" t="s">
        <v>48</v>
      </c>
      <c r="E479" t="s">
        <v>49</v>
      </c>
      <c r="F479" t="s">
        <v>235</v>
      </c>
      <c r="G479" s="53">
        <v>44053.449259259258</v>
      </c>
      <c r="H479">
        <v>33</v>
      </c>
      <c r="I479">
        <v>14796</v>
      </c>
      <c r="J479" t="s">
        <v>50</v>
      </c>
      <c r="K479" t="s">
        <v>50</v>
      </c>
      <c r="L479" t="s">
        <v>159</v>
      </c>
      <c r="M479" t="s">
        <v>51</v>
      </c>
      <c r="N479" t="s">
        <v>92</v>
      </c>
      <c r="O479" s="1">
        <v>41335</v>
      </c>
      <c r="P479" t="s">
        <v>84</v>
      </c>
      <c r="Q479">
        <v>2</v>
      </c>
      <c r="R479" t="s">
        <v>94</v>
      </c>
      <c r="S479">
        <v>9.5288520000000005</v>
      </c>
      <c r="T479">
        <v>77.677999999999997</v>
      </c>
      <c r="U479">
        <v>740</v>
      </c>
    </row>
    <row r="480" spans="1:21" x14ac:dyDescent="0.3">
      <c r="A480" s="1">
        <v>44013</v>
      </c>
      <c r="B480" s="1">
        <v>44013</v>
      </c>
      <c r="C480" t="s">
        <v>157</v>
      </c>
      <c r="D480" t="s">
        <v>52</v>
      </c>
      <c r="E480" t="s">
        <v>53</v>
      </c>
      <c r="F480" t="s">
        <v>233</v>
      </c>
      <c r="G480" s="53">
        <v>44053.449259259258</v>
      </c>
      <c r="H480">
        <v>33</v>
      </c>
      <c r="I480">
        <v>14796</v>
      </c>
      <c r="J480" t="s">
        <v>50</v>
      </c>
      <c r="K480" t="s">
        <v>50</v>
      </c>
      <c r="L480" t="s">
        <v>159</v>
      </c>
      <c r="M480" t="s">
        <v>51</v>
      </c>
      <c r="N480" t="s">
        <v>92</v>
      </c>
      <c r="O480" s="1">
        <v>41335</v>
      </c>
      <c r="P480" t="s">
        <v>84</v>
      </c>
      <c r="Q480">
        <v>2</v>
      </c>
      <c r="R480" t="s">
        <v>94</v>
      </c>
      <c r="S480">
        <v>0</v>
      </c>
      <c r="T480">
        <v>0</v>
      </c>
      <c r="U480">
        <v>0</v>
      </c>
    </row>
    <row r="481" spans="1:21" x14ac:dyDescent="0.3">
      <c r="A481" s="1">
        <v>44013</v>
      </c>
      <c r="B481" s="1">
        <v>44013</v>
      </c>
      <c r="C481" t="s">
        <v>157</v>
      </c>
      <c r="D481" t="s">
        <v>55</v>
      </c>
      <c r="E481" t="s">
        <v>56</v>
      </c>
      <c r="F481" t="s">
        <v>234</v>
      </c>
      <c r="G481" s="53">
        <v>44053.449259259258</v>
      </c>
      <c r="H481">
        <v>33</v>
      </c>
      <c r="I481">
        <v>14796</v>
      </c>
      <c r="J481" t="s">
        <v>50</v>
      </c>
      <c r="K481" t="s">
        <v>50</v>
      </c>
      <c r="L481" t="s">
        <v>159</v>
      </c>
      <c r="M481" t="s">
        <v>51</v>
      </c>
      <c r="N481" t="s">
        <v>92</v>
      </c>
      <c r="O481" s="1">
        <v>41335</v>
      </c>
      <c r="P481" t="s">
        <v>84</v>
      </c>
      <c r="Q481">
        <v>2</v>
      </c>
      <c r="R481" t="s">
        <v>94</v>
      </c>
      <c r="S481">
        <v>9.5288520000000005</v>
      </c>
      <c r="T481">
        <v>1.0669999999999999</v>
      </c>
      <c r="U481">
        <v>10</v>
      </c>
    </row>
    <row r="482" spans="1:21" x14ac:dyDescent="0.3">
      <c r="A482" s="1">
        <v>44013</v>
      </c>
      <c r="B482" s="1">
        <v>44013</v>
      </c>
      <c r="C482" t="s">
        <v>157</v>
      </c>
      <c r="D482" t="s">
        <v>93</v>
      </c>
      <c r="E482" t="s">
        <v>49</v>
      </c>
      <c r="F482" t="s">
        <v>236</v>
      </c>
      <c r="G482" s="53">
        <v>44082.485532407409</v>
      </c>
      <c r="H482">
        <v>33</v>
      </c>
      <c r="I482" t="s">
        <v>349</v>
      </c>
      <c r="J482" t="s">
        <v>50</v>
      </c>
      <c r="K482" t="s">
        <v>50</v>
      </c>
      <c r="L482" t="s">
        <v>159</v>
      </c>
      <c r="M482" t="s">
        <v>51</v>
      </c>
      <c r="N482" t="s">
        <v>92</v>
      </c>
      <c r="O482" s="1">
        <v>41335</v>
      </c>
      <c r="P482" t="s">
        <v>84</v>
      </c>
      <c r="Q482">
        <v>2</v>
      </c>
      <c r="R482" t="s">
        <v>94</v>
      </c>
      <c r="S482">
        <v>1</v>
      </c>
      <c r="T482">
        <v>35</v>
      </c>
      <c r="U482">
        <v>35</v>
      </c>
    </row>
    <row r="483" spans="1:21" x14ac:dyDescent="0.3">
      <c r="A483" s="1">
        <v>44013</v>
      </c>
      <c r="B483" s="1">
        <v>44013</v>
      </c>
      <c r="C483" t="s">
        <v>157</v>
      </c>
      <c r="D483" t="s">
        <v>48</v>
      </c>
      <c r="E483" t="s">
        <v>49</v>
      </c>
      <c r="F483" t="s">
        <v>235</v>
      </c>
      <c r="G483" s="53">
        <v>44053.449259259258</v>
      </c>
      <c r="H483">
        <v>33</v>
      </c>
      <c r="I483">
        <v>14796</v>
      </c>
      <c r="J483" t="s">
        <v>50</v>
      </c>
      <c r="K483" t="s">
        <v>50</v>
      </c>
      <c r="L483" t="s">
        <v>159</v>
      </c>
      <c r="M483" t="s">
        <v>51</v>
      </c>
      <c r="N483" t="s">
        <v>92</v>
      </c>
      <c r="O483" s="1">
        <v>41335</v>
      </c>
      <c r="P483" t="s">
        <v>84</v>
      </c>
      <c r="Q483">
        <v>3</v>
      </c>
      <c r="R483" t="s">
        <v>81</v>
      </c>
      <c r="S483">
        <v>314.28954700000003</v>
      </c>
      <c r="T483">
        <v>73.070999999999998</v>
      </c>
      <c r="U483">
        <v>22965</v>
      </c>
    </row>
    <row r="484" spans="1:21" x14ac:dyDescent="0.3">
      <c r="A484" s="1">
        <v>44013</v>
      </c>
      <c r="B484" s="1">
        <v>44013</v>
      </c>
      <c r="C484" t="s">
        <v>157</v>
      </c>
      <c r="D484" t="s">
        <v>55</v>
      </c>
      <c r="E484" t="s">
        <v>56</v>
      </c>
      <c r="F484" t="s">
        <v>234</v>
      </c>
      <c r="G484" s="53">
        <v>44053.449259259258</v>
      </c>
      <c r="H484">
        <v>33</v>
      </c>
      <c r="I484">
        <v>14796</v>
      </c>
      <c r="J484" t="s">
        <v>50</v>
      </c>
      <c r="K484" t="s">
        <v>50</v>
      </c>
      <c r="L484" t="s">
        <v>159</v>
      </c>
      <c r="M484" t="s">
        <v>51</v>
      </c>
      <c r="N484" t="s">
        <v>92</v>
      </c>
      <c r="O484" s="1">
        <v>41335</v>
      </c>
      <c r="P484" t="s">
        <v>84</v>
      </c>
      <c r="Q484">
        <v>3</v>
      </c>
      <c r="R484" t="s">
        <v>81</v>
      </c>
      <c r="S484">
        <v>314.28954700000003</v>
      </c>
      <c r="T484">
        <v>1.0669999999999999</v>
      </c>
      <c r="U484">
        <v>335</v>
      </c>
    </row>
    <row r="485" spans="1:21" x14ac:dyDescent="0.3">
      <c r="A485" s="1">
        <v>44013</v>
      </c>
      <c r="B485" s="1">
        <v>44013</v>
      </c>
      <c r="C485" t="s">
        <v>157</v>
      </c>
      <c r="D485" t="s">
        <v>52</v>
      </c>
      <c r="E485" t="s">
        <v>53</v>
      </c>
      <c r="F485" t="s">
        <v>233</v>
      </c>
      <c r="G485" s="53">
        <v>44053.449259259258</v>
      </c>
      <c r="H485">
        <v>33</v>
      </c>
      <c r="I485">
        <v>14796</v>
      </c>
      <c r="J485" t="s">
        <v>50</v>
      </c>
      <c r="K485" t="s">
        <v>50</v>
      </c>
      <c r="L485" t="s">
        <v>159</v>
      </c>
      <c r="M485" t="s">
        <v>51</v>
      </c>
      <c r="N485" t="s">
        <v>92</v>
      </c>
      <c r="O485" s="1">
        <v>41335</v>
      </c>
      <c r="P485" t="s">
        <v>84</v>
      </c>
      <c r="Q485">
        <v>3</v>
      </c>
      <c r="R485" t="s">
        <v>81</v>
      </c>
      <c r="S485">
        <v>0</v>
      </c>
      <c r="T485">
        <v>0</v>
      </c>
      <c r="U485">
        <v>0</v>
      </c>
    </row>
    <row r="486" spans="1:21" x14ac:dyDescent="0.3">
      <c r="A486" s="1">
        <v>44013</v>
      </c>
      <c r="B486" s="1">
        <v>44013</v>
      </c>
      <c r="C486" t="s">
        <v>157</v>
      </c>
      <c r="D486" t="s">
        <v>93</v>
      </c>
      <c r="E486" t="s">
        <v>49</v>
      </c>
      <c r="F486" t="s">
        <v>236</v>
      </c>
      <c r="G486" s="53">
        <v>44082.485532407409</v>
      </c>
      <c r="H486">
        <v>33</v>
      </c>
      <c r="I486" t="s">
        <v>349</v>
      </c>
      <c r="J486" t="s">
        <v>50</v>
      </c>
      <c r="K486" t="s">
        <v>50</v>
      </c>
      <c r="L486" t="s">
        <v>159</v>
      </c>
      <c r="M486" t="s">
        <v>51</v>
      </c>
      <c r="N486" t="s">
        <v>92</v>
      </c>
      <c r="O486" s="1">
        <v>41335</v>
      </c>
      <c r="P486" t="s">
        <v>84</v>
      </c>
      <c r="Q486">
        <v>3</v>
      </c>
      <c r="R486" t="s">
        <v>81</v>
      </c>
      <c r="S486">
        <v>1</v>
      </c>
      <c r="T486">
        <v>1075</v>
      </c>
      <c r="U486">
        <v>1075</v>
      </c>
    </row>
    <row r="487" spans="1:21" x14ac:dyDescent="0.3">
      <c r="A487" s="1">
        <v>44013</v>
      </c>
      <c r="B487" s="1">
        <v>44013</v>
      </c>
      <c r="C487" t="s">
        <v>157</v>
      </c>
      <c r="D487" t="s">
        <v>54</v>
      </c>
      <c r="E487" t="s">
        <v>21</v>
      </c>
      <c r="F487" t="s">
        <v>231</v>
      </c>
      <c r="G487" s="53">
        <v>44053.449259259258</v>
      </c>
      <c r="H487">
        <v>33</v>
      </c>
      <c r="I487">
        <v>14796</v>
      </c>
      <c r="J487" t="s">
        <v>50</v>
      </c>
      <c r="K487" t="s">
        <v>50</v>
      </c>
      <c r="L487" t="s">
        <v>159</v>
      </c>
      <c r="M487" t="s">
        <v>51</v>
      </c>
      <c r="N487" t="s">
        <v>92</v>
      </c>
      <c r="O487" s="1">
        <v>41335</v>
      </c>
      <c r="P487" t="s">
        <v>84</v>
      </c>
      <c r="Q487">
        <v>3</v>
      </c>
      <c r="R487" t="s">
        <v>81</v>
      </c>
      <c r="S487">
        <v>0</v>
      </c>
      <c r="T487">
        <v>5857.61</v>
      </c>
      <c r="U487">
        <v>0</v>
      </c>
    </row>
    <row r="488" spans="1:21" x14ac:dyDescent="0.3">
      <c r="A488" s="1">
        <v>44013</v>
      </c>
      <c r="B488" s="1">
        <v>44013</v>
      </c>
      <c r="C488" t="s">
        <v>157</v>
      </c>
      <c r="D488" t="s">
        <v>48</v>
      </c>
      <c r="E488" t="s">
        <v>49</v>
      </c>
      <c r="F488" t="s">
        <v>235</v>
      </c>
      <c r="G488" s="53">
        <v>44053.449259259258</v>
      </c>
      <c r="H488">
        <v>33</v>
      </c>
      <c r="I488">
        <v>14796</v>
      </c>
      <c r="J488" t="s">
        <v>50</v>
      </c>
      <c r="K488" t="s">
        <v>50</v>
      </c>
      <c r="L488" t="s">
        <v>159</v>
      </c>
      <c r="M488" t="s">
        <v>51</v>
      </c>
      <c r="N488" t="s">
        <v>92</v>
      </c>
      <c r="O488" s="1">
        <v>41335</v>
      </c>
      <c r="P488" t="s">
        <v>84</v>
      </c>
      <c r="Q488">
        <v>4</v>
      </c>
      <c r="R488" t="s">
        <v>27</v>
      </c>
      <c r="S488">
        <v>2713.5583329999999</v>
      </c>
      <c r="T488">
        <v>73.188999999999993</v>
      </c>
      <c r="U488">
        <v>198603</v>
      </c>
    </row>
    <row r="489" spans="1:21" x14ac:dyDescent="0.3">
      <c r="A489" s="1">
        <v>44013</v>
      </c>
      <c r="B489" s="1">
        <v>44013</v>
      </c>
      <c r="C489" t="s">
        <v>157</v>
      </c>
      <c r="D489" t="s">
        <v>52</v>
      </c>
      <c r="E489" t="s">
        <v>53</v>
      </c>
      <c r="F489" t="s">
        <v>233</v>
      </c>
      <c r="G489" s="53">
        <v>44053.449259259258</v>
      </c>
      <c r="H489">
        <v>33</v>
      </c>
      <c r="I489">
        <v>14796</v>
      </c>
      <c r="J489" t="s">
        <v>50</v>
      </c>
      <c r="K489" t="s">
        <v>50</v>
      </c>
      <c r="L489" t="s">
        <v>159</v>
      </c>
      <c r="M489" t="s">
        <v>51</v>
      </c>
      <c r="N489" t="s">
        <v>92</v>
      </c>
      <c r="O489" s="1">
        <v>41335</v>
      </c>
      <c r="P489" t="s">
        <v>84</v>
      </c>
      <c r="Q489">
        <v>4</v>
      </c>
      <c r="R489" t="s">
        <v>27</v>
      </c>
      <c r="S489">
        <v>0</v>
      </c>
      <c r="T489">
        <v>0</v>
      </c>
      <c r="U489">
        <v>0</v>
      </c>
    </row>
    <row r="490" spans="1:21" x14ac:dyDescent="0.3">
      <c r="A490" s="1">
        <v>44013</v>
      </c>
      <c r="B490" s="1">
        <v>44013</v>
      </c>
      <c r="C490" t="s">
        <v>157</v>
      </c>
      <c r="D490" t="s">
        <v>54</v>
      </c>
      <c r="E490" t="s">
        <v>21</v>
      </c>
      <c r="F490" t="s">
        <v>231</v>
      </c>
      <c r="G490" s="53">
        <v>44053.449259259258</v>
      </c>
      <c r="H490">
        <v>33</v>
      </c>
      <c r="I490">
        <v>14796</v>
      </c>
      <c r="J490" t="s">
        <v>50</v>
      </c>
      <c r="K490" t="s">
        <v>50</v>
      </c>
      <c r="L490" t="s">
        <v>159</v>
      </c>
      <c r="M490" t="s">
        <v>51</v>
      </c>
      <c r="N490" t="s">
        <v>92</v>
      </c>
      <c r="O490" s="1">
        <v>41335</v>
      </c>
      <c r="P490" t="s">
        <v>84</v>
      </c>
      <c r="Q490">
        <v>4</v>
      </c>
      <c r="R490" t="s">
        <v>27</v>
      </c>
      <c r="S490">
        <v>0</v>
      </c>
      <c r="T490">
        <v>5984.4</v>
      </c>
      <c r="U490">
        <v>0</v>
      </c>
    </row>
    <row r="491" spans="1:21" x14ac:dyDescent="0.3">
      <c r="A491" s="1">
        <v>44013</v>
      </c>
      <c r="B491" s="1">
        <v>44013</v>
      </c>
      <c r="C491" t="s">
        <v>157</v>
      </c>
      <c r="D491" t="s">
        <v>55</v>
      </c>
      <c r="E491" t="s">
        <v>56</v>
      </c>
      <c r="F491" t="s">
        <v>234</v>
      </c>
      <c r="G491" s="53">
        <v>44053.449259259258</v>
      </c>
      <c r="H491">
        <v>33</v>
      </c>
      <c r="I491">
        <v>14796</v>
      </c>
      <c r="J491" t="s">
        <v>50</v>
      </c>
      <c r="K491" t="s">
        <v>50</v>
      </c>
      <c r="L491" t="s">
        <v>159</v>
      </c>
      <c r="M491" t="s">
        <v>51</v>
      </c>
      <c r="N491" t="s">
        <v>92</v>
      </c>
      <c r="O491" s="1">
        <v>41335</v>
      </c>
      <c r="P491" t="s">
        <v>84</v>
      </c>
      <c r="Q491">
        <v>4</v>
      </c>
      <c r="R491" t="s">
        <v>27</v>
      </c>
      <c r="S491">
        <v>2713.5583329999999</v>
      </c>
      <c r="T491">
        <v>1.0669999999999999</v>
      </c>
      <c r="U491">
        <v>2895</v>
      </c>
    </row>
    <row r="492" spans="1:21" x14ac:dyDescent="0.3">
      <c r="A492" s="1">
        <v>44013</v>
      </c>
      <c r="B492" s="1">
        <v>44013</v>
      </c>
      <c r="C492" t="s">
        <v>157</v>
      </c>
      <c r="D492" t="s">
        <v>95</v>
      </c>
      <c r="E492" t="s">
        <v>56</v>
      </c>
      <c r="F492" t="s">
        <v>232</v>
      </c>
      <c r="G492" s="53">
        <v>44082.485532407409</v>
      </c>
      <c r="H492">
        <v>33</v>
      </c>
      <c r="I492" t="s">
        <v>349</v>
      </c>
      <c r="J492" t="s">
        <v>50</v>
      </c>
      <c r="K492" t="s">
        <v>50</v>
      </c>
      <c r="L492" t="s">
        <v>159</v>
      </c>
      <c r="M492" t="s">
        <v>51</v>
      </c>
      <c r="N492" t="s">
        <v>92</v>
      </c>
      <c r="O492" s="1">
        <v>41335</v>
      </c>
      <c r="P492" t="s">
        <v>84</v>
      </c>
      <c r="Q492">
        <v>4</v>
      </c>
      <c r="R492" t="s">
        <v>27</v>
      </c>
      <c r="S492">
        <v>1</v>
      </c>
      <c r="T492">
        <v>-4</v>
      </c>
      <c r="U492">
        <v>-4</v>
      </c>
    </row>
    <row r="493" spans="1:21" x14ac:dyDescent="0.3">
      <c r="A493" s="1">
        <v>44013</v>
      </c>
      <c r="B493" s="1">
        <v>44013</v>
      </c>
      <c r="C493" t="s">
        <v>157</v>
      </c>
      <c r="D493" t="s">
        <v>93</v>
      </c>
      <c r="E493" t="s">
        <v>49</v>
      </c>
      <c r="F493" t="s">
        <v>236</v>
      </c>
      <c r="G493" s="53">
        <v>44082.485532407409</v>
      </c>
      <c r="H493">
        <v>33</v>
      </c>
      <c r="I493" t="s">
        <v>349</v>
      </c>
      <c r="J493" t="s">
        <v>50</v>
      </c>
      <c r="K493" t="s">
        <v>50</v>
      </c>
      <c r="L493" t="s">
        <v>159</v>
      </c>
      <c r="M493" t="s">
        <v>51</v>
      </c>
      <c r="N493" t="s">
        <v>92</v>
      </c>
      <c r="O493" s="1">
        <v>41335</v>
      </c>
      <c r="P493" t="s">
        <v>84</v>
      </c>
      <c r="Q493">
        <v>4</v>
      </c>
      <c r="R493" t="s">
        <v>27</v>
      </c>
      <c r="S493">
        <v>1</v>
      </c>
      <c r="T493">
        <v>9294</v>
      </c>
      <c r="U493">
        <v>9294</v>
      </c>
    </row>
    <row r="494" spans="1:21" x14ac:dyDescent="0.3">
      <c r="A494" s="1">
        <v>44013</v>
      </c>
      <c r="B494" s="1">
        <v>44013</v>
      </c>
      <c r="C494" t="s">
        <v>157</v>
      </c>
      <c r="D494" t="s">
        <v>54</v>
      </c>
      <c r="E494" t="s">
        <v>21</v>
      </c>
      <c r="F494" t="s">
        <v>231</v>
      </c>
      <c r="G494" s="53">
        <v>44053.449259259258</v>
      </c>
      <c r="H494">
        <v>33</v>
      </c>
      <c r="I494">
        <v>14796</v>
      </c>
      <c r="J494" t="s">
        <v>50</v>
      </c>
      <c r="K494" t="s">
        <v>50</v>
      </c>
      <c r="L494" t="s">
        <v>159</v>
      </c>
      <c r="M494" t="s">
        <v>51</v>
      </c>
      <c r="N494" t="s">
        <v>92</v>
      </c>
      <c r="O494" s="1">
        <v>41335</v>
      </c>
      <c r="P494" t="s">
        <v>84</v>
      </c>
      <c r="Q494">
        <v>5</v>
      </c>
      <c r="R494" t="s">
        <v>28</v>
      </c>
      <c r="S494">
        <v>0</v>
      </c>
      <c r="T494">
        <v>5746.52</v>
      </c>
      <c r="U494">
        <v>0</v>
      </c>
    </row>
    <row r="495" spans="1:21" x14ac:dyDescent="0.3">
      <c r="A495" s="1">
        <v>44013</v>
      </c>
      <c r="B495" s="1">
        <v>44013</v>
      </c>
      <c r="C495" t="s">
        <v>157</v>
      </c>
      <c r="D495" t="s">
        <v>93</v>
      </c>
      <c r="E495" t="s">
        <v>49</v>
      </c>
      <c r="F495" t="s">
        <v>236</v>
      </c>
      <c r="G495" s="53">
        <v>44082.485532407409</v>
      </c>
      <c r="H495">
        <v>33</v>
      </c>
      <c r="I495" t="s">
        <v>349</v>
      </c>
      <c r="J495" t="s">
        <v>50</v>
      </c>
      <c r="K495" t="s">
        <v>50</v>
      </c>
      <c r="L495" t="s">
        <v>159</v>
      </c>
      <c r="M495" t="s">
        <v>51</v>
      </c>
      <c r="N495" t="s">
        <v>92</v>
      </c>
      <c r="O495" s="1">
        <v>41335</v>
      </c>
      <c r="P495" t="s">
        <v>84</v>
      </c>
      <c r="Q495">
        <v>5</v>
      </c>
      <c r="R495" t="s">
        <v>28</v>
      </c>
      <c r="S495">
        <v>1</v>
      </c>
      <c r="T495">
        <v>40</v>
      </c>
      <c r="U495">
        <v>40</v>
      </c>
    </row>
    <row r="496" spans="1:21" x14ac:dyDescent="0.3">
      <c r="A496" s="1">
        <v>44013</v>
      </c>
      <c r="B496" s="1">
        <v>44013</v>
      </c>
      <c r="C496" t="s">
        <v>157</v>
      </c>
      <c r="D496" t="s">
        <v>52</v>
      </c>
      <c r="E496" t="s">
        <v>53</v>
      </c>
      <c r="F496" t="s">
        <v>233</v>
      </c>
      <c r="G496" s="53">
        <v>44053.449259259258</v>
      </c>
      <c r="H496">
        <v>33</v>
      </c>
      <c r="I496">
        <v>14796</v>
      </c>
      <c r="J496" t="s">
        <v>50</v>
      </c>
      <c r="K496" t="s">
        <v>50</v>
      </c>
      <c r="L496" t="s">
        <v>159</v>
      </c>
      <c r="M496" t="s">
        <v>51</v>
      </c>
      <c r="N496" t="s">
        <v>92</v>
      </c>
      <c r="O496" s="1">
        <v>41335</v>
      </c>
      <c r="P496" t="s">
        <v>84</v>
      </c>
      <c r="Q496">
        <v>5</v>
      </c>
      <c r="R496" t="s">
        <v>28</v>
      </c>
      <c r="S496">
        <v>0</v>
      </c>
      <c r="T496">
        <v>0</v>
      </c>
      <c r="U496">
        <v>0</v>
      </c>
    </row>
    <row r="497" spans="1:21" x14ac:dyDescent="0.3">
      <c r="A497" s="1">
        <v>44013</v>
      </c>
      <c r="B497" s="1">
        <v>44013</v>
      </c>
      <c r="C497" t="s">
        <v>157</v>
      </c>
      <c r="D497" t="s">
        <v>55</v>
      </c>
      <c r="E497" t="s">
        <v>56</v>
      </c>
      <c r="F497" t="s">
        <v>234</v>
      </c>
      <c r="G497" s="53">
        <v>44053.449259259258</v>
      </c>
      <c r="H497">
        <v>33</v>
      </c>
      <c r="I497">
        <v>14796</v>
      </c>
      <c r="J497" t="s">
        <v>50</v>
      </c>
      <c r="K497" t="s">
        <v>50</v>
      </c>
      <c r="L497" t="s">
        <v>159</v>
      </c>
      <c r="M497" t="s">
        <v>51</v>
      </c>
      <c r="N497" t="s">
        <v>92</v>
      </c>
      <c r="O497" s="1">
        <v>41335</v>
      </c>
      <c r="P497" t="s">
        <v>84</v>
      </c>
      <c r="Q497">
        <v>5</v>
      </c>
      <c r="R497" t="s">
        <v>28</v>
      </c>
      <c r="S497">
        <v>11.248535</v>
      </c>
      <c r="T497">
        <v>1.0669999999999999</v>
      </c>
      <c r="U497">
        <v>12</v>
      </c>
    </row>
    <row r="498" spans="1:21" x14ac:dyDescent="0.3">
      <c r="A498" s="1">
        <v>44013</v>
      </c>
      <c r="B498" s="1">
        <v>44013</v>
      </c>
      <c r="C498" t="s">
        <v>157</v>
      </c>
      <c r="D498" t="s">
        <v>48</v>
      </c>
      <c r="E498" t="s">
        <v>49</v>
      </c>
      <c r="F498" t="s">
        <v>235</v>
      </c>
      <c r="G498" s="53">
        <v>44053.449259259258</v>
      </c>
      <c r="H498">
        <v>33</v>
      </c>
      <c r="I498">
        <v>14796</v>
      </c>
      <c r="J498" t="s">
        <v>50</v>
      </c>
      <c r="K498" t="s">
        <v>50</v>
      </c>
      <c r="L498" t="s">
        <v>159</v>
      </c>
      <c r="M498" t="s">
        <v>51</v>
      </c>
      <c r="N498" t="s">
        <v>92</v>
      </c>
      <c r="O498" s="1">
        <v>41335</v>
      </c>
      <c r="P498" t="s">
        <v>84</v>
      </c>
      <c r="Q498">
        <v>5</v>
      </c>
      <c r="R498" t="s">
        <v>28</v>
      </c>
      <c r="S498">
        <v>11.248535</v>
      </c>
      <c r="T498">
        <v>75.629000000000005</v>
      </c>
      <c r="U498">
        <v>851</v>
      </c>
    </row>
    <row r="499" spans="1:21" x14ac:dyDescent="0.3">
      <c r="A499" s="1">
        <v>44044</v>
      </c>
      <c r="B499" s="1">
        <v>44044</v>
      </c>
      <c r="C499" t="s">
        <v>157</v>
      </c>
      <c r="D499" t="s">
        <v>54</v>
      </c>
      <c r="E499" t="s">
        <v>21</v>
      </c>
      <c r="F499" t="s">
        <v>238</v>
      </c>
      <c r="G499" s="53">
        <v>44081.950659722221</v>
      </c>
      <c r="H499">
        <v>33</v>
      </c>
      <c r="I499">
        <v>15128</v>
      </c>
      <c r="J499" t="s">
        <v>50</v>
      </c>
      <c r="K499" t="s">
        <v>50</v>
      </c>
      <c r="L499" t="s">
        <v>159</v>
      </c>
      <c r="M499" t="s">
        <v>51</v>
      </c>
      <c r="N499" t="s">
        <v>92</v>
      </c>
      <c r="O499" s="1">
        <v>41335</v>
      </c>
      <c r="P499" t="s">
        <v>84</v>
      </c>
      <c r="Q499">
        <v>1</v>
      </c>
      <c r="R499" t="s">
        <v>83</v>
      </c>
      <c r="S499">
        <v>0</v>
      </c>
      <c r="T499">
        <v>6060.78</v>
      </c>
      <c r="U499">
        <v>0</v>
      </c>
    </row>
    <row r="500" spans="1:21" x14ac:dyDescent="0.3">
      <c r="A500" s="1">
        <v>44044</v>
      </c>
      <c r="B500" s="1">
        <v>44044</v>
      </c>
      <c r="C500" t="s">
        <v>157</v>
      </c>
      <c r="D500" t="s">
        <v>48</v>
      </c>
      <c r="E500" t="s">
        <v>49</v>
      </c>
      <c r="F500" t="s">
        <v>239</v>
      </c>
      <c r="G500" s="53">
        <v>44081.950659722221</v>
      </c>
      <c r="H500">
        <v>33</v>
      </c>
      <c r="I500">
        <v>15128</v>
      </c>
      <c r="J500" t="s">
        <v>50</v>
      </c>
      <c r="K500" t="s">
        <v>50</v>
      </c>
      <c r="L500" t="s">
        <v>159</v>
      </c>
      <c r="M500" t="s">
        <v>51</v>
      </c>
      <c r="N500" t="s">
        <v>92</v>
      </c>
      <c r="O500" s="1">
        <v>41335</v>
      </c>
      <c r="P500" t="s">
        <v>84</v>
      </c>
      <c r="Q500">
        <v>1</v>
      </c>
      <c r="R500" t="s">
        <v>83</v>
      </c>
      <c r="S500">
        <v>2023.204197</v>
      </c>
      <c r="T500">
        <v>80.305999999999997</v>
      </c>
      <c r="U500">
        <v>162475</v>
      </c>
    </row>
    <row r="501" spans="1:21" x14ac:dyDescent="0.3">
      <c r="A501" s="1">
        <v>44044</v>
      </c>
      <c r="B501" s="1">
        <v>44044</v>
      </c>
      <c r="C501" t="s">
        <v>157</v>
      </c>
      <c r="D501" t="s">
        <v>95</v>
      </c>
      <c r="E501" t="s">
        <v>56</v>
      </c>
      <c r="F501" t="s">
        <v>240</v>
      </c>
      <c r="G501" s="53">
        <v>44119.739837962959</v>
      </c>
      <c r="H501">
        <v>33</v>
      </c>
      <c r="I501" t="s">
        <v>349</v>
      </c>
      <c r="J501" t="s">
        <v>50</v>
      </c>
      <c r="K501" t="s">
        <v>50</v>
      </c>
      <c r="L501" t="s">
        <v>159</v>
      </c>
      <c r="M501" t="s">
        <v>51</v>
      </c>
      <c r="N501" t="s">
        <v>92</v>
      </c>
      <c r="O501" s="1">
        <v>41335</v>
      </c>
      <c r="P501" t="s">
        <v>84</v>
      </c>
      <c r="Q501">
        <v>1</v>
      </c>
      <c r="R501" t="s">
        <v>83</v>
      </c>
      <c r="S501">
        <v>1</v>
      </c>
      <c r="T501">
        <v>8</v>
      </c>
      <c r="U501">
        <v>8</v>
      </c>
    </row>
    <row r="502" spans="1:21" x14ac:dyDescent="0.3">
      <c r="A502" s="1">
        <v>44044</v>
      </c>
      <c r="B502" s="1">
        <v>44044</v>
      </c>
      <c r="C502" t="s">
        <v>157</v>
      </c>
      <c r="D502" t="s">
        <v>55</v>
      </c>
      <c r="E502" t="s">
        <v>56</v>
      </c>
      <c r="F502" t="s">
        <v>241</v>
      </c>
      <c r="G502" s="53">
        <v>44081.950659722221</v>
      </c>
      <c r="H502">
        <v>33</v>
      </c>
      <c r="I502">
        <v>15128</v>
      </c>
      <c r="J502" t="s">
        <v>50</v>
      </c>
      <c r="K502" t="s">
        <v>50</v>
      </c>
      <c r="L502" t="s">
        <v>159</v>
      </c>
      <c r="M502" t="s">
        <v>51</v>
      </c>
      <c r="N502" t="s">
        <v>92</v>
      </c>
      <c r="O502" s="1">
        <v>41335</v>
      </c>
      <c r="P502" t="s">
        <v>84</v>
      </c>
      <c r="Q502">
        <v>1</v>
      </c>
      <c r="R502" t="s">
        <v>83</v>
      </c>
      <c r="S502">
        <v>2023.204197</v>
      </c>
      <c r="T502">
        <v>1.0669999999999999</v>
      </c>
      <c r="U502">
        <v>2159</v>
      </c>
    </row>
    <row r="503" spans="1:21" x14ac:dyDescent="0.3">
      <c r="A503" s="1">
        <v>44044</v>
      </c>
      <c r="B503" s="1">
        <v>44044</v>
      </c>
      <c r="C503" t="s">
        <v>157</v>
      </c>
      <c r="D503" t="s">
        <v>52</v>
      </c>
      <c r="E503" t="s">
        <v>53</v>
      </c>
      <c r="F503" t="s">
        <v>242</v>
      </c>
      <c r="G503" s="53">
        <v>44081.950659722221</v>
      </c>
      <c r="H503">
        <v>33</v>
      </c>
      <c r="I503">
        <v>15128</v>
      </c>
      <c r="J503" t="s">
        <v>50</v>
      </c>
      <c r="K503" t="s">
        <v>50</v>
      </c>
      <c r="L503" t="s">
        <v>159</v>
      </c>
      <c r="M503" t="s">
        <v>51</v>
      </c>
      <c r="N503" t="s">
        <v>92</v>
      </c>
      <c r="O503" s="1">
        <v>41335</v>
      </c>
      <c r="P503" t="s">
        <v>84</v>
      </c>
      <c r="Q503">
        <v>1</v>
      </c>
      <c r="R503" t="s">
        <v>83</v>
      </c>
      <c r="S503">
        <v>0</v>
      </c>
      <c r="T503">
        <v>0</v>
      </c>
      <c r="U503">
        <v>0</v>
      </c>
    </row>
    <row r="504" spans="1:21" x14ac:dyDescent="0.3">
      <c r="A504" s="1">
        <v>44044</v>
      </c>
      <c r="B504" s="1">
        <v>44044</v>
      </c>
      <c r="C504" t="s">
        <v>157</v>
      </c>
      <c r="D504" t="s">
        <v>93</v>
      </c>
      <c r="E504" t="s">
        <v>49</v>
      </c>
      <c r="F504" t="s">
        <v>243</v>
      </c>
      <c r="G504" s="53">
        <v>44119.739837962959</v>
      </c>
      <c r="H504">
        <v>33</v>
      </c>
      <c r="I504" t="s">
        <v>349</v>
      </c>
      <c r="J504" t="s">
        <v>50</v>
      </c>
      <c r="K504" t="s">
        <v>50</v>
      </c>
      <c r="L504" t="s">
        <v>159</v>
      </c>
      <c r="M504" t="s">
        <v>51</v>
      </c>
      <c r="N504" t="s">
        <v>92</v>
      </c>
      <c r="O504" s="1">
        <v>41335</v>
      </c>
      <c r="P504" t="s">
        <v>84</v>
      </c>
      <c r="Q504">
        <v>1</v>
      </c>
      <c r="R504" t="s">
        <v>83</v>
      </c>
      <c r="S504">
        <v>1</v>
      </c>
      <c r="T504">
        <v>689</v>
      </c>
      <c r="U504">
        <v>689</v>
      </c>
    </row>
    <row r="505" spans="1:21" x14ac:dyDescent="0.3">
      <c r="A505" s="1">
        <v>44044</v>
      </c>
      <c r="B505" s="1">
        <v>44044</v>
      </c>
      <c r="C505" t="s">
        <v>157</v>
      </c>
      <c r="D505" t="s">
        <v>93</v>
      </c>
      <c r="E505" t="s">
        <v>49</v>
      </c>
      <c r="F505" t="s">
        <v>243</v>
      </c>
      <c r="G505" s="53">
        <v>44119.739837962959</v>
      </c>
      <c r="H505">
        <v>33</v>
      </c>
      <c r="I505" t="s">
        <v>349</v>
      </c>
      <c r="J505" t="s">
        <v>50</v>
      </c>
      <c r="K505" t="s">
        <v>50</v>
      </c>
      <c r="L505" t="s">
        <v>159</v>
      </c>
      <c r="M505" t="s">
        <v>51</v>
      </c>
      <c r="N505" t="s">
        <v>92</v>
      </c>
      <c r="O505" s="1">
        <v>41335</v>
      </c>
      <c r="P505" t="s">
        <v>84</v>
      </c>
      <c r="Q505">
        <v>2</v>
      </c>
      <c r="R505" t="s">
        <v>94</v>
      </c>
      <c r="S505">
        <v>1</v>
      </c>
      <c r="T505">
        <v>2</v>
      </c>
      <c r="U505">
        <v>2</v>
      </c>
    </row>
    <row r="506" spans="1:21" x14ac:dyDescent="0.3">
      <c r="A506" s="1">
        <v>44044</v>
      </c>
      <c r="B506" s="1">
        <v>44044</v>
      </c>
      <c r="C506" t="s">
        <v>157</v>
      </c>
      <c r="D506" t="s">
        <v>52</v>
      </c>
      <c r="E506" t="s">
        <v>53</v>
      </c>
      <c r="F506" t="s">
        <v>242</v>
      </c>
      <c r="G506" s="53">
        <v>44081.950659722221</v>
      </c>
      <c r="H506">
        <v>33</v>
      </c>
      <c r="I506">
        <v>15128</v>
      </c>
      <c r="J506" t="s">
        <v>50</v>
      </c>
      <c r="K506" t="s">
        <v>50</v>
      </c>
      <c r="L506" t="s">
        <v>159</v>
      </c>
      <c r="M506" t="s">
        <v>51</v>
      </c>
      <c r="N506" t="s">
        <v>92</v>
      </c>
      <c r="O506" s="1">
        <v>41335</v>
      </c>
      <c r="P506" t="s">
        <v>84</v>
      </c>
      <c r="Q506">
        <v>2</v>
      </c>
      <c r="R506" t="s">
        <v>94</v>
      </c>
      <c r="S506">
        <v>0</v>
      </c>
      <c r="T506">
        <v>0</v>
      </c>
      <c r="U506">
        <v>0</v>
      </c>
    </row>
    <row r="507" spans="1:21" x14ac:dyDescent="0.3">
      <c r="A507" s="1">
        <v>44044</v>
      </c>
      <c r="B507" s="1">
        <v>44044</v>
      </c>
      <c r="C507" t="s">
        <v>157</v>
      </c>
      <c r="D507" t="s">
        <v>55</v>
      </c>
      <c r="E507" t="s">
        <v>56</v>
      </c>
      <c r="F507" t="s">
        <v>241</v>
      </c>
      <c r="G507" s="53">
        <v>44081.950659722221</v>
      </c>
      <c r="H507">
        <v>33</v>
      </c>
      <c r="I507">
        <v>15128</v>
      </c>
      <c r="J507" t="s">
        <v>50</v>
      </c>
      <c r="K507" t="s">
        <v>50</v>
      </c>
      <c r="L507" t="s">
        <v>159</v>
      </c>
      <c r="M507" t="s">
        <v>51</v>
      </c>
      <c r="N507" t="s">
        <v>92</v>
      </c>
      <c r="O507" s="1">
        <v>41335</v>
      </c>
      <c r="P507" t="s">
        <v>84</v>
      </c>
      <c r="Q507">
        <v>2</v>
      </c>
      <c r="R507" t="s">
        <v>94</v>
      </c>
      <c r="S507">
        <v>8.7653189999999999</v>
      </c>
      <c r="T507">
        <v>1.0669999999999999</v>
      </c>
      <c r="U507">
        <v>9</v>
      </c>
    </row>
    <row r="508" spans="1:21" x14ac:dyDescent="0.3">
      <c r="A508" s="1">
        <v>44044</v>
      </c>
      <c r="B508" s="1">
        <v>44044</v>
      </c>
      <c r="C508" t="s">
        <v>157</v>
      </c>
      <c r="D508" t="s">
        <v>54</v>
      </c>
      <c r="E508" t="s">
        <v>21</v>
      </c>
      <c r="F508" t="s">
        <v>238</v>
      </c>
      <c r="G508" s="53">
        <v>44081.950659722221</v>
      </c>
      <c r="H508">
        <v>33</v>
      </c>
      <c r="I508">
        <v>15128</v>
      </c>
      <c r="J508" t="s">
        <v>50</v>
      </c>
      <c r="K508" t="s">
        <v>50</v>
      </c>
      <c r="L508" t="s">
        <v>159</v>
      </c>
      <c r="M508" t="s">
        <v>51</v>
      </c>
      <c r="N508" t="s">
        <v>92</v>
      </c>
      <c r="O508" s="1">
        <v>41335</v>
      </c>
      <c r="P508" t="s">
        <v>84</v>
      </c>
      <c r="Q508">
        <v>2</v>
      </c>
      <c r="R508" t="s">
        <v>94</v>
      </c>
      <c r="S508">
        <v>0</v>
      </c>
      <c r="T508">
        <v>6136.88</v>
      </c>
      <c r="U508">
        <v>0</v>
      </c>
    </row>
    <row r="509" spans="1:21" x14ac:dyDescent="0.3">
      <c r="A509" s="1">
        <v>44044</v>
      </c>
      <c r="B509" s="1">
        <v>44044</v>
      </c>
      <c r="C509" t="s">
        <v>157</v>
      </c>
      <c r="D509" t="s">
        <v>48</v>
      </c>
      <c r="E509" t="s">
        <v>49</v>
      </c>
      <c r="F509" t="s">
        <v>239</v>
      </c>
      <c r="G509" s="53">
        <v>44081.950659722221</v>
      </c>
      <c r="H509">
        <v>33</v>
      </c>
      <c r="I509">
        <v>15128</v>
      </c>
      <c r="J509" t="s">
        <v>50</v>
      </c>
      <c r="K509" t="s">
        <v>50</v>
      </c>
      <c r="L509" t="s">
        <v>159</v>
      </c>
      <c r="M509" t="s">
        <v>51</v>
      </c>
      <c r="N509" t="s">
        <v>92</v>
      </c>
      <c r="O509" s="1">
        <v>41335</v>
      </c>
      <c r="P509" t="s">
        <v>84</v>
      </c>
      <c r="Q509">
        <v>2</v>
      </c>
      <c r="R509" t="s">
        <v>94</v>
      </c>
      <c r="S509">
        <v>8.7799999999999994</v>
      </c>
      <c r="T509">
        <v>81.448999999999998</v>
      </c>
      <c r="U509">
        <v>715</v>
      </c>
    </row>
    <row r="510" spans="1:21" x14ac:dyDescent="0.3">
      <c r="A510" s="1">
        <v>44044</v>
      </c>
      <c r="B510" s="1">
        <v>44044</v>
      </c>
      <c r="C510" t="s">
        <v>157</v>
      </c>
      <c r="D510" t="s">
        <v>52</v>
      </c>
      <c r="E510" t="s">
        <v>53</v>
      </c>
      <c r="F510" t="s">
        <v>242</v>
      </c>
      <c r="G510" s="53">
        <v>44081.950659722221</v>
      </c>
      <c r="H510">
        <v>33</v>
      </c>
      <c r="I510">
        <v>15128</v>
      </c>
      <c r="J510" t="s">
        <v>50</v>
      </c>
      <c r="K510" t="s">
        <v>50</v>
      </c>
      <c r="L510" t="s">
        <v>159</v>
      </c>
      <c r="M510" t="s">
        <v>51</v>
      </c>
      <c r="N510" t="s">
        <v>92</v>
      </c>
      <c r="O510" s="1">
        <v>41335</v>
      </c>
      <c r="P510" t="s">
        <v>84</v>
      </c>
      <c r="Q510">
        <v>3</v>
      </c>
      <c r="R510" t="s">
        <v>81</v>
      </c>
      <c r="S510">
        <v>0</v>
      </c>
      <c r="T510">
        <v>0</v>
      </c>
      <c r="U510">
        <v>0</v>
      </c>
    </row>
    <row r="511" spans="1:21" x14ac:dyDescent="0.3">
      <c r="A511" s="1">
        <v>44044</v>
      </c>
      <c r="B511" s="1">
        <v>44044</v>
      </c>
      <c r="C511" t="s">
        <v>157</v>
      </c>
      <c r="D511" t="s">
        <v>55</v>
      </c>
      <c r="E511" t="s">
        <v>56</v>
      </c>
      <c r="F511" t="s">
        <v>241</v>
      </c>
      <c r="G511" s="53">
        <v>44081.950659722221</v>
      </c>
      <c r="H511">
        <v>33</v>
      </c>
      <c r="I511">
        <v>15128</v>
      </c>
      <c r="J511" t="s">
        <v>50</v>
      </c>
      <c r="K511" t="s">
        <v>50</v>
      </c>
      <c r="L511" t="s">
        <v>159</v>
      </c>
      <c r="M511" t="s">
        <v>51</v>
      </c>
      <c r="N511" t="s">
        <v>92</v>
      </c>
      <c r="O511" s="1">
        <v>41335</v>
      </c>
      <c r="P511" t="s">
        <v>84</v>
      </c>
      <c r="Q511">
        <v>3</v>
      </c>
      <c r="R511" t="s">
        <v>81</v>
      </c>
      <c r="S511">
        <v>304.37409600000001</v>
      </c>
      <c r="T511">
        <v>1.0669999999999999</v>
      </c>
      <c r="U511">
        <v>325</v>
      </c>
    </row>
    <row r="512" spans="1:21" x14ac:dyDescent="0.3">
      <c r="A512" s="1">
        <v>44044</v>
      </c>
      <c r="B512" s="1">
        <v>44044</v>
      </c>
      <c r="C512" t="s">
        <v>157</v>
      </c>
      <c r="D512" t="s">
        <v>48</v>
      </c>
      <c r="E512" t="s">
        <v>49</v>
      </c>
      <c r="F512" t="s">
        <v>239</v>
      </c>
      <c r="G512" s="53">
        <v>44081.950659722221</v>
      </c>
      <c r="H512">
        <v>33</v>
      </c>
      <c r="I512">
        <v>15128</v>
      </c>
      <c r="J512" t="s">
        <v>50</v>
      </c>
      <c r="K512" t="s">
        <v>50</v>
      </c>
      <c r="L512" t="s">
        <v>159</v>
      </c>
      <c r="M512" t="s">
        <v>51</v>
      </c>
      <c r="N512" t="s">
        <v>92</v>
      </c>
      <c r="O512" s="1">
        <v>41335</v>
      </c>
      <c r="P512" t="s">
        <v>84</v>
      </c>
      <c r="Q512">
        <v>3</v>
      </c>
      <c r="R512" t="s">
        <v>81</v>
      </c>
      <c r="S512">
        <v>304.37409600000001</v>
      </c>
      <c r="T512">
        <v>76.619</v>
      </c>
      <c r="U512">
        <v>23321</v>
      </c>
    </row>
    <row r="513" spans="1:21" x14ac:dyDescent="0.3">
      <c r="A513" s="1">
        <v>44044</v>
      </c>
      <c r="B513" s="1">
        <v>44044</v>
      </c>
      <c r="C513" t="s">
        <v>157</v>
      </c>
      <c r="D513" t="s">
        <v>95</v>
      </c>
      <c r="E513" t="s">
        <v>56</v>
      </c>
      <c r="F513" t="s">
        <v>240</v>
      </c>
      <c r="G513" s="53">
        <v>44119.739837962959</v>
      </c>
      <c r="H513">
        <v>33</v>
      </c>
      <c r="I513" t="s">
        <v>349</v>
      </c>
      <c r="J513" t="s">
        <v>50</v>
      </c>
      <c r="K513" t="s">
        <v>50</v>
      </c>
      <c r="L513" t="s">
        <v>159</v>
      </c>
      <c r="M513" t="s">
        <v>51</v>
      </c>
      <c r="N513" t="s">
        <v>92</v>
      </c>
      <c r="O513" s="1">
        <v>41335</v>
      </c>
      <c r="P513" t="s">
        <v>84</v>
      </c>
      <c r="Q513">
        <v>3</v>
      </c>
      <c r="R513" t="s">
        <v>81</v>
      </c>
      <c r="S513">
        <v>1</v>
      </c>
      <c r="T513">
        <v>2</v>
      </c>
      <c r="U513">
        <v>2</v>
      </c>
    </row>
    <row r="514" spans="1:21" x14ac:dyDescent="0.3">
      <c r="A514" s="1">
        <v>44044</v>
      </c>
      <c r="B514" s="1">
        <v>44044</v>
      </c>
      <c r="C514" t="s">
        <v>157</v>
      </c>
      <c r="D514" t="s">
        <v>93</v>
      </c>
      <c r="E514" t="s">
        <v>49</v>
      </c>
      <c r="F514" t="s">
        <v>243</v>
      </c>
      <c r="G514" s="53">
        <v>44119.739837962959</v>
      </c>
      <c r="H514">
        <v>33</v>
      </c>
      <c r="I514" t="s">
        <v>349</v>
      </c>
      <c r="J514" t="s">
        <v>50</v>
      </c>
      <c r="K514" t="s">
        <v>50</v>
      </c>
      <c r="L514" t="s">
        <v>159</v>
      </c>
      <c r="M514" t="s">
        <v>51</v>
      </c>
      <c r="N514" t="s">
        <v>92</v>
      </c>
      <c r="O514" s="1">
        <v>41335</v>
      </c>
      <c r="P514" t="s">
        <v>84</v>
      </c>
      <c r="Q514">
        <v>3</v>
      </c>
      <c r="R514" t="s">
        <v>81</v>
      </c>
      <c r="S514">
        <v>1</v>
      </c>
      <c r="T514">
        <v>99</v>
      </c>
      <c r="U514">
        <v>99</v>
      </c>
    </row>
    <row r="515" spans="1:21" x14ac:dyDescent="0.3">
      <c r="A515" s="1">
        <v>44044</v>
      </c>
      <c r="B515" s="1">
        <v>44044</v>
      </c>
      <c r="C515" t="s">
        <v>157</v>
      </c>
      <c r="D515" t="s">
        <v>54</v>
      </c>
      <c r="E515" t="s">
        <v>21</v>
      </c>
      <c r="F515" t="s">
        <v>238</v>
      </c>
      <c r="G515" s="53">
        <v>44081.950659722221</v>
      </c>
      <c r="H515">
        <v>33</v>
      </c>
      <c r="I515">
        <v>15128</v>
      </c>
      <c r="J515" t="s">
        <v>50</v>
      </c>
      <c r="K515" t="s">
        <v>50</v>
      </c>
      <c r="L515" t="s">
        <v>159</v>
      </c>
      <c r="M515" t="s">
        <v>51</v>
      </c>
      <c r="N515" t="s">
        <v>92</v>
      </c>
      <c r="O515" s="1">
        <v>41335</v>
      </c>
      <c r="P515" t="s">
        <v>84</v>
      </c>
      <c r="Q515">
        <v>3</v>
      </c>
      <c r="R515" t="s">
        <v>81</v>
      </c>
      <c r="S515">
        <v>0</v>
      </c>
      <c r="T515">
        <v>5859.08</v>
      </c>
      <c r="U515">
        <v>0</v>
      </c>
    </row>
    <row r="516" spans="1:21" x14ac:dyDescent="0.3">
      <c r="A516" s="1">
        <v>44044</v>
      </c>
      <c r="B516" s="1">
        <v>44044</v>
      </c>
      <c r="C516" t="s">
        <v>157</v>
      </c>
      <c r="D516" t="s">
        <v>55</v>
      </c>
      <c r="E516" t="s">
        <v>56</v>
      </c>
      <c r="F516" t="s">
        <v>241</v>
      </c>
      <c r="G516" s="53">
        <v>44081.950659722221</v>
      </c>
      <c r="H516">
        <v>33</v>
      </c>
      <c r="I516">
        <v>15128</v>
      </c>
      <c r="J516" t="s">
        <v>50</v>
      </c>
      <c r="K516" t="s">
        <v>50</v>
      </c>
      <c r="L516" t="s">
        <v>159</v>
      </c>
      <c r="M516" t="s">
        <v>51</v>
      </c>
      <c r="N516" t="s">
        <v>92</v>
      </c>
      <c r="O516" s="1">
        <v>41335</v>
      </c>
      <c r="P516" t="s">
        <v>84</v>
      </c>
      <c r="Q516">
        <v>4</v>
      </c>
      <c r="R516" t="s">
        <v>27</v>
      </c>
      <c r="S516">
        <v>2559.6909580000001</v>
      </c>
      <c r="T516">
        <v>1.0669999999999999</v>
      </c>
      <c r="U516">
        <v>2731</v>
      </c>
    </row>
    <row r="517" spans="1:21" x14ac:dyDescent="0.3">
      <c r="A517" s="1">
        <v>44044</v>
      </c>
      <c r="B517" s="1">
        <v>44044</v>
      </c>
      <c r="C517" t="s">
        <v>157</v>
      </c>
      <c r="D517" t="s">
        <v>48</v>
      </c>
      <c r="E517" t="s">
        <v>49</v>
      </c>
      <c r="F517" t="s">
        <v>239</v>
      </c>
      <c r="G517" s="53">
        <v>44081.950659722221</v>
      </c>
      <c r="H517">
        <v>33</v>
      </c>
      <c r="I517">
        <v>15128</v>
      </c>
      <c r="J517" t="s">
        <v>50</v>
      </c>
      <c r="K517" t="s">
        <v>50</v>
      </c>
      <c r="L517" t="s">
        <v>159</v>
      </c>
      <c r="M517" t="s">
        <v>51</v>
      </c>
      <c r="N517" t="s">
        <v>92</v>
      </c>
      <c r="O517" s="1">
        <v>41335</v>
      </c>
      <c r="P517" t="s">
        <v>84</v>
      </c>
      <c r="Q517">
        <v>4</v>
      </c>
      <c r="R517" t="s">
        <v>27</v>
      </c>
      <c r="S517">
        <v>2559.6909580000001</v>
      </c>
      <c r="T517">
        <v>76.742999999999995</v>
      </c>
      <c r="U517">
        <v>196438</v>
      </c>
    </row>
    <row r="518" spans="1:21" x14ac:dyDescent="0.3">
      <c r="A518" s="1">
        <v>44044</v>
      </c>
      <c r="B518" s="1">
        <v>44044</v>
      </c>
      <c r="C518" t="s">
        <v>157</v>
      </c>
      <c r="D518" t="s">
        <v>95</v>
      </c>
      <c r="E518" t="s">
        <v>56</v>
      </c>
      <c r="F518" t="s">
        <v>240</v>
      </c>
      <c r="G518" s="53">
        <v>44119.739837962959</v>
      </c>
      <c r="H518">
        <v>33</v>
      </c>
      <c r="I518" t="s">
        <v>349</v>
      </c>
      <c r="J518" t="s">
        <v>50</v>
      </c>
      <c r="K518" t="s">
        <v>50</v>
      </c>
      <c r="L518" t="s">
        <v>159</v>
      </c>
      <c r="M518" t="s">
        <v>51</v>
      </c>
      <c r="N518" t="s">
        <v>92</v>
      </c>
      <c r="O518" s="1">
        <v>41335</v>
      </c>
      <c r="P518" t="s">
        <v>84</v>
      </c>
      <c r="Q518">
        <v>4</v>
      </c>
      <c r="R518" t="s">
        <v>27</v>
      </c>
      <c r="S518">
        <v>1</v>
      </c>
      <c r="T518">
        <v>10</v>
      </c>
      <c r="U518">
        <v>10</v>
      </c>
    </row>
    <row r="519" spans="1:21" x14ac:dyDescent="0.3">
      <c r="A519" s="1">
        <v>44044</v>
      </c>
      <c r="B519" s="1">
        <v>44044</v>
      </c>
      <c r="C519" t="s">
        <v>157</v>
      </c>
      <c r="D519" t="s">
        <v>52</v>
      </c>
      <c r="E519" t="s">
        <v>53</v>
      </c>
      <c r="F519" t="s">
        <v>242</v>
      </c>
      <c r="G519" s="53">
        <v>44081.950659722221</v>
      </c>
      <c r="H519">
        <v>33</v>
      </c>
      <c r="I519">
        <v>15128</v>
      </c>
      <c r="J519" t="s">
        <v>50</v>
      </c>
      <c r="K519" t="s">
        <v>50</v>
      </c>
      <c r="L519" t="s">
        <v>159</v>
      </c>
      <c r="M519" t="s">
        <v>51</v>
      </c>
      <c r="N519" t="s">
        <v>92</v>
      </c>
      <c r="O519" s="1">
        <v>41335</v>
      </c>
      <c r="P519" t="s">
        <v>84</v>
      </c>
      <c r="Q519">
        <v>4</v>
      </c>
      <c r="R519" t="s">
        <v>27</v>
      </c>
      <c r="S519">
        <v>0</v>
      </c>
      <c r="T519">
        <v>0</v>
      </c>
      <c r="U519">
        <v>0</v>
      </c>
    </row>
    <row r="520" spans="1:21" x14ac:dyDescent="0.3">
      <c r="A520" s="1">
        <v>44044</v>
      </c>
      <c r="B520" s="1">
        <v>44044</v>
      </c>
      <c r="C520" t="s">
        <v>157</v>
      </c>
      <c r="D520" t="s">
        <v>93</v>
      </c>
      <c r="E520" t="s">
        <v>49</v>
      </c>
      <c r="F520" t="s">
        <v>243</v>
      </c>
      <c r="G520" s="53">
        <v>44119.739837962959</v>
      </c>
      <c r="H520">
        <v>33</v>
      </c>
      <c r="I520" t="s">
        <v>349</v>
      </c>
      <c r="J520" t="s">
        <v>50</v>
      </c>
      <c r="K520" t="s">
        <v>50</v>
      </c>
      <c r="L520" t="s">
        <v>159</v>
      </c>
      <c r="M520" t="s">
        <v>51</v>
      </c>
      <c r="N520" t="s">
        <v>92</v>
      </c>
      <c r="O520" s="1">
        <v>41335</v>
      </c>
      <c r="P520" t="s">
        <v>84</v>
      </c>
      <c r="Q520">
        <v>4</v>
      </c>
      <c r="R520" t="s">
        <v>27</v>
      </c>
      <c r="S520">
        <v>1</v>
      </c>
      <c r="T520">
        <v>835</v>
      </c>
      <c r="U520">
        <v>835</v>
      </c>
    </row>
    <row r="521" spans="1:21" x14ac:dyDescent="0.3">
      <c r="A521" s="1">
        <v>44044</v>
      </c>
      <c r="B521" s="1">
        <v>44044</v>
      </c>
      <c r="C521" t="s">
        <v>157</v>
      </c>
      <c r="D521" t="s">
        <v>54</v>
      </c>
      <c r="E521" t="s">
        <v>21</v>
      </c>
      <c r="F521" t="s">
        <v>238</v>
      </c>
      <c r="G521" s="53">
        <v>44081.950659722221</v>
      </c>
      <c r="H521">
        <v>33</v>
      </c>
      <c r="I521">
        <v>15128</v>
      </c>
      <c r="J521" t="s">
        <v>50</v>
      </c>
      <c r="K521" t="s">
        <v>50</v>
      </c>
      <c r="L521" t="s">
        <v>159</v>
      </c>
      <c r="M521" t="s">
        <v>51</v>
      </c>
      <c r="N521" t="s">
        <v>92</v>
      </c>
      <c r="O521" s="1">
        <v>41335</v>
      </c>
      <c r="P521" t="s">
        <v>84</v>
      </c>
      <c r="Q521">
        <v>4</v>
      </c>
      <c r="R521" t="s">
        <v>27</v>
      </c>
      <c r="S521">
        <v>0</v>
      </c>
      <c r="T521">
        <v>5985.9</v>
      </c>
      <c r="U521">
        <v>0</v>
      </c>
    </row>
    <row r="522" spans="1:21" x14ac:dyDescent="0.3">
      <c r="A522" s="1">
        <v>44044</v>
      </c>
      <c r="B522" s="1">
        <v>44044</v>
      </c>
      <c r="C522" t="s">
        <v>157</v>
      </c>
      <c r="D522" t="s">
        <v>52</v>
      </c>
      <c r="E522" t="s">
        <v>53</v>
      </c>
      <c r="F522" t="s">
        <v>242</v>
      </c>
      <c r="G522" s="53">
        <v>44081.950659722221</v>
      </c>
      <c r="H522">
        <v>33</v>
      </c>
      <c r="I522">
        <v>15128</v>
      </c>
      <c r="J522" t="s">
        <v>50</v>
      </c>
      <c r="K522" t="s">
        <v>50</v>
      </c>
      <c r="L522" t="s">
        <v>159</v>
      </c>
      <c r="M522" t="s">
        <v>51</v>
      </c>
      <c r="N522" t="s">
        <v>92</v>
      </c>
      <c r="O522" s="1">
        <v>41335</v>
      </c>
      <c r="P522" t="s">
        <v>84</v>
      </c>
      <c r="Q522">
        <v>5</v>
      </c>
      <c r="R522" t="s">
        <v>28</v>
      </c>
      <c r="S522">
        <v>0</v>
      </c>
      <c r="T522">
        <v>0</v>
      </c>
      <c r="U522">
        <v>0</v>
      </c>
    </row>
    <row r="523" spans="1:21" x14ac:dyDescent="0.3">
      <c r="A523" s="1">
        <v>44044</v>
      </c>
      <c r="B523" s="1">
        <v>44044</v>
      </c>
      <c r="C523" t="s">
        <v>157</v>
      </c>
      <c r="D523" t="s">
        <v>93</v>
      </c>
      <c r="E523" t="s">
        <v>49</v>
      </c>
      <c r="F523" t="s">
        <v>243</v>
      </c>
      <c r="G523" s="53">
        <v>44119.739837962959</v>
      </c>
      <c r="H523">
        <v>33</v>
      </c>
      <c r="I523" t="s">
        <v>349</v>
      </c>
      <c r="J523" t="s">
        <v>50</v>
      </c>
      <c r="K523" t="s">
        <v>50</v>
      </c>
      <c r="L523" t="s">
        <v>159</v>
      </c>
      <c r="M523" t="s">
        <v>51</v>
      </c>
      <c r="N523" t="s">
        <v>92</v>
      </c>
      <c r="O523" s="1">
        <v>41335</v>
      </c>
      <c r="P523" t="s">
        <v>84</v>
      </c>
      <c r="Q523">
        <v>5</v>
      </c>
      <c r="R523" t="s">
        <v>28</v>
      </c>
      <c r="S523">
        <v>1</v>
      </c>
      <c r="T523">
        <v>4</v>
      </c>
      <c r="U523">
        <v>4</v>
      </c>
    </row>
    <row r="524" spans="1:21" x14ac:dyDescent="0.3">
      <c r="A524" s="1">
        <v>44044</v>
      </c>
      <c r="B524" s="1">
        <v>44044</v>
      </c>
      <c r="C524" t="s">
        <v>157</v>
      </c>
      <c r="D524" t="s">
        <v>48</v>
      </c>
      <c r="E524" t="s">
        <v>49</v>
      </c>
      <c r="F524" t="s">
        <v>239</v>
      </c>
      <c r="G524" s="53">
        <v>44081.950659722221</v>
      </c>
      <c r="H524">
        <v>33</v>
      </c>
      <c r="I524">
        <v>15128</v>
      </c>
      <c r="J524" t="s">
        <v>50</v>
      </c>
      <c r="K524" t="s">
        <v>50</v>
      </c>
      <c r="L524" t="s">
        <v>159</v>
      </c>
      <c r="M524" t="s">
        <v>51</v>
      </c>
      <c r="N524" t="s">
        <v>92</v>
      </c>
      <c r="O524" s="1">
        <v>41335</v>
      </c>
      <c r="P524" t="s">
        <v>84</v>
      </c>
      <c r="Q524">
        <v>5</v>
      </c>
      <c r="R524" t="s">
        <v>28</v>
      </c>
      <c r="S524">
        <v>10.585311000000001</v>
      </c>
      <c r="T524">
        <v>79.302000000000007</v>
      </c>
      <c r="U524">
        <v>839</v>
      </c>
    </row>
    <row r="525" spans="1:21" x14ac:dyDescent="0.3">
      <c r="A525" s="1">
        <v>44044</v>
      </c>
      <c r="B525" s="1">
        <v>44044</v>
      </c>
      <c r="C525" t="s">
        <v>157</v>
      </c>
      <c r="D525" t="s">
        <v>54</v>
      </c>
      <c r="E525" t="s">
        <v>21</v>
      </c>
      <c r="F525" t="s">
        <v>238</v>
      </c>
      <c r="G525" s="53">
        <v>44081.950659722221</v>
      </c>
      <c r="H525">
        <v>33</v>
      </c>
      <c r="I525">
        <v>15128</v>
      </c>
      <c r="J525" t="s">
        <v>50</v>
      </c>
      <c r="K525" t="s">
        <v>50</v>
      </c>
      <c r="L525" t="s">
        <v>159</v>
      </c>
      <c r="M525" t="s">
        <v>51</v>
      </c>
      <c r="N525" t="s">
        <v>92</v>
      </c>
      <c r="O525" s="1">
        <v>41335</v>
      </c>
      <c r="P525" t="s">
        <v>84</v>
      </c>
      <c r="Q525">
        <v>5</v>
      </c>
      <c r="R525" t="s">
        <v>28</v>
      </c>
      <c r="S525">
        <v>0</v>
      </c>
      <c r="T525">
        <v>5747.96</v>
      </c>
      <c r="U525">
        <v>0</v>
      </c>
    </row>
    <row r="526" spans="1:21" x14ac:dyDescent="0.3">
      <c r="A526" s="1">
        <v>44044</v>
      </c>
      <c r="B526" s="1">
        <v>44044</v>
      </c>
      <c r="C526" t="s">
        <v>157</v>
      </c>
      <c r="D526" t="s">
        <v>55</v>
      </c>
      <c r="E526" t="s">
        <v>56</v>
      </c>
      <c r="F526" t="s">
        <v>241</v>
      </c>
      <c r="G526" s="53">
        <v>44081.950659722221</v>
      </c>
      <c r="H526">
        <v>33</v>
      </c>
      <c r="I526">
        <v>15128</v>
      </c>
      <c r="J526" t="s">
        <v>50</v>
      </c>
      <c r="K526" t="s">
        <v>50</v>
      </c>
      <c r="L526" t="s">
        <v>159</v>
      </c>
      <c r="M526" t="s">
        <v>51</v>
      </c>
      <c r="N526" t="s">
        <v>92</v>
      </c>
      <c r="O526" s="1">
        <v>41335</v>
      </c>
      <c r="P526" t="s">
        <v>84</v>
      </c>
      <c r="Q526">
        <v>5</v>
      </c>
      <c r="R526" t="s">
        <v>28</v>
      </c>
      <c r="S526">
        <v>10.585311000000001</v>
      </c>
      <c r="T526">
        <v>1.0669999999999999</v>
      </c>
      <c r="U526">
        <v>11</v>
      </c>
    </row>
    <row r="527" spans="1:21" x14ac:dyDescent="0.3">
      <c r="A527" s="1">
        <v>44075</v>
      </c>
      <c r="B527" s="1">
        <v>44075</v>
      </c>
      <c r="C527" t="s">
        <v>157</v>
      </c>
      <c r="D527" t="s">
        <v>93</v>
      </c>
      <c r="E527" t="s">
        <v>49</v>
      </c>
      <c r="F527" t="s">
        <v>245</v>
      </c>
      <c r="G527" s="53">
        <v>44153.723773148151</v>
      </c>
      <c r="H527">
        <v>61</v>
      </c>
      <c r="I527" t="s">
        <v>349</v>
      </c>
      <c r="J527" t="s">
        <v>50</v>
      </c>
      <c r="K527" t="s">
        <v>50</v>
      </c>
      <c r="L527" t="s">
        <v>159</v>
      </c>
      <c r="M527" t="s">
        <v>51</v>
      </c>
      <c r="N527" t="s">
        <v>92</v>
      </c>
      <c r="O527" s="1">
        <v>41335</v>
      </c>
      <c r="P527" t="s">
        <v>84</v>
      </c>
      <c r="Q527">
        <v>1</v>
      </c>
      <c r="R527" t="s">
        <v>83</v>
      </c>
      <c r="S527">
        <v>1</v>
      </c>
      <c r="T527">
        <v>-323</v>
      </c>
      <c r="U527">
        <v>-323</v>
      </c>
    </row>
    <row r="528" spans="1:21" x14ac:dyDescent="0.3">
      <c r="A528" s="1">
        <v>44075</v>
      </c>
      <c r="B528" s="1">
        <v>44075</v>
      </c>
      <c r="C528" t="s">
        <v>157</v>
      </c>
      <c r="D528" t="s">
        <v>52</v>
      </c>
      <c r="E528" t="s">
        <v>53</v>
      </c>
      <c r="F528" t="s">
        <v>246</v>
      </c>
      <c r="G528" s="53">
        <v>44111.714999999997</v>
      </c>
      <c r="H528">
        <v>33</v>
      </c>
      <c r="I528">
        <v>15552</v>
      </c>
      <c r="J528" t="s">
        <v>50</v>
      </c>
      <c r="K528" t="s">
        <v>50</v>
      </c>
      <c r="L528" t="s">
        <v>159</v>
      </c>
      <c r="M528" t="s">
        <v>51</v>
      </c>
      <c r="N528" t="s">
        <v>92</v>
      </c>
      <c r="O528" s="1">
        <v>41335</v>
      </c>
      <c r="P528" t="s">
        <v>84</v>
      </c>
      <c r="Q528">
        <v>1</v>
      </c>
      <c r="R528" t="s">
        <v>83</v>
      </c>
      <c r="S528">
        <v>0</v>
      </c>
      <c r="T528">
        <v>0</v>
      </c>
      <c r="U528">
        <v>0</v>
      </c>
    </row>
    <row r="529" spans="1:21" x14ac:dyDescent="0.3">
      <c r="A529" s="1">
        <v>44075</v>
      </c>
      <c r="B529" s="1">
        <v>44075</v>
      </c>
      <c r="C529" t="s">
        <v>157</v>
      </c>
      <c r="D529" t="s">
        <v>95</v>
      </c>
      <c r="E529" t="s">
        <v>56</v>
      </c>
      <c r="F529" t="s">
        <v>247</v>
      </c>
      <c r="G529" s="53">
        <v>44153.723773148151</v>
      </c>
      <c r="H529">
        <v>61</v>
      </c>
      <c r="I529" t="s">
        <v>349</v>
      </c>
      <c r="J529" t="s">
        <v>50</v>
      </c>
      <c r="K529" t="s">
        <v>50</v>
      </c>
      <c r="L529" t="s">
        <v>159</v>
      </c>
      <c r="M529" t="s">
        <v>51</v>
      </c>
      <c r="N529" t="s">
        <v>92</v>
      </c>
      <c r="O529" s="1">
        <v>41335</v>
      </c>
      <c r="P529" t="s">
        <v>84</v>
      </c>
      <c r="Q529">
        <v>1</v>
      </c>
      <c r="R529" t="s">
        <v>83</v>
      </c>
      <c r="S529">
        <v>1</v>
      </c>
      <c r="T529">
        <v>-5</v>
      </c>
      <c r="U529">
        <v>-5</v>
      </c>
    </row>
    <row r="530" spans="1:21" x14ac:dyDescent="0.3">
      <c r="A530" s="1">
        <v>44075</v>
      </c>
      <c r="B530" s="1">
        <v>44075</v>
      </c>
      <c r="C530" t="s">
        <v>157</v>
      </c>
      <c r="D530" t="s">
        <v>54</v>
      </c>
      <c r="E530" t="s">
        <v>21</v>
      </c>
      <c r="F530" t="s">
        <v>248</v>
      </c>
      <c r="G530" s="53">
        <v>44111.714999999997</v>
      </c>
      <c r="H530">
        <v>33</v>
      </c>
      <c r="I530">
        <v>15552</v>
      </c>
      <c r="J530" t="s">
        <v>50</v>
      </c>
      <c r="K530" t="s">
        <v>50</v>
      </c>
      <c r="L530" t="s">
        <v>159</v>
      </c>
      <c r="M530" t="s">
        <v>51</v>
      </c>
      <c r="N530" t="s">
        <v>92</v>
      </c>
      <c r="O530" s="1">
        <v>41335</v>
      </c>
      <c r="P530" t="s">
        <v>84</v>
      </c>
      <c r="Q530">
        <v>1</v>
      </c>
      <c r="R530" t="s">
        <v>83</v>
      </c>
      <c r="S530">
        <v>0</v>
      </c>
      <c r="T530">
        <v>6059.26</v>
      </c>
      <c r="U530">
        <v>0</v>
      </c>
    </row>
    <row r="531" spans="1:21" x14ac:dyDescent="0.3">
      <c r="A531" s="1">
        <v>44075</v>
      </c>
      <c r="B531" s="1">
        <v>44075</v>
      </c>
      <c r="C531" t="s">
        <v>157</v>
      </c>
      <c r="D531" t="s">
        <v>48</v>
      </c>
      <c r="E531" t="s">
        <v>49</v>
      </c>
      <c r="F531" t="s">
        <v>249</v>
      </c>
      <c r="G531" s="53">
        <v>44111.714999999997</v>
      </c>
      <c r="H531">
        <v>33</v>
      </c>
      <c r="I531">
        <v>15552</v>
      </c>
      <c r="J531" t="s">
        <v>50</v>
      </c>
      <c r="K531" t="s">
        <v>50</v>
      </c>
      <c r="L531" t="s">
        <v>159</v>
      </c>
      <c r="M531" t="s">
        <v>51</v>
      </c>
      <c r="N531" t="s">
        <v>92</v>
      </c>
      <c r="O531" s="1">
        <v>41335</v>
      </c>
      <c r="P531" t="s">
        <v>84</v>
      </c>
      <c r="Q531">
        <v>1</v>
      </c>
      <c r="R531" t="s">
        <v>83</v>
      </c>
      <c r="S531">
        <v>1931.180057</v>
      </c>
      <c r="T531">
        <v>80.344999999999999</v>
      </c>
      <c r="U531">
        <v>155161</v>
      </c>
    </row>
    <row r="532" spans="1:21" x14ac:dyDescent="0.3">
      <c r="A532" s="1">
        <v>44075</v>
      </c>
      <c r="B532" s="1">
        <v>44075</v>
      </c>
      <c r="C532" t="s">
        <v>157</v>
      </c>
      <c r="D532" t="s">
        <v>55</v>
      </c>
      <c r="E532" t="s">
        <v>56</v>
      </c>
      <c r="F532" t="s">
        <v>250</v>
      </c>
      <c r="G532" s="53">
        <v>44111.714999999997</v>
      </c>
      <c r="H532">
        <v>33</v>
      </c>
      <c r="I532">
        <v>15552</v>
      </c>
      <c r="J532" t="s">
        <v>50</v>
      </c>
      <c r="K532" t="s">
        <v>50</v>
      </c>
      <c r="L532" t="s">
        <v>159</v>
      </c>
      <c r="M532" t="s">
        <v>51</v>
      </c>
      <c r="N532" t="s">
        <v>92</v>
      </c>
      <c r="O532" s="1">
        <v>41335</v>
      </c>
      <c r="P532" t="s">
        <v>84</v>
      </c>
      <c r="Q532">
        <v>1</v>
      </c>
      <c r="R532" t="s">
        <v>83</v>
      </c>
      <c r="S532">
        <v>1931.180057</v>
      </c>
      <c r="T532">
        <v>1.0669999999999999</v>
      </c>
      <c r="U532">
        <v>2061</v>
      </c>
    </row>
    <row r="533" spans="1:21" x14ac:dyDescent="0.3">
      <c r="A533" s="1">
        <v>44075</v>
      </c>
      <c r="B533" s="1">
        <v>44075</v>
      </c>
      <c r="C533" t="s">
        <v>157</v>
      </c>
      <c r="D533" t="s">
        <v>54</v>
      </c>
      <c r="E533" t="s">
        <v>21</v>
      </c>
      <c r="F533" t="s">
        <v>248</v>
      </c>
      <c r="G533" s="53">
        <v>44111.714999999997</v>
      </c>
      <c r="H533">
        <v>33</v>
      </c>
      <c r="I533">
        <v>15552</v>
      </c>
      <c r="J533" t="s">
        <v>50</v>
      </c>
      <c r="K533" t="s">
        <v>50</v>
      </c>
      <c r="L533" t="s">
        <v>159</v>
      </c>
      <c r="M533" t="s">
        <v>51</v>
      </c>
      <c r="N533" t="s">
        <v>92</v>
      </c>
      <c r="O533" s="1">
        <v>41335</v>
      </c>
      <c r="P533" t="s">
        <v>84</v>
      </c>
      <c r="Q533">
        <v>2</v>
      </c>
      <c r="R533" t="s">
        <v>94</v>
      </c>
      <c r="S533">
        <v>0</v>
      </c>
      <c r="T533">
        <v>6135.33</v>
      </c>
      <c r="U533">
        <v>0</v>
      </c>
    </row>
    <row r="534" spans="1:21" x14ac:dyDescent="0.3">
      <c r="A534" s="1">
        <v>44075</v>
      </c>
      <c r="B534" s="1">
        <v>44075</v>
      </c>
      <c r="C534" t="s">
        <v>157</v>
      </c>
      <c r="D534" t="s">
        <v>93</v>
      </c>
      <c r="E534" t="s">
        <v>49</v>
      </c>
      <c r="F534" t="s">
        <v>245</v>
      </c>
      <c r="G534" s="53">
        <v>44153.723773148151</v>
      </c>
      <c r="H534">
        <v>61</v>
      </c>
      <c r="I534" t="s">
        <v>349</v>
      </c>
      <c r="J534" t="s">
        <v>50</v>
      </c>
      <c r="K534" t="s">
        <v>50</v>
      </c>
      <c r="L534" t="s">
        <v>159</v>
      </c>
      <c r="M534" t="s">
        <v>51</v>
      </c>
      <c r="N534" t="s">
        <v>92</v>
      </c>
      <c r="O534" s="1">
        <v>41335</v>
      </c>
      <c r="P534" t="s">
        <v>84</v>
      </c>
      <c r="Q534">
        <v>2</v>
      </c>
      <c r="R534" t="s">
        <v>94</v>
      </c>
      <c r="S534">
        <v>1</v>
      </c>
      <c r="T534">
        <v>-2</v>
      </c>
      <c r="U534">
        <v>-2</v>
      </c>
    </row>
    <row r="535" spans="1:21" x14ac:dyDescent="0.3">
      <c r="A535" s="1">
        <v>44075</v>
      </c>
      <c r="B535" s="1">
        <v>44075</v>
      </c>
      <c r="C535" t="s">
        <v>157</v>
      </c>
      <c r="D535" t="s">
        <v>52</v>
      </c>
      <c r="E535" t="s">
        <v>53</v>
      </c>
      <c r="F535" t="s">
        <v>246</v>
      </c>
      <c r="G535" s="53">
        <v>44111.714999999997</v>
      </c>
      <c r="H535">
        <v>33</v>
      </c>
      <c r="I535">
        <v>15552</v>
      </c>
      <c r="J535" t="s">
        <v>50</v>
      </c>
      <c r="K535" t="s">
        <v>50</v>
      </c>
      <c r="L535" t="s">
        <v>159</v>
      </c>
      <c r="M535" t="s">
        <v>51</v>
      </c>
      <c r="N535" t="s">
        <v>92</v>
      </c>
      <c r="O535" s="1">
        <v>41335</v>
      </c>
      <c r="P535" t="s">
        <v>84</v>
      </c>
      <c r="Q535">
        <v>2</v>
      </c>
      <c r="R535" t="s">
        <v>94</v>
      </c>
      <c r="S535">
        <v>0</v>
      </c>
      <c r="T535">
        <v>0</v>
      </c>
      <c r="U535">
        <v>0</v>
      </c>
    </row>
    <row r="536" spans="1:21" x14ac:dyDescent="0.3">
      <c r="A536" s="1">
        <v>44075</v>
      </c>
      <c r="B536" s="1">
        <v>44075</v>
      </c>
      <c r="C536" t="s">
        <v>157</v>
      </c>
      <c r="D536" t="s">
        <v>48</v>
      </c>
      <c r="E536" t="s">
        <v>49</v>
      </c>
      <c r="F536" t="s">
        <v>249</v>
      </c>
      <c r="G536" s="53">
        <v>44111.714999999997</v>
      </c>
      <c r="H536">
        <v>33</v>
      </c>
      <c r="I536">
        <v>15552</v>
      </c>
      <c r="J536" t="s">
        <v>50</v>
      </c>
      <c r="K536" t="s">
        <v>50</v>
      </c>
      <c r="L536" t="s">
        <v>159</v>
      </c>
      <c r="M536" t="s">
        <v>51</v>
      </c>
      <c r="N536" t="s">
        <v>92</v>
      </c>
      <c r="O536" s="1">
        <v>41335</v>
      </c>
      <c r="P536" t="s">
        <v>84</v>
      </c>
      <c r="Q536">
        <v>2</v>
      </c>
      <c r="R536" t="s">
        <v>94</v>
      </c>
      <c r="S536">
        <v>8.5106800000000007</v>
      </c>
      <c r="T536">
        <v>81.489000000000004</v>
      </c>
      <c r="U536">
        <v>694</v>
      </c>
    </row>
    <row r="537" spans="1:21" x14ac:dyDescent="0.3">
      <c r="A537" s="1">
        <v>44075</v>
      </c>
      <c r="B537" s="1">
        <v>44075</v>
      </c>
      <c r="C537" t="s">
        <v>157</v>
      </c>
      <c r="D537" t="s">
        <v>55</v>
      </c>
      <c r="E537" t="s">
        <v>56</v>
      </c>
      <c r="F537" t="s">
        <v>250</v>
      </c>
      <c r="G537" s="53">
        <v>44111.714999999997</v>
      </c>
      <c r="H537">
        <v>33</v>
      </c>
      <c r="I537">
        <v>15552</v>
      </c>
      <c r="J537" t="s">
        <v>50</v>
      </c>
      <c r="K537" t="s">
        <v>50</v>
      </c>
      <c r="L537" t="s">
        <v>159</v>
      </c>
      <c r="M537" t="s">
        <v>51</v>
      </c>
      <c r="N537" t="s">
        <v>92</v>
      </c>
      <c r="O537" s="1">
        <v>41335</v>
      </c>
      <c r="P537" t="s">
        <v>84</v>
      </c>
      <c r="Q537">
        <v>2</v>
      </c>
      <c r="R537" t="s">
        <v>94</v>
      </c>
      <c r="S537">
        <v>8.5106800000000007</v>
      </c>
      <c r="T537">
        <v>1.0669999999999999</v>
      </c>
      <c r="U537">
        <v>9</v>
      </c>
    </row>
    <row r="538" spans="1:21" x14ac:dyDescent="0.3">
      <c r="A538" s="1">
        <v>44075</v>
      </c>
      <c r="B538" s="1">
        <v>44075</v>
      </c>
      <c r="C538" t="s">
        <v>157</v>
      </c>
      <c r="D538" t="s">
        <v>55</v>
      </c>
      <c r="E538" t="s">
        <v>56</v>
      </c>
      <c r="F538" t="s">
        <v>250</v>
      </c>
      <c r="G538" s="53">
        <v>44111.714999999997</v>
      </c>
      <c r="H538">
        <v>33</v>
      </c>
      <c r="I538">
        <v>15552</v>
      </c>
      <c r="J538" t="s">
        <v>50</v>
      </c>
      <c r="K538" t="s">
        <v>50</v>
      </c>
      <c r="L538" t="s">
        <v>159</v>
      </c>
      <c r="M538" t="s">
        <v>51</v>
      </c>
      <c r="N538" t="s">
        <v>92</v>
      </c>
      <c r="O538" s="1">
        <v>41335</v>
      </c>
      <c r="P538" t="s">
        <v>84</v>
      </c>
      <c r="Q538">
        <v>3</v>
      </c>
      <c r="R538" t="s">
        <v>81</v>
      </c>
      <c r="S538">
        <v>286.88444600000003</v>
      </c>
      <c r="T538">
        <v>1.0669999999999999</v>
      </c>
      <c r="U538">
        <v>306</v>
      </c>
    </row>
    <row r="539" spans="1:21" x14ac:dyDescent="0.3">
      <c r="A539" s="1">
        <v>44075</v>
      </c>
      <c r="B539" s="1">
        <v>44075</v>
      </c>
      <c r="C539" t="s">
        <v>157</v>
      </c>
      <c r="D539" t="s">
        <v>52</v>
      </c>
      <c r="E539" t="s">
        <v>53</v>
      </c>
      <c r="F539" t="s">
        <v>246</v>
      </c>
      <c r="G539" s="53">
        <v>44111.714999999997</v>
      </c>
      <c r="H539">
        <v>33</v>
      </c>
      <c r="I539">
        <v>15552</v>
      </c>
      <c r="J539" t="s">
        <v>50</v>
      </c>
      <c r="K539" t="s">
        <v>50</v>
      </c>
      <c r="L539" t="s">
        <v>159</v>
      </c>
      <c r="M539" t="s">
        <v>51</v>
      </c>
      <c r="N539" t="s">
        <v>92</v>
      </c>
      <c r="O539" s="1">
        <v>41335</v>
      </c>
      <c r="P539" t="s">
        <v>84</v>
      </c>
      <c r="Q539">
        <v>3</v>
      </c>
      <c r="R539" t="s">
        <v>81</v>
      </c>
      <c r="S539">
        <v>0</v>
      </c>
      <c r="T539">
        <v>0</v>
      </c>
      <c r="U539">
        <v>0</v>
      </c>
    </row>
    <row r="540" spans="1:21" x14ac:dyDescent="0.3">
      <c r="A540" s="1">
        <v>44075</v>
      </c>
      <c r="B540" s="1">
        <v>44075</v>
      </c>
      <c r="C540" t="s">
        <v>157</v>
      </c>
      <c r="D540" t="s">
        <v>93</v>
      </c>
      <c r="E540" t="s">
        <v>49</v>
      </c>
      <c r="F540" t="s">
        <v>245</v>
      </c>
      <c r="G540" s="53">
        <v>44153.723773148151</v>
      </c>
      <c r="H540">
        <v>61</v>
      </c>
      <c r="I540" t="s">
        <v>349</v>
      </c>
      <c r="J540" t="s">
        <v>50</v>
      </c>
      <c r="K540" t="s">
        <v>50</v>
      </c>
      <c r="L540" t="s">
        <v>159</v>
      </c>
      <c r="M540" t="s">
        <v>51</v>
      </c>
      <c r="N540" t="s">
        <v>92</v>
      </c>
      <c r="O540" s="1">
        <v>41335</v>
      </c>
      <c r="P540" t="s">
        <v>84</v>
      </c>
      <c r="Q540">
        <v>3</v>
      </c>
      <c r="R540" t="s">
        <v>81</v>
      </c>
      <c r="S540">
        <v>1</v>
      </c>
      <c r="T540">
        <v>-44</v>
      </c>
      <c r="U540">
        <v>-44</v>
      </c>
    </row>
    <row r="541" spans="1:21" x14ac:dyDescent="0.3">
      <c r="A541" s="1">
        <v>44075</v>
      </c>
      <c r="B541" s="1">
        <v>44075</v>
      </c>
      <c r="C541" t="s">
        <v>157</v>
      </c>
      <c r="D541" t="s">
        <v>48</v>
      </c>
      <c r="E541" t="s">
        <v>49</v>
      </c>
      <c r="F541" t="s">
        <v>249</v>
      </c>
      <c r="G541" s="53">
        <v>44111.714999999997</v>
      </c>
      <c r="H541">
        <v>33</v>
      </c>
      <c r="I541">
        <v>15552</v>
      </c>
      <c r="J541" t="s">
        <v>50</v>
      </c>
      <c r="K541" t="s">
        <v>50</v>
      </c>
      <c r="L541" t="s">
        <v>159</v>
      </c>
      <c r="M541" t="s">
        <v>51</v>
      </c>
      <c r="N541" t="s">
        <v>92</v>
      </c>
      <c r="O541" s="1">
        <v>41335</v>
      </c>
      <c r="P541" t="s">
        <v>84</v>
      </c>
      <c r="Q541">
        <v>3</v>
      </c>
      <c r="R541" t="s">
        <v>81</v>
      </c>
      <c r="S541">
        <v>286.86</v>
      </c>
      <c r="T541">
        <v>76.656999999999996</v>
      </c>
      <c r="U541">
        <v>21990</v>
      </c>
    </row>
    <row r="542" spans="1:21" x14ac:dyDescent="0.3">
      <c r="A542" s="1">
        <v>44075</v>
      </c>
      <c r="B542" s="1">
        <v>44075</v>
      </c>
      <c r="C542" t="s">
        <v>157</v>
      </c>
      <c r="D542" t="s">
        <v>54</v>
      </c>
      <c r="E542" t="s">
        <v>21</v>
      </c>
      <c r="F542" t="s">
        <v>248</v>
      </c>
      <c r="G542" s="53">
        <v>44111.714999999997</v>
      </c>
      <c r="H542">
        <v>33</v>
      </c>
      <c r="I542">
        <v>15552</v>
      </c>
      <c r="J542" t="s">
        <v>50</v>
      </c>
      <c r="K542" t="s">
        <v>50</v>
      </c>
      <c r="L542" t="s">
        <v>159</v>
      </c>
      <c r="M542" t="s">
        <v>51</v>
      </c>
      <c r="N542" t="s">
        <v>92</v>
      </c>
      <c r="O542" s="1">
        <v>41335</v>
      </c>
      <c r="P542" t="s">
        <v>84</v>
      </c>
      <c r="Q542">
        <v>3</v>
      </c>
      <c r="R542" t="s">
        <v>81</v>
      </c>
      <c r="S542">
        <v>0</v>
      </c>
      <c r="T542">
        <v>5857.6</v>
      </c>
      <c r="U542">
        <v>0</v>
      </c>
    </row>
    <row r="543" spans="1:21" x14ac:dyDescent="0.3">
      <c r="A543" s="1">
        <v>44075</v>
      </c>
      <c r="B543" s="1">
        <v>44075</v>
      </c>
      <c r="C543" t="s">
        <v>157</v>
      </c>
      <c r="D543" t="s">
        <v>95</v>
      </c>
      <c r="E543" t="s">
        <v>56</v>
      </c>
      <c r="F543" t="s">
        <v>247</v>
      </c>
      <c r="G543" s="53">
        <v>44153.723773148151</v>
      </c>
      <c r="H543">
        <v>61</v>
      </c>
      <c r="I543" t="s">
        <v>349</v>
      </c>
      <c r="J543" t="s">
        <v>50</v>
      </c>
      <c r="K543" t="s">
        <v>50</v>
      </c>
      <c r="L543" t="s">
        <v>159</v>
      </c>
      <c r="M543" t="s">
        <v>51</v>
      </c>
      <c r="N543" t="s">
        <v>92</v>
      </c>
      <c r="O543" s="1">
        <v>41335</v>
      </c>
      <c r="P543" t="s">
        <v>84</v>
      </c>
      <c r="Q543">
        <v>3</v>
      </c>
      <c r="R543" t="s">
        <v>81</v>
      </c>
      <c r="S543">
        <v>1</v>
      </c>
      <c r="T543">
        <v>-1</v>
      </c>
      <c r="U543">
        <v>-1</v>
      </c>
    </row>
    <row r="544" spans="1:21" x14ac:dyDescent="0.3">
      <c r="A544" s="1">
        <v>44075</v>
      </c>
      <c r="B544" s="1">
        <v>44075</v>
      </c>
      <c r="C544" t="s">
        <v>157</v>
      </c>
      <c r="D544" t="s">
        <v>52</v>
      </c>
      <c r="E544" t="s">
        <v>53</v>
      </c>
      <c r="F544" t="s">
        <v>246</v>
      </c>
      <c r="G544" s="53">
        <v>44111.714999999997</v>
      </c>
      <c r="H544">
        <v>33</v>
      </c>
      <c r="I544">
        <v>15552</v>
      </c>
      <c r="J544" t="s">
        <v>50</v>
      </c>
      <c r="K544" t="s">
        <v>50</v>
      </c>
      <c r="L544" t="s">
        <v>159</v>
      </c>
      <c r="M544" t="s">
        <v>51</v>
      </c>
      <c r="N544" t="s">
        <v>92</v>
      </c>
      <c r="O544" s="1">
        <v>41335</v>
      </c>
      <c r="P544" t="s">
        <v>84</v>
      </c>
      <c r="Q544">
        <v>4</v>
      </c>
      <c r="R544" t="s">
        <v>27</v>
      </c>
      <c r="S544">
        <v>0</v>
      </c>
      <c r="T544">
        <v>0</v>
      </c>
      <c r="U544">
        <v>0</v>
      </c>
    </row>
    <row r="545" spans="1:21" x14ac:dyDescent="0.3">
      <c r="A545" s="1">
        <v>44075</v>
      </c>
      <c r="B545" s="1">
        <v>44075</v>
      </c>
      <c r="C545" t="s">
        <v>157</v>
      </c>
      <c r="D545" t="s">
        <v>54</v>
      </c>
      <c r="E545" t="s">
        <v>21</v>
      </c>
      <c r="F545" t="s">
        <v>248</v>
      </c>
      <c r="G545" s="53">
        <v>44111.714999999997</v>
      </c>
      <c r="H545">
        <v>33</v>
      </c>
      <c r="I545">
        <v>15552</v>
      </c>
      <c r="J545" t="s">
        <v>50</v>
      </c>
      <c r="K545" t="s">
        <v>50</v>
      </c>
      <c r="L545" t="s">
        <v>159</v>
      </c>
      <c r="M545" t="s">
        <v>51</v>
      </c>
      <c r="N545" t="s">
        <v>92</v>
      </c>
      <c r="O545" s="1">
        <v>41335</v>
      </c>
      <c r="P545" t="s">
        <v>84</v>
      </c>
      <c r="Q545">
        <v>4</v>
      </c>
      <c r="R545" t="s">
        <v>27</v>
      </c>
      <c r="S545">
        <v>0</v>
      </c>
      <c r="T545">
        <v>5984.39</v>
      </c>
      <c r="U545">
        <v>0</v>
      </c>
    </row>
    <row r="546" spans="1:21" x14ac:dyDescent="0.3">
      <c r="A546" s="1">
        <v>44075</v>
      </c>
      <c r="B546" s="1">
        <v>44075</v>
      </c>
      <c r="C546" t="s">
        <v>157</v>
      </c>
      <c r="D546" t="s">
        <v>95</v>
      </c>
      <c r="E546" t="s">
        <v>56</v>
      </c>
      <c r="F546" t="s">
        <v>247</v>
      </c>
      <c r="G546" s="53">
        <v>44153.723773148151</v>
      </c>
      <c r="H546">
        <v>61</v>
      </c>
      <c r="I546" t="s">
        <v>349</v>
      </c>
      <c r="J546" t="s">
        <v>50</v>
      </c>
      <c r="K546" t="s">
        <v>50</v>
      </c>
      <c r="L546" t="s">
        <v>159</v>
      </c>
      <c r="M546" t="s">
        <v>51</v>
      </c>
      <c r="N546" t="s">
        <v>92</v>
      </c>
      <c r="O546" s="1">
        <v>41335</v>
      </c>
      <c r="P546" t="s">
        <v>84</v>
      </c>
      <c r="Q546">
        <v>4</v>
      </c>
      <c r="R546" t="s">
        <v>27</v>
      </c>
      <c r="S546">
        <v>1</v>
      </c>
      <c r="T546">
        <v>-5</v>
      </c>
      <c r="U546">
        <v>-5</v>
      </c>
    </row>
    <row r="547" spans="1:21" x14ac:dyDescent="0.3">
      <c r="A547" s="1">
        <v>44075</v>
      </c>
      <c r="B547" s="1">
        <v>44075</v>
      </c>
      <c r="C547" t="s">
        <v>157</v>
      </c>
      <c r="D547" t="s">
        <v>55</v>
      </c>
      <c r="E547" t="s">
        <v>56</v>
      </c>
      <c r="F547" t="s">
        <v>250</v>
      </c>
      <c r="G547" s="53">
        <v>44111.714999999997</v>
      </c>
      <c r="H547">
        <v>33</v>
      </c>
      <c r="I547">
        <v>15552</v>
      </c>
      <c r="J547" t="s">
        <v>50</v>
      </c>
      <c r="K547" t="s">
        <v>50</v>
      </c>
      <c r="L547" t="s">
        <v>159</v>
      </c>
      <c r="M547" t="s">
        <v>51</v>
      </c>
      <c r="N547" t="s">
        <v>92</v>
      </c>
      <c r="O547" s="1">
        <v>41335</v>
      </c>
      <c r="P547" t="s">
        <v>84</v>
      </c>
      <c r="Q547">
        <v>4</v>
      </c>
      <c r="R547" t="s">
        <v>27</v>
      </c>
      <c r="S547">
        <v>2447.9884910000001</v>
      </c>
      <c r="T547">
        <v>1.0669999999999999</v>
      </c>
      <c r="U547">
        <v>2612</v>
      </c>
    </row>
    <row r="548" spans="1:21" x14ac:dyDescent="0.3">
      <c r="A548" s="1">
        <v>44075</v>
      </c>
      <c r="B548" s="1">
        <v>44075</v>
      </c>
      <c r="C548" t="s">
        <v>157</v>
      </c>
      <c r="D548" t="s">
        <v>93</v>
      </c>
      <c r="E548" t="s">
        <v>49</v>
      </c>
      <c r="F548" t="s">
        <v>245</v>
      </c>
      <c r="G548" s="53">
        <v>44153.723773148151</v>
      </c>
      <c r="H548">
        <v>61</v>
      </c>
      <c r="I548" t="s">
        <v>349</v>
      </c>
      <c r="J548" t="s">
        <v>50</v>
      </c>
      <c r="K548" t="s">
        <v>50</v>
      </c>
      <c r="L548" t="s">
        <v>159</v>
      </c>
      <c r="M548" t="s">
        <v>51</v>
      </c>
      <c r="N548" t="s">
        <v>92</v>
      </c>
      <c r="O548" s="1">
        <v>41335</v>
      </c>
      <c r="P548" t="s">
        <v>84</v>
      </c>
      <c r="Q548">
        <v>4</v>
      </c>
      <c r="R548" t="s">
        <v>27</v>
      </c>
      <c r="S548">
        <v>1</v>
      </c>
      <c r="T548">
        <v>-390</v>
      </c>
      <c r="U548">
        <v>-390</v>
      </c>
    </row>
    <row r="549" spans="1:21" x14ac:dyDescent="0.3">
      <c r="A549" s="1">
        <v>44075</v>
      </c>
      <c r="B549" s="1">
        <v>44075</v>
      </c>
      <c r="C549" t="s">
        <v>157</v>
      </c>
      <c r="D549" t="s">
        <v>48</v>
      </c>
      <c r="E549" t="s">
        <v>49</v>
      </c>
      <c r="F549" t="s">
        <v>249</v>
      </c>
      <c r="G549" s="53">
        <v>44111.714999999997</v>
      </c>
      <c r="H549">
        <v>33</v>
      </c>
      <c r="I549">
        <v>15552</v>
      </c>
      <c r="J549" t="s">
        <v>50</v>
      </c>
      <c r="K549" t="s">
        <v>50</v>
      </c>
      <c r="L549" t="s">
        <v>159</v>
      </c>
      <c r="M549" t="s">
        <v>51</v>
      </c>
      <c r="N549" t="s">
        <v>92</v>
      </c>
      <c r="O549" s="1">
        <v>41335</v>
      </c>
      <c r="P549" t="s">
        <v>84</v>
      </c>
      <c r="Q549">
        <v>4</v>
      </c>
      <c r="R549" t="s">
        <v>27</v>
      </c>
      <c r="S549">
        <v>2447.9884910000001</v>
      </c>
      <c r="T549">
        <v>76.781000000000006</v>
      </c>
      <c r="U549">
        <v>187959</v>
      </c>
    </row>
    <row r="550" spans="1:21" x14ac:dyDescent="0.3">
      <c r="A550" s="1">
        <v>44075</v>
      </c>
      <c r="B550" s="1">
        <v>44075</v>
      </c>
      <c r="C550" t="s">
        <v>157</v>
      </c>
      <c r="D550" t="s">
        <v>55</v>
      </c>
      <c r="E550" t="s">
        <v>56</v>
      </c>
      <c r="F550" t="s">
        <v>250</v>
      </c>
      <c r="G550" s="53">
        <v>44111.714999999997</v>
      </c>
      <c r="H550">
        <v>33</v>
      </c>
      <c r="I550">
        <v>15552</v>
      </c>
      <c r="J550" t="s">
        <v>50</v>
      </c>
      <c r="K550" t="s">
        <v>50</v>
      </c>
      <c r="L550" t="s">
        <v>159</v>
      </c>
      <c r="M550" t="s">
        <v>51</v>
      </c>
      <c r="N550" t="s">
        <v>92</v>
      </c>
      <c r="O550" s="1">
        <v>41335</v>
      </c>
      <c r="P550" t="s">
        <v>84</v>
      </c>
      <c r="Q550">
        <v>5</v>
      </c>
      <c r="R550" t="s">
        <v>28</v>
      </c>
      <c r="S550">
        <v>10.140453000000001</v>
      </c>
      <c r="T550">
        <v>1.0669999999999999</v>
      </c>
      <c r="U550">
        <v>11</v>
      </c>
    </row>
    <row r="551" spans="1:21" x14ac:dyDescent="0.3">
      <c r="A551" s="1">
        <v>44075</v>
      </c>
      <c r="B551" s="1">
        <v>44075</v>
      </c>
      <c r="C551" t="s">
        <v>157</v>
      </c>
      <c r="D551" t="s">
        <v>54</v>
      </c>
      <c r="E551" t="s">
        <v>21</v>
      </c>
      <c r="F551" t="s">
        <v>248</v>
      </c>
      <c r="G551" s="53">
        <v>44111.714999999997</v>
      </c>
      <c r="H551">
        <v>33</v>
      </c>
      <c r="I551">
        <v>15552</v>
      </c>
      <c r="J551" t="s">
        <v>50</v>
      </c>
      <c r="K551" t="s">
        <v>50</v>
      </c>
      <c r="L551" t="s">
        <v>159</v>
      </c>
      <c r="M551" t="s">
        <v>51</v>
      </c>
      <c r="N551" t="s">
        <v>92</v>
      </c>
      <c r="O551" s="1">
        <v>41335</v>
      </c>
      <c r="P551" t="s">
        <v>84</v>
      </c>
      <c r="Q551">
        <v>5</v>
      </c>
      <c r="R551" t="s">
        <v>28</v>
      </c>
      <c r="S551">
        <v>0</v>
      </c>
      <c r="T551">
        <v>5746.51</v>
      </c>
      <c r="U551">
        <v>0</v>
      </c>
    </row>
    <row r="552" spans="1:21" x14ac:dyDescent="0.3">
      <c r="A552" s="1">
        <v>44075</v>
      </c>
      <c r="B552" s="1">
        <v>44075</v>
      </c>
      <c r="C552" t="s">
        <v>157</v>
      </c>
      <c r="D552" t="s">
        <v>93</v>
      </c>
      <c r="E552" t="s">
        <v>49</v>
      </c>
      <c r="F552" t="s">
        <v>245</v>
      </c>
      <c r="G552" s="53">
        <v>44153.723773148151</v>
      </c>
      <c r="H552">
        <v>61</v>
      </c>
      <c r="I552" t="s">
        <v>349</v>
      </c>
      <c r="J552" t="s">
        <v>50</v>
      </c>
      <c r="K552" t="s">
        <v>50</v>
      </c>
      <c r="L552" t="s">
        <v>159</v>
      </c>
      <c r="M552" t="s">
        <v>51</v>
      </c>
      <c r="N552" t="s">
        <v>92</v>
      </c>
      <c r="O552" s="1">
        <v>41335</v>
      </c>
      <c r="P552" t="s">
        <v>84</v>
      </c>
      <c r="Q552">
        <v>5</v>
      </c>
      <c r="R552" t="s">
        <v>28</v>
      </c>
      <c r="S552">
        <v>1</v>
      </c>
      <c r="T552">
        <v>-2</v>
      </c>
      <c r="U552">
        <v>-2</v>
      </c>
    </row>
    <row r="553" spans="1:21" x14ac:dyDescent="0.3">
      <c r="A553" s="1">
        <v>44075</v>
      </c>
      <c r="B553" s="1">
        <v>44075</v>
      </c>
      <c r="C553" t="s">
        <v>157</v>
      </c>
      <c r="D553" t="s">
        <v>52</v>
      </c>
      <c r="E553" t="s">
        <v>53</v>
      </c>
      <c r="F553" t="s">
        <v>246</v>
      </c>
      <c r="G553" s="53">
        <v>44111.714999999997</v>
      </c>
      <c r="H553">
        <v>33</v>
      </c>
      <c r="I553">
        <v>15552</v>
      </c>
      <c r="J553" t="s">
        <v>50</v>
      </c>
      <c r="K553" t="s">
        <v>50</v>
      </c>
      <c r="L553" t="s">
        <v>159</v>
      </c>
      <c r="M553" t="s">
        <v>51</v>
      </c>
      <c r="N553" t="s">
        <v>92</v>
      </c>
      <c r="O553" s="1">
        <v>41335</v>
      </c>
      <c r="P553" t="s">
        <v>84</v>
      </c>
      <c r="Q553">
        <v>5</v>
      </c>
      <c r="R553" t="s">
        <v>28</v>
      </c>
      <c r="S553">
        <v>0</v>
      </c>
      <c r="T553">
        <v>0</v>
      </c>
      <c r="U553">
        <v>0</v>
      </c>
    </row>
    <row r="554" spans="1:21" x14ac:dyDescent="0.3">
      <c r="A554" s="1">
        <v>44075</v>
      </c>
      <c r="B554" s="1">
        <v>44075</v>
      </c>
      <c r="C554" t="s">
        <v>157</v>
      </c>
      <c r="D554" t="s">
        <v>48</v>
      </c>
      <c r="E554" t="s">
        <v>49</v>
      </c>
      <c r="F554" t="s">
        <v>249</v>
      </c>
      <c r="G554" s="53">
        <v>44111.714999999997</v>
      </c>
      <c r="H554">
        <v>33</v>
      </c>
      <c r="I554">
        <v>15552</v>
      </c>
      <c r="J554" t="s">
        <v>50</v>
      </c>
      <c r="K554" t="s">
        <v>50</v>
      </c>
      <c r="L554" t="s">
        <v>159</v>
      </c>
      <c r="M554" t="s">
        <v>51</v>
      </c>
      <c r="N554" t="s">
        <v>92</v>
      </c>
      <c r="O554" s="1">
        <v>41335</v>
      </c>
      <c r="P554" t="s">
        <v>84</v>
      </c>
      <c r="Q554">
        <v>5</v>
      </c>
      <c r="R554" t="s">
        <v>28</v>
      </c>
      <c r="S554">
        <v>10.140453000000001</v>
      </c>
      <c r="T554">
        <v>79.340999999999994</v>
      </c>
      <c r="U554">
        <v>805</v>
      </c>
    </row>
    <row r="555" spans="1:21" x14ac:dyDescent="0.3">
      <c r="A555" s="1">
        <v>44105</v>
      </c>
      <c r="B555" s="1">
        <v>44105</v>
      </c>
      <c r="C555" t="s">
        <v>157</v>
      </c>
      <c r="D555" t="s">
        <v>54</v>
      </c>
      <c r="E555" t="s">
        <v>21</v>
      </c>
      <c r="F555" t="s">
        <v>251</v>
      </c>
      <c r="G555" s="53">
        <v>44141.821956018517</v>
      </c>
      <c r="H555">
        <v>33</v>
      </c>
      <c r="I555">
        <v>15894</v>
      </c>
      <c r="J555" t="s">
        <v>50</v>
      </c>
      <c r="K555" t="s">
        <v>50</v>
      </c>
      <c r="L555" t="s">
        <v>159</v>
      </c>
      <c r="M555" t="s">
        <v>51</v>
      </c>
      <c r="N555" t="s">
        <v>92</v>
      </c>
      <c r="O555" s="1">
        <v>41335</v>
      </c>
      <c r="P555" t="s">
        <v>84</v>
      </c>
      <c r="Q555">
        <v>1</v>
      </c>
      <c r="R555" t="s">
        <v>83</v>
      </c>
      <c r="S555">
        <v>0</v>
      </c>
      <c r="T555">
        <v>6059.26</v>
      </c>
      <c r="U555">
        <v>0</v>
      </c>
    </row>
    <row r="556" spans="1:21" x14ac:dyDescent="0.3">
      <c r="A556" s="1">
        <v>44105</v>
      </c>
      <c r="B556" s="1">
        <v>44105</v>
      </c>
      <c r="C556" t="s">
        <v>157</v>
      </c>
      <c r="D556" t="s">
        <v>52</v>
      </c>
      <c r="E556" t="s">
        <v>53</v>
      </c>
      <c r="F556" t="s">
        <v>252</v>
      </c>
      <c r="G556" s="53">
        <v>44141.821956018517</v>
      </c>
      <c r="H556">
        <v>33</v>
      </c>
      <c r="I556">
        <v>15894</v>
      </c>
      <c r="J556" t="s">
        <v>50</v>
      </c>
      <c r="K556" t="s">
        <v>50</v>
      </c>
      <c r="L556" t="s">
        <v>159</v>
      </c>
      <c r="M556" t="s">
        <v>51</v>
      </c>
      <c r="N556" t="s">
        <v>92</v>
      </c>
      <c r="O556" s="1">
        <v>41335</v>
      </c>
      <c r="P556" t="s">
        <v>84</v>
      </c>
      <c r="Q556">
        <v>1</v>
      </c>
      <c r="R556" t="s">
        <v>83</v>
      </c>
      <c r="S556">
        <v>0</v>
      </c>
      <c r="T556">
        <v>2.32504</v>
      </c>
      <c r="U556">
        <v>2</v>
      </c>
    </row>
    <row r="557" spans="1:21" x14ac:dyDescent="0.3">
      <c r="A557" s="1">
        <v>44105</v>
      </c>
      <c r="B557" s="1">
        <v>44105</v>
      </c>
      <c r="C557" t="s">
        <v>157</v>
      </c>
      <c r="D557" t="s">
        <v>93</v>
      </c>
      <c r="E557" t="s">
        <v>49</v>
      </c>
      <c r="F557" t="s">
        <v>253</v>
      </c>
      <c r="G557" s="53">
        <v>44221.697384259256</v>
      </c>
      <c r="H557">
        <v>61</v>
      </c>
      <c r="I557" t="s">
        <v>349</v>
      </c>
      <c r="J557" t="s">
        <v>50</v>
      </c>
      <c r="K557" t="s">
        <v>50</v>
      </c>
      <c r="L557" t="s">
        <v>159</v>
      </c>
      <c r="M557" t="s">
        <v>51</v>
      </c>
      <c r="N557" t="s">
        <v>92</v>
      </c>
      <c r="O557" s="1">
        <v>41335</v>
      </c>
      <c r="P557" t="s">
        <v>84</v>
      </c>
      <c r="Q557">
        <v>1</v>
      </c>
      <c r="R557" t="s">
        <v>83</v>
      </c>
      <c r="S557">
        <v>1</v>
      </c>
      <c r="T557">
        <v>-570</v>
      </c>
      <c r="U557">
        <v>-570</v>
      </c>
    </row>
    <row r="558" spans="1:21" x14ac:dyDescent="0.3">
      <c r="A558" s="1">
        <v>44105</v>
      </c>
      <c r="B558" s="1">
        <v>44105</v>
      </c>
      <c r="C558" t="s">
        <v>157</v>
      </c>
      <c r="D558" t="s">
        <v>95</v>
      </c>
      <c r="E558" t="s">
        <v>56</v>
      </c>
      <c r="F558" t="s">
        <v>254</v>
      </c>
      <c r="G558" s="53">
        <v>44221.697384259256</v>
      </c>
      <c r="H558">
        <v>61</v>
      </c>
      <c r="I558" t="s">
        <v>349</v>
      </c>
      <c r="J558" t="s">
        <v>50</v>
      </c>
      <c r="K558" t="s">
        <v>50</v>
      </c>
      <c r="L558" t="s">
        <v>159</v>
      </c>
      <c r="M558" t="s">
        <v>51</v>
      </c>
      <c r="N558" t="s">
        <v>92</v>
      </c>
      <c r="O558" s="1">
        <v>41335</v>
      </c>
      <c r="P558" t="s">
        <v>84</v>
      </c>
      <c r="Q558">
        <v>1</v>
      </c>
      <c r="R558" t="s">
        <v>83</v>
      </c>
      <c r="S558">
        <v>1</v>
      </c>
      <c r="T558">
        <v>-2594</v>
      </c>
      <c r="U558">
        <v>-2594</v>
      </c>
    </row>
    <row r="559" spans="1:21" x14ac:dyDescent="0.3">
      <c r="A559" s="1">
        <v>44105</v>
      </c>
      <c r="B559" s="1">
        <v>44105</v>
      </c>
      <c r="C559" t="s">
        <v>157</v>
      </c>
      <c r="D559" t="s">
        <v>55</v>
      </c>
      <c r="E559" t="s">
        <v>56</v>
      </c>
      <c r="F559" t="s">
        <v>255</v>
      </c>
      <c r="G559" s="53">
        <v>44141.821956018517</v>
      </c>
      <c r="H559">
        <v>33</v>
      </c>
      <c r="I559">
        <v>15894</v>
      </c>
      <c r="J559" t="s">
        <v>50</v>
      </c>
      <c r="K559" t="s">
        <v>50</v>
      </c>
      <c r="L559" t="s">
        <v>159</v>
      </c>
      <c r="M559" t="s">
        <v>51</v>
      </c>
      <c r="N559" t="s">
        <v>92</v>
      </c>
      <c r="O559" s="1">
        <v>41335</v>
      </c>
      <c r="P559" t="s">
        <v>84</v>
      </c>
      <c r="Q559">
        <v>1</v>
      </c>
      <c r="R559" t="s">
        <v>83</v>
      </c>
      <c r="S559">
        <v>2430.743117</v>
      </c>
      <c r="T559">
        <v>1.0669999999999999</v>
      </c>
      <c r="U559">
        <v>2594</v>
      </c>
    </row>
    <row r="560" spans="1:21" x14ac:dyDescent="0.3">
      <c r="A560" s="1">
        <v>44105</v>
      </c>
      <c r="B560" s="1">
        <v>44105</v>
      </c>
      <c r="C560" t="s">
        <v>157</v>
      </c>
      <c r="D560" t="s">
        <v>48</v>
      </c>
      <c r="E560" t="s">
        <v>49</v>
      </c>
      <c r="F560" t="s">
        <v>256</v>
      </c>
      <c r="G560" s="53">
        <v>44141.821956018517</v>
      </c>
      <c r="H560">
        <v>33</v>
      </c>
      <c r="I560">
        <v>15894</v>
      </c>
      <c r="J560" t="s">
        <v>50</v>
      </c>
      <c r="K560" t="s">
        <v>50</v>
      </c>
      <c r="L560" t="s">
        <v>159</v>
      </c>
      <c r="M560" t="s">
        <v>51</v>
      </c>
      <c r="N560" t="s">
        <v>92</v>
      </c>
      <c r="O560" s="1">
        <v>41335</v>
      </c>
      <c r="P560" t="s">
        <v>84</v>
      </c>
      <c r="Q560">
        <v>1</v>
      </c>
      <c r="R560" t="s">
        <v>83</v>
      </c>
      <c r="S560">
        <v>2430.743117</v>
      </c>
      <c r="T560">
        <v>80.344999999999999</v>
      </c>
      <c r="U560">
        <v>195298</v>
      </c>
    </row>
    <row r="561" spans="1:21" x14ac:dyDescent="0.3">
      <c r="A561" s="1">
        <v>44105</v>
      </c>
      <c r="B561" s="1">
        <v>44105</v>
      </c>
      <c r="C561" t="s">
        <v>157</v>
      </c>
      <c r="D561" t="s">
        <v>95</v>
      </c>
      <c r="E561" t="s">
        <v>56</v>
      </c>
      <c r="F561" t="s">
        <v>254</v>
      </c>
      <c r="G561" s="53">
        <v>44221.697384259256</v>
      </c>
      <c r="H561">
        <v>61</v>
      </c>
      <c r="I561" t="s">
        <v>349</v>
      </c>
      <c r="J561" t="s">
        <v>50</v>
      </c>
      <c r="K561" t="s">
        <v>50</v>
      </c>
      <c r="L561" t="s">
        <v>159</v>
      </c>
      <c r="M561" t="s">
        <v>51</v>
      </c>
      <c r="N561" t="s">
        <v>92</v>
      </c>
      <c r="O561" s="1">
        <v>41335</v>
      </c>
      <c r="P561" t="s">
        <v>84</v>
      </c>
      <c r="Q561">
        <v>2</v>
      </c>
      <c r="R561" t="s">
        <v>94</v>
      </c>
      <c r="S561">
        <v>1</v>
      </c>
      <c r="T561">
        <v>-11</v>
      </c>
      <c r="U561">
        <v>-11</v>
      </c>
    </row>
    <row r="562" spans="1:21" x14ac:dyDescent="0.3">
      <c r="A562" s="1">
        <v>44105</v>
      </c>
      <c r="B562" s="1">
        <v>44105</v>
      </c>
      <c r="C562" t="s">
        <v>157</v>
      </c>
      <c r="D562" t="s">
        <v>54</v>
      </c>
      <c r="E562" t="s">
        <v>21</v>
      </c>
      <c r="F562" t="s">
        <v>251</v>
      </c>
      <c r="G562" s="53">
        <v>44141.821956018517</v>
      </c>
      <c r="H562">
        <v>33</v>
      </c>
      <c r="I562">
        <v>15894</v>
      </c>
      <c r="J562" t="s">
        <v>50</v>
      </c>
      <c r="K562" t="s">
        <v>50</v>
      </c>
      <c r="L562" t="s">
        <v>159</v>
      </c>
      <c r="M562" t="s">
        <v>51</v>
      </c>
      <c r="N562" t="s">
        <v>92</v>
      </c>
      <c r="O562" s="1">
        <v>41335</v>
      </c>
      <c r="P562" t="s">
        <v>84</v>
      </c>
      <c r="Q562">
        <v>2</v>
      </c>
      <c r="R562" t="s">
        <v>94</v>
      </c>
      <c r="S562">
        <v>0</v>
      </c>
      <c r="T562">
        <v>6135.33</v>
      </c>
      <c r="U562">
        <v>0</v>
      </c>
    </row>
    <row r="563" spans="1:21" x14ac:dyDescent="0.3">
      <c r="A563" s="1">
        <v>44105</v>
      </c>
      <c r="B563" s="1">
        <v>44105</v>
      </c>
      <c r="C563" t="s">
        <v>157</v>
      </c>
      <c r="D563" t="s">
        <v>93</v>
      </c>
      <c r="E563" t="s">
        <v>49</v>
      </c>
      <c r="F563" t="s">
        <v>253</v>
      </c>
      <c r="G563" s="53">
        <v>44221.697384259256</v>
      </c>
      <c r="H563">
        <v>61</v>
      </c>
      <c r="I563" t="s">
        <v>349</v>
      </c>
      <c r="J563" t="s">
        <v>50</v>
      </c>
      <c r="K563" t="s">
        <v>50</v>
      </c>
      <c r="L563" t="s">
        <v>159</v>
      </c>
      <c r="M563" t="s">
        <v>51</v>
      </c>
      <c r="N563" t="s">
        <v>92</v>
      </c>
      <c r="O563" s="1">
        <v>41335</v>
      </c>
      <c r="P563" t="s">
        <v>84</v>
      </c>
      <c r="Q563">
        <v>2</v>
      </c>
      <c r="R563" t="s">
        <v>94</v>
      </c>
      <c r="S563">
        <v>1</v>
      </c>
      <c r="T563">
        <v>-3</v>
      </c>
      <c r="U563">
        <v>-3</v>
      </c>
    </row>
    <row r="564" spans="1:21" x14ac:dyDescent="0.3">
      <c r="A564" s="1">
        <v>44105</v>
      </c>
      <c r="B564" s="1">
        <v>44105</v>
      </c>
      <c r="C564" t="s">
        <v>157</v>
      </c>
      <c r="D564" t="s">
        <v>52</v>
      </c>
      <c r="E564" t="s">
        <v>53</v>
      </c>
      <c r="F564" t="s">
        <v>252</v>
      </c>
      <c r="G564" s="53">
        <v>44141.821956018517</v>
      </c>
      <c r="H564">
        <v>33</v>
      </c>
      <c r="I564">
        <v>15894</v>
      </c>
      <c r="J564" t="s">
        <v>50</v>
      </c>
      <c r="K564" t="s">
        <v>50</v>
      </c>
      <c r="L564" t="s">
        <v>159</v>
      </c>
      <c r="M564" t="s">
        <v>51</v>
      </c>
      <c r="N564" t="s">
        <v>92</v>
      </c>
      <c r="O564" s="1">
        <v>41335</v>
      </c>
      <c r="P564" t="s">
        <v>84</v>
      </c>
      <c r="Q564">
        <v>2</v>
      </c>
      <c r="R564" t="s">
        <v>94</v>
      </c>
      <c r="S564">
        <v>0</v>
      </c>
      <c r="T564">
        <v>0</v>
      </c>
      <c r="U564">
        <v>0</v>
      </c>
    </row>
    <row r="565" spans="1:21" x14ac:dyDescent="0.3">
      <c r="A565" s="1">
        <v>44105</v>
      </c>
      <c r="B565" s="1">
        <v>44105</v>
      </c>
      <c r="C565" t="s">
        <v>157</v>
      </c>
      <c r="D565" t="s">
        <v>48</v>
      </c>
      <c r="E565" t="s">
        <v>49</v>
      </c>
      <c r="F565" t="s">
        <v>256</v>
      </c>
      <c r="G565" s="53">
        <v>44141.821956018517</v>
      </c>
      <c r="H565">
        <v>33</v>
      </c>
      <c r="I565">
        <v>15894</v>
      </c>
      <c r="J565" t="s">
        <v>50</v>
      </c>
      <c r="K565" t="s">
        <v>50</v>
      </c>
      <c r="L565" t="s">
        <v>159</v>
      </c>
      <c r="M565" t="s">
        <v>51</v>
      </c>
      <c r="N565" t="s">
        <v>92</v>
      </c>
      <c r="O565" s="1">
        <v>41335</v>
      </c>
      <c r="P565" t="s">
        <v>84</v>
      </c>
      <c r="Q565">
        <v>2</v>
      </c>
      <c r="R565" t="s">
        <v>94</v>
      </c>
      <c r="S565">
        <v>10.588209000000001</v>
      </c>
      <c r="T565">
        <v>81.489000000000004</v>
      </c>
      <c r="U565">
        <v>863</v>
      </c>
    </row>
    <row r="566" spans="1:21" x14ac:dyDescent="0.3">
      <c r="A566" s="1">
        <v>44105</v>
      </c>
      <c r="B566" s="1">
        <v>44105</v>
      </c>
      <c r="C566" t="s">
        <v>157</v>
      </c>
      <c r="D566" t="s">
        <v>55</v>
      </c>
      <c r="E566" t="s">
        <v>56</v>
      </c>
      <c r="F566" t="s">
        <v>255</v>
      </c>
      <c r="G566" s="53">
        <v>44141.821956018517</v>
      </c>
      <c r="H566">
        <v>33</v>
      </c>
      <c r="I566">
        <v>15894</v>
      </c>
      <c r="J566" t="s">
        <v>50</v>
      </c>
      <c r="K566" t="s">
        <v>50</v>
      </c>
      <c r="L566" t="s">
        <v>159</v>
      </c>
      <c r="M566" t="s">
        <v>51</v>
      </c>
      <c r="N566" t="s">
        <v>92</v>
      </c>
      <c r="O566" s="1">
        <v>41335</v>
      </c>
      <c r="P566" t="s">
        <v>84</v>
      </c>
      <c r="Q566">
        <v>2</v>
      </c>
      <c r="R566" t="s">
        <v>94</v>
      </c>
      <c r="S566">
        <v>10.588209000000001</v>
      </c>
      <c r="T566">
        <v>1.0669999999999999</v>
      </c>
      <c r="U566">
        <v>11</v>
      </c>
    </row>
    <row r="567" spans="1:21" x14ac:dyDescent="0.3">
      <c r="A567" s="1">
        <v>44105</v>
      </c>
      <c r="B567" s="1">
        <v>44105</v>
      </c>
      <c r="C567" t="s">
        <v>157</v>
      </c>
      <c r="D567" t="s">
        <v>52</v>
      </c>
      <c r="E567" t="s">
        <v>53</v>
      </c>
      <c r="F567" t="s">
        <v>252</v>
      </c>
      <c r="G567" s="53">
        <v>44141.821956018517</v>
      </c>
      <c r="H567">
        <v>33</v>
      </c>
      <c r="I567">
        <v>15894</v>
      </c>
      <c r="J567" t="s">
        <v>50</v>
      </c>
      <c r="K567" t="s">
        <v>50</v>
      </c>
      <c r="L567" t="s">
        <v>159</v>
      </c>
      <c r="M567" t="s">
        <v>51</v>
      </c>
      <c r="N567" t="s">
        <v>92</v>
      </c>
      <c r="O567" s="1">
        <v>41335</v>
      </c>
      <c r="P567" t="s">
        <v>84</v>
      </c>
      <c r="Q567">
        <v>3</v>
      </c>
      <c r="R567" t="s">
        <v>81</v>
      </c>
      <c r="S567">
        <v>0</v>
      </c>
      <c r="T567">
        <v>0</v>
      </c>
      <c r="U567">
        <v>0</v>
      </c>
    </row>
    <row r="568" spans="1:21" x14ac:dyDescent="0.3">
      <c r="A568" s="1">
        <v>44105</v>
      </c>
      <c r="B568" s="1">
        <v>44105</v>
      </c>
      <c r="C568" t="s">
        <v>157</v>
      </c>
      <c r="D568" t="s">
        <v>95</v>
      </c>
      <c r="E568" t="s">
        <v>56</v>
      </c>
      <c r="F568" t="s">
        <v>254</v>
      </c>
      <c r="G568" s="53">
        <v>44221.697384259256</v>
      </c>
      <c r="H568">
        <v>61</v>
      </c>
      <c r="I568" t="s">
        <v>349</v>
      </c>
      <c r="J568" t="s">
        <v>50</v>
      </c>
      <c r="K568" t="s">
        <v>50</v>
      </c>
      <c r="L568" t="s">
        <v>159</v>
      </c>
      <c r="M568" t="s">
        <v>51</v>
      </c>
      <c r="N568" t="s">
        <v>92</v>
      </c>
      <c r="O568" s="1">
        <v>41335</v>
      </c>
      <c r="P568" t="s">
        <v>84</v>
      </c>
      <c r="Q568">
        <v>3</v>
      </c>
      <c r="R568" t="s">
        <v>81</v>
      </c>
      <c r="S568">
        <v>1</v>
      </c>
      <c r="T568">
        <v>-383</v>
      </c>
      <c r="U568">
        <v>-383</v>
      </c>
    </row>
    <row r="569" spans="1:21" x14ac:dyDescent="0.3">
      <c r="A569" s="1">
        <v>44105</v>
      </c>
      <c r="B569" s="1">
        <v>44105</v>
      </c>
      <c r="C569" t="s">
        <v>157</v>
      </c>
      <c r="D569" t="s">
        <v>55</v>
      </c>
      <c r="E569" t="s">
        <v>56</v>
      </c>
      <c r="F569" t="s">
        <v>255</v>
      </c>
      <c r="G569" s="53">
        <v>44141.821956018517</v>
      </c>
      <c r="H569">
        <v>33</v>
      </c>
      <c r="I569">
        <v>15894</v>
      </c>
      <c r="J569" t="s">
        <v>50</v>
      </c>
      <c r="K569" t="s">
        <v>50</v>
      </c>
      <c r="L569" t="s">
        <v>159</v>
      </c>
      <c r="M569" t="s">
        <v>51</v>
      </c>
      <c r="N569" t="s">
        <v>92</v>
      </c>
      <c r="O569" s="1">
        <v>41335</v>
      </c>
      <c r="P569" t="s">
        <v>84</v>
      </c>
      <c r="Q569">
        <v>3</v>
      </c>
      <c r="R569" t="s">
        <v>81</v>
      </c>
      <c r="S569">
        <v>359.39598799999999</v>
      </c>
      <c r="T569">
        <v>1.0669999999999999</v>
      </c>
      <c r="U569">
        <v>383</v>
      </c>
    </row>
    <row r="570" spans="1:21" x14ac:dyDescent="0.3">
      <c r="A570" s="1">
        <v>44105</v>
      </c>
      <c r="B570" s="1">
        <v>44105</v>
      </c>
      <c r="C570" t="s">
        <v>157</v>
      </c>
      <c r="D570" t="s">
        <v>48</v>
      </c>
      <c r="E570" t="s">
        <v>49</v>
      </c>
      <c r="F570" t="s">
        <v>256</v>
      </c>
      <c r="G570" s="53">
        <v>44141.821956018517</v>
      </c>
      <c r="H570">
        <v>33</v>
      </c>
      <c r="I570">
        <v>15894</v>
      </c>
      <c r="J570" t="s">
        <v>50</v>
      </c>
      <c r="K570" t="s">
        <v>50</v>
      </c>
      <c r="L570" t="s">
        <v>159</v>
      </c>
      <c r="M570" t="s">
        <v>51</v>
      </c>
      <c r="N570" t="s">
        <v>92</v>
      </c>
      <c r="O570" s="1">
        <v>41335</v>
      </c>
      <c r="P570" t="s">
        <v>84</v>
      </c>
      <c r="Q570">
        <v>3</v>
      </c>
      <c r="R570" t="s">
        <v>81</v>
      </c>
      <c r="S570">
        <v>359.39598799999999</v>
      </c>
      <c r="T570">
        <v>76.656999999999996</v>
      </c>
      <c r="U570">
        <v>27550</v>
      </c>
    </row>
    <row r="571" spans="1:21" x14ac:dyDescent="0.3">
      <c r="A571" s="1">
        <v>44105</v>
      </c>
      <c r="B571" s="1">
        <v>44105</v>
      </c>
      <c r="C571" t="s">
        <v>157</v>
      </c>
      <c r="D571" t="s">
        <v>93</v>
      </c>
      <c r="E571" t="s">
        <v>49</v>
      </c>
      <c r="F571" t="s">
        <v>253</v>
      </c>
      <c r="G571" s="53">
        <v>44221.697384259256</v>
      </c>
      <c r="H571">
        <v>61</v>
      </c>
      <c r="I571" t="s">
        <v>349</v>
      </c>
      <c r="J571" t="s">
        <v>50</v>
      </c>
      <c r="K571" t="s">
        <v>50</v>
      </c>
      <c r="L571" t="s">
        <v>159</v>
      </c>
      <c r="M571" t="s">
        <v>51</v>
      </c>
      <c r="N571" t="s">
        <v>92</v>
      </c>
      <c r="O571" s="1">
        <v>41335</v>
      </c>
      <c r="P571" t="s">
        <v>84</v>
      </c>
      <c r="Q571">
        <v>3</v>
      </c>
      <c r="R571" t="s">
        <v>81</v>
      </c>
      <c r="S571">
        <v>1</v>
      </c>
      <c r="T571">
        <v>-80</v>
      </c>
      <c r="U571">
        <v>-80</v>
      </c>
    </row>
    <row r="572" spans="1:21" x14ac:dyDescent="0.3">
      <c r="A572" s="1">
        <v>44105</v>
      </c>
      <c r="B572" s="1">
        <v>44105</v>
      </c>
      <c r="C572" t="s">
        <v>157</v>
      </c>
      <c r="D572" t="s">
        <v>54</v>
      </c>
      <c r="E572" t="s">
        <v>21</v>
      </c>
      <c r="F572" t="s">
        <v>251</v>
      </c>
      <c r="G572" s="53">
        <v>44141.821956018517</v>
      </c>
      <c r="H572">
        <v>33</v>
      </c>
      <c r="I572">
        <v>15894</v>
      </c>
      <c r="J572" t="s">
        <v>50</v>
      </c>
      <c r="K572" t="s">
        <v>50</v>
      </c>
      <c r="L572" t="s">
        <v>159</v>
      </c>
      <c r="M572" t="s">
        <v>51</v>
      </c>
      <c r="N572" t="s">
        <v>92</v>
      </c>
      <c r="O572" s="1">
        <v>41335</v>
      </c>
      <c r="P572" t="s">
        <v>84</v>
      </c>
      <c r="Q572">
        <v>3</v>
      </c>
      <c r="R572" t="s">
        <v>81</v>
      </c>
      <c r="S572">
        <v>0</v>
      </c>
      <c r="T572">
        <v>5857.6</v>
      </c>
      <c r="U572">
        <v>0</v>
      </c>
    </row>
    <row r="573" spans="1:21" x14ac:dyDescent="0.3">
      <c r="A573" s="1">
        <v>44105</v>
      </c>
      <c r="B573" s="1">
        <v>44105</v>
      </c>
      <c r="C573" t="s">
        <v>157</v>
      </c>
      <c r="D573" t="s">
        <v>52</v>
      </c>
      <c r="E573" t="s">
        <v>53</v>
      </c>
      <c r="F573" t="s">
        <v>252</v>
      </c>
      <c r="G573" s="53">
        <v>44141.821956018517</v>
      </c>
      <c r="H573">
        <v>33</v>
      </c>
      <c r="I573">
        <v>15894</v>
      </c>
      <c r="J573" t="s">
        <v>50</v>
      </c>
      <c r="K573" t="s">
        <v>50</v>
      </c>
      <c r="L573" t="s">
        <v>159</v>
      </c>
      <c r="M573" t="s">
        <v>51</v>
      </c>
      <c r="N573" t="s">
        <v>92</v>
      </c>
      <c r="O573" s="1">
        <v>41335</v>
      </c>
      <c r="P573" t="s">
        <v>84</v>
      </c>
      <c r="Q573">
        <v>4</v>
      </c>
      <c r="R573" t="s">
        <v>27</v>
      </c>
      <c r="S573">
        <v>0</v>
      </c>
      <c r="T573">
        <v>0</v>
      </c>
      <c r="U573">
        <v>0</v>
      </c>
    </row>
    <row r="574" spans="1:21" x14ac:dyDescent="0.3">
      <c r="A574" s="1">
        <v>44105</v>
      </c>
      <c r="B574" s="1">
        <v>44105</v>
      </c>
      <c r="C574" t="s">
        <v>157</v>
      </c>
      <c r="D574" t="s">
        <v>54</v>
      </c>
      <c r="E574" t="s">
        <v>21</v>
      </c>
      <c r="F574" t="s">
        <v>251</v>
      </c>
      <c r="G574" s="53">
        <v>44141.821956018517</v>
      </c>
      <c r="H574">
        <v>33</v>
      </c>
      <c r="I574">
        <v>15894</v>
      </c>
      <c r="J574" t="s">
        <v>50</v>
      </c>
      <c r="K574" t="s">
        <v>50</v>
      </c>
      <c r="L574" t="s">
        <v>159</v>
      </c>
      <c r="M574" t="s">
        <v>51</v>
      </c>
      <c r="N574" t="s">
        <v>92</v>
      </c>
      <c r="O574" s="1">
        <v>41335</v>
      </c>
      <c r="P574" t="s">
        <v>84</v>
      </c>
      <c r="Q574">
        <v>4</v>
      </c>
      <c r="R574" t="s">
        <v>27</v>
      </c>
      <c r="S574">
        <v>0</v>
      </c>
      <c r="T574">
        <v>5984.39</v>
      </c>
      <c r="U574">
        <v>0</v>
      </c>
    </row>
    <row r="575" spans="1:21" x14ac:dyDescent="0.3">
      <c r="A575" s="1">
        <v>44105</v>
      </c>
      <c r="B575" s="1">
        <v>44105</v>
      </c>
      <c r="C575" t="s">
        <v>157</v>
      </c>
      <c r="D575" t="s">
        <v>48</v>
      </c>
      <c r="E575" t="s">
        <v>49</v>
      </c>
      <c r="F575" t="s">
        <v>256</v>
      </c>
      <c r="G575" s="53">
        <v>44141.821956018517</v>
      </c>
      <c r="H575">
        <v>33</v>
      </c>
      <c r="I575">
        <v>15894</v>
      </c>
      <c r="J575" t="s">
        <v>50</v>
      </c>
      <c r="K575" t="s">
        <v>50</v>
      </c>
      <c r="L575" t="s">
        <v>159</v>
      </c>
      <c r="M575" t="s">
        <v>51</v>
      </c>
      <c r="N575" t="s">
        <v>92</v>
      </c>
      <c r="O575" s="1">
        <v>41335</v>
      </c>
      <c r="P575" t="s">
        <v>84</v>
      </c>
      <c r="Q575">
        <v>4</v>
      </c>
      <c r="R575" t="s">
        <v>27</v>
      </c>
      <c r="S575">
        <v>3072.8331600000001</v>
      </c>
      <c r="T575">
        <v>76.781000000000006</v>
      </c>
      <c r="U575">
        <v>235935</v>
      </c>
    </row>
    <row r="576" spans="1:21" x14ac:dyDescent="0.3">
      <c r="A576" s="1">
        <v>44105</v>
      </c>
      <c r="B576" s="1">
        <v>44105</v>
      </c>
      <c r="C576" t="s">
        <v>157</v>
      </c>
      <c r="D576" t="s">
        <v>95</v>
      </c>
      <c r="E576" t="s">
        <v>56</v>
      </c>
      <c r="F576" t="s">
        <v>254</v>
      </c>
      <c r="G576" s="53">
        <v>44221.697384259256</v>
      </c>
      <c r="H576">
        <v>61</v>
      </c>
      <c r="I576" t="s">
        <v>349</v>
      </c>
      <c r="J576" t="s">
        <v>50</v>
      </c>
      <c r="K576" t="s">
        <v>50</v>
      </c>
      <c r="L576" t="s">
        <v>159</v>
      </c>
      <c r="M576" t="s">
        <v>51</v>
      </c>
      <c r="N576" t="s">
        <v>92</v>
      </c>
      <c r="O576" s="1">
        <v>41335</v>
      </c>
      <c r="P576" t="s">
        <v>84</v>
      </c>
      <c r="Q576">
        <v>4</v>
      </c>
      <c r="R576" t="s">
        <v>27</v>
      </c>
      <c r="S576">
        <v>1</v>
      </c>
      <c r="T576">
        <v>-3279</v>
      </c>
      <c r="U576">
        <v>-3279</v>
      </c>
    </row>
    <row r="577" spans="1:21" x14ac:dyDescent="0.3">
      <c r="A577" s="1">
        <v>44105</v>
      </c>
      <c r="B577" s="1">
        <v>44105</v>
      </c>
      <c r="C577" t="s">
        <v>157</v>
      </c>
      <c r="D577" t="s">
        <v>93</v>
      </c>
      <c r="E577" t="s">
        <v>49</v>
      </c>
      <c r="F577" t="s">
        <v>253</v>
      </c>
      <c r="G577" s="53">
        <v>44221.697384259256</v>
      </c>
      <c r="H577">
        <v>61</v>
      </c>
      <c r="I577" t="s">
        <v>349</v>
      </c>
      <c r="J577" t="s">
        <v>50</v>
      </c>
      <c r="K577" t="s">
        <v>50</v>
      </c>
      <c r="L577" t="s">
        <v>159</v>
      </c>
      <c r="M577" t="s">
        <v>51</v>
      </c>
      <c r="N577" t="s">
        <v>92</v>
      </c>
      <c r="O577" s="1">
        <v>41335</v>
      </c>
      <c r="P577" t="s">
        <v>84</v>
      </c>
      <c r="Q577">
        <v>4</v>
      </c>
      <c r="R577" t="s">
        <v>27</v>
      </c>
      <c r="S577">
        <v>1</v>
      </c>
      <c r="T577">
        <v>-689</v>
      </c>
      <c r="U577">
        <v>-689</v>
      </c>
    </row>
    <row r="578" spans="1:21" x14ac:dyDescent="0.3">
      <c r="A578" s="1">
        <v>44105</v>
      </c>
      <c r="B578" s="1">
        <v>44105</v>
      </c>
      <c r="C578" t="s">
        <v>157</v>
      </c>
      <c r="D578" t="s">
        <v>55</v>
      </c>
      <c r="E578" t="s">
        <v>56</v>
      </c>
      <c r="F578" t="s">
        <v>255</v>
      </c>
      <c r="G578" s="53">
        <v>44141.821956018517</v>
      </c>
      <c r="H578">
        <v>33</v>
      </c>
      <c r="I578">
        <v>15894</v>
      </c>
      <c r="J578" t="s">
        <v>50</v>
      </c>
      <c r="K578" t="s">
        <v>50</v>
      </c>
      <c r="L578" t="s">
        <v>159</v>
      </c>
      <c r="M578" t="s">
        <v>51</v>
      </c>
      <c r="N578" t="s">
        <v>92</v>
      </c>
      <c r="O578" s="1">
        <v>41335</v>
      </c>
      <c r="P578" t="s">
        <v>84</v>
      </c>
      <c r="Q578">
        <v>4</v>
      </c>
      <c r="R578" t="s">
        <v>27</v>
      </c>
      <c r="S578">
        <v>3072.8331600000001</v>
      </c>
      <c r="T578">
        <v>1.0669999999999999</v>
      </c>
      <c r="U578">
        <v>3279</v>
      </c>
    </row>
    <row r="579" spans="1:21" x14ac:dyDescent="0.3">
      <c r="A579" s="1">
        <v>44105</v>
      </c>
      <c r="B579" s="1">
        <v>44105</v>
      </c>
      <c r="C579" t="s">
        <v>157</v>
      </c>
      <c r="D579" t="s">
        <v>54</v>
      </c>
      <c r="E579" t="s">
        <v>21</v>
      </c>
      <c r="F579" t="s">
        <v>251</v>
      </c>
      <c r="G579" s="53">
        <v>44141.821956018517</v>
      </c>
      <c r="H579">
        <v>33</v>
      </c>
      <c r="I579">
        <v>15894</v>
      </c>
      <c r="J579" t="s">
        <v>50</v>
      </c>
      <c r="K579" t="s">
        <v>50</v>
      </c>
      <c r="L579" t="s">
        <v>159</v>
      </c>
      <c r="M579" t="s">
        <v>51</v>
      </c>
      <c r="N579" t="s">
        <v>92</v>
      </c>
      <c r="O579" s="1">
        <v>41335</v>
      </c>
      <c r="P579" t="s">
        <v>84</v>
      </c>
      <c r="Q579">
        <v>5</v>
      </c>
      <c r="R579" t="s">
        <v>28</v>
      </c>
      <c r="S579">
        <v>0</v>
      </c>
      <c r="T579">
        <v>5746.51</v>
      </c>
      <c r="U579">
        <v>0</v>
      </c>
    </row>
    <row r="580" spans="1:21" x14ac:dyDescent="0.3">
      <c r="A580" s="1">
        <v>44105</v>
      </c>
      <c r="B580" s="1">
        <v>44105</v>
      </c>
      <c r="C580" t="s">
        <v>157</v>
      </c>
      <c r="D580" t="s">
        <v>52</v>
      </c>
      <c r="E580" t="s">
        <v>53</v>
      </c>
      <c r="F580" t="s">
        <v>252</v>
      </c>
      <c r="G580" s="53">
        <v>44141.821956018517</v>
      </c>
      <c r="H580">
        <v>33</v>
      </c>
      <c r="I580">
        <v>15894</v>
      </c>
      <c r="J580" t="s">
        <v>50</v>
      </c>
      <c r="K580" t="s">
        <v>50</v>
      </c>
      <c r="L580" t="s">
        <v>159</v>
      </c>
      <c r="M580" t="s">
        <v>51</v>
      </c>
      <c r="N580" t="s">
        <v>92</v>
      </c>
      <c r="O580" s="1">
        <v>41335</v>
      </c>
      <c r="P580" t="s">
        <v>84</v>
      </c>
      <c r="Q580">
        <v>5</v>
      </c>
      <c r="R580" t="s">
        <v>28</v>
      </c>
      <c r="S580">
        <v>0</v>
      </c>
      <c r="T580">
        <v>0</v>
      </c>
      <c r="U580">
        <v>0</v>
      </c>
    </row>
    <row r="581" spans="1:21" x14ac:dyDescent="0.3">
      <c r="A581" s="1">
        <v>44105</v>
      </c>
      <c r="B581" s="1">
        <v>44105</v>
      </c>
      <c r="C581" t="s">
        <v>157</v>
      </c>
      <c r="D581" t="s">
        <v>48</v>
      </c>
      <c r="E581" t="s">
        <v>49</v>
      </c>
      <c r="F581" t="s">
        <v>256</v>
      </c>
      <c r="G581" s="53">
        <v>44141.821956018517</v>
      </c>
      <c r="H581">
        <v>33</v>
      </c>
      <c r="I581">
        <v>15894</v>
      </c>
      <c r="J581" t="s">
        <v>50</v>
      </c>
      <c r="K581" t="s">
        <v>50</v>
      </c>
      <c r="L581" t="s">
        <v>159</v>
      </c>
      <c r="M581" t="s">
        <v>51</v>
      </c>
      <c r="N581" t="s">
        <v>92</v>
      </c>
      <c r="O581" s="1">
        <v>41335</v>
      </c>
      <c r="P581" t="s">
        <v>84</v>
      </c>
      <c r="Q581">
        <v>5</v>
      </c>
      <c r="R581" t="s">
        <v>28</v>
      </c>
      <c r="S581">
        <v>12.686017</v>
      </c>
      <c r="T581">
        <v>79.340999999999994</v>
      </c>
      <c r="U581">
        <v>1007</v>
      </c>
    </row>
    <row r="582" spans="1:21" x14ac:dyDescent="0.3">
      <c r="A582" s="1">
        <v>44105</v>
      </c>
      <c r="B582" s="1">
        <v>44105</v>
      </c>
      <c r="C582" t="s">
        <v>157</v>
      </c>
      <c r="D582" t="s">
        <v>95</v>
      </c>
      <c r="E582" t="s">
        <v>56</v>
      </c>
      <c r="F582" t="s">
        <v>254</v>
      </c>
      <c r="G582" s="53">
        <v>44221.697384259256</v>
      </c>
      <c r="H582">
        <v>61</v>
      </c>
      <c r="I582" t="s">
        <v>349</v>
      </c>
      <c r="J582" t="s">
        <v>50</v>
      </c>
      <c r="K582" t="s">
        <v>50</v>
      </c>
      <c r="L582" t="s">
        <v>159</v>
      </c>
      <c r="M582" t="s">
        <v>51</v>
      </c>
      <c r="N582" t="s">
        <v>92</v>
      </c>
      <c r="O582" s="1">
        <v>41335</v>
      </c>
      <c r="P582" t="s">
        <v>84</v>
      </c>
      <c r="Q582">
        <v>5</v>
      </c>
      <c r="R582" t="s">
        <v>28</v>
      </c>
      <c r="S582">
        <v>1</v>
      </c>
      <c r="T582">
        <v>-14</v>
      </c>
      <c r="U582">
        <v>-14</v>
      </c>
    </row>
    <row r="583" spans="1:21" x14ac:dyDescent="0.3">
      <c r="A583" s="1">
        <v>44105</v>
      </c>
      <c r="B583" s="1">
        <v>44105</v>
      </c>
      <c r="C583" t="s">
        <v>157</v>
      </c>
      <c r="D583" t="s">
        <v>55</v>
      </c>
      <c r="E583" t="s">
        <v>56</v>
      </c>
      <c r="F583" t="s">
        <v>255</v>
      </c>
      <c r="G583" s="53">
        <v>44141.821956018517</v>
      </c>
      <c r="H583">
        <v>33</v>
      </c>
      <c r="I583">
        <v>15894</v>
      </c>
      <c r="J583" t="s">
        <v>50</v>
      </c>
      <c r="K583" t="s">
        <v>50</v>
      </c>
      <c r="L583" t="s">
        <v>159</v>
      </c>
      <c r="M583" t="s">
        <v>51</v>
      </c>
      <c r="N583" t="s">
        <v>92</v>
      </c>
      <c r="O583" s="1">
        <v>41335</v>
      </c>
      <c r="P583" t="s">
        <v>84</v>
      </c>
      <c r="Q583">
        <v>5</v>
      </c>
      <c r="R583" t="s">
        <v>28</v>
      </c>
      <c r="S583">
        <v>12.686017</v>
      </c>
      <c r="T583">
        <v>1.0669999999999999</v>
      </c>
      <c r="U583">
        <v>14</v>
      </c>
    </row>
    <row r="584" spans="1:21" x14ac:dyDescent="0.3">
      <c r="A584" s="1">
        <v>44105</v>
      </c>
      <c r="B584" s="1">
        <v>44105</v>
      </c>
      <c r="C584" t="s">
        <v>157</v>
      </c>
      <c r="D584" t="s">
        <v>93</v>
      </c>
      <c r="E584" t="s">
        <v>49</v>
      </c>
      <c r="F584" t="s">
        <v>253</v>
      </c>
      <c r="G584" s="53">
        <v>44221.697384259256</v>
      </c>
      <c r="H584">
        <v>61</v>
      </c>
      <c r="I584" t="s">
        <v>349</v>
      </c>
      <c r="J584" t="s">
        <v>50</v>
      </c>
      <c r="K584" t="s">
        <v>50</v>
      </c>
      <c r="L584" t="s">
        <v>159</v>
      </c>
      <c r="M584" t="s">
        <v>51</v>
      </c>
      <c r="N584" t="s">
        <v>92</v>
      </c>
      <c r="O584" s="1">
        <v>41335</v>
      </c>
      <c r="P584" t="s">
        <v>84</v>
      </c>
      <c r="Q584">
        <v>5</v>
      </c>
      <c r="R584" t="s">
        <v>28</v>
      </c>
      <c r="S584">
        <v>1</v>
      </c>
      <c r="T584">
        <v>-3</v>
      </c>
      <c r="U584">
        <v>-3</v>
      </c>
    </row>
    <row r="585" spans="1:21" x14ac:dyDescent="0.3">
      <c r="A585" s="1">
        <v>44136</v>
      </c>
      <c r="B585" s="1">
        <v>44136</v>
      </c>
      <c r="C585" t="s">
        <v>157</v>
      </c>
      <c r="D585" t="s">
        <v>55</v>
      </c>
      <c r="E585" t="s">
        <v>56</v>
      </c>
      <c r="F585" t="s">
        <v>257</v>
      </c>
      <c r="G585" s="53">
        <v>44169.666030092594</v>
      </c>
      <c r="H585">
        <v>33</v>
      </c>
      <c r="I585">
        <v>16653</v>
      </c>
      <c r="J585" t="s">
        <v>50</v>
      </c>
      <c r="K585" t="s">
        <v>50</v>
      </c>
      <c r="L585" t="s">
        <v>159</v>
      </c>
      <c r="M585" t="s">
        <v>51</v>
      </c>
      <c r="N585" t="s">
        <v>92</v>
      </c>
      <c r="O585" s="1">
        <v>41335</v>
      </c>
      <c r="P585" t="s">
        <v>84</v>
      </c>
      <c r="Q585">
        <v>1</v>
      </c>
      <c r="R585" t="s">
        <v>83</v>
      </c>
      <c r="S585">
        <v>2836.8555449999999</v>
      </c>
      <c r="T585">
        <v>1.0669999999999999</v>
      </c>
      <c r="U585">
        <v>3027</v>
      </c>
    </row>
    <row r="586" spans="1:21" x14ac:dyDescent="0.3">
      <c r="A586" s="1">
        <v>44136</v>
      </c>
      <c r="B586" s="1">
        <v>44136</v>
      </c>
      <c r="C586" t="s">
        <v>157</v>
      </c>
      <c r="D586" t="s">
        <v>52</v>
      </c>
      <c r="E586" t="s">
        <v>53</v>
      </c>
      <c r="F586" t="s">
        <v>258</v>
      </c>
      <c r="G586" s="53">
        <v>44169.666030092594</v>
      </c>
      <c r="H586">
        <v>33</v>
      </c>
      <c r="I586">
        <v>16653</v>
      </c>
      <c r="J586" t="s">
        <v>50</v>
      </c>
      <c r="K586" t="s">
        <v>50</v>
      </c>
      <c r="L586" t="s">
        <v>159</v>
      </c>
      <c r="M586" t="s">
        <v>51</v>
      </c>
      <c r="N586" t="s">
        <v>92</v>
      </c>
      <c r="O586" s="1">
        <v>41335</v>
      </c>
      <c r="P586" t="s">
        <v>84</v>
      </c>
      <c r="Q586">
        <v>1</v>
      </c>
      <c r="R586" t="s">
        <v>83</v>
      </c>
      <c r="S586">
        <v>0</v>
      </c>
      <c r="T586">
        <v>152.77614</v>
      </c>
      <c r="U586">
        <v>153</v>
      </c>
    </row>
    <row r="587" spans="1:21" x14ac:dyDescent="0.3">
      <c r="A587" s="1">
        <v>44136</v>
      </c>
      <c r="B587" s="1">
        <v>44136</v>
      </c>
      <c r="C587" t="s">
        <v>157</v>
      </c>
      <c r="D587" t="s">
        <v>93</v>
      </c>
      <c r="E587" t="s">
        <v>49</v>
      </c>
      <c r="F587" t="s">
        <v>259</v>
      </c>
      <c r="G587" s="53">
        <v>44215.508055555554</v>
      </c>
      <c r="H587">
        <v>61</v>
      </c>
      <c r="I587" t="s">
        <v>349</v>
      </c>
      <c r="J587" t="s">
        <v>50</v>
      </c>
      <c r="K587" t="s">
        <v>50</v>
      </c>
      <c r="L587" t="s">
        <v>159</v>
      </c>
      <c r="M587" t="s">
        <v>51</v>
      </c>
      <c r="N587" t="s">
        <v>92</v>
      </c>
      <c r="O587" s="1">
        <v>41335</v>
      </c>
      <c r="P587" t="s">
        <v>84</v>
      </c>
      <c r="Q587">
        <v>1</v>
      </c>
      <c r="R587" t="s">
        <v>83</v>
      </c>
      <c r="S587">
        <v>1</v>
      </c>
      <c r="T587">
        <v>-1312</v>
      </c>
      <c r="U587">
        <v>-1312</v>
      </c>
    </row>
    <row r="588" spans="1:21" x14ac:dyDescent="0.3">
      <c r="A588" s="1">
        <v>44136</v>
      </c>
      <c r="B588" s="1">
        <v>44136</v>
      </c>
      <c r="C588" t="s">
        <v>157</v>
      </c>
      <c r="D588" t="s">
        <v>95</v>
      </c>
      <c r="E588" t="s">
        <v>56</v>
      </c>
      <c r="F588" t="s">
        <v>260</v>
      </c>
      <c r="G588" s="53">
        <v>44215.706747685188</v>
      </c>
      <c r="H588">
        <v>61</v>
      </c>
      <c r="I588" t="s">
        <v>349</v>
      </c>
      <c r="J588" t="s">
        <v>50</v>
      </c>
      <c r="K588" t="s">
        <v>50</v>
      </c>
      <c r="L588" t="s">
        <v>159</v>
      </c>
      <c r="M588" t="s">
        <v>51</v>
      </c>
      <c r="N588" t="s">
        <v>92</v>
      </c>
      <c r="O588" s="1">
        <v>41335</v>
      </c>
      <c r="P588" t="s">
        <v>84</v>
      </c>
      <c r="Q588">
        <v>1</v>
      </c>
      <c r="R588" t="s">
        <v>83</v>
      </c>
      <c r="S588">
        <v>1</v>
      </c>
      <c r="T588">
        <v>-3027</v>
      </c>
      <c r="U588">
        <v>-3027</v>
      </c>
    </row>
    <row r="589" spans="1:21" x14ac:dyDescent="0.3">
      <c r="A589" s="1">
        <v>44136</v>
      </c>
      <c r="B589" s="1">
        <v>44136</v>
      </c>
      <c r="C589" t="s">
        <v>157</v>
      </c>
      <c r="D589" t="s">
        <v>54</v>
      </c>
      <c r="E589" t="s">
        <v>21</v>
      </c>
      <c r="F589" t="s">
        <v>261</v>
      </c>
      <c r="G589" s="53">
        <v>44169.666030092594</v>
      </c>
      <c r="H589">
        <v>33</v>
      </c>
      <c r="I589">
        <v>16653</v>
      </c>
      <c r="J589" t="s">
        <v>50</v>
      </c>
      <c r="K589" t="s">
        <v>50</v>
      </c>
      <c r="L589" t="s">
        <v>159</v>
      </c>
      <c r="M589" t="s">
        <v>51</v>
      </c>
      <c r="N589" t="s">
        <v>92</v>
      </c>
      <c r="O589" s="1">
        <v>41335</v>
      </c>
      <c r="P589" t="s">
        <v>84</v>
      </c>
      <c r="Q589">
        <v>1</v>
      </c>
      <c r="R589" t="s">
        <v>83</v>
      </c>
      <c r="S589">
        <v>0</v>
      </c>
      <c r="T589">
        <v>6059.26</v>
      </c>
      <c r="U589">
        <v>0</v>
      </c>
    </row>
    <row r="590" spans="1:21" x14ac:dyDescent="0.3">
      <c r="A590" s="1">
        <v>44136</v>
      </c>
      <c r="B590" s="1">
        <v>44136</v>
      </c>
      <c r="C590" t="s">
        <v>157</v>
      </c>
      <c r="D590" t="s">
        <v>262</v>
      </c>
      <c r="E590" t="s">
        <v>53</v>
      </c>
      <c r="F590" t="s">
        <v>263</v>
      </c>
      <c r="G590" s="53">
        <v>44215.508055555554</v>
      </c>
      <c r="H590">
        <v>61</v>
      </c>
      <c r="I590" t="s">
        <v>349</v>
      </c>
      <c r="J590" t="s">
        <v>50</v>
      </c>
      <c r="K590" t="s">
        <v>50</v>
      </c>
      <c r="L590" t="s">
        <v>159</v>
      </c>
      <c r="M590" t="s">
        <v>51</v>
      </c>
      <c r="N590" t="s">
        <v>92</v>
      </c>
      <c r="O590" s="1">
        <v>41335</v>
      </c>
      <c r="P590" t="s">
        <v>84</v>
      </c>
      <c r="Q590">
        <v>1</v>
      </c>
      <c r="R590" t="s">
        <v>83</v>
      </c>
      <c r="S590">
        <v>1</v>
      </c>
      <c r="T590">
        <v>10</v>
      </c>
      <c r="U590">
        <v>10</v>
      </c>
    </row>
    <row r="591" spans="1:21" x14ac:dyDescent="0.3">
      <c r="A591" s="1">
        <v>44136</v>
      </c>
      <c r="B591" s="1">
        <v>44136</v>
      </c>
      <c r="C591" t="s">
        <v>157</v>
      </c>
      <c r="D591" t="s">
        <v>48</v>
      </c>
      <c r="E591" t="s">
        <v>49</v>
      </c>
      <c r="F591" t="s">
        <v>264</v>
      </c>
      <c r="G591" s="53">
        <v>44169.666030092594</v>
      </c>
      <c r="H591">
        <v>33</v>
      </c>
      <c r="I591">
        <v>16653</v>
      </c>
      <c r="J591" t="s">
        <v>50</v>
      </c>
      <c r="K591" t="s">
        <v>50</v>
      </c>
      <c r="L591" t="s">
        <v>159</v>
      </c>
      <c r="M591" t="s">
        <v>51</v>
      </c>
      <c r="N591" t="s">
        <v>92</v>
      </c>
      <c r="O591" s="1">
        <v>41335</v>
      </c>
      <c r="P591" t="s">
        <v>84</v>
      </c>
      <c r="Q591">
        <v>1</v>
      </c>
      <c r="R591" t="s">
        <v>83</v>
      </c>
      <c r="S591">
        <v>2836.8555449999999</v>
      </c>
      <c r="T591">
        <v>80.344999999999999</v>
      </c>
      <c r="U591">
        <v>227927</v>
      </c>
    </row>
    <row r="592" spans="1:21" x14ac:dyDescent="0.3">
      <c r="A592" s="1">
        <v>44136</v>
      </c>
      <c r="B592" s="1">
        <v>44136</v>
      </c>
      <c r="C592" t="s">
        <v>157</v>
      </c>
      <c r="D592" t="s">
        <v>52</v>
      </c>
      <c r="E592" t="s">
        <v>53</v>
      </c>
      <c r="F592" t="s">
        <v>258</v>
      </c>
      <c r="G592" s="53">
        <v>44169.666030092594</v>
      </c>
      <c r="H592">
        <v>33</v>
      </c>
      <c r="I592">
        <v>16653</v>
      </c>
      <c r="J592" t="s">
        <v>50</v>
      </c>
      <c r="K592" t="s">
        <v>50</v>
      </c>
      <c r="L592" t="s">
        <v>159</v>
      </c>
      <c r="M592" t="s">
        <v>51</v>
      </c>
      <c r="N592" t="s">
        <v>92</v>
      </c>
      <c r="O592" s="1">
        <v>41335</v>
      </c>
      <c r="P592" t="s">
        <v>84</v>
      </c>
      <c r="Q592">
        <v>2</v>
      </c>
      <c r="R592" t="s">
        <v>94</v>
      </c>
      <c r="S592">
        <v>0</v>
      </c>
      <c r="T592">
        <v>0</v>
      </c>
      <c r="U592">
        <v>0</v>
      </c>
    </row>
    <row r="593" spans="1:21" x14ac:dyDescent="0.3">
      <c r="A593" s="1">
        <v>44136</v>
      </c>
      <c r="B593" s="1">
        <v>44136</v>
      </c>
      <c r="C593" t="s">
        <v>157</v>
      </c>
      <c r="D593" t="s">
        <v>95</v>
      </c>
      <c r="E593" t="s">
        <v>56</v>
      </c>
      <c r="F593" t="s">
        <v>260</v>
      </c>
      <c r="G593" s="53">
        <v>44215.706747685188</v>
      </c>
      <c r="H593">
        <v>61</v>
      </c>
      <c r="I593" t="s">
        <v>349</v>
      </c>
      <c r="J593" t="s">
        <v>50</v>
      </c>
      <c r="K593" t="s">
        <v>50</v>
      </c>
      <c r="L593" t="s">
        <v>159</v>
      </c>
      <c r="M593" t="s">
        <v>51</v>
      </c>
      <c r="N593" t="s">
        <v>92</v>
      </c>
      <c r="O593" s="1">
        <v>41335</v>
      </c>
      <c r="P593" t="s">
        <v>84</v>
      </c>
      <c r="Q593">
        <v>2</v>
      </c>
      <c r="R593" t="s">
        <v>94</v>
      </c>
      <c r="S593">
        <v>1</v>
      </c>
      <c r="T593">
        <v>-13</v>
      </c>
      <c r="U593">
        <v>-13</v>
      </c>
    </row>
    <row r="594" spans="1:21" x14ac:dyDescent="0.3">
      <c r="A594" s="1">
        <v>44136</v>
      </c>
      <c r="B594" s="1">
        <v>44136</v>
      </c>
      <c r="C594" t="s">
        <v>157</v>
      </c>
      <c r="D594" t="s">
        <v>54</v>
      </c>
      <c r="E594" t="s">
        <v>21</v>
      </c>
      <c r="F594" t="s">
        <v>261</v>
      </c>
      <c r="G594" s="53">
        <v>44169.666030092594</v>
      </c>
      <c r="H594">
        <v>33</v>
      </c>
      <c r="I594">
        <v>16653</v>
      </c>
      <c r="J594" t="s">
        <v>50</v>
      </c>
      <c r="K594" t="s">
        <v>50</v>
      </c>
      <c r="L594" t="s">
        <v>159</v>
      </c>
      <c r="M594" t="s">
        <v>51</v>
      </c>
      <c r="N594" t="s">
        <v>92</v>
      </c>
      <c r="O594" s="1">
        <v>41335</v>
      </c>
      <c r="P594" t="s">
        <v>84</v>
      </c>
      <c r="Q594">
        <v>2</v>
      </c>
      <c r="R594" t="s">
        <v>94</v>
      </c>
      <c r="S594">
        <v>0</v>
      </c>
      <c r="T594">
        <v>6135.33</v>
      </c>
      <c r="U594">
        <v>0</v>
      </c>
    </row>
    <row r="595" spans="1:21" x14ac:dyDescent="0.3">
      <c r="A595" s="1">
        <v>44136</v>
      </c>
      <c r="B595" s="1">
        <v>44136</v>
      </c>
      <c r="C595" t="s">
        <v>157</v>
      </c>
      <c r="D595" t="s">
        <v>48</v>
      </c>
      <c r="E595" t="s">
        <v>49</v>
      </c>
      <c r="F595" t="s">
        <v>264</v>
      </c>
      <c r="G595" s="53">
        <v>44169.666030092594</v>
      </c>
      <c r="H595">
        <v>33</v>
      </c>
      <c r="I595">
        <v>16653</v>
      </c>
      <c r="J595" t="s">
        <v>50</v>
      </c>
      <c r="K595" t="s">
        <v>50</v>
      </c>
      <c r="L595" t="s">
        <v>159</v>
      </c>
      <c r="M595" t="s">
        <v>51</v>
      </c>
      <c r="N595" t="s">
        <v>92</v>
      </c>
      <c r="O595" s="1">
        <v>41335</v>
      </c>
      <c r="P595" t="s">
        <v>84</v>
      </c>
      <c r="Q595">
        <v>2</v>
      </c>
      <c r="R595" t="s">
        <v>94</v>
      </c>
      <c r="S595">
        <v>11.915349000000001</v>
      </c>
      <c r="T595">
        <v>81.489000000000004</v>
      </c>
      <c r="U595">
        <v>971</v>
      </c>
    </row>
    <row r="596" spans="1:21" x14ac:dyDescent="0.3">
      <c r="A596" s="1">
        <v>44136</v>
      </c>
      <c r="B596" s="1">
        <v>44136</v>
      </c>
      <c r="C596" t="s">
        <v>157</v>
      </c>
      <c r="D596" t="s">
        <v>93</v>
      </c>
      <c r="E596" t="s">
        <v>49</v>
      </c>
      <c r="F596" t="s">
        <v>259</v>
      </c>
      <c r="G596" s="53">
        <v>44215.508055555554</v>
      </c>
      <c r="H596">
        <v>61</v>
      </c>
      <c r="I596" t="s">
        <v>349</v>
      </c>
      <c r="J596" t="s">
        <v>50</v>
      </c>
      <c r="K596" t="s">
        <v>50</v>
      </c>
      <c r="L596" t="s">
        <v>159</v>
      </c>
      <c r="M596" t="s">
        <v>51</v>
      </c>
      <c r="N596" t="s">
        <v>92</v>
      </c>
      <c r="O596" s="1">
        <v>41335</v>
      </c>
      <c r="P596" t="s">
        <v>84</v>
      </c>
      <c r="Q596">
        <v>2</v>
      </c>
      <c r="R596" t="s">
        <v>94</v>
      </c>
      <c r="S596">
        <v>1</v>
      </c>
      <c r="T596">
        <v>-6</v>
      </c>
      <c r="U596">
        <v>-6</v>
      </c>
    </row>
    <row r="597" spans="1:21" x14ac:dyDescent="0.3">
      <c r="A597" s="1">
        <v>44136</v>
      </c>
      <c r="B597" s="1">
        <v>44136</v>
      </c>
      <c r="C597" t="s">
        <v>157</v>
      </c>
      <c r="D597" t="s">
        <v>55</v>
      </c>
      <c r="E597" t="s">
        <v>56</v>
      </c>
      <c r="F597" t="s">
        <v>257</v>
      </c>
      <c r="G597" s="53">
        <v>44169.666030092594</v>
      </c>
      <c r="H597">
        <v>33</v>
      </c>
      <c r="I597">
        <v>16653</v>
      </c>
      <c r="J597" t="s">
        <v>50</v>
      </c>
      <c r="K597" t="s">
        <v>50</v>
      </c>
      <c r="L597" t="s">
        <v>159</v>
      </c>
      <c r="M597" t="s">
        <v>51</v>
      </c>
      <c r="N597" t="s">
        <v>92</v>
      </c>
      <c r="O597" s="1">
        <v>41335</v>
      </c>
      <c r="P597" t="s">
        <v>84</v>
      </c>
      <c r="Q597">
        <v>2</v>
      </c>
      <c r="R597" t="s">
        <v>94</v>
      </c>
      <c r="S597">
        <v>11.915349000000001</v>
      </c>
      <c r="T597">
        <v>1.0669999999999999</v>
      </c>
      <c r="U597">
        <v>13</v>
      </c>
    </row>
    <row r="598" spans="1:21" x14ac:dyDescent="0.3">
      <c r="A598" s="1">
        <v>44136</v>
      </c>
      <c r="B598" s="1">
        <v>44136</v>
      </c>
      <c r="C598" t="s">
        <v>157</v>
      </c>
      <c r="D598" t="s">
        <v>52</v>
      </c>
      <c r="E598" t="s">
        <v>53</v>
      </c>
      <c r="F598" t="s">
        <v>258</v>
      </c>
      <c r="G598" s="53">
        <v>44169.666030092594</v>
      </c>
      <c r="H598">
        <v>33</v>
      </c>
      <c r="I598">
        <v>16653</v>
      </c>
      <c r="J598" t="s">
        <v>50</v>
      </c>
      <c r="K598" t="s">
        <v>50</v>
      </c>
      <c r="L598" t="s">
        <v>159</v>
      </c>
      <c r="M598" t="s">
        <v>51</v>
      </c>
      <c r="N598" t="s">
        <v>92</v>
      </c>
      <c r="O598" s="1">
        <v>41335</v>
      </c>
      <c r="P598" t="s">
        <v>84</v>
      </c>
      <c r="Q598">
        <v>3</v>
      </c>
      <c r="R598" t="s">
        <v>81</v>
      </c>
      <c r="S598">
        <v>0</v>
      </c>
      <c r="T598">
        <v>0</v>
      </c>
      <c r="U598">
        <v>0</v>
      </c>
    </row>
    <row r="599" spans="1:21" x14ac:dyDescent="0.3">
      <c r="A599" s="1">
        <v>44136</v>
      </c>
      <c r="B599" s="1">
        <v>44136</v>
      </c>
      <c r="C599" t="s">
        <v>157</v>
      </c>
      <c r="D599" t="s">
        <v>48</v>
      </c>
      <c r="E599" t="s">
        <v>49</v>
      </c>
      <c r="F599" t="s">
        <v>264</v>
      </c>
      <c r="G599" s="53">
        <v>44169.666030092594</v>
      </c>
      <c r="H599">
        <v>33</v>
      </c>
      <c r="I599">
        <v>16653</v>
      </c>
      <c r="J599" t="s">
        <v>50</v>
      </c>
      <c r="K599" t="s">
        <v>50</v>
      </c>
      <c r="L599" t="s">
        <v>159</v>
      </c>
      <c r="M599" t="s">
        <v>51</v>
      </c>
      <c r="N599" t="s">
        <v>92</v>
      </c>
      <c r="O599" s="1">
        <v>41335</v>
      </c>
      <c r="P599" t="s">
        <v>84</v>
      </c>
      <c r="Q599">
        <v>3</v>
      </c>
      <c r="R599" t="s">
        <v>81</v>
      </c>
      <c r="S599">
        <v>427.739485</v>
      </c>
      <c r="T599">
        <v>76.656999999999996</v>
      </c>
      <c r="U599">
        <v>32789</v>
      </c>
    </row>
    <row r="600" spans="1:21" x14ac:dyDescent="0.3">
      <c r="A600" s="1">
        <v>44136</v>
      </c>
      <c r="B600" s="1">
        <v>44136</v>
      </c>
      <c r="C600" t="s">
        <v>157</v>
      </c>
      <c r="D600" t="s">
        <v>54</v>
      </c>
      <c r="E600" t="s">
        <v>21</v>
      </c>
      <c r="F600" t="s">
        <v>261</v>
      </c>
      <c r="G600" s="53">
        <v>44169.666030092594</v>
      </c>
      <c r="H600">
        <v>33</v>
      </c>
      <c r="I600">
        <v>16653</v>
      </c>
      <c r="J600" t="s">
        <v>50</v>
      </c>
      <c r="K600" t="s">
        <v>50</v>
      </c>
      <c r="L600" t="s">
        <v>159</v>
      </c>
      <c r="M600" t="s">
        <v>51</v>
      </c>
      <c r="N600" t="s">
        <v>92</v>
      </c>
      <c r="O600" s="1">
        <v>41335</v>
      </c>
      <c r="P600" t="s">
        <v>84</v>
      </c>
      <c r="Q600">
        <v>3</v>
      </c>
      <c r="R600" t="s">
        <v>81</v>
      </c>
      <c r="S600">
        <v>0</v>
      </c>
      <c r="T600">
        <v>5857.6</v>
      </c>
      <c r="U600">
        <v>0</v>
      </c>
    </row>
    <row r="601" spans="1:21" x14ac:dyDescent="0.3">
      <c r="A601" s="1">
        <v>44136</v>
      </c>
      <c r="B601" s="1">
        <v>44136</v>
      </c>
      <c r="C601" t="s">
        <v>157</v>
      </c>
      <c r="D601" t="s">
        <v>55</v>
      </c>
      <c r="E601" t="s">
        <v>56</v>
      </c>
      <c r="F601" t="s">
        <v>257</v>
      </c>
      <c r="G601" s="53">
        <v>44169.666030092594</v>
      </c>
      <c r="H601">
        <v>33</v>
      </c>
      <c r="I601">
        <v>16653</v>
      </c>
      <c r="J601" t="s">
        <v>50</v>
      </c>
      <c r="K601" t="s">
        <v>50</v>
      </c>
      <c r="L601" t="s">
        <v>159</v>
      </c>
      <c r="M601" t="s">
        <v>51</v>
      </c>
      <c r="N601" t="s">
        <v>92</v>
      </c>
      <c r="O601" s="1">
        <v>41335</v>
      </c>
      <c r="P601" t="s">
        <v>84</v>
      </c>
      <c r="Q601">
        <v>3</v>
      </c>
      <c r="R601" t="s">
        <v>81</v>
      </c>
      <c r="S601">
        <v>427.739485</v>
      </c>
      <c r="T601">
        <v>1.0669999999999999</v>
      </c>
      <c r="U601">
        <v>456</v>
      </c>
    </row>
    <row r="602" spans="1:21" x14ac:dyDescent="0.3">
      <c r="A602" s="1">
        <v>44136</v>
      </c>
      <c r="B602" s="1">
        <v>44136</v>
      </c>
      <c r="C602" t="s">
        <v>157</v>
      </c>
      <c r="D602" t="s">
        <v>95</v>
      </c>
      <c r="E602" t="s">
        <v>56</v>
      </c>
      <c r="F602" t="s">
        <v>260</v>
      </c>
      <c r="G602" s="53">
        <v>44215.706747685188</v>
      </c>
      <c r="H602">
        <v>61</v>
      </c>
      <c r="I602" t="s">
        <v>349</v>
      </c>
      <c r="J602" t="s">
        <v>50</v>
      </c>
      <c r="K602" t="s">
        <v>50</v>
      </c>
      <c r="L602" t="s">
        <v>159</v>
      </c>
      <c r="M602" t="s">
        <v>51</v>
      </c>
      <c r="N602" t="s">
        <v>92</v>
      </c>
      <c r="O602" s="1">
        <v>41335</v>
      </c>
      <c r="P602" t="s">
        <v>84</v>
      </c>
      <c r="Q602">
        <v>3</v>
      </c>
      <c r="R602" t="s">
        <v>81</v>
      </c>
      <c r="S602">
        <v>1</v>
      </c>
      <c r="T602">
        <v>-456</v>
      </c>
      <c r="U602">
        <v>-456</v>
      </c>
    </row>
    <row r="603" spans="1:21" x14ac:dyDescent="0.3">
      <c r="A603" s="1">
        <v>44136</v>
      </c>
      <c r="B603" s="1">
        <v>44136</v>
      </c>
      <c r="C603" t="s">
        <v>157</v>
      </c>
      <c r="D603" t="s">
        <v>93</v>
      </c>
      <c r="E603" t="s">
        <v>49</v>
      </c>
      <c r="F603" t="s">
        <v>259</v>
      </c>
      <c r="G603" s="53">
        <v>44215.508055555554</v>
      </c>
      <c r="H603">
        <v>61</v>
      </c>
      <c r="I603" t="s">
        <v>349</v>
      </c>
      <c r="J603" t="s">
        <v>50</v>
      </c>
      <c r="K603" t="s">
        <v>50</v>
      </c>
      <c r="L603" t="s">
        <v>159</v>
      </c>
      <c r="M603" t="s">
        <v>51</v>
      </c>
      <c r="N603" t="s">
        <v>92</v>
      </c>
      <c r="O603" s="1">
        <v>41335</v>
      </c>
      <c r="P603" t="s">
        <v>84</v>
      </c>
      <c r="Q603">
        <v>3</v>
      </c>
      <c r="R603" t="s">
        <v>81</v>
      </c>
      <c r="S603">
        <v>1</v>
      </c>
      <c r="T603">
        <v>-189</v>
      </c>
      <c r="U603">
        <v>-189</v>
      </c>
    </row>
    <row r="604" spans="1:21" x14ac:dyDescent="0.3">
      <c r="A604" s="1">
        <v>44136</v>
      </c>
      <c r="B604" s="1">
        <v>44136</v>
      </c>
      <c r="C604" t="s">
        <v>157</v>
      </c>
      <c r="D604" t="s">
        <v>55</v>
      </c>
      <c r="E604" t="s">
        <v>56</v>
      </c>
      <c r="F604" t="s">
        <v>257</v>
      </c>
      <c r="G604" s="53">
        <v>44169.666030092594</v>
      </c>
      <c r="H604">
        <v>33</v>
      </c>
      <c r="I604">
        <v>16653</v>
      </c>
      <c r="J604" t="s">
        <v>50</v>
      </c>
      <c r="K604" t="s">
        <v>50</v>
      </c>
      <c r="L604" t="s">
        <v>159</v>
      </c>
      <c r="M604" t="s">
        <v>51</v>
      </c>
      <c r="N604" t="s">
        <v>92</v>
      </c>
      <c r="O604" s="1">
        <v>41335</v>
      </c>
      <c r="P604" t="s">
        <v>84</v>
      </c>
      <c r="Q604">
        <v>4</v>
      </c>
      <c r="R604" t="s">
        <v>27</v>
      </c>
      <c r="S604">
        <v>3569.1454020000001</v>
      </c>
      <c r="T604">
        <v>1.0669999999999999</v>
      </c>
      <c r="U604">
        <v>3808</v>
      </c>
    </row>
    <row r="605" spans="1:21" x14ac:dyDescent="0.3">
      <c r="A605" s="1">
        <v>44136</v>
      </c>
      <c r="B605" s="1">
        <v>44136</v>
      </c>
      <c r="C605" t="s">
        <v>157</v>
      </c>
      <c r="D605" t="s">
        <v>93</v>
      </c>
      <c r="E605" t="s">
        <v>49</v>
      </c>
      <c r="F605" t="s">
        <v>259</v>
      </c>
      <c r="G605" s="53">
        <v>44215.508055555554</v>
      </c>
      <c r="H605">
        <v>61</v>
      </c>
      <c r="I605" t="s">
        <v>349</v>
      </c>
      <c r="J605" t="s">
        <v>50</v>
      </c>
      <c r="K605" t="s">
        <v>50</v>
      </c>
      <c r="L605" t="s">
        <v>159</v>
      </c>
      <c r="M605" t="s">
        <v>51</v>
      </c>
      <c r="N605" t="s">
        <v>92</v>
      </c>
      <c r="O605" s="1">
        <v>41335</v>
      </c>
      <c r="P605" t="s">
        <v>84</v>
      </c>
      <c r="Q605">
        <v>4</v>
      </c>
      <c r="R605" t="s">
        <v>27</v>
      </c>
      <c r="S605">
        <v>1</v>
      </c>
      <c r="T605">
        <v>-1578</v>
      </c>
      <c r="U605">
        <v>-1578</v>
      </c>
    </row>
    <row r="606" spans="1:21" x14ac:dyDescent="0.3">
      <c r="A606" s="1">
        <v>44136</v>
      </c>
      <c r="B606" s="1">
        <v>44136</v>
      </c>
      <c r="C606" t="s">
        <v>157</v>
      </c>
      <c r="D606" t="s">
        <v>95</v>
      </c>
      <c r="E606" t="s">
        <v>56</v>
      </c>
      <c r="F606" t="s">
        <v>260</v>
      </c>
      <c r="G606" s="53">
        <v>44215.706747685188</v>
      </c>
      <c r="H606">
        <v>61</v>
      </c>
      <c r="I606" t="s">
        <v>349</v>
      </c>
      <c r="J606" t="s">
        <v>50</v>
      </c>
      <c r="K606" t="s">
        <v>50</v>
      </c>
      <c r="L606" t="s">
        <v>159</v>
      </c>
      <c r="M606" t="s">
        <v>51</v>
      </c>
      <c r="N606" t="s">
        <v>92</v>
      </c>
      <c r="O606" s="1">
        <v>41335</v>
      </c>
      <c r="P606" t="s">
        <v>84</v>
      </c>
      <c r="Q606">
        <v>4</v>
      </c>
      <c r="R606" t="s">
        <v>27</v>
      </c>
      <c r="S606">
        <v>1</v>
      </c>
      <c r="T606">
        <v>-3808</v>
      </c>
      <c r="U606">
        <v>-3808</v>
      </c>
    </row>
    <row r="607" spans="1:21" x14ac:dyDescent="0.3">
      <c r="A607" s="1">
        <v>44136</v>
      </c>
      <c r="B607" s="1">
        <v>44136</v>
      </c>
      <c r="C607" t="s">
        <v>157</v>
      </c>
      <c r="D607" t="s">
        <v>48</v>
      </c>
      <c r="E607" t="s">
        <v>49</v>
      </c>
      <c r="F607" t="s">
        <v>264</v>
      </c>
      <c r="G607" s="53">
        <v>44169.666030092594</v>
      </c>
      <c r="H607">
        <v>33</v>
      </c>
      <c r="I607">
        <v>16653</v>
      </c>
      <c r="J607" t="s">
        <v>50</v>
      </c>
      <c r="K607" t="s">
        <v>50</v>
      </c>
      <c r="L607" t="s">
        <v>159</v>
      </c>
      <c r="M607" t="s">
        <v>51</v>
      </c>
      <c r="N607" t="s">
        <v>92</v>
      </c>
      <c r="O607" s="1">
        <v>41335</v>
      </c>
      <c r="P607" t="s">
        <v>84</v>
      </c>
      <c r="Q607">
        <v>4</v>
      </c>
      <c r="R607" t="s">
        <v>27</v>
      </c>
      <c r="S607">
        <v>3569.1454020000001</v>
      </c>
      <c r="T607">
        <v>76.781000000000006</v>
      </c>
      <c r="U607">
        <v>274043</v>
      </c>
    </row>
    <row r="608" spans="1:21" x14ac:dyDescent="0.3">
      <c r="A608" s="1">
        <v>44136</v>
      </c>
      <c r="B608" s="1">
        <v>44136</v>
      </c>
      <c r="C608" t="s">
        <v>157</v>
      </c>
      <c r="D608" t="s">
        <v>52</v>
      </c>
      <c r="E608" t="s">
        <v>53</v>
      </c>
      <c r="F608" t="s">
        <v>258</v>
      </c>
      <c r="G608" s="53">
        <v>44169.666030092594</v>
      </c>
      <c r="H608">
        <v>33</v>
      </c>
      <c r="I608">
        <v>16653</v>
      </c>
      <c r="J608" t="s">
        <v>50</v>
      </c>
      <c r="K608" t="s">
        <v>50</v>
      </c>
      <c r="L608" t="s">
        <v>159</v>
      </c>
      <c r="M608" t="s">
        <v>51</v>
      </c>
      <c r="N608" t="s">
        <v>92</v>
      </c>
      <c r="O608" s="1">
        <v>41335</v>
      </c>
      <c r="P608" t="s">
        <v>84</v>
      </c>
      <c r="Q608">
        <v>4</v>
      </c>
      <c r="R608" t="s">
        <v>27</v>
      </c>
      <c r="S608">
        <v>0</v>
      </c>
      <c r="T608">
        <v>0</v>
      </c>
      <c r="U608">
        <v>0</v>
      </c>
    </row>
    <row r="609" spans="1:21" x14ac:dyDescent="0.3">
      <c r="A609" s="1">
        <v>44136</v>
      </c>
      <c r="B609" s="1">
        <v>44136</v>
      </c>
      <c r="C609" t="s">
        <v>157</v>
      </c>
      <c r="D609" t="s">
        <v>54</v>
      </c>
      <c r="E609" t="s">
        <v>21</v>
      </c>
      <c r="F609" t="s">
        <v>261</v>
      </c>
      <c r="G609" s="53">
        <v>44169.666030092594</v>
      </c>
      <c r="H609">
        <v>33</v>
      </c>
      <c r="I609">
        <v>16653</v>
      </c>
      <c r="J609" t="s">
        <v>50</v>
      </c>
      <c r="K609" t="s">
        <v>50</v>
      </c>
      <c r="L609" t="s">
        <v>159</v>
      </c>
      <c r="M609" t="s">
        <v>51</v>
      </c>
      <c r="N609" t="s">
        <v>92</v>
      </c>
      <c r="O609" s="1">
        <v>41335</v>
      </c>
      <c r="P609" t="s">
        <v>84</v>
      </c>
      <c r="Q609">
        <v>4</v>
      </c>
      <c r="R609" t="s">
        <v>27</v>
      </c>
      <c r="S609">
        <v>0</v>
      </c>
      <c r="T609">
        <v>5984.39</v>
      </c>
      <c r="U609">
        <v>0</v>
      </c>
    </row>
    <row r="610" spans="1:21" x14ac:dyDescent="0.3">
      <c r="A610" s="1">
        <v>44136</v>
      </c>
      <c r="B610" s="1">
        <v>44136</v>
      </c>
      <c r="C610" t="s">
        <v>157</v>
      </c>
      <c r="D610" t="s">
        <v>52</v>
      </c>
      <c r="E610" t="s">
        <v>53</v>
      </c>
      <c r="F610" t="s">
        <v>258</v>
      </c>
      <c r="G610" s="53">
        <v>44169.666030092594</v>
      </c>
      <c r="H610">
        <v>33</v>
      </c>
      <c r="I610">
        <v>16653</v>
      </c>
      <c r="J610" t="s">
        <v>50</v>
      </c>
      <c r="K610" t="s">
        <v>50</v>
      </c>
      <c r="L610" t="s">
        <v>159</v>
      </c>
      <c r="M610" t="s">
        <v>51</v>
      </c>
      <c r="N610" t="s">
        <v>92</v>
      </c>
      <c r="O610" s="1">
        <v>41335</v>
      </c>
      <c r="P610" t="s">
        <v>84</v>
      </c>
      <c r="Q610">
        <v>5</v>
      </c>
      <c r="R610" t="s">
        <v>28</v>
      </c>
      <c r="S610">
        <v>0</v>
      </c>
      <c r="T610">
        <v>0</v>
      </c>
      <c r="U610">
        <v>0</v>
      </c>
    </row>
    <row r="611" spans="1:21" x14ac:dyDescent="0.3">
      <c r="A611" s="1">
        <v>44136</v>
      </c>
      <c r="B611" s="1">
        <v>44136</v>
      </c>
      <c r="C611" t="s">
        <v>157</v>
      </c>
      <c r="D611" t="s">
        <v>54</v>
      </c>
      <c r="E611" t="s">
        <v>21</v>
      </c>
      <c r="F611" t="s">
        <v>261</v>
      </c>
      <c r="G611" s="53">
        <v>44169.666030092594</v>
      </c>
      <c r="H611">
        <v>33</v>
      </c>
      <c r="I611">
        <v>16653</v>
      </c>
      <c r="J611" t="s">
        <v>50</v>
      </c>
      <c r="K611" t="s">
        <v>50</v>
      </c>
      <c r="L611" t="s">
        <v>159</v>
      </c>
      <c r="M611" t="s">
        <v>51</v>
      </c>
      <c r="N611" t="s">
        <v>92</v>
      </c>
      <c r="O611" s="1">
        <v>41335</v>
      </c>
      <c r="P611" t="s">
        <v>84</v>
      </c>
      <c r="Q611">
        <v>5</v>
      </c>
      <c r="R611" t="s">
        <v>28</v>
      </c>
      <c r="S611">
        <v>0</v>
      </c>
      <c r="T611">
        <v>5746.51</v>
      </c>
      <c r="U611">
        <v>0</v>
      </c>
    </row>
    <row r="612" spans="1:21" x14ac:dyDescent="0.3">
      <c r="A612" s="1">
        <v>44136</v>
      </c>
      <c r="B612" s="1">
        <v>44136</v>
      </c>
      <c r="C612" t="s">
        <v>157</v>
      </c>
      <c r="D612" t="s">
        <v>93</v>
      </c>
      <c r="E612" t="s">
        <v>49</v>
      </c>
      <c r="F612" t="s">
        <v>259</v>
      </c>
      <c r="G612" s="53">
        <v>44215.508055555554</v>
      </c>
      <c r="H612">
        <v>61</v>
      </c>
      <c r="I612" t="s">
        <v>349</v>
      </c>
      <c r="J612" t="s">
        <v>50</v>
      </c>
      <c r="K612" t="s">
        <v>50</v>
      </c>
      <c r="L612" t="s">
        <v>159</v>
      </c>
      <c r="M612" t="s">
        <v>51</v>
      </c>
      <c r="N612" t="s">
        <v>92</v>
      </c>
      <c r="O612" s="1">
        <v>41335</v>
      </c>
      <c r="P612" t="s">
        <v>84</v>
      </c>
      <c r="Q612">
        <v>5</v>
      </c>
      <c r="R612" t="s">
        <v>28</v>
      </c>
      <c r="S612">
        <v>1</v>
      </c>
      <c r="T612">
        <v>-7</v>
      </c>
      <c r="U612">
        <v>-7</v>
      </c>
    </row>
    <row r="613" spans="1:21" x14ac:dyDescent="0.3">
      <c r="A613" s="1">
        <v>44136</v>
      </c>
      <c r="B613" s="1">
        <v>44136</v>
      </c>
      <c r="C613" t="s">
        <v>157</v>
      </c>
      <c r="D613" t="s">
        <v>55</v>
      </c>
      <c r="E613" t="s">
        <v>56</v>
      </c>
      <c r="F613" t="s">
        <v>257</v>
      </c>
      <c r="G613" s="53">
        <v>44169.666030092594</v>
      </c>
      <c r="H613">
        <v>33</v>
      </c>
      <c r="I613">
        <v>16653</v>
      </c>
      <c r="J613" t="s">
        <v>50</v>
      </c>
      <c r="K613" t="s">
        <v>50</v>
      </c>
      <c r="L613" t="s">
        <v>159</v>
      </c>
      <c r="M613" t="s">
        <v>51</v>
      </c>
      <c r="N613" t="s">
        <v>92</v>
      </c>
      <c r="O613" s="1">
        <v>41335</v>
      </c>
      <c r="P613" t="s">
        <v>84</v>
      </c>
      <c r="Q613">
        <v>5</v>
      </c>
      <c r="R613" t="s">
        <v>28</v>
      </c>
      <c r="S613">
        <v>14.665755000000001</v>
      </c>
      <c r="T613">
        <v>1.0669999999999999</v>
      </c>
      <c r="U613">
        <v>16</v>
      </c>
    </row>
    <row r="614" spans="1:21" x14ac:dyDescent="0.3">
      <c r="A614" s="1">
        <v>44136</v>
      </c>
      <c r="B614" s="1">
        <v>44136</v>
      </c>
      <c r="C614" t="s">
        <v>157</v>
      </c>
      <c r="D614" t="s">
        <v>95</v>
      </c>
      <c r="E614" t="s">
        <v>56</v>
      </c>
      <c r="F614" t="s">
        <v>260</v>
      </c>
      <c r="G614" s="53">
        <v>44215.706747685188</v>
      </c>
      <c r="H614">
        <v>61</v>
      </c>
      <c r="I614" t="s">
        <v>349</v>
      </c>
      <c r="J614" t="s">
        <v>50</v>
      </c>
      <c r="K614" t="s">
        <v>50</v>
      </c>
      <c r="L614" t="s">
        <v>159</v>
      </c>
      <c r="M614" t="s">
        <v>51</v>
      </c>
      <c r="N614" t="s">
        <v>92</v>
      </c>
      <c r="O614" s="1">
        <v>41335</v>
      </c>
      <c r="P614" t="s">
        <v>84</v>
      </c>
      <c r="Q614">
        <v>5</v>
      </c>
      <c r="R614" t="s">
        <v>28</v>
      </c>
      <c r="S614">
        <v>1</v>
      </c>
      <c r="T614">
        <v>-16</v>
      </c>
      <c r="U614">
        <v>-16</v>
      </c>
    </row>
    <row r="615" spans="1:21" x14ac:dyDescent="0.3">
      <c r="A615" s="1">
        <v>44136</v>
      </c>
      <c r="B615" s="1">
        <v>44136</v>
      </c>
      <c r="C615" t="s">
        <v>157</v>
      </c>
      <c r="D615" t="s">
        <v>48</v>
      </c>
      <c r="E615" t="s">
        <v>49</v>
      </c>
      <c r="F615" t="s">
        <v>264</v>
      </c>
      <c r="G615" s="53">
        <v>44169.666030092594</v>
      </c>
      <c r="H615">
        <v>33</v>
      </c>
      <c r="I615">
        <v>16653</v>
      </c>
      <c r="J615" t="s">
        <v>50</v>
      </c>
      <c r="K615" t="s">
        <v>50</v>
      </c>
      <c r="L615" t="s">
        <v>159</v>
      </c>
      <c r="M615" t="s">
        <v>51</v>
      </c>
      <c r="N615" t="s">
        <v>92</v>
      </c>
      <c r="O615" s="1">
        <v>41335</v>
      </c>
      <c r="P615" t="s">
        <v>84</v>
      </c>
      <c r="Q615">
        <v>5</v>
      </c>
      <c r="R615" t="s">
        <v>28</v>
      </c>
      <c r="S615">
        <v>14.665755000000001</v>
      </c>
      <c r="T615">
        <v>79.340999999999994</v>
      </c>
      <c r="U615">
        <v>1164</v>
      </c>
    </row>
    <row r="616" spans="1:21" x14ac:dyDescent="0.3">
      <c r="A616" s="1">
        <v>44166</v>
      </c>
      <c r="B616" s="1">
        <v>44166</v>
      </c>
      <c r="C616" t="s">
        <v>157</v>
      </c>
      <c r="D616" t="s">
        <v>54</v>
      </c>
      <c r="E616" t="s">
        <v>21</v>
      </c>
      <c r="F616" t="s">
        <v>265</v>
      </c>
      <c r="G616" s="53">
        <v>44203.692604166667</v>
      </c>
      <c r="H616">
        <v>33</v>
      </c>
      <c r="I616">
        <v>16938</v>
      </c>
      <c r="J616" t="s">
        <v>50</v>
      </c>
      <c r="K616" t="s">
        <v>50</v>
      </c>
      <c r="L616" t="s">
        <v>159</v>
      </c>
      <c r="M616" t="s">
        <v>51</v>
      </c>
      <c r="N616" t="s">
        <v>92</v>
      </c>
      <c r="O616" s="1">
        <v>41335</v>
      </c>
      <c r="P616" t="s">
        <v>84</v>
      </c>
      <c r="Q616">
        <v>1</v>
      </c>
      <c r="R616" t="s">
        <v>83</v>
      </c>
      <c r="S616">
        <v>0</v>
      </c>
      <c r="T616">
        <v>6059.26</v>
      </c>
      <c r="U616">
        <v>0</v>
      </c>
    </row>
    <row r="617" spans="1:21" x14ac:dyDescent="0.3">
      <c r="A617" s="1">
        <v>44166</v>
      </c>
      <c r="B617" s="1">
        <v>44166</v>
      </c>
      <c r="C617" t="s">
        <v>157</v>
      </c>
      <c r="D617" t="s">
        <v>52</v>
      </c>
      <c r="E617" t="s">
        <v>53</v>
      </c>
      <c r="F617" t="s">
        <v>266</v>
      </c>
      <c r="G617" s="53">
        <v>44203.692604166667</v>
      </c>
      <c r="H617">
        <v>33</v>
      </c>
      <c r="I617">
        <v>16938</v>
      </c>
      <c r="J617" t="s">
        <v>50</v>
      </c>
      <c r="K617" t="s">
        <v>50</v>
      </c>
      <c r="L617" t="s">
        <v>159</v>
      </c>
      <c r="M617" t="s">
        <v>51</v>
      </c>
      <c r="N617" t="s">
        <v>92</v>
      </c>
      <c r="O617" s="1">
        <v>41335</v>
      </c>
      <c r="P617" t="s">
        <v>84</v>
      </c>
      <c r="Q617">
        <v>1</v>
      </c>
      <c r="R617" t="s">
        <v>83</v>
      </c>
      <c r="S617">
        <v>0</v>
      </c>
      <c r="T617">
        <v>1725.83041</v>
      </c>
      <c r="U617">
        <v>1726</v>
      </c>
    </row>
    <row r="618" spans="1:21" x14ac:dyDescent="0.3">
      <c r="A618" s="1">
        <v>44166</v>
      </c>
      <c r="B618" s="1">
        <v>44166</v>
      </c>
      <c r="C618" t="s">
        <v>157</v>
      </c>
      <c r="D618" t="s">
        <v>48</v>
      </c>
      <c r="E618" t="s">
        <v>49</v>
      </c>
      <c r="F618" t="s">
        <v>267</v>
      </c>
      <c r="G618" s="53">
        <v>44203.692604166667</v>
      </c>
      <c r="H618">
        <v>33</v>
      </c>
      <c r="I618">
        <v>16938</v>
      </c>
      <c r="J618" t="s">
        <v>50</v>
      </c>
      <c r="K618" t="s">
        <v>50</v>
      </c>
      <c r="L618" t="s">
        <v>159</v>
      </c>
      <c r="M618" t="s">
        <v>51</v>
      </c>
      <c r="N618" t="s">
        <v>92</v>
      </c>
      <c r="O618" s="1">
        <v>41335</v>
      </c>
      <c r="P618" t="s">
        <v>84</v>
      </c>
      <c r="Q618">
        <v>1</v>
      </c>
      <c r="R618" t="s">
        <v>83</v>
      </c>
      <c r="S618">
        <v>3655.0122390000001</v>
      </c>
      <c r="T618">
        <v>80.344999999999999</v>
      </c>
      <c r="U618">
        <v>293662</v>
      </c>
    </row>
    <row r="619" spans="1:21" x14ac:dyDescent="0.3">
      <c r="A619" s="1">
        <v>44166</v>
      </c>
      <c r="B619" s="1">
        <v>44166</v>
      </c>
      <c r="C619" t="s">
        <v>157</v>
      </c>
      <c r="D619" t="s">
        <v>93</v>
      </c>
      <c r="E619" t="s">
        <v>49</v>
      </c>
      <c r="F619" t="s">
        <v>268</v>
      </c>
      <c r="G619" s="53">
        <v>44251.474293981482</v>
      </c>
      <c r="H619">
        <v>33</v>
      </c>
      <c r="I619" t="s">
        <v>349</v>
      </c>
      <c r="J619" t="s">
        <v>50</v>
      </c>
      <c r="K619" t="s">
        <v>50</v>
      </c>
      <c r="L619" t="s">
        <v>159</v>
      </c>
      <c r="M619" t="s">
        <v>51</v>
      </c>
      <c r="N619" t="s">
        <v>92</v>
      </c>
      <c r="O619" s="1">
        <v>41335</v>
      </c>
      <c r="P619" t="s">
        <v>84</v>
      </c>
      <c r="Q619">
        <v>1</v>
      </c>
      <c r="R619" t="s">
        <v>83</v>
      </c>
      <c r="S619">
        <v>1</v>
      </c>
      <c r="T619">
        <v>882</v>
      </c>
      <c r="U619">
        <v>882</v>
      </c>
    </row>
    <row r="620" spans="1:21" x14ac:dyDescent="0.3">
      <c r="A620" s="1">
        <v>44166</v>
      </c>
      <c r="B620" s="1">
        <v>44166</v>
      </c>
      <c r="C620" t="s">
        <v>157</v>
      </c>
      <c r="D620" t="s">
        <v>55</v>
      </c>
      <c r="E620" t="s">
        <v>56</v>
      </c>
      <c r="F620" t="s">
        <v>269</v>
      </c>
      <c r="G620" s="53">
        <v>44203.692604166667</v>
      </c>
      <c r="H620">
        <v>33</v>
      </c>
      <c r="I620">
        <v>16938</v>
      </c>
      <c r="J620" t="s">
        <v>50</v>
      </c>
      <c r="K620" t="s">
        <v>50</v>
      </c>
      <c r="L620" t="s">
        <v>159</v>
      </c>
      <c r="M620" t="s">
        <v>51</v>
      </c>
      <c r="N620" t="s">
        <v>92</v>
      </c>
      <c r="O620" s="1">
        <v>41335</v>
      </c>
      <c r="P620" t="s">
        <v>84</v>
      </c>
      <c r="Q620">
        <v>1</v>
      </c>
      <c r="R620" t="s">
        <v>83</v>
      </c>
      <c r="S620">
        <v>3655.0122390000001</v>
      </c>
      <c r="T620">
        <v>0</v>
      </c>
      <c r="U620">
        <v>0</v>
      </c>
    </row>
    <row r="621" spans="1:21" x14ac:dyDescent="0.3">
      <c r="A621" s="1">
        <v>44166</v>
      </c>
      <c r="B621" s="1">
        <v>44166</v>
      </c>
      <c r="C621" t="s">
        <v>157</v>
      </c>
      <c r="D621" t="s">
        <v>48</v>
      </c>
      <c r="E621" t="s">
        <v>49</v>
      </c>
      <c r="F621" t="s">
        <v>267</v>
      </c>
      <c r="G621" s="53">
        <v>44203.692604166667</v>
      </c>
      <c r="H621">
        <v>33</v>
      </c>
      <c r="I621">
        <v>16938</v>
      </c>
      <c r="J621" t="s">
        <v>50</v>
      </c>
      <c r="K621" t="s">
        <v>50</v>
      </c>
      <c r="L621" t="s">
        <v>159</v>
      </c>
      <c r="M621" t="s">
        <v>51</v>
      </c>
      <c r="N621" t="s">
        <v>92</v>
      </c>
      <c r="O621" s="1">
        <v>41335</v>
      </c>
      <c r="P621" t="s">
        <v>84</v>
      </c>
      <c r="Q621">
        <v>2</v>
      </c>
      <c r="R621" t="s">
        <v>94</v>
      </c>
      <c r="S621">
        <v>14.851406000000001</v>
      </c>
      <c r="T621">
        <v>81.489000000000004</v>
      </c>
      <c r="U621">
        <v>1210</v>
      </c>
    </row>
    <row r="622" spans="1:21" x14ac:dyDescent="0.3">
      <c r="A622" s="1">
        <v>44166</v>
      </c>
      <c r="B622" s="1">
        <v>44166</v>
      </c>
      <c r="C622" t="s">
        <v>157</v>
      </c>
      <c r="D622" t="s">
        <v>52</v>
      </c>
      <c r="E622" t="s">
        <v>53</v>
      </c>
      <c r="F622" t="s">
        <v>266</v>
      </c>
      <c r="G622" s="53">
        <v>44203.692604166667</v>
      </c>
      <c r="H622">
        <v>33</v>
      </c>
      <c r="I622">
        <v>16938</v>
      </c>
      <c r="J622" t="s">
        <v>50</v>
      </c>
      <c r="K622" t="s">
        <v>50</v>
      </c>
      <c r="L622" t="s">
        <v>159</v>
      </c>
      <c r="M622" t="s">
        <v>51</v>
      </c>
      <c r="N622" t="s">
        <v>92</v>
      </c>
      <c r="O622" s="1">
        <v>41335</v>
      </c>
      <c r="P622" t="s">
        <v>84</v>
      </c>
      <c r="Q622">
        <v>2</v>
      </c>
      <c r="R622" t="s">
        <v>94</v>
      </c>
      <c r="S622">
        <v>0</v>
      </c>
      <c r="T622">
        <v>0</v>
      </c>
      <c r="U622">
        <v>0</v>
      </c>
    </row>
    <row r="623" spans="1:21" x14ac:dyDescent="0.3">
      <c r="A623" s="1">
        <v>44166</v>
      </c>
      <c r="B623" s="1">
        <v>44166</v>
      </c>
      <c r="C623" t="s">
        <v>157</v>
      </c>
      <c r="D623" t="s">
        <v>93</v>
      </c>
      <c r="E623" t="s">
        <v>49</v>
      </c>
      <c r="F623" t="s">
        <v>268</v>
      </c>
      <c r="G623" s="53">
        <v>44251.474293981482</v>
      </c>
      <c r="H623">
        <v>33</v>
      </c>
      <c r="I623" t="s">
        <v>349</v>
      </c>
      <c r="J623" t="s">
        <v>50</v>
      </c>
      <c r="K623" t="s">
        <v>50</v>
      </c>
      <c r="L623" t="s">
        <v>159</v>
      </c>
      <c r="M623" t="s">
        <v>51</v>
      </c>
      <c r="N623" t="s">
        <v>92</v>
      </c>
      <c r="O623" s="1">
        <v>41335</v>
      </c>
      <c r="P623" t="s">
        <v>84</v>
      </c>
      <c r="Q623">
        <v>2</v>
      </c>
      <c r="R623" t="s">
        <v>94</v>
      </c>
      <c r="S623">
        <v>1</v>
      </c>
      <c r="T623">
        <v>4</v>
      </c>
      <c r="U623">
        <v>4</v>
      </c>
    </row>
    <row r="624" spans="1:21" x14ac:dyDescent="0.3">
      <c r="A624" s="1">
        <v>44166</v>
      </c>
      <c r="B624" s="1">
        <v>44166</v>
      </c>
      <c r="C624" t="s">
        <v>157</v>
      </c>
      <c r="D624" t="s">
        <v>54</v>
      </c>
      <c r="E624" t="s">
        <v>21</v>
      </c>
      <c r="F624" t="s">
        <v>265</v>
      </c>
      <c r="G624" s="53">
        <v>44203.692604166667</v>
      </c>
      <c r="H624">
        <v>33</v>
      </c>
      <c r="I624">
        <v>16938</v>
      </c>
      <c r="J624" t="s">
        <v>50</v>
      </c>
      <c r="K624" t="s">
        <v>50</v>
      </c>
      <c r="L624" t="s">
        <v>159</v>
      </c>
      <c r="M624" t="s">
        <v>51</v>
      </c>
      <c r="N624" t="s">
        <v>92</v>
      </c>
      <c r="O624" s="1">
        <v>41335</v>
      </c>
      <c r="P624" t="s">
        <v>84</v>
      </c>
      <c r="Q624">
        <v>2</v>
      </c>
      <c r="R624" t="s">
        <v>94</v>
      </c>
      <c r="S624">
        <v>0</v>
      </c>
      <c r="T624">
        <v>6135.33</v>
      </c>
      <c r="U624">
        <v>0</v>
      </c>
    </row>
    <row r="625" spans="1:21" x14ac:dyDescent="0.3">
      <c r="A625" s="1">
        <v>44166</v>
      </c>
      <c r="B625" s="1">
        <v>44166</v>
      </c>
      <c r="C625" t="s">
        <v>157</v>
      </c>
      <c r="D625" t="s">
        <v>55</v>
      </c>
      <c r="E625" t="s">
        <v>56</v>
      </c>
      <c r="F625" t="s">
        <v>269</v>
      </c>
      <c r="G625" s="53">
        <v>44203.692604166667</v>
      </c>
      <c r="H625">
        <v>33</v>
      </c>
      <c r="I625">
        <v>16938</v>
      </c>
      <c r="J625" t="s">
        <v>50</v>
      </c>
      <c r="K625" t="s">
        <v>50</v>
      </c>
      <c r="L625" t="s">
        <v>159</v>
      </c>
      <c r="M625" t="s">
        <v>51</v>
      </c>
      <c r="N625" t="s">
        <v>92</v>
      </c>
      <c r="O625" s="1">
        <v>41335</v>
      </c>
      <c r="P625" t="s">
        <v>84</v>
      </c>
      <c r="Q625">
        <v>2</v>
      </c>
      <c r="R625" t="s">
        <v>94</v>
      </c>
      <c r="S625">
        <v>14.851406000000001</v>
      </c>
      <c r="T625">
        <v>0</v>
      </c>
      <c r="U625">
        <v>0</v>
      </c>
    </row>
    <row r="626" spans="1:21" x14ac:dyDescent="0.3">
      <c r="A626" s="1">
        <v>44166</v>
      </c>
      <c r="B626" s="1">
        <v>44166</v>
      </c>
      <c r="C626" t="s">
        <v>157</v>
      </c>
      <c r="D626" t="s">
        <v>54</v>
      </c>
      <c r="E626" t="s">
        <v>21</v>
      </c>
      <c r="F626" t="s">
        <v>265</v>
      </c>
      <c r="G626" s="53">
        <v>44203.692604166667</v>
      </c>
      <c r="H626">
        <v>33</v>
      </c>
      <c r="I626">
        <v>16938</v>
      </c>
      <c r="J626" t="s">
        <v>50</v>
      </c>
      <c r="K626" t="s">
        <v>50</v>
      </c>
      <c r="L626" t="s">
        <v>159</v>
      </c>
      <c r="M626" t="s">
        <v>51</v>
      </c>
      <c r="N626" t="s">
        <v>92</v>
      </c>
      <c r="O626" s="1">
        <v>41335</v>
      </c>
      <c r="P626" t="s">
        <v>84</v>
      </c>
      <c r="Q626">
        <v>3</v>
      </c>
      <c r="R626" t="s">
        <v>81</v>
      </c>
      <c r="S626">
        <v>0</v>
      </c>
      <c r="T626">
        <v>5857.6</v>
      </c>
      <c r="U626">
        <v>0</v>
      </c>
    </row>
    <row r="627" spans="1:21" x14ac:dyDescent="0.3">
      <c r="A627" s="1">
        <v>44166</v>
      </c>
      <c r="B627" s="1">
        <v>44166</v>
      </c>
      <c r="C627" t="s">
        <v>157</v>
      </c>
      <c r="D627" t="s">
        <v>52</v>
      </c>
      <c r="E627" t="s">
        <v>53</v>
      </c>
      <c r="F627" t="s">
        <v>266</v>
      </c>
      <c r="G627" s="53">
        <v>44203.692604166667</v>
      </c>
      <c r="H627">
        <v>33</v>
      </c>
      <c r="I627">
        <v>16938</v>
      </c>
      <c r="J627" t="s">
        <v>50</v>
      </c>
      <c r="K627" t="s">
        <v>50</v>
      </c>
      <c r="L627" t="s">
        <v>159</v>
      </c>
      <c r="M627" t="s">
        <v>51</v>
      </c>
      <c r="N627" t="s">
        <v>92</v>
      </c>
      <c r="O627" s="1">
        <v>41335</v>
      </c>
      <c r="P627" t="s">
        <v>84</v>
      </c>
      <c r="Q627">
        <v>3</v>
      </c>
      <c r="R627" t="s">
        <v>81</v>
      </c>
      <c r="S627">
        <v>0</v>
      </c>
      <c r="T627">
        <v>0</v>
      </c>
      <c r="U627">
        <v>0</v>
      </c>
    </row>
    <row r="628" spans="1:21" x14ac:dyDescent="0.3">
      <c r="A628" s="1">
        <v>44166</v>
      </c>
      <c r="B628" s="1">
        <v>44166</v>
      </c>
      <c r="C628" t="s">
        <v>157</v>
      </c>
      <c r="D628" t="s">
        <v>93</v>
      </c>
      <c r="E628" t="s">
        <v>49</v>
      </c>
      <c r="F628" t="s">
        <v>268</v>
      </c>
      <c r="G628" s="53">
        <v>44251.474293981482</v>
      </c>
      <c r="H628">
        <v>33</v>
      </c>
      <c r="I628" t="s">
        <v>349</v>
      </c>
      <c r="J628" t="s">
        <v>50</v>
      </c>
      <c r="K628" t="s">
        <v>50</v>
      </c>
      <c r="L628" t="s">
        <v>159</v>
      </c>
      <c r="M628" t="s">
        <v>51</v>
      </c>
      <c r="N628" t="s">
        <v>92</v>
      </c>
      <c r="O628" s="1">
        <v>41335</v>
      </c>
      <c r="P628" t="s">
        <v>84</v>
      </c>
      <c r="Q628">
        <v>3</v>
      </c>
      <c r="R628" t="s">
        <v>81</v>
      </c>
      <c r="S628">
        <v>1</v>
      </c>
      <c r="T628">
        <v>128</v>
      </c>
      <c r="U628">
        <v>128</v>
      </c>
    </row>
    <row r="629" spans="1:21" x14ac:dyDescent="0.3">
      <c r="A629" s="1">
        <v>44166</v>
      </c>
      <c r="B629" s="1">
        <v>44166</v>
      </c>
      <c r="C629" t="s">
        <v>157</v>
      </c>
      <c r="D629" t="s">
        <v>55</v>
      </c>
      <c r="E629" t="s">
        <v>56</v>
      </c>
      <c r="F629" t="s">
        <v>269</v>
      </c>
      <c r="G629" s="53">
        <v>44203.692604166667</v>
      </c>
      <c r="H629">
        <v>33</v>
      </c>
      <c r="I629">
        <v>16938</v>
      </c>
      <c r="J629" t="s">
        <v>50</v>
      </c>
      <c r="K629" t="s">
        <v>50</v>
      </c>
      <c r="L629" t="s">
        <v>159</v>
      </c>
      <c r="M629" t="s">
        <v>51</v>
      </c>
      <c r="N629" t="s">
        <v>92</v>
      </c>
      <c r="O629" s="1">
        <v>41335</v>
      </c>
      <c r="P629" t="s">
        <v>84</v>
      </c>
      <c r="Q629">
        <v>3</v>
      </c>
      <c r="R629" t="s">
        <v>81</v>
      </c>
      <c r="S629">
        <v>555.09301300000004</v>
      </c>
      <c r="T629">
        <v>0</v>
      </c>
      <c r="U629">
        <v>0</v>
      </c>
    </row>
    <row r="630" spans="1:21" x14ac:dyDescent="0.3">
      <c r="A630" s="1">
        <v>44166</v>
      </c>
      <c r="B630" s="1">
        <v>44166</v>
      </c>
      <c r="C630" t="s">
        <v>157</v>
      </c>
      <c r="D630" t="s">
        <v>48</v>
      </c>
      <c r="E630" t="s">
        <v>49</v>
      </c>
      <c r="F630" t="s">
        <v>267</v>
      </c>
      <c r="G630" s="53">
        <v>44203.692604166667</v>
      </c>
      <c r="H630">
        <v>33</v>
      </c>
      <c r="I630">
        <v>16938</v>
      </c>
      <c r="J630" t="s">
        <v>50</v>
      </c>
      <c r="K630" t="s">
        <v>50</v>
      </c>
      <c r="L630" t="s">
        <v>159</v>
      </c>
      <c r="M630" t="s">
        <v>51</v>
      </c>
      <c r="N630" t="s">
        <v>92</v>
      </c>
      <c r="O630" s="1">
        <v>41335</v>
      </c>
      <c r="P630" t="s">
        <v>84</v>
      </c>
      <c r="Q630">
        <v>3</v>
      </c>
      <c r="R630" t="s">
        <v>81</v>
      </c>
      <c r="S630">
        <v>555.09301300000004</v>
      </c>
      <c r="T630">
        <v>76.656999999999996</v>
      </c>
      <c r="U630">
        <v>42552</v>
      </c>
    </row>
    <row r="631" spans="1:21" x14ac:dyDescent="0.3">
      <c r="A631" s="1">
        <v>44166</v>
      </c>
      <c r="B631" s="1">
        <v>44166</v>
      </c>
      <c r="C631" t="s">
        <v>157</v>
      </c>
      <c r="D631" t="s">
        <v>55</v>
      </c>
      <c r="E631" t="s">
        <v>56</v>
      </c>
      <c r="F631" t="s">
        <v>269</v>
      </c>
      <c r="G631" s="53">
        <v>44203.692604166667</v>
      </c>
      <c r="H631">
        <v>33</v>
      </c>
      <c r="I631">
        <v>16938</v>
      </c>
      <c r="J631" t="s">
        <v>50</v>
      </c>
      <c r="K631" t="s">
        <v>50</v>
      </c>
      <c r="L631" t="s">
        <v>159</v>
      </c>
      <c r="M631" t="s">
        <v>51</v>
      </c>
      <c r="N631" t="s">
        <v>92</v>
      </c>
      <c r="O631" s="1">
        <v>41335</v>
      </c>
      <c r="P631" t="s">
        <v>84</v>
      </c>
      <c r="Q631">
        <v>4</v>
      </c>
      <c r="R631" t="s">
        <v>27</v>
      </c>
      <c r="S631">
        <v>4574.312688</v>
      </c>
      <c r="T631">
        <v>0</v>
      </c>
      <c r="U631">
        <v>0</v>
      </c>
    </row>
    <row r="632" spans="1:21" x14ac:dyDescent="0.3">
      <c r="A632" s="1">
        <v>44166</v>
      </c>
      <c r="B632" s="1">
        <v>44166</v>
      </c>
      <c r="C632" t="s">
        <v>157</v>
      </c>
      <c r="D632" t="s">
        <v>48</v>
      </c>
      <c r="E632" t="s">
        <v>49</v>
      </c>
      <c r="F632" t="s">
        <v>267</v>
      </c>
      <c r="G632" s="53">
        <v>44203.692604166667</v>
      </c>
      <c r="H632">
        <v>33</v>
      </c>
      <c r="I632">
        <v>16938</v>
      </c>
      <c r="J632" t="s">
        <v>50</v>
      </c>
      <c r="K632" t="s">
        <v>50</v>
      </c>
      <c r="L632" t="s">
        <v>159</v>
      </c>
      <c r="M632" t="s">
        <v>51</v>
      </c>
      <c r="N632" t="s">
        <v>92</v>
      </c>
      <c r="O632" s="1">
        <v>41335</v>
      </c>
      <c r="P632" t="s">
        <v>84</v>
      </c>
      <c r="Q632">
        <v>4</v>
      </c>
      <c r="R632" t="s">
        <v>27</v>
      </c>
      <c r="S632">
        <v>4574.312688</v>
      </c>
      <c r="T632">
        <v>76.781000000000006</v>
      </c>
      <c r="U632">
        <v>351220</v>
      </c>
    </row>
    <row r="633" spans="1:21" x14ac:dyDescent="0.3">
      <c r="A633" s="1">
        <v>44166</v>
      </c>
      <c r="B633" s="1">
        <v>44166</v>
      </c>
      <c r="C633" t="s">
        <v>157</v>
      </c>
      <c r="D633" t="s">
        <v>52</v>
      </c>
      <c r="E633" t="s">
        <v>53</v>
      </c>
      <c r="F633" t="s">
        <v>266</v>
      </c>
      <c r="G633" s="53">
        <v>44203.692604166667</v>
      </c>
      <c r="H633">
        <v>33</v>
      </c>
      <c r="I633">
        <v>16938</v>
      </c>
      <c r="J633" t="s">
        <v>50</v>
      </c>
      <c r="K633" t="s">
        <v>50</v>
      </c>
      <c r="L633" t="s">
        <v>159</v>
      </c>
      <c r="M633" t="s">
        <v>51</v>
      </c>
      <c r="N633" t="s">
        <v>92</v>
      </c>
      <c r="O633" s="1">
        <v>41335</v>
      </c>
      <c r="P633" t="s">
        <v>84</v>
      </c>
      <c r="Q633">
        <v>4</v>
      </c>
      <c r="R633" t="s">
        <v>27</v>
      </c>
      <c r="S633">
        <v>0</v>
      </c>
      <c r="T633">
        <v>0</v>
      </c>
      <c r="U633">
        <v>0</v>
      </c>
    </row>
    <row r="634" spans="1:21" x14ac:dyDescent="0.3">
      <c r="A634" s="1">
        <v>44166</v>
      </c>
      <c r="B634" s="1">
        <v>44166</v>
      </c>
      <c r="C634" t="s">
        <v>157</v>
      </c>
      <c r="D634" t="s">
        <v>54</v>
      </c>
      <c r="E634" t="s">
        <v>21</v>
      </c>
      <c r="F634" t="s">
        <v>265</v>
      </c>
      <c r="G634" s="53">
        <v>44203.692604166667</v>
      </c>
      <c r="H634">
        <v>33</v>
      </c>
      <c r="I634">
        <v>16938</v>
      </c>
      <c r="J634" t="s">
        <v>50</v>
      </c>
      <c r="K634" t="s">
        <v>50</v>
      </c>
      <c r="L634" t="s">
        <v>159</v>
      </c>
      <c r="M634" t="s">
        <v>51</v>
      </c>
      <c r="N634" t="s">
        <v>92</v>
      </c>
      <c r="O634" s="1">
        <v>41335</v>
      </c>
      <c r="P634" t="s">
        <v>84</v>
      </c>
      <c r="Q634">
        <v>4</v>
      </c>
      <c r="R634" t="s">
        <v>27</v>
      </c>
      <c r="S634">
        <v>0</v>
      </c>
      <c r="T634">
        <v>5984.39</v>
      </c>
      <c r="U634">
        <v>0</v>
      </c>
    </row>
    <row r="635" spans="1:21" x14ac:dyDescent="0.3">
      <c r="A635" s="1">
        <v>44166</v>
      </c>
      <c r="B635" s="1">
        <v>44166</v>
      </c>
      <c r="C635" t="s">
        <v>157</v>
      </c>
      <c r="D635" t="s">
        <v>93</v>
      </c>
      <c r="E635" t="s">
        <v>49</v>
      </c>
      <c r="F635" t="s">
        <v>268</v>
      </c>
      <c r="G635" s="53">
        <v>44251.474293981482</v>
      </c>
      <c r="H635">
        <v>33</v>
      </c>
      <c r="I635" t="s">
        <v>349</v>
      </c>
      <c r="J635" t="s">
        <v>50</v>
      </c>
      <c r="K635" t="s">
        <v>50</v>
      </c>
      <c r="L635" t="s">
        <v>159</v>
      </c>
      <c r="M635" t="s">
        <v>51</v>
      </c>
      <c r="N635" t="s">
        <v>92</v>
      </c>
      <c r="O635" s="1">
        <v>41335</v>
      </c>
      <c r="P635" t="s">
        <v>84</v>
      </c>
      <c r="Q635">
        <v>4</v>
      </c>
      <c r="R635" t="s">
        <v>27</v>
      </c>
      <c r="S635">
        <v>1</v>
      </c>
      <c r="T635">
        <v>1055</v>
      </c>
      <c r="U635">
        <v>1055</v>
      </c>
    </row>
    <row r="636" spans="1:21" x14ac:dyDescent="0.3">
      <c r="A636" s="1">
        <v>44166</v>
      </c>
      <c r="B636" s="1">
        <v>44166</v>
      </c>
      <c r="C636" t="s">
        <v>157</v>
      </c>
      <c r="D636" t="s">
        <v>52</v>
      </c>
      <c r="E636" t="s">
        <v>53</v>
      </c>
      <c r="F636" t="s">
        <v>266</v>
      </c>
      <c r="G636" s="53">
        <v>44203.692604166667</v>
      </c>
      <c r="H636">
        <v>33</v>
      </c>
      <c r="I636">
        <v>16938</v>
      </c>
      <c r="J636" t="s">
        <v>50</v>
      </c>
      <c r="K636" t="s">
        <v>50</v>
      </c>
      <c r="L636" t="s">
        <v>159</v>
      </c>
      <c r="M636" t="s">
        <v>51</v>
      </c>
      <c r="N636" t="s">
        <v>92</v>
      </c>
      <c r="O636" s="1">
        <v>41335</v>
      </c>
      <c r="P636" t="s">
        <v>84</v>
      </c>
      <c r="Q636">
        <v>5</v>
      </c>
      <c r="R636" t="s">
        <v>28</v>
      </c>
      <c r="S636">
        <v>0</v>
      </c>
      <c r="T636">
        <v>0</v>
      </c>
      <c r="U636">
        <v>0</v>
      </c>
    </row>
    <row r="637" spans="1:21" x14ac:dyDescent="0.3">
      <c r="A637" s="1">
        <v>44166</v>
      </c>
      <c r="B637" s="1">
        <v>44166</v>
      </c>
      <c r="C637" t="s">
        <v>157</v>
      </c>
      <c r="D637" t="s">
        <v>54</v>
      </c>
      <c r="E637" t="s">
        <v>21</v>
      </c>
      <c r="F637" t="s">
        <v>265</v>
      </c>
      <c r="G637" s="53">
        <v>44203.692604166667</v>
      </c>
      <c r="H637">
        <v>33</v>
      </c>
      <c r="I637">
        <v>16938</v>
      </c>
      <c r="J637" t="s">
        <v>50</v>
      </c>
      <c r="K637" t="s">
        <v>50</v>
      </c>
      <c r="L637" t="s">
        <v>159</v>
      </c>
      <c r="M637" t="s">
        <v>51</v>
      </c>
      <c r="N637" t="s">
        <v>92</v>
      </c>
      <c r="O637" s="1">
        <v>41335</v>
      </c>
      <c r="P637" t="s">
        <v>84</v>
      </c>
      <c r="Q637">
        <v>5</v>
      </c>
      <c r="R637" t="s">
        <v>28</v>
      </c>
      <c r="S637">
        <v>0</v>
      </c>
      <c r="T637">
        <v>5746.51</v>
      </c>
      <c r="U637">
        <v>0</v>
      </c>
    </row>
    <row r="638" spans="1:21" x14ac:dyDescent="0.3">
      <c r="A638" s="1">
        <v>44166</v>
      </c>
      <c r="B638" s="1">
        <v>44166</v>
      </c>
      <c r="C638" t="s">
        <v>157</v>
      </c>
      <c r="D638" t="s">
        <v>93</v>
      </c>
      <c r="E638" t="s">
        <v>49</v>
      </c>
      <c r="F638" t="s">
        <v>268</v>
      </c>
      <c r="G638" s="53">
        <v>44251.474293981482</v>
      </c>
      <c r="H638">
        <v>33</v>
      </c>
      <c r="I638" t="s">
        <v>349</v>
      </c>
      <c r="J638" t="s">
        <v>50</v>
      </c>
      <c r="K638" t="s">
        <v>50</v>
      </c>
      <c r="L638" t="s">
        <v>159</v>
      </c>
      <c r="M638" t="s">
        <v>51</v>
      </c>
      <c r="N638" t="s">
        <v>92</v>
      </c>
      <c r="O638" s="1">
        <v>41335</v>
      </c>
      <c r="P638" t="s">
        <v>84</v>
      </c>
      <c r="Q638">
        <v>5</v>
      </c>
      <c r="R638" t="s">
        <v>28</v>
      </c>
      <c r="S638">
        <v>1</v>
      </c>
      <c r="T638">
        <v>4</v>
      </c>
      <c r="U638">
        <v>4</v>
      </c>
    </row>
    <row r="639" spans="1:21" x14ac:dyDescent="0.3">
      <c r="A639" s="1">
        <v>44166</v>
      </c>
      <c r="B639" s="1">
        <v>44166</v>
      </c>
      <c r="C639" t="s">
        <v>157</v>
      </c>
      <c r="D639" t="s">
        <v>55</v>
      </c>
      <c r="E639" t="s">
        <v>56</v>
      </c>
      <c r="F639" t="s">
        <v>269</v>
      </c>
      <c r="G639" s="53">
        <v>44203.692604166667</v>
      </c>
      <c r="H639">
        <v>33</v>
      </c>
      <c r="I639">
        <v>16938</v>
      </c>
      <c r="J639" t="s">
        <v>50</v>
      </c>
      <c r="K639" t="s">
        <v>50</v>
      </c>
      <c r="L639" t="s">
        <v>159</v>
      </c>
      <c r="M639" t="s">
        <v>51</v>
      </c>
      <c r="N639" t="s">
        <v>92</v>
      </c>
      <c r="O639" s="1">
        <v>41335</v>
      </c>
      <c r="P639" t="s">
        <v>84</v>
      </c>
      <c r="Q639">
        <v>5</v>
      </c>
      <c r="R639" t="s">
        <v>28</v>
      </c>
      <c r="S639">
        <v>18.685690000000001</v>
      </c>
      <c r="T639">
        <v>0</v>
      </c>
      <c r="U639">
        <v>0</v>
      </c>
    </row>
    <row r="640" spans="1:21" x14ac:dyDescent="0.3">
      <c r="A640" s="1">
        <v>44166</v>
      </c>
      <c r="B640" s="1">
        <v>44166</v>
      </c>
      <c r="C640" t="s">
        <v>157</v>
      </c>
      <c r="D640" t="s">
        <v>48</v>
      </c>
      <c r="E640" t="s">
        <v>49</v>
      </c>
      <c r="F640" t="s">
        <v>267</v>
      </c>
      <c r="G640" s="53">
        <v>44203.692604166667</v>
      </c>
      <c r="H640">
        <v>33</v>
      </c>
      <c r="I640">
        <v>16938</v>
      </c>
      <c r="J640" t="s">
        <v>50</v>
      </c>
      <c r="K640" t="s">
        <v>50</v>
      </c>
      <c r="L640" t="s">
        <v>159</v>
      </c>
      <c r="M640" t="s">
        <v>51</v>
      </c>
      <c r="N640" t="s">
        <v>92</v>
      </c>
      <c r="O640" s="1">
        <v>41335</v>
      </c>
      <c r="P640" t="s">
        <v>84</v>
      </c>
      <c r="Q640">
        <v>5</v>
      </c>
      <c r="R640" t="s">
        <v>28</v>
      </c>
      <c r="S640">
        <v>18.685690000000001</v>
      </c>
      <c r="T640">
        <v>79.340999999999994</v>
      </c>
      <c r="U640">
        <v>1483</v>
      </c>
    </row>
    <row r="641" spans="1:21" x14ac:dyDescent="0.3">
      <c r="A641" s="1">
        <v>44197</v>
      </c>
      <c r="B641" s="1">
        <v>44197</v>
      </c>
      <c r="C641" t="s">
        <v>157</v>
      </c>
      <c r="D641" t="s">
        <v>93</v>
      </c>
      <c r="E641" t="s">
        <v>49</v>
      </c>
      <c r="F641" t="s">
        <v>270</v>
      </c>
      <c r="G641" s="53">
        <v>44273.429872685185</v>
      </c>
      <c r="H641">
        <v>61</v>
      </c>
      <c r="I641" t="s">
        <v>349</v>
      </c>
      <c r="J641" t="s">
        <v>50</v>
      </c>
      <c r="K641" t="s">
        <v>50</v>
      </c>
      <c r="L641" t="s">
        <v>159</v>
      </c>
      <c r="M641" t="s">
        <v>51</v>
      </c>
      <c r="N641" t="s">
        <v>92</v>
      </c>
      <c r="O641" s="1">
        <v>41335</v>
      </c>
      <c r="P641" t="s">
        <v>84</v>
      </c>
      <c r="Q641">
        <v>1</v>
      </c>
      <c r="R641" t="s">
        <v>83</v>
      </c>
      <c r="S641">
        <v>1</v>
      </c>
      <c r="T641">
        <v>-332</v>
      </c>
      <c r="U641">
        <v>-332</v>
      </c>
    </row>
    <row r="642" spans="1:21" x14ac:dyDescent="0.3">
      <c r="A642" s="1">
        <v>44197</v>
      </c>
      <c r="B642" s="1">
        <v>44197</v>
      </c>
      <c r="C642" t="s">
        <v>157</v>
      </c>
      <c r="D642" t="s">
        <v>55</v>
      </c>
      <c r="E642" t="s">
        <v>56</v>
      </c>
      <c r="F642" t="s">
        <v>271</v>
      </c>
      <c r="G642" s="53">
        <v>44235.838287037041</v>
      </c>
      <c r="H642">
        <v>33</v>
      </c>
      <c r="I642">
        <v>17339</v>
      </c>
      <c r="J642" t="s">
        <v>50</v>
      </c>
      <c r="K642" t="s">
        <v>50</v>
      </c>
      <c r="L642" t="s">
        <v>159</v>
      </c>
      <c r="M642" t="s">
        <v>51</v>
      </c>
      <c r="N642" t="s">
        <v>92</v>
      </c>
      <c r="O642" s="1">
        <v>41335</v>
      </c>
      <c r="P642" t="s">
        <v>84</v>
      </c>
      <c r="Q642">
        <v>1</v>
      </c>
      <c r="R642" t="s">
        <v>83</v>
      </c>
      <c r="S642">
        <v>2962.3663649999999</v>
      </c>
      <c r="T642">
        <v>0</v>
      </c>
      <c r="U642">
        <v>0</v>
      </c>
    </row>
    <row r="643" spans="1:21" x14ac:dyDescent="0.3">
      <c r="A643" s="1">
        <v>44197</v>
      </c>
      <c r="B643" s="1">
        <v>44197</v>
      </c>
      <c r="C643" t="s">
        <v>157</v>
      </c>
      <c r="D643" t="s">
        <v>48</v>
      </c>
      <c r="E643" t="s">
        <v>49</v>
      </c>
      <c r="F643" t="s">
        <v>272</v>
      </c>
      <c r="G643" s="53">
        <v>44235.838287037041</v>
      </c>
      <c r="H643">
        <v>33</v>
      </c>
      <c r="I643">
        <v>17339</v>
      </c>
      <c r="J643" t="s">
        <v>50</v>
      </c>
      <c r="K643" t="s">
        <v>50</v>
      </c>
      <c r="L643" t="s">
        <v>159</v>
      </c>
      <c r="M643" t="s">
        <v>51</v>
      </c>
      <c r="N643" t="s">
        <v>92</v>
      </c>
      <c r="O643" s="1">
        <v>41335</v>
      </c>
      <c r="P643" t="s">
        <v>84</v>
      </c>
      <c r="Q643">
        <v>1</v>
      </c>
      <c r="R643" t="s">
        <v>83</v>
      </c>
      <c r="S643">
        <v>2962.3663649999999</v>
      </c>
      <c r="T643">
        <v>85.203000000000003</v>
      </c>
      <c r="U643">
        <v>252403</v>
      </c>
    </row>
    <row r="644" spans="1:21" x14ac:dyDescent="0.3">
      <c r="A644" s="1">
        <v>44197</v>
      </c>
      <c r="B644" s="1">
        <v>44197</v>
      </c>
      <c r="C644" t="s">
        <v>157</v>
      </c>
      <c r="D644" t="s">
        <v>52</v>
      </c>
      <c r="E644" t="s">
        <v>53</v>
      </c>
      <c r="F644" t="s">
        <v>273</v>
      </c>
      <c r="G644" s="53">
        <v>44235.838287037041</v>
      </c>
      <c r="H644">
        <v>33</v>
      </c>
      <c r="I644">
        <v>17339</v>
      </c>
      <c r="J644" t="s">
        <v>50</v>
      </c>
      <c r="K644" t="s">
        <v>50</v>
      </c>
      <c r="L644" t="s">
        <v>159</v>
      </c>
      <c r="M644" t="s">
        <v>51</v>
      </c>
      <c r="N644" t="s">
        <v>92</v>
      </c>
      <c r="O644" s="1">
        <v>41335</v>
      </c>
      <c r="P644" t="s">
        <v>84</v>
      </c>
      <c r="Q644">
        <v>1</v>
      </c>
      <c r="R644" t="s">
        <v>83</v>
      </c>
      <c r="S644">
        <v>0</v>
      </c>
      <c r="T644">
        <v>534.30332399999998</v>
      </c>
      <c r="U644">
        <v>534</v>
      </c>
    </row>
    <row r="645" spans="1:21" x14ac:dyDescent="0.3">
      <c r="A645" s="1">
        <v>44197</v>
      </c>
      <c r="B645" s="1">
        <v>44197</v>
      </c>
      <c r="C645" t="s">
        <v>157</v>
      </c>
      <c r="D645" t="s">
        <v>54</v>
      </c>
      <c r="E645" t="s">
        <v>21</v>
      </c>
      <c r="F645" t="s">
        <v>274</v>
      </c>
      <c r="G645" s="53">
        <v>44235.838287037041</v>
      </c>
      <c r="H645">
        <v>33</v>
      </c>
      <c r="I645">
        <v>17339</v>
      </c>
      <c r="J645" t="s">
        <v>50</v>
      </c>
      <c r="K645" t="s">
        <v>50</v>
      </c>
      <c r="L645" t="s">
        <v>159</v>
      </c>
      <c r="M645" t="s">
        <v>51</v>
      </c>
      <c r="N645" t="s">
        <v>92</v>
      </c>
      <c r="O645" s="1">
        <v>41335</v>
      </c>
      <c r="P645" t="s">
        <v>84</v>
      </c>
      <c r="Q645">
        <v>1</v>
      </c>
      <c r="R645" t="s">
        <v>83</v>
      </c>
      <c r="S645">
        <v>0</v>
      </c>
      <c r="T645">
        <v>5914.42</v>
      </c>
      <c r="U645">
        <v>0</v>
      </c>
    </row>
    <row r="646" spans="1:21" x14ac:dyDescent="0.3">
      <c r="A646" s="1">
        <v>44197</v>
      </c>
      <c r="B646" s="1">
        <v>44197</v>
      </c>
      <c r="C646" t="s">
        <v>157</v>
      </c>
      <c r="D646" t="s">
        <v>55</v>
      </c>
      <c r="E646" t="s">
        <v>56</v>
      </c>
      <c r="F646" t="s">
        <v>271</v>
      </c>
      <c r="G646" s="53">
        <v>44235.838287037041</v>
      </c>
      <c r="H646">
        <v>33</v>
      </c>
      <c r="I646">
        <v>17339</v>
      </c>
      <c r="J646" t="s">
        <v>50</v>
      </c>
      <c r="K646" t="s">
        <v>50</v>
      </c>
      <c r="L646" t="s">
        <v>159</v>
      </c>
      <c r="M646" t="s">
        <v>51</v>
      </c>
      <c r="N646" t="s">
        <v>92</v>
      </c>
      <c r="O646" s="1">
        <v>41335</v>
      </c>
      <c r="P646" t="s">
        <v>84</v>
      </c>
      <c r="Q646">
        <v>2</v>
      </c>
      <c r="R646" t="s">
        <v>94</v>
      </c>
      <c r="S646">
        <v>9.6260829999999995</v>
      </c>
      <c r="T646">
        <v>0</v>
      </c>
      <c r="U646">
        <v>0</v>
      </c>
    </row>
    <row r="647" spans="1:21" x14ac:dyDescent="0.3">
      <c r="A647" s="1">
        <v>44197</v>
      </c>
      <c r="B647" s="1">
        <v>44197</v>
      </c>
      <c r="C647" t="s">
        <v>157</v>
      </c>
      <c r="D647" t="s">
        <v>48</v>
      </c>
      <c r="E647" t="s">
        <v>49</v>
      </c>
      <c r="F647" t="s">
        <v>272</v>
      </c>
      <c r="G647" s="53">
        <v>44235.838287037041</v>
      </c>
      <c r="H647">
        <v>33</v>
      </c>
      <c r="I647">
        <v>17339</v>
      </c>
      <c r="J647" t="s">
        <v>50</v>
      </c>
      <c r="K647" t="s">
        <v>50</v>
      </c>
      <c r="L647" t="s">
        <v>159</v>
      </c>
      <c r="M647" t="s">
        <v>51</v>
      </c>
      <c r="N647" t="s">
        <v>92</v>
      </c>
      <c r="O647" s="1">
        <v>41335</v>
      </c>
      <c r="P647" t="s">
        <v>84</v>
      </c>
      <c r="Q647">
        <v>2</v>
      </c>
      <c r="R647" t="s">
        <v>94</v>
      </c>
      <c r="S647">
        <v>9.6260829999999995</v>
      </c>
      <c r="T647">
        <v>86.819000000000003</v>
      </c>
      <c r="U647">
        <v>836</v>
      </c>
    </row>
    <row r="648" spans="1:21" x14ac:dyDescent="0.3">
      <c r="A648" s="1">
        <v>44197</v>
      </c>
      <c r="B648" s="1">
        <v>44197</v>
      </c>
      <c r="C648" t="s">
        <v>157</v>
      </c>
      <c r="D648" t="s">
        <v>52</v>
      </c>
      <c r="E648" t="s">
        <v>53</v>
      </c>
      <c r="F648" t="s">
        <v>273</v>
      </c>
      <c r="G648" s="53">
        <v>44235.838287037041</v>
      </c>
      <c r="H648">
        <v>33</v>
      </c>
      <c r="I648">
        <v>17339</v>
      </c>
      <c r="J648" t="s">
        <v>50</v>
      </c>
      <c r="K648" t="s">
        <v>50</v>
      </c>
      <c r="L648" t="s">
        <v>159</v>
      </c>
      <c r="M648" t="s">
        <v>51</v>
      </c>
      <c r="N648" t="s">
        <v>92</v>
      </c>
      <c r="O648" s="1">
        <v>41335</v>
      </c>
      <c r="P648" t="s">
        <v>84</v>
      </c>
      <c r="Q648">
        <v>2</v>
      </c>
      <c r="R648" t="s">
        <v>94</v>
      </c>
      <c r="S648">
        <v>0</v>
      </c>
      <c r="T648">
        <v>0</v>
      </c>
      <c r="U648">
        <v>0</v>
      </c>
    </row>
    <row r="649" spans="1:21" x14ac:dyDescent="0.3">
      <c r="A649" s="1">
        <v>44197</v>
      </c>
      <c r="B649" s="1">
        <v>44197</v>
      </c>
      <c r="C649" t="s">
        <v>157</v>
      </c>
      <c r="D649" t="s">
        <v>54</v>
      </c>
      <c r="E649" t="s">
        <v>21</v>
      </c>
      <c r="F649" t="s">
        <v>274</v>
      </c>
      <c r="G649" s="53">
        <v>44235.838287037041</v>
      </c>
      <c r="H649">
        <v>33</v>
      </c>
      <c r="I649">
        <v>17339</v>
      </c>
      <c r="J649" t="s">
        <v>50</v>
      </c>
      <c r="K649" t="s">
        <v>50</v>
      </c>
      <c r="L649" t="s">
        <v>159</v>
      </c>
      <c r="M649" t="s">
        <v>51</v>
      </c>
      <c r="N649" t="s">
        <v>92</v>
      </c>
      <c r="O649" s="1">
        <v>41335</v>
      </c>
      <c r="P649" t="s">
        <v>84</v>
      </c>
      <c r="Q649">
        <v>2</v>
      </c>
      <c r="R649" t="s">
        <v>94</v>
      </c>
      <c r="S649">
        <v>0</v>
      </c>
      <c r="T649">
        <v>6007.37</v>
      </c>
      <c r="U649">
        <v>0</v>
      </c>
    </row>
    <row r="650" spans="1:21" x14ac:dyDescent="0.3">
      <c r="A650" s="1">
        <v>44197</v>
      </c>
      <c r="B650" s="1">
        <v>44197</v>
      </c>
      <c r="C650" t="s">
        <v>157</v>
      </c>
      <c r="D650" t="s">
        <v>93</v>
      </c>
      <c r="E650" t="s">
        <v>49</v>
      </c>
      <c r="F650" t="s">
        <v>270</v>
      </c>
      <c r="G650" s="53">
        <v>44273.429872685185</v>
      </c>
      <c r="H650">
        <v>61</v>
      </c>
      <c r="I650" t="s">
        <v>349</v>
      </c>
      <c r="J650" t="s">
        <v>50</v>
      </c>
      <c r="K650" t="s">
        <v>50</v>
      </c>
      <c r="L650" t="s">
        <v>159</v>
      </c>
      <c r="M650" t="s">
        <v>51</v>
      </c>
      <c r="N650" t="s">
        <v>92</v>
      </c>
      <c r="O650" s="1">
        <v>41335</v>
      </c>
      <c r="P650" t="s">
        <v>84</v>
      </c>
      <c r="Q650">
        <v>2</v>
      </c>
      <c r="R650" t="s">
        <v>94</v>
      </c>
      <c r="S650">
        <v>1</v>
      </c>
      <c r="T650">
        <v>-1</v>
      </c>
      <c r="U650">
        <v>-1</v>
      </c>
    </row>
    <row r="651" spans="1:21" x14ac:dyDescent="0.3">
      <c r="A651" s="1">
        <v>44197</v>
      </c>
      <c r="B651" s="1">
        <v>44197</v>
      </c>
      <c r="C651" t="s">
        <v>157</v>
      </c>
      <c r="D651" t="s">
        <v>55</v>
      </c>
      <c r="E651" t="s">
        <v>56</v>
      </c>
      <c r="F651" t="s">
        <v>271</v>
      </c>
      <c r="G651" s="53">
        <v>44235.838287037041</v>
      </c>
      <c r="H651">
        <v>33</v>
      </c>
      <c r="I651">
        <v>17339</v>
      </c>
      <c r="J651" t="s">
        <v>50</v>
      </c>
      <c r="K651" t="s">
        <v>50</v>
      </c>
      <c r="L651" t="s">
        <v>159</v>
      </c>
      <c r="M651" t="s">
        <v>51</v>
      </c>
      <c r="N651" t="s">
        <v>92</v>
      </c>
      <c r="O651" s="1">
        <v>41335</v>
      </c>
      <c r="P651" t="s">
        <v>84</v>
      </c>
      <c r="Q651">
        <v>3</v>
      </c>
      <c r="R651" t="s">
        <v>81</v>
      </c>
      <c r="S651">
        <v>320.36813000000001</v>
      </c>
      <c r="T651">
        <v>0</v>
      </c>
      <c r="U651">
        <v>0</v>
      </c>
    </row>
    <row r="652" spans="1:21" x14ac:dyDescent="0.3">
      <c r="A652" s="1">
        <v>44197</v>
      </c>
      <c r="B652" s="1">
        <v>44197</v>
      </c>
      <c r="C652" t="s">
        <v>157</v>
      </c>
      <c r="D652" t="s">
        <v>54</v>
      </c>
      <c r="E652" t="s">
        <v>21</v>
      </c>
      <c r="F652" t="s">
        <v>274</v>
      </c>
      <c r="G652" s="53">
        <v>44235.838287037041</v>
      </c>
      <c r="H652">
        <v>33</v>
      </c>
      <c r="I652">
        <v>17339</v>
      </c>
      <c r="J652" t="s">
        <v>50</v>
      </c>
      <c r="K652" t="s">
        <v>50</v>
      </c>
      <c r="L652" t="s">
        <v>159</v>
      </c>
      <c r="M652" t="s">
        <v>51</v>
      </c>
      <c r="N652" t="s">
        <v>92</v>
      </c>
      <c r="O652" s="1">
        <v>41335</v>
      </c>
      <c r="P652" t="s">
        <v>84</v>
      </c>
      <c r="Q652">
        <v>3</v>
      </c>
      <c r="R652" t="s">
        <v>81</v>
      </c>
      <c r="S652">
        <v>0</v>
      </c>
      <c r="T652">
        <v>5302.48</v>
      </c>
      <c r="U652">
        <v>0</v>
      </c>
    </row>
    <row r="653" spans="1:21" x14ac:dyDescent="0.3">
      <c r="A653" s="1">
        <v>44197</v>
      </c>
      <c r="B653" s="1">
        <v>44197</v>
      </c>
      <c r="C653" t="s">
        <v>157</v>
      </c>
      <c r="D653" t="s">
        <v>52</v>
      </c>
      <c r="E653" t="s">
        <v>53</v>
      </c>
      <c r="F653" t="s">
        <v>273</v>
      </c>
      <c r="G653" s="53">
        <v>44235.838287037041</v>
      </c>
      <c r="H653">
        <v>33</v>
      </c>
      <c r="I653">
        <v>17339</v>
      </c>
      <c r="J653" t="s">
        <v>50</v>
      </c>
      <c r="K653" t="s">
        <v>50</v>
      </c>
      <c r="L653" t="s">
        <v>159</v>
      </c>
      <c r="M653" t="s">
        <v>51</v>
      </c>
      <c r="N653" t="s">
        <v>92</v>
      </c>
      <c r="O653" s="1">
        <v>41335</v>
      </c>
      <c r="P653" t="s">
        <v>84</v>
      </c>
      <c r="Q653">
        <v>3</v>
      </c>
      <c r="R653" t="s">
        <v>81</v>
      </c>
      <c r="S653">
        <v>0</v>
      </c>
      <c r="T653">
        <v>0</v>
      </c>
      <c r="U653">
        <v>0</v>
      </c>
    </row>
    <row r="654" spans="1:21" x14ac:dyDescent="0.3">
      <c r="A654" s="1">
        <v>44197</v>
      </c>
      <c r="B654" s="1">
        <v>44197</v>
      </c>
      <c r="C654" t="s">
        <v>157</v>
      </c>
      <c r="D654" t="s">
        <v>48</v>
      </c>
      <c r="E654" t="s">
        <v>49</v>
      </c>
      <c r="F654" t="s">
        <v>272</v>
      </c>
      <c r="G654" s="53">
        <v>44235.838287037041</v>
      </c>
      <c r="H654">
        <v>33</v>
      </c>
      <c r="I654">
        <v>17339</v>
      </c>
      <c r="J654" t="s">
        <v>50</v>
      </c>
      <c r="K654" t="s">
        <v>50</v>
      </c>
      <c r="L654" t="s">
        <v>159</v>
      </c>
      <c r="M654" t="s">
        <v>51</v>
      </c>
      <c r="N654" t="s">
        <v>92</v>
      </c>
      <c r="O654" s="1">
        <v>41335</v>
      </c>
      <c r="P654" t="s">
        <v>84</v>
      </c>
      <c r="Q654">
        <v>3</v>
      </c>
      <c r="R654" t="s">
        <v>81</v>
      </c>
      <c r="S654">
        <v>320.36813000000001</v>
      </c>
      <c r="T654">
        <v>78.597999999999999</v>
      </c>
      <c r="U654">
        <v>25180</v>
      </c>
    </row>
    <row r="655" spans="1:21" x14ac:dyDescent="0.3">
      <c r="A655" s="1">
        <v>44197</v>
      </c>
      <c r="B655" s="1">
        <v>44197</v>
      </c>
      <c r="C655" t="s">
        <v>157</v>
      </c>
      <c r="D655" t="s">
        <v>93</v>
      </c>
      <c r="E655" t="s">
        <v>49</v>
      </c>
      <c r="F655" t="s">
        <v>270</v>
      </c>
      <c r="G655" s="53">
        <v>44273.429872685185</v>
      </c>
      <c r="H655">
        <v>61</v>
      </c>
      <c r="I655" t="s">
        <v>349</v>
      </c>
      <c r="J655" t="s">
        <v>50</v>
      </c>
      <c r="K655" t="s">
        <v>50</v>
      </c>
      <c r="L655" t="s">
        <v>159</v>
      </c>
      <c r="M655" t="s">
        <v>51</v>
      </c>
      <c r="N655" t="s">
        <v>92</v>
      </c>
      <c r="O655" s="1">
        <v>41335</v>
      </c>
      <c r="P655" t="s">
        <v>84</v>
      </c>
      <c r="Q655">
        <v>3</v>
      </c>
      <c r="R655" t="s">
        <v>81</v>
      </c>
      <c r="S655">
        <v>1</v>
      </c>
      <c r="T655">
        <v>-33</v>
      </c>
      <c r="U655">
        <v>-33</v>
      </c>
    </row>
    <row r="656" spans="1:21" x14ac:dyDescent="0.3">
      <c r="A656" s="1">
        <v>44197</v>
      </c>
      <c r="B656" s="1">
        <v>44197</v>
      </c>
      <c r="C656" t="s">
        <v>157</v>
      </c>
      <c r="D656" t="s">
        <v>93</v>
      </c>
      <c r="E656" t="s">
        <v>49</v>
      </c>
      <c r="F656" t="s">
        <v>270</v>
      </c>
      <c r="G656" s="53">
        <v>44273.429872685185</v>
      </c>
      <c r="H656">
        <v>61</v>
      </c>
      <c r="I656" t="s">
        <v>349</v>
      </c>
      <c r="J656" t="s">
        <v>50</v>
      </c>
      <c r="K656" t="s">
        <v>50</v>
      </c>
      <c r="L656" t="s">
        <v>159</v>
      </c>
      <c r="M656" t="s">
        <v>51</v>
      </c>
      <c r="N656" t="s">
        <v>92</v>
      </c>
      <c r="O656" s="1">
        <v>41335</v>
      </c>
      <c r="P656" t="s">
        <v>84</v>
      </c>
      <c r="Q656">
        <v>4</v>
      </c>
      <c r="R656" t="s">
        <v>27</v>
      </c>
      <c r="S656">
        <v>1</v>
      </c>
      <c r="T656">
        <v>-385</v>
      </c>
      <c r="U656">
        <v>-385</v>
      </c>
    </row>
    <row r="657" spans="1:21" x14ac:dyDescent="0.3">
      <c r="A657" s="1">
        <v>44197</v>
      </c>
      <c r="B657" s="1">
        <v>44197</v>
      </c>
      <c r="C657" t="s">
        <v>157</v>
      </c>
      <c r="D657" t="s">
        <v>54</v>
      </c>
      <c r="E657" t="s">
        <v>21</v>
      </c>
      <c r="F657" t="s">
        <v>274</v>
      </c>
      <c r="G657" s="53">
        <v>44235.838287037041</v>
      </c>
      <c r="H657">
        <v>33</v>
      </c>
      <c r="I657">
        <v>17339</v>
      </c>
      <c r="J657" t="s">
        <v>50</v>
      </c>
      <c r="K657" t="s">
        <v>50</v>
      </c>
      <c r="L657" t="s">
        <v>159</v>
      </c>
      <c r="M657" t="s">
        <v>51</v>
      </c>
      <c r="N657" t="s">
        <v>92</v>
      </c>
      <c r="O657" s="1">
        <v>41335</v>
      </c>
      <c r="P657" t="s">
        <v>84</v>
      </c>
      <c r="Q657">
        <v>4</v>
      </c>
      <c r="R657" t="s">
        <v>27</v>
      </c>
      <c r="S657">
        <v>0</v>
      </c>
      <c r="T657">
        <v>5512.82</v>
      </c>
      <c r="U657">
        <v>0</v>
      </c>
    </row>
    <row r="658" spans="1:21" x14ac:dyDescent="0.3">
      <c r="A658" s="1">
        <v>44197</v>
      </c>
      <c r="B658" s="1">
        <v>44197</v>
      </c>
      <c r="C658" t="s">
        <v>157</v>
      </c>
      <c r="D658" t="s">
        <v>52</v>
      </c>
      <c r="E658" t="s">
        <v>53</v>
      </c>
      <c r="F658" t="s">
        <v>273</v>
      </c>
      <c r="G658" s="53">
        <v>44235.838287037041</v>
      </c>
      <c r="H658">
        <v>33</v>
      </c>
      <c r="I658">
        <v>17339</v>
      </c>
      <c r="J658" t="s">
        <v>50</v>
      </c>
      <c r="K658" t="s">
        <v>50</v>
      </c>
      <c r="L658" t="s">
        <v>159</v>
      </c>
      <c r="M658" t="s">
        <v>51</v>
      </c>
      <c r="N658" t="s">
        <v>92</v>
      </c>
      <c r="O658" s="1">
        <v>41335</v>
      </c>
      <c r="P658" t="s">
        <v>84</v>
      </c>
      <c r="Q658">
        <v>4</v>
      </c>
      <c r="R658" t="s">
        <v>27</v>
      </c>
      <c r="S658">
        <v>0</v>
      </c>
      <c r="T658">
        <v>0</v>
      </c>
      <c r="U658">
        <v>0</v>
      </c>
    </row>
    <row r="659" spans="1:21" x14ac:dyDescent="0.3">
      <c r="A659" s="1">
        <v>44197</v>
      </c>
      <c r="B659" s="1">
        <v>44197</v>
      </c>
      <c r="C659" t="s">
        <v>157</v>
      </c>
      <c r="D659" t="s">
        <v>55</v>
      </c>
      <c r="E659" t="s">
        <v>56</v>
      </c>
      <c r="F659" t="s">
        <v>271</v>
      </c>
      <c r="G659" s="53">
        <v>44235.838287037041</v>
      </c>
      <c r="H659">
        <v>33</v>
      </c>
      <c r="I659">
        <v>17339</v>
      </c>
      <c r="J659" t="s">
        <v>50</v>
      </c>
      <c r="K659" t="s">
        <v>50</v>
      </c>
      <c r="L659" t="s">
        <v>159</v>
      </c>
      <c r="M659" t="s">
        <v>51</v>
      </c>
      <c r="N659" t="s">
        <v>92</v>
      </c>
      <c r="O659" s="1">
        <v>41335</v>
      </c>
      <c r="P659" t="s">
        <v>84</v>
      </c>
      <c r="Q659">
        <v>4</v>
      </c>
      <c r="R659" t="s">
        <v>27</v>
      </c>
      <c r="S659">
        <v>3662.8658420000002</v>
      </c>
      <c r="T659">
        <v>0</v>
      </c>
      <c r="U659">
        <v>0</v>
      </c>
    </row>
    <row r="660" spans="1:21" x14ac:dyDescent="0.3">
      <c r="A660" s="1">
        <v>44197</v>
      </c>
      <c r="B660" s="1">
        <v>44197</v>
      </c>
      <c r="C660" t="s">
        <v>157</v>
      </c>
      <c r="D660" t="s">
        <v>48</v>
      </c>
      <c r="E660" t="s">
        <v>49</v>
      </c>
      <c r="F660" t="s">
        <v>272</v>
      </c>
      <c r="G660" s="53">
        <v>44235.838287037041</v>
      </c>
      <c r="H660">
        <v>33</v>
      </c>
      <c r="I660">
        <v>17339</v>
      </c>
      <c r="J660" t="s">
        <v>50</v>
      </c>
      <c r="K660" t="s">
        <v>50</v>
      </c>
      <c r="L660" t="s">
        <v>159</v>
      </c>
      <c r="M660" t="s">
        <v>51</v>
      </c>
      <c r="N660" t="s">
        <v>92</v>
      </c>
      <c r="O660" s="1">
        <v>41335</v>
      </c>
      <c r="P660" t="s">
        <v>84</v>
      </c>
      <c r="Q660">
        <v>4</v>
      </c>
      <c r="R660" t="s">
        <v>27</v>
      </c>
      <c r="S660">
        <v>3662.8658420000002</v>
      </c>
      <c r="T660">
        <v>80.213999999999999</v>
      </c>
      <c r="U660">
        <v>293813</v>
      </c>
    </row>
    <row r="661" spans="1:21" x14ac:dyDescent="0.3">
      <c r="A661" s="1">
        <v>44197</v>
      </c>
      <c r="B661" s="1">
        <v>44197</v>
      </c>
      <c r="C661" t="s">
        <v>157</v>
      </c>
      <c r="D661" t="s">
        <v>54</v>
      </c>
      <c r="E661" t="s">
        <v>21</v>
      </c>
      <c r="F661" t="s">
        <v>274</v>
      </c>
      <c r="G661" s="53">
        <v>44235.838287037041</v>
      </c>
      <c r="H661">
        <v>33</v>
      </c>
      <c r="I661">
        <v>17339</v>
      </c>
      <c r="J661" t="s">
        <v>50</v>
      </c>
      <c r="K661" t="s">
        <v>50</v>
      </c>
      <c r="L661" t="s">
        <v>159</v>
      </c>
      <c r="M661" t="s">
        <v>51</v>
      </c>
      <c r="N661" t="s">
        <v>92</v>
      </c>
      <c r="O661" s="1">
        <v>41335</v>
      </c>
      <c r="P661" t="s">
        <v>84</v>
      </c>
      <c r="Q661">
        <v>5</v>
      </c>
      <c r="R661" t="s">
        <v>28</v>
      </c>
      <c r="S661">
        <v>0</v>
      </c>
      <c r="T661">
        <v>5963.28</v>
      </c>
      <c r="U661">
        <v>0</v>
      </c>
    </row>
    <row r="662" spans="1:21" x14ac:dyDescent="0.3">
      <c r="A662" s="1">
        <v>44197</v>
      </c>
      <c r="B662" s="1">
        <v>44197</v>
      </c>
      <c r="C662" t="s">
        <v>157</v>
      </c>
      <c r="D662" t="s">
        <v>52</v>
      </c>
      <c r="E662" t="s">
        <v>53</v>
      </c>
      <c r="F662" t="s">
        <v>273</v>
      </c>
      <c r="G662" s="53">
        <v>44235.838287037041</v>
      </c>
      <c r="H662">
        <v>33</v>
      </c>
      <c r="I662">
        <v>17339</v>
      </c>
      <c r="J662" t="s">
        <v>50</v>
      </c>
      <c r="K662" t="s">
        <v>50</v>
      </c>
      <c r="L662" t="s">
        <v>159</v>
      </c>
      <c r="M662" t="s">
        <v>51</v>
      </c>
      <c r="N662" t="s">
        <v>92</v>
      </c>
      <c r="O662" s="1">
        <v>41335</v>
      </c>
      <c r="P662" t="s">
        <v>84</v>
      </c>
      <c r="Q662">
        <v>5</v>
      </c>
      <c r="R662" t="s">
        <v>28</v>
      </c>
      <c r="S662">
        <v>0</v>
      </c>
      <c r="T662">
        <v>0</v>
      </c>
      <c r="U662">
        <v>0</v>
      </c>
    </row>
    <row r="663" spans="1:21" x14ac:dyDescent="0.3">
      <c r="A663" s="1">
        <v>44197</v>
      </c>
      <c r="B663" s="1">
        <v>44197</v>
      </c>
      <c r="C663" t="s">
        <v>157</v>
      </c>
      <c r="D663" t="s">
        <v>93</v>
      </c>
      <c r="E663" t="s">
        <v>49</v>
      </c>
      <c r="F663" t="s">
        <v>270</v>
      </c>
      <c r="G663" s="53">
        <v>44273.429872685185</v>
      </c>
      <c r="H663">
        <v>61</v>
      </c>
      <c r="I663" t="s">
        <v>349</v>
      </c>
      <c r="J663" t="s">
        <v>50</v>
      </c>
      <c r="K663" t="s">
        <v>50</v>
      </c>
      <c r="L663" t="s">
        <v>159</v>
      </c>
      <c r="M663" t="s">
        <v>51</v>
      </c>
      <c r="N663" t="s">
        <v>92</v>
      </c>
      <c r="O663" s="1">
        <v>41335</v>
      </c>
      <c r="P663" t="s">
        <v>84</v>
      </c>
      <c r="Q663">
        <v>5</v>
      </c>
      <c r="R663" t="s">
        <v>28</v>
      </c>
      <c r="S663">
        <v>1</v>
      </c>
      <c r="T663">
        <v>-1</v>
      </c>
      <c r="U663">
        <v>-1</v>
      </c>
    </row>
    <row r="664" spans="1:21" x14ac:dyDescent="0.3">
      <c r="A664" s="1">
        <v>44197</v>
      </c>
      <c r="B664" s="1">
        <v>44197</v>
      </c>
      <c r="C664" t="s">
        <v>157</v>
      </c>
      <c r="D664" t="s">
        <v>48</v>
      </c>
      <c r="E664" t="s">
        <v>49</v>
      </c>
      <c r="F664" t="s">
        <v>272</v>
      </c>
      <c r="G664" s="53">
        <v>44235.838287037041</v>
      </c>
      <c r="H664">
        <v>33</v>
      </c>
      <c r="I664">
        <v>17339</v>
      </c>
      <c r="J664" t="s">
        <v>50</v>
      </c>
      <c r="K664" t="s">
        <v>50</v>
      </c>
      <c r="L664" t="s">
        <v>159</v>
      </c>
      <c r="M664" t="s">
        <v>51</v>
      </c>
      <c r="N664" t="s">
        <v>92</v>
      </c>
      <c r="O664" s="1">
        <v>41335</v>
      </c>
      <c r="P664" t="s">
        <v>84</v>
      </c>
      <c r="Q664">
        <v>5</v>
      </c>
      <c r="R664" t="s">
        <v>28</v>
      </c>
      <c r="S664">
        <v>10.591604999999999</v>
      </c>
      <c r="T664">
        <v>86.617999999999995</v>
      </c>
      <c r="U664">
        <v>917</v>
      </c>
    </row>
    <row r="665" spans="1:21" x14ac:dyDescent="0.3">
      <c r="A665" s="1">
        <v>44197</v>
      </c>
      <c r="B665" s="1">
        <v>44197</v>
      </c>
      <c r="C665" t="s">
        <v>157</v>
      </c>
      <c r="D665" t="s">
        <v>55</v>
      </c>
      <c r="E665" t="s">
        <v>56</v>
      </c>
      <c r="F665" t="s">
        <v>271</v>
      </c>
      <c r="G665" s="53">
        <v>44235.838287037041</v>
      </c>
      <c r="H665">
        <v>33</v>
      </c>
      <c r="I665">
        <v>17339</v>
      </c>
      <c r="J665" t="s">
        <v>50</v>
      </c>
      <c r="K665" t="s">
        <v>50</v>
      </c>
      <c r="L665" t="s">
        <v>159</v>
      </c>
      <c r="M665" t="s">
        <v>51</v>
      </c>
      <c r="N665" t="s">
        <v>92</v>
      </c>
      <c r="O665" s="1">
        <v>41335</v>
      </c>
      <c r="P665" t="s">
        <v>84</v>
      </c>
      <c r="Q665">
        <v>5</v>
      </c>
      <c r="R665" t="s">
        <v>28</v>
      </c>
      <c r="S665">
        <v>10.591604999999999</v>
      </c>
      <c r="T665">
        <v>0</v>
      </c>
      <c r="U665">
        <v>0</v>
      </c>
    </row>
    <row r="666" spans="1:21" x14ac:dyDescent="0.3">
      <c r="A666" s="1">
        <v>44228</v>
      </c>
      <c r="B666" s="1">
        <v>44228</v>
      </c>
      <c r="C666" t="s">
        <v>157</v>
      </c>
      <c r="D666" t="s">
        <v>54</v>
      </c>
      <c r="E666" t="s">
        <v>21</v>
      </c>
      <c r="F666" t="s">
        <v>275</v>
      </c>
      <c r="G666" s="53">
        <v>44259.815057870372</v>
      </c>
      <c r="H666">
        <v>33</v>
      </c>
      <c r="I666">
        <v>17645</v>
      </c>
      <c r="J666" t="s">
        <v>50</v>
      </c>
      <c r="K666" t="s">
        <v>50</v>
      </c>
      <c r="L666" t="s">
        <v>159</v>
      </c>
      <c r="M666" t="s">
        <v>51</v>
      </c>
      <c r="N666" t="s">
        <v>92</v>
      </c>
      <c r="O666" s="1">
        <v>41335</v>
      </c>
      <c r="P666" t="s">
        <v>84</v>
      </c>
      <c r="Q666">
        <v>1</v>
      </c>
      <c r="R666" t="s">
        <v>83</v>
      </c>
      <c r="S666">
        <v>0</v>
      </c>
      <c r="T666">
        <v>5914.42</v>
      </c>
      <c r="U666">
        <v>0</v>
      </c>
    </row>
    <row r="667" spans="1:21" x14ac:dyDescent="0.3">
      <c r="A667" s="1">
        <v>44228</v>
      </c>
      <c r="B667" s="1">
        <v>44228</v>
      </c>
      <c r="C667" t="s">
        <v>157</v>
      </c>
      <c r="D667" t="s">
        <v>52</v>
      </c>
      <c r="E667" t="s">
        <v>53</v>
      </c>
      <c r="F667" t="s">
        <v>276</v>
      </c>
      <c r="G667" s="53">
        <v>44259.815057870372</v>
      </c>
      <c r="H667">
        <v>33</v>
      </c>
      <c r="I667">
        <v>17645</v>
      </c>
      <c r="J667" t="s">
        <v>50</v>
      </c>
      <c r="K667" t="s">
        <v>50</v>
      </c>
      <c r="L667" t="s">
        <v>159</v>
      </c>
      <c r="M667" t="s">
        <v>51</v>
      </c>
      <c r="N667" t="s">
        <v>92</v>
      </c>
      <c r="O667" s="1">
        <v>41335</v>
      </c>
      <c r="P667" t="s">
        <v>84</v>
      </c>
      <c r="Q667">
        <v>1</v>
      </c>
      <c r="R667" t="s">
        <v>83</v>
      </c>
      <c r="S667">
        <v>0</v>
      </c>
      <c r="T667">
        <v>514</v>
      </c>
      <c r="U667">
        <v>514</v>
      </c>
    </row>
    <row r="668" spans="1:21" x14ac:dyDescent="0.3">
      <c r="A668" s="1">
        <v>44228</v>
      </c>
      <c r="B668" s="1">
        <v>44228</v>
      </c>
      <c r="C668" t="s">
        <v>157</v>
      </c>
      <c r="D668" t="s">
        <v>48</v>
      </c>
      <c r="E668" t="s">
        <v>49</v>
      </c>
      <c r="F668" t="s">
        <v>277</v>
      </c>
      <c r="G668" s="53">
        <v>44259.815057870372</v>
      </c>
      <c r="H668">
        <v>33</v>
      </c>
      <c r="I668">
        <v>17645</v>
      </c>
      <c r="J668" t="s">
        <v>50</v>
      </c>
      <c r="K668" t="s">
        <v>50</v>
      </c>
      <c r="L668" t="s">
        <v>159</v>
      </c>
      <c r="M668" t="s">
        <v>51</v>
      </c>
      <c r="N668" t="s">
        <v>92</v>
      </c>
      <c r="O668" s="1">
        <v>41335</v>
      </c>
      <c r="P668" t="s">
        <v>84</v>
      </c>
      <c r="Q668">
        <v>1</v>
      </c>
      <c r="R668" t="s">
        <v>83</v>
      </c>
      <c r="S668">
        <v>2149.7309340000002</v>
      </c>
      <c r="T668">
        <v>85.203000000000003</v>
      </c>
      <c r="U668">
        <v>183164</v>
      </c>
    </row>
    <row r="669" spans="1:21" x14ac:dyDescent="0.3">
      <c r="A669" s="1">
        <v>44228</v>
      </c>
      <c r="B669" s="1">
        <v>44228</v>
      </c>
      <c r="C669" t="s">
        <v>157</v>
      </c>
      <c r="D669" t="s">
        <v>93</v>
      </c>
      <c r="E669" t="s">
        <v>49</v>
      </c>
      <c r="F669" t="s">
        <v>278</v>
      </c>
      <c r="G669" s="53">
        <v>44302.769236111111</v>
      </c>
      <c r="H669">
        <v>33</v>
      </c>
      <c r="I669" t="s">
        <v>349</v>
      </c>
      <c r="J669" t="s">
        <v>50</v>
      </c>
      <c r="K669" t="s">
        <v>50</v>
      </c>
      <c r="L669" t="s">
        <v>159</v>
      </c>
      <c r="M669" t="s">
        <v>51</v>
      </c>
      <c r="N669" t="s">
        <v>92</v>
      </c>
      <c r="O669" s="1">
        <v>41335</v>
      </c>
      <c r="P669" t="s">
        <v>84</v>
      </c>
      <c r="Q669">
        <v>1</v>
      </c>
      <c r="R669" t="s">
        <v>83</v>
      </c>
      <c r="S669">
        <v>1</v>
      </c>
      <c r="T669">
        <v>1042</v>
      </c>
      <c r="U669">
        <v>1042</v>
      </c>
    </row>
    <row r="670" spans="1:21" x14ac:dyDescent="0.3">
      <c r="A670" s="1">
        <v>44228</v>
      </c>
      <c r="B670" s="1">
        <v>44228</v>
      </c>
      <c r="C670" t="s">
        <v>157</v>
      </c>
      <c r="D670" t="s">
        <v>55</v>
      </c>
      <c r="E670" t="s">
        <v>56</v>
      </c>
      <c r="F670" t="s">
        <v>279</v>
      </c>
      <c r="G670" s="53">
        <v>44259.815057870372</v>
      </c>
      <c r="H670">
        <v>33</v>
      </c>
      <c r="I670">
        <v>17645</v>
      </c>
      <c r="J670" t="s">
        <v>50</v>
      </c>
      <c r="K670" t="s">
        <v>50</v>
      </c>
      <c r="L670" t="s">
        <v>159</v>
      </c>
      <c r="M670" t="s">
        <v>51</v>
      </c>
      <c r="N670" t="s">
        <v>92</v>
      </c>
      <c r="O670" s="1">
        <v>41335</v>
      </c>
      <c r="P670" t="s">
        <v>84</v>
      </c>
      <c r="Q670">
        <v>1</v>
      </c>
      <c r="R670" t="s">
        <v>83</v>
      </c>
      <c r="S670">
        <v>2149.7309340000002</v>
      </c>
      <c r="T670">
        <v>0</v>
      </c>
      <c r="U670">
        <v>0</v>
      </c>
    </row>
    <row r="671" spans="1:21" x14ac:dyDescent="0.3">
      <c r="A671" s="1">
        <v>44228</v>
      </c>
      <c r="B671" s="1">
        <v>44228</v>
      </c>
      <c r="C671" t="s">
        <v>157</v>
      </c>
      <c r="D671" t="s">
        <v>54</v>
      </c>
      <c r="E671" t="s">
        <v>21</v>
      </c>
      <c r="F671" t="s">
        <v>275</v>
      </c>
      <c r="G671" s="53">
        <v>44259.815057870372</v>
      </c>
      <c r="H671">
        <v>33</v>
      </c>
      <c r="I671">
        <v>17645</v>
      </c>
      <c r="J671" t="s">
        <v>50</v>
      </c>
      <c r="K671" t="s">
        <v>50</v>
      </c>
      <c r="L671" t="s">
        <v>159</v>
      </c>
      <c r="M671" t="s">
        <v>51</v>
      </c>
      <c r="N671" t="s">
        <v>92</v>
      </c>
      <c r="O671" s="1">
        <v>41335</v>
      </c>
      <c r="P671" t="s">
        <v>84</v>
      </c>
      <c r="Q671">
        <v>2</v>
      </c>
      <c r="R671" t="s">
        <v>94</v>
      </c>
      <c r="S671">
        <v>0</v>
      </c>
      <c r="T671">
        <v>6007.37</v>
      </c>
      <c r="U671">
        <v>0</v>
      </c>
    </row>
    <row r="672" spans="1:21" x14ac:dyDescent="0.3">
      <c r="A672" s="1">
        <v>44228</v>
      </c>
      <c r="B672" s="1">
        <v>44228</v>
      </c>
      <c r="C672" t="s">
        <v>157</v>
      </c>
      <c r="D672" t="s">
        <v>48</v>
      </c>
      <c r="E672" t="s">
        <v>49</v>
      </c>
      <c r="F672" t="s">
        <v>277</v>
      </c>
      <c r="G672" s="53">
        <v>44259.815057870372</v>
      </c>
      <c r="H672">
        <v>33</v>
      </c>
      <c r="I672">
        <v>17645</v>
      </c>
      <c r="J672" t="s">
        <v>50</v>
      </c>
      <c r="K672" t="s">
        <v>50</v>
      </c>
      <c r="L672" t="s">
        <v>159</v>
      </c>
      <c r="M672" t="s">
        <v>51</v>
      </c>
      <c r="N672" t="s">
        <v>92</v>
      </c>
      <c r="O672" s="1">
        <v>41335</v>
      </c>
      <c r="P672" t="s">
        <v>84</v>
      </c>
      <c r="Q672">
        <v>2</v>
      </c>
      <c r="R672" t="s">
        <v>94</v>
      </c>
      <c r="S672">
        <v>7.2339039999999999</v>
      </c>
      <c r="T672">
        <v>86.819000000000003</v>
      </c>
      <c r="U672">
        <v>628</v>
      </c>
    </row>
    <row r="673" spans="1:21" x14ac:dyDescent="0.3">
      <c r="A673" s="1">
        <v>44228</v>
      </c>
      <c r="B673" s="1">
        <v>44228</v>
      </c>
      <c r="C673" t="s">
        <v>157</v>
      </c>
      <c r="D673" t="s">
        <v>52</v>
      </c>
      <c r="E673" t="s">
        <v>53</v>
      </c>
      <c r="F673" t="s">
        <v>276</v>
      </c>
      <c r="G673" s="53">
        <v>44259.815057870372</v>
      </c>
      <c r="H673">
        <v>33</v>
      </c>
      <c r="I673">
        <v>17645</v>
      </c>
      <c r="J673" t="s">
        <v>50</v>
      </c>
      <c r="K673" t="s">
        <v>50</v>
      </c>
      <c r="L673" t="s">
        <v>159</v>
      </c>
      <c r="M673" t="s">
        <v>51</v>
      </c>
      <c r="N673" t="s">
        <v>92</v>
      </c>
      <c r="O673" s="1">
        <v>41335</v>
      </c>
      <c r="P673" t="s">
        <v>84</v>
      </c>
      <c r="Q673">
        <v>2</v>
      </c>
      <c r="R673" t="s">
        <v>94</v>
      </c>
      <c r="S673">
        <v>0</v>
      </c>
      <c r="T673">
        <v>0</v>
      </c>
      <c r="U673">
        <v>0</v>
      </c>
    </row>
    <row r="674" spans="1:21" x14ac:dyDescent="0.3">
      <c r="A674" s="1">
        <v>44228</v>
      </c>
      <c r="B674" s="1">
        <v>44228</v>
      </c>
      <c r="C674" t="s">
        <v>157</v>
      </c>
      <c r="D674" t="s">
        <v>93</v>
      </c>
      <c r="E674" t="s">
        <v>49</v>
      </c>
      <c r="F674" t="s">
        <v>278</v>
      </c>
      <c r="G674" s="53">
        <v>44302.769236111111</v>
      </c>
      <c r="H674">
        <v>33</v>
      </c>
      <c r="I674" t="s">
        <v>349</v>
      </c>
      <c r="J674" t="s">
        <v>50</v>
      </c>
      <c r="K674" t="s">
        <v>50</v>
      </c>
      <c r="L674" t="s">
        <v>159</v>
      </c>
      <c r="M674" t="s">
        <v>51</v>
      </c>
      <c r="N674" t="s">
        <v>92</v>
      </c>
      <c r="O674" s="1">
        <v>41335</v>
      </c>
      <c r="P674" t="s">
        <v>84</v>
      </c>
      <c r="Q674">
        <v>2</v>
      </c>
      <c r="R674" t="s">
        <v>94</v>
      </c>
      <c r="S674">
        <v>1</v>
      </c>
      <c r="T674">
        <v>4</v>
      </c>
      <c r="U674">
        <v>4</v>
      </c>
    </row>
    <row r="675" spans="1:21" x14ac:dyDescent="0.3">
      <c r="A675" s="1">
        <v>44228</v>
      </c>
      <c r="B675" s="1">
        <v>44228</v>
      </c>
      <c r="C675" t="s">
        <v>157</v>
      </c>
      <c r="D675" t="s">
        <v>55</v>
      </c>
      <c r="E675" t="s">
        <v>56</v>
      </c>
      <c r="F675" t="s">
        <v>279</v>
      </c>
      <c r="G675" s="53">
        <v>44259.815057870372</v>
      </c>
      <c r="H675">
        <v>33</v>
      </c>
      <c r="I675">
        <v>17645</v>
      </c>
      <c r="J675" t="s">
        <v>50</v>
      </c>
      <c r="K675" t="s">
        <v>50</v>
      </c>
      <c r="L675" t="s">
        <v>159</v>
      </c>
      <c r="M675" t="s">
        <v>51</v>
      </c>
      <c r="N675" t="s">
        <v>92</v>
      </c>
      <c r="O675" s="1">
        <v>41335</v>
      </c>
      <c r="P675" t="s">
        <v>84</v>
      </c>
      <c r="Q675">
        <v>2</v>
      </c>
      <c r="R675" t="s">
        <v>94</v>
      </c>
      <c r="S675">
        <v>7.2339039999999999</v>
      </c>
      <c r="T675">
        <v>0</v>
      </c>
      <c r="U675">
        <v>0</v>
      </c>
    </row>
    <row r="676" spans="1:21" x14ac:dyDescent="0.3">
      <c r="A676" s="1">
        <v>44228</v>
      </c>
      <c r="B676" s="1">
        <v>44228</v>
      </c>
      <c r="C676" t="s">
        <v>157</v>
      </c>
      <c r="D676" t="s">
        <v>54</v>
      </c>
      <c r="E676" t="s">
        <v>21</v>
      </c>
      <c r="F676" t="s">
        <v>275</v>
      </c>
      <c r="G676" s="53">
        <v>44259.815057870372</v>
      </c>
      <c r="H676">
        <v>33</v>
      </c>
      <c r="I676">
        <v>17645</v>
      </c>
      <c r="J676" t="s">
        <v>50</v>
      </c>
      <c r="K676" t="s">
        <v>50</v>
      </c>
      <c r="L676" t="s">
        <v>159</v>
      </c>
      <c r="M676" t="s">
        <v>51</v>
      </c>
      <c r="N676" t="s">
        <v>92</v>
      </c>
      <c r="O676" s="1">
        <v>41335</v>
      </c>
      <c r="P676" t="s">
        <v>84</v>
      </c>
      <c r="Q676">
        <v>3</v>
      </c>
      <c r="R676" t="s">
        <v>81</v>
      </c>
      <c r="S676">
        <v>0</v>
      </c>
      <c r="T676">
        <v>5302.48</v>
      </c>
      <c r="U676">
        <v>0</v>
      </c>
    </row>
    <row r="677" spans="1:21" x14ac:dyDescent="0.3">
      <c r="A677" s="1">
        <v>44228</v>
      </c>
      <c r="B677" s="1">
        <v>44228</v>
      </c>
      <c r="C677" t="s">
        <v>157</v>
      </c>
      <c r="D677" t="s">
        <v>48</v>
      </c>
      <c r="E677" t="s">
        <v>49</v>
      </c>
      <c r="F677" t="s">
        <v>277</v>
      </c>
      <c r="G677" s="53">
        <v>44259.815057870372</v>
      </c>
      <c r="H677">
        <v>33</v>
      </c>
      <c r="I677">
        <v>17645</v>
      </c>
      <c r="J677" t="s">
        <v>50</v>
      </c>
      <c r="K677" t="s">
        <v>50</v>
      </c>
      <c r="L677" t="s">
        <v>159</v>
      </c>
      <c r="M677" t="s">
        <v>51</v>
      </c>
      <c r="N677" t="s">
        <v>92</v>
      </c>
      <c r="O677" s="1">
        <v>41335</v>
      </c>
      <c r="P677" t="s">
        <v>84</v>
      </c>
      <c r="Q677">
        <v>3</v>
      </c>
      <c r="R677" t="s">
        <v>81</v>
      </c>
      <c r="S677">
        <v>234.44251299999999</v>
      </c>
      <c r="T677">
        <v>78.597999999999999</v>
      </c>
      <c r="U677">
        <v>18427</v>
      </c>
    </row>
    <row r="678" spans="1:21" x14ac:dyDescent="0.3">
      <c r="A678" s="1">
        <v>44228</v>
      </c>
      <c r="B678" s="1">
        <v>44228</v>
      </c>
      <c r="C678" t="s">
        <v>157</v>
      </c>
      <c r="D678" t="s">
        <v>55</v>
      </c>
      <c r="E678" t="s">
        <v>56</v>
      </c>
      <c r="F678" t="s">
        <v>279</v>
      </c>
      <c r="G678" s="53">
        <v>44259.815057870372</v>
      </c>
      <c r="H678">
        <v>33</v>
      </c>
      <c r="I678">
        <v>17645</v>
      </c>
      <c r="J678" t="s">
        <v>50</v>
      </c>
      <c r="K678" t="s">
        <v>50</v>
      </c>
      <c r="L678" t="s">
        <v>159</v>
      </c>
      <c r="M678" t="s">
        <v>51</v>
      </c>
      <c r="N678" t="s">
        <v>92</v>
      </c>
      <c r="O678" s="1">
        <v>41335</v>
      </c>
      <c r="P678" t="s">
        <v>84</v>
      </c>
      <c r="Q678">
        <v>3</v>
      </c>
      <c r="R678" t="s">
        <v>81</v>
      </c>
      <c r="S678">
        <v>234.44251299999999</v>
      </c>
      <c r="T678">
        <v>0</v>
      </c>
      <c r="U678">
        <v>0</v>
      </c>
    </row>
    <row r="679" spans="1:21" x14ac:dyDescent="0.3">
      <c r="A679" s="1">
        <v>44228</v>
      </c>
      <c r="B679" s="1">
        <v>44228</v>
      </c>
      <c r="C679" t="s">
        <v>157</v>
      </c>
      <c r="D679" t="s">
        <v>52</v>
      </c>
      <c r="E679" t="s">
        <v>53</v>
      </c>
      <c r="F679" t="s">
        <v>276</v>
      </c>
      <c r="G679" s="53">
        <v>44259.815057870372</v>
      </c>
      <c r="H679">
        <v>33</v>
      </c>
      <c r="I679">
        <v>17645</v>
      </c>
      <c r="J679" t="s">
        <v>50</v>
      </c>
      <c r="K679" t="s">
        <v>50</v>
      </c>
      <c r="L679" t="s">
        <v>159</v>
      </c>
      <c r="M679" t="s">
        <v>51</v>
      </c>
      <c r="N679" t="s">
        <v>92</v>
      </c>
      <c r="O679" s="1">
        <v>41335</v>
      </c>
      <c r="P679" t="s">
        <v>84</v>
      </c>
      <c r="Q679">
        <v>3</v>
      </c>
      <c r="R679" t="s">
        <v>81</v>
      </c>
      <c r="S679">
        <v>0</v>
      </c>
      <c r="T679">
        <v>0</v>
      </c>
      <c r="U679">
        <v>0</v>
      </c>
    </row>
    <row r="680" spans="1:21" x14ac:dyDescent="0.3">
      <c r="A680" s="1">
        <v>44228</v>
      </c>
      <c r="B680" s="1">
        <v>44228</v>
      </c>
      <c r="C680" t="s">
        <v>157</v>
      </c>
      <c r="D680" t="s">
        <v>93</v>
      </c>
      <c r="E680" t="s">
        <v>49</v>
      </c>
      <c r="F680" t="s">
        <v>278</v>
      </c>
      <c r="G680" s="53">
        <v>44302.769236111111</v>
      </c>
      <c r="H680">
        <v>33</v>
      </c>
      <c r="I680" t="s">
        <v>349</v>
      </c>
      <c r="J680" t="s">
        <v>50</v>
      </c>
      <c r="K680" t="s">
        <v>50</v>
      </c>
      <c r="L680" t="s">
        <v>159</v>
      </c>
      <c r="M680" t="s">
        <v>51</v>
      </c>
      <c r="N680" t="s">
        <v>92</v>
      </c>
      <c r="O680" s="1">
        <v>41335</v>
      </c>
      <c r="P680" t="s">
        <v>84</v>
      </c>
      <c r="Q680">
        <v>3</v>
      </c>
      <c r="R680" t="s">
        <v>81</v>
      </c>
      <c r="S680">
        <v>1</v>
      </c>
      <c r="T680">
        <v>105</v>
      </c>
      <c r="U680">
        <v>105</v>
      </c>
    </row>
    <row r="681" spans="1:21" x14ac:dyDescent="0.3">
      <c r="A681" s="1">
        <v>44228</v>
      </c>
      <c r="B681" s="1">
        <v>44228</v>
      </c>
      <c r="C681" t="s">
        <v>157</v>
      </c>
      <c r="D681" t="s">
        <v>93</v>
      </c>
      <c r="E681" t="s">
        <v>49</v>
      </c>
      <c r="F681" t="s">
        <v>278</v>
      </c>
      <c r="G681" s="53">
        <v>44302.769236111111</v>
      </c>
      <c r="H681">
        <v>33</v>
      </c>
      <c r="I681" t="s">
        <v>349</v>
      </c>
      <c r="J681" t="s">
        <v>50</v>
      </c>
      <c r="K681" t="s">
        <v>50</v>
      </c>
      <c r="L681" t="s">
        <v>159</v>
      </c>
      <c r="M681" t="s">
        <v>51</v>
      </c>
      <c r="N681" t="s">
        <v>92</v>
      </c>
      <c r="O681" s="1">
        <v>41335</v>
      </c>
      <c r="P681" t="s">
        <v>84</v>
      </c>
      <c r="Q681">
        <v>4</v>
      </c>
      <c r="R681" t="s">
        <v>27</v>
      </c>
      <c r="S681">
        <v>1</v>
      </c>
      <c r="T681">
        <v>1221</v>
      </c>
      <c r="U681">
        <v>1221</v>
      </c>
    </row>
    <row r="682" spans="1:21" x14ac:dyDescent="0.3">
      <c r="A682" s="1">
        <v>44228</v>
      </c>
      <c r="B682" s="1">
        <v>44228</v>
      </c>
      <c r="C682" t="s">
        <v>157</v>
      </c>
      <c r="D682" t="s">
        <v>52</v>
      </c>
      <c r="E682" t="s">
        <v>53</v>
      </c>
      <c r="F682" t="s">
        <v>276</v>
      </c>
      <c r="G682" s="53">
        <v>44259.815057870372</v>
      </c>
      <c r="H682">
        <v>33</v>
      </c>
      <c r="I682">
        <v>17645</v>
      </c>
      <c r="J682" t="s">
        <v>50</v>
      </c>
      <c r="K682" t="s">
        <v>50</v>
      </c>
      <c r="L682" t="s">
        <v>159</v>
      </c>
      <c r="M682" t="s">
        <v>51</v>
      </c>
      <c r="N682" t="s">
        <v>92</v>
      </c>
      <c r="O682" s="1">
        <v>41335</v>
      </c>
      <c r="P682" t="s">
        <v>84</v>
      </c>
      <c r="Q682">
        <v>4</v>
      </c>
      <c r="R682" t="s">
        <v>27</v>
      </c>
      <c r="S682">
        <v>0</v>
      </c>
      <c r="T682">
        <v>0</v>
      </c>
      <c r="U682">
        <v>0</v>
      </c>
    </row>
    <row r="683" spans="1:21" x14ac:dyDescent="0.3">
      <c r="A683" s="1">
        <v>44228</v>
      </c>
      <c r="B683" s="1">
        <v>44228</v>
      </c>
      <c r="C683" t="s">
        <v>157</v>
      </c>
      <c r="D683" t="s">
        <v>54</v>
      </c>
      <c r="E683" t="s">
        <v>21</v>
      </c>
      <c r="F683" t="s">
        <v>275</v>
      </c>
      <c r="G683" s="53">
        <v>44259.815057870372</v>
      </c>
      <c r="H683">
        <v>33</v>
      </c>
      <c r="I683">
        <v>17645</v>
      </c>
      <c r="J683" t="s">
        <v>50</v>
      </c>
      <c r="K683" t="s">
        <v>50</v>
      </c>
      <c r="L683" t="s">
        <v>159</v>
      </c>
      <c r="M683" t="s">
        <v>51</v>
      </c>
      <c r="N683" t="s">
        <v>92</v>
      </c>
      <c r="O683" s="1">
        <v>41335</v>
      </c>
      <c r="P683" t="s">
        <v>84</v>
      </c>
      <c r="Q683">
        <v>4</v>
      </c>
      <c r="R683" t="s">
        <v>27</v>
      </c>
      <c r="S683">
        <v>0</v>
      </c>
      <c r="T683">
        <v>5512.82</v>
      </c>
      <c r="U683">
        <v>0</v>
      </c>
    </row>
    <row r="684" spans="1:21" x14ac:dyDescent="0.3">
      <c r="A684" s="1">
        <v>44228</v>
      </c>
      <c r="B684" s="1">
        <v>44228</v>
      </c>
      <c r="C684" t="s">
        <v>157</v>
      </c>
      <c r="D684" t="s">
        <v>55</v>
      </c>
      <c r="E684" t="s">
        <v>56</v>
      </c>
      <c r="F684" t="s">
        <v>279</v>
      </c>
      <c r="G684" s="53">
        <v>44259.815057870372</v>
      </c>
      <c r="H684">
        <v>33</v>
      </c>
      <c r="I684">
        <v>17645</v>
      </c>
      <c r="J684" t="s">
        <v>50</v>
      </c>
      <c r="K684" t="s">
        <v>50</v>
      </c>
      <c r="L684" t="s">
        <v>159</v>
      </c>
      <c r="M684" t="s">
        <v>51</v>
      </c>
      <c r="N684" t="s">
        <v>92</v>
      </c>
      <c r="O684" s="1">
        <v>41335</v>
      </c>
      <c r="P684" t="s">
        <v>84</v>
      </c>
      <c r="Q684">
        <v>4</v>
      </c>
      <c r="R684" t="s">
        <v>27</v>
      </c>
      <c r="S684">
        <v>2674.997464</v>
      </c>
      <c r="T684">
        <v>0</v>
      </c>
      <c r="U684">
        <v>0</v>
      </c>
    </row>
    <row r="685" spans="1:21" x14ac:dyDescent="0.3">
      <c r="A685" s="1">
        <v>44228</v>
      </c>
      <c r="B685" s="1">
        <v>44228</v>
      </c>
      <c r="C685" t="s">
        <v>157</v>
      </c>
      <c r="D685" t="s">
        <v>48</v>
      </c>
      <c r="E685" t="s">
        <v>49</v>
      </c>
      <c r="F685" t="s">
        <v>277</v>
      </c>
      <c r="G685" s="53">
        <v>44259.815057870372</v>
      </c>
      <c r="H685">
        <v>33</v>
      </c>
      <c r="I685">
        <v>17645</v>
      </c>
      <c r="J685" t="s">
        <v>50</v>
      </c>
      <c r="K685" t="s">
        <v>50</v>
      </c>
      <c r="L685" t="s">
        <v>159</v>
      </c>
      <c r="M685" t="s">
        <v>51</v>
      </c>
      <c r="N685" t="s">
        <v>92</v>
      </c>
      <c r="O685" s="1">
        <v>41335</v>
      </c>
      <c r="P685" t="s">
        <v>84</v>
      </c>
      <c r="Q685">
        <v>4</v>
      </c>
      <c r="R685" t="s">
        <v>27</v>
      </c>
      <c r="S685">
        <v>2674.997464</v>
      </c>
      <c r="T685">
        <v>80.213999999999999</v>
      </c>
      <c r="U685">
        <v>214572</v>
      </c>
    </row>
    <row r="686" spans="1:21" x14ac:dyDescent="0.3">
      <c r="A686" s="1">
        <v>44228</v>
      </c>
      <c r="B686" s="1">
        <v>44228</v>
      </c>
      <c r="C686" t="s">
        <v>157</v>
      </c>
      <c r="D686" t="s">
        <v>93</v>
      </c>
      <c r="E686" t="s">
        <v>49</v>
      </c>
      <c r="F686" t="s">
        <v>278</v>
      </c>
      <c r="G686" s="53">
        <v>44302.769236111111</v>
      </c>
      <c r="H686">
        <v>33</v>
      </c>
      <c r="I686" t="s">
        <v>349</v>
      </c>
      <c r="J686" t="s">
        <v>50</v>
      </c>
      <c r="K686" t="s">
        <v>50</v>
      </c>
      <c r="L686" t="s">
        <v>159</v>
      </c>
      <c r="M686" t="s">
        <v>51</v>
      </c>
      <c r="N686" t="s">
        <v>92</v>
      </c>
      <c r="O686" s="1">
        <v>41335</v>
      </c>
      <c r="P686" t="s">
        <v>84</v>
      </c>
      <c r="Q686">
        <v>5</v>
      </c>
      <c r="R686" t="s">
        <v>28</v>
      </c>
      <c r="S686">
        <v>1</v>
      </c>
      <c r="T686">
        <v>3</v>
      </c>
      <c r="U686">
        <v>3</v>
      </c>
    </row>
    <row r="687" spans="1:21" x14ac:dyDescent="0.3">
      <c r="A687" s="1">
        <v>44228</v>
      </c>
      <c r="B687" s="1">
        <v>44228</v>
      </c>
      <c r="C687" t="s">
        <v>157</v>
      </c>
      <c r="D687" t="s">
        <v>52</v>
      </c>
      <c r="E687" t="s">
        <v>53</v>
      </c>
      <c r="F687" t="s">
        <v>276</v>
      </c>
      <c r="G687" s="53">
        <v>44259.815057870372</v>
      </c>
      <c r="H687">
        <v>33</v>
      </c>
      <c r="I687">
        <v>17645</v>
      </c>
      <c r="J687" t="s">
        <v>50</v>
      </c>
      <c r="K687" t="s">
        <v>50</v>
      </c>
      <c r="L687" t="s">
        <v>159</v>
      </c>
      <c r="M687" t="s">
        <v>51</v>
      </c>
      <c r="N687" t="s">
        <v>92</v>
      </c>
      <c r="O687" s="1">
        <v>41335</v>
      </c>
      <c r="P687" t="s">
        <v>84</v>
      </c>
      <c r="Q687">
        <v>5</v>
      </c>
      <c r="R687" t="s">
        <v>28</v>
      </c>
      <c r="S687">
        <v>0</v>
      </c>
      <c r="T687">
        <v>0</v>
      </c>
      <c r="U687">
        <v>0</v>
      </c>
    </row>
    <row r="688" spans="1:21" x14ac:dyDescent="0.3">
      <c r="A688" s="1">
        <v>44228</v>
      </c>
      <c r="B688" s="1">
        <v>44228</v>
      </c>
      <c r="C688" t="s">
        <v>157</v>
      </c>
      <c r="D688" t="s">
        <v>54</v>
      </c>
      <c r="E688" t="s">
        <v>21</v>
      </c>
      <c r="F688" t="s">
        <v>275</v>
      </c>
      <c r="G688" s="53">
        <v>44259.815057870372</v>
      </c>
      <c r="H688">
        <v>33</v>
      </c>
      <c r="I688">
        <v>17645</v>
      </c>
      <c r="J688" t="s">
        <v>50</v>
      </c>
      <c r="K688" t="s">
        <v>50</v>
      </c>
      <c r="L688" t="s">
        <v>159</v>
      </c>
      <c r="M688" t="s">
        <v>51</v>
      </c>
      <c r="N688" t="s">
        <v>92</v>
      </c>
      <c r="O688" s="1">
        <v>41335</v>
      </c>
      <c r="P688" t="s">
        <v>84</v>
      </c>
      <c r="Q688">
        <v>5</v>
      </c>
      <c r="R688" t="s">
        <v>28</v>
      </c>
      <c r="S688">
        <v>0</v>
      </c>
      <c r="T688">
        <v>5963.28</v>
      </c>
      <c r="U688">
        <v>0</v>
      </c>
    </row>
    <row r="689" spans="1:21" x14ac:dyDescent="0.3">
      <c r="A689" s="1">
        <v>44228</v>
      </c>
      <c r="B689" s="1">
        <v>44228</v>
      </c>
      <c r="C689" t="s">
        <v>157</v>
      </c>
      <c r="D689" t="s">
        <v>55</v>
      </c>
      <c r="E689" t="s">
        <v>56</v>
      </c>
      <c r="F689" t="s">
        <v>279</v>
      </c>
      <c r="G689" s="53">
        <v>44259.815057870372</v>
      </c>
      <c r="H689">
        <v>33</v>
      </c>
      <c r="I689">
        <v>17645</v>
      </c>
      <c r="J689" t="s">
        <v>50</v>
      </c>
      <c r="K689" t="s">
        <v>50</v>
      </c>
      <c r="L689" t="s">
        <v>159</v>
      </c>
      <c r="M689" t="s">
        <v>51</v>
      </c>
      <c r="N689" t="s">
        <v>92</v>
      </c>
      <c r="O689" s="1">
        <v>41335</v>
      </c>
      <c r="P689" t="s">
        <v>84</v>
      </c>
      <c r="Q689">
        <v>5</v>
      </c>
      <c r="R689" t="s">
        <v>28</v>
      </c>
      <c r="S689">
        <v>7.8341200000000004</v>
      </c>
      <c r="T689">
        <v>0</v>
      </c>
      <c r="U689">
        <v>0</v>
      </c>
    </row>
    <row r="690" spans="1:21" x14ac:dyDescent="0.3">
      <c r="A690" s="1">
        <v>44228</v>
      </c>
      <c r="B690" s="1">
        <v>44228</v>
      </c>
      <c r="C690" t="s">
        <v>157</v>
      </c>
      <c r="D690" t="s">
        <v>48</v>
      </c>
      <c r="E690" t="s">
        <v>49</v>
      </c>
      <c r="F690" t="s">
        <v>277</v>
      </c>
      <c r="G690" s="53">
        <v>44259.815057870372</v>
      </c>
      <c r="H690">
        <v>33</v>
      </c>
      <c r="I690">
        <v>17645</v>
      </c>
      <c r="J690" t="s">
        <v>50</v>
      </c>
      <c r="K690" t="s">
        <v>50</v>
      </c>
      <c r="L690" t="s">
        <v>159</v>
      </c>
      <c r="M690" t="s">
        <v>51</v>
      </c>
      <c r="N690" t="s">
        <v>92</v>
      </c>
      <c r="O690" s="1">
        <v>41335</v>
      </c>
      <c r="P690" t="s">
        <v>84</v>
      </c>
      <c r="Q690">
        <v>5</v>
      </c>
      <c r="R690" t="s">
        <v>28</v>
      </c>
      <c r="S690">
        <v>7.8341200000000004</v>
      </c>
      <c r="T690">
        <v>86.617999999999995</v>
      </c>
      <c r="U690">
        <v>679</v>
      </c>
    </row>
    <row r="691" spans="1:21" x14ac:dyDescent="0.3">
      <c r="A691" s="1">
        <v>44256</v>
      </c>
      <c r="B691" s="1">
        <v>44256</v>
      </c>
      <c r="C691" t="s">
        <v>157</v>
      </c>
      <c r="D691" t="s">
        <v>54</v>
      </c>
      <c r="E691" t="s">
        <v>21</v>
      </c>
      <c r="F691" t="s">
        <v>280</v>
      </c>
      <c r="G691" s="53">
        <v>44294.484247685185</v>
      </c>
      <c r="H691">
        <v>33</v>
      </c>
      <c r="I691">
        <v>18264</v>
      </c>
      <c r="J691" t="s">
        <v>50</v>
      </c>
      <c r="K691" t="s">
        <v>50</v>
      </c>
      <c r="L691" t="s">
        <v>159</v>
      </c>
      <c r="M691" t="s">
        <v>51</v>
      </c>
      <c r="N691" t="s">
        <v>92</v>
      </c>
      <c r="O691" s="1">
        <v>41335</v>
      </c>
      <c r="P691" t="s">
        <v>84</v>
      </c>
      <c r="Q691">
        <v>1</v>
      </c>
      <c r="R691" t="s">
        <v>83</v>
      </c>
      <c r="S691">
        <v>0</v>
      </c>
      <c r="T691">
        <v>5914.4219999999996</v>
      </c>
      <c r="U691">
        <v>0</v>
      </c>
    </row>
    <row r="692" spans="1:21" x14ac:dyDescent="0.3">
      <c r="A692" s="1">
        <v>44256</v>
      </c>
      <c r="B692" s="1">
        <v>44256</v>
      </c>
      <c r="C692" t="s">
        <v>157</v>
      </c>
      <c r="D692" t="s">
        <v>55</v>
      </c>
      <c r="E692" t="s">
        <v>56</v>
      </c>
      <c r="F692" t="s">
        <v>281</v>
      </c>
      <c r="G692" s="53">
        <v>44294.484247685185</v>
      </c>
      <c r="H692">
        <v>33</v>
      </c>
      <c r="I692">
        <v>18264</v>
      </c>
      <c r="J692" t="s">
        <v>50</v>
      </c>
      <c r="K692" t="s">
        <v>50</v>
      </c>
      <c r="L692" t="s">
        <v>159</v>
      </c>
      <c r="M692" t="s">
        <v>51</v>
      </c>
      <c r="N692" t="s">
        <v>92</v>
      </c>
      <c r="O692" s="1">
        <v>41335</v>
      </c>
      <c r="P692" t="s">
        <v>84</v>
      </c>
      <c r="Q692">
        <v>1</v>
      </c>
      <c r="R692" t="s">
        <v>83</v>
      </c>
      <c r="S692">
        <v>2429.5084940000002</v>
      </c>
      <c r="T692">
        <v>0</v>
      </c>
      <c r="U692">
        <v>0</v>
      </c>
    </row>
    <row r="693" spans="1:21" x14ac:dyDescent="0.3">
      <c r="A693" s="1">
        <v>44256</v>
      </c>
      <c r="B693" s="1">
        <v>44256</v>
      </c>
      <c r="C693" t="s">
        <v>157</v>
      </c>
      <c r="D693" t="s">
        <v>48</v>
      </c>
      <c r="E693" t="s">
        <v>49</v>
      </c>
      <c r="F693" t="s">
        <v>282</v>
      </c>
      <c r="G693" s="53">
        <v>44294.484247685185</v>
      </c>
      <c r="H693">
        <v>33</v>
      </c>
      <c r="I693">
        <v>18264</v>
      </c>
      <c r="J693" t="s">
        <v>50</v>
      </c>
      <c r="K693" t="s">
        <v>50</v>
      </c>
      <c r="L693" t="s">
        <v>159</v>
      </c>
      <c r="M693" t="s">
        <v>51</v>
      </c>
      <c r="N693" t="s">
        <v>92</v>
      </c>
      <c r="O693" s="1">
        <v>41335</v>
      </c>
      <c r="P693" t="s">
        <v>84</v>
      </c>
      <c r="Q693">
        <v>1</v>
      </c>
      <c r="R693" t="s">
        <v>83</v>
      </c>
      <c r="S693">
        <v>2429.5084940000002</v>
      </c>
      <c r="T693">
        <v>85.203000000000003</v>
      </c>
      <c r="U693">
        <v>207001</v>
      </c>
    </row>
    <row r="694" spans="1:21" x14ac:dyDescent="0.3">
      <c r="A694" s="1">
        <v>44256</v>
      </c>
      <c r="B694" s="1">
        <v>44256</v>
      </c>
      <c r="C694" t="s">
        <v>157</v>
      </c>
      <c r="D694" t="s">
        <v>52</v>
      </c>
      <c r="E694" t="s">
        <v>53</v>
      </c>
      <c r="F694" t="s">
        <v>283</v>
      </c>
      <c r="G694" s="53">
        <v>44294.484247685185</v>
      </c>
      <c r="H694">
        <v>33</v>
      </c>
      <c r="I694">
        <v>18264</v>
      </c>
      <c r="J694" t="s">
        <v>50</v>
      </c>
      <c r="K694" t="s">
        <v>50</v>
      </c>
      <c r="L694" t="s">
        <v>159</v>
      </c>
      <c r="M694" t="s">
        <v>51</v>
      </c>
      <c r="N694" t="s">
        <v>92</v>
      </c>
      <c r="O694" s="1">
        <v>41335</v>
      </c>
      <c r="P694" t="s">
        <v>84</v>
      </c>
      <c r="Q694">
        <v>1</v>
      </c>
      <c r="R694" t="s">
        <v>83</v>
      </c>
      <c r="S694">
        <v>0</v>
      </c>
      <c r="T694">
        <v>1547.9605300000001</v>
      </c>
      <c r="U694">
        <v>1548</v>
      </c>
    </row>
    <row r="695" spans="1:21" x14ac:dyDescent="0.3">
      <c r="A695" s="1">
        <v>44256</v>
      </c>
      <c r="B695" s="1">
        <v>44256</v>
      </c>
      <c r="C695" t="s">
        <v>157</v>
      </c>
      <c r="D695" t="s">
        <v>93</v>
      </c>
      <c r="E695" t="s">
        <v>49</v>
      </c>
      <c r="F695" t="s">
        <v>284</v>
      </c>
      <c r="G695" s="53">
        <v>44327.522789351853</v>
      </c>
      <c r="H695">
        <v>33</v>
      </c>
      <c r="I695" t="s">
        <v>349</v>
      </c>
      <c r="J695" t="s">
        <v>50</v>
      </c>
      <c r="K695" t="s">
        <v>50</v>
      </c>
      <c r="L695" t="s">
        <v>159</v>
      </c>
      <c r="M695" t="s">
        <v>51</v>
      </c>
      <c r="N695" t="s">
        <v>92</v>
      </c>
      <c r="O695" s="1">
        <v>41335</v>
      </c>
      <c r="P695" t="s">
        <v>84</v>
      </c>
      <c r="Q695">
        <v>1</v>
      </c>
      <c r="R695" t="s">
        <v>83</v>
      </c>
      <c r="S695">
        <v>1</v>
      </c>
      <c r="T695">
        <v>1933</v>
      </c>
      <c r="U695">
        <v>1933</v>
      </c>
    </row>
    <row r="696" spans="1:21" x14ac:dyDescent="0.3">
      <c r="A696" s="1">
        <v>44256</v>
      </c>
      <c r="B696" s="1">
        <v>44256</v>
      </c>
      <c r="C696" t="s">
        <v>157</v>
      </c>
      <c r="D696" t="s">
        <v>48</v>
      </c>
      <c r="E696" t="s">
        <v>49</v>
      </c>
      <c r="F696" t="s">
        <v>282</v>
      </c>
      <c r="G696" s="53">
        <v>44294.484247685185</v>
      </c>
      <c r="H696">
        <v>33</v>
      </c>
      <c r="I696">
        <v>18264</v>
      </c>
      <c r="J696" t="s">
        <v>50</v>
      </c>
      <c r="K696" t="s">
        <v>50</v>
      </c>
      <c r="L696" t="s">
        <v>159</v>
      </c>
      <c r="M696" t="s">
        <v>51</v>
      </c>
      <c r="N696" t="s">
        <v>92</v>
      </c>
      <c r="O696" s="1">
        <v>41335</v>
      </c>
      <c r="P696" t="s">
        <v>84</v>
      </c>
      <c r="Q696">
        <v>2</v>
      </c>
      <c r="R696" t="s">
        <v>94</v>
      </c>
      <c r="S696">
        <v>8.2069919999999996</v>
      </c>
      <c r="T696">
        <v>86.819000000000003</v>
      </c>
      <c r="U696">
        <v>713</v>
      </c>
    </row>
    <row r="697" spans="1:21" x14ac:dyDescent="0.3">
      <c r="A697" s="1">
        <v>44256</v>
      </c>
      <c r="B697" s="1">
        <v>44256</v>
      </c>
      <c r="C697" t="s">
        <v>157</v>
      </c>
      <c r="D697" t="s">
        <v>93</v>
      </c>
      <c r="E697" t="s">
        <v>49</v>
      </c>
      <c r="F697" t="s">
        <v>284</v>
      </c>
      <c r="G697" s="53">
        <v>44327.522789351853</v>
      </c>
      <c r="H697">
        <v>33</v>
      </c>
      <c r="I697" t="s">
        <v>349</v>
      </c>
      <c r="J697" t="s">
        <v>50</v>
      </c>
      <c r="K697" t="s">
        <v>50</v>
      </c>
      <c r="L697" t="s">
        <v>159</v>
      </c>
      <c r="M697" t="s">
        <v>51</v>
      </c>
      <c r="N697" t="s">
        <v>92</v>
      </c>
      <c r="O697" s="1">
        <v>41335</v>
      </c>
      <c r="P697" t="s">
        <v>84</v>
      </c>
      <c r="Q697">
        <v>2</v>
      </c>
      <c r="R697" t="s">
        <v>94</v>
      </c>
      <c r="S697">
        <v>1</v>
      </c>
      <c r="T697">
        <v>6</v>
      </c>
      <c r="U697">
        <v>6</v>
      </c>
    </row>
    <row r="698" spans="1:21" x14ac:dyDescent="0.3">
      <c r="A698" s="1">
        <v>44256</v>
      </c>
      <c r="B698" s="1">
        <v>44256</v>
      </c>
      <c r="C698" t="s">
        <v>157</v>
      </c>
      <c r="D698" t="s">
        <v>55</v>
      </c>
      <c r="E698" t="s">
        <v>56</v>
      </c>
      <c r="F698" t="s">
        <v>281</v>
      </c>
      <c r="G698" s="53">
        <v>44294.484247685185</v>
      </c>
      <c r="H698">
        <v>33</v>
      </c>
      <c r="I698">
        <v>18264</v>
      </c>
      <c r="J698" t="s">
        <v>50</v>
      </c>
      <c r="K698" t="s">
        <v>50</v>
      </c>
      <c r="L698" t="s">
        <v>159</v>
      </c>
      <c r="M698" t="s">
        <v>51</v>
      </c>
      <c r="N698" t="s">
        <v>92</v>
      </c>
      <c r="O698" s="1">
        <v>41335</v>
      </c>
      <c r="P698" t="s">
        <v>84</v>
      </c>
      <c r="Q698">
        <v>2</v>
      </c>
      <c r="R698" t="s">
        <v>94</v>
      </c>
      <c r="S698">
        <v>8.2069919999999996</v>
      </c>
      <c r="T698">
        <v>0</v>
      </c>
      <c r="U698">
        <v>0</v>
      </c>
    </row>
    <row r="699" spans="1:21" x14ac:dyDescent="0.3">
      <c r="A699" s="1">
        <v>44256</v>
      </c>
      <c r="B699" s="1">
        <v>44256</v>
      </c>
      <c r="C699" t="s">
        <v>157</v>
      </c>
      <c r="D699" t="s">
        <v>52</v>
      </c>
      <c r="E699" t="s">
        <v>53</v>
      </c>
      <c r="F699" t="s">
        <v>283</v>
      </c>
      <c r="G699" s="53">
        <v>44294.484247685185</v>
      </c>
      <c r="H699">
        <v>33</v>
      </c>
      <c r="I699">
        <v>18264</v>
      </c>
      <c r="J699" t="s">
        <v>50</v>
      </c>
      <c r="K699" t="s">
        <v>50</v>
      </c>
      <c r="L699" t="s">
        <v>159</v>
      </c>
      <c r="M699" t="s">
        <v>51</v>
      </c>
      <c r="N699" t="s">
        <v>92</v>
      </c>
      <c r="O699" s="1">
        <v>41335</v>
      </c>
      <c r="P699" t="s">
        <v>84</v>
      </c>
      <c r="Q699">
        <v>2</v>
      </c>
      <c r="R699" t="s">
        <v>94</v>
      </c>
      <c r="S699">
        <v>0</v>
      </c>
      <c r="T699">
        <v>0</v>
      </c>
      <c r="U699">
        <v>0</v>
      </c>
    </row>
    <row r="700" spans="1:21" x14ac:dyDescent="0.3">
      <c r="A700" s="1">
        <v>44256</v>
      </c>
      <c r="B700" s="1">
        <v>44256</v>
      </c>
      <c r="C700" t="s">
        <v>157</v>
      </c>
      <c r="D700" t="s">
        <v>54</v>
      </c>
      <c r="E700" t="s">
        <v>21</v>
      </c>
      <c r="F700" t="s">
        <v>280</v>
      </c>
      <c r="G700" s="53">
        <v>44294.484247685185</v>
      </c>
      <c r="H700">
        <v>33</v>
      </c>
      <c r="I700">
        <v>18264</v>
      </c>
      <c r="J700" t="s">
        <v>50</v>
      </c>
      <c r="K700" t="s">
        <v>50</v>
      </c>
      <c r="L700" t="s">
        <v>159</v>
      </c>
      <c r="M700" t="s">
        <v>51</v>
      </c>
      <c r="N700" t="s">
        <v>92</v>
      </c>
      <c r="O700" s="1">
        <v>41335</v>
      </c>
      <c r="P700" t="s">
        <v>84</v>
      </c>
      <c r="Q700">
        <v>2</v>
      </c>
      <c r="R700" t="s">
        <v>94</v>
      </c>
      <c r="S700">
        <v>0</v>
      </c>
      <c r="T700">
        <v>6007.3739999999998</v>
      </c>
      <c r="U700">
        <v>0</v>
      </c>
    </row>
    <row r="701" spans="1:21" x14ac:dyDescent="0.3">
      <c r="A701" s="1">
        <v>44256</v>
      </c>
      <c r="B701" s="1">
        <v>44256</v>
      </c>
      <c r="C701" t="s">
        <v>157</v>
      </c>
      <c r="D701" t="s">
        <v>52</v>
      </c>
      <c r="E701" t="s">
        <v>53</v>
      </c>
      <c r="F701" t="s">
        <v>283</v>
      </c>
      <c r="G701" s="53">
        <v>44294.484247685185</v>
      </c>
      <c r="H701">
        <v>33</v>
      </c>
      <c r="I701">
        <v>18264</v>
      </c>
      <c r="J701" t="s">
        <v>50</v>
      </c>
      <c r="K701" t="s">
        <v>50</v>
      </c>
      <c r="L701" t="s">
        <v>159</v>
      </c>
      <c r="M701" t="s">
        <v>51</v>
      </c>
      <c r="N701" t="s">
        <v>92</v>
      </c>
      <c r="O701" s="1">
        <v>41335</v>
      </c>
      <c r="P701" t="s">
        <v>84</v>
      </c>
      <c r="Q701">
        <v>3</v>
      </c>
      <c r="R701" t="s">
        <v>81</v>
      </c>
      <c r="S701">
        <v>0</v>
      </c>
      <c r="T701">
        <v>0</v>
      </c>
      <c r="U701">
        <v>0</v>
      </c>
    </row>
    <row r="702" spans="1:21" x14ac:dyDescent="0.3">
      <c r="A702" s="1">
        <v>44256</v>
      </c>
      <c r="B702" s="1">
        <v>44256</v>
      </c>
      <c r="C702" t="s">
        <v>157</v>
      </c>
      <c r="D702" t="s">
        <v>48</v>
      </c>
      <c r="E702" t="s">
        <v>49</v>
      </c>
      <c r="F702" t="s">
        <v>282</v>
      </c>
      <c r="G702" s="53">
        <v>44294.484247685185</v>
      </c>
      <c r="H702">
        <v>33</v>
      </c>
      <c r="I702">
        <v>18264</v>
      </c>
      <c r="J702" t="s">
        <v>50</v>
      </c>
      <c r="K702" t="s">
        <v>50</v>
      </c>
      <c r="L702" t="s">
        <v>159</v>
      </c>
      <c r="M702" t="s">
        <v>51</v>
      </c>
      <c r="N702" t="s">
        <v>92</v>
      </c>
      <c r="O702" s="1">
        <v>41335</v>
      </c>
      <c r="P702" t="s">
        <v>84</v>
      </c>
      <c r="Q702">
        <v>3</v>
      </c>
      <c r="R702" t="s">
        <v>81</v>
      </c>
      <c r="S702">
        <v>266.55027999999999</v>
      </c>
      <c r="T702">
        <v>78.597999999999999</v>
      </c>
      <c r="U702">
        <v>20950</v>
      </c>
    </row>
    <row r="703" spans="1:21" x14ac:dyDescent="0.3">
      <c r="A703" s="1">
        <v>44256</v>
      </c>
      <c r="B703" s="1">
        <v>44256</v>
      </c>
      <c r="C703" t="s">
        <v>157</v>
      </c>
      <c r="D703" t="s">
        <v>93</v>
      </c>
      <c r="E703" t="s">
        <v>49</v>
      </c>
      <c r="F703" t="s">
        <v>284</v>
      </c>
      <c r="G703" s="53">
        <v>44327.522789351853</v>
      </c>
      <c r="H703">
        <v>33</v>
      </c>
      <c r="I703" t="s">
        <v>349</v>
      </c>
      <c r="J703" t="s">
        <v>50</v>
      </c>
      <c r="K703" t="s">
        <v>50</v>
      </c>
      <c r="L703" t="s">
        <v>159</v>
      </c>
      <c r="M703" t="s">
        <v>51</v>
      </c>
      <c r="N703" t="s">
        <v>92</v>
      </c>
      <c r="O703" s="1">
        <v>41335</v>
      </c>
      <c r="P703" t="s">
        <v>84</v>
      </c>
      <c r="Q703">
        <v>3</v>
      </c>
      <c r="R703" t="s">
        <v>81</v>
      </c>
      <c r="S703">
        <v>1</v>
      </c>
      <c r="T703">
        <v>196</v>
      </c>
      <c r="U703">
        <v>196</v>
      </c>
    </row>
    <row r="704" spans="1:21" x14ac:dyDescent="0.3">
      <c r="A704" s="1">
        <v>44256</v>
      </c>
      <c r="B704" s="1">
        <v>44256</v>
      </c>
      <c r="C704" t="s">
        <v>157</v>
      </c>
      <c r="D704" t="s">
        <v>54</v>
      </c>
      <c r="E704" t="s">
        <v>21</v>
      </c>
      <c r="F704" t="s">
        <v>280</v>
      </c>
      <c r="G704" s="53">
        <v>44294.484247685185</v>
      </c>
      <c r="H704">
        <v>33</v>
      </c>
      <c r="I704">
        <v>18264</v>
      </c>
      <c r="J704" t="s">
        <v>50</v>
      </c>
      <c r="K704" t="s">
        <v>50</v>
      </c>
      <c r="L704" t="s">
        <v>159</v>
      </c>
      <c r="M704" t="s">
        <v>51</v>
      </c>
      <c r="N704" t="s">
        <v>92</v>
      </c>
      <c r="O704" s="1">
        <v>41335</v>
      </c>
      <c r="P704" t="s">
        <v>84</v>
      </c>
      <c r="Q704">
        <v>3</v>
      </c>
      <c r="R704" t="s">
        <v>81</v>
      </c>
      <c r="S704">
        <v>0</v>
      </c>
      <c r="T704">
        <v>5302.482</v>
      </c>
      <c r="U704">
        <v>0</v>
      </c>
    </row>
    <row r="705" spans="1:21" x14ac:dyDescent="0.3">
      <c r="A705" s="1">
        <v>44256</v>
      </c>
      <c r="B705" s="1">
        <v>44256</v>
      </c>
      <c r="C705" t="s">
        <v>157</v>
      </c>
      <c r="D705" t="s">
        <v>55</v>
      </c>
      <c r="E705" t="s">
        <v>56</v>
      </c>
      <c r="F705" t="s">
        <v>281</v>
      </c>
      <c r="G705" s="53">
        <v>44294.484247685185</v>
      </c>
      <c r="H705">
        <v>33</v>
      </c>
      <c r="I705">
        <v>18264</v>
      </c>
      <c r="J705" t="s">
        <v>50</v>
      </c>
      <c r="K705" t="s">
        <v>50</v>
      </c>
      <c r="L705" t="s">
        <v>159</v>
      </c>
      <c r="M705" t="s">
        <v>51</v>
      </c>
      <c r="N705" t="s">
        <v>92</v>
      </c>
      <c r="O705" s="1">
        <v>41335</v>
      </c>
      <c r="P705" t="s">
        <v>84</v>
      </c>
      <c r="Q705">
        <v>3</v>
      </c>
      <c r="R705" t="s">
        <v>81</v>
      </c>
      <c r="S705">
        <v>266.55027999999999</v>
      </c>
      <c r="T705">
        <v>0</v>
      </c>
      <c r="U705">
        <v>0</v>
      </c>
    </row>
    <row r="706" spans="1:21" x14ac:dyDescent="0.3">
      <c r="A706" s="1">
        <v>44256</v>
      </c>
      <c r="B706" s="1">
        <v>44256</v>
      </c>
      <c r="C706" t="s">
        <v>157</v>
      </c>
      <c r="D706" t="s">
        <v>52</v>
      </c>
      <c r="E706" t="s">
        <v>53</v>
      </c>
      <c r="F706" t="s">
        <v>283</v>
      </c>
      <c r="G706" s="53">
        <v>44294.484247685185</v>
      </c>
      <c r="H706">
        <v>33</v>
      </c>
      <c r="I706">
        <v>18264</v>
      </c>
      <c r="J706" t="s">
        <v>50</v>
      </c>
      <c r="K706" t="s">
        <v>50</v>
      </c>
      <c r="L706" t="s">
        <v>159</v>
      </c>
      <c r="M706" t="s">
        <v>51</v>
      </c>
      <c r="N706" t="s">
        <v>92</v>
      </c>
      <c r="O706" s="1">
        <v>41335</v>
      </c>
      <c r="P706" t="s">
        <v>84</v>
      </c>
      <c r="Q706">
        <v>4</v>
      </c>
      <c r="R706" t="s">
        <v>27</v>
      </c>
      <c r="S706">
        <v>0</v>
      </c>
      <c r="T706">
        <v>0</v>
      </c>
      <c r="U706">
        <v>0</v>
      </c>
    </row>
    <row r="707" spans="1:21" x14ac:dyDescent="0.3">
      <c r="A707" s="1">
        <v>44256</v>
      </c>
      <c r="B707" s="1">
        <v>44256</v>
      </c>
      <c r="C707" t="s">
        <v>157</v>
      </c>
      <c r="D707" t="s">
        <v>55</v>
      </c>
      <c r="E707" t="s">
        <v>56</v>
      </c>
      <c r="F707" t="s">
        <v>281</v>
      </c>
      <c r="G707" s="53">
        <v>44294.484247685185</v>
      </c>
      <c r="H707">
        <v>33</v>
      </c>
      <c r="I707">
        <v>18264</v>
      </c>
      <c r="J707" t="s">
        <v>50</v>
      </c>
      <c r="K707" t="s">
        <v>50</v>
      </c>
      <c r="L707" t="s">
        <v>159</v>
      </c>
      <c r="M707" t="s">
        <v>51</v>
      </c>
      <c r="N707" t="s">
        <v>92</v>
      </c>
      <c r="O707" s="1">
        <v>41335</v>
      </c>
      <c r="P707" t="s">
        <v>84</v>
      </c>
      <c r="Q707">
        <v>4</v>
      </c>
      <c r="R707" t="s">
        <v>27</v>
      </c>
      <c r="S707">
        <v>3026.9486430000002</v>
      </c>
      <c r="T707">
        <v>0</v>
      </c>
      <c r="U707">
        <v>0</v>
      </c>
    </row>
    <row r="708" spans="1:21" x14ac:dyDescent="0.3">
      <c r="A708" s="1">
        <v>44256</v>
      </c>
      <c r="B708" s="1">
        <v>44256</v>
      </c>
      <c r="C708" t="s">
        <v>157</v>
      </c>
      <c r="D708" t="s">
        <v>93</v>
      </c>
      <c r="E708" t="s">
        <v>49</v>
      </c>
      <c r="F708" t="s">
        <v>284</v>
      </c>
      <c r="G708" s="53">
        <v>44327.522789351853</v>
      </c>
      <c r="H708">
        <v>33</v>
      </c>
      <c r="I708" t="s">
        <v>349</v>
      </c>
      <c r="J708" t="s">
        <v>50</v>
      </c>
      <c r="K708" t="s">
        <v>50</v>
      </c>
      <c r="L708" t="s">
        <v>159</v>
      </c>
      <c r="M708" t="s">
        <v>51</v>
      </c>
      <c r="N708" t="s">
        <v>92</v>
      </c>
      <c r="O708" s="1">
        <v>41335</v>
      </c>
      <c r="P708" t="s">
        <v>84</v>
      </c>
      <c r="Q708">
        <v>4</v>
      </c>
      <c r="R708" t="s">
        <v>27</v>
      </c>
      <c r="S708">
        <v>1</v>
      </c>
      <c r="T708">
        <v>2266</v>
      </c>
      <c r="U708">
        <v>2266</v>
      </c>
    </row>
    <row r="709" spans="1:21" x14ac:dyDescent="0.3">
      <c r="A709" s="1">
        <v>44256</v>
      </c>
      <c r="B709" s="1">
        <v>44256</v>
      </c>
      <c r="C709" t="s">
        <v>157</v>
      </c>
      <c r="D709" t="s">
        <v>48</v>
      </c>
      <c r="E709" t="s">
        <v>49</v>
      </c>
      <c r="F709" t="s">
        <v>282</v>
      </c>
      <c r="G709" s="53">
        <v>44294.484247685185</v>
      </c>
      <c r="H709">
        <v>33</v>
      </c>
      <c r="I709">
        <v>18264</v>
      </c>
      <c r="J709" t="s">
        <v>50</v>
      </c>
      <c r="K709" t="s">
        <v>50</v>
      </c>
      <c r="L709" t="s">
        <v>159</v>
      </c>
      <c r="M709" t="s">
        <v>51</v>
      </c>
      <c r="N709" t="s">
        <v>92</v>
      </c>
      <c r="O709" s="1">
        <v>41335</v>
      </c>
      <c r="P709" t="s">
        <v>84</v>
      </c>
      <c r="Q709">
        <v>4</v>
      </c>
      <c r="R709" t="s">
        <v>27</v>
      </c>
      <c r="S709">
        <v>3026.9486430000002</v>
      </c>
      <c r="T709">
        <v>80.213999999999999</v>
      </c>
      <c r="U709">
        <v>242804</v>
      </c>
    </row>
    <row r="710" spans="1:21" x14ac:dyDescent="0.3">
      <c r="A710" s="1">
        <v>44256</v>
      </c>
      <c r="B710" s="1">
        <v>44256</v>
      </c>
      <c r="C710" t="s">
        <v>157</v>
      </c>
      <c r="D710" t="s">
        <v>54</v>
      </c>
      <c r="E710" t="s">
        <v>21</v>
      </c>
      <c r="F710" t="s">
        <v>280</v>
      </c>
      <c r="G710" s="53">
        <v>44294.484247685185</v>
      </c>
      <c r="H710">
        <v>33</v>
      </c>
      <c r="I710">
        <v>18264</v>
      </c>
      <c r="J710" t="s">
        <v>50</v>
      </c>
      <c r="K710" t="s">
        <v>50</v>
      </c>
      <c r="L710" t="s">
        <v>159</v>
      </c>
      <c r="M710" t="s">
        <v>51</v>
      </c>
      <c r="N710" t="s">
        <v>92</v>
      </c>
      <c r="O710" s="1">
        <v>41335</v>
      </c>
      <c r="P710" t="s">
        <v>84</v>
      </c>
      <c r="Q710">
        <v>4</v>
      </c>
      <c r="R710" t="s">
        <v>27</v>
      </c>
      <c r="S710">
        <v>0</v>
      </c>
      <c r="T710">
        <v>5512.8180000000002</v>
      </c>
      <c r="U710">
        <v>0</v>
      </c>
    </row>
    <row r="711" spans="1:21" x14ac:dyDescent="0.3">
      <c r="A711" s="1">
        <v>44256</v>
      </c>
      <c r="B711" s="1">
        <v>44256</v>
      </c>
      <c r="C711" t="s">
        <v>157</v>
      </c>
      <c r="D711" t="s">
        <v>48</v>
      </c>
      <c r="E711" t="s">
        <v>49</v>
      </c>
      <c r="F711" t="s">
        <v>282</v>
      </c>
      <c r="G711" s="53">
        <v>44294.484247685185</v>
      </c>
      <c r="H711">
        <v>33</v>
      </c>
      <c r="I711">
        <v>18264</v>
      </c>
      <c r="J711" t="s">
        <v>50</v>
      </c>
      <c r="K711" t="s">
        <v>50</v>
      </c>
      <c r="L711" t="s">
        <v>159</v>
      </c>
      <c r="M711" t="s">
        <v>51</v>
      </c>
      <c r="N711" t="s">
        <v>92</v>
      </c>
      <c r="O711" s="1">
        <v>41335</v>
      </c>
      <c r="P711" t="s">
        <v>84</v>
      </c>
      <c r="Q711">
        <v>5</v>
      </c>
      <c r="R711" t="s">
        <v>28</v>
      </c>
      <c r="S711">
        <v>8.8766890000000007</v>
      </c>
      <c r="T711">
        <v>86.617999999999995</v>
      </c>
      <c r="U711">
        <v>769</v>
      </c>
    </row>
    <row r="712" spans="1:21" x14ac:dyDescent="0.3">
      <c r="A712" s="1">
        <v>44256</v>
      </c>
      <c r="B712" s="1">
        <v>44256</v>
      </c>
      <c r="C712" t="s">
        <v>157</v>
      </c>
      <c r="D712" t="s">
        <v>52</v>
      </c>
      <c r="E712" t="s">
        <v>53</v>
      </c>
      <c r="F712" t="s">
        <v>283</v>
      </c>
      <c r="G712" s="53">
        <v>44294.484247685185</v>
      </c>
      <c r="H712">
        <v>33</v>
      </c>
      <c r="I712">
        <v>18264</v>
      </c>
      <c r="J712" t="s">
        <v>50</v>
      </c>
      <c r="K712" t="s">
        <v>50</v>
      </c>
      <c r="L712" t="s">
        <v>159</v>
      </c>
      <c r="M712" t="s">
        <v>51</v>
      </c>
      <c r="N712" t="s">
        <v>92</v>
      </c>
      <c r="O712" s="1">
        <v>41335</v>
      </c>
      <c r="P712" t="s">
        <v>84</v>
      </c>
      <c r="Q712">
        <v>5</v>
      </c>
      <c r="R712" t="s">
        <v>28</v>
      </c>
      <c r="S712">
        <v>0</v>
      </c>
      <c r="T712">
        <v>0</v>
      </c>
      <c r="U712">
        <v>0</v>
      </c>
    </row>
    <row r="713" spans="1:21" x14ac:dyDescent="0.3">
      <c r="A713" s="1">
        <v>44256</v>
      </c>
      <c r="B713" s="1">
        <v>44256</v>
      </c>
      <c r="C713" t="s">
        <v>157</v>
      </c>
      <c r="D713" t="s">
        <v>54</v>
      </c>
      <c r="E713" t="s">
        <v>21</v>
      </c>
      <c r="F713" t="s">
        <v>280</v>
      </c>
      <c r="G713" s="53">
        <v>44294.484247685185</v>
      </c>
      <c r="H713">
        <v>33</v>
      </c>
      <c r="I713">
        <v>18264</v>
      </c>
      <c r="J713" t="s">
        <v>50</v>
      </c>
      <c r="K713" t="s">
        <v>50</v>
      </c>
      <c r="L713" t="s">
        <v>159</v>
      </c>
      <c r="M713" t="s">
        <v>51</v>
      </c>
      <c r="N713" t="s">
        <v>92</v>
      </c>
      <c r="O713" s="1">
        <v>41335</v>
      </c>
      <c r="P713" t="s">
        <v>84</v>
      </c>
      <c r="Q713">
        <v>5</v>
      </c>
      <c r="R713" t="s">
        <v>28</v>
      </c>
      <c r="S713">
        <v>0</v>
      </c>
      <c r="T713">
        <v>5963.2809999999999</v>
      </c>
      <c r="U713">
        <v>0</v>
      </c>
    </row>
    <row r="714" spans="1:21" x14ac:dyDescent="0.3">
      <c r="A714" s="1">
        <v>44256</v>
      </c>
      <c r="B714" s="1">
        <v>44256</v>
      </c>
      <c r="C714" t="s">
        <v>157</v>
      </c>
      <c r="D714" t="s">
        <v>55</v>
      </c>
      <c r="E714" t="s">
        <v>56</v>
      </c>
      <c r="F714" t="s">
        <v>281</v>
      </c>
      <c r="G714" s="53">
        <v>44294.484247685185</v>
      </c>
      <c r="H714">
        <v>33</v>
      </c>
      <c r="I714">
        <v>18264</v>
      </c>
      <c r="J714" t="s">
        <v>50</v>
      </c>
      <c r="K714" t="s">
        <v>50</v>
      </c>
      <c r="L714" t="s">
        <v>159</v>
      </c>
      <c r="M714" t="s">
        <v>51</v>
      </c>
      <c r="N714" t="s">
        <v>92</v>
      </c>
      <c r="O714" s="1">
        <v>41335</v>
      </c>
      <c r="P714" t="s">
        <v>84</v>
      </c>
      <c r="Q714">
        <v>5</v>
      </c>
      <c r="R714" t="s">
        <v>28</v>
      </c>
      <c r="S714">
        <v>8.8766890000000007</v>
      </c>
      <c r="T714">
        <v>0</v>
      </c>
      <c r="U714">
        <v>0</v>
      </c>
    </row>
    <row r="715" spans="1:21" x14ac:dyDescent="0.3">
      <c r="A715" s="1">
        <v>44256</v>
      </c>
      <c r="B715" s="1">
        <v>44256</v>
      </c>
      <c r="C715" t="s">
        <v>157</v>
      </c>
      <c r="D715" t="s">
        <v>93</v>
      </c>
      <c r="E715" t="s">
        <v>49</v>
      </c>
      <c r="F715" t="s">
        <v>284</v>
      </c>
      <c r="G715" s="53">
        <v>44327.522789351853</v>
      </c>
      <c r="H715">
        <v>33</v>
      </c>
      <c r="I715" t="s">
        <v>349</v>
      </c>
      <c r="J715" t="s">
        <v>50</v>
      </c>
      <c r="K715" t="s">
        <v>50</v>
      </c>
      <c r="L715" t="s">
        <v>159</v>
      </c>
      <c r="M715" t="s">
        <v>51</v>
      </c>
      <c r="N715" t="s">
        <v>92</v>
      </c>
      <c r="O715" s="1">
        <v>41335</v>
      </c>
      <c r="P715" t="s">
        <v>84</v>
      </c>
      <c r="Q715">
        <v>5</v>
      </c>
      <c r="R715" t="s">
        <v>28</v>
      </c>
      <c r="S715">
        <v>1</v>
      </c>
      <c r="T715">
        <v>7</v>
      </c>
      <c r="U715">
        <v>7</v>
      </c>
    </row>
    <row r="716" spans="1:21" x14ac:dyDescent="0.3">
      <c r="A716" s="1">
        <v>44287</v>
      </c>
      <c r="B716" s="1">
        <v>44287</v>
      </c>
      <c r="C716" t="s">
        <v>157</v>
      </c>
      <c r="D716" t="s">
        <v>54</v>
      </c>
      <c r="E716" t="s">
        <v>21</v>
      </c>
      <c r="F716" t="s">
        <v>285</v>
      </c>
      <c r="G716" s="53">
        <v>44323.702997685185</v>
      </c>
      <c r="H716">
        <v>33</v>
      </c>
      <c r="I716">
        <v>18700</v>
      </c>
      <c r="J716" t="s">
        <v>50</v>
      </c>
      <c r="K716" t="s">
        <v>50</v>
      </c>
      <c r="L716" t="s">
        <v>159</v>
      </c>
      <c r="M716" t="s">
        <v>51</v>
      </c>
      <c r="N716" t="s">
        <v>92</v>
      </c>
      <c r="O716" s="1">
        <v>41335</v>
      </c>
      <c r="P716" t="s">
        <v>84</v>
      </c>
      <c r="Q716">
        <v>1</v>
      </c>
      <c r="R716" t="s">
        <v>83</v>
      </c>
      <c r="S716">
        <v>0</v>
      </c>
      <c r="T716">
        <v>5914.4219999999996</v>
      </c>
      <c r="U716">
        <v>0</v>
      </c>
    </row>
    <row r="717" spans="1:21" x14ac:dyDescent="0.3">
      <c r="A717" s="1">
        <v>44287</v>
      </c>
      <c r="B717" s="1">
        <v>44287</v>
      </c>
      <c r="C717" t="s">
        <v>157</v>
      </c>
      <c r="D717" t="s">
        <v>48</v>
      </c>
      <c r="E717" t="s">
        <v>49</v>
      </c>
      <c r="F717" t="s">
        <v>286</v>
      </c>
      <c r="G717" s="53">
        <v>44323.702997685185</v>
      </c>
      <c r="H717">
        <v>33</v>
      </c>
      <c r="I717">
        <v>18700</v>
      </c>
      <c r="J717" t="s">
        <v>50</v>
      </c>
      <c r="K717" t="s">
        <v>50</v>
      </c>
      <c r="L717" t="s">
        <v>159</v>
      </c>
      <c r="M717" t="s">
        <v>51</v>
      </c>
      <c r="N717" t="s">
        <v>92</v>
      </c>
      <c r="O717" s="1">
        <v>41335</v>
      </c>
      <c r="P717" t="s">
        <v>84</v>
      </c>
      <c r="Q717">
        <v>1</v>
      </c>
      <c r="R717" t="s">
        <v>83</v>
      </c>
      <c r="S717">
        <v>1898.22228</v>
      </c>
      <c r="T717">
        <v>85.203000000000003</v>
      </c>
      <c r="U717">
        <v>161734</v>
      </c>
    </row>
    <row r="718" spans="1:21" x14ac:dyDescent="0.3">
      <c r="A718" s="1">
        <v>44287</v>
      </c>
      <c r="B718" s="1">
        <v>44287</v>
      </c>
      <c r="C718" t="s">
        <v>157</v>
      </c>
      <c r="D718" t="s">
        <v>55</v>
      </c>
      <c r="E718" t="s">
        <v>56</v>
      </c>
      <c r="F718" t="s">
        <v>287</v>
      </c>
      <c r="G718" s="53">
        <v>44323.702997685185</v>
      </c>
      <c r="H718">
        <v>33</v>
      </c>
      <c r="I718">
        <v>18700</v>
      </c>
      <c r="J718" t="s">
        <v>50</v>
      </c>
      <c r="K718" t="s">
        <v>50</v>
      </c>
      <c r="L718" t="s">
        <v>159</v>
      </c>
      <c r="M718" t="s">
        <v>51</v>
      </c>
      <c r="N718" t="s">
        <v>92</v>
      </c>
      <c r="O718" s="1">
        <v>41335</v>
      </c>
      <c r="P718" t="s">
        <v>84</v>
      </c>
      <c r="Q718">
        <v>1</v>
      </c>
      <c r="R718" t="s">
        <v>83</v>
      </c>
      <c r="S718">
        <v>1898.22228</v>
      </c>
      <c r="T718">
        <v>0</v>
      </c>
      <c r="U718">
        <v>0</v>
      </c>
    </row>
    <row r="719" spans="1:21" x14ac:dyDescent="0.3">
      <c r="A719" s="1">
        <v>44287</v>
      </c>
      <c r="B719" s="1">
        <v>44287</v>
      </c>
      <c r="C719" t="s">
        <v>157</v>
      </c>
      <c r="D719" t="s">
        <v>52</v>
      </c>
      <c r="E719" t="s">
        <v>53</v>
      </c>
      <c r="F719" t="s">
        <v>288</v>
      </c>
      <c r="G719" s="53">
        <v>44323.702997685185</v>
      </c>
      <c r="H719">
        <v>33</v>
      </c>
      <c r="I719">
        <v>18700</v>
      </c>
      <c r="J719" t="s">
        <v>50</v>
      </c>
      <c r="K719" t="s">
        <v>50</v>
      </c>
      <c r="L719" t="s">
        <v>159</v>
      </c>
      <c r="M719" t="s">
        <v>51</v>
      </c>
      <c r="N719" t="s">
        <v>92</v>
      </c>
      <c r="O719" s="1">
        <v>41335</v>
      </c>
      <c r="P719" t="s">
        <v>84</v>
      </c>
      <c r="Q719">
        <v>1</v>
      </c>
      <c r="R719" t="s">
        <v>83</v>
      </c>
      <c r="S719">
        <v>0</v>
      </c>
      <c r="T719">
        <v>28.577739999999999</v>
      </c>
      <c r="U719">
        <v>29</v>
      </c>
    </row>
    <row r="720" spans="1:21" x14ac:dyDescent="0.3">
      <c r="A720" s="1">
        <v>44287</v>
      </c>
      <c r="B720" s="1">
        <v>44287</v>
      </c>
      <c r="C720" t="s">
        <v>157</v>
      </c>
      <c r="D720" t="s">
        <v>48</v>
      </c>
      <c r="E720" t="s">
        <v>49</v>
      </c>
      <c r="F720" t="s">
        <v>286</v>
      </c>
      <c r="G720" s="53">
        <v>44323.702997685185</v>
      </c>
      <c r="H720">
        <v>33</v>
      </c>
      <c r="I720">
        <v>18700</v>
      </c>
      <c r="J720" t="s">
        <v>50</v>
      </c>
      <c r="K720" t="s">
        <v>50</v>
      </c>
      <c r="L720" t="s">
        <v>159</v>
      </c>
      <c r="M720" t="s">
        <v>51</v>
      </c>
      <c r="N720" t="s">
        <v>92</v>
      </c>
      <c r="O720" s="1">
        <v>41335</v>
      </c>
      <c r="P720" t="s">
        <v>84</v>
      </c>
      <c r="Q720">
        <v>2</v>
      </c>
      <c r="R720" t="s">
        <v>94</v>
      </c>
      <c r="S720">
        <v>6.7238790000000002</v>
      </c>
      <c r="T720">
        <v>86.819000000000003</v>
      </c>
      <c r="U720">
        <v>584</v>
      </c>
    </row>
    <row r="721" spans="1:21" x14ac:dyDescent="0.3">
      <c r="A721" s="1">
        <v>44287</v>
      </c>
      <c r="B721" s="1">
        <v>44287</v>
      </c>
      <c r="C721" t="s">
        <v>157</v>
      </c>
      <c r="D721" t="s">
        <v>55</v>
      </c>
      <c r="E721" t="s">
        <v>56</v>
      </c>
      <c r="F721" t="s">
        <v>287</v>
      </c>
      <c r="G721" s="53">
        <v>44323.702997685185</v>
      </c>
      <c r="H721">
        <v>33</v>
      </c>
      <c r="I721">
        <v>18700</v>
      </c>
      <c r="J721" t="s">
        <v>50</v>
      </c>
      <c r="K721" t="s">
        <v>50</v>
      </c>
      <c r="L721" t="s">
        <v>159</v>
      </c>
      <c r="M721" t="s">
        <v>51</v>
      </c>
      <c r="N721" t="s">
        <v>92</v>
      </c>
      <c r="O721" s="1">
        <v>41335</v>
      </c>
      <c r="P721" t="s">
        <v>84</v>
      </c>
      <c r="Q721">
        <v>2</v>
      </c>
      <c r="R721" t="s">
        <v>94</v>
      </c>
      <c r="S721">
        <v>6.7238790000000002</v>
      </c>
      <c r="T721">
        <v>0</v>
      </c>
      <c r="U721">
        <v>0</v>
      </c>
    </row>
    <row r="722" spans="1:21" x14ac:dyDescent="0.3">
      <c r="A722" s="1">
        <v>44287</v>
      </c>
      <c r="B722" s="1">
        <v>44287</v>
      </c>
      <c r="C722" t="s">
        <v>157</v>
      </c>
      <c r="D722" t="s">
        <v>52</v>
      </c>
      <c r="E722" t="s">
        <v>53</v>
      </c>
      <c r="F722" t="s">
        <v>288</v>
      </c>
      <c r="G722" s="53">
        <v>44323.702997685185</v>
      </c>
      <c r="H722">
        <v>33</v>
      </c>
      <c r="I722">
        <v>18700</v>
      </c>
      <c r="J722" t="s">
        <v>50</v>
      </c>
      <c r="K722" t="s">
        <v>50</v>
      </c>
      <c r="L722" t="s">
        <v>159</v>
      </c>
      <c r="M722" t="s">
        <v>51</v>
      </c>
      <c r="N722" t="s">
        <v>92</v>
      </c>
      <c r="O722" s="1">
        <v>41335</v>
      </c>
      <c r="P722" t="s">
        <v>84</v>
      </c>
      <c r="Q722">
        <v>2</v>
      </c>
      <c r="R722" t="s">
        <v>94</v>
      </c>
      <c r="S722">
        <v>0</v>
      </c>
      <c r="T722">
        <v>0</v>
      </c>
      <c r="U722">
        <v>0</v>
      </c>
    </row>
    <row r="723" spans="1:21" x14ac:dyDescent="0.3">
      <c r="A723" s="1">
        <v>44287</v>
      </c>
      <c r="B723" s="1">
        <v>44287</v>
      </c>
      <c r="C723" t="s">
        <v>157</v>
      </c>
      <c r="D723" t="s">
        <v>54</v>
      </c>
      <c r="E723" t="s">
        <v>21</v>
      </c>
      <c r="F723" t="s">
        <v>285</v>
      </c>
      <c r="G723" s="53">
        <v>44323.702997685185</v>
      </c>
      <c r="H723">
        <v>33</v>
      </c>
      <c r="I723">
        <v>18700</v>
      </c>
      <c r="J723" t="s">
        <v>50</v>
      </c>
      <c r="K723" t="s">
        <v>50</v>
      </c>
      <c r="L723" t="s">
        <v>159</v>
      </c>
      <c r="M723" t="s">
        <v>51</v>
      </c>
      <c r="N723" t="s">
        <v>92</v>
      </c>
      <c r="O723" s="1">
        <v>41335</v>
      </c>
      <c r="P723" t="s">
        <v>84</v>
      </c>
      <c r="Q723">
        <v>2</v>
      </c>
      <c r="R723" t="s">
        <v>94</v>
      </c>
      <c r="S723">
        <v>0</v>
      </c>
      <c r="T723">
        <v>6007.3739999999998</v>
      </c>
      <c r="U723">
        <v>0</v>
      </c>
    </row>
    <row r="724" spans="1:21" x14ac:dyDescent="0.3">
      <c r="A724" s="1">
        <v>44287</v>
      </c>
      <c r="B724" s="1">
        <v>44287</v>
      </c>
      <c r="C724" t="s">
        <v>157</v>
      </c>
      <c r="D724" t="s">
        <v>52</v>
      </c>
      <c r="E724" t="s">
        <v>53</v>
      </c>
      <c r="F724" t="s">
        <v>288</v>
      </c>
      <c r="G724" s="53">
        <v>44323.702997685185</v>
      </c>
      <c r="H724">
        <v>33</v>
      </c>
      <c r="I724">
        <v>18700</v>
      </c>
      <c r="J724" t="s">
        <v>50</v>
      </c>
      <c r="K724" t="s">
        <v>50</v>
      </c>
      <c r="L724" t="s">
        <v>159</v>
      </c>
      <c r="M724" t="s">
        <v>51</v>
      </c>
      <c r="N724" t="s">
        <v>92</v>
      </c>
      <c r="O724" s="1">
        <v>41335</v>
      </c>
      <c r="P724" t="s">
        <v>84</v>
      </c>
      <c r="Q724">
        <v>3</v>
      </c>
      <c r="R724" t="s">
        <v>81</v>
      </c>
      <c r="S724">
        <v>0</v>
      </c>
      <c r="T724">
        <v>0</v>
      </c>
      <c r="U724">
        <v>0</v>
      </c>
    </row>
    <row r="725" spans="1:21" x14ac:dyDescent="0.3">
      <c r="A725" s="1">
        <v>44287</v>
      </c>
      <c r="B725" s="1">
        <v>44287</v>
      </c>
      <c r="C725" t="s">
        <v>157</v>
      </c>
      <c r="D725" t="s">
        <v>48</v>
      </c>
      <c r="E725" t="s">
        <v>49</v>
      </c>
      <c r="F725" t="s">
        <v>286</v>
      </c>
      <c r="G725" s="53">
        <v>44323.702997685185</v>
      </c>
      <c r="H725">
        <v>33</v>
      </c>
      <c r="I725">
        <v>18700</v>
      </c>
      <c r="J725" t="s">
        <v>50</v>
      </c>
      <c r="K725" t="s">
        <v>50</v>
      </c>
      <c r="L725" t="s">
        <v>159</v>
      </c>
      <c r="M725" t="s">
        <v>51</v>
      </c>
      <c r="N725" t="s">
        <v>92</v>
      </c>
      <c r="O725" s="1">
        <v>41335</v>
      </c>
      <c r="P725" t="s">
        <v>84</v>
      </c>
      <c r="Q725">
        <v>3</v>
      </c>
      <c r="R725" t="s">
        <v>81</v>
      </c>
      <c r="S725">
        <v>210.80923799999999</v>
      </c>
      <c r="T725">
        <v>78.597999999999999</v>
      </c>
      <c r="U725">
        <v>16569</v>
      </c>
    </row>
    <row r="726" spans="1:21" x14ac:dyDescent="0.3">
      <c r="A726" s="1">
        <v>44287</v>
      </c>
      <c r="B726" s="1">
        <v>44287</v>
      </c>
      <c r="C726" t="s">
        <v>157</v>
      </c>
      <c r="D726" t="s">
        <v>54</v>
      </c>
      <c r="E726" t="s">
        <v>21</v>
      </c>
      <c r="F726" t="s">
        <v>285</v>
      </c>
      <c r="G726" s="53">
        <v>44323.702997685185</v>
      </c>
      <c r="H726">
        <v>33</v>
      </c>
      <c r="I726">
        <v>18700</v>
      </c>
      <c r="J726" t="s">
        <v>50</v>
      </c>
      <c r="K726" t="s">
        <v>50</v>
      </c>
      <c r="L726" t="s">
        <v>159</v>
      </c>
      <c r="M726" t="s">
        <v>51</v>
      </c>
      <c r="N726" t="s">
        <v>92</v>
      </c>
      <c r="O726" s="1">
        <v>41335</v>
      </c>
      <c r="P726" t="s">
        <v>84</v>
      </c>
      <c r="Q726">
        <v>3</v>
      </c>
      <c r="R726" t="s">
        <v>81</v>
      </c>
      <c r="S726">
        <v>0</v>
      </c>
      <c r="T726">
        <v>5302.482</v>
      </c>
      <c r="U726">
        <v>0</v>
      </c>
    </row>
    <row r="727" spans="1:21" x14ac:dyDescent="0.3">
      <c r="A727" s="1">
        <v>44287</v>
      </c>
      <c r="B727" s="1">
        <v>44287</v>
      </c>
      <c r="C727" t="s">
        <v>157</v>
      </c>
      <c r="D727" t="s">
        <v>55</v>
      </c>
      <c r="E727" t="s">
        <v>56</v>
      </c>
      <c r="F727" t="s">
        <v>287</v>
      </c>
      <c r="G727" s="53">
        <v>44323.702997685185</v>
      </c>
      <c r="H727">
        <v>33</v>
      </c>
      <c r="I727">
        <v>18700</v>
      </c>
      <c r="J727" t="s">
        <v>50</v>
      </c>
      <c r="K727" t="s">
        <v>50</v>
      </c>
      <c r="L727" t="s">
        <v>159</v>
      </c>
      <c r="M727" t="s">
        <v>51</v>
      </c>
      <c r="N727" t="s">
        <v>92</v>
      </c>
      <c r="O727" s="1">
        <v>41335</v>
      </c>
      <c r="P727" t="s">
        <v>84</v>
      </c>
      <c r="Q727">
        <v>3</v>
      </c>
      <c r="R727" t="s">
        <v>81</v>
      </c>
      <c r="S727">
        <v>210.80923799999999</v>
      </c>
      <c r="T727">
        <v>0</v>
      </c>
      <c r="U727">
        <v>0</v>
      </c>
    </row>
    <row r="728" spans="1:21" x14ac:dyDescent="0.3">
      <c r="A728" s="1">
        <v>44287</v>
      </c>
      <c r="B728" s="1">
        <v>44287</v>
      </c>
      <c r="C728" t="s">
        <v>157</v>
      </c>
      <c r="D728" t="s">
        <v>55</v>
      </c>
      <c r="E728" t="s">
        <v>56</v>
      </c>
      <c r="F728" t="s">
        <v>287</v>
      </c>
      <c r="G728" s="53">
        <v>44323.702997685185</v>
      </c>
      <c r="H728">
        <v>33</v>
      </c>
      <c r="I728">
        <v>18700</v>
      </c>
      <c r="J728" t="s">
        <v>50</v>
      </c>
      <c r="K728" t="s">
        <v>50</v>
      </c>
      <c r="L728" t="s">
        <v>159</v>
      </c>
      <c r="M728" t="s">
        <v>51</v>
      </c>
      <c r="N728" t="s">
        <v>92</v>
      </c>
      <c r="O728" s="1">
        <v>41335</v>
      </c>
      <c r="P728" t="s">
        <v>84</v>
      </c>
      <c r="Q728">
        <v>4</v>
      </c>
      <c r="R728" t="s">
        <v>27</v>
      </c>
      <c r="S728">
        <v>2386.3591110000002</v>
      </c>
      <c r="T728">
        <v>0</v>
      </c>
      <c r="U728">
        <v>0</v>
      </c>
    </row>
    <row r="729" spans="1:21" x14ac:dyDescent="0.3">
      <c r="A729" s="1">
        <v>44287</v>
      </c>
      <c r="B729" s="1">
        <v>44287</v>
      </c>
      <c r="C729" t="s">
        <v>157</v>
      </c>
      <c r="D729" t="s">
        <v>48</v>
      </c>
      <c r="E729" t="s">
        <v>49</v>
      </c>
      <c r="F729" t="s">
        <v>286</v>
      </c>
      <c r="G729" s="53">
        <v>44323.702997685185</v>
      </c>
      <c r="H729">
        <v>33</v>
      </c>
      <c r="I729">
        <v>18700</v>
      </c>
      <c r="J729" t="s">
        <v>50</v>
      </c>
      <c r="K729" t="s">
        <v>50</v>
      </c>
      <c r="L729" t="s">
        <v>159</v>
      </c>
      <c r="M729" t="s">
        <v>51</v>
      </c>
      <c r="N729" t="s">
        <v>92</v>
      </c>
      <c r="O729" s="1">
        <v>41335</v>
      </c>
      <c r="P729" t="s">
        <v>84</v>
      </c>
      <c r="Q729">
        <v>4</v>
      </c>
      <c r="R729" t="s">
        <v>27</v>
      </c>
      <c r="S729">
        <v>2386.3591110000002</v>
      </c>
      <c r="T729">
        <v>80.213999999999999</v>
      </c>
      <c r="U729">
        <v>191419</v>
      </c>
    </row>
    <row r="730" spans="1:21" x14ac:dyDescent="0.3">
      <c r="A730" s="1">
        <v>44287</v>
      </c>
      <c r="B730" s="1">
        <v>44287</v>
      </c>
      <c r="C730" t="s">
        <v>157</v>
      </c>
      <c r="D730" t="s">
        <v>54</v>
      </c>
      <c r="E730" t="s">
        <v>21</v>
      </c>
      <c r="F730" t="s">
        <v>285</v>
      </c>
      <c r="G730" s="53">
        <v>44323.702997685185</v>
      </c>
      <c r="H730">
        <v>33</v>
      </c>
      <c r="I730">
        <v>18700</v>
      </c>
      <c r="J730" t="s">
        <v>50</v>
      </c>
      <c r="K730" t="s">
        <v>50</v>
      </c>
      <c r="L730" t="s">
        <v>159</v>
      </c>
      <c r="M730" t="s">
        <v>51</v>
      </c>
      <c r="N730" t="s">
        <v>92</v>
      </c>
      <c r="O730" s="1">
        <v>41335</v>
      </c>
      <c r="P730" t="s">
        <v>84</v>
      </c>
      <c r="Q730">
        <v>4</v>
      </c>
      <c r="R730" t="s">
        <v>27</v>
      </c>
      <c r="S730">
        <v>0</v>
      </c>
      <c r="T730">
        <v>5512.8180000000002</v>
      </c>
      <c r="U730">
        <v>0</v>
      </c>
    </row>
    <row r="731" spans="1:21" x14ac:dyDescent="0.3">
      <c r="A731" s="1">
        <v>44287</v>
      </c>
      <c r="B731" s="1">
        <v>44287</v>
      </c>
      <c r="C731" t="s">
        <v>157</v>
      </c>
      <c r="D731" t="s">
        <v>52</v>
      </c>
      <c r="E731" t="s">
        <v>53</v>
      </c>
      <c r="F731" t="s">
        <v>288</v>
      </c>
      <c r="G731" s="53">
        <v>44323.702997685185</v>
      </c>
      <c r="H731">
        <v>33</v>
      </c>
      <c r="I731">
        <v>18700</v>
      </c>
      <c r="J731" t="s">
        <v>50</v>
      </c>
      <c r="K731" t="s">
        <v>50</v>
      </c>
      <c r="L731" t="s">
        <v>159</v>
      </c>
      <c r="M731" t="s">
        <v>51</v>
      </c>
      <c r="N731" t="s">
        <v>92</v>
      </c>
      <c r="O731" s="1">
        <v>41335</v>
      </c>
      <c r="P731" t="s">
        <v>84</v>
      </c>
      <c r="Q731">
        <v>4</v>
      </c>
      <c r="R731" t="s">
        <v>27</v>
      </c>
      <c r="S731">
        <v>0</v>
      </c>
      <c r="T731">
        <v>0</v>
      </c>
      <c r="U731">
        <v>0</v>
      </c>
    </row>
    <row r="732" spans="1:21" x14ac:dyDescent="0.3">
      <c r="A732" s="1">
        <v>44287</v>
      </c>
      <c r="B732" s="1">
        <v>44287</v>
      </c>
      <c r="C732" t="s">
        <v>157</v>
      </c>
      <c r="D732" t="s">
        <v>52</v>
      </c>
      <c r="E732" t="s">
        <v>53</v>
      </c>
      <c r="F732" t="s">
        <v>288</v>
      </c>
      <c r="G732" s="53">
        <v>44323.702997685185</v>
      </c>
      <c r="H732">
        <v>33</v>
      </c>
      <c r="I732">
        <v>18700</v>
      </c>
      <c r="J732" t="s">
        <v>50</v>
      </c>
      <c r="K732" t="s">
        <v>50</v>
      </c>
      <c r="L732" t="s">
        <v>159</v>
      </c>
      <c r="M732" t="s">
        <v>51</v>
      </c>
      <c r="N732" t="s">
        <v>92</v>
      </c>
      <c r="O732" s="1">
        <v>41335</v>
      </c>
      <c r="P732" t="s">
        <v>84</v>
      </c>
      <c r="Q732">
        <v>5</v>
      </c>
      <c r="R732" t="s">
        <v>28</v>
      </c>
      <c r="S732">
        <v>0</v>
      </c>
      <c r="T732">
        <v>0</v>
      </c>
      <c r="U732">
        <v>0</v>
      </c>
    </row>
    <row r="733" spans="1:21" x14ac:dyDescent="0.3">
      <c r="A733" s="1">
        <v>44287</v>
      </c>
      <c r="B733" s="1">
        <v>44287</v>
      </c>
      <c r="C733" t="s">
        <v>157</v>
      </c>
      <c r="D733" t="s">
        <v>55</v>
      </c>
      <c r="E733" t="s">
        <v>56</v>
      </c>
      <c r="F733" t="s">
        <v>287</v>
      </c>
      <c r="G733" s="53">
        <v>44323.702997685185</v>
      </c>
      <c r="H733">
        <v>33</v>
      </c>
      <c r="I733">
        <v>18700</v>
      </c>
      <c r="J733" t="s">
        <v>50</v>
      </c>
      <c r="K733" t="s">
        <v>50</v>
      </c>
      <c r="L733" t="s">
        <v>159</v>
      </c>
      <c r="M733" t="s">
        <v>51</v>
      </c>
      <c r="N733" t="s">
        <v>92</v>
      </c>
      <c r="O733" s="1">
        <v>41335</v>
      </c>
      <c r="P733" t="s">
        <v>84</v>
      </c>
      <c r="Q733">
        <v>5</v>
      </c>
      <c r="R733" t="s">
        <v>28</v>
      </c>
      <c r="S733">
        <v>7.1214380000000004</v>
      </c>
      <c r="T733">
        <v>0</v>
      </c>
      <c r="U733">
        <v>0</v>
      </c>
    </row>
    <row r="734" spans="1:21" x14ac:dyDescent="0.3">
      <c r="A734" s="1">
        <v>44287</v>
      </c>
      <c r="B734" s="1">
        <v>44287</v>
      </c>
      <c r="C734" t="s">
        <v>157</v>
      </c>
      <c r="D734" t="s">
        <v>54</v>
      </c>
      <c r="E734" t="s">
        <v>21</v>
      </c>
      <c r="F734" t="s">
        <v>285</v>
      </c>
      <c r="G734" s="53">
        <v>44323.702997685185</v>
      </c>
      <c r="H734">
        <v>33</v>
      </c>
      <c r="I734">
        <v>18700</v>
      </c>
      <c r="J734" t="s">
        <v>50</v>
      </c>
      <c r="K734" t="s">
        <v>50</v>
      </c>
      <c r="L734" t="s">
        <v>159</v>
      </c>
      <c r="M734" t="s">
        <v>51</v>
      </c>
      <c r="N734" t="s">
        <v>92</v>
      </c>
      <c r="O734" s="1">
        <v>41335</v>
      </c>
      <c r="P734" t="s">
        <v>84</v>
      </c>
      <c r="Q734">
        <v>5</v>
      </c>
      <c r="R734" t="s">
        <v>28</v>
      </c>
      <c r="S734">
        <v>0</v>
      </c>
      <c r="T734">
        <v>5963.2809999999999</v>
      </c>
      <c r="U734">
        <v>0</v>
      </c>
    </row>
    <row r="735" spans="1:21" x14ac:dyDescent="0.3">
      <c r="A735" s="1">
        <v>44287</v>
      </c>
      <c r="B735" s="1">
        <v>44287</v>
      </c>
      <c r="C735" t="s">
        <v>157</v>
      </c>
      <c r="D735" t="s">
        <v>48</v>
      </c>
      <c r="E735" t="s">
        <v>49</v>
      </c>
      <c r="F735" t="s">
        <v>286</v>
      </c>
      <c r="G735" s="53">
        <v>44323.702997685185</v>
      </c>
      <c r="H735">
        <v>33</v>
      </c>
      <c r="I735">
        <v>18700</v>
      </c>
      <c r="J735" t="s">
        <v>50</v>
      </c>
      <c r="K735" t="s">
        <v>50</v>
      </c>
      <c r="L735" t="s">
        <v>159</v>
      </c>
      <c r="M735" t="s">
        <v>51</v>
      </c>
      <c r="N735" t="s">
        <v>92</v>
      </c>
      <c r="O735" s="1">
        <v>41335</v>
      </c>
      <c r="P735" t="s">
        <v>84</v>
      </c>
      <c r="Q735">
        <v>5</v>
      </c>
      <c r="R735" t="s">
        <v>28</v>
      </c>
      <c r="S735">
        <v>7.1214380000000004</v>
      </c>
      <c r="T735">
        <v>86.617999999999995</v>
      </c>
      <c r="U735">
        <v>617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735"/>
  <sheetViews>
    <sheetView zoomScale="60" zoomScaleNormal="60" workbookViewId="0">
      <selection activeCell="V1" sqref="V1:V1048576"/>
    </sheetView>
  </sheetViews>
  <sheetFormatPr baseColWidth="10" defaultRowHeight="14.4" x14ac:dyDescent="0.3"/>
  <cols>
    <col min="1" max="1" width="12" customWidth="1"/>
    <col min="2" max="2" width="21.109375" style="1" bestFit="1" customWidth="1"/>
    <col min="3" max="3" width="45.88671875" bestFit="1" customWidth="1"/>
    <col min="4" max="4" width="37.33203125" bestFit="1" customWidth="1"/>
    <col min="5" max="5" width="15.88671875" bestFit="1" customWidth="1"/>
    <col min="6" max="6" width="64" bestFit="1" customWidth="1"/>
    <col min="7" max="7" width="18.33203125" bestFit="1" customWidth="1"/>
    <col min="8" max="8" width="21.88671875" bestFit="1" customWidth="1"/>
    <col min="9" max="9" width="8.44140625" bestFit="1" customWidth="1"/>
    <col min="10" max="10" width="13.44140625" bestFit="1" customWidth="1"/>
    <col min="11" max="11" width="15.5546875" bestFit="1" customWidth="1"/>
    <col min="12" max="12" width="10.5546875" bestFit="1" customWidth="1"/>
    <col min="13" max="13" width="12.5546875" bestFit="1" customWidth="1"/>
    <col min="14" max="14" width="16.109375" bestFit="1" customWidth="1"/>
    <col min="15" max="15" width="14" bestFit="1" customWidth="1"/>
    <col min="16" max="16" width="21.88671875" bestFit="1" customWidth="1"/>
    <col min="17" max="17" width="7.5546875" bestFit="1" customWidth="1"/>
    <col min="18" max="18" width="17" bestFit="1" customWidth="1"/>
    <col min="19" max="19" width="15.44140625" bestFit="1" customWidth="1"/>
    <col min="20" max="20" width="19.109375" bestFit="1" customWidth="1"/>
    <col min="21" max="21" width="13" bestFit="1" customWidth="1"/>
    <col min="22" max="22" width="21.33203125" bestFit="1" customWidth="1"/>
    <col min="23" max="23" width="10.109375" bestFit="1" customWidth="1"/>
  </cols>
  <sheetData>
    <row r="1" spans="1:23" s="2" customFormat="1" x14ac:dyDescent="0.3">
      <c r="A1" s="34" t="s">
        <v>29</v>
      </c>
      <c r="B1" s="34" t="s">
        <v>1</v>
      </c>
      <c r="C1" s="34" t="s">
        <v>30</v>
      </c>
      <c r="D1" s="34" t="s">
        <v>34</v>
      </c>
      <c r="E1" s="34" t="s">
        <v>35</v>
      </c>
      <c r="F1" s="34" t="s">
        <v>36</v>
      </c>
      <c r="G1" s="34" t="s">
        <v>37</v>
      </c>
      <c r="H1" s="34" t="s">
        <v>38</v>
      </c>
      <c r="I1" s="34" t="s">
        <v>39</v>
      </c>
      <c r="J1" s="34" t="s">
        <v>40</v>
      </c>
      <c r="K1" s="34" t="s">
        <v>41</v>
      </c>
      <c r="L1" s="34" t="s">
        <v>42</v>
      </c>
      <c r="M1" s="34" t="s">
        <v>43</v>
      </c>
      <c r="N1" s="34" t="s">
        <v>44</v>
      </c>
      <c r="O1" s="34" t="s">
        <v>45</v>
      </c>
      <c r="P1" s="34" t="s">
        <v>46</v>
      </c>
      <c r="Q1" s="34" t="s">
        <v>31</v>
      </c>
      <c r="R1" s="34" t="s">
        <v>32</v>
      </c>
      <c r="S1" s="34" t="s">
        <v>18</v>
      </c>
      <c r="T1" s="34" t="s">
        <v>19</v>
      </c>
      <c r="U1" s="34" t="s">
        <v>21</v>
      </c>
      <c r="V1" s="2" t="s">
        <v>22</v>
      </c>
      <c r="W1" s="2" t="s">
        <v>33</v>
      </c>
    </row>
    <row r="2" spans="1:23" x14ac:dyDescent="0.3">
      <c r="A2" s="1">
        <v>43344</v>
      </c>
      <c r="B2" s="1">
        <v>43344</v>
      </c>
      <c r="C2" t="s">
        <v>157</v>
      </c>
      <c r="D2" t="s">
        <v>48</v>
      </c>
      <c r="E2" t="s">
        <v>49</v>
      </c>
      <c r="F2" t="s">
        <v>158</v>
      </c>
      <c r="G2" s="53">
        <v>43392</v>
      </c>
      <c r="H2">
        <v>33</v>
      </c>
      <c r="I2">
        <v>6305</v>
      </c>
      <c r="J2" t="s">
        <v>50</v>
      </c>
      <c r="K2" t="s">
        <v>50</v>
      </c>
      <c r="L2" t="s">
        <v>159</v>
      </c>
      <c r="M2" t="s">
        <v>51</v>
      </c>
      <c r="N2" t="s">
        <v>92</v>
      </c>
      <c r="O2" s="1">
        <v>41335</v>
      </c>
      <c r="P2" t="s">
        <v>84</v>
      </c>
      <c r="Q2">
        <v>1</v>
      </c>
      <c r="R2" t="s">
        <v>47</v>
      </c>
      <c r="S2">
        <v>3000</v>
      </c>
      <c r="T2">
        <v>58.085000000000001</v>
      </c>
      <c r="U2" t="s">
        <v>349</v>
      </c>
      <c r="V2" t="s">
        <v>349</v>
      </c>
      <c r="W2">
        <v>174255</v>
      </c>
    </row>
    <row r="3" spans="1:23" x14ac:dyDescent="0.3">
      <c r="A3" s="1">
        <v>43374</v>
      </c>
      <c r="B3" s="1">
        <v>43374</v>
      </c>
      <c r="C3" t="s">
        <v>157</v>
      </c>
      <c r="D3" t="s">
        <v>48</v>
      </c>
      <c r="E3" t="s">
        <v>49</v>
      </c>
      <c r="F3" t="s">
        <v>160</v>
      </c>
      <c r="G3" s="53">
        <v>43431</v>
      </c>
      <c r="H3">
        <v>33</v>
      </c>
      <c r="I3">
        <v>6796</v>
      </c>
      <c r="J3" t="s">
        <v>50</v>
      </c>
      <c r="K3" t="s">
        <v>50</v>
      </c>
      <c r="L3" t="s">
        <v>159</v>
      </c>
      <c r="M3" t="s">
        <v>51</v>
      </c>
      <c r="N3" t="s">
        <v>92</v>
      </c>
      <c r="O3" s="1">
        <v>41335</v>
      </c>
      <c r="P3" t="s">
        <v>84</v>
      </c>
      <c r="Q3">
        <v>1</v>
      </c>
      <c r="R3" t="s">
        <v>47</v>
      </c>
      <c r="S3">
        <v>3000</v>
      </c>
      <c r="T3">
        <v>59.677999999999997</v>
      </c>
      <c r="U3" t="s">
        <v>349</v>
      </c>
      <c r="V3" t="s">
        <v>349</v>
      </c>
      <c r="W3">
        <v>179035</v>
      </c>
    </row>
    <row r="4" spans="1:23" x14ac:dyDescent="0.3">
      <c r="A4" s="1">
        <v>43405</v>
      </c>
      <c r="B4" s="1">
        <v>43405</v>
      </c>
      <c r="C4" t="s">
        <v>157</v>
      </c>
      <c r="D4" t="s">
        <v>48</v>
      </c>
      <c r="E4" t="s">
        <v>49</v>
      </c>
      <c r="F4" t="s">
        <v>161</v>
      </c>
      <c r="G4" s="53">
        <v>43448</v>
      </c>
      <c r="H4">
        <v>33</v>
      </c>
      <c r="I4">
        <v>6939</v>
      </c>
      <c r="J4" t="s">
        <v>50</v>
      </c>
      <c r="K4" t="s">
        <v>50</v>
      </c>
      <c r="L4" t="s">
        <v>159</v>
      </c>
      <c r="M4" t="s">
        <v>51</v>
      </c>
      <c r="N4" t="s">
        <v>92</v>
      </c>
      <c r="O4" s="1">
        <v>41335</v>
      </c>
      <c r="P4" t="s">
        <v>84</v>
      </c>
      <c r="Q4">
        <v>1</v>
      </c>
      <c r="R4" t="s">
        <v>47</v>
      </c>
      <c r="S4">
        <v>4000</v>
      </c>
      <c r="T4">
        <v>59.634999999999998</v>
      </c>
      <c r="U4" t="s">
        <v>349</v>
      </c>
      <c r="V4" t="s">
        <v>349</v>
      </c>
      <c r="W4">
        <v>238540</v>
      </c>
    </row>
    <row r="5" spans="1:23" x14ac:dyDescent="0.3">
      <c r="A5" s="1">
        <v>43435</v>
      </c>
      <c r="B5" s="1">
        <v>43435</v>
      </c>
      <c r="C5" t="s">
        <v>157</v>
      </c>
      <c r="D5" t="s">
        <v>48</v>
      </c>
      <c r="E5" t="s">
        <v>49</v>
      </c>
      <c r="F5" t="s">
        <v>162</v>
      </c>
      <c r="G5" s="53">
        <v>43486</v>
      </c>
      <c r="H5">
        <v>33</v>
      </c>
      <c r="I5">
        <v>7194</v>
      </c>
      <c r="J5" t="s">
        <v>50</v>
      </c>
      <c r="K5" t="s">
        <v>50</v>
      </c>
      <c r="L5" t="s">
        <v>159</v>
      </c>
      <c r="M5" t="s">
        <v>51</v>
      </c>
      <c r="N5" t="s">
        <v>92</v>
      </c>
      <c r="O5" s="1">
        <v>41335</v>
      </c>
      <c r="P5" t="s">
        <v>84</v>
      </c>
      <c r="Q5">
        <v>1</v>
      </c>
      <c r="R5" t="s">
        <v>47</v>
      </c>
      <c r="S5">
        <v>5000</v>
      </c>
      <c r="T5">
        <v>67.950999999999993</v>
      </c>
      <c r="U5" t="s">
        <v>349</v>
      </c>
      <c r="V5" t="s">
        <v>349</v>
      </c>
      <c r="W5">
        <v>339757</v>
      </c>
    </row>
    <row r="6" spans="1:23" x14ac:dyDescent="0.3">
      <c r="A6" s="1">
        <v>43466</v>
      </c>
      <c r="B6" s="1">
        <v>43466</v>
      </c>
      <c r="C6" t="s">
        <v>157</v>
      </c>
      <c r="D6" t="s">
        <v>93</v>
      </c>
      <c r="E6" t="s">
        <v>49</v>
      </c>
      <c r="F6" t="s">
        <v>163</v>
      </c>
      <c r="G6" s="53">
        <v>43539</v>
      </c>
      <c r="H6">
        <v>33</v>
      </c>
      <c r="I6" t="s">
        <v>349</v>
      </c>
      <c r="J6" t="s">
        <v>50</v>
      </c>
      <c r="K6" t="s">
        <v>50</v>
      </c>
      <c r="L6" t="s">
        <v>159</v>
      </c>
      <c r="M6" t="s">
        <v>51</v>
      </c>
      <c r="N6" t="s">
        <v>92</v>
      </c>
      <c r="O6" s="1">
        <v>41335</v>
      </c>
      <c r="P6" t="s">
        <v>84</v>
      </c>
      <c r="Q6">
        <v>1</v>
      </c>
      <c r="R6" t="s">
        <v>83</v>
      </c>
      <c r="S6">
        <v>1.4618800000000001</v>
      </c>
      <c r="T6">
        <v>66.900000000000006</v>
      </c>
      <c r="U6" t="s">
        <v>349</v>
      </c>
      <c r="V6" t="s">
        <v>349</v>
      </c>
      <c r="W6">
        <v>98</v>
      </c>
    </row>
    <row r="7" spans="1:23" x14ac:dyDescent="0.3">
      <c r="A7" s="1">
        <v>43466</v>
      </c>
      <c r="B7" s="1">
        <v>43466</v>
      </c>
      <c r="C7" t="s">
        <v>157</v>
      </c>
      <c r="D7" t="s">
        <v>48</v>
      </c>
      <c r="E7" t="s">
        <v>49</v>
      </c>
      <c r="F7" t="s">
        <v>164</v>
      </c>
      <c r="G7" s="53">
        <v>43504</v>
      </c>
      <c r="H7">
        <v>33</v>
      </c>
      <c r="I7">
        <v>7513</v>
      </c>
      <c r="J7" t="s">
        <v>50</v>
      </c>
      <c r="K7" t="s">
        <v>50</v>
      </c>
      <c r="L7" t="s">
        <v>159</v>
      </c>
      <c r="M7" t="s">
        <v>51</v>
      </c>
      <c r="N7" t="s">
        <v>92</v>
      </c>
      <c r="O7" s="1">
        <v>41335</v>
      </c>
      <c r="P7" t="s">
        <v>84</v>
      </c>
      <c r="Q7">
        <v>1</v>
      </c>
      <c r="R7" t="s">
        <v>83</v>
      </c>
      <c r="S7">
        <v>1371.3060350000001</v>
      </c>
      <c r="T7">
        <v>66.900000000000006</v>
      </c>
      <c r="U7" t="s">
        <v>349</v>
      </c>
      <c r="V7" t="s">
        <v>349</v>
      </c>
      <c r="W7">
        <v>91740</v>
      </c>
    </row>
    <row r="8" spans="1:23" x14ac:dyDescent="0.3">
      <c r="A8" s="1">
        <v>43466</v>
      </c>
      <c r="B8" s="1">
        <v>43466</v>
      </c>
      <c r="C8" t="s">
        <v>157</v>
      </c>
      <c r="D8" t="s">
        <v>93</v>
      </c>
      <c r="E8" t="s">
        <v>49</v>
      </c>
      <c r="F8" t="s">
        <v>163</v>
      </c>
      <c r="G8" s="53">
        <v>43539</v>
      </c>
      <c r="H8">
        <v>33</v>
      </c>
      <c r="I8" t="s">
        <v>349</v>
      </c>
      <c r="J8" t="s">
        <v>50</v>
      </c>
      <c r="K8" t="s">
        <v>50</v>
      </c>
      <c r="L8" t="s">
        <v>159</v>
      </c>
      <c r="M8" t="s">
        <v>51</v>
      </c>
      <c r="N8" t="s">
        <v>92</v>
      </c>
      <c r="O8" s="1">
        <v>41335</v>
      </c>
      <c r="P8" t="s">
        <v>84</v>
      </c>
      <c r="Q8">
        <v>2</v>
      </c>
      <c r="R8" t="s">
        <v>94</v>
      </c>
      <c r="S8">
        <v>9.3880000000000005E-3</v>
      </c>
      <c r="T8">
        <v>69.013999999999996</v>
      </c>
      <c r="U8" t="s">
        <v>349</v>
      </c>
      <c r="V8" t="s">
        <v>349</v>
      </c>
      <c r="W8">
        <v>1</v>
      </c>
    </row>
    <row r="9" spans="1:23" x14ac:dyDescent="0.3">
      <c r="A9" s="1">
        <v>43466</v>
      </c>
      <c r="B9" s="1">
        <v>43466</v>
      </c>
      <c r="C9" t="s">
        <v>157</v>
      </c>
      <c r="D9" t="s">
        <v>48</v>
      </c>
      <c r="E9" t="s">
        <v>49</v>
      </c>
      <c r="F9" t="s">
        <v>164</v>
      </c>
      <c r="G9" s="53">
        <v>43504</v>
      </c>
      <c r="H9">
        <v>33</v>
      </c>
      <c r="I9">
        <v>7513</v>
      </c>
      <c r="J9" t="s">
        <v>50</v>
      </c>
      <c r="K9" t="s">
        <v>50</v>
      </c>
      <c r="L9" t="s">
        <v>159</v>
      </c>
      <c r="M9" t="s">
        <v>51</v>
      </c>
      <c r="N9" t="s">
        <v>92</v>
      </c>
      <c r="O9" s="1">
        <v>41335</v>
      </c>
      <c r="P9" t="s">
        <v>84</v>
      </c>
      <c r="Q9">
        <v>2</v>
      </c>
      <c r="R9" t="s">
        <v>94</v>
      </c>
      <c r="S9">
        <v>8.8061659999999993</v>
      </c>
      <c r="T9">
        <v>69.013999999999996</v>
      </c>
      <c r="U9" t="s">
        <v>349</v>
      </c>
      <c r="V9" t="s">
        <v>349</v>
      </c>
      <c r="W9">
        <v>608</v>
      </c>
    </row>
    <row r="10" spans="1:23" x14ac:dyDescent="0.3">
      <c r="A10" s="1">
        <v>43466</v>
      </c>
      <c r="B10" s="1">
        <v>43466</v>
      </c>
      <c r="C10" t="s">
        <v>157</v>
      </c>
      <c r="D10" t="s">
        <v>93</v>
      </c>
      <c r="E10" t="s">
        <v>49</v>
      </c>
      <c r="F10" t="s">
        <v>163</v>
      </c>
      <c r="G10" s="53">
        <v>43539</v>
      </c>
      <c r="H10">
        <v>33</v>
      </c>
      <c r="I10" t="s">
        <v>349</v>
      </c>
      <c r="J10" t="s">
        <v>50</v>
      </c>
      <c r="K10" t="s">
        <v>50</v>
      </c>
      <c r="L10" t="s">
        <v>159</v>
      </c>
      <c r="M10" t="s">
        <v>51</v>
      </c>
      <c r="N10" t="s">
        <v>92</v>
      </c>
      <c r="O10" s="1">
        <v>41335</v>
      </c>
      <c r="P10" t="s">
        <v>84</v>
      </c>
      <c r="Q10">
        <v>3</v>
      </c>
      <c r="R10" t="s">
        <v>81</v>
      </c>
      <c r="S10">
        <v>0.45372099999999999</v>
      </c>
      <c r="T10">
        <v>63.27</v>
      </c>
      <c r="U10" t="s">
        <v>349</v>
      </c>
      <c r="V10" t="s">
        <v>349</v>
      </c>
      <c r="W10">
        <v>29</v>
      </c>
    </row>
    <row r="11" spans="1:23" x14ac:dyDescent="0.3">
      <c r="A11" s="1">
        <v>43466</v>
      </c>
      <c r="B11" s="1">
        <v>43466</v>
      </c>
      <c r="C11" t="s">
        <v>157</v>
      </c>
      <c r="D11" t="s">
        <v>48</v>
      </c>
      <c r="E11" t="s">
        <v>49</v>
      </c>
      <c r="F11" t="s">
        <v>164</v>
      </c>
      <c r="G11" s="53">
        <v>43504</v>
      </c>
      <c r="H11">
        <v>33</v>
      </c>
      <c r="I11">
        <v>7513</v>
      </c>
      <c r="J11" t="s">
        <v>50</v>
      </c>
      <c r="K11" t="s">
        <v>50</v>
      </c>
      <c r="L11" t="s">
        <v>159</v>
      </c>
      <c r="M11" t="s">
        <v>51</v>
      </c>
      <c r="N11" t="s">
        <v>92</v>
      </c>
      <c r="O11" s="1">
        <v>41335</v>
      </c>
      <c r="P11" t="s">
        <v>84</v>
      </c>
      <c r="Q11">
        <v>3</v>
      </c>
      <c r="R11" t="s">
        <v>81</v>
      </c>
      <c r="S11">
        <v>425.60960999999998</v>
      </c>
      <c r="T11">
        <v>63.27</v>
      </c>
      <c r="U11" t="s">
        <v>349</v>
      </c>
      <c r="V11" t="s">
        <v>349</v>
      </c>
      <c r="W11">
        <v>26928</v>
      </c>
    </row>
    <row r="12" spans="1:23" x14ac:dyDescent="0.3">
      <c r="A12" s="1">
        <v>43466</v>
      </c>
      <c r="B12" s="1">
        <v>43466</v>
      </c>
      <c r="C12" t="s">
        <v>157</v>
      </c>
      <c r="D12" t="s">
        <v>93</v>
      </c>
      <c r="E12" t="s">
        <v>49</v>
      </c>
      <c r="F12" t="s">
        <v>163</v>
      </c>
      <c r="G12" s="53">
        <v>43539</v>
      </c>
      <c r="H12">
        <v>33</v>
      </c>
      <c r="I12" t="s">
        <v>349</v>
      </c>
      <c r="J12" t="s">
        <v>50</v>
      </c>
      <c r="K12" t="s">
        <v>50</v>
      </c>
      <c r="L12" t="s">
        <v>159</v>
      </c>
      <c r="M12" t="s">
        <v>51</v>
      </c>
      <c r="N12" t="s">
        <v>92</v>
      </c>
      <c r="O12" s="1">
        <v>41335</v>
      </c>
      <c r="P12" t="s">
        <v>84</v>
      </c>
      <c r="Q12">
        <v>4</v>
      </c>
      <c r="R12" t="s">
        <v>27</v>
      </c>
      <c r="S12">
        <v>2.2124519999999999</v>
      </c>
      <c r="T12">
        <v>65.349000000000004</v>
      </c>
      <c r="U12" t="s">
        <v>349</v>
      </c>
      <c r="V12" t="s">
        <v>349</v>
      </c>
      <c r="W12">
        <v>145</v>
      </c>
    </row>
    <row r="13" spans="1:23" x14ac:dyDescent="0.3">
      <c r="A13" s="1">
        <v>43466</v>
      </c>
      <c r="B13" s="1">
        <v>43466</v>
      </c>
      <c r="C13" t="s">
        <v>157</v>
      </c>
      <c r="D13" t="s">
        <v>48</v>
      </c>
      <c r="E13" t="s">
        <v>49</v>
      </c>
      <c r="F13" t="s">
        <v>164</v>
      </c>
      <c r="G13" s="53">
        <v>43504</v>
      </c>
      <c r="H13">
        <v>33</v>
      </c>
      <c r="I13">
        <v>7513</v>
      </c>
      <c r="J13" t="s">
        <v>50</v>
      </c>
      <c r="K13" t="s">
        <v>50</v>
      </c>
      <c r="L13" t="s">
        <v>159</v>
      </c>
      <c r="M13" t="s">
        <v>51</v>
      </c>
      <c r="N13" t="s">
        <v>92</v>
      </c>
      <c r="O13" s="1">
        <v>41335</v>
      </c>
      <c r="P13" t="s">
        <v>84</v>
      </c>
      <c r="Q13">
        <v>4</v>
      </c>
      <c r="R13" t="s">
        <v>27</v>
      </c>
      <c r="S13">
        <v>2075.3740229999999</v>
      </c>
      <c r="T13">
        <v>65.349000000000004</v>
      </c>
      <c r="U13" t="s">
        <v>349</v>
      </c>
      <c r="V13" t="s">
        <v>349</v>
      </c>
      <c r="W13">
        <v>135624</v>
      </c>
    </row>
    <row r="14" spans="1:23" x14ac:dyDescent="0.3">
      <c r="A14" s="1">
        <v>43466</v>
      </c>
      <c r="B14" s="1">
        <v>43466</v>
      </c>
      <c r="C14" t="s">
        <v>157</v>
      </c>
      <c r="D14" t="s">
        <v>93</v>
      </c>
      <c r="E14" t="s">
        <v>49</v>
      </c>
      <c r="F14" t="s">
        <v>163</v>
      </c>
      <c r="G14" s="53">
        <v>43539</v>
      </c>
      <c r="H14">
        <v>33</v>
      </c>
      <c r="I14" t="s">
        <v>349</v>
      </c>
      <c r="J14" t="s">
        <v>50</v>
      </c>
      <c r="K14" t="s">
        <v>50</v>
      </c>
      <c r="L14" t="s">
        <v>159</v>
      </c>
      <c r="M14" t="s">
        <v>51</v>
      </c>
      <c r="N14" t="s">
        <v>92</v>
      </c>
      <c r="O14" s="1">
        <v>41335</v>
      </c>
      <c r="P14" t="s">
        <v>84</v>
      </c>
      <c r="Q14">
        <v>5</v>
      </c>
      <c r="R14" t="s">
        <v>28</v>
      </c>
      <c r="S14">
        <v>8.6370000000000006E-3</v>
      </c>
      <c r="T14">
        <v>69.367999999999995</v>
      </c>
      <c r="U14" t="s">
        <v>349</v>
      </c>
      <c r="V14" t="s">
        <v>349</v>
      </c>
      <c r="W14">
        <v>1</v>
      </c>
    </row>
    <row r="15" spans="1:23" x14ac:dyDescent="0.3">
      <c r="A15" s="1">
        <v>43466</v>
      </c>
      <c r="B15" s="1">
        <v>43466</v>
      </c>
      <c r="C15" t="s">
        <v>157</v>
      </c>
      <c r="D15" t="s">
        <v>48</v>
      </c>
      <c r="E15" t="s">
        <v>49</v>
      </c>
      <c r="F15" t="s">
        <v>164</v>
      </c>
      <c r="G15" s="53">
        <v>43504</v>
      </c>
      <c r="H15">
        <v>33</v>
      </c>
      <c r="I15">
        <v>7513</v>
      </c>
      <c r="J15" t="s">
        <v>50</v>
      </c>
      <c r="K15" t="s">
        <v>50</v>
      </c>
      <c r="L15" t="s">
        <v>159</v>
      </c>
      <c r="M15" t="s">
        <v>51</v>
      </c>
      <c r="N15" t="s">
        <v>92</v>
      </c>
      <c r="O15" s="1">
        <v>41335</v>
      </c>
      <c r="P15" t="s">
        <v>84</v>
      </c>
      <c r="Q15">
        <v>5</v>
      </c>
      <c r="R15" t="s">
        <v>28</v>
      </c>
      <c r="S15">
        <v>8.1020570000000003</v>
      </c>
      <c r="T15">
        <v>69.367999999999995</v>
      </c>
      <c r="U15" t="s">
        <v>349</v>
      </c>
      <c r="V15" t="s">
        <v>349</v>
      </c>
      <c r="W15">
        <v>562</v>
      </c>
    </row>
    <row r="16" spans="1:23" x14ac:dyDescent="0.3">
      <c r="A16" s="1">
        <v>43497</v>
      </c>
      <c r="B16" s="1">
        <v>43497</v>
      </c>
      <c r="C16" t="s">
        <v>157</v>
      </c>
      <c r="D16" t="s">
        <v>93</v>
      </c>
      <c r="E16" t="s">
        <v>49</v>
      </c>
      <c r="F16" t="s">
        <v>166</v>
      </c>
      <c r="G16" s="53">
        <v>43564</v>
      </c>
      <c r="H16">
        <v>61</v>
      </c>
      <c r="I16" t="s">
        <v>349</v>
      </c>
      <c r="J16" t="s">
        <v>50</v>
      </c>
      <c r="K16" t="s">
        <v>50</v>
      </c>
      <c r="L16" t="s">
        <v>159</v>
      </c>
      <c r="M16" t="s">
        <v>51</v>
      </c>
      <c r="N16" t="s">
        <v>92</v>
      </c>
      <c r="O16" s="1">
        <v>41335</v>
      </c>
      <c r="P16" t="s">
        <v>84</v>
      </c>
      <c r="Q16">
        <v>1</v>
      </c>
      <c r="R16" t="s">
        <v>83</v>
      </c>
      <c r="S16">
        <v>0.23349</v>
      </c>
      <c r="T16">
        <v>66.900000000000006</v>
      </c>
      <c r="U16" t="s">
        <v>349</v>
      </c>
      <c r="V16" t="s">
        <v>349</v>
      </c>
      <c r="W16">
        <v>16</v>
      </c>
    </row>
    <row r="17" spans="1:23" x14ac:dyDescent="0.3">
      <c r="A17" s="1">
        <v>43497</v>
      </c>
      <c r="B17" s="1">
        <v>43497</v>
      </c>
      <c r="C17" t="s">
        <v>157</v>
      </c>
      <c r="D17" t="s">
        <v>48</v>
      </c>
      <c r="E17" t="s">
        <v>49</v>
      </c>
      <c r="F17" t="s">
        <v>165</v>
      </c>
      <c r="G17" s="53">
        <v>43532</v>
      </c>
      <c r="H17">
        <v>33</v>
      </c>
      <c r="I17">
        <v>7798</v>
      </c>
      <c r="J17" t="s">
        <v>50</v>
      </c>
      <c r="K17" t="s">
        <v>50</v>
      </c>
      <c r="L17" t="s">
        <v>159</v>
      </c>
      <c r="M17" t="s">
        <v>51</v>
      </c>
      <c r="N17" t="s">
        <v>92</v>
      </c>
      <c r="O17" s="1">
        <v>41335</v>
      </c>
      <c r="P17" t="s">
        <v>84</v>
      </c>
      <c r="Q17">
        <v>1</v>
      </c>
      <c r="R17" t="s">
        <v>83</v>
      </c>
      <c r="S17">
        <v>1368.5298740000001</v>
      </c>
      <c r="T17">
        <v>66.900000000000006</v>
      </c>
      <c r="U17" t="s">
        <v>349</v>
      </c>
      <c r="V17" t="s">
        <v>349</v>
      </c>
      <c r="W17">
        <v>91555</v>
      </c>
    </row>
    <row r="18" spans="1:23" x14ac:dyDescent="0.3">
      <c r="A18" s="1">
        <v>43497</v>
      </c>
      <c r="B18" s="1">
        <v>43497</v>
      </c>
      <c r="C18" t="s">
        <v>157</v>
      </c>
      <c r="D18" t="s">
        <v>48</v>
      </c>
      <c r="E18" t="s">
        <v>49</v>
      </c>
      <c r="F18" t="s">
        <v>165</v>
      </c>
      <c r="G18" s="53">
        <v>43532</v>
      </c>
      <c r="H18">
        <v>33</v>
      </c>
      <c r="I18">
        <v>7798</v>
      </c>
      <c r="J18" t="s">
        <v>50</v>
      </c>
      <c r="K18" t="s">
        <v>50</v>
      </c>
      <c r="L18" t="s">
        <v>159</v>
      </c>
      <c r="M18" t="s">
        <v>51</v>
      </c>
      <c r="N18" t="s">
        <v>92</v>
      </c>
      <c r="O18" s="1">
        <v>41335</v>
      </c>
      <c r="P18" t="s">
        <v>84</v>
      </c>
      <c r="Q18">
        <v>2</v>
      </c>
      <c r="R18" t="s">
        <v>94</v>
      </c>
      <c r="S18">
        <v>8.8166320000000002</v>
      </c>
      <c r="T18">
        <v>69.013999999999996</v>
      </c>
      <c r="U18" t="s">
        <v>349</v>
      </c>
      <c r="V18" t="s">
        <v>349</v>
      </c>
      <c r="W18">
        <v>608</v>
      </c>
    </row>
    <row r="19" spans="1:23" x14ac:dyDescent="0.3">
      <c r="A19" s="1">
        <v>43497</v>
      </c>
      <c r="B19" s="1">
        <v>43497</v>
      </c>
      <c r="C19" t="s">
        <v>157</v>
      </c>
      <c r="D19" t="s">
        <v>93</v>
      </c>
      <c r="E19" t="s">
        <v>49</v>
      </c>
      <c r="F19" t="s">
        <v>166</v>
      </c>
      <c r="G19" s="53">
        <v>43564</v>
      </c>
      <c r="H19">
        <v>61</v>
      </c>
      <c r="I19" t="s">
        <v>349</v>
      </c>
      <c r="J19" t="s">
        <v>50</v>
      </c>
      <c r="K19" t="s">
        <v>50</v>
      </c>
      <c r="L19" t="s">
        <v>159</v>
      </c>
      <c r="M19" t="s">
        <v>51</v>
      </c>
      <c r="N19" t="s">
        <v>92</v>
      </c>
      <c r="O19" s="1">
        <v>41335</v>
      </c>
      <c r="P19" t="s">
        <v>84</v>
      </c>
      <c r="Q19">
        <v>3</v>
      </c>
      <c r="R19" t="s">
        <v>81</v>
      </c>
      <c r="S19">
        <v>7.2089E-2</v>
      </c>
      <c r="T19">
        <v>63.27</v>
      </c>
      <c r="U19" t="s">
        <v>349</v>
      </c>
      <c r="V19" t="s">
        <v>349</v>
      </c>
      <c r="W19">
        <v>5</v>
      </c>
    </row>
    <row r="20" spans="1:23" x14ac:dyDescent="0.3">
      <c r="A20" s="1">
        <v>43497</v>
      </c>
      <c r="B20" s="1">
        <v>43497</v>
      </c>
      <c r="C20" t="s">
        <v>157</v>
      </c>
      <c r="D20" t="s">
        <v>48</v>
      </c>
      <c r="E20" t="s">
        <v>49</v>
      </c>
      <c r="F20" t="s">
        <v>165</v>
      </c>
      <c r="G20" s="53">
        <v>43532</v>
      </c>
      <c r="H20">
        <v>33</v>
      </c>
      <c r="I20">
        <v>7798</v>
      </c>
      <c r="J20" t="s">
        <v>50</v>
      </c>
      <c r="K20" t="s">
        <v>50</v>
      </c>
      <c r="L20" t="s">
        <v>159</v>
      </c>
      <c r="M20" t="s">
        <v>51</v>
      </c>
      <c r="N20" t="s">
        <v>92</v>
      </c>
      <c r="O20" s="1">
        <v>41335</v>
      </c>
      <c r="P20" t="s">
        <v>84</v>
      </c>
      <c r="Q20">
        <v>3</v>
      </c>
      <c r="R20" t="s">
        <v>81</v>
      </c>
      <c r="S20">
        <v>422.52677699999998</v>
      </c>
      <c r="T20">
        <v>63.27</v>
      </c>
      <c r="U20" t="s">
        <v>349</v>
      </c>
      <c r="V20" t="s">
        <v>349</v>
      </c>
      <c r="W20">
        <v>26733</v>
      </c>
    </row>
    <row r="21" spans="1:23" x14ac:dyDescent="0.3">
      <c r="A21" s="1">
        <v>43497</v>
      </c>
      <c r="B21" s="1">
        <v>43497</v>
      </c>
      <c r="C21" t="s">
        <v>157</v>
      </c>
      <c r="D21" t="s">
        <v>93</v>
      </c>
      <c r="E21" t="s">
        <v>49</v>
      </c>
      <c r="F21" t="s">
        <v>166</v>
      </c>
      <c r="G21" s="53">
        <v>43564</v>
      </c>
      <c r="H21">
        <v>61</v>
      </c>
      <c r="I21" t="s">
        <v>349</v>
      </c>
      <c r="J21" t="s">
        <v>50</v>
      </c>
      <c r="K21" t="s">
        <v>50</v>
      </c>
      <c r="L21" t="s">
        <v>159</v>
      </c>
      <c r="M21" t="s">
        <v>51</v>
      </c>
      <c r="N21" t="s">
        <v>92</v>
      </c>
      <c r="O21" s="1">
        <v>41335</v>
      </c>
      <c r="P21" t="s">
        <v>84</v>
      </c>
      <c r="Q21">
        <v>4</v>
      </c>
      <c r="R21" t="s">
        <v>27</v>
      </c>
      <c r="S21">
        <v>0.353269</v>
      </c>
      <c r="T21">
        <v>65.349000000000004</v>
      </c>
      <c r="U21" t="s">
        <v>349</v>
      </c>
      <c r="V21" t="s">
        <v>349</v>
      </c>
      <c r="W21">
        <v>23</v>
      </c>
    </row>
    <row r="22" spans="1:23" x14ac:dyDescent="0.3">
      <c r="A22" s="1">
        <v>43497</v>
      </c>
      <c r="B22" s="1">
        <v>43497</v>
      </c>
      <c r="C22" t="s">
        <v>157</v>
      </c>
      <c r="D22" t="s">
        <v>48</v>
      </c>
      <c r="E22" t="s">
        <v>49</v>
      </c>
      <c r="F22" t="s">
        <v>165</v>
      </c>
      <c r="G22" s="53">
        <v>43532</v>
      </c>
      <c r="H22">
        <v>33</v>
      </c>
      <c r="I22">
        <v>7798</v>
      </c>
      <c r="J22" t="s">
        <v>50</v>
      </c>
      <c r="K22" t="s">
        <v>50</v>
      </c>
      <c r="L22" t="s">
        <v>159</v>
      </c>
      <c r="M22" t="s">
        <v>51</v>
      </c>
      <c r="N22" t="s">
        <v>92</v>
      </c>
      <c r="O22" s="1">
        <v>41335</v>
      </c>
      <c r="P22" t="s">
        <v>84</v>
      </c>
      <c r="Q22">
        <v>4</v>
      </c>
      <c r="R22" t="s">
        <v>27</v>
      </c>
      <c r="S22">
        <v>2070.5800789999998</v>
      </c>
      <c r="T22">
        <v>65.349000000000004</v>
      </c>
      <c r="U22" t="s">
        <v>349</v>
      </c>
      <c r="V22" t="s">
        <v>349</v>
      </c>
      <c r="W22">
        <v>135310</v>
      </c>
    </row>
    <row r="23" spans="1:23" x14ac:dyDescent="0.3">
      <c r="A23" s="1">
        <v>43497</v>
      </c>
      <c r="B23" s="1">
        <v>43497</v>
      </c>
      <c r="C23" t="s">
        <v>157</v>
      </c>
      <c r="D23" t="s">
        <v>48</v>
      </c>
      <c r="E23" t="s">
        <v>49</v>
      </c>
      <c r="F23" t="s">
        <v>165</v>
      </c>
      <c r="G23" s="53">
        <v>43532</v>
      </c>
      <c r="H23">
        <v>33</v>
      </c>
      <c r="I23">
        <v>7798</v>
      </c>
      <c r="J23" t="s">
        <v>50</v>
      </c>
      <c r="K23" t="s">
        <v>50</v>
      </c>
      <c r="L23" t="s">
        <v>159</v>
      </c>
      <c r="M23" t="s">
        <v>51</v>
      </c>
      <c r="N23" t="s">
        <v>92</v>
      </c>
      <c r="O23" s="1">
        <v>41335</v>
      </c>
      <c r="P23" t="s">
        <v>84</v>
      </c>
      <c r="Q23">
        <v>5</v>
      </c>
      <c r="R23" t="s">
        <v>28</v>
      </c>
      <c r="S23">
        <v>8.102328</v>
      </c>
      <c r="T23">
        <v>69.367999999999995</v>
      </c>
      <c r="U23" t="s">
        <v>349</v>
      </c>
      <c r="V23" t="s">
        <v>349</v>
      </c>
      <c r="W23">
        <v>562</v>
      </c>
    </row>
    <row r="24" spans="1:23" x14ac:dyDescent="0.3">
      <c r="A24" s="1">
        <v>43525</v>
      </c>
      <c r="B24" s="1">
        <v>43525</v>
      </c>
      <c r="C24" t="s">
        <v>157</v>
      </c>
      <c r="D24" t="s">
        <v>93</v>
      </c>
      <c r="E24" t="s">
        <v>49</v>
      </c>
      <c r="F24" t="s">
        <v>168</v>
      </c>
      <c r="G24" s="53">
        <v>43598</v>
      </c>
      <c r="H24">
        <v>33</v>
      </c>
      <c r="I24" t="s">
        <v>349</v>
      </c>
      <c r="J24" t="s">
        <v>50</v>
      </c>
      <c r="K24" t="s">
        <v>50</v>
      </c>
      <c r="L24" t="s">
        <v>159</v>
      </c>
      <c r="M24" t="s">
        <v>51</v>
      </c>
      <c r="N24" t="s">
        <v>92</v>
      </c>
      <c r="O24" s="1">
        <v>41335</v>
      </c>
      <c r="P24" t="s">
        <v>84</v>
      </c>
      <c r="Q24">
        <v>1</v>
      </c>
      <c r="R24" t="s">
        <v>83</v>
      </c>
      <c r="S24">
        <v>0.58060900000000004</v>
      </c>
      <c r="T24">
        <v>66.900000000000006</v>
      </c>
      <c r="U24" t="s">
        <v>349</v>
      </c>
      <c r="V24" t="s">
        <v>349</v>
      </c>
      <c r="W24">
        <v>39</v>
      </c>
    </row>
    <row r="25" spans="1:23" x14ac:dyDescent="0.3">
      <c r="A25" s="1">
        <v>43525</v>
      </c>
      <c r="B25" s="1">
        <v>43525</v>
      </c>
      <c r="C25" t="s">
        <v>157</v>
      </c>
      <c r="D25" t="s">
        <v>48</v>
      </c>
      <c r="E25" t="s">
        <v>49</v>
      </c>
      <c r="F25" t="s">
        <v>167</v>
      </c>
      <c r="G25" s="53">
        <v>43563</v>
      </c>
      <c r="H25">
        <v>33</v>
      </c>
      <c r="I25">
        <v>8389</v>
      </c>
      <c r="J25" t="s">
        <v>50</v>
      </c>
      <c r="K25" t="s">
        <v>50</v>
      </c>
      <c r="L25" t="s">
        <v>159</v>
      </c>
      <c r="M25" t="s">
        <v>51</v>
      </c>
      <c r="N25" t="s">
        <v>92</v>
      </c>
      <c r="O25" s="1">
        <v>41335</v>
      </c>
      <c r="P25" t="s">
        <v>84</v>
      </c>
      <c r="Q25">
        <v>1</v>
      </c>
      <c r="R25" t="s">
        <v>83</v>
      </c>
      <c r="S25">
        <v>1311.623335</v>
      </c>
      <c r="T25">
        <v>66.900000000000006</v>
      </c>
      <c r="U25" t="s">
        <v>349</v>
      </c>
      <c r="V25" t="s">
        <v>349</v>
      </c>
      <c r="W25">
        <v>87748</v>
      </c>
    </row>
    <row r="26" spans="1:23" x14ac:dyDescent="0.3">
      <c r="A26" s="1">
        <v>43525</v>
      </c>
      <c r="B26" s="1">
        <v>43525</v>
      </c>
      <c r="C26" t="s">
        <v>157</v>
      </c>
      <c r="D26" t="s">
        <v>48</v>
      </c>
      <c r="E26" t="s">
        <v>49</v>
      </c>
      <c r="F26" t="s">
        <v>167</v>
      </c>
      <c r="G26" s="53">
        <v>43563</v>
      </c>
      <c r="H26">
        <v>33</v>
      </c>
      <c r="I26">
        <v>8389</v>
      </c>
      <c r="J26" t="s">
        <v>50</v>
      </c>
      <c r="K26" t="s">
        <v>50</v>
      </c>
      <c r="L26" t="s">
        <v>159</v>
      </c>
      <c r="M26" t="s">
        <v>51</v>
      </c>
      <c r="N26" t="s">
        <v>92</v>
      </c>
      <c r="O26" s="1">
        <v>41335</v>
      </c>
      <c r="P26" t="s">
        <v>84</v>
      </c>
      <c r="Q26">
        <v>2</v>
      </c>
      <c r="R26" t="s">
        <v>94</v>
      </c>
      <c r="S26">
        <v>8.1736970000000007</v>
      </c>
      <c r="T26">
        <v>69.013999999999996</v>
      </c>
      <c r="U26" t="s">
        <v>349</v>
      </c>
      <c r="V26" t="s">
        <v>349</v>
      </c>
      <c r="W26">
        <v>564</v>
      </c>
    </row>
    <row r="27" spans="1:23" x14ac:dyDescent="0.3">
      <c r="A27" s="1">
        <v>43525</v>
      </c>
      <c r="B27" s="1">
        <v>43525</v>
      </c>
      <c r="C27" t="s">
        <v>157</v>
      </c>
      <c r="D27" t="s">
        <v>93</v>
      </c>
      <c r="E27" t="s">
        <v>49</v>
      </c>
      <c r="F27" t="s">
        <v>168</v>
      </c>
      <c r="G27" s="53">
        <v>43598</v>
      </c>
      <c r="H27">
        <v>33</v>
      </c>
      <c r="I27" t="s">
        <v>349</v>
      </c>
      <c r="J27" t="s">
        <v>50</v>
      </c>
      <c r="K27" t="s">
        <v>50</v>
      </c>
      <c r="L27" t="s">
        <v>159</v>
      </c>
      <c r="M27" t="s">
        <v>51</v>
      </c>
      <c r="N27" t="s">
        <v>92</v>
      </c>
      <c r="O27" s="1">
        <v>41335</v>
      </c>
      <c r="P27" t="s">
        <v>84</v>
      </c>
      <c r="Q27">
        <v>3</v>
      </c>
      <c r="R27" t="s">
        <v>81</v>
      </c>
      <c r="S27">
        <v>0.17821799999999999</v>
      </c>
      <c r="T27">
        <v>63.27</v>
      </c>
      <c r="U27" t="s">
        <v>349</v>
      </c>
      <c r="V27" t="s">
        <v>349</v>
      </c>
      <c r="W27">
        <v>11</v>
      </c>
    </row>
    <row r="28" spans="1:23" x14ac:dyDescent="0.3">
      <c r="A28" s="1">
        <v>43525</v>
      </c>
      <c r="B28" s="1">
        <v>43525</v>
      </c>
      <c r="C28" t="s">
        <v>157</v>
      </c>
      <c r="D28" t="s">
        <v>48</v>
      </c>
      <c r="E28" t="s">
        <v>49</v>
      </c>
      <c r="F28" t="s">
        <v>167</v>
      </c>
      <c r="G28" s="53">
        <v>43563</v>
      </c>
      <c r="H28">
        <v>33</v>
      </c>
      <c r="I28">
        <v>8389</v>
      </c>
      <c r="J28" t="s">
        <v>50</v>
      </c>
      <c r="K28" t="s">
        <v>50</v>
      </c>
      <c r="L28" t="s">
        <v>159</v>
      </c>
      <c r="M28" t="s">
        <v>51</v>
      </c>
      <c r="N28" t="s">
        <v>92</v>
      </c>
      <c r="O28" s="1">
        <v>41335</v>
      </c>
      <c r="P28" t="s">
        <v>84</v>
      </c>
      <c r="Q28">
        <v>3</v>
      </c>
      <c r="R28" t="s">
        <v>81</v>
      </c>
      <c r="S28">
        <v>402.603993</v>
      </c>
      <c r="T28">
        <v>63.27</v>
      </c>
      <c r="U28" t="s">
        <v>349</v>
      </c>
      <c r="V28" t="s">
        <v>349</v>
      </c>
      <c r="W28">
        <v>25473</v>
      </c>
    </row>
    <row r="29" spans="1:23" x14ac:dyDescent="0.3">
      <c r="A29" s="1">
        <v>43525</v>
      </c>
      <c r="B29" s="1">
        <v>43525</v>
      </c>
      <c r="C29" t="s">
        <v>157</v>
      </c>
      <c r="D29" t="s">
        <v>93</v>
      </c>
      <c r="E29" t="s">
        <v>49</v>
      </c>
      <c r="F29" t="s">
        <v>168</v>
      </c>
      <c r="G29" s="53">
        <v>43598</v>
      </c>
      <c r="H29">
        <v>33</v>
      </c>
      <c r="I29" t="s">
        <v>349</v>
      </c>
      <c r="J29" t="s">
        <v>50</v>
      </c>
      <c r="K29" t="s">
        <v>50</v>
      </c>
      <c r="L29" t="s">
        <v>159</v>
      </c>
      <c r="M29" t="s">
        <v>51</v>
      </c>
      <c r="N29" t="s">
        <v>92</v>
      </c>
      <c r="O29" s="1">
        <v>41335</v>
      </c>
      <c r="P29" t="s">
        <v>84</v>
      </c>
      <c r="Q29">
        <v>4</v>
      </c>
      <c r="R29" t="s">
        <v>27</v>
      </c>
      <c r="S29">
        <v>0.87116000000000005</v>
      </c>
      <c r="T29">
        <v>65.349000000000004</v>
      </c>
      <c r="U29" t="s">
        <v>349</v>
      </c>
      <c r="V29" t="s">
        <v>349</v>
      </c>
      <c r="W29">
        <v>57</v>
      </c>
    </row>
    <row r="30" spans="1:23" x14ac:dyDescent="0.3">
      <c r="A30" s="1">
        <v>43525</v>
      </c>
      <c r="B30" s="1">
        <v>43525</v>
      </c>
      <c r="C30" t="s">
        <v>157</v>
      </c>
      <c r="D30" t="s">
        <v>48</v>
      </c>
      <c r="E30" t="s">
        <v>49</v>
      </c>
      <c r="F30" t="s">
        <v>167</v>
      </c>
      <c r="G30" s="53">
        <v>43563</v>
      </c>
      <c r="H30">
        <v>33</v>
      </c>
      <c r="I30">
        <v>8389</v>
      </c>
      <c r="J30" t="s">
        <v>50</v>
      </c>
      <c r="K30" t="s">
        <v>50</v>
      </c>
      <c r="L30" t="s">
        <v>159</v>
      </c>
      <c r="M30" t="s">
        <v>51</v>
      </c>
      <c r="N30" t="s">
        <v>92</v>
      </c>
      <c r="O30" s="1">
        <v>41335</v>
      </c>
      <c r="P30" t="s">
        <v>84</v>
      </c>
      <c r="Q30">
        <v>4</v>
      </c>
      <c r="R30" t="s">
        <v>27</v>
      </c>
      <c r="S30">
        <v>1967.9945319999999</v>
      </c>
      <c r="T30">
        <v>65.349000000000004</v>
      </c>
      <c r="U30" t="s">
        <v>349</v>
      </c>
      <c r="V30" t="s">
        <v>349</v>
      </c>
      <c r="W30">
        <v>128606</v>
      </c>
    </row>
    <row r="31" spans="1:23" x14ac:dyDescent="0.3">
      <c r="A31" s="1">
        <v>43525</v>
      </c>
      <c r="B31" s="1">
        <v>43525</v>
      </c>
      <c r="C31" t="s">
        <v>157</v>
      </c>
      <c r="D31" t="s">
        <v>48</v>
      </c>
      <c r="E31" t="s">
        <v>49</v>
      </c>
      <c r="F31" t="s">
        <v>167</v>
      </c>
      <c r="G31" s="53">
        <v>43563</v>
      </c>
      <c r="H31">
        <v>33</v>
      </c>
      <c r="I31">
        <v>8389</v>
      </c>
      <c r="J31" t="s">
        <v>50</v>
      </c>
      <c r="K31" t="s">
        <v>50</v>
      </c>
      <c r="L31" t="s">
        <v>159</v>
      </c>
      <c r="M31" t="s">
        <v>51</v>
      </c>
      <c r="N31" t="s">
        <v>92</v>
      </c>
      <c r="O31" s="1">
        <v>41335</v>
      </c>
      <c r="P31" t="s">
        <v>84</v>
      </c>
      <c r="Q31">
        <v>5</v>
      </c>
      <c r="R31" t="s">
        <v>28</v>
      </c>
      <c r="S31">
        <v>7.5148950000000001</v>
      </c>
      <c r="T31">
        <v>69.367999999999995</v>
      </c>
      <c r="U31" t="s">
        <v>349</v>
      </c>
      <c r="V31" t="s">
        <v>349</v>
      </c>
      <c r="W31">
        <v>521</v>
      </c>
    </row>
    <row r="32" spans="1:23" x14ac:dyDescent="0.3">
      <c r="A32" s="1">
        <v>43556</v>
      </c>
      <c r="B32" s="1">
        <v>43556</v>
      </c>
      <c r="C32" t="s">
        <v>157</v>
      </c>
      <c r="D32" t="s">
        <v>93</v>
      </c>
      <c r="E32" t="s">
        <v>49</v>
      </c>
      <c r="F32" t="s">
        <v>169</v>
      </c>
      <c r="G32" s="53">
        <v>43913.49763888889</v>
      </c>
      <c r="H32">
        <v>61</v>
      </c>
      <c r="I32" t="s">
        <v>349</v>
      </c>
      <c r="J32" t="s">
        <v>50</v>
      </c>
      <c r="K32" t="s">
        <v>50</v>
      </c>
      <c r="L32" t="s">
        <v>159</v>
      </c>
      <c r="M32" t="s">
        <v>51</v>
      </c>
      <c r="N32" t="s">
        <v>92</v>
      </c>
      <c r="O32" s="1">
        <v>41335</v>
      </c>
      <c r="P32" t="s">
        <v>84</v>
      </c>
      <c r="Q32">
        <v>1</v>
      </c>
      <c r="R32" t="s">
        <v>83</v>
      </c>
      <c r="S32">
        <v>1</v>
      </c>
      <c r="T32">
        <v>-1091</v>
      </c>
      <c r="U32" t="s">
        <v>349</v>
      </c>
      <c r="V32" t="s">
        <v>349</v>
      </c>
      <c r="W32">
        <v>-1091</v>
      </c>
    </row>
    <row r="33" spans="1:23" x14ac:dyDescent="0.3">
      <c r="A33" s="1">
        <v>43556</v>
      </c>
      <c r="B33" s="1">
        <v>43556</v>
      </c>
      <c r="C33" t="s">
        <v>157</v>
      </c>
      <c r="D33" t="s">
        <v>48</v>
      </c>
      <c r="E33" t="s">
        <v>49</v>
      </c>
      <c r="F33" t="s">
        <v>171</v>
      </c>
      <c r="G33" s="53">
        <v>43598</v>
      </c>
      <c r="H33">
        <v>33</v>
      </c>
      <c r="I33">
        <v>8451</v>
      </c>
      <c r="J33" t="s">
        <v>50</v>
      </c>
      <c r="K33" t="s">
        <v>50</v>
      </c>
      <c r="L33" t="s">
        <v>159</v>
      </c>
      <c r="M33" t="s">
        <v>51</v>
      </c>
      <c r="N33" t="s">
        <v>92</v>
      </c>
      <c r="O33" s="1">
        <v>41335</v>
      </c>
      <c r="P33" t="s">
        <v>84</v>
      </c>
      <c r="Q33">
        <v>1</v>
      </c>
      <c r="R33" t="s">
        <v>83</v>
      </c>
      <c r="S33">
        <v>897.96509900000001</v>
      </c>
      <c r="T33">
        <v>66.900000000000006</v>
      </c>
      <c r="U33" t="s">
        <v>349</v>
      </c>
      <c r="V33" t="s">
        <v>349</v>
      </c>
      <c r="W33">
        <v>60074</v>
      </c>
    </row>
    <row r="34" spans="1:23" x14ac:dyDescent="0.3">
      <c r="A34" s="1">
        <v>43556</v>
      </c>
      <c r="B34" s="1">
        <v>43556</v>
      </c>
      <c r="C34" t="s">
        <v>157</v>
      </c>
      <c r="D34" t="s">
        <v>93</v>
      </c>
      <c r="E34" t="s">
        <v>49</v>
      </c>
      <c r="F34" t="s">
        <v>169</v>
      </c>
      <c r="G34" s="53">
        <v>43913.49763888889</v>
      </c>
      <c r="H34">
        <v>61</v>
      </c>
      <c r="I34" t="s">
        <v>349</v>
      </c>
      <c r="J34" t="s">
        <v>50</v>
      </c>
      <c r="K34" t="s">
        <v>50</v>
      </c>
      <c r="L34" t="s">
        <v>159</v>
      </c>
      <c r="M34" t="s">
        <v>51</v>
      </c>
      <c r="N34" t="s">
        <v>92</v>
      </c>
      <c r="O34" s="1">
        <v>41335</v>
      </c>
      <c r="P34" t="s">
        <v>84</v>
      </c>
      <c r="Q34">
        <v>2</v>
      </c>
      <c r="R34" t="s">
        <v>94</v>
      </c>
      <c r="S34">
        <v>1</v>
      </c>
      <c r="T34">
        <v>-8</v>
      </c>
      <c r="U34" t="s">
        <v>349</v>
      </c>
      <c r="V34" t="s">
        <v>349</v>
      </c>
      <c r="W34">
        <v>-8</v>
      </c>
    </row>
    <row r="35" spans="1:23" x14ac:dyDescent="0.3">
      <c r="A35" s="1">
        <v>43556</v>
      </c>
      <c r="B35" s="1">
        <v>43556</v>
      </c>
      <c r="C35" t="s">
        <v>157</v>
      </c>
      <c r="D35" t="s">
        <v>48</v>
      </c>
      <c r="E35" t="s">
        <v>49</v>
      </c>
      <c r="F35" t="s">
        <v>171</v>
      </c>
      <c r="G35" s="53">
        <v>43598</v>
      </c>
      <c r="H35">
        <v>33</v>
      </c>
      <c r="I35">
        <v>8451</v>
      </c>
      <c r="J35" t="s">
        <v>50</v>
      </c>
      <c r="K35" t="s">
        <v>50</v>
      </c>
      <c r="L35" t="s">
        <v>159</v>
      </c>
      <c r="M35" t="s">
        <v>51</v>
      </c>
      <c r="N35" t="s">
        <v>92</v>
      </c>
      <c r="O35" s="1">
        <v>41335</v>
      </c>
      <c r="P35" t="s">
        <v>84</v>
      </c>
      <c r="Q35">
        <v>2</v>
      </c>
      <c r="R35" t="s">
        <v>94</v>
      </c>
      <c r="S35">
        <v>5.9124509999999999</v>
      </c>
      <c r="T35">
        <v>69.013999999999996</v>
      </c>
      <c r="U35" t="s">
        <v>349</v>
      </c>
      <c r="V35" t="s">
        <v>349</v>
      </c>
      <c r="W35">
        <v>408</v>
      </c>
    </row>
    <row r="36" spans="1:23" x14ac:dyDescent="0.3">
      <c r="A36" s="1">
        <v>43556</v>
      </c>
      <c r="B36" s="1">
        <v>43556</v>
      </c>
      <c r="C36" t="s">
        <v>157</v>
      </c>
      <c r="D36" t="s">
        <v>93</v>
      </c>
      <c r="E36" t="s">
        <v>49</v>
      </c>
      <c r="F36" t="s">
        <v>169</v>
      </c>
      <c r="G36" s="53">
        <v>43913.49763888889</v>
      </c>
      <c r="H36">
        <v>61</v>
      </c>
      <c r="I36" t="s">
        <v>349</v>
      </c>
      <c r="J36" t="s">
        <v>50</v>
      </c>
      <c r="K36" t="s">
        <v>50</v>
      </c>
      <c r="L36" t="s">
        <v>159</v>
      </c>
      <c r="M36" t="s">
        <v>51</v>
      </c>
      <c r="N36" t="s">
        <v>92</v>
      </c>
      <c r="O36" s="1">
        <v>41335</v>
      </c>
      <c r="P36" t="s">
        <v>84</v>
      </c>
      <c r="Q36">
        <v>3</v>
      </c>
      <c r="R36" t="s">
        <v>81</v>
      </c>
      <c r="S36">
        <v>1</v>
      </c>
      <c r="T36">
        <v>-327</v>
      </c>
      <c r="U36" t="s">
        <v>349</v>
      </c>
      <c r="V36" t="s">
        <v>349</v>
      </c>
      <c r="W36">
        <v>-327</v>
      </c>
    </row>
    <row r="37" spans="1:23" x14ac:dyDescent="0.3">
      <c r="A37" s="1">
        <v>43556</v>
      </c>
      <c r="B37" s="1">
        <v>43556</v>
      </c>
      <c r="C37" t="s">
        <v>157</v>
      </c>
      <c r="D37" t="s">
        <v>48</v>
      </c>
      <c r="E37" t="s">
        <v>49</v>
      </c>
      <c r="F37" t="s">
        <v>171</v>
      </c>
      <c r="G37" s="53">
        <v>43598</v>
      </c>
      <c r="H37">
        <v>33</v>
      </c>
      <c r="I37">
        <v>8451</v>
      </c>
      <c r="J37" t="s">
        <v>50</v>
      </c>
      <c r="K37" t="s">
        <v>50</v>
      </c>
      <c r="L37" t="s">
        <v>159</v>
      </c>
      <c r="M37" t="s">
        <v>51</v>
      </c>
      <c r="N37" t="s">
        <v>92</v>
      </c>
      <c r="O37" s="1">
        <v>41335</v>
      </c>
      <c r="P37" t="s">
        <v>84</v>
      </c>
      <c r="Q37">
        <v>3</v>
      </c>
      <c r="R37" t="s">
        <v>81</v>
      </c>
      <c r="S37">
        <v>278.37088999999997</v>
      </c>
      <c r="T37">
        <v>63.27</v>
      </c>
      <c r="U37" t="s">
        <v>349</v>
      </c>
      <c r="V37" t="s">
        <v>349</v>
      </c>
      <c r="W37">
        <v>17613</v>
      </c>
    </row>
    <row r="38" spans="1:23" x14ac:dyDescent="0.3">
      <c r="A38" s="1">
        <v>43556</v>
      </c>
      <c r="B38" s="1">
        <v>43556</v>
      </c>
      <c r="C38" t="s">
        <v>157</v>
      </c>
      <c r="D38" t="s">
        <v>93</v>
      </c>
      <c r="E38" t="s">
        <v>49</v>
      </c>
      <c r="F38" t="s">
        <v>169</v>
      </c>
      <c r="G38" s="53">
        <v>43913.49763888889</v>
      </c>
      <c r="H38">
        <v>61</v>
      </c>
      <c r="I38" t="s">
        <v>349</v>
      </c>
      <c r="J38" t="s">
        <v>50</v>
      </c>
      <c r="K38" t="s">
        <v>50</v>
      </c>
      <c r="L38" t="s">
        <v>159</v>
      </c>
      <c r="M38" t="s">
        <v>51</v>
      </c>
      <c r="N38" t="s">
        <v>92</v>
      </c>
      <c r="O38" s="1">
        <v>41335</v>
      </c>
      <c r="P38" t="s">
        <v>84</v>
      </c>
      <c r="Q38">
        <v>4</v>
      </c>
      <c r="R38" t="s">
        <v>27</v>
      </c>
      <c r="S38">
        <v>1</v>
      </c>
      <c r="T38">
        <v>-1638</v>
      </c>
      <c r="U38" t="s">
        <v>349</v>
      </c>
      <c r="V38" t="s">
        <v>349</v>
      </c>
      <c r="W38">
        <v>-1638</v>
      </c>
    </row>
    <row r="39" spans="1:23" x14ac:dyDescent="0.3">
      <c r="A39" s="1">
        <v>43556</v>
      </c>
      <c r="B39" s="1">
        <v>43556</v>
      </c>
      <c r="C39" t="s">
        <v>157</v>
      </c>
      <c r="D39" t="s">
        <v>48</v>
      </c>
      <c r="E39" t="s">
        <v>49</v>
      </c>
      <c r="F39" t="s">
        <v>171</v>
      </c>
      <c r="G39" s="53">
        <v>43598</v>
      </c>
      <c r="H39">
        <v>33</v>
      </c>
      <c r="I39">
        <v>8451</v>
      </c>
      <c r="J39" t="s">
        <v>50</v>
      </c>
      <c r="K39" t="s">
        <v>50</v>
      </c>
      <c r="L39" t="s">
        <v>159</v>
      </c>
      <c r="M39" t="s">
        <v>51</v>
      </c>
      <c r="N39" t="s">
        <v>92</v>
      </c>
      <c r="O39" s="1">
        <v>41335</v>
      </c>
      <c r="P39" t="s">
        <v>84</v>
      </c>
      <c r="Q39">
        <v>4</v>
      </c>
      <c r="R39" t="s">
        <v>27</v>
      </c>
      <c r="S39">
        <v>1366.2586240000001</v>
      </c>
      <c r="T39">
        <v>65.349000000000004</v>
      </c>
      <c r="U39" t="s">
        <v>349</v>
      </c>
      <c r="V39" t="s">
        <v>349</v>
      </c>
      <c r="W39">
        <v>89284</v>
      </c>
    </row>
    <row r="40" spans="1:23" x14ac:dyDescent="0.3">
      <c r="A40" s="1">
        <v>43556</v>
      </c>
      <c r="B40" s="1">
        <v>43556</v>
      </c>
      <c r="C40" t="s">
        <v>157</v>
      </c>
      <c r="D40" t="s">
        <v>93</v>
      </c>
      <c r="E40" t="s">
        <v>49</v>
      </c>
      <c r="F40" t="s">
        <v>169</v>
      </c>
      <c r="G40" s="53">
        <v>43913.49763888889</v>
      </c>
      <c r="H40">
        <v>61</v>
      </c>
      <c r="I40" t="s">
        <v>349</v>
      </c>
      <c r="J40" t="s">
        <v>50</v>
      </c>
      <c r="K40" t="s">
        <v>50</v>
      </c>
      <c r="L40" t="s">
        <v>159</v>
      </c>
      <c r="M40" t="s">
        <v>51</v>
      </c>
      <c r="N40" t="s">
        <v>92</v>
      </c>
      <c r="O40" s="1">
        <v>41335</v>
      </c>
      <c r="P40" t="s">
        <v>84</v>
      </c>
      <c r="Q40">
        <v>5</v>
      </c>
      <c r="R40" t="s">
        <v>28</v>
      </c>
      <c r="S40">
        <v>1</v>
      </c>
      <c r="T40">
        <v>-7</v>
      </c>
      <c r="U40" t="s">
        <v>349</v>
      </c>
      <c r="V40" t="s">
        <v>349</v>
      </c>
      <c r="W40">
        <v>-7</v>
      </c>
    </row>
    <row r="41" spans="1:23" x14ac:dyDescent="0.3">
      <c r="A41" s="1">
        <v>43556</v>
      </c>
      <c r="B41" s="1">
        <v>43556</v>
      </c>
      <c r="C41" t="s">
        <v>157</v>
      </c>
      <c r="D41" t="s">
        <v>48</v>
      </c>
      <c r="E41" t="s">
        <v>49</v>
      </c>
      <c r="F41" t="s">
        <v>171</v>
      </c>
      <c r="G41" s="53">
        <v>43598</v>
      </c>
      <c r="H41">
        <v>33</v>
      </c>
      <c r="I41">
        <v>8451</v>
      </c>
      <c r="J41" t="s">
        <v>50</v>
      </c>
      <c r="K41" t="s">
        <v>50</v>
      </c>
      <c r="L41" t="s">
        <v>159</v>
      </c>
      <c r="M41" t="s">
        <v>51</v>
      </c>
      <c r="N41" t="s">
        <v>92</v>
      </c>
      <c r="O41" s="1">
        <v>41335</v>
      </c>
      <c r="P41" t="s">
        <v>84</v>
      </c>
      <c r="Q41">
        <v>5</v>
      </c>
      <c r="R41" t="s">
        <v>28</v>
      </c>
      <c r="S41">
        <v>5.4320240000000002</v>
      </c>
      <c r="T41">
        <v>69.367999999999995</v>
      </c>
      <c r="U41" t="s">
        <v>349</v>
      </c>
      <c r="V41" t="s">
        <v>349</v>
      </c>
      <c r="W41">
        <v>377</v>
      </c>
    </row>
    <row r="42" spans="1:23" x14ac:dyDescent="0.3">
      <c r="A42" s="1">
        <v>43586</v>
      </c>
      <c r="B42" s="1">
        <v>43586</v>
      </c>
      <c r="C42" t="s">
        <v>157</v>
      </c>
      <c r="D42" t="s">
        <v>93</v>
      </c>
      <c r="E42" t="s">
        <v>49</v>
      </c>
      <c r="F42" t="s">
        <v>172</v>
      </c>
      <c r="G42" s="53">
        <v>43915.631481481483</v>
      </c>
      <c r="H42">
        <v>61</v>
      </c>
      <c r="I42" t="s">
        <v>349</v>
      </c>
      <c r="J42" t="s">
        <v>50</v>
      </c>
      <c r="K42" t="s">
        <v>50</v>
      </c>
      <c r="L42" t="s">
        <v>159</v>
      </c>
      <c r="M42" t="s">
        <v>51</v>
      </c>
      <c r="N42" t="s">
        <v>92</v>
      </c>
      <c r="O42" s="1">
        <v>41335</v>
      </c>
      <c r="P42" t="s">
        <v>84</v>
      </c>
      <c r="Q42">
        <v>1</v>
      </c>
      <c r="R42" t="s">
        <v>83</v>
      </c>
      <c r="S42">
        <v>1</v>
      </c>
      <c r="T42">
        <v>-337</v>
      </c>
      <c r="U42" t="s">
        <v>349</v>
      </c>
      <c r="V42" t="s">
        <v>349</v>
      </c>
      <c r="W42">
        <v>-337</v>
      </c>
    </row>
    <row r="43" spans="1:23" x14ac:dyDescent="0.3">
      <c r="A43" s="1">
        <v>43586</v>
      </c>
      <c r="B43" s="1">
        <v>43586</v>
      </c>
      <c r="C43" t="s">
        <v>157</v>
      </c>
      <c r="D43" t="s">
        <v>48</v>
      </c>
      <c r="E43" t="s">
        <v>49</v>
      </c>
      <c r="F43" t="s">
        <v>174</v>
      </c>
      <c r="G43" s="53">
        <v>43627</v>
      </c>
      <c r="H43">
        <v>33</v>
      </c>
      <c r="I43">
        <v>8768</v>
      </c>
      <c r="J43" t="s">
        <v>50</v>
      </c>
      <c r="K43" t="s">
        <v>50</v>
      </c>
      <c r="L43" t="s">
        <v>159</v>
      </c>
      <c r="M43" t="s">
        <v>51</v>
      </c>
      <c r="N43" t="s">
        <v>92</v>
      </c>
      <c r="O43" s="1">
        <v>41335</v>
      </c>
      <c r="P43" t="s">
        <v>84</v>
      </c>
      <c r="Q43">
        <v>1</v>
      </c>
      <c r="R43" t="s">
        <v>83</v>
      </c>
      <c r="S43">
        <v>885.88966900000003</v>
      </c>
      <c r="T43">
        <v>74.400999999999996</v>
      </c>
      <c r="U43" t="s">
        <v>349</v>
      </c>
      <c r="V43" t="s">
        <v>349</v>
      </c>
      <c r="W43">
        <v>65911</v>
      </c>
    </row>
    <row r="44" spans="1:23" x14ac:dyDescent="0.3">
      <c r="A44" s="1">
        <v>43586</v>
      </c>
      <c r="B44" s="1">
        <v>43586</v>
      </c>
      <c r="C44" t="s">
        <v>157</v>
      </c>
      <c r="D44" t="s">
        <v>93</v>
      </c>
      <c r="E44" t="s">
        <v>49</v>
      </c>
      <c r="F44" t="s">
        <v>172</v>
      </c>
      <c r="G44" s="53">
        <v>43915.631481481483</v>
      </c>
      <c r="H44">
        <v>61</v>
      </c>
      <c r="I44" t="s">
        <v>349</v>
      </c>
      <c r="J44" t="s">
        <v>50</v>
      </c>
      <c r="K44" t="s">
        <v>50</v>
      </c>
      <c r="L44" t="s">
        <v>159</v>
      </c>
      <c r="M44" t="s">
        <v>51</v>
      </c>
      <c r="N44" t="s">
        <v>92</v>
      </c>
      <c r="O44" s="1">
        <v>41335</v>
      </c>
      <c r="P44" t="s">
        <v>84</v>
      </c>
      <c r="Q44">
        <v>2</v>
      </c>
      <c r="R44" t="s">
        <v>94</v>
      </c>
      <c r="S44">
        <v>1</v>
      </c>
      <c r="T44">
        <v>-2</v>
      </c>
      <c r="U44" t="s">
        <v>349</v>
      </c>
      <c r="V44" t="s">
        <v>349</v>
      </c>
      <c r="W44">
        <v>-2</v>
      </c>
    </row>
    <row r="45" spans="1:23" x14ac:dyDescent="0.3">
      <c r="A45" s="1">
        <v>43586</v>
      </c>
      <c r="B45" s="1">
        <v>43586</v>
      </c>
      <c r="C45" t="s">
        <v>157</v>
      </c>
      <c r="D45" t="s">
        <v>48</v>
      </c>
      <c r="E45" t="s">
        <v>49</v>
      </c>
      <c r="F45" t="s">
        <v>174</v>
      </c>
      <c r="G45" s="53">
        <v>43627</v>
      </c>
      <c r="H45">
        <v>33</v>
      </c>
      <c r="I45">
        <v>8768</v>
      </c>
      <c r="J45" t="s">
        <v>50</v>
      </c>
      <c r="K45" t="s">
        <v>50</v>
      </c>
      <c r="L45" t="s">
        <v>159</v>
      </c>
      <c r="M45" t="s">
        <v>51</v>
      </c>
      <c r="N45" t="s">
        <v>92</v>
      </c>
      <c r="O45" s="1">
        <v>41335</v>
      </c>
      <c r="P45" t="s">
        <v>84</v>
      </c>
      <c r="Q45">
        <v>2</v>
      </c>
      <c r="R45" t="s">
        <v>94</v>
      </c>
      <c r="S45">
        <v>5.7284470000000001</v>
      </c>
      <c r="T45">
        <v>75.736999999999995</v>
      </c>
      <c r="U45" t="s">
        <v>349</v>
      </c>
      <c r="V45" t="s">
        <v>349</v>
      </c>
      <c r="W45">
        <v>434</v>
      </c>
    </row>
    <row r="46" spans="1:23" x14ac:dyDescent="0.3">
      <c r="A46" s="1">
        <v>43586</v>
      </c>
      <c r="B46" s="1">
        <v>43586</v>
      </c>
      <c r="C46" t="s">
        <v>157</v>
      </c>
      <c r="D46" t="s">
        <v>93</v>
      </c>
      <c r="E46" t="s">
        <v>49</v>
      </c>
      <c r="F46" t="s">
        <v>172</v>
      </c>
      <c r="G46" s="53">
        <v>43915.631481481483</v>
      </c>
      <c r="H46">
        <v>61</v>
      </c>
      <c r="I46" t="s">
        <v>349</v>
      </c>
      <c r="J46" t="s">
        <v>50</v>
      </c>
      <c r="K46" t="s">
        <v>50</v>
      </c>
      <c r="L46" t="s">
        <v>159</v>
      </c>
      <c r="M46" t="s">
        <v>51</v>
      </c>
      <c r="N46" t="s">
        <v>92</v>
      </c>
      <c r="O46" s="1">
        <v>41335</v>
      </c>
      <c r="P46" t="s">
        <v>84</v>
      </c>
      <c r="Q46">
        <v>3</v>
      </c>
      <c r="R46" t="s">
        <v>81</v>
      </c>
      <c r="S46">
        <v>1</v>
      </c>
      <c r="T46">
        <v>-99</v>
      </c>
      <c r="U46" t="s">
        <v>349</v>
      </c>
      <c r="V46" t="s">
        <v>349</v>
      </c>
      <c r="W46">
        <v>-99</v>
      </c>
    </row>
    <row r="47" spans="1:23" x14ac:dyDescent="0.3">
      <c r="A47" s="1">
        <v>43586</v>
      </c>
      <c r="B47" s="1">
        <v>43586</v>
      </c>
      <c r="C47" t="s">
        <v>157</v>
      </c>
      <c r="D47" t="s">
        <v>48</v>
      </c>
      <c r="E47" t="s">
        <v>49</v>
      </c>
      <c r="F47" t="s">
        <v>174</v>
      </c>
      <c r="G47" s="53">
        <v>43627</v>
      </c>
      <c r="H47">
        <v>33</v>
      </c>
      <c r="I47">
        <v>8768</v>
      </c>
      <c r="J47" t="s">
        <v>50</v>
      </c>
      <c r="K47" t="s">
        <v>50</v>
      </c>
      <c r="L47" t="s">
        <v>159</v>
      </c>
      <c r="M47" t="s">
        <v>51</v>
      </c>
      <c r="N47" t="s">
        <v>92</v>
      </c>
      <c r="O47" s="1">
        <v>41335</v>
      </c>
      <c r="P47" t="s">
        <v>84</v>
      </c>
      <c r="Q47">
        <v>3</v>
      </c>
      <c r="R47" t="s">
        <v>81</v>
      </c>
      <c r="S47">
        <v>273.818037</v>
      </c>
      <c r="T47">
        <v>70.436999999999998</v>
      </c>
      <c r="U47" t="s">
        <v>349</v>
      </c>
      <c r="V47" t="s">
        <v>349</v>
      </c>
      <c r="W47">
        <v>19287</v>
      </c>
    </row>
    <row r="48" spans="1:23" x14ac:dyDescent="0.3">
      <c r="A48" s="1">
        <v>43586</v>
      </c>
      <c r="B48" s="1">
        <v>43586</v>
      </c>
      <c r="C48" t="s">
        <v>157</v>
      </c>
      <c r="D48" t="s">
        <v>93</v>
      </c>
      <c r="E48" t="s">
        <v>49</v>
      </c>
      <c r="F48" t="s">
        <v>172</v>
      </c>
      <c r="G48" s="53">
        <v>43915.631481481483</v>
      </c>
      <c r="H48">
        <v>61</v>
      </c>
      <c r="I48" t="s">
        <v>349</v>
      </c>
      <c r="J48" t="s">
        <v>50</v>
      </c>
      <c r="K48" t="s">
        <v>50</v>
      </c>
      <c r="L48" t="s">
        <v>159</v>
      </c>
      <c r="M48" t="s">
        <v>51</v>
      </c>
      <c r="N48" t="s">
        <v>92</v>
      </c>
      <c r="O48" s="1">
        <v>41335</v>
      </c>
      <c r="P48" t="s">
        <v>84</v>
      </c>
      <c r="Q48">
        <v>4</v>
      </c>
      <c r="R48" t="s">
        <v>27</v>
      </c>
      <c r="S48">
        <v>1</v>
      </c>
      <c r="T48">
        <v>-494</v>
      </c>
      <c r="U48" t="s">
        <v>349</v>
      </c>
      <c r="V48" t="s">
        <v>349</v>
      </c>
      <c r="W48">
        <v>-494</v>
      </c>
    </row>
    <row r="49" spans="1:23" x14ac:dyDescent="0.3">
      <c r="A49" s="1">
        <v>43586</v>
      </c>
      <c r="B49" s="1">
        <v>43586</v>
      </c>
      <c r="C49" t="s">
        <v>157</v>
      </c>
      <c r="D49" t="s">
        <v>48</v>
      </c>
      <c r="E49" t="s">
        <v>49</v>
      </c>
      <c r="F49" t="s">
        <v>174</v>
      </c>
      <c r="G49" s="53">
        <v>43627</v>
      </c>
      <c r="H49">
        <v>33</v>
      </c>
      <c r="I49">
        <v>8768</v>
      </c>
      <c r="J49" t="s">
        <v>50</v>
      </c>
      <c r="K49" t="s">
        <v>50</v>
      </c>
      <c r="L49" t="s">
        <v>159</v>
      </c>
      <c r="M49" t="s">
        <v>51</v>
      </c>
      <c r="N49" t="s">
        <v>92</v>
      </c>
      <c r="O49" s="1">
        <v>41335</v>
      </c>
      <c r="P49" t="s">
        <v>84</v>
      </c>
      <c r="Q49">
        <v>4</v>
      </c>
      <c r="R49" t="s">
        <v>27</v>
      </c>
      <c r="S49">
        <v>1341.725692</v>
      </c>
      <c r="T49">
        <v>71.983999999999995</v>
      </c>
      <c r="U49" t="s">
        <v>349</v>
      </c>
      <c r="V49" t="s">
        <v>349</v>
      </c>
      <c r="W49">
        <v>96583</v>
      </c>
    </row>
    <row r="50" spans="1:23" x14ac:dyDescent="0.3">
      <c r="A50" s="1">
        <v>43586</v>
      </c>
      <c r="B50" s="1">
        <v>43586</v>
      </c>
      <c r="C50" t="s">
        <v>157</v>
      </c>
      <c r="D50" t="s">
        <v>93</v>
      </c>
      <c r="E50" t="s">
        <v>49</v>
      </c>
      <c r="F50" t="s">
        <v>172</v>
      </c>
      <c r="G50" s="53">
        <v>43915.631481481483</v>
      </c>
      <c r="H50">
        <v>61</v>
      </c>
      <c r="I50" t="s">
        <v>349</v>
      </c>
      <c r="J50" t="s">
        <v>50</v>
      </c>
      <c r="K50" t="s">
        <v>50</v>
      </c>
      <c r="L50" t="s">
        <v>159</v>
      </c>
      <c r="M50" t="s">
        <v>51</v>
      </c>
      <c r="N50" t="s">
        <v>92</v>
      </c>
      <c r="O50" s="1">
        <v>41335</v>
      </c>
      <c r="P50" t="s">
        <v>84</v>
      </c>
      <c r="Q50">
        <v>5</v>
      </c>
      <c r="R50" t="s">
        <v>28</v>
      </c>
      <c r="S50">
        <v>1</v>
      </c>
      <c r="T50">
        <v>-2</v>
      </c>
      <c r="U50" t="s">
        <v>349</v>
      </c>
      <c r="V50" t="s">
        <v>349</v>
      </c>
      <c r="W50">
        <v>-2</v>
      </c>
    </row>
    <row r="51" spans="1:23" x14ac:dyDescent="0.3">
      <c r="A51" s="1">
        <v>43586</v>
      </c>
      <c r="B51" s="1">
        <v>43586</v>
      </c>
      <c r="C51" t="s">
        <v>157</v>
      </c>
      <c r="D51" t="s">
        <v>48</v>
      </c>
      <c r="E51" t="s">
        <v>49</v>
      </c>
      <c r="F51" t="s">
        <v>174</v>
      </c>
      <c r="G51" s="53">
        <v>43627</v>
      </c>
      <c r="H51">
        <v>33</v>
      </c>
      <c r="I51">
        <v>8768</v>
      </c>
      <c r="J51" t="s">
        <v>50</v>
      </c>
      <c r="K51" t="s">
        <v>50</v>
      </c>
      <c r="L51" t="s">
        <v>159</v>
      </c>
      <c r="M51" t="s">
        <v>51</v>
      </c>
      <c r="N51" t="s">
        <v>92</v>
      </c>
      <c r="O51" s="1">
        <v>41335</v>
      </c>
      <c r="P51" t="s">
        <v>84</v>
      </c>
      <c r="Q51">
        <v>5</v>
      </c>
      <c r="R51" t="s">
        <v>28</v>
      </c>
      <c r="S51">
        <v>5.2645299999999997</v>
      </c>
      <c r="T51">
        <v>75.617000000000004</v>
      </c>
      <c r="U51" t="s">
        <v>349</v>
      </c>
      <c r="V51" t="s">
        <v>349</v>
      </c>
      <c r="W51">
        <v>398</v>
      </c>
    </row>
    <row r="52" spans="1:23" x14ac:dyDescent="0.3">
      <c r="A52" s="1">
        <v>43617</v>
      </c>
      <c r="B52" s="1">
        <v>43617</v>
      </c>
      <c r="C52" t="s">
        <v>157</v>
      </c>
      <c r="D52" t="s">
        <v>93</v>
      </c>
      <c r="E52" t="s">
        <v>49</v>
      </c>
      <c r="F52" t="s">
        <v>176</v>
      </c>
      <c r="G52" s="53">
        <v>43693</v>
      </c>
      <c r="H52">
        <v>33</v>
      </c>
      <c r="I52" t="s">
        <v>349</v>
      </c>
      <c r="J52" t="s">
        <v>50</v>
      </c>
      <c r="K52" t="s">
        <v>50</v>
      </c>
      <c r="L52" t="s">
        <v>159</v>
      </c>
      <c r="M52" t="s">
        <v>51</v>
      </c>
      <c r="N52" t="s">
        <v>92</v>
      </c>
      <c r="O52" s="1">
        <v>41335</v>
      </c>
      <c r="P52" t="s">
        <v>84</v>
      </c>
      <c r="Q52">
        <v>1</v>
      </c>
      <c r="R52" t="s">
        <v>83</v>
      </c>
      <c r="S52">
        <v>1.7759450000000001</v>
      </c>
      <c r="T52">
        <v>74.400999999999996</v>
      </c>
      <c r="U52" t="s">
        <v>349</v>
      </c>
      <c r="V52" t="s">
        <v>349</v>
      </c>
      <c r="W52">
        <v>132</v>
      </c>
    </row>
    <row r="53" spans="1:23" x14ac:dyDescent="0.3">
      <c r="A53" s="1">
        <v>43617</v>
      </c>
      <c r="B53" s="1">
        <v>43617</v>
      </c>
      <c r="C53" t="s">
        <v>157</v>
      </c>
      <c r="D53" t="s">
        <v>48</v>
      </c>
      <c r="E53" t="s">
        <v>49</v>
      </c>
      <c r="F53" t="s">
        <v>177</v>
      </c>
      <c r="G53" s="53">
        <v>43655</v>
      </c>
      <c r="H53">
        <v>33</v>
      </c>
      <c r="I53">
        <v>9022</v>
      </c>
      <c r="J53" t="s">
        <v>50</v>
      </c>
      <c r="K53" t="s">
        <v>50</v>
      </c>
      <c r="L53" t="s">
        <v>159</v>
      </c>
      <c r="M53" t="s">
        <v>51</v>
      </c>
      <c r="N53" t="s">
        <v>92</v>
      </c>
      <c r="O53" s="1">
        <v>41335</v>
      </c>
      <c r="P53" t="s">
        <v>84</v>
      </c>
      <c r="Q53">
        <v>1</v>
      </c>
      <c r="R53" t="s">
        <v>83</v>
      </c>
      <c r="S53">
        <v>790.40862500000003</v>
      </c>
      <c r="T53">
        <v>74.400999999999996</v>
      </c>
      <c r="U53" t="s">
        <v>349</v>
      </c>
      <c r="V53" t="s">
        <v>349</v>
      </c>
      <c r="W53">
        <v>58807</v>
      </c>
    </row>
    <row r="54" spans="1:23" x14ac:dyDescent="0.3">
      <c r="A54" s="1">
        <v>43617</v>
      </c>
      <c r="B54" s="1">
        <v>43617</v>
      </c>
      <c r="C54" t="s">
        <v>157</v>
      </c>
      <c r="D54" t="s">
        <v>93</v>
      </c>
      <c r="E54" t="s">
        <v>49</v>
      </c>
      <c r="F54" t="s">
        <v>176</v>
      </c>
      <c r="G54" s="53">
        <v>43693</v>
      </c>
      <c r="H54">
        <v>33</v>
      </c>
      <c r="I54" t="s">
        <v>349</v>
      </c>
      <c r="J54" t="s">
        <v>50</v>
      </c>
      <c r="K54" t="s">
        <v>50</v>
      </c>
      <c r="L54" t="s">
        <v>159</v>
      </c>
      <c r="M54" t="s">
        <v>51</v>
      </c>
      <c r="N54" t="s">
        <v>92</v>
      </c>
      <c r="O54" s="1">
        <v>41335</v>
      </c>
      <c r="P54" t="s">
        <v>84</v>
      </c>
      <c r="Q54">
        <v>2</v>
      </c>
      <c r="R54" t="s">
        <v>94</v>
      </c>
      <c r="S54">
        <v>1.1665999999999999E-2</v>
      </c>
      <c r="T54">
        <v>75.736999999999995</v>
      </c>
      <c r="U54" t="s">
        <v>349</v>
      </c>
      <c r="V54" t="s">
        <v>349</v>
      </c>
      <c r="W54">
        <v>1</v>
      </c>
    </row>
    <row r="55" spans="1:23" x14ac:dyDescent="0.3">
      <c r="A55" s="1">
        <v>43617</v>
      </c>
      <c r="B55" s="1">
        <v>43617</v>
      </c>
      <c r="C55" t="s">
        <v>157</v>
      </c>
      <c r="D55" t="s">
        <v>48</v>
      </c>
      <c r="E55" t="s">
        <v>49</v>
      </c>
      <c r="F55" t="s">
        <v>177</v>
      </c>
      <c r="G55" s="53">
        <v>43655</v>
      </c>
      <c r="H55">
        <v>33</v>
      </c>
      <c r="I55">
        <v>9022</v>
      </c>
      <c r="J55" t="s">
        <v>50</v>
      </c>
      <c r="K55" t="s">
        <v>50</v>
      </c>
      <c r="L55" t="s">
        <v>159</v>
      </c>
      <c r="M55" t="s">
        <v>51</v>
      </c>
      <c r="N55" t="s">
        <v>92</v>
      </c>
      <c r="O55" s="1">
        <v>41335</v>
      </c>
      <c r="P55" t="s">
        <v>84</v>
      </c>
      <c r="Q55">
        <v>2</v>
      </c>
      <c r="R55" t="s">
        <v>94</v>
      </c>
      <c r="S55">
        <v>5.1920700000000002</v>
      </c>
      <c r="T55">
        <v>75.736999999999995</v>
      </c>
      <c r="U55" t="s">
        <v>349</v>
      </c>
      <c r="V55" t="s">
        <v>349</v>
      </c>
      <c r="W55">
        <v>393</v>
      </c>
    </row>
    <row r="56" spans="1:23" x14ac:dyDescent="0.3">
      <c r="A56" s="1">
        <v>43617</v>
      </c>
      <c r="B56" s="1">
        <v>43617</v>
      </c>
      <c r="C56" t="s">
        <v>157</v>
      </c>
      <c r="D56" t="s">
        <v>93</v>
      </c>
      <c r="E56" t="s">
        <v>49</v>
      </c>
      <c r="F56" t="s">
        <v>176</v>
      </c>
      <c r="G56" s="53">
        <v>43693</v>
      </c>
      <c r="H56">
        <v>33</v>
      </c>
      <c r="I56" t="s">
        <v>349</v>
      </c>
      <c r="J56" t="s">
        <v>50</v>
      </c>
      <c r="K56" t="s">
        <v>50</v>
      </c>
      <c r="L56" t="s">
        <v>159</v>
      </c>
      <c r="M56" t="s">
        <v>51</v>
      </c>
      <c r="N56" t="s">
        <v>92</v>
      </c>
      <c r="O56" s="1">
        <v>41335</v>
      </c>
      <c r="P56" t="s">
        <v>84</v>
      </c>
      <c r="Q56">
        <v>3</v>
      </c>
      <c r="R56" t="s">
        <v>81</v>
      </c>
      <c r="S56">
        <v>0.55193199999999998</v>
      </c>
      <c r="T56">
        <v>70.436999999999998</v>
      </c>
      <c r="U56" t="s">
        <v>349</v>
      </c>
      <c r="V56" t="s">
        <v>349</v>
      </c>
      <c r="W56">
        <v>39</v>
      </c>
    </row>
    <row r="57" spans="1:23" x14ac:dyDescent="0.3">
      <c r="A57" s="1">
        <v>43617</v>
      </c>
      <c r="B57" s="1">
        <v>43617</v>
      </c>
      <c r="C57" t="s">
        <v>157</v>
      </c>
      <c r="D57" t="s">
        <v>48</v>
      </c>
      <c r="E57" t="s">
        <v>49</v>
      </c>
      <c r="F57" t="s">
        <v>177</v>
      </c>
      <c r="G57" s="53">
        <v>43655</v>
      </c>
      <c r="H57">
        <v>33</v>
      </c>
      <c r="I57">
        <v>9022</v>
      </c>
      <c r="J57" t="s">
        <v>50</v>
      </c>
      <c r="K57" t="s">
        <v>50</v>
      </c>
      <c r="L57" t="s">
        <v>159</v>
      </c>
      <c r="M57" t="s">
        <v>51</v>
      </c>
      <c r="N57" t="s">
        <v>92</v>
      </c>
      <c r="O57" s="1">
        <v>41335</v>
      </c>
      <c r="P57" t="s">
        <v>84</v>
      </c>
      <c r="Q57">
        <v>3</v>
      </c>
      <c r="R57" t="s">
        <v>81</v>
      </c>
      <c r="S57">
        <v>245.64497900000001</v>
      </c>
      <c r="T57">
        <v>70.436999999999998</v>
      </c>
      <c r="U57" t="s">
        <v>349</v>
      </c>
      <c r="V57" t="s">
        <v>349</v>
      </c>
      <c r="W57">
        <v>17302</v>
      </c>
    </row>
    <row r="58" spans="1:23" x14ac:dyDescent="0.3">
      <c r="A58" s="1">
        <v>43617</v>
      </c>
      <c r="B58" s="1">
        <v>43617</v>
      </c>
      <c r="C58" t="s">
        <v>157</v>
      </c>
      <c r="D58" t="s">
        <v>93</v>
      </c>
      <c r="E58" t="s">
        <v>49</v>
      </c>
      <c r="F58" t="s">
        <v>176</v>
      </c>
      <c r="G58" s="53">
        <v>43693</v>
      </c>
      <c r="H58">
        <v>33</v>
      </c>
      <c r="I58" t="s">
        <v>349</v>
      </c>
      <c r="J58" t="s">
        <v>50</v>
      </c>
      <c r="K58" t="s">
        <v>50</v>
      </c>
      <c r="L58" t="s">
        <v>159</v>
      </c>
      <c r="M58" t="s">
        <v>51</v>
      </c>
      <c r="N58" t="s">
        <v>92</v>
      </c>
      <c r="O58" s="1">
        <v>41335</v>
      </c>
      <c r="P58" t="s">
        <v>84</v>
      </c>
      <c r="Q58">
        <v>4</v>
      </c>
      <c r="R58" t="s">
        <v>27</v>
      </c>
      <c r="S58">
        <v>2.701975</v>
      </c>
      <c r="T58">
        <v>71.983999999999995</v>
      </c>
      <c r="U58" t="s">
        <v>349</v>
      </c>
      <c r="V58" t="s">
        <v>349</v>
      </c>
      <c r="W58">
        <v>194</v>
      </c>
    </row>
    <row r="59" spans="1:23" x14ac:dyDescent="0.3">
      <c r="A59" s="1">
        <v>43617</v>
      </c>
      <c r="B59" s="1">
        <v>43617</v>
      </c>
      <c r="C59" t="s">
        <v>157</v>
      </c>
      <c r="D59" t="s">
        <v>48</v>
      </c>
      <c r="E59" t="s">
        <v>49</v>
      </c>
      <c r="F59" t="s">
        <v>177</v>
      </c>
      <c r="G59" s="53">
        <v>43655</v>
      </c>
      <c r="H59">
        <v>33</v>
      </c>
      <c r="I59">
        <v>9022</v>
      </c>
      <c r="J59" t="s">
        <v>50</v>
      </c>
      <c r="K59" t="s">
        <v>50</v>
      </c>
      <c r="L59" t="s">
        <v>159</v>
      </c>
      <c r="M59" t="s">
        <v>51</v>
      </c>
      <c r="N59" t="s">
        <v>92</v>
      </c>
      <c r="O59" s="1">
        <v>41335</v>
      </c>
      <c r="P59" t="s">
        <v>84</v>
      </c>
      <c r="Q59">
        <v>4</v>
      </c>
      <c r="R59" t="s">
        <v>27</v>
      </c>
      <c r="S59">
        <v>1202.550551</v>
      </c>
      <c r="T59">
        <v>71.983999999999995</v>
      </c>
      <c r="U59" t="s">
        <v>349</v>
      </c>
      <c r="V59" t="s">
        <v>349</v>
      </c>
      <c r="W59">
        <v>86564</v>
      </c>
    </row>
    <row r="60" spans="1:23" x14ac:dyDescent="0.3">
      <c r="A60" s="1">
        <v>43617</v>
      </c>
      <c r="B60" s="1">
        <v>43617</v>
      </c>
      <c r="C60" t="s">
        <v>157</v>
      </c>
      <c r="D60" t="s">
        <v>93</v>
      </c>
      <c r="E60" t="s">
        <v>49</v>
      </c>
      <c r="F60" t="s">
        <v>176</v>
      </c>
      <c r="G60" s="53">
        <v>43693</v>
      </c>
      <c r="H60">
        <v>33</v>
      </c>
      <c r="I60" t="s">
        <v>349</v>
      </c>
      <c r="J60" t="s">
        <v>50</v>
      </c>
      <c r="K60" t="s">
        <v>50</v>
      </c>
      <c r="L60" t="s">
        <v>159</v>
      </c>
      <c r="M60" t="s">
        <v>51</v>
      </c>
      <c r="N60" t="s">
        <v>92</v>
      </c>
      <c r="O60" s="1">
        <v>41335</v>
      </c>
      <c r="P60" t="s">
        <v>84</v>
      </c>
      <c r="Q60">
        <v>5</v>
      </c>
      <c r="R60" t="s">
        <v>28</v>
      </c>
      <c r="S60">
        <v>1.0723999999999999E-2</v>
      </c>
      <c r="T60">
        <v>75.617000000000004</v>
      </c>
      <c r="U60" t="s">
        <v>349</v>
      </c>
      <c r="V60" t="s">
        <v>349</v>
      </c>
      <c r="W60">
        <v>1</v>
      </c>
    </row>
    <row r="61" spans="1:23" x14ac:dyDescent="0.3">
      <c r="A61" s="1">
        <v>43617</v>
      </c>
      <c r="B61" s="1">
        <v>43617</v>
      </c>
      <c r="C61" t="s">
        <v>157</v>
      </c>
      <c r="D61" t="s">
        <v>48</v>
      </c>
      <c r="E61" t="s">
        <v>49</v>
      </c>
      <c r="F61" t="s">
        <v>177</v>
      </c>
      <c r="G61" s="53">
        <v>43655</v>
      </c>
      <c r="H61">
        <v>33</v>
      </c>
      <c r="I61">
        <v>9022</v>
      </c>
      <c r="J61" t="s">
        <v>50</v>
      </c>
      <c r="K61" t="s">
        <v>50</v>
      </c>
      <c r="L61" t="s">
        <v>159</v>
      </c>
      <c r="M61" t="s">
        <v>51</v>
      </c>
      <c r="N61" t="s">
        <v>92</v>
      </c>
      <c r="O61" s="1">
        <v>41335</v>
      </c>
      <c r="P61" t="s">
        <v>84</v>
      </c>
      <c r="Q61">
        <v>5</v>
      </c>
      <c r="R61" t="s">
        <v>28</v>
      </c>
      <c r="S61">
        <v>4.7729540000000004</v>
      </c>
      <c r="T61">
        <v>75.617000000000004</v>
      </c>
      <c r="U61" t="s">
        <v>349</v>
      </c>
      <c r="V61" t="s">
        <v>349</v>
      </c>
      <c r="W61">
        <v>361</v>
      </c>
    </row>
    <row r="62" spans="1:23" x14ac:dyDescent="0.3">
      <c r="A62" s="1">
        <v>43647</v>
      </c>
      <c r="B62" s="1">
        <v>43647</v>
      </c>
      <c r="C62" t="s">
        <v>157</v>
      </c>
      <c r="D62" t="s">
        <v>93</v>
      </c>
      <c r="E62" t="s">
        <v>49</v>
      </c>
      <c r="F62" t="s">
        <v>179</v>
      </c>
      <c r="G62" s="53">
        <v>43914.908402777779</v>
      </c>
      <c r="H62">
        <v>61</v>
      </c>
      <c r="I62" t="s">
        <v>349</v>
      </c>
      <c r="J62" t="s">
        <v>50</v>
      </c>
      <c r="K62" t="s">
        <v>50</v>
      </c>
      <c r="L62" t="s">
        <v>159</v>
      </c>
      <c r="M62" t="s">
        <v>51</v>
      </c>
      <c r="N62" t="s">
        <v>92</v>
      </c>
      <c r="O62" s="1">
        <v>41335</v>
      </c>
      <c r="P62" t="s">
        <v>84</v>
      </c>
      <c r="Q62">
        <v>1</v>
      </c>
      <c r="R62" t="s">
        <v>83</v>
      </c>
      <c r="S62">
        <v>1</v>
      </c>
      <c r="T62">
        <v>-19</v>
      </c>
      <c r="U62" t="s">
        <v>349</v>
      </c>
      <c r="V62" t="s">
        <v>349</v>
      </c>
      <c r="W62">
        <v>-19</v>
      </c>
    </row>
    <row r="63" spans="1:23" x14ac:dyDescent="0.3">
      <c r="A63" s="1">
        <v>43647</v>
      </c>
      <c r="B63" s="1">
        <v>43647</v>
      </c>
      <c r="C63" t="s">
        <v>157</v>
      </c>
      <c r="D63" t="s">
        <v>48</v>
      </c>
      <c r="E63" t="s">
        <v>49</v>
      </c>
      <c r="F63" t="s">
        <v>178</v>
      </c>
      <c r="G63" s="53">
        <v>43686</v>
      </c>
      <c r="H63">
        <v>33</v>
      </c>
      <c r="I63">
        <v>9466</v>
      </c>
      <c r="J63" t="s">
        <v>50</v>
      </c>
      <c r="K63" t="s">
        <v>50</v>
      </c>
      <c r="L63" t="s">
        <v>159</v>
      </c>
      <c r="M63" t="s">
        <v>51</v>
      </c>
      <c r="N63" t="s">
        <v>92</v>
      </c>
      <c r="O63" s="1">
        <v>41335</v>
      </c>
      <c r="P63" t="s">
        <v>84</v>
      </c>
      <c r="Q63">
        <v>1</v>
      </c>
      <c r="R63" t="s">
        <v>83</v>
      </c>
      <c r="S63">
        <v>842.75503100000003</v>
      </c>
      <c r="T63">
        <v>74.400999999999996</v>
      </c>
      <c r="U63" t="s">
        <v>349</v>
      </c>
      <c r="V63" t="s">
        <v>349</v>
      </c>
      <c r="W63">
        <v>62702</v>
      </c>
    </row>
    <row r="64" spans="1:23" x14ac:dyDescent="0.3">
      <c r="A64" s="1">
        <v>43647</v>
      </c>
      <c r="B64" s="1">
        <v>43647</v>
      </c>
      <c r="C64" t="s">
        <v>157</v>
      </c>
      <c r="D64" t="s">
        <v>48</v>
      </c>
      <c r="E64" t="s">
        <v>49</v>
      </c>
      <c r="F64" t="s">
        <v>178</v>
      </c>
      <c r="G64" s="53">
        <v>43686</v>
      </c>
      <c r="H64">
        <v>33</v>
      </c>
      <c r="I64">
        <v>9466</v>
      </c>
      <c r="J64" t="s">
        <v>50</v>
      </c>
      <c r="K64" t="s">
        <v>50</v>
      </c>
      <c r="L64" t="s">
        <v>159</v>
      </c>
      <c r="M64" t="s">
        <v>51</v>
      </c>
      <c r="N64" t="s">
        <v>92</v>
      </c>
      <c r="O64" s="1">
        <v>41335</v>
      </c>
      <c r="P64" t="s">
        <v>84</v>
      </c>
      <c r="Q64">
        <v>2</v>
      </c>
      <c r="R64" t="s">
        <v>94</v>
      </c>
      <c r="S64">
        <v>3.6725080000000001</v>
      </c>
      <c r="T64">
        <v>75.736999999999995</v>
      </c>
      <c r="U64" t="s">
        <v>349</v>
      </c>
      <c r="V64" t="s">
        <v>349</v>
      </c>
      <c r="W64">
        <v>278</v>
      </c>
    </row>
    <row r="65" spans="1:23" x14ac:dyDescent="0.3">
      <c r="A65" s="1">
        <v>43647</v>
      </c>
      <c r="B65" s="1">
        <v>43647</v>
      </c>
      <c r="C65" t="s">
        <v>157</v>
      </c>
      <c r="D65" t="s">
        <v>93</v>
      </c>
      <c r="E65" t="s">
        <v>49</v>
      </c>
      <c r="F65" t="s">
        <v>179</v>
      </c>
      <c r="G65" s="53">
        <v>43914.908402777779</v>
      </c>
      <c r="H65">
        <v>61</v>
      </c>
      <c r="I65" t="s">
        <v>349</v>
      </c>
      <c r="J65" t="s">
        <v>50</v>
      </c>
      <c r="K65" t="s">
        <v>50</v>
      </c>
      <c r="L65" t="s">
        <v>159</v>
      </c>
      <c r="M65" t="s">
        <v>51</v>
      </c>
      <c r="N65" t="s">
        <v>92</v>
      </c>
      <c r="O65" s="1">
        <v>41335</v>
      </c>
      <c r="P65" t="s">
        <v>84</v>
      </c>
      <c r="Q65">
        <v>3</v>
      </c>
      <c r="R65" t="s">
        <v>81</v>
      </c>
      <c r="S65">
        <v>1</v>
      </c>
      <c r="T65">
        <v>-3</v>
      </c>
      <c r="U65" t="s">
        <v>349</v>
      </c>
      <c r="V65" t="s">
        <v>349</v>
      </c>
      <c r="W65">
        <v>-3</v>
      </c>
    </row>
    <row r="66" spans="1:23" x14ac:dyDescent="0.3">
      <c r="A66" s="1">
        <v>43647</v>
      </c>
      <c r="B66" s="1">
        <v>43647</v>
      </c>
      <c r="C66" t="s">
        <v>157</v>
      </c>
      <c r="D66" t="s">
        <v>48</v>
      </c>
      <c r="E66" t="s">
        <v>49</v>
      </c>
      <c r="F66" t="s">
        <v>178</v>
      </c>
      <c r="G66" s="53">
        <v>43686</v>
      </c>
      <c r="H66">
        <v>33</v>
      </c>
      <c r="I66">
        <v>9466</v>
      </c>
      <c r="J66" t="s">
        <v>50</v>
      </c>
      <c r="K66" t="s">
        <v>50</v>
      </c>
      <c r="L66" t="s">
        <v>159</v>
      </c>
      <c r="M66" t="s">
        <v>51</v>
      </c>
      <c r="N66" t="s">
        <v>92</v>
      </c>
      <c r="O66" s="1">
        <v>41335</v>
      </c>
      <c r="P66" t="s">
        <v>84</v>
      </c>
      <c r="Q66">
        <v>3</v>
      </c>
      <c r="R66" t="s">
        <v>81</v>
      </c>
      <c r="S66">
        <v>171.56035499999999</v>
      </c>
      <c r="T66">
        <v>70.436999999999998</v>
      </c>
      <c r="U66" t="s">
        <v>349</v>
      </c>
      <c r="V66" t="s">
        <v>349</v>
      </c>
      <c r="W66">
        <v>12084</v>
      </c>
    </row>
    <row r="67" spans="1:23" x14ac:dyDescent="0.3">
      <c r="A67" s="1">
        <v>43647</v>
      </c>
      <c r="B67" s="1">
        <v>43647</v>
      </c>
      <c r="C67" t="s">
        <v>157</v>
      </c>
      <c r="D67" t="s">
        <v>93</v>
      </c>
      <c r="E67" t="s">
        <v>49</v>
      </c>
      <c r="F67" t="s">
        <v>179</v>
      </c>
      <c r="G67" s="53">
        <v>43914.908402777779</v>
      </c>
      <c r="H67">
        <v>61</v>
      </c>
      <c r="I67" t="s">
        <v>349</v>
      </c>
      <c r="J67" t="s">
        <v>50</v>
      </c>
      <c r="K67" t="s">
        <v>50</v>
      </c>
      <c r="L67" t="s">
        <v>159</v>
      </c>
      <c r="M67" t="s">
        <v>51</v>
      </c>
      <c r="N67" t="s">
        <v>92</v>
      </c>
      <c r="O67" s="1">
        <v>41335</v>
      </c>
      <c r="P67" t="s">
        <v>84</v>
      </c>
      <c r="Q67">
        <v>4</v>
      </c>
      <c r="R67" t="s">
        <v>27</v>
      </c>
      <c r="S67">
        <v>1</v>
      </c>
      <c r="T67">
        <v>-25</v>
      </c>
      <c r="U67" t="s">
        <v>349</v>
      </c>
      <c r="V67" t="s">
        <v>349</v>
      </c>
      <c r="W67">
        <v>-25</v>
      </c>
    </row>
    <row r="68" spans="1:23" x14ac:dyDescent="0.3">
      <c r="A68" s="1">
        <v>43647</v>
      </c>
      <c r="B68" s="1">
        <v>43647</v>
      </c>
      <c r="C68" t="s">
        <v>157</v>
      </c>
      <c r="D68" t="s">
        <v>48</v>
      </c>
      <c r="E68" t="s">
        <v>49</v>
      </c>
      <c r="F68" t="s">
        <v>178</v>
      </c>
      <c r="G68" s="53">
        <v>43686</v>
      </c>
      <c r="H68">
        <v>33</v>
      </c>
      <c r="I68">
        <v>9466</v>
      </c>
      <c r="J68" t="s">
        <v>50</v>
      </c>
      <c r="K68" t="s">
        <v>50</v>
      </c>
      <c r="L68" t="s">
        <v>159</v>
      </c>
      <c r="M68" t="s">
        <v>51</v>
      </c>
      <c r="N68" t="s">
        <v>92</v>
      </c>
      <c r="O68" s="1">
        <v>41335</v>
      </c>
      <c r="P68" t="s">
        <v>84</v>
      </c>
      <c r="Q68">
        <v>4</v>
      </c>
      <c r="R68" t="s">
        <v>27</v>
      </c>
      <c r="S68">
        <v>1210.3736879999999</v>
      </c>
      <c r="T68">
        <v>71.983999999999995</v>
      </c>
      <c r="U68" t="s">
        <v>349</v>
      </c>
      <c r="V68" t="s">
        <v>349</v>
      </c>
      <c r="W68">
        <v>87128</v>
      </c>
    </row>
    <row r="69" spans="1:23" x14ac:dyDescent="0.3">
      <c r="A69" s="1">
        <v>43647</v>
      </c>
      <c r="B69" s="1">
        <v>43647</v>
      </c>
      <c r="C69" t="s">
        <v>157</v>
      </c>
      <c r="D69" t="s">
        <v>48</v>
      </c>
      <c r="E69" t="s">
        <v>49</v>
      </c>
      <c r="F69" t="s">
        <v>178</v>
      </c>
      <c r="G69" s="53">
        <v>43686</v>
      </c>
      <c r="H69">
        <v>33</v>
      </c>
      <c r="I69">
        <v>9466</v>
      </c>
      <c r="J69" t="s">
        <v>50</v>
      </c>
      <c r="K69" t="s">
        <v>50</v>
      </c>
      <c r="L69" t="s">
        <v>159</v>
      </c>
      <c r="M69" t="s">
        <v>51</v>
      </c>
      <c r="N69" t="s">
        <v>92</v>
      </c>
      <c r="O69" s="1">
        <v>41335</v>
      </c>
      <c r="P69" t="s">
        <v>84</v>
      </c>
      <c r="Q69">
        <v>5</v>
      </c>
      <c r="R69" t="s">
        <v>28</v>
      </c>
      <c r="S69">
        <v>3.7772670000000002</v>
      </c>
      <c r="T69">
        <v>75.617000000000004</v>
      </c>
      <c r="U69" t="s">
        <v>349</v>
      </c>
      <c r="V69" t="s">
        <v>349</v>
      </c>
      <c r="W69">
        <v>286</v>
      </c>
    </row>
    <row r="70" spans="1:23" x14ac:dyDescent="0.3">
      <c r="A70" s="1">
        <v>43678</v>
      </c>
      <c r="B70" s="1">
        <v>43678</v>
      </c>
      <c r="C70" t="s">
        <v>157</v>
      </c>
      <c r="D70" t="s">
        <v>93</v>
      </c>
      <c r="E70" t="s">
        <v>49</v>
      </c>
      <c r="F70" t="s">
        <v>182</v>
      </c>
      <c r="G70" s="53">
        <v>43915.393750000003</v>
      </c>
      <c r="H70">
        <v>61</v>
      </c>
      <c r="I70" t="s">
        <v>349</v>
      </c>
      <c r="J70" t="s">
        <v>50</v>
      </c>
      <c r="K70" t="s">
        <v>50</v>
      </c>
      <c r="L70" t="s">
        <v>159</v>
      </c>
      <c r="M70" t="s">
        <v>51</v>
      </c>
      <c r="N70" t="s">
        <v>92</v>
      </c>
      <c r="O70" s="1">
        <v>41335</v>
      </c>
      <c r="P70" t="s">
        <v>84</v>
      </c>
      <c r="Q70">
        <v>1</v>
      </c>
      <c r="R70" t="s">
        <v>83</v>
      </c>
      <c r="S70">
        <v>1</v>
      </c>
      <c r="T70">
        <v>-415</v>
      </c>
      <c r="U70" t="s">
        <v>349</v>
      </c>
      <c r="V70" t="s">
        <v>349</v>
      </c>
      <c r="W70">
        <v>-415</v>
      </c>
    </row>
    <row r="71" spans="1:23" x14ac:dyDescent="0.3">
      <c r="A71" s="1">
        <v>43678</v>
      </c>
      <c r="B71" s="1">
        <v>43678</v>
      </c>
      <c r="C71" t="s">
        <v>157</v>
      </c>
      <c r="D71" t="s">
        <v>48</v>
      </c>
      <c r="E71" t="s">
        <v>49</v>
      </c>
      <c r="F71" t="s">
        <v>181</v>
      </c>
      <c r="G71" s="53">
        <v>43719</v>
      </c>
      <c r="H71">
        <v>33</v>
      </c>
      <c r="I71">
        <v>9996</v>
      </c>
      <c r="J71" t="s">
        <v>50</v>
      </c>
      <c r="K71" t="s">
        <v>50</v>
      </c>
      <c r="L71" t="s">
        <v>159</v>
      </c>
      <c r="M71" t="s">
        <v>51</v>
      </c>
      <c r="N71" t="s">
        <v>92</v>
      </c>
      <c r="O71" s="1">
        <v>41335</v>
      </c>
      <c r="P71" t="s">
        <v>84</v>
      </c>
      <c r="Q71">
        <v>1</v>
      </c>
      <c r="R71" t="s">
        <v>83</v>
      </c>
      <c r="S71">
        <v>797.16753600000004</v>
      </c>
      <c r="T71">
        <v>74.400999999999996</v>
      </c>
      <c r="U71" t="s">
        <v>349</v>
      </c>
      <c r="V71" t="s">
        <v>349</v>
      </c>
      <c r="W71">
        <v>59310</v>
      </c>
    </row>
    <row r="72" spans="1:23" x14ac:dyDescent="0.3">
      <c r="A72" s="1">
        <v>43678</v>
      </c>
      <c r="B72" s="1">
        <v>43678</v>
      </c>
      <c r="C72" t="s">
        <v>157</v>
      </c>
      <c r="D72" t="s">
        <v>93</v>
      </c>
      <c r="E72" t="s">
        <v>49</v>
      </c>
      <c r="F72" t="s">
        <v>182</v>
      </c>
      <c r="G72" s="53">
        <v>43915.393750000003</v>
      </c>
      <c r="H72">
        <v>61</v>
      </c>
      <c r="I72" t="s">
        <v>349</v>
      </c>
      <c r="J72" t="s">
        <v>50</v>
      </c>
      <c r="K72" t="s">
        <v>50</v>
      </c>
      <c r="L72" t="s">
        <v>159</v>
      </c>
      <c r="M72" t="s">
        <v>51</v>
      </c>
      <c r="N72" t="s">
        <v>92</v>
      </c>
      <c r="O72" s="1">
        <v>41335</v>
      </c>
      <c r="P72" t="s">
        <v>84</v>
      </c>
      <c r="Q72">
        <v>2</v>
      </c>
      <c r="R72" t="s">
        <v>94</v>
      </c>
      <c r="S72">
        <v>1</v>
      </c>
      <c r="T72">
        <v>-2</v>
      </c>
      <c r="U72" t="s">
        <v>349</v>
      </c>
      <c r="V72" t="s">
        <v>349</v>
      </c>
      <c r="W72">
        <v>-2</v>
      </c>
    </row>
    <row r="73" spans="1:23" x14ac:dyDescent="0.3">
      <c r="A73" s="1">
        <v>43678</v>
      </c>
      <c r="B73" s="1">
        <v>43678</v>
      </c>
      <c r="C73" t="s">
        <v>157</v>
      </c>
      <c r="D73" t="s">
        <v>48</v>
      </c>
      <c r="E73" t="s">
        <v>49</v>
      </c>
      <c r="F73" t="s">
        <v>181</v>
      </c>
      <c r="G73" s="53">
        <v>43719</v>
      </c>
      <c r="H73">
        <v>33</v>
      </c>
      <c r="I73">
        <v>9996</v>
      </c>
      <c r="J73" t="s">
        <v>50</v>
      </c>
      <c r="K73" t="s">
        <v>50</v>
      </c>
      <c r="L73" t="s">
        <v>159</v>
      </c>
      <c r="M73" t="s">
        <v>51</v>
      </c>
      <c r="N73" t="s">
        <v>92</v>
      </c>
      <c r="O73" s="1">
        <v>41335</v>
      </c>
      <c r="P73" t="s">
        <v>84</v>
      </c>
      <c r="Q73">
        <v>2</v>
      </c>
      <c r="R73" t="s">
        <v>94</v>
      </c>
      <c r="S73">
        <v>3.3512949999999999</v>
      </c>
      <c r="T73">
        <v>75.736999999999995</v>
      </c>
      <c r="U73" t="s">
        <v>349</v>
      </c>
      <c r="V73" t="s">
        <v>349</v>
      </c>
      <c r="W73">
        <v>254</v>
      </c>
    </row>
    <row r="74" spans="1:23" x14ac:dyDescent="0.3">
      <c r="A74" s="1">
        <v>43678</v>
      </c>
      <c r="B74" s="1">
        <v>43678</v>
      </c>
      <c r="C74" t="s">
        <v>157</v>
      </c>
      <c r="D74" t="s">
        <v>93</v>
      </c>
      <c r="E74" t="s">
        <v>49</v>
      </c>
      <c r="F74" t="s">
        <v>182</v>
      </c>
      <c r="G74" s="53">
        <v>43915.393750000003</v>
      </c>
      <c r="H74">
        <v>61</v>
      </c>
      <c r="I74" t="s">
        <v>349</v>
      </c>
      <c r="J74" t="s">
        <v>50</v>
      </c>
      <c r="K74" t="s">
        <v>50</v>
      </c>
      <c r="L74" t="s">
        <v>159</v>
      </c>
      <c r="M74" t="s">
        <v>51</v>
      </c>
      <c r="N74" t="s">
        <v>92</v>
      </c>
      <c r="O74" s="1">
        <v>41335</v>
      </c>
      <c r="P74" t="s">
        <v>84</v>
      </c>
      <c r="Q74">
        <v>3</v>
      </c>
      <c r="R74" t="s">
        <v>81</v>
      </c>
      <c r="S74">
        <v>1</v>
      </c>
      <c r="T74">
        <v>-80</v>
      </c>
      <c r="U74" t="s">
        <v>349</v>
      </c>
      <c r="V74" t="s">
        <v>349</v>
      </c>
      <c r="W74">
        <v>-80</v>
      </c>
    </row>
    <row r="75" spans="1:23" x14ac:dyDescent="0.3">
      <c r="A75" s="1">
        <v>43678</v>
      </c>
      <c r="B75" s="1">
        <v>43678</v>
      </c>
      <c r="C75" t="s">
        <v>157</v>
      </c>
      <c r="D75" t="s">
        <v>48</v>
      </c>
      <c r="E75" t="s">
        <v>49</v>
      </c>
      <c r="F75" t="s">
        <v>181</v>
      </c>
      <c r="G75" s="53">
        <v>43719</v>
      </c>
      <c r="H75">
        <v>33</v>
      </c>
      <c r="I75">
        <v>9996</v>
      </c>
      <c r="J75" t="s">
        <v>50</v>
      </c>
      <c r="K75" t="s">
        <v>50</v>
      </c>
      <c r="L75" t="s">
        <v>159</v>
      </c>
      <c r="M75" t="s">
        <v>51</v>
      </c>
      <c r="N75" t="s">
        <v>92</v>
      </c>
      <c r="O75" s="1">
        <v>41335</v>
      </c>
      <c r="P75" t="s">
        <v>84</v>
      </c>
      <c r="Q75">
        <v>3</v>
      </c>
      <c r="R75" t="s">
        <v>81</v>
      </c>
      <c r="S75">
        <v>162.116804</v>
      </c>
      <c r="T75">
        <v>70.436999999999998</v>
      </c>
      <c r="U75" t="s">
        <v>349</v>
      </c>
      <c r="V75" t="s">
        <v>349</v>
      </c>
      <c r="W75">
        <v>11419</v>
      </c>
    </row>
    <row r="76" spans="1:23" x14ac:dyDescent="0.3">
      <c r="A76" s="1">
        <v>43678</v>
      </c>
      <c r="B76" s="1">
        <v>43678</v>
      </c>
      <c r="C76" t="s">
        <v>157</v>
      </c>
      <c r="D76" t="s">
        <v>93</v>
      </c>
      <c r="E76" t="s">
        <v>49</v>
      </c>
      <c r="F76" t="s">
        <v>182</v>
      </c>
      <c r="G76" s="53">
        <v>43915.393750000003</v>
      </c>
      <c r="H76">
        <v>61</v>
      </c>
      <c r="I76" t="s">
        <v>349</v>
      </c>
      <c r="J76" t="s">
        <v>50</v>
      </c>
      <c r="K76" t="s">
        <v>50</v>
      </c>
      <c r="L76" t="s">
        <v>159</v>
      </c>
      <c r="M76" t="s">
        <v>51</v>
      </c>
      <c r="N76" t="s">
        <v>92</v>
      </c>
      <c r="O76" s="1">
        <v>41335</v>
      </c>
      <c r="P76" t="s">
        <v>84</v>
      </c>
      <c r="Q76">
        <v>4</v>
      </c>
      <c r="R76" t="s">
        <v>27</v>
      </c>
      <c r="S76">
        <v>1</v>
      </c>
      <c r="T76">
        <v>-572</v>
      </c>
      <c r="U76" t="s">
        <v>349</v>
      </c>
      <c r="V76" t="s">
        <v>349</v>
      </c>
      <c r="W76">
        <v>-572</v>
      </c>
    </row>
    <row r="77" spans="1:23" x14ac:dyDescent="0.3">
      <c r="A77" s="1">
        <v>43678</v>
      </c>
      <c r="B77" s="1">
        <v>43678</v>
      </c>
      <c r="C77" t="s">
        <v>157</v>
      </c>
      <c r="D77" t="s">
        <v>48</v>
      </c>
      <c r="E77" t="s">
        <v>49</v>
      </c>
      <c r="F77" t="s">
        <v>181</v>
      </c>
      <c r="G77" s="53">
        <v>43719</v>
      </c>
      <c r="H77">
        <v>33</v>
      </c>
      <c r="I77">
        <v>9996</v>
      </c>
      <c r="J77" t="s">
        <v>50</v>
      </c>
      <c r="K77" t="s">
        <v>50</v>
      </c>
      <c r="L77" t="s">
        <v>159</v>
      </c>
      <c r="M77" t="s">
        <v>51</v>
      </c>
      <c r="N77" t="s">
        <v>92</v>
      </c>
      <c r="O77" s="1">
        <v>41335</v>
      </c>
      <c r="P77" t="s">
        <v>84</v>
      </c>
      <c r="Q77">
        <v>4</v>
      </c>
      <c r="R77" t="s">
        <v>27</v>
      </c>
      <c r="S77">
        <v>1136.702366</v>
      </c>
      <c r="T77">
        <v>71.983999999999995</v>
      </c>
      <c r="U77" t="s">
        <v>349</v>
      </c>
      <c r="V77" t="s">
        <v>349</v>
      </c>
      <c r="W77">
        <v>81824</v>
      </c>
    </row>
    <row r="78" spans="1:23" x14ac:dyDescent="0.3">
      <c r="A78" s="1">
        <v>43678</v>
      </c>
      <c r="B78" s="1">
        <v>43678</v>
      </c>
      <c r="C78" t="s">
        <v>157</v>
      </c>
      <c r="D78" t="s">
        <v>93</v>
      </c>
      <c r="E78" t="s">
        <v>49</v>
      </c>
      <c r="F78" t="s">
        <v>182</v>
      </c>
      <c r="G78" s="53">
        <v>43915.393750000003</v>
      </c>
      <c r="H78">
        <v>61</v>
      </c>
      <c r="I78" t="s">
        <v>349</v>
      </c>
      <c r="J78" t="s">
        <v>50</v>
      </c>
      <c r="K78" t="s">
        <v>50</v>
      </c>
      <c r="L78" t="s">
        <v>159</v>
      </c>
      <c r="M78" t="s">
        <v>51</v>
      </c>
      <c r="N78" t="s">
        <v>92</v>
      </c>
      <c r="O78" s="1">
        <v>41335</v>
      </c>
      <c r="P78" t="s">
        <v>84</v>
      </c>
      <c r="Q78">
        <v>5</v>
      </c>
      <c r="R78" t="s">
        <v>28</v>
      </c>
      <c r="S78">
        <v>1</v>
      </c>
      <c r="T78">
        <v>-2</v>
      </c>
      <c r="U78" t="s">
        <v>349</v>
      </c>
      <c r="V78" t="s">
        <v>349</v>
      </c>
      <c r="W78">
        <v>-2</v>
      </c>
    </row>
    <row r="79" spans="1:23" x14ac:dyDescent="0.3">
      <c r="A79" s="1">
        <v>43678</v>
      </c>
      <c r="B79" s="1">
        <v>43678</v>
      </c>
      <c r="C79" t="s">
        <v>157</v>
      </c>
      <c r="D79" t="s">
        <v>48</v>
      </c>
      <c r="E79" t="s">
        <v>49</v>
      </c>
      <c r="F79" t="s">
        <v>181</v>
      </c>
      <c r="G79" s="53">
        <v>43719</v>
      </c>
      <c r="H79">
        <v>33</v>
      </c>
      <c r="I79">
        <v>9996</v>
      </c>
      <c r="J79" t="s">
        <v>50</v>
      </c>
      <c r="K79" t="s">
        <v>50</v>
      </c>
      <c r="L79" t="s">
        <v>159</v>
      </c>
      <c r="M79" t="s">
        <v>51</v>
      </c>
      <c r="N79" t="s">
        <v>92</v>
      </c>
      <c r="O79" s="1">
        <v>41335</v>
      </c>
      <c r="P79" t="s">
        <v>84</v>
      </c>
      <c r="Q79">
        <v>5</v>
      </c>
      <c r="R79" t="s">
        <v>28</v>
      </c>
      <c r="S79">
        <v>3.471597</v>
      </c>
      <c r="T79">
        <v>75.617000000000004</v>
      </c>
      <c r="U79" t="s">
        <v>349</v>
      </c>
      <c r="V79" t="s">
        <v>349</v>
      </c>
      <c r="W79">
        <v>263</v>
      </c>
    </row>
    <row r="80" spans="1:23" x14ac:dyDescent="0.3">
      <c r="A80" s="1">
        <v>43709</v>
      </c>
      <c r="B80" s="1">
        <v>43709</v>
      </c>
      <c r="C80" t="s">
        <v>157</v>
      </c>
      <c r="D80" t="s">
        <v>48</v>
      </c>
      <c r="E80" t="s">
        <v>49</v>
      </c>
      <c r="F80" t="s">
        <v>184</v>
      </c>
      <c r="G80" s="53">
        <v>43748</v>
      </c>
      <c r="H80">
        <v>33</v>
      </c>
      <c r="I80">
        <v>10390</v>
      </c>
      <c r="J80" t="s">
        <v>50</v>
      </c>
      <c r="K80" t="s">
        <v>50</v>
      </c>
      <c r="L80" t="s">
        <v>159</v>
      </c>
      <c r="M80" t="s">
        <v>51</v>
      </c>
      <c r="N80" t="s">
        <v>92</v>
      </c>
      <c r="O80" s="1">
        <v>41335</v>
      </c>
      <c r="P80" t="s">
        <v>84</v>
      </c>
      <c r="Q80">
        <v>1</v>
      </c>
      <c r="R80" t="s">
        <v>83</v>
      </c>
      <c r="S80">
        <v>755.96651699999995</v>
      </c>
      <c r="T80">
        <v>77.384</v>
      </c>
      <c r="U80" t="s">
        <v>349</v>
      </c>
      <c r="V80" t="s">
        <v>349</v>
      </c>
      <c r="W80">
        <v>58500</v>
      </c>
    </row>
    <row r="81" spans="1:23" x14ac:dyDescent="0.3">
      <c r="A81" s="1">
        <v>43709</v>
      </c>
      <c r="B81" s="1">
        <v>43709</v>
      </c>
      <c r="C81" t="s">
        <v>157</v>
      </c>
      <c r="D81" t="s">
        <v>48</v>
      </c>
      <c r="E81" t="s">
        <v>49</v>
      </c>
      <c r="F81" t="s">
        <v>184</v>
      </c>
      <c r="G81" s="53">
        <v>43748</v>
      </c>
      <c r="H81">
        <v>33</v>
      </c>
      <c r="I81">
        <v>10390</v>
      </c>
      <c r="J81" t="s">
        <v>50</v>
      </c>
      <c r="K81" t="s">
        <v>50</v>
      </c>
      <c r="L81" t="s">
        <v>159</v>
      </c>
      <c r="M81" t="s">
        <v>51</v>
      </c>
      <c r="N81" t="s">
        <v>92</v>
      </c>
      <c r="O81" s="1">
        <v>41335</v>
      </c>
      <c r="P81" t="s">
        <v>84</v>
      </c>
      <c r="Q81">
        <v>2</v>
      </c>
      <c r="R81" t="s">
        <v>94</v>
      </c>
      <c r="S81">
        <v>3.2400500000000001</v>
      </c>
      <c r="T81">
        <v>79.429000000000002</v>
      </c>
      <c r="U81" t="s">
        <v>349</v>
      </c>
      <c r="V81" t="s">
        <v>349</v>
      </c>
      <c r="W81">
        <v>257</v>
      </c>
    </row>
    <row r="82" spans="1:23" x14ac:dyDescent="0.3">
      <c r="A82" s="1">
        <v>43709</v>
      </c>
      <c r="B82" s="1">
        <v>43709</v>
      </c>
      <c r="C82" t="s">
        <v>157</v>
      </c>
      <c r="D82" t="s">
        <v>48</v>
      </c>
      <c r="E82" t="s">
        <v>49</v>
      </c>
      <c r="F82" t="s">
        <v>184</v>
      </c>
      <c r="G82" s="53">
        <v>43748</v>
      </c>
      <c r="H82">
        <v>33</v>
      </c>
      <c r="I82">
        <v>10390</v>
      </c>
      <c r="J82" t="s">
        <v>50</v>
      </c>
      <c r="K82" t="s">
        <v>50</v>
      </c>
      <c r="L82" t="s">
        <v>159</v>
      </c>
      <c r="M82" t="s">
        <v>51</v>
      </c>
      <c r="N82" t="s">
        <v>92</v>
      </c>
      <c r="O82" s="1">
        <v>41335</v>
      </c>
      <c r="P82" t="s">
        <v>84</v>
      </c>
      <c r="Q82">
        <v>3</v>
      </c>
      <c r="R82" t="s">
        <v>81</v>
      </c>
      <c r="S82">
        <v>154.713278</v>
      </c>
      <c r="T82">
        <v>72.400000000000006</v>
      </c>
      <c r="U82" t="s">
        <v>349</v>
      </c>
      <c r="V82" t="s">
        <v>349</v>
      </c>
      <c r="W82">
        <v>11201</v>
      </c>
    </row>
    <row r="83" spans="1:23" x14ac:dyDescent="0.3">
      <c r="A83" s="1">
        <v>43709</v>
      </c>
      <c r="B83" s="1">
        <v>43709</v>
      </c>
      <c r="C83" t="s">
        <v>157</v>
      </c>
      <c r="D83" t="s">
        <v>48</v>
      </c>
      <c r="E83" t="s">
        <v>49</v>
      </c>
      <c r="F83" t="s">
        <v>184</v>
      </c>
      <c r="G83" s="53">
        <v>43748</v>
      </c>
      <c r="H83">
        <v>33</v>
      </c>
      <c r="I83">
        <v>10390</v>
      </c>
      <c r="J83" t="s">
        <v>50</v>
      </c>
      <c r="K83" t="s">
        <v>50</v>
      </c>
      <c r="L83" t="s">
        <v>159</v>
      </c>
      <c r="M83" t="s">
        <v>51</v>
      </c>
      <c r="N83" t="s">
        <v>92</v>
      </c>
      <c r="O83" s="1">
        <v>41335</v>
      </c>
      <c r="P83" t="s">
        <v>84</v>
      </c>
      <c r="Q83">
        <v>4</v>
      </c>
      <c r="R83" t="s">
        <v>27</v>
      </c>
      <c r="S83">
        <v>1084.175843</v>
      </c>
      <c r="T83">
        <v>74.936000000000007</v>
      </c>
      <c r="U83" t="s">
        <v>349</v>
      </c>
      <c r="V83" t="s">
        <v>349</v>
      </c>
      <c r="W83">
        <v>81244</v>
      </c>
    </row>
    <row r="84" spans="1:23" x14ac:dyDescent="0.3">
      <c r="A84" s="1">
        <v>43709</v>
      </c>
      <c r="B84" s="1">
        <v>43709</v>
      </c>
      <c r="C84" t="s">
        <v>157</v>
      </c>
      <c r="D84" t="s">
        <v>48</v>
      </c>
      <c r="E84" t="s">
        <v>49</v>
      </c>
      <c r="F84" t="s">
        <v>184</v>
      </c>
      <c r="G84" s="53">
        <v>43748</v>
      </c>
      <c r="H84">
        <v>33</v>
      </c>
      <c r="I84">
        <v>10390</v>
      </c>
      <c r="J84" t="s">
        <v>50</v>
      </c>
      <c r="K84" t="s">
        <v>50</v>
      </c>
      <c r="L84" t="s">
        <v>159</v>
      </c>
      <c r="M84" t="s">
        <v>51</v>
      </c>
      <c r="N84" t="s">
        <v>92</v>
      </c>
      <c r="O84" s="1">
        <v>41335</v>
      </c>
      <c r="P84" t="s">
        <v>84</v>
      </c>
      <c r="Q84">
        <v>5</v>
      </c>
      <c r="R84" t="s">
        <v>28</v>
      </c>
      <c r="S84">
        <v>3.3587340000000001</v>
      </c>
      <c r="T84">
        <v>75.665000000000006</v>
      </c>
      <c r="U84" t="s">
        <v>349</v>
      </c>
      <c r="V84" t="s">
        <v>349</v>
      </c>
      <c r="W84">
        <v>254</v>
      </c>
    </row>
    <row r="85" spans="1:23" x14ac:dyDescent="0.3">
      <c r="A85" s="1">
        <v>43739</v>
      </c>
      <c r="B85" s="1">
        <v>43709</v>
      </c>
      <c r="C85" t="s">
        <v>157</v>
      </c>
      <c r="D85" t="s">
        <v>57</v>
      </c>
      <c r="E85" t="s">
        <v>49</v>
      </c>
      <c r="F85" t="s">
        <v>185</v>
      </c>
      <c r="G85" s="53">
        <v>43944.47278935185</v>
      </c>
      <c r="H85">
        <v>61</v>
      </c>
      <c r="I85" t="s">
        <v>349</v>
      </c>
      <c r="J85" t="s">
        <v>50</v>
      </c>
      <c r="K85" t="s">
        <v>50</v>
      </c>
      <c r="L85" t="s">
        <v>159</v>
      </c>
      <c r="M85" t="s">
        <v>51</v>
      </c>
      <c r="N85" t="s">
        <v>92</v>
      </c>
      <c r="O85" s="1">
        <v>41335</v>
      </c>
      <c r="P85" t="s">
        <v>84</v>
      </c>
      <c r="Q85">
        <v>1</v>
      </c>
      <c r="R85" t="s">
        <v>83</v>
      </c>
      <c r="S85">
        <v>-755.96651699999995</v>
      </c>
      <c r="T85">
        <v>77.384</v>
      </c>
      <c r="U85" t="s">
        <v>349</v>
      </c>
      <c r="V85" t="s">
        <v>349</v>
      </c>
      <c r="W85">
        <v>-58500</v>
      </c>
    </row>
    <row r="86" spans="1:23" x14ac:dyDescent="0.3">
      <c r="A86" s="1">
        <v>43739</v>
      </c>
      <c r="B86" s="1">
        <v>43709</v>
      </c>
      <c r="C86" t="s">
        <v>157</v>
      </c>
      <c r="D86" t="s">
        <v>57</v>
      </c>
      <c r="E86" t="s">
        <v>49</v>
      </c>
      <c r="F86" t="s">
        <v>188</v>
      </c>
      <c r="G86" s="53">
        <v>43944.47278935185</v>
      </c>
      <c r="H86">
        <v>61</v>
      </c>
      <c r="I86" t="s">
        <v>349</v>
      </c>
      <c r="J86" t="s">
        <v>50</v>
      </c>
      <c r="K86" t="s">
        <v>50</v>
      </c>
      <c r="L86" t="s">
        <v>159</v>
      </c>
      <c r="M86" t="s">
        <v>51</v>
      </c>
      <c r="N86" t="s">
        <v>92</v>
      </c>
      <c r="O86" s="1">
        <v>41335</v>
      </c>
      <c r="P86" t="s">
        <v>84</v>
      </c>
      <c r="Q86">
        <v>1</v>
      </c>
      <c r="R86" t="s">
        <v>83</v>
      </c>
      <c r="S86">
        <v>764.87856799999997</v>
      </c>
      <c r="T86">
        <v>74.400999999999996</v>
      </c>
      <c r="U86" t="s">
        <v>349</v>
      </c>
      <c r="V86" t="s">
        <v>349</v>
      </c>
      <c r="W86">
        <v>56908</v>
      </c>
    </row>
    <row r="87" spans="1:23" x14ac:dyDescent="0.3">
      <c r="A87" s="1">
        <v>43739</v>
      </c>
      <c r="B87" s="1">
        <v>43739</v>
      </c>
      <c r="C87" t="s">
        <v>157</v>
      </c>
      <c r="D87" t="s">
        <v>93</v>
      </c>
      <c r="E87" t="s">
        <v>49</v>
      </c>
      <c r="F87" t="s">
        <v>187</v>
      </c>
      <c r="G87" s="53">
        <v>43812</v>
      </c>
      <c r="H87">
        <v>61</v>
      </c>
      <c r="I87" t="s">
        <v>349</v>
      </c>
      <c r="J87" t="s">
        <v>50</v>
      </c>
      <c r="K87" t="s">
        <v>50</v>
      </c>
      <c r="L87" t="s">
        <v>159</v>
      </c>
      <c r="M87" t="s">
        <v>51</v>
      </c>
      <c r="N87" t="s">
        <v>92</v>
      </c>
      <c r="O87" s="1">
        <v>41335</v>
      </c>
      <c r="P87" t="s">
        <v>84</v>
      </c>
      <c r="Q87">
        <v>1</v>
      </c>
      <c r="R87" t="s">
        <v>83</v>
      </c>
      <c r="S87">
        <v>1</v>
      </c>
      <c r="T87">
        <v>-194</v>
      </c>
      <c r="U87" t="s">
        <v>349</v>
      </c>
      <c r="V87" t="s">
        <v>349</v>
      </c>
      <c r="W87">
        <v>-194</v>
      </c>
    </row>
    <row r="88" spans="1:23" x14ac:dyDescent="0.3">
      <c r="A88" s="1">
        <v>43739</v>
      </c>
      <c r="B88" s="1">
        <v>43739</v>
      </c>
      <c r="C88" t="s">
        <v>157</v>
      </c>
      <c r="D88" t="s">
        <v>48</v>
      </c>
      <c r="E88" t="s">
        <v>49</v>
      </c>
      <c r="F88" t="s">
        <v>189</v>
      </c>
      <c r="G88" s="53">
        <v>43781</v>
      </c>
      <c r="H88">
        <v>33</v>
      </c>
      <c r="I88">
        <v>10809</v>
      </c>
      <c r="J88" t="s">
        <v>50</v>
      </c>
      <c r="K88" t="s">
        <v>50</v>
      </c>
      <c r="L88" t="s">
        <v>159</v>
      </c>
      <c r="M88" t="s">
        <v>51</v>
      </c>
      <c r="N88" t="s">
        <v>92</v>
      </c>
      <c r="O88" s="1">
        <v>41335</v>
      </c>
      <c r="P88" t="s">
        <v>84</v>
      </c>
      <c r="Q88">
        <v>1</v>
      </c>
      <c r="R88" t="s">
        <v>83</v>
      </c>
      <c r="S88">
        <v>910.42412200000001</v>
      </c>
      <c r="T88">
        <v>74.400999999999996</v>
      </c>
      <c r="U88" t="s">
        <v>349</v>
      </c>
      <c r="V88" t="s">
        <v>349</v>
      </c>
      <c r="W88">
        <v>67736</v>
      </c>
    </row>
    <row r="89" spans="1:23" x14ac:dyDescent="0.3">
      <c r="A89" s="1">
        <v>43739</v>
      </c>
      <c r="B89" s="1">
        <v>43709</v>
      </c>
      <c r="C89" t="s">
        <v>157</v>
      </c>
      <c r="D89" t="s">
        <v>57</v>
      </c>
      <c r="E89" t="s">
        <v>49</v>
      </c>
      <c r="F89" t="s">
        <v>185</v>
      </c>
      <c r="G89" s="53">
        <v>43944.47278935185</v>
      </c>
      <c r="H89">
        <v>61</v>
      </c>
      <c r="I89" t="s">
        <v>349</v>
      </c>
      <c r="J89" t="s">
        <v>50</v>
      </c>
      <c r="K89" t="s">
        <v>50</v>
      </c>
      <c r="L89" t="s">
        <v>159</v>
      </c>
      <c r="M89" t="s">
        <v>51</v>
      </c>
      <c r="N89" t="s">
        <v>92</v>
      </c>
      <c r="O89" s="1">
        <v>41335</v>
      </c>
      <c r="P89" t="s">
        <v>84</v>
      </c>
      <c r="Q89">
        <v>2</v>
      </c>
      <c r="R89" t="s">
        <v>94</v>
      </c>
      <c r="S89">
        <v>-3.2400500000000001</v>
      </c>
      <c r="T89">
        <v>79.429000000000002</v>
      </c>
      <c r="U89" t="s">
        <v>349</v>
      </c>
      <c r="V89" t="s">
        <v>349</v>
      </c>
      <c r="W89">
        <v>-257</v>
      </c>
    </row>
    <row r="90" spans="1:23" x14ac:dyDescent="0.3">
      <c r="A90" s="1">
        <v>43739</v>
      </c>
      <c r="B90" s="1">
        <v>43709</v>
      </c>
      <c r="C90" t="s">
        <v>157</v>
      </c>
      <c r="D90" t="s">
        <v>57</v>
      </c>
      <c r="E90" t="s">
        <v>49</v>
      </c>
      <c r="F90" t="s">
        <v>188</v>
      </c>
      <c r="G90" s="53">
        <v>43944.47278935185</v>
      </c>
      <c r="H90">
        <v>61</v>
      </c>
      <c r="I90" t="s">
        <v>349</v>
      </c>
      <c r="J90" t="s">
        <v>50</v>
      </c>
      <c r="K90" t="s">
        <v>50</v>
      </c>
      <c r="L90" t="s">
        <v>159</v>
      </c>
      <c r="M90" t="s">
        <v>51</v>
      </c>
      <c r="N90" t="s">
        <v>92</v>
      </c>
      <c r="O90" s="1">
        <v>41335</v>
      </c>
      <c r="P90" t="s">
        <v>84</v>
      </c>
      <c r="Q90">
        <v>2</v>
      </c>
      <c r="R90" t="s">
        <v>94</v>
      </c>
      <c r="S90">
        <v>3.2782469999999999</v>
      </c>
      <c r="T90">
        <v>75.736999999999995</v>
      </c>
      <c r="U90" t="s">
        <v>349</v>
      </c>
      <c r="V90" t="s">
        <v>349</v>
      </c>
      <c r="W90">
        <v>248</v>
      </c>
    </row>
    <row r="91" spans="1:23" x14ac:dyDescent="0.3">
      <c r="A91" s="1">
        <v>43739</v>
      </c>
      <c r="B91" s="1">
        <v>43739</v>
      </c>
      <c r="C91" t="s">
        <v>157</v>
      </c>
      <c r="D91" t="s">
        <v>93</v>
      </c>
      <c r="E91" t="s">
        <v>49</v>
      </c>
      <c r="F91" t="s">
        <v>187</v>
      </c>
      <c r="G91" s="53">
        <v>43812</v>
      </c>
      <c r="H91">
        <v>61</v>
      </c>
      <c r="I91" t="s">
        <v>349</v>
      </c>
      <c r="J91" t="s">
        <v>50</v>
      </c>
      <c r="K91" t="s">
        <v>50</v>
      </c>
      <c r="L91" t="s">
        <v>159</v>
      </c>
      <c r="M91" t="s">
        <v>51</v>
      </c>
      <c r="N91" t="s">
        <v>92</v>
      </c>
      <c r="O91" s="1">
        <v>41335</v>
      </c>
      <c r="P91" t="s">
        <v>84</v>
      </c>
      <c r="Q91">
        <v>2</v>
      </c>
      <c r="R91" t="s">
        <v>94</v>
      </c>
      <c r="S91">
        <v>1</v>
      </c>
      <c r="T91">
        <v>-1</v>
      </c>
      <c r="U91" t="s">
        <v>349</v>
      </c>
      <c r="V91" t="s">
        <v>349</v>
      </c>
      <c r="W91">
        <v>-1</v>
      </c>
    </row>
    <row r="92" spans="1:23" x14ac:dyDescent="0.3">
      <c r="A92" s="1">
        <v>43739</v>
      </c>
      <c r="B92" s="1">
        <v>43739</v>
      </c>
      <c r="C92" t="s">
        <v>157</v>
      </c>
      <c r="D92" t="s">
        <v>48</v>
      </c>
      <c r="E92" t="s">
        <v>49</v>
      </c>
      <c r="F92" t="s">
        <v>189</v>
      </c>
      <c r="G92" s="53">
        <v>43781</v>
      </c>
      <c r="H92">
        <v>33</v>
      </c>
      <c r="I92">
        <v>10809</v>
      </c>
      <c r="J92" t="s">
        <v>50</v>
      </c>
      <c r="K92" t="s">
        <v>50</v>
      </c>
      <c r="L92" t="s">
        <v>159</v>
      </c>
      <c r="M92" t="s">
        <v>51</v>
      </c>
      <c r="N92" t="s">
        <v>92</v>
      </c>
      <c r="O92" s="1">
        <v>41335</v>
      </c>
      <c r="P92" t="s">
        <v>84</v>
      </c>
      <c r="Q92">
        <v>2</v>
      </c>
      <c r="R92" t="s">
        <v>94</v>
      </c>
      <c r="S92">
        <v>3.9241600000000001</v>
      </c>
      <c r="T92">
        <v>75.736999999999995</v>
      </c>
      <c r="U92" t="s">
        <v>349</v>
      </c>
      <c r="V92" t="s">
        <v>349</v>
      </c>
      <c r="W92">
        <v>297</v>
      </c>
    </row>
    <row r="93" spans="1:23" x14ac:dyDescent="0.3">
      <c r="A93" s="1">
        <v>43739</v>
      </c>
      <c r="B93" s="1">
        <v>43709</v>
      </c>
      <c r="C93" t="s">
        <v>157</v>
      </c>
      <c r="D93" t="s">
        <v>57</v>
      </c>
      <c r="E93" t="s">
        <v>49</v>
      </c>
      <c r="F93" t="s">
        <v>185</v>
      </c>
      <c r="G93" s="53">
        <v>43944.47278935185</v>
      </c>
      <c r="H93">
        <v>61</v>
      </c>
      <c r="I93" t="s">
        <v>349</v>
      </c>
      <c r="J93" t="s">
        <v>50</v>
      </c>
      <c r="K93" t="s">
        <v>50</v>
      </c>
      <c r="L93" t="s">
        <v>159</v>
      </c>
      <c r="M93" t="s">
        <v>51</v>
      </c>
      <c r="N93" t="s">
        <v>92</v>
      </c>
      <c r="O93" s="1">
        <v>41335</v>
      </c>
      <c r="P93" t="s">
        <v>84</v>
      </c>
      <c r="Q93">
        <v>3</v>
      </c>
      <c r="R93" t="s">
        <v>81</v>
      </c>
      <c r="S93">
        <v>-154.713278</v>
      </c>
      <c r="T93">
        <v>72.400000000000006</v>
      </c>
      <c r="U93" t="s">
        <v>349</v>
      </c>
      <c r="V93" t="s">
        <v>349</v>
      </c>
      <c r="W93">
        <v>-11201</v>
      </c>
    </row>
    <row r="94" spans="1:23" x14ac:dyDescent="0.3">
      <c r="A94" s="1">
        <v>43739</v>
      </c>
      <c r="B94" s="1">
        <v>43709</v>
      </c>
      <c r="C94" t="s">
        <v>157</v>
      </c>
      <c r="D94" t="s">
        <v>57</v>
      </c>
      <c r="E94" t="s">
        <v>49</v>
      </c>
      <c r="F94" t="s">
        <v>188</v>
      </c>
      <c r="G94" s="53">
        <v>43944.47278935185</v>
      </c>
      <c r="H94">
        <v>61</v>
      </c>
      <c r="I94" t="s">
        <v>349</v>
      </c>
      <c r="J94" t="s">
        <v>50</v>
      </c>
      <c r="K94" t="s">
        <v>50</v>
      </c>
      <c r="L94" t="s">
        <v>159</v>
      </c>
      <c r="M94" t="s">
        <v>51</v>
      </c>
      <c r="N94" t="s">
        <v>92</v>
      </c>
      <c r="O94" s="1">
        <v>41335</v>
      </c>
      <c r="P94" t="s">
        <v>84</v>
      </c>
      <c r="Q94">
        <v>3</v>
      </c>
      <c r="R94" t="s">
        <v>81</v>
      </c>
      <c r="S94">
        <v>156.53718499999999</v>
      </c>
      <c r="T94">
        <v>70.436999999999998</v>
      </c>
      <c r="U94" t="s">
        <v>349</v>
      </c>
      <c r="V94" t="s">
        <v>349</v>
      </c>
      <c r="W94">
        <v>11026</v>
      </c>
    </row>
    <row r="95" spans="1:23" x14ac:dyDescent="0.3">
      <c r="A95" s="1">
        <v>43739</v>
      </c>
      <c r="B95" s="1">
        <v>43739</v>
      </c>
      <c r="C95" t="s">
        <v>157</v>
      </c>
      <c r="D95" t="s">
        <v>93</v>
      </c>
      <c r="E95" t="s">
        <v>49</v>
      </c>
      <c r="F95" t="s">
        <v>187</v>
      </c>
      <c r="G95" s="53">
        <v>43812</v>
      </c>
      <c r="H95">
        <v>61</v>
      </c>
      <c r="I95" t="s">
        <v>349</v>
      </c>
      <c r="J95" t="s">
        <v>50</v>
      </c>
      <c r="K95" t="s">
        <v>50</v>
      </c>
      <c r="L95" t="s">
        <v>159</v>
      </c>
      <c r="M95" t="s">
        <v>51</v>
      </c>
      <c r="N95" t="s">
        <v>92</v>
      </c>
      <c r="O95" s="1">
        <v>41335</v>
      </c>
      <c r="P95" t="s">
        <v>84</v>
      </c>
      <c r="Q95">
        <v>3</v>
      </c>
      <c r="R95" t="s">
        <v>81</v>
      </c>
      <c r="S95">
        <v>1</v>
      </c>
      <c r="T95">
        <v>-38</v>
      </c>
      <c r="U95" t="s">
        <v>349</v>
      </c>
      <c r="V95" t="s">
        <v>349</v>
      </c>
      <c r="W95">
        <v>-38</v>
      </c>
    </row>
    <row r="96" spans="1:23" x14ac:dyDescent="0.3">
      <c r="A96" s="1">
        <v>43739</v>
      </c>
      <c r="B96" s="1">
        <v>43739</v>
      </c>
      <c r="C96" t="s">
        <v>157</v>
      </c>
      <c r="D96" t="s">
        <v>48</v>
      </c>
      <c r="E96" t="s">
        <v>49</v>
      </c>
      <c r="F96" t="s">
        <v>189</v>
      </c>
      <c r="G96" s="53">
        <v>43781</v>
      </c>
      <c r="H96">
        <v>33</v>
      </c>
      <c r="I96">
        <v>10809</v>
      </c>
      <c r="J96" t="s">
        <v>50</v>
      </c>
      <c r="K96" t="s">
        <v>50</v>
      </c>
      <c r="L96" t="s">
        <v>159</v>
      </c>
      <c r="M96" t="s">
        <v>51</v>
      </c>
      <c r="N96" t="s">
        <v>92</v>
      </c>
      <c r="O96" s="1">
        <v>41335</v>
      </c>
      <c r="P96" t="s">
        <v>84</v>
      </c>
      <c r="Q96">
        <v>3</v>
      </c>
      <c r="R96" t="s">
        <v>81</v>
      </c>
      <c r="S96">
        <v>188.286708</v>
      </c>
      <c r="T96">
        <v>70.436999999999998</v>
      </c>
      <c r="U96" t="s">
        <v>349</v>
      </c>
      <c r="V96" t="s">
        <v>349</v>
      </c>
      <c r="W96">
        <v>13262</v>
      </c>
    </row>
    <row r="97" spans="1:23" x14ac:dyDescent="0.3">
      <c r="A97" s="1">
        <v>43739</v>
      </c>
      <c r="B97" s="1">
        <v>43709</v>
      </c>
      <c r="C97" t="s">
        <v>157</v>
      </c>
      <c r="D97" t="s">
        <v>57</v>
      </c>
      <c r="E97" t="s">
        <v>49</v>
      </c>
      <c r="F97" t="s">
        <v>185</v>
      </c>
      <c r="G97" s="53">
        <v>43944.47278935185</v>
      </c>
      <c r="H97">
        <v>61</v>
      </c>
      <c r="I97" t="s">
        <v>349</v>
      </c>
      <c r="J97" t="s">
        <v>50</v>
      </c>
      <c r="K97" t="s">
        <v>50</v>
      </c>
      <c r="L97" t="s">
        <v>159</v>
      </c>
      <c r="M97" t="s">
        <v>51</v>
      </c>
      <c r="N97" t="s">
        <v>92</v>
      </c>
      <c r="O97" s="1">
        <v>41335</v>
      </c>
      <c r="P97" t="s">
        <v>84</v>
      </c>
      <c r="Q97">
        <v>4</v>
      </c>
      <c r="R97" t="s">
        <v>27</v>
      </c>
      <c r="S97">
        <v>-1084.175843</v>
      </c>
      <c r="T97">
        <v>74.936000000000007</v>
      </c>
      <c r="U97" t="s">
        <v>349</v>
      </c>
      <c r="V97" t="s">
        <v>349</v>
      </c>
      <c r="W97">
        <v>-81244</v>
      </c>
    </row>
    <row r="98" spans="1:23" x14ac:dyDescent="0.3">
      <c r="A98" s="1">
        <v>43739</v>
      </c>
      <c r="B98" s="1">
        <v>43709</v>
      </c>
      <c r="C98" t="s">
        <v>157</v>
      </c>
      <c r="D98" t="s">
        <v>57</v>
      </c>
      <c r="E98" t="s">
        <v>49</v>
      </c>
      <c r="F98" t="s">
        <v>188</v>
      </c>
      <c r="G98" s="53">
        <v>43944.47278935185</v>
      </c>
      <c r="H98">
        <v>61</v>
      </c>
      <c r="I98" t="s">
        <v>349</v>
      </c>
      <c r="J98" t="s">
        <v>50</v>
      </c>
      <c r="K98" t="s">
        <v>50</v>
      </c>
      <c r="L98" t="s">
        <v>159</v>
      </c>
      <c r="M98" t="s">
        <v>51</v>
      </c>
      <c r="N98" t="s">
        <v>92</v>
      </c>
      <c r="O98" s="1">
        <v>41335</v>
      </c>
      <c r="P98" t="s">
        <v>84</v>
      </c>
      <c r="Q98">
        <v>4</v>
      </c>
      <c r="R98" t="s">
        <v>27</v>
      </c>
      <c r="S98">
        <v>1096.9571370000001</v>
      </c>
      <c r="T98">
        <v>71.983999999999995</v>
      </c>
      <c r="U98" t="s">
        <v>349</v>
      </c>
      <c r="V98" t="s">
        <v>349</v>
      </c>
      <c r="W98">
        <v>78963</v>
      </c>
    </row>
    <row r="99" spans="1:23" x14ac:dyDescent="0.3">
      <c r="A99" s="1">
        <v>43739</v>
      </c>
      <c r="B99" s="1">
        <v>43739</v>
      </c>
      <c r="C99" t="s">
        <v>157</v>
      </c>
      <c r="D99" t="s">
        <v>93</v>
      </c>
      <c r="E99" t="s">
        <v>49</v>
      </c>
      <c r="F99" t="s">
        <v>187</v>
      </c>
      <c r="G99" s="53">
        <v>43812</v>
      </c>
      <c r="H99">
        <v>61</v>
      </c>
      <c r="I99" t="s">
        <v>349</v>
      </c>
      <c r="J99" t="s">
        <v>50</v>
      </c>
      <c r="K99" t="s">
        <v>50</v>
      </c>
      <c r="L99" t="s">
        <v>159</v>
      </c>
      <c r="M99" t="s">
        <v>51</v>
      </c>
      <c r="N99" t="s">
        <v>92</v>
      </c>
      <c r="O99" s="1">
        <v>41335</v>
      </c>
      <c r="P99" t="s">
        <v>84</v>
      </c>
      <c r="Q99">
        <v>4</v>
      </c>
      <c r="R99" t="s">
        <v>27</v>
      </c>
      <c r="S99">
        <v>1</v>
      </c>
      <c r="T99">
        <v>-270</v>
      </c>
      <c r="U99" t="s">
        <v>349</v>
      </c>
      <c r="V99" t="s">
        <v>349</v>
      </c>
      <c r="W99">
        <v>-270</v>
      </c>
    </row>
    <row r="100" spans="1:23" x14ac:dyDescent="0.3">
      <c r="A100" s="1">
        <v>43739</v>
      </c>
      <c r="B100" s="1">
        <v>43739</v>
      </c>
      <c r="C100" t="s">
        <v>157</v>
      </c>
      <c r="D100" t="s">
        <v>48</v>
      </c>
      <c r="E100" t="s">
        <v>49</v>
      </c>
      <c r="F100" t="s">
        <v>189</v>
      </c>
      <c r="G100" s="53">
        <v>43781</v>
      </c>
      <c r="H100">
        <v>33</v>
      </c>
      <c r="I100">
        <v>10809</v>
      </c>
      <c r="J100" t="s">
        <v>50</v>
      </c>
      <c r="K100" t="s">
        <v>50</v>
      </c>
      <c r="L100" t="s">
        <v>159</v>
      </c>
      <c r="M100" t="s">
        <v>51</v>
      </c>
      <c r="N100" t="s">
        <v>92</v>
      </c>
      <c r="O100" s="1">
        <v>41335</v>
      </c>
      <c r="P100" t="s">
        <v>84</v>
      </c>
      <c r="Q100">
        <v>4</v>
      </c>
      <c r="R100" t="s">
        <v>27</v>
      </c>
      <c r="S100">
        <v>1311.6713199999999</v>
      </c>
      <c r="T100">
        <v>71.983999999999995</v>
      </c>
      <c r="U100" t="s">
        <v>349</v>
      </c>
      <c r="V100" t="s">
        <v>349</v>
      </c>
      <c r="W100">
        <v>94419</v>
      </c>
    </row>
    <row r="101" spans="1:23" x14ac:dyDescent="0.3">
      <c r="A101" s="1">
        <v>43739</v>
      </c>
      <c r="B101" s="1">
        <v>43709</v>
      </c>
      <c r="C101" t="s">
        <v>157</v>
      </c>
      <c r="D101" t="s">
        <v>57</v>
      </c>
      <c r="E101" t="s">
        <v>49</v>
      </c>
      <c r="F101" t="s">
        <v>185</v>
      </c>
      <c r="G101" s="53">
        <v>43944.47278935185</v>
      </c>
      <c r="H101">
        <v>61</v>
      </c>
      <c r="I101" t="s">
        <v>349</v>
      </c>
      <c r="J101" t="s">
        <v>50</v>
      </c>
      <c r="K101" t="s">
        <v>50</v>
      </c>
      <c r="L101" t="s">
        <v>159</v>
      </c>
      <c r="M101" t="s">
        <v>51</v>
      </c>
      <c r="N101" t="s">
        <v>92</v>
      </c>
      <c r="O101" s="1">
        <v>41335</v>
      </c>
      <c r="P101" t="s">
        <v>84</v>
      </c>
      <c r="Q101">
        <v>5</v>
      </c>
      <c r="R101" t="s">
        <v>28</v>
      </c>
      <c r="S101">
        <v>-3.3587340000000001</v>
      </c>
      <c r="T101">
        <v>75.665000000000006</v>
      </c>
      <c r="U101" t="s">
        <v>349</v>
      </c>
      <c r="V101" t="s">
        <v>349</v>
      </c>
      <c r="W101">
        <v>-254</v>
      </c>
    </row>
    <row r="102" spans="1:23" x14ac:dyDescent="0.3">
      <c r="A102" s="1">
        <v>43739</v>
      </c>
      <c r="B102" s="1">
        <v>43709</v>
      </c>
      <c r="C102" t="s">
        <v>157</v>
      </c>
      <c r="D102" t="s">
        <v>57</v>
      </c>
      <c r="E102" t="s">
        <v>49</v>
      </c>
      <c r="F102" t="s">
        <v>188</v>
      </c>
      <c r="G102" s="53">
        <v>43944.47278935185</v>
      </c>
      <c r="H102">
        <v>61</v>
      </c>
      <c r="I102" t="s">
        <v>349</v>
      </c>
      <c r="J102" t="s">
        <v>50</v>
      </c>
      <c r="K102" t="s">
        <v>50</v>
      </c>
      <c r="L102" t="s">
        <v>159</v>
      </c>
      <c r="M102" t="s">
        <v>51</v>
      </c>
      <c r="N102" t="s">
        <v>92</v>
      </c>
      <c r="O102" s="1">
        <v>41335</v>
      </c>
      <c r="P102" t="s">
        <v>84</v>
      </c>
      <c r="Q102">
        <v>5</v>
      </c>
      <c r="R102" t="s">
        <v>28</v>
      </c>
      <c r="S102">
        <v>3.3983300000000001</v>
      </c>
      <c r="T102">
        <v>75.617000000000004</v>
      </c>
      <c r="U102" t="s">
        <v>349</v>
      </c>
      <c r="V102" t="s">
        <v>349</v>
      </c>
      <c r="W102">
        <v>257</v>
      </c>
    </row>
    <row r="103" spans="1:23" x14ac:dyDescent="0.3">
      <c r="A103" s="1">
        <v>43739</v>
      </c>
      <c r="B103" s="1">
        <v>43739</v>
      </c>
      <c r="C103" t="s">
        <v>157</v>
      </c>
      <c r="D103" t="s">
        <v>93</v>
      </c>
      <c r="E103" t="s">
        <v>49</v>
      </c>
      <c r="F103" t="s">
        <v>187</v>
      </c>
      <c r="G103" s="53">
        <v>43812</v>
      </c>
      <c r="H103">
        <v>61</v>
      </c>
      <c r="I103" t="s">
        <v>349</v>
      </c>
      <c r="J103" t="s">
        <v>50</v>
      </c>
      <c r="K103" t="s">
        <v>50</v>
      </c>
      <c r="L103" t="s">
        <v>159</v>
      </c>
      <c r="M103" t="s">
        <v>51</v>
      </c>
      <c r="N103" t="s">
        <v>92</v>
      </c>
      <c r="O103" s="1">
        <v>41335</v>
      </c>
      <c r="P103" t="s">
        <v>84</v>
      </c>
      <c r="Q103">
        <v>5</v>
      </c>
      <c r="R103" t="s">
        <v>28</v>
      </c>
      <c r="S103">
        <v>1</v>
      </c>
      <c r="T103">
        <v>-1</v>
      </c>
      <c r="U103" t="s">
        <v>349</v>
      </c>
      <c r="V103" t="s">
        <v>349</v>
      </c>
      <c r="W103">
        <v>-1</v>
      </c>
    </row>
    <row r="104" spans="1:23" x14ac:dyDescent="0.3">
      <c r="A104" s="1">
        <v>43739</v>
      </c>
      <c r="B104" s="1">
        <v>43739</v>
      </c>
      <c r="C104" t="s">
        <v>157</v>
      </c>
      <c r="D104" t="s">
        <v>48</v>
      </c>
      <c r="E104" t="s">
        <v>49</v>
      </c>
      <c r="F104" t="s">
        <v>189</v>
      </c>
      <c r="G104" s="53">
        <v>43781</v>
      </c>
      <c r="H104">
        <v>33</v>
      </c>
      <c r="I104">
        <v>10809</v>
      </c>
      <c r="J104" t="s">
        <v>50</v>
      </c>
      <c r="K104" t="s">
        <v>50</v>
      </c>
      <c r="L104" t="s">
        <v>159</v>
      </c>
      <c r="M104" t="s">
        <v>51</v>
      </c>
      <c r="N104" t="s">
        <v>92</v>
      </c>
      <c r="O104" s="1">
        <v>41335</v>
      </c>
      <c r="P104" t="s">
        <v>84</v>
      </c>
      <c r="Q104">
        <v>5</v>
      </c>
      <c r="R104" t="s">
        <v>28</v>
      </c>
      <c r="S104">
        <v>4.0964470000000004</v>
      </c>
      <c r="T104">
        <v>75.617000000000004</v>
      </c>
      <c r="U104" t="s">
        <v>349</v>
      </c>
      <c r="V104" t="s">
        <v>349</v>
      </c>
      <c r="W104">
        <v>310</v>
      </c>
    </row>
    <row r="105" spans="1:23" x14ac:dyDescent="0.3">
      <c r="A105" s="1">
        <v>43770</v>
      </c>
      <c r="B105" s="1">
        <v>43770</v>
      </c>
      <c r="C105" t="s">
        <v>157</v>
      </c>
      <c r="D105" t="s">
        <v>93</v>
      </c>
      <c r="E105" t="s">
        <v>49</v>
      </c>
      <c r="F105" t="s">
        <v>192</v>
      </c>
      <c r="G105" s="53">
        <v>43837</v>
      </c>
      <c r="H105">
        <v>61</v>
      </c>
      <c r="I105" t="s">
        <v>349</v>
      </c>
      <c r="J105" t="s">
        <v>50</v>
      </c>
      <c r="K105" t="s">
        <v>50</v>
      </c>
      <c r="L105" t="s">
        <v>159</v>
      </c>
      <c r="M105" t="s">
        <v>51</v>
      </c>
      <c r="N105" t="s">
        <v>92</v>
      </c>
      <c r="O105" s="1">
        <v>41335</v>
      </c>
      <c r="P105" t="s">
        <v>84</v>
      </c>
      <c r="Q105">
        <v>1</v>
      </c>
      <c r="R105" t="s">
        <v>83</v>
      </c>
      <c r="S105">
        <v>1</v>
      </c>
      <c r="T105">
        <v>-130</v>
      </c>
      <c r="U105" t="s">
        <v>349</v>
      </c>
      <c r="V105" t="s">
        <v>349</v>
      </c>
      <c r="W105">
        <v>-130</v>
      </c>
    </row>
    <row r="106" spans="1:23" x14ac:dyDescent="0.3">
      <c r="A106" s="1">
        <v>43770</v>
      </c>
      <c r="B106" s="1">
        <v>43770</v>
      </c>
      <c r="C106" t="s">
        <v>157</v>
      </c>
      <c r="D106" t="s">
        <v>48</v>
      </c>
      <c r="E106" t="s">
        <v>49</v>
      </c>
      <c r="F106" t="s">
        <v>193</v>
      </c>
      <c r="G106" s="53">
        <v>43805</v>
      </c>
      <c r="H106">
        <v>33</v>
      </c>
      <c r="I106">
        <v>11167</v>
      </c>
      <c r="J106" t="s">
        <v>50</v>
      </c>
      <c r="K106" t="s">
        <v>50</v>
      </c>
      <c r="L106" t="s">
        <v>159</v>
      </c>
      <c r="M106" t="s">
        <v>51</v>
      </c>
      <c r="N106" t="s">
        <v>92</v>
      </c>
      <c r="O106" s="1">
        <v>41335</v>
      </c>
      <c r="P106" t="s">
        <v>84</v>
      </c>
      <c r="Q106">
        <v>1</v>
      </c>
      <c r="R106" t="s">
        <v>83</v>
      </c>
      <c r="S106">
        <v>1175.9684259999999</v>
      </c>
      <c r="T106">
        <v>74.400999999999996</v>
      </c>
      <c r="U106" t="s">
        <v>349</v>
      </c>
      <c r="V106" t="s">
        <v>349</v>
      </c>
      <c r="W106">
        <v>87493</v>
      </c>
    </row>
    <row r="107" spans="1:23" x14ac:dyDescent="0.3">
      <c r="A107" s="1">
        <v>43770</v>
      </c>
      <c r="B107" s="1">
        <v>43770</v>
      </c>
      <c r="C107" t="s">
        <v>157</v>
      </c>
      <c r="D107" t="s">
        <v>48</v>
      </c>
      <c r="E107" t="s">
        <v>49</v>
      </c>
      <c r="F107" t="s">
        <v>193</v>
      </c>
      <c r="G107" s="53">
        <v>43805</v>
      </c>
      <c r="H107">
        <v>33</v>
      </c>
      <c r="I107">
        <v>11167</v>
      </c>
      <c r="J107" t="s">
        <v>50</v>
      </c>
      <c r="K107" t="s">
        <v>50</v>
      </c>
      <c r="L107" t="s">
        <v>159</v>
      </c>
      <c r="M107" t="s">
        <v>51</v>
      </c>
      <c r="N107" t="s">
        <v>92</v>
      </c>
      <c r="O107" s="1">
        <v>41335</v>
      </c>
      <c r="P107" t="s">
        <v>84</v>
      </c>
      <c r="Q107">
        <v>2</v>
      </c>
      <c r="R107" t="s">
        <v>94</v>
      </c>
      <c r="S107">
        <v>4.4374760000000002</v>
      </c>
      <c r="T107">
        <v>75.736999999999995</v>
      </c>
      <c r="U107" t="s">
        <v>349</v>
      </c>
      <c r="V107" t="s">
        <v>349</v>
      </c>
      <c r="W107">
        <v>336</v>
      </c>
    </row>
    <row r="108" spans="1:23" x14ac:dyDescent="0.3">
      <c r="A108" s="1">
        <v>43770</v>
      </c>
      <c r="B108" s="1">
        <v>43770</v>
      </c>
      <c r="C108" t="s">
        <v>157</v>
      </c>
      <c r="D108" t="s">
        <v>93</v>
      </c>
      <c r="E108" t="s">
        <v>49</v>
      </c>
      <c r="F108" t="s">
        <v>192</v>
      </c>
      <c r="G108" s="53">
        <v>43837</v>
      </c>
      <c r="H108">
        <v>61</v>
      </c>
      <c r="I108" t="s">
        <v>349</v>
      </c>
      <c r="J108" t="s">
        <v>50</v>
      </c>
      <c r="K108" t="s">
        <v>50</v>
      </c>
      <c r="L108" t="s">
        <v>159</v>
      </c>
      <c r="M108" t="s">
        <v>51</v>
      </c>
      <c r="N108" t="s">
        <v>92</v>
      </c>
      <c r="O108" s="1">
        <v>41335</v>
      </c>
      <c r="P108" t="s">
        <v>84</v>
      </c>
      <c r="Q108">
        <v>3</v>
      </c>
      <c r="R108" t="s">
        <v>81</v>
      </c>
      <c r="S108">
        <v>1</v>
      </c>
      <c r="T108">
        <v>-25</v>
      </c>
      <c r="U108" t="s">
        <v>349</v>
      </c>
      <c r="V108" t="s">
        <v>349</v>
      </c>
      <c r="W108">
        <v>-25</v>
      </c>
    </row>
    <row r="109" spans="1:23" x14ac:dyDescent="0.3">
      <c r="A109" s="1">
        <v>43770</v>
      </c>
      <c r="B109" s="1">
        <v>43770</v>
      </c>
      <c r="C109" t="s">
        <v>157</v>
      </c>
      <c r="D109" t="s">
        <v>48</v>
      </c>
      <c r="E109" t="s">
        <v>49</v>
      </c>
      <c r="F109" t="s">
        <v>193</v>
      </c>
      <c r="G109" s="53">
        <v>43805</v>
      </c>
      <c r="H109">
        <v>33</v>
      </c>
      <c r="I109">
        <v>11167</v>
      </c>
      <c r="J109" t="s">
        <v>50</v>
      </c>
      <c r="K109" t="s">
        <v>50</v>
      </c>
      <c r="L109" t="s">
        <v>159</v>
      </c>
      <c r="M109" t="s">
        <v>51</v>
      </c>
      <c r="N109" t="s">
        <v>92</v>
      </c>
      <c r="O109" s="1">
        <v>41335</v>
      </c>
      <c r="P109" t="s">
        <v>84</v>
      </c>
      <c r="Q109">
        <v>3</v>
      </c>
      <c r="R109" t="s">
        <v>81</v>
      </c>
      <c r="S109">
        <v>237.000969</v>
      </c>
      <c r="T109">
        <v>70.436999999999998</v>
      </c>
      <c r="U109" t="s">
        <v>349</v>
      </c>
      <c r="V109" t="s">
        <v>349</v>
      </c>
      <c r="W109">
        <v>16694</v>
      </c>
    </row>
    <row r="110" spans="1:23" x14ac:dyDescent="0.3">
      <c r="A110" s="1">
        <v>43770</v>
      </c>
      <c r="B110" s="1">
        <v>43770</v>
      </c>
      <c r="C110" t="s">
        <v>157</v>
      </c>
      <c r="D110" t="s">
        <v>93</v>
      </c>
      <c r="E110" t="s">
        <v>49</v>
      </c>
      <c r="F110" t="s">
        <v>192</v>
      </c>
      <c r="G110" s="53">
        <v>43837</v>
      </c>
      <c r="H110">
        <v>61</v>
      </c>
      <c r="I110" t="s">
        <v>349</v>
      </c>
      <c r="J110" t="s">
        <v>50</v>
      </c>
      <c r="K110" t="s">
        <v>50</v>
      </c>
      <c r="L110" t="s">
        <v>159</v>
      </c>
      <c r="M110" t="s">
        <v>51</v>
      </c>
      <c r="N110" t="s">
        <v>92</v>
      </c>
      <c r="O110" s="1">
        <v>41335</v>
      </c>
      <c r="P110" t="s">
        <v>84</v>
      </c>
      <c r="Q110">
        <v>4</v>
      </c>
      <c r="R110" t="s">
        <v>27</v>
      </c>
      <c r="S110">
        <v>1</v>
      </c>
      <c r="T110">
        <v>-176</v>
      </c>
      <c r="U110" t="s">
        <v>349</v>
      </c>
      <c r="V110" t="s">
        <v>349</v>
      </c>
      <c r="W110">
        <v>-176</v>
      </c>
    </row>
    <row r="111" spans="1:23" x14ac:dyDescent="0.3">
      <c r="A111" s="1">
        <v>43770</v>
      </c>
      <c r="B111" s="1">
        <v>43770</v>
      </c>
      <c r="C111" t="s">
        <v>157</v>
      </c>
      <c r="D111" t="s">
        <v>48</v>
      </c>
      <c r="E111" t="s">
        <v>49</v>
      </c>
      <c r="F111" t="s">
        <v>193</v>
      </c>
      <c r="G111" s="53">
        <v>43805</v>
      </c>
      <c r="H111">
        <v>33</v>
      </c>
      <c r="I111">
        <v>11167</v>
      </c>
      <c r="J111" t="s">
        <v>50</v>
      </c>
      <c r="K111" t="s">
        <v>50</v>
      </c>
      <c r="L111" t="s">
        <v>159</v>
      </c>
      <c r="M111" t="s">
        <v>51</v>
      </c>
      <c r="N111" t="s">
        <v>92</v>
      </c>
      <c r="O111" s="1">
        <v>41335</v>
      </c>
      <c r="P111" t="s">
        <v>84</v>
      </c>
      <c r="Q111">
        <v>4</v>
      </c>
      <c r="R111" t="s">
        <v>27</v>
      </c>
      <c r="S111">
        <v>1639.539798</v>
      </c>
      <c r="T111">
        <v>71.983999999999995</v>
      </c>
      <c r="U111" t="s">
        <v>349</v>
      </c>
      <c r="V111" t="s">
        <v>349</v>
      </c>
      <c r="W111">
        <v>118021</v>
      </c>
    </row>
    <row r="112" spans="1:23" x14ac:dyDescent="0.3">
      <c r="A112" s="1">
        <v>43770</v>
      </c>
      <c r="B112" s="1">
        <v>43770</v>
      </c>
      <c r="C112" t="s">
        <v>157</v>
      </c>
      <c r="D112" t="s">
        <v>93</v>
      </c>
      <c r="E112" t="s">
        <v>49</v>
      </c>
      <c r="F112" t="s">
        <v>192</v>
      </c>
      <c r="G112" s="53">
        <v>43837</v>
      </c>
      <c r="H112">
        <v>61</v>
      </c>
      <c r="I112" t="s">
        <v>349</v>
      </c>
      <c r="J112" t="s">
        <v>50</v>
      </c>
      <c r="K112" t="s">
        <v>50</v>
      </c>
      <c r="L112" t="s">
        <v>159</v>
      </c>
      <c r="M112" t="s">
        <v>51</v>
      </c>
      <c r="N112" t="s">
        <v>92</v>
      </c>
      <c r="O112" s="1">
        <v>41335</v>
      </c>
      <c r="P112" t="s">
        <v>84</v>
      </c>
      <c r="Q112">
        <v>5</v>
      </c>
      <c r="R112" t="s">
        <v>28</v>
      </c>
      <c r="S112">
        <v>1</v>
      </c>
      <c r="T112">
        <v>-1</v>
      </c>
      <c r="U112" t="s">
        <v>349</v>
      </c>
      <c r="V112" t="s">
        <v>349</v>
      </c>
      <c r="W112">
        <v>-1</v>
      </c>
    </row>
    <row r="113" spans="1:23" x14ac:dyDescent="0.3">
      <c r="A113" s="1">
        <v>43770</v>
      </c>
      <c r="B113" s="1">
        <v>43770</v>
      </c>
      <c r="C113" t="s">
        <v>157</v>
      </c>
      <c r="D113" t="s">
        <v>48</v>
      </c>
      <c r="E113" t="s">
        <v>49</v>
      </c>
      <c r="F113" t="s">
        <v>193</v>
      </c>
      <c r="G113" s="53">
        <v>43805</v>
      </c>
      <c r="H113">
        <v>33</v>
      </c>
      <c r="I113">
        <v>11167</v>
      </c>
      <c r="J113" t="s">
        <v>50</v>
      </c>
      <c r="K113" t="s">
        <v>50</v>
      </c>
      <c r="L113" t="s">
        <v>159</v>
      </c>
      <c r="M113" t="s">
        <v>51</v>
      </c>
      <c r="N113" t="s">
        <v>92</v>
      </c>
      <c r="O113" s="1">
        <v>41335</v>
      </c>
      <c r="P113" t="s">
        <v>84</v>
      </c>
      <c r="Q113">
        <v>5</v>
      </c>
      <c r="R113" t="s">
        <v>28</v>
      </c>
      <c r="S113">
        <v>4.6772220000000004</v>
      </c>
      <c r="T113">
        <v>75.617000000000004</v>
      </c>
      <c r="U113" t="s">
        <v>349</v>
      </c>
      <c r="V113" t="s">
        <v>349</v>
      </c>
      <c r="W113">
        <v>354</v>
      </c>
    </row>
    <row r="114" spans="1:23" x14ac:dyDescent="0.3">
      <c r="A114" s="1">
        <v>43800</v>
      </c>
      <c r="B114" s="1">
        <v>43800</v>
      </c>
      <c r="C114" t="s">
        <v>157</v>
      </c>
      <c r="D114" t="s">
        <v>93</v>
      </c>
      <c r="E114" t="s">
        <v>49</v>
      </c>
      <c r="F114" t="s">
        <v>194</v>
      </c>
      <c r="G114" s="53">
        <v>43928.729247685187</v>
      </c>
      <c r="H114">
        <v>33</v>
      </c>
      <c r="I114" t="s">
        <v>349</v>
      </c>
      <c r="J114" t="s">
        <v>50</v>
      </c>
      <c r="K114" t="s">
        <v>50</v>
      </c>
      <c r="L114" t="s">
        <v>159</v>
      </c>
      <c r="M114" t="s">
        <v>51</v>
      </c>
      <c r="N114" t="s">
        <v>92</v>
      </c>
      <c r="O114" s="1">
        <v>41335</v>
      </c>
      <c r="P114" t="s">
        <v>84</v>
      </c>
      <c r="Q114">
        <v>1</v>
      </c>
      <c r="R114" t="s">
        <v>83</v>
      </c>
      <c r="S114">
        <v>1</v>
      </c>
      <c r="T114">
        <v>598</v>
      </c>
      <c r="U114" t="s">
        <v>349</v>
      </c>
      <c r="V114" t="s">
        <v>349</v>
      </c>
      <c r="W114">
        <v>598</v>
      </c>
    </row>
    <row r="115" spans="1:23" x14ac:dyDescent="0.3">
      <c r="A115" s="1">
        <v>43800</v>
      </c>
      <c r="B115" s="1">
        <v>43800</v>
      </c>
      <c r="C115" t="s">
        <v>157</v>
      </c>
      <c r="D115" t="s">
        <v>48</v>
      </c>
      <c r="E115" t="s">
        <v>49</v>
      </c>
      <c r="F115" t="s">
        <v>196</v>
      </c>
      <c r="G115" s="53">
        <v>43837</v>
      </c>
      <c r="H115">
        <v>33</v>
      </c>
      <c r="I115">
        <v>11902</v>
      </c>
      <c r="J115" t="s">
        <v>50</v>
      </c>
      <c r="K115" t="s">
        <v>50</v>
      </c>
      <c r="L115" t="s">
        <v>159</v>
      </c>
      <c r="M115" t="s">
        <v>51</v>
      </c>
      <c r="N115" t="s">
        <v>92</v>
      </c>
      <c r="O115" s="1">
        <v>41335</v>
      </c>
      <c r="P115" t="s">
        <v>84</v>
      </c>
      <c r="Q115">
        <v>1</v>
      </c>
      <c r="R115" t="s">
        <v>83</v>
      </c>
      <c r="S115">
        <v>1541.900316</v>
      </c>
      <c r="T115">
        <v>74.400999999999996</v>
      </c>
      <c r="U115" t="s">
        <v>349</v>
      </c>
      <c r="V115" t="s">
        <v>349</v>
      </c>
      <c r="W115">
        <v>114719</v>
      </c>
    </row>
    <row r="116" spans="1:23" x14ac:dyDescent="0.3">
      <c r="A116" s="1">
        <v>43800</v>
      </c>
      <c r="B116" s="1">
        <v>43800</v>
      </c>
      <c r="C116" t="s">
        <v>157</v>
      </c>
      <c r="D116" t="s">
        <v>93</v>
      </c>
      <c r="E116" t="s">
        <v>49</v>
      </c>
      <c r="F116" t="s">
        <v>194</v>
      </c>
      <c r="G116" s="53">
        <v>43928.729247685187</v>
      </c>
      <c r="H116">
        <v>33</v>
      </c>
      <c r="I116" t="s">
        <v>349</v>
      </c>
      <c r="J116" t="s">
        <v>50</v>
      </c>
      <c r="K116" t="s">
        <v>50</v>
      </c>
      <c r="L116" t="s">
        <v>159</v>
      </c>
      <c r="M116" t="s">
        <v>51</v>
      </c>
      <c r="N116" t="s">
        <v>92</v>
      </c>
      <c r="O116" s="1">
        <v>41335</v>
      </c>
      <c r="P116" t="s">
        <v>84</v>
      </c>
      <c r="Q116">
        <v>2</v>
      </c>
      <c r="R116" t="s">
        <v>94</v>
      </c>
      <c r="S116">
        <v>1</v>
      </c>
      <c r="T116">
        <v>2</v>
      </c>
      <c r="U116" t="s">
        <v>349</v>
      </c>
      <c r="V116" t="s">
        <v>349</v>
      </c>
      <c r="W116">
        <v>2</v>
      </c>
    </row>
    <row r="117" spans="1:23" x14ac:dyDescent="0.3">
      <c r="A117" s="1">
        <v>43800</v>
      </c>
      <c r="B117" s="1">
        <v>43800</v>
      </c>
      <c r="C117" t="s">
        <v>157</v>
      </c>
      <c r="D117" t="s">
        <v>48</v>
      </c>
      <c r="E117" t="s">
        <v>49</v>
      </c>
      <c r="F117" t="s">
        <v>196</v>
      </c>
      <c r="G117" s="53">
        <v>43837</v>
      </c>
      <c r="H117">
        <v>33</v>
      </c>
      <c r="I117">
        <v>11902</v>
      </c>
      <c r="J117" t="s">
        <v>50</v>
      </c>
      <c r="K117" t="s">
        <v>50</v>
      </c>
      <c r="L117" t="s">
        <v>159</v>
      </c>
      <c r="M117" t="s">
        <v>51</v>
      </c>
      <c r="N117" t="s">
        <v>92</v>
      </c>
      <c r="O117" s="1">
        <v>41335</v>
      </c>
      <c r="P117" t="s">
        <v>84</v>
      </c>
      <c r="Q117">
        <v>2</v>
      </c>
      <c r="R117" t="s">
        <v>94</v>
      </c>
      <c r="S117">
        <v>4.9920920000000004</v>
      </c>
      <c r="T117">
        <v>75.736999999999995</v>
      </c>
      <c r="U117" t="s">
        <v>349</v>
      </c>
      <c r="V117" t="s">
        <v>349</v>
      </c>
      <c r="W117">
        <v>378</v>
      </c>
    </row>
    <row r="118" spans="1:23" x14ac:dyDescent="0.3">
      <c r="A118" s="1">
        <v>43800</v>
      </c>
      <c r="B118" s="1">
        <v>43800</v>
      </c>
      <c r="C118" t="s">
        <v>157</v>
      </c>
      <c r="D118" t="s">
        <v>93</v>
      </c>
      <c r="E118" t="s">
        <v>49</v>
      </c>
      <c r="F118" t="s">
        <v>194</v>
      </c>
      <c r="G118" s="53">
        <v>43928.729247685187</v>
      </c>
      <c r="H118">
        <v>33</v>
      </c>
      <c r="I118" t="s">
        <v>349</v>
      </c>
      <c r="J118" t="s">
        <v>50</v>
      </c>
      <c r="K118" t="s">
        <v>50</v>
      </c>
      <c r="L118" t="s">
        <v>159</v>
      </c>
      <c r="M118" t="s">
        <v>51</v>
      </c>
      <c r="N118" t="s">
        <v>92</v>
      </c>
      <c r="O118" s="1">
        <v>41335</v>
      </c>
      <c r="P118" t="s">
        <v>84</v>
      </c>
      <c r="Q118">
        <v>3</v>
      </c>
      <c r="R118" t="s">
        <v>81</v>
      </c>
      <c r="S118">
        <v>1</v>
      </c>
      <c r="T118">
        <v>111</v>
      </c>
      <c r="U118" t="s">
        <v>349</v>
      </c>
      <c r="V118" t="s">
        <v>349</v>
      </c>
      <c r="W118">
        <v>111</v>
      </c>
    </row>
    <row r="119" spans="1:23" x14ac:dyDescent="0.3">
      <c r="A119" s="1">
        <v>43800</v>
      </c>
      <c r="B119" s="1">
        <v>43800</v>
      </c>
      <c r="C119" t="s">
        <v>157</v>
      </c>
      <c r="D119" t="s">
        <v>48</v>
      </c>
      <c r="E119" t="s">
        <v>49</v>
      </c>
      <c r="F119" t="s">
        <v>196</v>
      </c>
      <c r="G119" s="53">
        <v>43837</v>
      </c>
      <c r="H119">
        <v>33</v>
      </c>
      <c r="I119">
        <v>11902</v>
      </c>
      <c r="J119" t="s">
        <v>50</v>
      </c>
      <c r="K119" t="s">
        <v>50</v>
      </c>
      <c r="L119" t="s">
        <v>159</v>
      </c>
      <c r="M119" t="s">
        <v>51</v>
      </c>
      <c r="N119" t="s">
        <v>92</v>
      </c>
      <c r="O119" s="1">
        <v>41335</v>
      </c>
      <c r="P119" t="s">
        <v>84</v>
      </c>
      <c r="Q119">
        <v>3</v>
      </c>
      <c r="R119" t="s">
        <v>81</v>
      </c>
      <c r="S119">
        <v>302.289739</v>
      </c>
      <c r="T119">
        <v>70.436999999999998</v>
      </c>
      <c r="U119" t="s">
        <v>349</v>
      </c>
      <c r="V119" t="s">
        <v>349</v>
      </c>
      <c r="W119">
        <v>21292</v>
      </c>
    </row>
    <row r="120" spans="1:23" x14ac:dyDescent="0.3">
      <c r="A120" s="1">
        <v>43800</v>
      </c>
      <c r="B120" s="1">
        <v>43800</v>
      </c>
      <c r="C120" t="s">
        <v>157</v>
      </c>
      <c r="D120" t="s">
        <v>93</v>
      </c>
      <c r="E120" t="s">
        <v>49</v>
      </c>
      <c r="F120" t="s">
        <v>194</v>
      </c>
      <c r="G120" s="53">
        <v>43928.729247685187</v>
      </c>
      <c r="H120">
        <v>33</v>
      </c>
      <c r="I120" t="s">
        <v>349</v>
      </c>
      <c r="J120" t="s">
        <v>50</v>
      </c>
      <c r="K120" t="s">
        <v>50</v>
      </c>
      <c r="L120" t="s">
        <v>159</v>
      </c>
      <c r="M120" t="s">
        <v>51</v>
      </c>
      <c r="N120" t="s">
        <v>92</v>
      </c>
      <c r="O120" s="1">
        <v>41335</v>
      </c>
      <c r="P120" t="s">
        <v>84</v>
      </c>
      <c r="Q120">
        <v>4</v>
      </c>
      <c r="R120" t="s">
        <v>27</v>
      </c>
      <c r="S120">
        <v>1</v>
      </c>
      <c r="T120">
        <v>780</v>
      </c>
      <c r="U120" t="s">
        <v>349</v>
      </c>
      <c r="V120" t="s">
        <v>349</v>
      </c>
      <c r="W120">
        <v>780</v>
      </c>
    </row>
    <row r="121" spans="1:23" x14ac:dyDescent="0.3">
      <c r="A121" s="1">
        <v>43800</v>
      </c>
      <c r="B121" s="1">
        <v>43800</v>
      </c>
      <c r="C121" t="s">
        <v>157</v>
      </c>
      <c r="D121" t="s">
        <v>48</v>
      </c>
      <c r="E121" t="s">
        <v>49</v>
      </c>
      <c r="F121" t="s">
        <v>196</v>
      </c>
      <c r="G121" s="53">
        <v>43837</v>
      </c>
      <c r="H121">
        <v>33</v>
      </c>
      <c r="I121">
        <v>11902</v>
      </c>
      <c r="J121" t="s">
        <v>50</v>
      </c>
      <c r="K121" t="s">
        <v>50</v>
      </c>
      <c r="L121" t="s">
        <v>159</v>
      </c>
      <c r="M121" t="s">
        <v>51</v>
      </c>
      <c r="N121" t="s">
        <v>92</v>
      </c>
      <c r="O121" s="1">
        <v>41335</v>
      </c>
      <c r="P121" t="s">
        <v>84</v>
      </c>
      <c r="Q121">
        <v>4</v>
      </c>
      <c r="R121" t="s">
        <v>27</v>
      </c>
      <c r="S121">
        <v>2077.3259159999998</v>
      </c>
      <c r="T121">
        <v>71.983999999999995</v>
      </c>
      <c r="U121" t="s">
        <v>349</v>
      </c>
      <c r="V121" t="s">
        <v>349</v>
      </c>
      <c r="W121">
        <v>149534</v>
      </c>
    </row>
    <row r="122" spans="1:23" x14ac:dyDescent="0.3">
      <c r="A122" s="1">
        <v>43800</v>
      </c>
      <c r="B122" s="1">
        <v>43800</v>
      </c>
      <c r="C122" t="s">
        <v>157</v>
      </c>
      <c r="D122" t="s">
        <v>93</v>
      </c>
      <c r="E122" t="s">
        <v>49</v>
      </c>
      <c r="F122" t="s">
        <v>194</v>
      </c>
      <c r="G122" s="53">
        <v>43928.729247685187</v>
      </c>
      <c r="H122">
        <v>33</v>
      </c>
      <c r="I122" t="s">
        <v>349</v>
      </c>
      <c r="J122" t="s">
        <v>50</v>
      </c>
      <c r="K122" t="s">
        <v>50</v>
      </c>
      <c r="L122" t="s">
        <v>159</v>
      </c>
      <c r="M122" t="s">
        <v>51</v>
      </c>
      <c r="N122" t="s">
        <v>92</v>
      </c>
      <c r="O122" s="1">
        <v>41335</v>
      </c>
      <c r="P122" t="s">
        <v>84</v>
      </c>
      <c r="Q122">
        <v>5</v>
      </c>
      <c r="R122" t="s">
        <v>28</v>
      </c>
      <c r="S122">
        <v>1</v>
      </c>
      <c r="T122">
        <v>4</v>
      </c>
      <c r="U122" t="s">
        <v>349</v>
      </c>
      <c r="V122" t="s">
        <v>349</v>
      </c>
      <c r="W122">
        <v>4</v>
      </c>
    </row>
    <row r="123" spans="1:23" x14ac:dyDescent="0.3">
      <c r="A123" s="1">
        <v>43800</v>
      </c>
      <c r="B123" s="1">
        <v>43800</v>
      </c>
      <c r="C123" t="s">
        <v>157</v>
      </c>
      <c r="D123" t="s">
        <v>48</v>
      </c>
      <c r="E123" t="s">
        <v>49</v>
      </c>
      <c r="F123" t="s">
        <v>196</v>
      </c>
      <c r="G123" s="53">
        <v>43837</v>
      </c>
      <c r="H123">
        <v>33</v>
      </c>
      <c r="I123">
        <v>11902</v>
      </c>
      <c r="J123" t="s">
        <v>50</v>
      </c>
      <c r="K123" t="s">
        <v>50</v>
      </c>
      <c r="L123" t="s">
        <v>159</v>
      </c>
      <c r="M123" t="s">
        <v>51</v>
      </c>
      <c r="N123" t="s">
        <v>92</v>
      </c>
      <c r="O123" s="1">
        <v>41335</v>
      </c>
      <c r="P123" t="s">
        <v>84</v>
      </c>
      <c r="Q123">
        <v>5</v>
      </c>
      <c r="R123" t="s">
        <v>28</v>
      </c>
      <c r="S123">
        <v>5.3231200000000003</v>
      </c>
      <c r="T123">
        <v>75.617000000000004</v>
      </c>
      <c r="U123" t="s">
        <v>349</v>
      </c>
      <c r="V123" t="s">
        <v>349</v>
      </c>
      <c r="W123">
        <v>403</v>
      </c>
    </row>
    <row r="124" spans="1:23" x14ac:dyDescent="0.3">
      <c r="A124" s="1">
        <v>43831</v>
      </c>
      <c r="B124" s="1">
        <v>43831</v>
      </c>
      <c r="C124" t="s">
        <v>157</v>
      </c>
      <c r="D124" t="s">
        <v>93</v>
      </c>
      <c r="E124" t="s">
        <v>49</v>
      </c>
      <c r="F124" t="s">
        <v>198</v>
      </c>
      <c r="G124" s="53">
        <v>43917.77002314815</v>
      </c>
      <c r="H124">
        <v>33</v>
      </c>
      <c r="I124">
        <v>13702</v>
      </c>
      <c r="J124" t="s">
        <v>50</v>
      </c>
      <c r="K124" t="s">
        <v>50</v>
      </c>
      <c r="L124" t="s">
        <v>159</v>
      </c>
      <c r="M124" t="s">
        <v>51</v>
      </c>
      <c r="N124" t="s">
        <v>92</v>
      </c>
      <c r="O124" s="1">
        <v>41335</v>
      </c>
      <c r="P124" t="s">
        <v>84</v>
      </c>
      <c r="Q124">
        <v>1</v>
      </c>
      <c r="R124" t="s">
        <v>83</v>
      </c>
      <c r="S124">
        <v>1</v>
      </c>
      <c r="T124">
        <v>29633</v>
      </c>
      <c r="U124" t="s">
        <v>349</v>
      </c>
      <c r="V124" t="s">
        <v>349</v>
      </c>
      <c r="W124">
        <v>29633</v>
      </c>
    </row>
    <row r="125" spans="1:23" x14ac:dyDescent="0.3">
      <c r="A125" s="1">
        <v>43831</v>
      </c>
      <c r="B125" s="1">
        <v>43831</v>
      </c>
      <c r="C125" t="s">
        <v>157</v>
      </c>
      <c r="D125" t="s">
        <v>48</v>
      </c>
      <c r="E125" t="s">
        <v>49</v>
      </c>
      <c r="F125" t="s">
        <v>200</v>
      </c>
      <c r="G125" s="53">
        <v>43910.518553240741</v>
      </c>
      <c r="H125">
        <v>33</v>
      </c>
      <c r="I125">
        <v>13159</v>
      </c>
      <c r="J125" t="s">
        <v>50</v>
      </c>
      <c r="K125" t="s">
        <v>50</v>
      </c>
      <c r="L125" t="s">
        <v>159</v>
      </c>
      <c r="M125" t="s">
        <v>51</v>
      </c>
      <c r="N125" t="s">
        <v>92</v>
      </c>
      <c r="O125" s="1">
        <v>41335</v>
      </c>
      <c r="P125" t="s">
        <v>84</v>
      </c>
      <c r="Q125">
        <v>1</v>
      </c>
      <c r="R125" t="s">
        <v>83</v>
      </c>
      <c r="S125">
        <v>4352.0722839999999</v>
      </c>
      <c r="T125">
        <v>62.720154999999998</v>
      </c>
      <c r="U125" t="s">
        <v>349</v>
      </c>
      <c r="V125" t="s">
        <v>349</v>
      </c>
      <c r="W125">
        <v>272963</v>
      </c>
    </row>
    <row r="126" spans="1:23" x14ac:dyDescent="0.3">
      <c r="A126" s="1">
        <v>43831</v>
      </c>
      <c r="B126" s="1">
        <v>43831</v>
      </c>
      <c r="C126" t="s">
        <v>157</v>
      </c>
      <c r="D126" t="s">
        <v>93</v>
      </c>
      <c r="E126" t="s">
        <v>49</v>
      </c>
      <c r="F126" t="s">
        <v>198</v>
      </c>
      <c r="G126" s="53">
        <v>43917.77002314815</v>
      </c>
      <c r="H126">
        <v>33</v>
      </c>
      <c r="I126">
        <v>13702</v>
      </c>
      <c r="J126" t="s">
        <v>50</v>
      </c>
      <c r="K126" t="s">
        <v>50</v>
      </c>
      <c r="L126" t="s">
        <v>159</v>
      </c>
      <c r="M126" t="s">
        <v>51</v>
      </c>
      <c r="N126" t="s">
        <v>92</v>
      </c>
      <c r="O126" s="1">
        <v>41335</v>
      </c>
      <c r="P126" t="s">
        <v>84</v>
      </c>
      <c r="Q126">
        <v>2</v>
      </c>
      <c r="R126" t="s">
        <v>94</v>
      </c>
      <c r="S126">
        <v>1</v>
      </c>
      <c r="T126">
        <v>68</v>
      </c>
      <c r="U126" t="s">
        <v>349</v>
      </c>
      <c r="V126" t="s">
        <v>349</v>
      </c>
      <c r="W126">
        <v>68</v>
      </c>
    </row>
    <row r="127" spans="1:23" x14ac:dyDescent="0.3">
      <c r="A127" s="1">
        <v>43831</v>
      </c>
      <c r="B127" s="1">
        <v>43831</v>
      </c>
      <c r="C127" t="s">
        <v>157</v>
      </c>
      <c r="D127" t="s">
        <v>48</v>
      </c>
      <c r="E127" t="s">
        <v>49</v>
      </c>
      <c r="F127" t="s">
        <v>200</v>
      </c>
      <c r="G127" s="53">
        <v>43910.518553240741</v>
      </c>
      <c r="H127">
        <v>33</v>
      </c>
      <c r="I127">
        <v>13159</v>
      </c>
      <c r="J127" t="s">
        <v>50</v>
      </c>
      <c r="K127" t="s">
        <v>50</v>
      </c>
      <c r="L127" t="s">
        <v>159</v>
      </c>
      <c r="M127" t="s">
        <v>51</v>
      </c>
      <c r="N127" t="s">
        <v>92</v>
      </c>
      <c r="O127" s="1">
        <v>41335</v>
      </c>
      <c r="P127" t="s">
        <v>84</v>
      </c>
      <c r="Q127">
        <v>2</v>
      </c>
      <c r="R127" t="s">
        <v>94</v>
      </c>
      <c r="S127">
        <v>8.3147540000000006</v>
      </c>
      <c r="T127">
        <v>63.846404999999997</v>
      </c>
      <c r="U127" t="s">
        <v>349</v>
      </c>
      <c r="V127" t="s">
        <v>349</v>
      </c>
      <c r="W127">
        <v>531</v>
      </c>
    </row>
    <row r="128" spans="1:23" x14ac:dyDescent="0.3">
      <c r="A128" s="1">
        <v>43831</v>
      </c>
      <c r="B128" s="1">
        <v>43831</v>
      </c>
      <c r="C128" t="s">
        <v>157</v>
      </c>
      <c r="D128" t="s">
        <v>93</v>
      </c>
      <c r="E128" t="s">
        <v>49</v>
      </c>
      <c r="F128" t="s">
        <v>198</v>
      </c>
      <c r="G128" s="53">
        <v>43917.77002314815</v>
      </c>
      <c r="H128">
        <v>33</v>
      </c>
      <c r="I128">
        <v>13702</v>
      </c>
      <c r="J128" t="s">
        <v>50</v>
      </c>
      <c r="K128" t="s">
        <v>50</v>
      </c>
      <c r="L128" t="s">
        <v>159</v>
      </c>
      <c r="M128" t="s">
        <v>51</v>
      </c>
      <c r="N128" t="s">
        <v>92</v>
      </c>
      <c r="O128" s="1">
        <v>41335</v>
      </c>
      <c r="P128" t="s">
        <v>84</v>
      </c>
      <c r="Q128">
        <v>3</v>
      </c>
      <c r="R128" t="s">
        <v>81</v>
      </c>
      <c r="S128">
        <v>1</v>
      </c>
      <c r="T128">
        <v>4168</v>
      </c>
      <c r="U128" t="s">
        <v>349</v>
      </c>
      <c r="V128" t="s">
        <v>349</v>
      </c>
      <c r="W128">
        <v>4168</v>
      </c>
    </row>
    <row r="129" spans="1:23" x14ac:dyDescent="0.3">
      <c r="A129" s="1">
        <v>43831</v>
      </c>
      <c r="B129" s="1">
        <v>43831</v>
      </c>
      <c r="C129" t="s">
        <v>157</v>
      </c>
      <c r="D129" t="s">
        <v>48</v>
      </c>
      <c r="E129" t="s">
        <v>49</v>
      </c>
      <c r="F129" t="s">
        <v>200</v>
      </c>
      <c r="G129" s="53">
        <v>43910.518553240741</v>
      </c>
      <c r="H129">
        <v>33</v>
      </c>
      <c r="I129">
        <v>13159</v>
      </c>
      <c r="J129" t="s">
        <v>50</v>
      </c>
      <c r="K129" t="s">
        <v>50</v>
      </c>
      <c r="L129" t="s">
        <v>159</v>
      </c>
      <c r="M129" t="s">
        <v>51</v>
      </c>
      <c r="N129" t="s">
        <v>92</v>
      </c>
      <c r="O129" s="1">
        <v>41335</v>
      </c>
      <c r="P129" t="s">
        <v>84</v>
      </c>
      <c r="Q129">
        <v>3</v>
      </c>
      <c r="R129" t="s">
        <v>81</v>
      </c>
      <c r="S129">
        <v>615.07463700000005</v>
      </c>
      <c r="T129">
        <v>59.378497000000003</v>
      </c>
      <c r="U129" t="s">
        <v>349</v>
      </c>
      <c r="V129" t="s">
        <v>349</v>
      </c>
      <c r="W129">
        <v>36522</v>
      </c>
    </row>
    <row r="130" spans="1:23" x14ac:dyDescent="0.3">
      <c r="A130" s="1">
        <v>43831</v>
      </c>
      <c r="B130" s="1">
        <v>43831</v>
      </c>
      <c r="C130" t="s">
        <v>157</v>
      </c>
      <c r="D130" t="s">
        <v>93</v>
      </c>
      <c r="E130" t="s">
        <v>49</v>
      </c>
      <c r="F130" t="s">
        <v>198</v>
      </c>
      <c r="G130" s="53">
        <v>43917.77002314815</v>
      </c>
      <c r="H130">
        <v>33</v>
      </c>
      <c r="I130">
        <v>13702</v>
      </c>
      <c r="J130" t="s">
        <v>50</v>
      </c>
      <c r="K130" t="s">
        <v>50</v>
      </c>
      <c r="L130" t="s">
        <v>159</v>
      </c>
      <c r="M130" t="s">
        <v>51</v>
      </c>
      <c r="N130" t="s">
        <v>92</v>
      </c>
      <c r="O130" s="1">
        <v>41335</v>
      </c>
      <c r="P130" t="s">
        <v>84</v>
      </c>
      <c r="Q130">
        <v>4</v>
      </c>
      <c r="R130" t="s">
        <v>27</v>
      </c>
      <c r="S130">
        <v>1</v>
      </c>
      <c r="T130">
        <v>25632</v>
      </c>
      <c r="U130" t="s">
        <v>349</v>
      </c>
      <c r="V130" t="s">
        <v>349</v>
      </c>
      <c r="W130">
        <v>25632</v>
      </c>
    </row>
    <row r="131" spans="1:23" x14ac:dyDescent="0.3">
      <c r="A131" s="1">
        <v>43831</v>
      </c>
      <c r="B131" s="1">
        <v>43831</v>
      </c>
      <c r="C131" t="s">
        <v>157</v>
      </c>
      <c r="D131" t="s">
        <v>48</v>
      </c>
      <c r="E131" t="s">
        <v>49</v>
      </c>
      <c r="F131" t="s">
        <v>200</v>
      </c>
      <c r="G131" s="53">
        <v>43910.518553240741</v>
      </c>
      <c r="H131">
        <v>33</v>
      </c>
      <c r="I131">
        <v>13159</v>
      </c>
      <c r="J131" t="s">
        <v>50</v>
      </c>
      <c r="K131" t="s">
        <v>50</v>
      </c>
      <c r="L131" t="s">
        <v>159</v>
      </c>
      <c r="M131" t="s">
        <v>51</v>
      </c>
      <c r="N131" t="s">
        <v>92</v>
      </c>
      <c r="O131" s="1">
        <v>41335</v>
      </c>
      <c r="P131" t="s">
        <v>84</v>
      </c>
      <c r="Q131">
        <v>4</v>
      </c>
      <c r="R131" t="s">
        <v>27</v>
      </c>
      <c r="S131">
        <v>3772.6657449999998</v>
      </c>
      <c r="T131">
        <v>60.68262</v>
      </c>
      <c r="U131" t="s">
        <v>349</v>
      </c>
      <c r="V131" t="s">
        <v>349</v>
      </c>
      <c r="W131">
        <v>228935</v>
      </c>
    </row>
    <row r="132" spans="1:23" x14ac:dyDescent="0.3">
      <c r="A132" s="1">
        <v>43831</v>
      </c>
      <c r="B132" s="1">
        <v>43831</v>
      </c>
      <c r="C132" t="s">
        <v>157</v>
      </c>
      <c r="D132" t="s">
        <v>93</v>
      </c>
      <c r="E132" t="s">
        <v>49</v>
      </c>
      <c r="F132" t="s">
        <v>198</v>
      </c>
      <c r="G132" s="53">
        <v>43917.77002314815</v>
      </c>
      <c r="H132">
        <v>33</v>
      </c>
      <c r="I132">
        <v>13702</v>
      </c>
      <c r="J132" t="s">
        <v>50</v>
      </c>
      <c r="K132" t="s">
        <v>50</v>
      </c>
      <c r="L132" t="s">
        <v>159</v>
      </c>
      <c r="M132" t="s">
        <v>51</v>
      </c>
      <c r="N132" t="s">
        <v>92</v>
      </c>
      <c r="O132" s="1">
        <v>41335</v>
      </c>
      <c r="P132" t="s">
        <v>84</v>
      </c>
      <c r="Q132">
        <v>5</v>
      </c>
      <c r="R132" t="s">
        <v>28</v>
      </c>
      <c r="S132">
        <v>1</v>
      </c>
      <c r="T132">
        <v>130</v>
      </c>
      <c r="U132" t="s">
        <v>349</v>
      </c>
      <c r="V132" t="s">
        <v>349</v>
      </c>
      <c r="W132">
        <v>130</v>
      </c>
    </row>
    <row r="133" spans="1:23" x14ac:dyDescent="0.3">
      <c r="A133" s="1">
        <v>43831</v>
      </c>
      <c r="B133" s="1">
        <v>43831</v>
      </c>
      <c r="C133" t="s">
        <v>157</v>
      </c>
      <c r="D133" t="s">
        <v>48</v>
      </c>
      <c r="E133" t="s">
        <v>49</v>
      </c>
      <c r="F133" t="s">
        <v>200</v>
      </c>
      <c r="G133" s="53">
        <v>43910.518553240741</v>
      </c>
      <c r="H133">
        <v>33</v>
      </c>
      <c r="I133">
        <v>13159</v>
      </c>
      <c r="J133" t="s">
        <v>50</v>
      </c>
      <c r="K133" t="s">
        <v>50</v>
      </c>
      <c r="L133" t="s">
        <v>159</v>
      </c>
      <c r="M133" t="s">
        <v>51</v>
      </c>
      <c r="N133" t="s">
        <v>92</v>
      </c>
      <c r="O133" s="1">
        <v>41335</v>
      </c>
      <c r="P133" t="s">
        <v>84</v>
      </c>
      <c r="Q133">
        <v>5</v>
      </c>
      <c r="R133" t="s">
        <v>28</v>
      </c>
      <c r="S133">
        <v>19.961974999999999</v>
      </c>
      <c r="T133">
        <v>63.745244</v>
      </c>
      <c r="U133" t="s">
        <v>349</v>
      </c>
      <c r="V133" t="s">
        <v>349</v>
      </c>
      <c r="W133">
        <v>1272</v>
      </c>
    </row>
    <row r="134" spans="1:23" x14ac:dyDescent="0.3">
      <c r="A134" s="1">
        <v>43862</v>
      </c>
      <c r="B134" s="1">
        <v>43862</v>
      </c>
      <c r="C134" t="s">
        <v>157</v>
      </c>
      <c r="D134" t="s">
        <v>93</v>
      </c>
      <c r="E134" t="s">
        <v>49</v>
      </c>
      <c r="F134" t="s">
        <v>204</v>
      </c>
      <c r="G134" s="53">
        <v>43928.689675925925</v>
      </c>
      <c r="H134">
        <v>33</v>
      </c>
      <c r="I134">
        <v>13670</v>
      </c>
      <c r="J134" t="s">
        <v>50</v>
      </c>
      <c r="K134" t="s">
        <v>50</v>
      </c>
      <c r="L134" t="s">
        <v>159</v>
      </c>
      <c r="M134" t="s">
        <v>51</v>
      </c>
      <c r="N134" t="s">
        <v>92</v>
      </c>
      <c r="O134" s="1">
        <v>41335</v>
      </c>
      <c r="P134" t="s">
        <v>84</v>
      </c>
      <c r="Q134">
        <v>1</v>
      </c>
      <c r="R134" t="s">
        <v>83</v>
      </c>
      <c r="S134">
        <v>1</v>
      </c>
      <c r="T134">
        <v>698</v>
      </c>
      <c r="U134" t="s">
        <v>349</v>
      </c>
      <c r="V134" t="s">
        <v>349</v>
      </c>
      <c r="W134">
        <v>698</v>
      </c>
    </row>
    <row r="135" spans="1:23" x14ac:dyDescent="0.3">
      <c r="A135" s="1">
        <v>43862</v>
      </c>
      <c r="B135" s="1">
        <v>43862</v>
      </c>
      <c r="C135" t="s">
        <v>157</v>
      </c>
      <c r="D135" t="s">
        <v>48</v>
      </c>
      <c r="E135" t="s">
        <v>49</v>
      </c>
      <c r="F135" t="s">
        <v>202</v>
      </c>
      <c r="G135" s="53">
        <v>43902.628391203703</v>
      </c>
      <c r="H135">
        <v>33</v>
      </c>
      <c r="I135">
        <v>13209</v>
      </c>
      <c r="J135" t="s">
        <v>50</v>
      </c>
      <c r="K135" t="s">
        <v>50</v>
      </c>
      <c r="L135" t="s">
        <v>159</v>
      </c>
      <c r="M135" t="s">
        <v>51</v>
      </c>
      <c r="N135" t="s">
        <v>92</v>
      </c>
      <c r="O135" s="1">
        <v>41335</v>
      </c>
      <c r="P135" t="s">
        <v>84</v>
      </c>
      <c r="Q135">
        <v>1</v>
      </c>
      <c r="R135" t="s">
        <v>83</v>
      </c>
      <c r="S135">
        <v>4259.97</v>
      </c>
      <c r="T135">
        <v>69.512</v>
      </c>
      <c r="U135" t="s">
        <v>349</v>
      </c>
      <c r="V135" t="s">
        <v>349</v>
      </c>
      <c r="W135">
        <v>296119</v>
      </c>
    </row>
    <row r="136" spans="1:23" x14ac:dyDescent="0.3">
      <c r="A136" s="1">
        <v>43862</v>
      </c>
      <c r="B136" s="1">
        <v>43862</v>
      </c>
      <c r="C136" t="s">
        <v>157</v>
      </c>
      <c r="D136" t="s">
        <v>93</v>
      </c>
      <c r="E136" t="s">
        <v>49</v>
      </c>
      <c r="F136" t="s">
        <v>204</v>
      </c>
      <c r="G136" s="53">
        <v>43928.689675925925</v>
      </c>
      <c r="H136">
        <v>33</v>
      </c>
      <c r="I136">
        <v>13670</v>
      </c>
      <c r="J136" t="s">
        <v>50</v>
      </c>
      <c r="K136" t="s">
        <v>50</v>
      </c>
      <c r="L136" t="s">
        <v>159</v>
      </c>
      <c r="M136" t="s">
        <v>51</v>
      </c>
      <c r="N136" t="s">
        <v>92</v>
      </c>
      <c r="O136" s="1">
        <v>41335</v>
      </c>
      <c r="P136" t="s">
        <v>84</v>
      </c>
      <c r="Q136">
        <v>2</v>
      </c>
      <c r="R136" t="s">
        <v>94</v>
      </c>
      <c r="S136">
        <v>1</v>
      </c>
      <c r="T136">
        <v>2</v>
      </c>
      <c r="U136" t="s">
        <v>349</v>
      </c>
      <c r="V136" t="s">
        <v>349</v>
      </c>
      <c r="W136">
        <v>2</v>
      </c>
    </row>
    <row r="137" spans="1:23" x14ac:dyDescent="0.3">
      <c r="A137" s="1">
        <v>43862</v>
      </c>
      <c r="B137" s="1">
        <v>43862</v>
      </c>
      <c r="C137" t="s">
        <v>157</v>
      </c>
      <c r="D137" t="s">
        <v>48</v>
      </c>
      <c r="E137" t="s">
        <v>49</v>
      </c>
      <c r="F137" t="s">
        <v>202</v>
      </c>
      <c r="G137" s="53">
        <v>43902.628391203703</v>
      </c>
      <c r="H137">
        <v>33</v>
      </c>
      <c r="I137">
        <v>13209</v>
      </c>
      <c r="J137" t="s">
        <v>50</v>
      </c>
      <c r="K137" t="s">
        <v>50</v>
      </c>
      <c r="L137" t="s">
        <v>159</v>
      </c>
      <c r="M137" t="s">
        <v>51</v>
      </c>
      <c r="N137" t="s">
        <v>92</v>
      </c>
      <c r="O137" s="1">
        <v>41335</v>
      </c>
      <c r="P137" t="s">
        <v>84</v>
      </c>
      <c r="Q137">
        <v>2</v>
      </c>
      <c r="R137" t="s">
        <v>94</v>
      </c>
      <c r="S137">
        <v>8.2387359999999994</v>
      </c>
      <c r="T137">
        <v>72.001000000000005</v>
      </c>
      <c r="U137" t="s">
        <v>349</v>
      </c>
      <c r="V137" t="s">
        <v>349</v>
      </c>
      <c r="W137">
        <v>593</v>
      </c>
    </row>
    <row r="138" spans="1:23" x14ac:dyDescent="0.3">
      <c r="A138" s="1">
        <v>43862</v>
      </c>
      <c r="B138" s="1">
        <v>43862</v>
      </c>
      <c r="C138" t="s">
        <v>157</v>
      </c>
      <c r="D138" t="s">
        <v>93</v>
      </c>
      <c r="E138" t="s">
        <v>49</v>
      </c>
      <c r="F138" t="s">
        <v>204</v>
      </c>
      <c r="G138" s="53">
        <v>43928.689675925925</v>
      </c>
      <c r="H138">
        <v>33</v>
      </c>
      <c r="I138">
        <v>13670</v>
      </c>
      <c r="J138" t="s">
        <v>50</v>
      </c>
      <c r="K138" t="s">
        <v>50</v>
      </c>
      <c r="L138" t="s">
        <v>159</v>
      </c>
      <c r="M138" t="s">
        <v>51</v>
      </c>
      <c r="N138" t="s">
        <v>92</v>
      </c>
      <c r="O138" s="1">
        <v>41335</v>
      </c>
      <c r="P138" t="s">
        <v>84</v>
      </c>
      <c r="Q138">
        <v>3</v>
      </c>
      <c r="R138" t="s">
        <v>81</v>
      </c>
      <c r="S138">
        <v>1</v>
      </c>
      <c r="T138">
        <v>94</v>
      </c>
      <c r="U138" t="s">
        <v>349</v>
      </c>
      <c r="V138" t="s">
        <v>349</v>
      </c>
      <c r="W138">
        <v>94</v>
      </c>
    </row>
    <row r="139" spans="1:23" x14ac:dyDescent="0.3">
      <c r="A139" s="1">
        <v>43862</v>
      </c>
      <c r="B139" s="1">
        <v>43862</v>
      </c>
      <c r="C139" t="s">
        <v>157</v>
      </c>
      <c r="D139" t="s">
        <v>48</v>
      </c>
      <c r="E139" t="s">
        <v>49</v>
      </c>
      <c r="F139" t="s">
        <v>202</v>
      </c>
      <c r="G139" s="53">
        <v>43902.628391203703</v>
      </c>
      <c r="H139">
        <v>33</v>
      </c>
      <c r="I139">
        <v>13209</v>
      </c>
      <c r="J139" t="s">
        <v>50</v>
      </c>
      <c r="K139" t="s">
        <v>50</v>
      </c>
      <c r="L139" t="s">
        <v>159</v>
      </c>
      <c r="M139" t="s">
        <v>51</v>
      </c>
      <c r="N139" t="s">
        <v>92</v>
      </c>
      <c r="O139" s="1">
        <v>41335</v>
      </c>
      <c r="P139" t="s">
        <v>84</v>
      </c>
      <c r="Q139">
        <v>3</v>
      </c>
      <c r="R139" t="s">
        <v>81</v>
      </c>
      <c r="S139">
        <v>604.49491499999999</v>
      </c>
      <c r="T139">
        <v>66.138000000000005</v>
      </c>
      <c r="U139" t="s">
        <v>349</v>
      </c>
      <c r="V139" t="s">
        <v>349</v>
      </c>
      <c r="W139">
        <v>39980</v>
      </c>
    </row>
    <row r="140" spans="1:23" x14ac:dyDescent="0.3">
      <c r="A140" s="1">
        <v>43862</v>
      </c>
      <c r="B140" s="1">
        <v>43862</v>
      </c>
      <c r="C140" t="s">
        <v>157</v>
      </c>
      <c r="D140" t="s">
        <v>93</v>
      </c>
      <c r="E140" t="s">
        <v>49</v>
      </c>
      <c r="F140" t="s">
        <v>204</v>
      </c>
      <c r="G140" s="53">
        <v>43928.689675925925</v>
      </c>
      <c r="H140">
        <v>33</v>
      </c>
      <c r="I140">
        <v>13670</v>
      </c>
      <c r="J140" t="s">
        <v>50</v>
      </c>
      <c r="K140" t="s">
        <v>50</v>
      </c>
      <c r="L140" t="s">
        <v>159</v>
      </c>
      <c r="M140" t="s">
        <v>51</v>
      </c>
      <c r="N140" t="s">
        <v>92</v>
      </c>
      <c r="O140" s="1">
        <v>41335</v>
      </c>
      <c r="P140" t="s">
        <v>84</v>
      </c>
      <c r="Q140">
        <v>4</v>
      </c>
      <c r="R140" t="s">
        <v>27</v>
      </c>
      <c r="S140">
        <v>1</v>
      </c>
      <c r="T140">
        <v>589</v>
      </c>
      <c r="U140" t="s">
        <v>349</v>
      </c>
      <c r="V140" t="s">
        <v>349</v>
      </c>
      <c r="W140">
        <v>589</v>
      </c>
    </row>
    <row r="141" spans="1:23" x14ac:dyDescent="0.3">
      <c r="A141" s="1">
        <v>43862</v>
      </c>
      <c r="B141" s="1">
        <v>43862</v>
      </c>
      <c r="C141" t="s">
        <v>157</v>
      </c>
      <c r="D141" t="s">
        <v>48</v>
      </c>
      <c r="E141" t="s">
        <v>49</v>
      </c>
      <c r="F141" t="s">
        <v>202</v>
      </c>
      <c r="G141" s="53">
        <v>43902.628391203703</v>
      </c>
      <c r="H141">
        <v>33</v>
      </c>
      <c r="I141">
        <v>13209</v>
      </c>
      <c r="J141" t="s">
        <v>50</v>
      </c>
      <c r="K141" t="s">
        <v>50</v>
      </c>
      <c r="L141" t="s">
        <v>159</v>
      </c>
      <c r="M141" t="s">
        <v>51</v>
      </c>
      <c r="N141" t="s">
        <v>92</v>
      </c>
      <c r="O141" s="1">
        <v>41335</v>
      </c>
      <c r="P141" t="s">
        <v>84</v>
      </c>
      <c r="Q141">
        <v>4</v>
      </c>
      <c r="R141" t="s">
        <v>27</v>
      </c>
      <c r="S141">
        <v>3695.5145980000002</v>
      </c>
      <c r="T141">
        <v>67.459999999999994</v>
      </c>
      <c r="U141" t="s">
        <v>349</v>
      </c>
      <c r="V141" t="s">
        <v>349</v>
      </c>
      <c r="W141">
        <v>249299</v>
      </c>
    </row>
    <row r="142" spans="1:23" x14ac:dyDescent="0.3">
      <c r="A142" s="1">
        <v>43862</v>
      </c>
      <c r="B142" s="1">
        <v>43862</v>
      </c>
      <c r="C142" t="s">
        <v>157</v>
      </c>
      <c r="D142" t="s">
        <v>93</v>
      </c>
      <c r="E142" t="s">
        <v>49</v>
      </c>
      <c r="F142" t="s">
        <v>204</v>
      </c>
      <c r="G142" s="53">
        <v>43928.689675925925</v>
      </c>
      <c r="H142">
        <v>33</v>
      </c>
      <c r="I142">
        <v>13670</v>
      </c>
      <c r="J142" t="s">
        <v>50</v>
      </c>
      <c r="K142" t="s">
        <v>50</v>
      </c>
      <c r="L142" t="s">
        <v>159</v>
      </c>
      <c r="M142" t="s">
        <v>51</v>
      </c>
      <c r="N142" t="s">
        <v>92</v>
      </c>
      <c r="O142" s="1">
        <v>41335</v>
      </c>
      <c r="P142" t="s">
        <v>84</v>
      </c>
      <c r="Q142">
        <v>5</v>
      </c>
      <c r="R142" t="s">
        <v>28</v>
      </c>
      <c r="S142">
        <v>1</v>
      </c>
      <c r="T142">
        <v>3</v>
      </c>
      <c r="U142" t="s">
        <v>349</v>
      </c>
      <c r="V142" t="s">
        <v>349</v>
      </c>
      <c r="W142">
        <v>3</v>
      </c>
    </row>
    <row r="143" spans="1:23" x14ac:dyDescent="0.3">
      <c r="A143" s="1">
        <v>43862</v>
      </c>
      <c r="B143" s="1">
        <v>43862</v>
      </c>
      <c r="C143" t="s">
        <v>157</v>
      </c>
      <c r="D143" t="s">
        <v>48</v>
      </c>
      <c r="E143" t="s">
        <v>49</v>
      </c>
      <c r="F143" t="s">
        <v>202</v>
      </c>
      <c r="G143" s="53">
        <v>43902.628391203703</v>
      </c>
      <c r="H143">
        <v>33</v>
      </c>
      <c r="I143">
        <v>13209</v>
      </c>
      <c r="J143" t="s">
        <v>50</v>
      </c>
      <c r="K143" t="s">
        <v>50</v>
      </c>
      <c r="L143" t="s">
        <v>159</v>
      </c>
      <c r="M143" t="s">
        <v>51</v>
      </c>
      <c r="N143" t="s">
        <v>92</v>
      </c>
      <c r="O143" s="1">
        <v>41335</v>
      </c>
      <c r="P143" t="s">
        <v>84</v>
      </c>
      <c r="Q143">
        <v>5</v>
      </c>
      <c r="R143" t="s">
        <v>28</v>
      </c>
      <c r="S143">
        <v>19.558841000000001</v>
      </c>
      <c r="T143">
        <v>70.204999999999998</v>
      </c>
      <c r="U143" t="s">
        <v>349</v>
      </c>
      <c r="V143" t="s">
        <v>349</v>
      </c>
      <c r="W143">
        <v>1373</v>
      </c>
    </row>
    <row r="144" spans="1:23" x14ac:dyDescent="0.3">
      <c r="A144" s="1">
        <v>43891</v>
      </c>
      <c r="B144" s="1">
        <v>43891</v>
      </c>
      <c r="C144" t="s">
        <v>157</v>
      </c>
      <c r="D144" t="s">
        <v>93</v>
      </c>
      <c r="E144" t="s">
        <v>49</v>
      </c>
      <c r="F144" t="s">
        <v>207</v>
      </c>
      <c r="G144" s="53">
        <v>43970.737210648149</v>
      </c>
      <c r="H144">
        <v>33</v>
      </c>
      <c r="I144" t="s">
        <v>349</v>
      </c>
      <c r="J144" t="s">
        <v>50</v>
      </c>
      <c r="K144" t="s">
        <v>50</v>
      </c>
      <c r="L144" t="s">
        <v>159</v>
      </c>
      <c r="M144" t="s">
        <v>51</v>
      </c>
      <c r="N144" t="s">
        <v>92</v>
      </c>
      <c r="O144" s="1">
        <v>41335</v>
      </c>
      <c r="P144" t="s">
        <v>84</v>
      </c>
      <c r="Q144">
        <v>1</v>
      </c>
      <c r="R144" t="s">
        <v>83</v>
      </c>
      <c r="S144">
        <v>1</v>
      </c>
      <c r="T144">
        <v>7163</v>
      </c>
      <c r="U144" t="s">
        <v>349</v>
      </c>
      <c r="V144" t="s">
        <v>349</v>
      </c>
      <c r="W144">
        <v>7163</v>
      </c>
    </row>
    <row r="145" spans="1:23" x14ac:dyDescent="0.3">
      <c r="A145" s="1">
        <v>43891</v>
      </c>
      <c r="B145" s="1">
        <v>43891</v>
      </c>
      <c r="C145" t="s">
        <v>157</v>
      </c>
      <c r="D145" t="s">
        <v>48</v>
      </c>
      <c r="E145" t="s">
        <v>49</v>
      </c>
      <c r="F145" t="s">
        <v>208</v>
      </c>
      <c r="G145" s="53">
        <v>43928.620706018519</v>
      </c>
      <c r="H145">
        <v>33</v>
      </c>
      <c r="I145">
        <v>13219</v>
      </c>
      <c r="J145" t="s">
        <v>50</v>
      </c>
      <c r="K145" t="s">
        <v>50</v>
      </c>
      <c r="L145" t="s">
        <v>159</v>
      </c>
      <c r="M145" t="s">
        <v>51</v>
      </c>
      <c r="N145" t="s">
        <v>92</v>
      </c>
      <c r="O145" s="1">
        <v>41335</v>
      </c>
      <c r="P145" t="s">
        <v>84</v>
      </c>
      <c r="Q145">
        <v>1</v>
      </c>
      <c r="R145" t="s">
        <v>83</v>
      </c>
      <c r="S145">
        <v>4075.112783</v>
      </c>
      <c r="T145">
        <v>69.512</v>
      </c>
      <c r="U145" t="s">
        <v>349</v>
      </c>
      <c r="V145" t="s">
        <v>349</v>
      </c>
      <c r="W145">
        <v>283269</v>
      </c>
    </row>
    <row r="146" spans="1:23" x14ac:dyDescent="0.3">
      <c r="A146" s="1">
        <v>43891</v>
      </c>
      <c r="B146" s="1">
        <v>43891</v>
      </c>
      <c r="C146" t="s">
        <v>157</v>
      </c>
      <c r="D146" t="s">
        <v>93</v>
      </c>
      <c r="E146" t="s">
        <v>49</v>
      </c>
      <c r="F146" t="s">
        <v>207</v>
      </c>
      <c r="G146" s="53">
        <v>43970.737210648149</v>
      </c>
      <c r="H146">
        <v>33</v>
      </c>
      <c r="I146" t="s">
        <v>349</v>
      </c>
      <c r="J146" t="s">
        <v>50</v>
      </c>
      <c r="K146" t="s">
        <v>50</v>
      </c>
      <c r="L146" t="s">
        <v>159</v>
      </c>
      <c r="M146" t="s">
        <v>51</v>
      </c>
      <c r="N146" t="s">
        <v>92</v>
      </c>
      <c r="O146" s="1">
        <v>41335</v>
      </c>
      <c r="P146" t="s">
        <v>84</v>
      </c>
      <c r="Q146">
        <v>2</v>
      </c>
      <c r="R146" t="s">
        <v>94</v>
      </c>
      <c r="S146">
        <v>1</v>
      </c>
      <c r="T146">
        <v>14</v>
      </c>
      <c r="U146" t="s">
        <v>349</v>
      </c>
      <c r="V146" t="s">
        <v>349</v>
      </c>
      <c r="W146">
        <v>14</v>
      </c>
    </row>
    <row r="147" spans="1:23" x14ac:dyDescent="0.3">
      <c r="A147" s="1">
        <v>43891</v>
      </c>
      <c r="B147" s="1">
        <v>43891</v>
      </c>
      <c r="C147" t="s">
        <v>157</v>
      </c>
      <c r="D147" t="s">
        <v>48</v>
      </c>
      <c r="E147" t="s">
        <v>49</v>
      </c>
      <c r="F147" t="s">
        <v>208</v>
      </c>
      <c r="G147" s="53">
        <v>43928.620706018519</v>
      </c>
      <c r="H147">
        <v>33</v>
      </c>
      <c r="I147">
        <v>13219</v>
      </c>
      <c r="J147" t="s">
        <v>50</v>
      </c>
      <c r="K147" t="s">
        <v>50</v>
      </c>
      <c r="L147" t="s">
        <v>159</v>
      </c>
      <c r="M147" t="s">
        <v>51</v>
      </c>
      <c r="N147" t="s">
        <v>92</v>
      </c>
      <c r="O147" s="1">
        <v>41335</v>
      </c>
      <c r="P147" t="s">
        <v>84</v>
      </c>
      <c r="Q147">
        <v>2</v>
      </c>
      <c r="R147" t="s">
        <v>94</v>
      </c>
      <c r="S147">
        <v>7.8423639999999999</v>
      </c>
      <c r="T147">
        <v>72.001000000000005</v>
      </c>
      <c r="U147" t="s">
        <v>349</v>
      </c>
      <c r="V147" t="s">
        <v>349</v>
      </c>
      <c r="W147">
        <v>565</v>
      </c>
    </row>
    <row r="148" spans="1:23" x14ac:dyDescent="0.3">
      <c r="A148" s="1">
        <v>43891</v>
      </c>
      <c r="B148" s="1">
        <v>43891</v>
      </c>
      <c r="C148" t="s">
        <v>157</v>
      </c>
      <c r="D148" t="s">
        <v>93</v>
      </c>
      <c r="E148" t="s">
        <v>49</v>
      </c>
      <c r="F148" t="s">
        <v>207</v>
      </c>
      <c r="G148" s="53">
        <v>43970.737210648149</v>
      </c>
      <c r="H148">
        <v>33</v>
      </c>
      <c r="I148" t="s">
        <v>349</v>
      </c>
      <c r="J148" t="s">
        <v>50</v>
      </c>
      <c r="K148" t="s">
        <v>50</v>
      </c>
      <c r="L148" t="s">
        <v>159</v>
      </c>
      <c r="M148" t="s">
        <v>51</v>
      </c>
      <c r="N148" t="s">
        <v>92</v>
      </c>
      <c r="O148" s="1">
        <v>41335</v>
      </c>
      <c r="P148" t="s">
        <v>84</v>
      </c>
      <c r="Q148">
        <v>3</v>
      </c>
      <c r="R148" t="s">
        <v>81</v>
      </c>
      <c r="S148">
        <v>1</v>
      </c>
      <c r="T148">
        <v>965</v>
      </c>
      <c r="U148" t="s">
        <v>349</v>
      </c>
      <c r="V148" t="s">
        <v>349</v>
      </c>
      <c r="W148">
        <v>965</v>
      </c>
    </row>
    <row r="149" spans="1:23" x14ac:dyDescent="0.3">
      <c r="A149" s="1">
        <v>43891</v>
      </c>
      <c r="B149" s="1">
        <v>43891</v>
      </c>
      <c r="C149" t="s">
        <v>157</v>
      </c>
      <c r="D149" t="s">
        <v>48</v>
      </c>
      <c r="E149" t="s">
        <v>49</v>
      </c>
      <c r="F149" t="s">
        <v>208</v>
      </c>
      <c r="G149" s="53">
        <v>43928.620706018519</v>
      </c>
      <c r="H149">
        <v>33</v>
      </c>
      <c r="I149">
        <v>13219</v>
      </c>
      <c r="J149" t="s">
        <v>50</v>
      </c>
      <c r="K149" t="s">
        <v>50</v>
      </c>
      <c r="L149" t="s">
        <v>159</v>
      </c>
      <c r="M149" t="s">
        <v>51</v>
      </c>
      <c r="N149" t="s">
        <v>92</v>
      </c>
      <c r="O149" s="1">
        <v>41335</v>
      </c>
      <c r="P149" t="s">
        <v>84</v>
      </c>
      <c r="Q149">
        <v>3</v>
      </c>
      <c r="R149" t="s">
        <v>81</v>
      </c>
      <c r="S149">
        <v>577.13526899999999</v>
      </c>
      <c r="T149">
        <v>66.138000000000005</v>
      </c>
      <c r="U149" t="s">
        <v>349</v>
      </c>
      <c r="V149" t="s">
        <v>349</v>
      </c>
      <c r="W149">
        <v>38171</v>
      </c>
    </row>
    <row r="150" spans="1:23" x14ac:dyDescent="0.3">
      <c r="A150" s="1">
        <v>43891</v>
      </c>
      <c r="B150" s="1">
        <v>43891</v>
      </c>
      <c r="C150" t="s">
        <v>157</v>
      </c>
      <c r="D150" t="s">
        <v>93</v>
      </c>
      <c r="E150" t="s">
        <v>49</v>
      </c>
      <c r="F150" t="s">
        <v>207</v>
      </c>
      <c r="G150" s="53">
        <v>43970.737210648149</v>
      </c>
      <c r="H150">
        <v>33</v>
      </c>
      <c r="I150" t="s">
        <v>349</v>
      </c>
      <c r="J150" t="s">
        <v>50</v>
      </c>
      <c r="K150" t="s">
        <v>50</v>
      </c>
      <c r="L150" t="s">
        <v>159</v>
      </c>
      <c r="M150" t="s">
        <v>51</v>
      </c>
      <c r="N150" t="s">
        <v>92</v>
      </c>
      <c r="O150" s="1">
        <v>41335</v>
      </c>
      <c r="P150" t="s">
        <v>84</v>
      </c>
      <c r="Q150">
        <v>4</v>
      </c>
      <c r="R150" t="s">
        <v>27</v>
      </c>
      <c r="S150">
        <v>1</v>
      </c>
      <c r="T150">
        <v>6012</v>
      </c>
      <c r="U150" t="s">
        <v>349</v>
      </c>
      <c r="V150" t="s">
        <v>349</v>
      </c>
      <c r="W150">
        <v>6012</v>
      </c>
    </row>
    <row r="151" spans="1:23" x14ac:dyDescent="0.3">
      <c r="A151" s="1">
        <v>43891</v>
      </c>
      <c r="B151" s="1">
        <v>43891</v>
      </c>
      <c r="C151" t="s">
        <v>157</v>
      </c>
      <c r="D151" t="s">
        <v>48</v>
      </c>
      <c r="E151" t="s">
        <v>49</v>
      </c>
      <c r="F151" t="s">
        <v>208</v>
      </c>
      <c r="G151" s="53">
        <v>43928.620706018519</v>
      </c>
      <c r="H151">
        <v>33</v>
      </c>
      <c r="I151">
        <v>13219</v>
      </c>
      <c r="J151" t="s">
        <v>50</v>
      </c>
      <c r="K151" t="s">
        <v>50</v>
      </c>
      <c r="L151" t="s">
        <v>159</v>
      </c>
      <c r="M151" t="s">
        <v>51</v>
      </c>
      <c r="N151" t="s">
        <v>92</v>
      </c>
      <c r="O151" s="1">
        <v>41335</v>
      </c>
      <c r="P151" t="s">
        <v>84</v>
      </c>
      <c r="Q151">
        <v>4</v>
      </c>
      <c r="R151" t="s">
        <v>27</v>
      </c>
      <c r="S151">
        <v>3523.8486549999998</v>
      </c>
      <c r="T151">
        <v>67.459999999999994</v>
      </c>
      <c r="U151" t="s">
        <v>349</v>
      </c>
      <c r="V151" t="s">
        <v>349</v>
      </c>
      <c r="W151">
        <v>237719</v>
      </c>
    </row>
    <row r="152" spans="1:23" x14ac:dyDescent="0.3">
      <c r="A152" s="1">
        <v>43891</v>
      </c>
      <c r="B152" s="1">
        <v>43891</v>
      </c>
      <c r="C152" t="s">
        <v>157</v>
      </c>
      <c r="D152" t="s">
        <v>93</v>
      </c>
      <c r="E152" t="s">
        <v>49</v>
      </c>
      <c r="F152" t="s">
        <v>207</v>
      </c>
      <c r="G152" s="53">
        <v>43970.737210648149</v>
      </c>
      <c r="H152">
        <v>33</v>
      </c>
      <c r="I152" t="s">
        <v>349</v>
      </c>
      <c r="J152" t="s">
        <v>50</v>
      </c>
      <c r="K152" t="s">
        <v>50</v>
      </c>
      <c r="L152" t="s">
        <v>159</v>
      </c>
      <c r="M152" t="s">
        <v>51</v>
      </c>
      <c r="N152" t="s">
        <v>92</v>
      </c>
      <c r="O152" s="1">
        <v>41335</v>
      </c>
      <c r="P152" t="s">
        <v>84</v>
      </c>
      <c r="Q152">
        <v>5</v>
      </c>
      <c r="R152" t="s">
        <v>28</v>
      </c>
      <c r="S152">
        <v>1</v>
      </c>
      <c r="T152">
        <v>33</v>
      </c>
      <c r="U152" t="s">
        <v>349</v>
      </c>
      <c r="V152" t="s">
        <v>349</v>
      </c>
      <c r="W152">
        <v>33</v>
      </c>
    </row>
    <row r="153" spans="1:23" x14ac:dyDescent="0.3">
      <c r="A153" s="1">
        <v>43891</v>
      </c>
      <c r="B153" s="1">
        <v>43891</v>
      </c>
      <c r="C153" t="s">
        <v>157</v>
      </c>
      <c r="D153" t="s">
        <v>48</v>
      </c>
      <c r="E153" t="s">
        <v>49</v>
      </c>
      <c r="F153" t="s">
        <v>208</v>
      </c>
      <c r="G153" s="53">
        <v>43928.620706018519</v>
      </c>
      <c r="H153">
        <v>33</v>
      </c>
      <c r="I153">
        <v>13219</v>
      </c>
      <c r="J153" t="s">
        <v>50</v>
      </c>
      <c r="K153" t="s">
        <v>50</v>
      </c>
      <c r="L153" t="s">
        <v>159</v>
      </c>
      <c r="M153" t="s">
        <v>51</v>
      </c>
      <c r="N153" t="s">
        <v>92</v>
      </c>
      <c r="O153" s="1">
        <v>41335</v>
      </c>
      <c r="P153" t="s">
        <v>84</v>
      </c>
      <c r="Q153">
        <v>5</v>
      </c>
      <c r="R153" t="s">
        <v>28</v>
      </c>
      <c r="S153">
        <v>18.504829999999998</v>
      </c>
      <c r="T153">
        <v>70.204999999999998</v>
      </c>
      <c r="U153" t="s">
        <v>349</v>
      </c>
      <c r="V153" t="s">
        <v>349</v>
      </c>
      <c r="W153">
        <v>1299</v>
      </c>
    </row>
    <row r="154" spans="1:23" x14ac:dyDescent="0.3">
      <c r="A154" s="1">
        <v>43922</v>
      </c>
      <c r="B154" s="1">
        <v>43922</v>
      </c>
      <c r="C154" t="s">
        <v>157</v>
      </c>
      <c r="D154" t="s">
        <v>93</v>
      </c>
      <c r="E154" t="s">
        <v>49</v>
      </c>
      <c r="F154" t="s">
        <v>211</v>
      </c>
      <c r="G154" s="53">
        <v>43992.659548611111</v>
      </c>
      <c r="H154">
        <v>33</v>
      </c>
      <c r="I154" t="s">
        <v>349</v>
      </c>
      <c r="J154" t="s">
        <v>50</v>
      </c>
      <c r="K154" t="s">
        <v>50</v>
      </c>
      <c r="L154" t="s">
        <v>159</v>
      </c>
      <c r="M154" t="s">
        <v>51</v>
      </c>
      <c r="N154" t="s">
        <v>92</v>
      </c>
      <c r="O154" s="1">
        <v>41335</v>
      </c>
      <c r="P154" t="s">
        <v>84</v>
      </c>
      <c r="Q154">
        <v>1</v>
      </c>
      <c r="R154" t="s">
        <v>83</v>
      </c>
      <c r="S154">
        <v>1</v>
      </c>
      <c r="T154">
        <v>3814</v>
      </c>
      <c r="U154" t="s">
        <v>349</v>
      </c>
      <c r="V154" t="s">
        <v>349</v>
      </c>
      <c r="W154">
        <v>3814</v>
      </c>
    </row>
    <row r="155" spans="1:23" x14ac:dyDescent="0.3">
      <c r="A155" s="1">
        <v>43922</v>
      </c>
      <c r="B155" s="1">
        <v>43922</v>
      </c>
      <c r="C155" t="s">
        <v>157</v>
      </c>
      <c r="D155" t="s">
        <v>48</v>
      </c>
      <c r="E155" t="s">
        <v>49</v>
      </c>
      <c r="F155" t="s">
        <v>215</v>
      </c>
      <c r="G155" s="53">
        <v>43959.644641203704</v>
      </c>
      <c r="H155">
        <v>33</v>
      </c>
      <c r="I155">
        <v>13722</v>
      </c>
      <c r="J155" t="s">
        <v>50</v>
      </c>
      <c r="K155" t="s">
        <v>50</v>
      </c>
      <c r="L155" t="s">
        <v>159</v>
      </c>
      <c r="M155" t="s">
        <v>51</v>
      </c>
      <c r="N155" t="s">
        <v>92</v>
      </c>
      <c r="O155" s="1">
        <v>41335</v>
      </c>
      <c r="P155" t="s">
        <v>84</v>
      </c>
      <c r="Q155">
        <v>1</v>
      </c>
      <c r="R155" t="s">
        <v>83</v>
      </c>
      <c r="S155">
        <v>2937.81</v>
      </c>
      <c r="T155">
        <v>71.221999999999994</v>
      </c>
      <c r="U155" t="s">
        <v>349</v>
      </c>
      <c r="V155" t="s">
        <v>349</v>
      </c>
      <c r="W155">
        <v>209237</v>
      </c>
    </row>
    <row r="156" spans="1:23" x14ac:dyDescent="0.3">
      <c r="A156" s="1">
        <v>43922</v>
      </c>
      <c r="B156" s="1">
        <v>43922</v>
      </c>
      <c r="C156" t="s">
        <v>157</v>
      </c>
      <c r="D156" t="s">
        <v>93</v>
      </c>
      <c r="E156" t="s">
        <v>49</v>
      </c>
      <c r="F156" t="s">
        <v>211</v>
      </c>
      <c r="G156" s="53">
        <v>43992.659548611111</v>
      </c>
      <c r="H156">
        <v>33</v>
      </c>
      <c r="I156" t="s">
        <v>349</v>
      </c>
      <c r="J156" t="s">
        <v>50</v>
      </c>
      <c r="K156" t="s">
        <v>50</v>
      </c>
      <c r="L156" t="s">
        <v>159</v>
      </c>
      <c r="M156" t="s">
        <v>51</v>
      </c>
      <c r="N156" t="s">
        <v>92</v>
      </c>
      <c r="O156" s="1">
        <v>41335</v>
      </c>
      <c r="P156" t="s">
        <v>84</v>
      </c>
      <c r="Q156">
        <v>2</v>
      </c>
      <c r="R156" t="s">
        <v>94</v>
      </c>
      <c r="S156">
        <v>1</v>
      </c>
      <c r="T156">
        <v>8</v>
      </c>
      <c r="U156" t="s">
        <v>349</v>
      </c>
      <c r="V156" t="s">
        <v>349</v>
      </c>
      <c r="W156">
        <v>8</v>
      </c>
    </row>
    <row r="157" spans="1:23" x14ac:dyDescent="0.3">
      <c r="A157" s="1">
        <v>43922</v>
      </c>
      <c r="B157" s="1">
        <v>43922</v>
      </c>
      <c r="C157" t="s">
        <v>157</v>
      </c>
      <c r="D157" t="s">
        <v>48</v>
      </c>
      <c r="E157" t="s">
        <v>49</v>
      </c>
      <c r="F157" t="s">
        <v>215</v>
      </c>
      <c r="G157" s="53">
        <v>43959.644641203704</v>
      </c>
      <c r="H157">
        <v>33</v>
      </c>
      <c r="I157">
        <v>13722</v>
      </c>
      <c r="J157" t="s">
        <v>50</v>
      </c>
      <c r="K157" t="s">
        <v>50</v>
      </c>
      <c r="L157" t="s">
        <v>159</v>
      </c>
      <c r="M157" t="s">
        <v>51</v>
      </c>
      <c r="N157" t="s">
        <v>92</v>
      </c>
      <c r="O157" s="1">
        <v>41335</v>
      </c>
      <c r="P157" t="s">
        <v>84</v>
      </c>
      <c r="Q157">
        <v>2</v>
      </c>
      <c r="R157" t="s">
        <v>94</v>
      </c>
      <c r="S157">
        <v>6.150766</v>
      </c>
      <c r="T157">
        <v>73.772999999999996</v>
      </c>
      <c r="U157" t="s">
        <v>349</v>
      </c>
      <c r="V157" t="s">
        <v>349</v>
      </c>
      <c r="W157">
        <v>454</v>
      </c>
    </row>
    <row r="158" spans="1:23" x14ac:dyDescent="0.3">
      <c r="A158" s="1">
        <v>43922</v>
      </c>
      <c r="B158" s="1">
        <v>43922</v>
      </c>
      <c r="C158" t="s">
        <v>157</v>
      </c>
      <c r="D158" t="s">
        <v>93</v>
      </c>
      <c r="E158" t="s">
        <v>49</v>
      </c>
      <c r="F158" t="s">
        <v>211</v>
      </c>
      <c r="G158" s="53">
        <v>43992.659548611111</v>
      </c>
      <c r="H158">
        <v>33</v>
      </c>
      <c r="I158" t="s">
        <v>349</v>
      </c>
      <c r="J158" t="s">
        <v>50</v>
      </c>
      <c r="K158" t="s">
        <v>50</v>
      </c>
      <c r="L158" t="s">
        <v>159</v>
      </c>
      <c r="M158" t="s">
        <v>51</v>
      </c>
      <c r="N158" t="s">
        <v>92</v>
      </c>
      <c r="O158" s="1">
        <v>41335</v>
      </c>
      <c r="P158" t="s">
        <v>84</v>
      </c>
      <c r="Q158">
        <v>3</v>
      </c>
      <c r="R158" t="s">
        <v>81</v>
      </c>
      <c r="S158">
        <v>1</v>
      </c>
      <c r="T158">
        <v>531</v>
      </c>
      <c r="U158" t="s">
        <v>349</v>
      </c>
      <c r="V158" t="s">
        <v>349</v>
      </c>
      <c r="W158">
        <v>531</v>
      </c>
    </row>
    <row r="159" spans="1:23" x14ac:dyDescent="0.3">
      <c r="A159" s="1">
        <v>43922</v>
      </c>
      <c r="B159" s="1">
        <v>43922</v>
      </c>
      <c r="C159" t="s">
        <v>157</v>
      </c>
      <c r="D159" t="s">
        <v>48</v>
      </c>
      <c r="E159" t="s">
        <v>49</v>
      </c>
      <c r="F159" t="s">
        <v>215</v>
      </c>
      <c r="G159" s="53">
        <v>43959.644641203704</v>
      </c>
      <c r="H159">
        <v>33</v>
      </c>
      <c r="I159">
        <v>13722</v>
      </c>
      <c r="J159" t="s">
        <v>50</v>
      </c>
      <c r="K159" t="s">
        <v>50</v>
      </c>
      <c r="L159" t="s">
        <v>159</v>
      </c>
      <c r="M159" t="s">
        <v>51</v>
      </c>
      <c r="N159" t="s">
        <v>92</v>
      </c>
      <c r="O159" s="1">
        <v>41335</v>
      </c>
      <c r="P159" t="s">
        <v>84</v>
      </c>
      <c r="Q159">
        <v>3</v>
      </c>
      <c r="R159" t="s">
        <v>81</v>
      </c>
      <c r="S159">
        <v>430.04700800000001</v>
      </c>
      <c r="T159">
        <v>67.765000000000001</v>
      </c>
      <c r="U159" t="s">
        <v>349</v>
      </c>
      <c r="V159" t="s">
        <v>349</v>
      </c>
      <c r="W159">
        <v>29142</v>
      </c>
    </row>
    <row r="160" spans="1:23" x14ac:dyDescent="0.3">
      <c r="A160" s="1">
        <v>43922</v>
      </c>
      <c r="B160" s="1">
        <v>43922</v>
      </c>
      <c r="C160" t="s">
        <v>157</v>
      </c>
      <c r="D160" t="s">
        <v>93</v>
      </c>
      <c r="E160" t="s">
        <v>49</v>
      </c>
      <c r="F160" t="s">
        <v>211</v>
      </c>
      <c r="G160" s="53">
        <v>43992.659548611111</v>
      </c>
      <c r="H160">
        <v>33</v>
      </c>
      <c r="I160" t="s">
        <v>349</v>
      </c>
      <c r="J160" t="s">
        <v>50</v>
      </c>
      <c r="K160" t="s">
        <v>50</v>
      </c>
      <c r="L160" t="s">
        <v>159</v>
      </c>
      <c r="M160" t="s">
        <v>51</v>
      </c>
      <c r="N160" t="s">
        <v>92</v>
      </c>
      <c r="O160" s="1">
        <v>41335</v>
      </c>
      <c r="P160" t="s">
        <v>84</v>
      </c>
      <c r="Q160">
        <v>4</v>
      </c>
      <c r="R160" t="s">
        <v>27</v>
      </c>
      <c r="S160">
        <v>1</v>
      </c>
      <c r="T160">
        <v>3349</v>
      </c>
      <c r="U160" t="s">
        <v>349</v>
      </c>
      <c r="V160" t="s">
        <v>349</v>
      </c>
      <c r="W160">
        <v>3349</v>
      </c>
    </row>
    <row r="161" spans="1:23" x14ac:dyDescent="0.3">
      <c r="A161" s="1">
        <v>43922</v>
      </c>
      <c r="B161" s="1">
        <v>43922</v>
      </c>
      <c r="C161" t="s">
        <v>157</v>
      </c>
      <c r="D161" t="s">
        <v>48</v>
      </c>
      <c r="E161" t="s">
        <v>49</v>
      </c>
      <c r="F161" t="s">
        <v>215</v>
      </c>
      <c r="G161" s="53">
        <v>43959.644641203704</v>
      </c>
      <c r="H161">
        <v>33</v>
      </c>
      <c r="I161">
        <v>13722</v>
      </c>
      <c r="J161" t="s">
        <v>50</v>
      </c>
      <c r="K161" t="s">
        <v>50</v>
      </c>
      <c r="L161" t="s">
        <v>159</v>
      </c>
      <c r="M161" t="s">
        <v>51</v>
      </c>
      <c r="N161" t="s">
        <v>92</v>
      </c>
      <c r="O161" s="1">
        <v>41335</v>
      </c>
      <c r="P161" t="s">
        <v>84</v>
      </c>
      <c r="Q161">
        <v>4</v>
      </c>
      <c r="R161" t="s">
        <v>27</v>
      </c>
      <c r="S161">
        <v>2658.6885689999999</v>
      </c>
      <c r="T161">
        <v>69.12</v>
      </c>
      <c r="U161" t="s">
        <v>349</v>
      </c>
      <c r="V161" t="s">
        <v>349</v>
      </c>
      <c r="W161">
        <v>183769</v>
      </c>
    </row>
    <row r="162" spans="1:23" x14ac:dyDescent="0.3">
      <c r="A162" s="1">
        <v>43922</v>
      </c>
      <c r="B162" s="1">
        <v>43922</v>
      </c>
      <c r="C162" t="s">
        <v>157</v>
      </c>
      <c r="D162" t="s">
        <v>93</v>
      </c>
      <c r="E162" t="s">
        <v>49</v>
      </c>
      <c r="F162" t="s">
        <v>211</v>
      </c>
      <c r="G162" s="53">
        <v>43992.659548611111</v>
      </c>
      <c r="H162">
        <v>33</v>
      </c>
      <c r="I162" t="s">
        <v>349</v>
      </c>
      <c r="J162" t="s">
        <v>50</v>
      </c>
      <c r="K162" t="s">
        <v>50</v>
      </c>
      <c r="L162" t="s">
        <v>159</v>
      </c>
      <c r="M162" t="s">
        <v>51</v>
      </c>
      <c r="N162" t="s">
        <v>92</v>
      </c>
      <c r="O162" s="1">
        <v>41335</v>
      </c>
      <c r="P162" t="s">
        <v>84</v>
      </c>
      <c r="Q162">
        <v>5</v>
      </c>
      <c r="R162" t="s">
        <v>28</v>
      </c>
      <c r="S162">
        <v>1</v>
      </c>
      <c r="T162">
        <v>20</v>
      </c>
      <c r="U162" t="s">
        <v>349</v>
      </c>
      <c r="V162" t="s">
        <v>349</v>
      </c>
      <c r="W162">
        <v>20</v>
      </c>
    </row>
    <row r="163" spans="1:23" x14ac:dyDescent="0.3">
      <c r="A163" s="1">
        <v>43922</v>
      </c>
      <c r="B163" s="1">
        <v>43922</v>
      </c>
      <c r="C163" t="s">
        <v>157</v>
      </c>
      <c r="D163" t="s">
        <v>48</v>
      </c>
      <c r="E163" t="s">
        <v>49</v>
      </c>
      <c r="F163" t="s">
        <v>215</v>
      </c>
      <c r="G163" s="53">
        <v>43959.644641203704</v>
      </c>
      <c r="H163">
        <v>33</v>
      </c>
      <c r="I163">
        <v>13722</v>
      </c>
      <c r="J163" t="s">
        <v>50</v>
      </c>
      <c r="K163" t="s">
        <v>50</v>
      </c>
      <c r="L163" t="s">
        <v>159</v>
      </c>
      <c r="M163" t="s">
        <v>51</v>
      </c>
      <c r="N163" t="s">
        <v>92</v>
      </c>
      <c r="O163" s="1">
        <v>41335</v>
      </c>
      <c r="P163" t="s">
        <v>84</v>
      </c>
      <c r="Q163">
        <v>5</v>
      </c>
      <c r="R163" t="s">
        <v>28</v>
      </c>
      <c r="S163">
        <v>15.457482000000001</v>
      </c>
      <c r="T163">
        <v>71.932000000000002</v>
      </c>
      <c r="U163" t="s">
        <v>349</v>
      </c>
      <c r="V163" t="s">
        <v>349</v>
      </c>
      <c r="W163">
        <v>1112</v>
      </c>
    </row>
    <row r="164" spans="1:23" x14ac:dyDescent="0.3">
      <c r="A164" s="1">
        <v>43952</v>
      </c>
      <c r="B164" s="1">
        <v>43952</v>
      </c>
      <c r="C164" t="s">
        <v>157</v>
      </c>
      <c r="D164" t="s">
        <v>93</v>
      </c>
      <c r="E164" t="s">
        <v>49</v>
      </c>
      <c r="F164" t="s">
        <v>217</v>
      </c>
      <c r="G164" s="53">
        <v>44027.009201388886</v>
      </c>
      <c r="H164">
        <v>33</v>
      </c>
      <c r="I164">
        <v>14695</v>
      </c>
      <c r="J164" t="s">
        <v>50</v>
      </c>
      <c r="K164" t="s">
        <v>50</v>
      </c>
      <c r="L164" t="s">
        <v>159</v>
      </c>
      <c r="M164" t="s">
        <v>51</v>
      </c>
      <c r="N164" t="s">
        <v>92</v>
      </c>
      <c r="O164" s="1">
        <v>41335</v>
      </c>
      <c r="P164" t="s">
        <v>84</v>
      </c>
      <c r="Q164">
        <v>1</v>
      </c>
      <c r="R164" t="s">
        <v>83</v>
      </c>
      <c r="S164">
        <v>1</v>
      </c>
      <c r="T164">
        <v>269</v>
      </c>
      <c r="U164" t="s">
        <v>349</v>
      </c>
      <c r="V164" t="s">
        <v>349</v>
      </c>
      <c r="W164">
        <v>269</v>
      </c>
    </row>
    <row r="165" spans="1:23" x14ac:dyDescent="0.3">
      <c r="A165" s="1">
        <v>43952</v>
      </c>
      <c r="B165" s="1">
        <v>43952</v>
      </c>
      <c r="C165" t="s">
        <v>157</v>
      </c>
      <c r="D165" t="s">
        <v>48</v>
      </c>
      <c r="E165" t="s">
        <v>49</v>
      </c>
      <c r="F165" t="s">
        <v>220</v>
      </c>
      <c r="G165" s="53">
        <v>43987.496550925927</v>
      </c>
      <c r="H165">
        <v>33</v>
      </c>
      <c r="I165">
        <v>14013</v>
      </c>
      <c r="J165" t="s">
        <v>50</v>
      </c>
      <c r="K165" t="s">
        <v>50</v>
      </c>
      <c r="L165" t="s">
        <v>159</v>
      </c>
      <c r="M165" t="s">
        <v>51</v>
      </c>
      <c r="N165" t="s">
        <v>92</v>
      </c>
      <c r="O165" s="1">
        <v>41335</v>
      </c>
      <c r="P165" t="s">
        <v>84</v>
      </c>
      <c r="Q165">
        <v>1</v>
      </c>
      <c r="R165" t="s">
        <v>83</v>
      </c>
      <c r="S165">
        <v>2850.9896789999998</v>
      </c>
      <c r="T165">
        <v>71.221999999999994</v>
      </c>
      <c r="U165" t="s">
        <v>349</v>
      </c>
      <c r="V165" t="s">
        <v>349</v>
      </c>
      <c r="W165">
        <v>203053</v>
      </c>
    </row>
    <row r="166" spans="1:23" x14ac:dyDescent="0.3">
      <c r="A166" s="1">
        <v>43952</v>
      </c>
      <c r="B166" s="1">
        <v>43952</v>
      </c>
      <c r="C166" t="s">
        <v>157</v>
      </c>
      <c r="D166" t="s">
        <v>48</v>
      </c>
      <c r="E166" t="s">
        <v>49</v>
      </c>
      <c r="F166" t="s">
        <v>220</v>
      </c>
      <c r="G166" s="53">
        <v>43987.496550925927</v>
      </c>
      <c r="H166">
        <v>33</v>
      </c>
      <c r="I166">
        <v>14013</v>
      </c>
      <c r="J166" t="s">
        <v>50</v>
      </c>
      <c r="K166" t="s">
        <v>50</v>
      </c>
      <c r="L166" t="s">
        <v>159</v>
      </c>
      <c r="M166" t="s">
        <v>51</v>
      </c>
      <c r="N166" t="s">
        <v>92</v>
      </c>
      <c r="O166" s="1">
        <v>41335</v>
      </c>
      <c r="P166" t="s">
        <v>84</v>
      </c>
      <c r="Q166">
        <v>2</v>
      </c>
      <c r="R166" t="s">
        <v>94</v>
      </c>
      <c r="S166">
        <v>6.0668620000000004</v>
      </c>
      <c r="T166">
        <v>73.772999999999996</v>
      </c>
      <c r="U166" t="s">
        <v>349</v>
      </c>
      <c r="V166" t="s">
        <v>349</v>
      </c>
      <c r="W166">
        <v>448</v>
      </c>
    </row>
    <row r="167" spans="1:23" x14ac:dyDescent="0.3">
      <c r="A167" s="1">
        <v>43952</v>
      </c>
      <c r="B167" s="1">
        <v>43952</v>
      </c>
      <c r="C167" t="s">
        <v>157</v>
      </c>
      <c r="D167" t="s">
        <v>93</v>
      </c>
      <c r="E167" t="s">
        <v>49</v>
      </c>
      <c r="F167" t="s">
        <v>217</v>
      </c>
      <c r="G167" s="53">
        <v>44027.009201388886</v>
      </c>
      <c r="H167">
        <v>33</v>
      </c>
      <c r="I167">
        <v>14695</v>
      </c>
      <c r="J167" t="s">
        <v>50</v>
      </c>
      <c r="K167" t="s">
        <v>50</v>
      </c>
      <c r="L167" t="s">
        <v>159</v>
      </c>
      <c r="M167" t="s">
        <v>51</v>
      </c>
      <c r="N167" t="s">
        <v>92</v>
      </c>
      <c r="O167" s="1">
        <v>41335</v>
      </c>
      <c r="P167" t="s">
        <v>84</v>
      </c>
      <c r="Q167">
        <v>3</v>
      </c>
      <c r="R167" t="s">
        <v>81</v>
      </c>
      <c r="S167">
        <v>1</v>
      </c>
      <c r="T167">
        <v>38</v>
      </c>
      <c r="U167" t="s">
        <v>349</v>
      </c>
      <c r="V167" t="s">
        <v>349</v>
      </c>
      <c r="W167">
        <v>38</v>
      </c>
    </row>
    <row r="168" spans="1:23" x14ac:dyDescent="0.3">
      <c r="A168" s="1">
        <v>43952</v>
      </c>
      <c r="B168" s="1">
        <v>43952</v>
      </c>
      <c r="C168" t="s">
        <v>157</v>
      </c>
      <c r="D168" t="s">
        <v>48</v>
      </c>
      <c r="E168" t="s">
        <v>49</v>
      </c>
      <c r="F168" t="s">
        <v>220</v>
      </c>
      <c r="G168" s="53">
        <v>43987.496550925927</v>
      </c>
      <c r="H168">
        <v>33</v>
      </c>
      <c r="I168">
        <v>14013</v>
      </c>
      <c r="J168" t="s">
        <v>50</v>
      </c>
      <c r="K168" t="s">
        <v>50</v>
      </c>
      <c r="L168" t="s">
        <v>159</v>
      </c>
      <c r="M168" t="s">
        <v>51</v>
      </c>
      <c r="N168" t="s">
        <v>92</v>
      </c>
      <c r="O168" s="1">
        <v>41335</v>
      </c>
      <c r="P168" t="s">
        <v>84</v>
      </c>
      <c r="Q168">
        <v>3</v>
      </c>
      <c r="R168" t="s">
        <v>81</v>
      </c>
      <c r="S168">
        <v>420.03741300000002</v>
      </c>
      <c r="T168">
        <v>67.765000000000001</v>
      </c>
      <c r="U168" t="s">
        <v>349</v>
      </c>
      <c r="V168" t="s">
        <v>349</v>
      </c>
      <c r="W168">
        <v>28464</v>
      </c>
    </row>
    <row r="169" spans="1:23" x14ac:dyDescent="0.3">
      <c r="A169" s="1">
        <v>43952</v>
      </c>
      <c r="B169" s="1">
        <v>43952</v>
      </c>
      <c r="C169" t="s">
        <v>157</v>
      </c>
      <c r="D169" t="s">
        <v>93</v>
      </c>
      <c r="E169" t="s">
        <v>49</v>
      </c>
      <c r="F169" t="s">
        <v>217</v>
      </c>
      <c r="G169" s="53">
        <v>44027.009201388886</v>
      </c>
      <c r="H169">
        <v>33</v>
      </c>
      <c r="I169">
        <v>14695</v>
      </c>
      <c r="J169" t="s">
        <v>50</v>
      </c>
      <c r="K169" t="s">
        <v>50</v>
      </c>
      <c r="L169" t="s">
        <v>159</v>
      </c>
      <c r="M169" t="s">
        <v>51</v>
      </c>
      <c r="N169" t="s">
        <v>92</v>
      </c>
      <c r="O169" s="1">
        <v>41335</v>
      </c>
      <c r="P169" t="s">
        <v>84</v>
      </c>
      <c r="Q169">
        <v>4</v>
      </c>
      <c r="R169" t="s">
        <v>27</v>
      </c>
      <c r="S169">
        <v>1</v>
      </c>
      <c r="T169">
        <v>238</v>
      </c>
      <c r="U169" t="s">
        <v>349</v>
      </c>
      <c r="V169" t="s">
        <v>349</v>
      </c>
      <c r="W169">
        <v>238</v>
      </c>
    </row>
    <row r="170" spans="1:23" x14ac:dyDescent="0.3">
      <c r="A170" s="1">
        <v>43952</v>
      </c>
      <c r="B170" s="1">
        <v>43952</v>
      </c>
      <c r="C170" t="s">
        <v>157</v>
      </c>
      <c r="D170" t="s">
        <v>48</v>
      </c>
      <c r="E170" t="s">
        <v>49</v>
      </c>
      <c r="F170" t="s">
        <v>220</v>
      </c>
      <c r="G170" s="53">
        <v>43987.496550925927</v>
      </c>
      <c r="H170">
        <v>33</v>
      </c>
      <c r="I170">
        <v>14013</v>
      </c>
      <c r="J170" t="s">
        <v>50</v>
      </c>
      <c r="K170" t="s">
        <v>50</v>
      </c>
      <c r="L170" t="s">
        <v>159</v>
      </c>
      <c r="M170" t="s">
        <v>51</v>
      </c>
      <c r="N170" t="s">
        <v>92</v>
      </c>
      <c r="O170" s="1">
        <v>41335</v>
      </c>
      <c r="P170" t="s">
        <v>84</v>
      </c>
      <c r="Q170">
        <v>4</v>
      </c>
      <c r="R170" t="s">
        <v>27</v>
      </c>
      <c r="S170">
        <v>2600.4811690000001</v>
      </c>
      <c r="T170">
        <v>69.12</v>
      </c>
      <c r="U170" t="s">
        <v>349</v>
      </c>
      <c r="V170" t="s">
        <v>349</v>
      </c>
      <c r="W170">
        <v>179745</v>
      </c>
    </row>
    <row r="171" spans="1:23" x14ac:dyDescent="0.3">
      <c r="A171" s="1">
        <v>43952</v>
      </c>
      <c r="B171" s="1">
        <v>43952</v>
      </c>
      <c r="C171" t="s">
        <v>157</v>
      </c>
      <c r="D171" t="s">
        <v>93</v>
      </c>
      <c r="E171" t="s">
        <v>49</v>
      </c>
      <c r="F171" t="s">
        <v>217</v>
      </c>
      <c r="G171" s="53">
        <v>44027.009201388886</v>
      </c>
      <c r="H171">
        <v>33</v>
      </c>
      <c r="I171">
        <v>14695</v>
      </c>
      <c r="J171" t="s">
        <v>50</v>
      </c>
      <c r="K171" t="s">
        <v>50</v>
      </c>
      <c r="L171" t="s">
        <v>159</v>
      </c>
      <c r="M171" t="s">
        <v>51</v>
      </c>
      <c r="N171" t="s">
        <v>92</v>
      </c>
      <c r="O171" s="1">
        <v>41335</v>
      </c>
      <c r="P171" t="s">
        <v>84</v>
      </c>
      <c r="Q171">
        <v>5</v>
      </c>
      <c r="R171" t="s">
        <v>28</v>
      </c>
      <c r="S171">
        <v>1</v>
      </c>
      <c r="T171">
        <v>1</v>
      </c>
      <c r="U171" t="s">
        <v>349</v>
      </c>
      <c r="V171" t="s">
        <v>349</v>
      </c>
      <c r="W171">
        <v>1</v>
      </c>
    </row>
    <row r="172" spans="1:23" x14ac:dyDescent="0.3">
      <c r="A172" s="1">
        <v>43952</v>
      </c>
      <c r="B172" s="1">
        <v>43952</v>
      </c>
      <c r="C172" t="s">
        <v>157</v>
      </c>
      <c r="D172" t="s">
        <v>48</v>
      </c>
      <c r="E172" t="s">
        <v>49</v>
      </c>
      <c r="F172" t="s">
        <v>220</v>
      </c>
      <c r="G172" s="53">
        <v>43987.496550925927</v>
      </c>
      <c r="H172">
        <v>33</v>
      </c>
      <c r="I172">
        <v>14013</v>
      </c>
      <c r="J172" t="s">
        <v>50</v>
      </c>
      <c r="K172" t="s">
        <v>50</v>
      </c>
      <c r="L172" t="s">
        <v>159</v>
      </c>
      <c r="M172" t="s">
        <v>51</v>
      </c>
      <c r="N172" t="s">
        <v>92</v>
      </c>
      <c r="O172" s="1">
        <v>41335</v>
      </c>
      <c r="P172" t="s">
        <v>84</v>
      </c>
      <c r="Q172">
        <v>5</v>
      </c>
      <c r="R172" t="s">
        <v>28</v>
      </c>
      <c r="S172">
        <v>15.361321</v>
      </c>
      <c r="T172">
        <v>71.932000000000002</v>
      </c>
      <c r="U172" t="s">
        <v>349</v>
      </c>
      <c r="V172" t="s">
        <v>349</v>
      </c>
      <c r="W172">
        <v>1105</v>
      </c>
    </row>
    <row r="173" spans="1:23" x14ac:dyDescent="0.3">
      <c r="A173" s="1">
        <v>43983</v>
      </c>
      <c r="B173" s="1">
        <v>43983</v>
      </c>
      <c r="C173" t="s">
        <v>157</v>
      </c>
      <c r="D173" t="s">
        <v>93</v>
      </c>
      <c r="E173" t="s">
        <v>49</v>
      </c>
      <c r="F173" t="s">
        <v>229</v>
      </c>
      <c r="G173" s="53">
        <v>44057.743877314817</v>
      </c>
      <c r="H173">
        <v>61</v>
      </c>
      <c r="I173" t="s">
        <v>349</v>
      </c>
      <c r="J173" t="s">
        <v>50</v>
      </c>
      <c r="K173" t="s">
        <v>50</v>
      </c>
      <c r="L173" t="s">
        <v>159</v>
      </c>
      <c r="M173" t="s">
        <v>51</v>
      </c>
      <c r="N173" t="s">
        <v>92</v>
      </c>
      <c r="O173" s="1">
        <v>41335</v>
      </c>
      <c r="P173" t="s">
        <v>84</v>
      </c>
      <c r="Q173">
        <v>1</v>
      </c>
      <c r="R173" t="s">
        <v>83</v>
      </c>
      <c r="S173">
        <v>1</v>
      </c>
      <c r="T173">
        <v>-1449</v>
      </c>
      <c r="U173" t="s">
        <v>349</v>
      </c>
      <c r="V173" t="s">
        <v>349</v>
      </c>
      <c r="W173">
        <v>-1449</v>
      </c>
    </row>
    <row r="174" spans="1:23" x14ac:dyDescent="0.3">
      <c r="A174" s="1">
        <v>43983</v>
      </c>
      <c r="B174" s="1">
        <v>43983</v>
      </c>
      <c r="C174" t="s">
        <v>157</v>
      </c>
      <c r="D174" t="s">
        <v>48</v>
      </c>
      <c r="E174" t="s">
        <v>49</v>
      </c>
      <c r="F174" t="s">
        <v>228</v>
      </c>
      <c r="G174" s="53">
        <v>44020.479664351849</v>
      </c>
      <c r="H174">
        <v>33</v>
      </c>
      <c r="I174">
        <v>14392</v>
      </c>
      <c r="J174" t="s">
        <v>50</v>
      </c>
      <c r="K174" t="s">
        <v>50</v>
      </c>
      <c r="L174" t="s">
        <v>159</v>
      </c>
      <c r="M174" t="s">
        <v>51</v>
      </c>
      <c r="N174" t="s">
        <v>92</v>
      </c>
      <c r="O174" s="1">
        <v>41335</v>
      </c>
      <c r="P174" t="s">
        <v>84</v>
      </c>
      <c r="Q174">
        <v>1</v>
      </c>
      <c r="R174" t="s">
        <v>83</v>
      </c>
      <c r="S174">
        <v>2496.08</v>
      </c>
      <c r="T174">
        <v>71.221999999999994</v>
      </c>
      <c r="U174" t="s">
        <v>349</v>
      </c>
      <c r="V174" t="s">
        <v>349</v>
      </c>
      <c r="W174">
        <v>177776</v>
      </c>
    </row>
    <row r="175" spans="1:23" x14ac:dyDescent="0.3">
      <c r="A175" s="1">
        <v>43983</v>
      </c>
      <c r="B175" s="1">
        <v>43983</v>
      </c>
      <c r="C175" t="s">
        <v>157</v>
      </c>
      <c r="D175" t="s">
        <v>93</v>
      </c>
      <c r="E175" t="s">
        <v>49</v>
      </c>
      <c r="F175" t="s">
        <v>229</v>
      </c>
      <c r="G175" s="53">
        <v>44057.743877314817</v>
      </c>
      <c r="H175">
        <v>61</v>
      </c>
      <c r="I175" t="s">
        <v>349</v>
      </c>
      <c r="J175" t="s">
        <v>50</v>
      </c>
      <c r="K175" t="s">
        <v>50</v>
      </c>
      <c r="L175" t="s">
        <v>159</v>
      </c>
      <c r="M175" t="s">
        <v>51</v>
      </c>
      <c r="N175" t="s">
        <v>92</v>
      </c>
      <c r="O175" s="1">
        <v>41335</v>
      </c>
      <c r="P175" t="s">
        <v>84</v>
      </c>
      <c r="Q175">
        <v>2</v>
      </c>
      <c r="R175" t="s">
        <v>94</v>
      </c>
      <c r="S175">
        <v>1</v>
      </c>
      <c r="T175">
        <v>-3</v>
      </c>
      <c r="U175" t="s">
        <v>349</v>
      </c>
      <c r="V175" t="s">
        <v>349</v>
      </c>
      <c r="W175">
        <v>-3</v>
      </c>
    </row>
    <row r="176" spans="1:23" x14ac:dyDescent="0.3">
      <c r="A176" s="1">
        <v>43983</v>
      </c>
      <c r="B176" s="1">
        <v>43983</v>
      </c>
      <c r="C176" t="s">
        <v>157</v>
      </c>
      <c r="D176" t="s">
        <v>48</v>
      </c>
      <c r="E176" t="s">
        <v>49</v>
      </c>
      <c r="F176" t="s">
        <v>228</v>
      </c>
      <c r="G176" s="53">
        <v>44020.479664351849</v>
      </c>
      <c r="H176">
        <v>33</v>
      </c>
      <c r="I176">
        <v>14392</v>
      </c>
      <c r="J176" t="s">
        <v>50</v>
      </c>
      <c r="K176" t="s">
        <v>50</v>
      </c>
      <c r="L176" t="s">
        <v>159</v>
      </c>
      <c r="M176" t="s">
        <v>51</v>
      </c>
      <c r="N176" t="s">
        <v>92</v>
      </c>
      <c r="O176" s="1">
        <v>41335</v>
      </c>
      <c r="P176" t="s">
        <v>84</v>
      </c>
      <c r="Q176">
        <v>2</v>
      </c>
      <c r="R176" t="s">
        <v>94</v>
      </c>
      <c r="S176">
        <v>5.0652330000000001</v>
      </c>
      <c r="T176">
        <v>73.772999999999996</v>
      </c>
      <c r="U176" t="s">
        <v>349</v>
      </c>
      <c r="V176" t="s">
        <v>349</v>
      </c>
      <c r="W176">
        <v>374</v>
      </c>
    </row>
    <row r="177" spans="1:23" x14ac:dyDescent="0.3">
      <c r="A177" s="1">
        <v>43983</v>
      </c>
      <c r="B177" s="1">
        <v>43983</v>
      </c>
      <c r="C177" t="s">
        <v>157</v>
      </c>
      <c r="D177" t="s">
        <v>93</v>
      </c>
      <c r="E177" t="s">
        <v>49</v>
      </c>
      <c r="F177" t="s">
        <v>229</v>
      </c>
      <c r="G177" s="53">
        <v>44057.743877314817</v>
      </c>
      <c r="H177">
        <v>61</v>
      </c>
      <c r="I177" t="s">
        <v>349</v>
      </c>
      <c r="J177" t="s">
        <v>50</v>
      </c>
      <c r="K177" t="s">
        <v>50</v>
      </c>
      <c r="L177" t="s">
        <v>159</v>
      </c>
      <c r="M177" t="s">
        <v>51</v>
      </c>
      <c r="N177" t="s">
        <v>92</v>
      </c>
      <c r="O177" s="1">
        <v>41335</v>
      </c>
      <c r="P177" t="s">
        <v>84</v>
      </c>
      <c r="Q177">
        <v>3</v>
      </c>
      <c r="R177" t="s">
        <v>81</v>
      </c>
      <c r="S177">
        <v>1</v>
      </c>
      <c r="T177">
        <v>-200</v>
      </c>
      <c r="U177" t="s">
        <v>349</v>
      </c>
      <c r="V177" t="s">
        <v>349</v>
      </c>
      <c r="W177">
        <v>-200</v>
      </c>
    </row>
    <row r="178" spans="1:23" x14ac:dyDescent="0.3">
      <c r="A178" s="1">
        <v>43983</v>
      </c>
      <c r="B178" s="1">
        <v>43983</v>
      </c>
      <c r="C178" t="s">
        <v>157</v>
      </c>
      <c r="D178" t="s">
        <v>48</v>
      </c>
      <c r="E178" t="s">
        <v>49</v>
      </c>
      <c r="F178" t="s">
        <v>228</v>
      </c>
      <c r="G178" s="53">
        <v>44020.479664351849</v>
      </c>
      <c r="H178">
        <v>33</v>
      </c>
      <c r="I178">
        <v>14392</v>
      </c>
      <c r="J178" t="s">
        <v>50</v>
      </c>
      <c r="K178" t="s">
        <v>50</v>
      </c>
      <c r="L178" t="s">
        <v>159</v>
      </c>
      <c r="M178" t="s">
        <v>51</v>
      </c>
      <c r="N178" t="s">
        <v>92</v>
      </c>
      <c r="O178" s="1">
        <v>41335</v>
      </c>
      <c r="P178" t="s">
        <v>84</v>
      </c>
      <c r="Q178">
        <v>3</v>
      </c>
      <c r="R178" t="s">
        <v>81</v>
      </c>
      <c r="S178">
        <v>361.77921099999998</v>
      </c>
      <c r="T178">
        <v>67.765000000000001</v>
      </c>
      <c r="U178" t="s">
        <v>349</v>
      </c>
      <c r="V178" t="s">
        <v>349</v>
      </c>
      <c r="W178">
        <v>24516</v>
      </c>
    </row>
    <row r="179" spans="1:23" x14ac:dyDescent="0.3">
      <c r="A179" s="1">
        <v>43983</v>
      </c>
      <c r="B179" s="1">
        <v>43983</v>
      </c>
      <c r="C179" t="s">
        <v>157</v>
      </c>
      <c r="D179" t="s">
        <v>93</v>
      </c>
      <c r="E179" t="s">
        <v>49</v>
      </c>
      <c r="F179" t="s">
        <v>229</v>
      </c>
      <c r="G179" s="53">
        <v>44057.743877314817</v>
      </c>
      <c r="H179">
        <v>61</v>
      </c>
      <c r="I179" t="s">
        <v>349</v>
      </c>
      <c r="J179" t="s">
        <v>50</v>
      </c>
      <c r="K179" t="s">
        <v>50</v>
      </c>
      <c r="L179" t="s">
        <v>159</v>
      </c>
      <c r="M179" t="s">
        <v>51</v>
      </c>
      <c r="N179" t="s">
        <v>92</v>
      </c>
      <c r="O179" s="1">
        <v>41335</v>
      </c>
      <c r="P179" t="s">
        <v>84</v>
      </c>
      <c r="Q179">
        <v>4</v>
      </c>
      <c r="R179" t="s">
        <v>27</v>
      </c>
      <c r="S179">
        <v>1</v>
      </c>
      <c r="T179">
        <v>-1279</v>
      </c>
      <c r="U179" t="s">
        <v>349</v>
      </c>
      <c r="V179" t="s">
        <v>349</v>
      </c>
      <c r="W179">
        <v>-1279</v>
      </c>
    </row>
    <row r="180" spans="1:23" x14ac:dyDescent="0.3">
      <c r="A180" s="1">
        <v>43983</v>
      </c>
      <c r="B180" s="1">
        <v>43983</v>
      </c>
      <c r="C180" t="s">
        <v>157</v>
      </c>
      <c r="D180" t="s">
        <v>48</v>
      </c>
      <c r="E180" t="s">
        <v>49</v>
      </c>
      <c r="F180" t="s">
        <v>228</v>
      </c>
      <c r="G180" s="53">
        <v>44020.479664351849</v>
      </c>
      <c r="H180">
        <v>33</v>
      </c>
      <c r="I180">
        <v>14392</v>
      </c>
      <c r="J180" t="s">
        <v>50</v>
      </c>
      <c r="K180" t="s">
        <v>50</v>
      </c>
      <c r="L180" t="s">
        <v>159</v>
      </c>
      <c r="M180" t="s">
        <v>51</v>
      </c>
      <c r="N180" t="s">
        <v>92</v>
      </c>
      <c r="O180" s="1">
        <v>41335</v>
      </c>
      <c r="P180" t="s">
        <v>84</v>
      </c>
      <c r="Q180">
        <v>4</v>
      </c>
      <c r="R180" t="s">
        <v>27</v>
      </c>
      <c r="S180">
        <v>2272.4959020000001</v>
      </c>
      <c r="T180">
        <v>69.12</v>
      </c>
      <c r="U180" t="s">
        <v>349</v>
      </c>
      <c r="V180" t="s">
        <v>349</v>
      </c>
      <c r="W180">
        <v>157075</v>
      </c>
    </row>
    <row r="181" spans="1:23" x14ac:dyDescent="0.3">
      <c r="A181" s="1">
        <v>43983</v>
      </c>
      <c r="B181" s="1">
        <v>43983</v>
      </c>
      <c r="C181" t="s">
        <v>157</v>
      </c>
      <c r="D181" t="s">
        <v>93</v>
      </c>
      <c r="E181" t="s">
        <v>49</v>
      </c>
      <c r="F181" t="s">
        <v>229</v>
      </c>
      <c r="G181" s="53">
        <v>44057.743877314817</v>
      </c>
      <c r="H181">
        <v>61</v>
      </c>
      <c r="I181" t="s">
        <v>349</v>
      </c>
      <c r="J181" t="s">
        <v>50</v>
      </c>
      <c r="K181" t="s">
        <v>50</v>
      </c>
      <c r="L181" t="s">
        <v>159</v>
      </c>
      <c r="M181" t="s">
        <v>51</v>
      </c>
      <c r="N181" t="s">
        <v>92</v>
      </c>
      <c r="O181" s="1">
        <v>41335</v>
      </c>
      <c r="P181" t="s">
        <v>84</v>
      </c>
      <c r="Q181">
        <v>5</v>
      </c>
      <c r="R181" t="s">
        <v>28</v>
      </c>
      <c r="S181">
        <v>1</v>
      </c>
      <c r="T181">
        <v>-8</v>
      </c>
      <c r="U181" t="s">
        <v>349</v>
      </c>
      <c r="V181" t="s">
        <v>349</v>
      </c>
      <c r="W181">
        <v>-8</v>
      </c>
    </row>
    <row r="182" spans="1:23" x14ac:dyDescent="0.3">
      <c r="A182" s="1">
        <v>43983</v>
      </c>
      <c r="B182" s="1">
        <v>43983</v>
      </c>
      <c r="C182" t="s">
        <v>157</v>
      </c>
      <c r="D182" t="s">
        <v>48</v>
      </c>
      <c r="E182" t="s">
        <v>49</v>
      </c>
      <c r="F182" t="s">
        <v>228</v>
      </c>
      <c r="G182" s="53">
        <v>44020.479664351849</v>
      </c>
      <c r="H182">
        <v>33</v>
      </c>
      <c r="I182">
        <v>14392</v>
      </c>
      <c r="J182" t="s">
        <v>50</v>
      </c>
      <c r="K182" t="s">
        <v>50</v>
      </c>
      <c r="L182" t="s">
        <v>159</v>
      </c>
      <c r="M182" t="s">
        <v>51</v>
      </c>
      <c r="N182" t="s">
        <v>92</v>
      </c>
      <c r="O182" s="1">
        <v>41335</v>
      </c>
      <c r="P182" t="s">
        <v>84</v>
      </c>
      <c r="Q182">
        <v>5</v>
      </c>
      <c r="R182" t="s">
        <v>28</v>
      </c>
      <c r="S182">
        <v>13.447563000000001</v>
      </c>
      <c r="T182">
        <v>71.932000000000002</v>
      </c>
      <c r="U182" t="s">
        <v>349</v>
      </c>
      <c r="V182" t="s">
        <v>349</v>
      </c>
      <c r="W182">
        <v>967</v>
      </c>
    </row>
    <row r="183" spans="1:23" x14ac:dyDescent="0.3">
      <c r="A183" s="1">
        <v>44013</v>
      </c>
      <c r="B183" s="1">
        <v>44013</v>
      </c>
      <c r="C183" t="s">
        <v>157</v>
      </c>
      <c r="D183" t="s">
        <v>93</v>
      </c>
      <c r="E183" t="s">
        <v>49</v>
      </c>
      <c r="F183" t="s">
        <v>236</v>
      </c>
      <c r="G183" s="53">
        <v>44082.485532407409</v>
      </c>
      <c r="H183">
        <v>33</v>
      </c>
      <c r="I183" t="s">
        <v>349</v>
      </c>
      <c r="J183" t="s">
        <v>50</v>
      </c>
      <c r="K183" t="s">
        <v>50</v>
      </c>
      <c r="L183" t="s">
        <v>159</v>
      </c>
      <c r="M183" t="s">
        <v>51</v>
      </c>
      <c r="N183" t="s">
        <v>92</v>
      </c>
      <c r="O183" s="1">
        <v>41335</v>
      </c>
      <c r="P183" t="s">
        <v>84</v>
      </c>
      <c r="Q183">
        <v>1</v>
      </c>
      <c r="R183" t="s">
        <v>83</v>
      </c>
      <c r="S183">
        <v>1</v>
      </c>
      <c r="T183">
        <v>7664</v>
      </c>
      <c r="U183" t="s">
        <v>349</v>
      </c>
      <c r="V183" t="s">
        <v>349</v>
      </c>
      <c r="W183">
        <v>7664</v>
      </c>
    </row>
    <row r="184" spans="1:23" x14ac:dyDescent="0.3">
      <c r="A184" s="1">
        <v>44013</v>
      </c>
      <c r="B184" s="1">
        <v>44013</v>
      </c>
      <c r="C184" t="s">
        <v>157</v>
      </c>
      <c r="D184" t="s">
        <v>48</v>
      </c>
      <c r="E184" t="s">
        <v>49</v>
      </c>
      <c r="F184" t="s">
        <v>235</v>
      </c>
      <c r="G184" s="53">
        <v>44053.449259259258</v>
      </c>
      <c r="H184">
        <v>33</v>
      </c>
      <c r="I184">
        <v>14796</v>
      </c>
      <c r="J184" t="s">
        <v>50</v>
      </c>
      <c r="K184" t="s">
        <v>50</v>
      </c>
      <c r="L184" t="s">
        <v>159</v>
      </c>
      <c r="M184" t="s">
        <v>51</v>
      </c>
      <c r="N184" t="s">
        <v>92</v>
      </c>
      <c r="O184" s="1">
        <v>41335</v>
      </c>
      <c r="P184" t="s">
        <v>84</v>
      </c>
      <c r="Q184">
        <v>1</v>
      </c>
      <c r="R184" t="s">
        <v>83</v>
      </c>
      <c r="S184">
        <v>2138.52</v>
      </c>
      <c r="T184">
        <v>76.587000000000003</v>
      </c>
      <c r="U184" t="s">
        <v>349</v>
      </c>
      <c r="V184" t="s">
        <v>349</v>
      </c>
      <c r="W184">
        <v>163783</v>
      </c>
    </row>
    <row r="185" spans="1:23" x14ac:dyDescent="0.3">
      <c r="A185" s="1">
        <v>44013</v>
      </c>
      <c r="B185" s="1">
        <v>44013</v>
      </c>
      <c r="C185" t="s">
        <v>157</v>
      </c>
      <c r="D185" t="s">
        <v>93</v>
      </c>
      <c r="E185" t="s">
        <v>49</v>
      </c>
      <c r="F185" t="s">
        <v>236</v>
      </c>
      <c r="G185" s="53">
        <v>44082.485532407409</v>
      </c>
      <c r="H185">
        <v>33</v>
      </c>
      <c r="I185" t="s">
        <v>349</v>
      </c>
      <c r="J185" t="s">
        <v>50</v>
      </c>
      <c r="K185" t="s">
        <v>50</v>
      </c>
      <c r="L185" t="s">
        <v>159</v>
      </c>
      <c r="M185" t="s">
        <v>51</v>
      </c>
      <c r="N185" t="s">
        <v>92</v>
      </c>
      <c r="O185" s="1">
        <v>41335</v>
      </c>
      <c r="P185" t="s">
        <v>84</v>
      </c>
      <c r="Q185">
        <v>2</v>
      </c>
      <c r="R185" t="s">
        <v>94</v>
      </c>
      <c r="S185">
        <v>1</v>
      </c>
      <c r="T185">
        <v>35</v>
      </c>
      <c r="U185" t="s">
        <v>349</v>
      </c>
      <c r="V185" t="s">
        <v>349</v>
      </c>
      <c r="W185">
        <v>35</v>
      </c>
    </row>
    <row r="186" spans="1:23" x14ac:dyDescent="0.3">
      <c r="A186" s="1">
        <v>44013</v>
      </c>
      <c r="B186" s="1">
        <v>44013</v>
      </c>
      <c r="C186" t="s">
        <v>157</v>
      </c>
      <c r="D186" t="s">
        <v>48</v>
      </c>
      <c r="E186" t="s">
        <v>49</v>
      </c>
      <c r="F186" t="s">
        <v>235</v>
      </c>
      <c r="G186" s="53">
        <v>44053.449259259258</v>
      </c>
      <c r="H186">
        <v>33</v>
      </c>
      <c r="I186">
        <v>14796</v>
      </c>
      <c r="J186" t="s">
        <v>50</v>
      </c>
      <c r="K186" t="s">
        <v>50</v>
      </c>
      <c r="L186" t="s">
        <v>159</v>
      </c>
      <c r="M186" t="s">
        <v>51</v>
      </c>
      <c r="N186" t="s">
        <v>92</v>
      </c>
      <c r="O186" s="1">
        <v>41335</v>
      </c>
      <c r="P186" t="s">
        <v>84</v>
      </c>
      <c r="Q186">
        <v>2</v>
      </c>
      <c r="R186" t="s">
        <v>94</v>
      </c>
      <c r="S186">
        <v>9.5288520000000005</v>
      </c>
      <c r="T186">
        <v>77.677999999999997</v>
      </c>
      <c r="U186" t="s">
        <v>349</v>
      </c>
      <c r="V186" t="s">
        <v>349</v>
      </c>
      <c r="W186">
        <v>740</v>
      </c>
    </row>
    <row r="187" spans="1:23" x14ac:dyDescent="0.3">
      <c r="A187" s="1">
        <v>44013</v>
      </c>
      <c r="B187" s="1">
        <v>44013</v>
      </c>
      <c r="C187" t="s">
        <v>157</v>
      </c>
      <c r="D187" t="s">
        <v>93</v>
      </c>
      <c r="E187" t="s">
        <v>49</v>
      </c>
      <c r="F187" t="s">
        <v>236</v>
      </c>
      <c r="G187" s="53">
        <v>44082.485532407409</v>
      </c>
      <c r="H187">
        <v>33</v>
      </c>
      <c r="I187" t="s">
        <v>349</v>
      </c>
      <c r="J187" t="s">
        <v>50</v>
      </c>
      <c r="K187" t="s">
        <v>50</v>
      </c>
      <c r="L187" t="s">
        <v>159</v>
      </c>
      <c r="M187" t="s">
        <v>51</v>
      </c>
      <c r="N187" t="s">
        <v>92</v>
      </c>
      <c r="O187" s="1">
        <v>41335</v>
      </c>
      <c r="P187" t="s">
        <v>84</v>
      </c>
      <c r="Q187">
        <v>3</v>
      </c>
      <c r="R187" t="s">
        <v>81</v>
      </c>
      <c r="S187">
        <v>1</v>
      </c>
      <c r="T187">
        <v>1075</v>
      </c>
      <c r="U187" t="s">
        <v>349</v>
      </c>
      <c r="V187" t="s">
        <v>349</v>
      </c>
      <c r="W187">
        <v>1075</v>
      </c>
    </row>
    <row r="188" spans="1:23" x14ac:dyDescent="0.3">
      <c r="A188" s="1">
        <v>44013</v>
      </c>
      <c r="B188" s="1">
        <v>44013</v>
      </c>
      <c r="C188" t="s">
        <v>157</v>
      </c>
      <c r="D188" t="s">
        <v>48</v>
      </c>
      <c r="E188" t="s">
        <v>49</v>
      </c>
      <c r="F188" t="s">
        <v>235</v>
      </c>
      <c r="G188" s="53">
        <v>44053.449259259258</v>
      </c>
      <c r="H188">
        <v>33</v>
      </c>
      <c r="I188">
        <v>14796</v>
      </c>
      <c r="J188" t="s">
        <v>50</v>
      </c>
      <c r="K188" t="s">
        <v>50</v>
      </c>
      <c r="L188" t="s">
        <v>159</v>
      </c>
      <c r="M188" t="s">
        <v>51</v>
      </c>
      <c r="N188" t="s">
        <v>92</v>
      </c>
      <c r="O188" s="1">
        <v>41335</v>
      </c>
      <c r="P188" t="s">
        <v>84</v>
      </c>
      <c r="Q188">
        <v>3</v>
      </c>
      <c r="R188" t="s">
        <v>81</v>
      </c>
      <c r="S188">
        <v>314.28954700000003</v>
      </c>
      <c r="T188">
        <v>73.070999999999998</v>
      </c>
      <c r="U188" t="s">
        <v>349</v>
      </c>
      <c r="V188" t="s">
        <v>349</v>
      </c>
      <c r="W188">
        <v>22965</v>
      </c>
    </row>
    <row r="189" spans="1:23" x14ac:dyDescent="0.3">
      <c r="A189" s="1">
        <v>44013</v>
      </c>
      <c r="B189" s="1">
        <v>44013</v>
      </c>
      <c r="C189" t="s">
        <v>157</v>
      </c>
      <c r="D189" t="s">
        <v>93</v>
      </c>
      <c r="E189" t="s">
        <v>49</v>
      </c>
      <c r="F189" t="s">
        <v>236</v>
      </c>
      <c r="G189" s="53">
        <v>44082.485532407409</v>
      </c>
      <c r="H189">
        <v>33</v>
      </c>
      <c r="I189" t="s">
        <v>349</v>
      </c>
      <c r="J189" t="s">
        <v>50</v>
      </c>
      <c r="K189" t="s">
        <v>50</v>
      </c>
      <c r="L189" t="s">
        <v>159</v>
      </c>
      <c r="M189" t="s">
        <v>51</v>
      </c>
      <c r="N189" t="s">
        <v>92</v>
      </c>
      <c r="O189" s="1">
        <v>41335</v>
      </c>
      <c r="P189" t="s">
        <v>84</v>
      </c>
      <c r="Q189">
        <v>4</v>
      </c>
      <c r="R189" t="s">
        <v>27</v>
      </c>
      <c r="S189">
        <v>1</v>
      </c>
      <c r="T189">
        <v>9294</v>
      </c>
      <c r="U189" t="s">
        <v>349</v>
      </c>
      <c r="V189" t="s">
        <v>349</v>
      </c>
      <c r="W189">
        <v>9294</v>
      </c>
    </row>
    <row r="190" spans="1:23" x14ac:dyDescent="0.3">
      <c r="A190" s="1">
        <v>44013</v>
      </c>
      <c r="B190" s="1">
        <v>44013</v>
      </c>
      <c r="C190" t="s">
        <v>157</v>
      </c>
      <c r="D190" t="s">
        <v>48</v>
      </c>
      <c r="E190" t="s">
        <v>49</v>
      </c>
      <c r="F190" t="s">
        <v>235</v>
      </c>
      <c r="G190" s="53">
        <v>44053.449259259258</v>
      </c>
      <c r="H190">
        <v>33</v>
      </c>
      <c r="I190">
        <v>14796</v>
      </c>
      <c r="J190" t="s">
        <v>50</v>
      </c>
      <c r="K190" t="s">
        <v>50</v>
      </c>
      <c r="L190" t="s">
        <v>159</v>
      </c>
      <c r="M190" t="s">
        <v>51</v>
      </c>
      <c r="N190" t="s">
        <v>92</v>
      </c>
      <c r="O190" s="1">
        <v>41335</v>
      </c>
      <c r="P190" t="s">
        <v>84</v>
      </c>
      <c r="Q190">
        <v>4</v>
      </c>
      <c r="R190" t="s">
        <v>27</v>
      </c>
      <c r="S190">
        <v>2713.5583329999999</v>
      </c>
      <c r="T190">
        <v>73.188999999999993</v>
      </c>
      <c r="U190" t="s">
        <v>349</v>
      </c>
      <c r="V190" t="s">
        <v>349</v>
      </c>
      <c r="W190">
        <v>198603</v>
      </c>
    </row>
    <row r="191" spans="1:23" x14ac:dyDescent="0.3">
      <c r="A191" s="1">
        <v>44013</v>
      </c>
      <c r="B191" s="1">
        <v>44013</v>
      </c>
      <c r="C191" t="s">
        <v>157</v>
      </c>
      <c r="D191" t="s">
        <v>93</v>
      </c>
      <c r="E191" t="s">
        <v>49</v>
      </c>
      <c r="F191" t="s">
        <v>236</v>
      </c>
      <c r="G191" s="53">
        <v>44082.485532407409</v>
      </c>
      <c r="H191">
        <v>33</v>
      </c>
      <c r="I191" t="s">
        <v>349</v>
      </c>
      <c r="J191" t="s">
        <v>50</v>
      </c>
      <c r="K191" t="s">
        <v>50</v>
      </c>
      <c r="L191" t="s">
        <v>159</v>
      </c>
      <c r="M191" t="s">
        <v>51</v>
      </c>
      <c r="N191" t="s">
        <v>92</v>
      </c>
      <c r="O191" s="1">
        <v>41335</v>
      </c>
      <c r="P191" t="s">
        <v>84</v>
      </c>
      <c r="Q191">
        <v>5</v>
      </c>
      <c r="R191" t="s">
        <v>28</v>
      </c>
      <c r="S191">
        <v>1</v>
      </c>
      <c r="T191">
        <v>40</v>
      </c>
      <c r="U191" t="s">
        <v>349</v>
      </c>
      <c r="V191" t="s">
        <v>349</v>
      </c>
      <c r="W191">
        <v>40</v>
      </c>
    </row>
    <row r="192" spans="1:23" x14ac:dyDescent="0.3">
      <c r="A192" s="1">
        <v>44013</v>
      </c>
      <c r="B192" s="1">
        <v>44013</v>
      </c>
      <c r="C192" t="s">
        <v>157</v>
      </c>
      <c r="D192" t="s">
        <v>48</v>
      </c>
      <c r="E192" t="s">
        <v>49</v>
      </c>
      <c r="F192" t="s">
        <v>235</v>
      </c>
      <c r="G192" s="53">
        <v>44053.449259259258</v>
      </c>
      <c r="H192">
        <v>33</v>
      </c>
      <c r="I192">
        <v>14796</v>
      </c>
      <c r="J192" t="s">
        <v>50</v>
      </c>
      <c r="K192" t="s">
        <v>50</v>
      </c>
      <c r="L192" t="s">
        <v>159</v>
      </c>
      <c r="M192" t="s">
        <v>51</v>
      </c>
      <c r="N192" t="s">
        <v>92</v>
      </c>
      <c r="O192" s="1">
        <v>41335</v>
      </c>
      <c r="P192" t="s">
        <v>84</v>
      </c>
      <c r="Q192">
        <v>5</v>
      </c>
      <c r="R192" t="s">
        <v>28</v>
      </c>
      <c r="S192">
        <v>11.248535</v>
      </c>
      <c r="T192">
        <v>75.629000000000005</v>
      </c>
      <c r="U192" t="s">
        <v>349</v>
      </c>
      <c r="V192" t="s">
        <v>349</v>
      </c>
      <c r="W192">
        <v>851</v>
      </c>
    </row>
    <row r="193" spans="1:23" x14ac:dyDescent="0.3">
      <c r="A193" s="1">
        <v>44044</v>
      </c>
      <c r="B193" s="1">
        <v>44044</v>
      </c>
      <c r="C193" t="s">
        <v>157</v>
      </c>
      <c r="D193" t="s">
        <v>93</v>
      </c>
      <c r="E193" t="s">
        <v>49</v>
      </c>
      <c r="F193" t="s">
        <v>243</v>
      </c>
      <c r="G193" s="53">
        <v>44119.739837962959</v>
      </c>
      <c r="H193">
        <v>33</v>
      </c>
      <c r="I193" t="s">
        <v>349</v>
      </c>
      <c r="J193" t="s">
        <v>50</v>
      </c>
      <c r="K193" t="s">
        <v>50</v>
      </c>
      <c r="L193" t="s">
        <v>159</v>
      </c>
      <c r="M193" t="s">
        <v>51</v>
      </c>
      <c r="N193" t="s">
        <v>92</v>
      </c>
      <c r="O193" s="1">
        <v>41335</v>
      </c>
      <c r="P193" t="s">
        <v>84</v>
      </c>
      <c r="Q193">
        <v>1</v>
      </c>
      <c r="R193" t="s">
        <v>83</v>
      </c>
      <c r="S193">
        <v>1</v>
      </c>
      <c r="T193">
        <v>689</v>
      </c>
      <c r="U193" t="s">
        <v>349</v>
      </c>
      <c r="V193" t="s">
        <v>349</v>
      </c>
      <c r="W193">
        <v>689</v>
      </c>
    </row>
    <row r="194" spans="1:23" x14ac:dyDescent="0.3">
      <c r="A194" s="1">
        <v>44044</v>
      </c>
      <c r="B194" s="1">
        <v>44044</v>
      </c>
      <c r="C194" t="s">
        <v>157</v>
      </c>
      <c r="D194" t="s">
        <v>48</v>
      </c>
      <c r="E194" t="s">
        <v>49</v>
      </c>
      <c r="F194" t="s">
        <v>239</v>
      </c>
      <c r="G194" s="53">
        <v>44081.950659722221</v>
      </c>
      <c r="H194">
        <v>33</v>
      </c>
      <c r="I194">
        <v>15128</v>
      </c>
      <c r="J194" t="s">
        <v>50</v>
      </c>
      <c r="K194" t="s">
        <v>50</v>
      </c>
      <c r="L194" t="s">
        <v>159</v>
      </c>
      <c r="M194" t="s">
        <v>51</v>
      </c>
      <c r="N194" t="s">
        <v>92</v>
      </c>
      <c r="O194" s="1">
        <v>41335</v>
      </c>
      <c r="P194" t="s">
        <v>84</v>
      </c>
      <c r="Q194">
        <v>1</v>
      </c>
      <c r="R194" t="s">
        <v>83</v>
      </c>
      <c r="S194">
        <v>2023.204197</v>
      </c>
      <c r="T194">
        <v>80.305999999999997</v>
      </c>
      <c r="U194" t="s">
        <v>349</v>
      </c>
      <c r="V194" t="s">
        <v>349</v>
      </c>
      <c r="W194">
        <v>162475</v>
      </c>
    </row>
    <row r="195" spans="1:23" x14ac:dyDescent="0.3">
      <c r="A195" s="1">
        <v>44044</v>
      </c>
      <c r="B195" s="1">
        <v>44044</v>
      </c>
      <c r="C195" t="s">
        <v>157</v>
      </c>
      <c r="D195" t="s">
        <v>93</v>
      </c>
      <c r="E195" t="s">
        <v>49</v>
      </c>
      <c r="F195" t="s">
        <v>243</v>
      </c>
      <c r="G195" s="53">
        <v>44119.739837962959</v>
      </c>
      <c r="H195">
        <v>33</v>
      </c>
      <c r="I195" t="s">
        <v>349</v>
      </c>
      <c r="J195" t="s">
        <v>50</v>
      </c>
      <c r="K195" t="s">
        <v>50</v>
      </c>
      <c r="L195" t="s">
        <v>159</v>
      </c>
      <c r="M195" t="s">
        <v>51</v>
      </c>
      <c r="N195" t="s">
        <v>92</v>
      </c>
      <c r="O195" s="1">
        <v>41335</v>
      </c>
      <c r="P195" t="s">
        <v>84</v>
      </c>
      <c r="Q195">
        <v>2</v>
      </c>
      <c r="R195" t="s">
        <v>94</v>
      </c>
      <c r="S195">
        <v>1</v>
      </c>
      <c r="T195">
        <v>2</v>
      </c>
      <c r="U195" t="s">
        <v>349</v>
      </c>
      <c r="V195" t="s">
        <v>349</v>
      </c>
      <c r="W195">
        <v>2</v>
      </c>
    </row>
    <row r="196" spans="1:23" x14ac:dyDescent="0.3">
      <c r="A196" s="1">
        <v>44044</v>
      </c>
      <c r="B196" s="1">
        <v>44044</v>
      </c>
      <c r="C196" t="s">
        <v>157</v>
      </c>
      <c r="D196" t="s">
        <v>48</v>
      </c>
      <c r="E196" t="s">
        <v>49</v>
      </c>
      <c r="F196" t="s">
        <v>239</v>
      </c>
      <c r="G196" s="53">
        <v>44081.950659722221</v>
      </c>
      <c r="H196">
        <v>33</v>
      </c>
      <c r="I196">
        <v>15128</v>
      </c>
      <c r="J196" t="s">
        <v>50</v>
      </c>
      <c r="K196" t="s">
        <v>50</v>
      </c>
      <c r="L196" t="s">
        <v>159</v>
      </c>
      <c r="M196" t="s">
        <v>51</v>
      </c>
      <c r="N196" t="s">
        <v>92</v>
      </c>
      <c r="O196" s="1">
        <v>41335</v>
      </c>
      <c r="P196" t="s">
        <v>84</v>
      </c>
      <c r="Q196">
        <v>2</v>
      </c>
      <c r="R196" t="s">
        <v>94</v>
      </c>
      <c r="S196">
        <v>8.7799999999999994</v>
      </c>
      <c r="T196">
        <v>81.448999999999998</v>
      </c>
      <c r="U196" t="s">
        <v>349</v>
      </c>
      <c r="V196" t="s">
        <v>349</v>
      </c>
      <c r="W196">
        <v>715</v>
      </c>
    </row>
    <row r="197" spans="1:23" x14ac:dyDescent="0.3">
      <c r="A197" s="1">
        <v>44044</v>
      </c>
      <c r="B197" s="1">
        <v>44044</v>
      </c>
      <c r="C197" t="s">
        <v>157</v>
      </c>
      <c r="D197" t="s">
        <v>93</v>
      </c>
      <c r="E197" t="s">
        <v>49</v>
      </c>
      <c r="F197" t="s">
        <v>243</v>
      </c>
      <c r="G197" s="53">
        <v>44119.739837962959</v>
      </c>
      <c r="H197">
        <v>33</v>
      </c>
      <c r="I197" t="s">
        <v>349</v>
      </c>
      <c r="J197" t="s">
        <v>50</v>
      </c>
      <c r="K197" t="s">
        <v>50</v>
      </c>
      <c r="L197" t="s">
        <v>159</v>
      </c>
      <c r="M197" t="s">
        <v>51</v>
      </c>
      <c r="N197" t="s">
        <v>92</v>
      </c>
      <c r="O197" s="1">
        <v>41335</v>
      </c>
      <c r="P197" t="s">
        <v>84</v>
      </c>
      <c r="Q197">
        <v>3</v>
      </c>
      <c r="R197" t="s">
        <v>81</v>
      </c>
      <c r="S197">
        <v>1</v>
      </c>
      <c r="T197">
        <v>99</v>
      </c>
      <c r="U197" t="s">
        <v>349</v>
      </c>
      <c r="V197" t="s">
        <v>349</v>
      </c>
      <c r="W197">
        <v>99</v>
      </c>
    </row>
    <row r="198" spans="1:23" x14ac:dyDescent="0.3">
      <c r="A198" s="1">
        <v>44044</v>
      </c>
      <c r="B198" s="1">
        <v>44044</v>
      </c>
      <c r="C198" t="s">
        <v>157</v>
      </c>
      <c r="D198" t="s">
        <v>48</v>
      </c>
      <c r="E198" t="s">
        <v>49</v>
      </c>
      <c r="F198" t="s">
        <v>239</v>
      </c>
      <c r="G198" s="53">
        <v>44081.950659722221</v>
      </c>
      <c r="H198">
        <v>33</v>
      </c>
      <c r="I198">
        <v>15128</v>
      </c>
      <c r="J198" t="s">
        <v>50</v>
      </c>
      <c r="K198" t="s">
        <v>50</v>
      </c>
      <c r="L198" t="s">
        <v>159</v>
      </c>
      <c r="M198" t="s">
        <v>51</v>
      </c>
      <c r="N198" t="s">
        <v>92</v>
      </c>
      <c r="O198" s="1">
        <v>41335</v>
      </c>
      <c r="P198" t="s">
        <v>84</v>
      </c>
      <c r="Q198">
        <v>3</v>
      </c>
      <c r="R198" t="s">
        <v>81</v>
      </c>
      <c r="S198">
        <v>304.37409600000001</v>
      </c>
      <c r="T198">
        <v>76.619</v>
      </c>
      <c r="U198" t="s">
        <v>349</v>
      </c>
      <c r="V198" t="s">
        <v>349</v>
      </c>
      <c r="W198">
        <v>23321</v>
      </c>
    </row>
    <row r="199" spans="1:23" x14ac:dyDescent="0.3">
      <c r="A199" s="1">
        <v>44044</v>
      </c>
      <c r="B199" s="1">
        <v>44044</v>
      </c>
      <c r="C199" t="s">
        <v>157</v>
      </c>
      <c r="D199" t="s">
        <v>93</v>
      </c>
      <c r="E199" t="s">
        <v>49</v>
      </c>
      <c r="F199" t="s">
        <v>243</v>
      </c>
      <c r="G199" s="53">
        <v>44119.739837962959</v>
      </c>
      <c r="H199">
        <v>33</v>
      </c>
      <c r="I199" t="s">
        <v>349</v>
      </c>
      <c r="J199" t="s">
        <v>50</v>
      </c>
      <c r="K199" t="s">
        <v>50</v>
      </c>
      <c r="L199" t="s">
        <v>159</v>
      </c>
      <c r="M199" t="s">
        <v>51</v>
      </c>
      <c r="N199" t="s">
        <v>92</v>
      </c>
      <c r="O199" s="1">
        <v>41335</v>
      </c>
      <c r="P199" t="s">
        <v>84</v>
      </c>
      <c r="Q199">
        <v>4</v>
      </c>
      <c r="R199" t="s">
        <v>27</v>
      </c>
      <c r="S199">
        <v>1</v>
      </c>
      <c r="T199">
        <v>835</v>
      </c>
      <c r="U199" t="s">
        <v>349</v>
      </c>
      <c r="V199" t="s">
        <v>349</v>
      </c>
      <c r="W199">
        <v>835</v>
      </c>
    </row>
    <row r="200" spans="1:23" x14ac:dyDescent="0.3">
      <c r="A200" s="1">
        <v>44044</v>
      </c>
      <c r="B200" s="1">
        <v>44044</v>
      </c>
      <c r="C200" t="s">
        <v>157</v>
      </c>
      <c r="D200" t="s">
        <v>48</v>
      </c>
      <c r="E200" t="s">
        <v>49</v>
      </c>
      <c r="F200" t="s">
        <v>239</v>
      </c>
      <c r="G200" s="53">
        <v>44081.950659722221</v>
      </c>
      <c r="H200">
        <v>33</v>
      </c>
      <c r="I200">
        <v>15128</v>
      </c>
      <c r="J200" t="s">
        <v>50</v>
      </c>
      <c r="K200" t="s">
        <v>50</v>
      </c>
      <c r="L200" t="s">
        <v>159</v>
      </c>
      <c r="M200" t="s">
        <v>51</v>
      </c>
      <c r="N200" t="s">
        <v>92</v>
      </c>
      <c r="O200" s="1">
        <v>41335</v>
      </c>
      <c r="P200" t="s">
        <v>84</v>
      </c>
      <c r="Q200">
        <v>4</v>
      </c>
      <c r="R200" t="s">
        <v>27</v>
      </c>
      <c r="S200">
        <v>2559.6909580000001</v>
      </c>
      <c r="T200">
        <v>76.742999999999995</v>
      </c>
      <c r="U200" t="s">
        <v>349</v>
      </c>
      <c r="V200" t="s">
        <v>349</v>
      </c>
      <c r="W200">
        <v>196438</v>
      </c>
    </row>
    <row r="201" spans="1:23" x14ac:dyDescent="0.3">
      <c r="A201" s="1">
        <v>44044</v>
      </c>
      <c r="B201" s="1">
        <v>44044</v>
      </c>
      <c r="C201" t="s">
        <v>157</v>
      </c>
      <c r="D201" t="s">
        <v>93</v>
      </c>
      <c r="E201" t="s">
        <v>49</v>
      </c>
      <c r="F201" t="s">
        <v>243</v>
      </c>
      <c r="G201" s="53">
        <v>44119.739837962959</v>
      </c>
      <c r="H201">
        <v>33</v>
      </c>
      <c r="I201" t="s">
        <v>349</v>
      </c>
      <c r="J201" t="s">
        <v>50</v>
      </c>
      <c r="K201" t="s">
        <v>50</v>
      </c>
      <c r="L201" t="s">
        <v>159</v>
      </c>
      <c r="M201" t="s">
        <v>51</v>
      </c>
      <c r="N201" t="s">
        <v>92</v>
      </c>
      <c r="O201" s="1">
        <v>41335</v>
      </c>
      <c r="P201" t="s">
        <v>84</v>
      </c>
      <c r="Q201">
        <v>5</v>
      </c>
      <c r="R201" t="s">
        <v>28</v>
      </c>
      <c r="S201">
        <v>1</v>
      </c>
      <c r="T201">
        <v>4</v>
      </c>
      <c r="U201" t="s">
        <v>349</v>
      </c>
      <c r="V201" t="s">
        <v>349</v>
      </c>
      <c r="W201">
        <v>4</v>
      </c>
    </row>
    <row r="202" spans="1:23" x14ac:dyDescent="0.3">
      <c r="A202" s="1">
        <v>44044</v>
      </c>
      <c r="B202" s="1">
        <v>44044</v>
      </c>
      <c r="C202" t="s">
        <v>157</v>
      </c>
      <c r="D202" t="s">
        <v>48</v>
      </c>
      <c r="E202" t="s">
        <v>49</v>
      </c>
      <c r="F202" t="s">
        <v>239</v>
      </c>
      <c r="G202" s="53">
        <v>44081.950659722221</v>
      </c>
      <c r="H202">
        <v>33</v>
      </c>
      <c r="I202">
        <v>15128</v>
      </c>
      <c r="J202" t="s">
        <v>50</v>
      </c>
      <c r="K202" t="s">
        <v>50</v>
      </c>
      <c r="L202" t="s">
        <v>159</v>
      </c>
      <c r="M202" t="s">
        <v>51</v>
      </c>
      <c r="N202" t="s">
        <v>92</v>
      </c>
      <c r="O202" s="1">
        <v>41335</v>
      </c>
      <c r="P202" t="s">
        <v>84</v>
      </c>
      <c r="Q202">
        <v>5</v>
      </c>
      <c r="R202" t="s">
        <v>28</v>
      </c>
      <c r="S202">
        <v>10.585311000000001</v>
      </c>
      <c r="T202">
        <v>79.302000000000007</v>
      </c>
      <c r="U202" t="s">
        <v>349</v>
      </c>
      <c r="V202" t="s">
        <v>349</v>
      </c>
      <c r="W202">
        <v>839</v>
      </c>
    </row>
    <row r="203" spans="1:23" x14ac:dyDescent="0.3">
      <c r="A203" s="1">
        <v>44075</v>
      </c>
      <c r="B203" s="1">
        <v>44075</v>
      </c>
      <c r="C203" t="s">
        <v>157</v>
      </c>
      <c r="D203" t="s">
        <v>93</v>
      </c>
      <c r="E203" t="s">
        <v>49</v>
      </c>
      <c r="F203" t="s">
        <v>245</v>
      </c>
      <c r="G203" s="53">
        <v>44153.723773148151</v>
      </c>
      <c r="H203">
        <v>61</v>
      </c>
      <c r="I203" t="s">
        <v>349</v>
      </c>
      <c r="J203" t="s">
        <v>50</v>
      </c>
      <c r="K203" t="s">
        <v>50</v>
      </c>
      <c r="L203" t="s">
        <v>159</v>
      </c>
      <c r="M203" t="s">
        <v>51</v>
      </c>
      <c r="N203" t="s">
        <v>92</v>
      </c>
      <c r="O203" s="1">
        <v>41335</v>
      </c>
      <c r="P203" t="s">
        <v>84</v>
      </c>
      <c r="Q203">
        <v>1</v>
      </c>
      <c r="R203" t="s">
        <v>83</v>
      </c>
      <c r="S203">
        <v>1</v>
      </c>
      <c r="T203">
        <v>-323</v>
      </c>
      <c r="U203" t="s">
        <v>349</v>
      </c>
      <c r="V203" t="s">
        <v>349</v>
      </c>
      <c r="W203">
        <v>-323</v>
      </c>
    </row>
    <row r="204" spans="1:23" x14ac:dyDescent="0.3">
      <c r="A204" s="1">
        <v>44075</v>
      </c>
      <c r="B204" s="1">
        <v>44075</v>
      </c>
      <c r="C204" t="s">
        <v>157</v>
      </c>
      <c r="D204" t="s">
        <v>48</v>
      </c>
      <c r="E204" t="s">
        <v>49</v>
      </c>
      <c r="F204" t="s">
        <v>249</v>
      </c>
      <c r="G204" s="53">
        <v>44111.714999999997</v>
      </c>
      <c r="H204">
        <v>33</v>
      </c>
      <c r="I204">
        <v>15552</v>
      </c>
      <c r="J204" t="s">
        <v>50</v>
      </c>
      <c r="K204" t="s">
        <v>50</v>
      </c>
      <c r="L204" t="s">
        <v>159</v>
      </c>
      <c r="M204" t="s">
        <v>51</v>
      </c>
      <c r="N204" t="s">
        <v>92</v>
      </c>
      <c r="O204" s="1">
        <v>41335</v>
      </c>
      <c r="P204" t="s">
        <v>84</v>
      </c>
      <c r="Q204">
        <v>1</v>
      </c>
      <c r="R204" t="s">
        <v>83</v>
      </c>
      <c r="S204">
        <v>1931.180057</v>
      </c>
      <c r="T204">
        <v>80.344999999999999</v>
      </c>
      <c r="U204" t="s">
        <v>349</v>
      </c>
      <c r="V204" t="s">
        <v>349</v>
      </c>
      <c r="W204">
        <v>155161</v>
      </c>
    </row>
    <row r="205" spans="1:23" x14ac:dyDescent="0.3">
      <c r="A205" s="1">
        <v>44075</v>
      </c>
      <c r="B205" s="1">
        <v>44075</v>
      </c>
      <c r="C205" t="s">
        <v>157</v>
      </c>
      <c r="D205" t="s">
        <v>93</v>
      </c>
      <c r="E205" t="s">
        <v>49</v>
      </c>
      <c r="F205" t="s">
        <v>245</v>
      </c>
      <c r="G205" s="53">
        <v>44153.723773148151</v>
      </c>
      <c r="H205">
        <v>61</v>
      </c>
      <c r="I205" t="s">
        <v>349</v>
      </c>
      <c r="J205" t="s">
        <v>50</v>
      </c>
      <c r="K205" t="s">
        <v>50</v>
      </c>
      <c r="L205" t="s">
        <v>159</v>
      </c>
      <c r="M205" t="s">
        <v>51</v>
      </c>
      <c r="N205" t="s">
        <v>92</v>
      </c>
      <c r="O205" s="1">
        <v>41335</v>
      </c>
      <c r="P205" t="s">
        <v>84</v>
      </c>
      <c r="Q205">
        <v>2</v>
      </c>
      <c r="R205" t="s">
        <v>94</v>
      </c>
      <c r="S205">
        <v>1</v>
      </c>
      <c r="T205">
        <v>-2</v>
      </c>
      <c r="U205" t="s">
        <v>349</v>
      </c>
      <c r="V205" t="s">
        <v>349</v>
      </c>
      <c r="W205">
        <v>-2</v>
      </c>
    </row>
    <row r="206" spans="1:23" x14ac:dyDescent="0.3">
      <c r="A206" s="1">
        <v>44075</v>
      </c>
      <c r="B206" s="1">
        <v>44075</v>
      </c>
      <c r="C206" t="s">
        <v>157</v>
      </c>
      <c r="D206" t="s">
        <v>48</v>
      </c>
      <c r="E206" t="s">
        <v>49</v>
      </c>
      <c r="F206" t="s">
        <v>249</v>
      </c>
      <c r="G206" s="53">
        <v>44111.714999999997</v>
      </c>
      <c r="H206">
        <v>33</v>
      </c>
      <c r="I206">
        <v>15552</v>
      </c>
      <c r="J206" t="s">
        <v>50</v>
      </c>
      <c r="K206" t="s">
        <v>50</v>
      </c>
      <c r="L206" t="s">
        <v>159</v>
      </c>
      <c r="M206" t="s">
        <v>51</v>
      </c>
      <c r="N206" t="s">
        <v>92</v>
      </c>
      <c r="O206" s="1">
        <v>41335</v>
      </c>
      <c r="P206" t="s">
        <v>84</v>
      </c>
      <c r="Q206">
        <v>2</v>
      </c>
      <c r="R206" t="s">
        <v>94</v>
      </c>
      <c r="S206">
        <v>8.5106800000000007</v>
      </c>
      <c r="T206">
        <v>81.489000000000004</v>
      </c>
      <c r="U206" t="s">
        <v>349</v>
      </c>
      <c r="V206" t="s">
        <v>349</v>
      </c>
      <c r="W206">
        <v>694</v>
      </c>
    </row>
    <row r="207" spans="1:23" x14ac:dyDescent="0.3">
      <c r="A207" s="1">
        <v>44075</v>
      </c>
      <c r="B207" s="1">
        <v>44075</v>
      </c>
      <c r="C207" t="s">
        <v>157</v>
      </c>
      <c r="D207" t="s">
        <v>93</v>
      </c>
      <c r="E207" t="s">
        <v>49</v>
      </c>
      <c r="F207" t="s">
        <v>245</v>
      </c>
      <c r="G207" s="53">
        <v>44153.723773148151</v>
      </c>
      <c r="H207">
        <v>61</v>
      </c>
      <c r="I207" t="s">
        <v>349</v>
      </c>
      <c r="J207" t="s">
        <v>50</v>
      </c>
      <c r="K207" t="s">
        <v>50</v>
      </c>
      <c r="L207" t="s">
        <v>159</v>
      </c>
      <c r="M207" t="s">
        <v>51</v>
      </c>
      <c r="N207" t="s">
        <v>92</v>
      </c>
      <c r="O207" s="1">
        <v>41335</v>
      </c>
      <c r="P207" t="s">
        <v>84</v>
      </c>
      <c r="Q207">
        <v>3</v>
      </c>
      <c r="R207" t="s">
        <v>81</v>
      </c>
      <c r="S207">
        <v>1</v>
      </c>
      <c r="T207">
        <v>-44</v>
      </c>
      <c r="U207" t="s">
        <v>349</v>
      </c>
      <c r="V207" t="s">
        <v>349</v>
      </c>
      <c r="W207">
        <v>-44</v>
      </c>
    </row>
    <row r="208" spans="1:23" x14ac:dyDescent="0.3">
      <c r="A208" s="1">
        <v>44075</v>
      </c>
      <c r="B208" s="1">
        <v>44075</v>
      </c>
      <c r="C208" t="s">
        <v>157</v>
      </c>
      <c r="D208" t="s">
        <v>48</v>
      </c>
      <c r="E208" t="s">
        <v>49</v>
      </c>
      <c r="F208" t="s">
        <v>249</v>
      </c>
      <c r="G208" s="53">
        <v>44111.714999999997</v>
      </c>
      <c r="H208">
        <v>33</v>
      </c>
      <c r="I208">
        <v>15552</v>
      </c>
      <c r="J208" t="s">
        <v>50</v>
      </c>
      <c r="K208" t="s">
        <v>50</v>
      </c>
      <c r="L208" t="s">
        <v>159</v>
      </c>
      <c r="M208" t="s">
        <v>51</v>
      </c>
      <c r="N208" t="s">
        <v>92</v>
      </c>
      <c r="O208" s="1">
        <v>41335</v>
      </c>
      <c r="P208" t="s">
        <v>84</v>
      </c>
      <c r="Q208">
        <v>3</v>
      </c>
      <c r="R208" t="s">
        <v>81</v>
      </c>
      <c r="S208">
        <v>286.86</v>
      </c>
      <c r="T208">
        <v>76.656999999999996</v>
      </c>
      <c r="U208" t="s">
        <v>349</v>
      </c>
      <c r="V208" t="s">
        <v>349</v>
      </c>
      <c r="W208">
        <v>21990</v>
      </c>
    </row>
    <row r="209" spans="1:23" x14ac:dyDescent="0.3">
      <c r="A209" s="1">
        <v>44075</v>
      </c>
      <c r="B209" s="1">
        <v>44075</v>
      </c>
      <c r="C209" t="s">
        <v>157</v>
      </c>
      <c r="D209" t="s">
        <v>93</v>
      </c>
      <c r="E209" t="s">
        <v>49</v>
      </c>
      <c r="F209" t="s">
        <v>245</v>
      </c>
      <c r="G209" s="53">
        <v>44153.723773148151</v>
      </c>
      <c r="H209">
        <v>61</v>
      </c>
      <c r="I209" t="s">
        <v>349</v>
      </c>
      <c r="J209" t="s">
        <v>50</v>
      </c>
      <c r="K209" t="s">
        <v>50</v>
      </c>
      <c r="L209" t="s">
        <v>159</v>
      </c>
      <c r="M209" t="s">
        <v>51</v>
      </c>
      <c r="N209" t="s">
        <v>92</v>
      </c>
      <c r="O209" s="1">
        <v>41335</v>
      </c>
      <c r="P209" t="s">
        <v>84</v>
      </c>
      <c r="Q209">
        <v>4</v>
      </c>
      <c r="R209" t="s">
        <v>27</v>
      </c>
      <c r="S209">
        <v>1</v>
      </c>
      <c r="T209">
        <v>-390</v>
      </c>
      <c r="U209" t="s">
        <v>349</v>
      </c>
      <c r="V209" t="s">
        <v>349</v>
      </c>
      <c r="W209">
        <v>-390</v>
      </c>
    </row>
    <row r="210" spans="1:23" x14ac:dyDescent="0.3">
      <c r="A210" s="1">
        <v>44075</v>
      </c>
      <c r="B210" s="1">
        <v>44075</v>
      </c>
      <c r="C210" t="s">
        <v>157</v>
      </c>
      <c r="D210" t="s">
        <v>48</v>
      </c>
      <c r="E210" t="s">
        <v>49</v>
      </c>
      <c r="F210" t="s">
        <v>249</v>
      </c>
      <c r="G210" s="53">
        <v>44111.714999999997</v>
      </c>
      <c r="H210">
        <v>33</v>
      </c>
      <c r="I210">
        <v>15552</v>
      </c>
      <c r="J210" t="s">
        <v>50</v>
      </c>
      <c r="K210" t="s">
        <v>50</v>
      </c>
      <c r="L210" t="s">
        <v>159</v>
      </c>
      <c r="M210" t="s">
        <v>51</v>
      </c>
      <c r="N210" t="s">
        <v>92</v>
      </c>
      <c r="O210" s="1">
        <v>41335</v>
      </c>
      <c r="P210" t="s">
        <v>84</v>
      </c>
      <c r="Q210">
        <v>4</v>
      </c>
      <c r="R210" t="s">
        <v>27</v>
      </c>
      <c r="S210">
        <v>2447.9884910000001</v>
      </c>
      <c r="T210">
        <v>76.781000000000006</v>
      </c>
      <c r="U210" t="s">
        <v>349</v>
      </c>
      <c r="V210" t="s">
        <v>349</v>
      </c>
      <c r="W210">
        <v>187959</v>
      </c>
    </row>
    <row r="211" spans="1:23" x14ac:dyDescent="0.3">
      <c r="A211" s="1">
        <v>44075</v>
      </c>
      <c r="B211" s="1">
        <v>44075</v>
      </c>
      <c r="C211" t="s">
        <v>157</v>
      </c>
      <c r="D211" t="s">
        <v>93</v>
      </c>
      <c r="E211" t="s">
        <v>49</v>
      </c>
      <c r="F211" t="s">
        <v>245</v>
      </c>
      <c r="G211" s="53">
        <v>44153.723773148151</v>
      </c>
      <c r="H211">
        <v>61</v>
      </c>
      <c r="I211" t="s">
        <v>349</v>
      </c>
      <c r="J211" t="s">
        <v>50</v>
      </c>
      <c r="K211" t="s">
        <v>50</v>
      </c>
      <c r="L211" t="s">
        <v>159</v>
      </c>
      <c r="M211" t="s">
        <v>51</v>
      </c>
      <c r="N211" t="s">
        <v>92</v>
      </c>
      <c r="O211" s="1">
        <v>41335</v>
      </c>
      <c r="P211" t="s">
        <v>84</v>
      </c>
      <c r="Q211">
        <v>5</v>
      </c>
      <c r="R211" t="s">
        <v>28</v>
      </c>
      <c r="S211">
        <v>1</v>
      </c>
      <c r="T211">
        <v>-2</v>
      </c>
      <c r="U211" t="s">
        <v>349</v>
      </c>
      <c r="V211" t="s">
        <v>349</v>
      </c>
      <c r="W211">
        <v>-2</v>
      </c>
    </row>
    <row r="212" spans="1:23" x14ac:dyDescent="0.3">
      <c r="A212" s="1">
        <v>44075</v>
      </c>
      <c r="B212" s="1">
        <v>44075</v>
      </c>
      <c r="C212" t="s">
        <v>157</v>
      </c>
      <c r="D212" t="s">
        <v>48</v>
      </c>
      <c r="E212" t="s">
        <v>49</v>
      </c>
      <c r="F212" t="s">
        <v>249</v>
      </c>
      <c r="G212" s="53">
        <v>44111.714999999997</v>
      </c>
      <c r="H212">
        <v>33</v>
      </c>
      <c r="I212">
        <v>15552</v>
      </c>
      <c r="J212" t="s">
        <v>50</v>
      </c>
      <c r="K212" t="s">
        <v>50</v>
      </c>
      <c r="L212" t="s">
        <v>159</v>
      </c>
      <c r="M212" t="s">
        <v>51</v>
      </c>
      <c r="N212" t="s">
        <v>92</v>
      </c>
      <c r="O212" s="1">
        <v>41335</v>
      </c>
      <c r="P212" t="s">
        <v>84</v>
      </c>
      <c r="Q212">
        <v>5</v>
      </c>
      <c r="R212" t="s">
        <v>28</v>
      </c>
      <c r="S212">
        <v>10.140453000000001</v>
      </c>
      <c r="T212">
        <v>79.340999999999994</v>
      </c>
      <c r="U212" t="s">
        <v>349</v>
      </c>
      <c r="V212" t="s">
        <v>349</v>
      </c>
      <c r="W212">
        <v>805</v>
      </c>
    </row>
    <row r="213" spans="1:23" x14ac:dyDescent="0.3">
      <c r="A213" s="1">
        <v>44105</v>
      </c>
      <c r="B213" s="1">
        <v>44105</v>
      </c>
      <c r="C213" t="s">
        <v>157</v>
      </c>
      <c r="D213" t="s">
        <v>93</v>
      </c>
      <c r="E213" t="s">
        <v>49</v>
      </c>
      <c r="F213" t="s">
        <v>253</v>
      </c>
      <c r="G213" s="53">
        <v>44221.697384259256</v>
      </c>
      <c r="H213">
        <v>61</v>
      </c>
      <c r="I213" t="s">
        <v>349</v>
      </c>
      <c r="J213" t="s">
        <v>50</v>
      </c>
      <c r="K213" t="s">
        <v>50</v>
      </c>
      <c r="L213" t="s">
        <v>159</v>
      </c>
      <c r="M213" t="s">
        <v>51</v>
      </c>
      <c r="N213" t="s">
        <v>92</v>
      </c>
      <c r="O213" s="1">
        <v>41335</v>
      </c>
      <c r="P213" t="s">
        <v>84</v>
      </c>
      <c r="Q213">
        <v>1</v>
      </c>
      <c r="R213" t="s">
        <v>83</v>
      </c>
      <c r="S213">
        <v>1</v>
      </c>
      <c r="T213">
        <v>-570</v>
      </c>
      <c r="U213" t="s">
        <v>349</v>
      </c>
      <c r="V213" t="s">
        <v>349</v>
      </c>
      <c r="W213">
        <v>-570</v>
      </c>
    </row>
    <row r="214" spans="1:23" x14ac:dyDescent="0.3">
      <c r="A214" s="1">
        <v>44105</v>
      </c>
      <c r="B214" s="1">
        <v>44105</v>
      </c>
      <c r="C214" t="s">
        <v>157</v>
      </c>
      <c r="D214" t="s">
        <v>48</v>
      </c>
      <c r="E214" t="s">
        <v>49</v>
      </c>
      <c r="F214" t="s">
        <v>256</v>
      </c>
      <c r="G214" s="53">
        <v>44141.821956018517</v>
      </c>
      <c r="H214">
        <v>33</v>
      </c>
      <c r="I214">
        <v>15894</v>
      </c>
      <c r="J214" t="s">
        <v>50</v>
      </c>
      <c r="K214" t="s">
        <v>50</v>
      </c>
      <c r="L214" t="s">
        <v>159</v>
      </c>
      <c r="M214" t="s">
        <v>51</v>
      </c>
      <c r="N214" t="s">
        <v>92</v>
      </c>
      <c r="O214" s="1">
        <v>41335</v>
      </c>
      <c r="P214" t="s">
        <v>84</v>
      </c>
      <c r="Q214">
        <v>1</v>
      </c>
      <c r="R214" t="s">
        <v>83</v>
      </c>
      <c r="S214">
        <v>2430.743117</v>
      </c>
      <c r="T214">
        <v>80.344999999999999</v>
      </c>
      <c r="U214" t="s">
        <v>349</v>
      </c>
      <c r="V214" t="s">
        <v>349</v>
      </c>
      <c r="W214">
        <v>195298</v>
      </c>
    </row>
    <row r="215" spans="1:23" x14ac:dyDescent="0.3">
      <c r="A215" s="1">
        <v>44105</v>
      </c>
      <c r="B215" s="1">
        <v>44105</v>
      </c>
      <c r="C215" t="s">
        <v>157</v>
      </c>
      <c r="D215" t="s">
        <v>93</v>
      </c>
      <c r="E215" t="s">
        <v>49</v>
      </c>
      <c r="F215" t="s">
        <v>253</v>
      </c>
      <c r="G215" s="53">
        <v>44221.697384259256</v>
      </c>
      <c r="H215">
        <v>61</v>
      </c>
      <c r="I215" t="s">
        <v>349</v>
      </c>
      <c r="J215" t="s">
        <v>50</v>
      </c>
      <c r="K215" t="s">
        <v>50</v>
      </c>
      <c r="L215" t="s">
        <v>159</v>
      </c>
      <c r="M215" t="s">
        <v>51</v>
      </c>
      <c r="N215" t="s">
        <v>92</v>
      </c>
      <c r="O215" s="1">
        <v>41335</v>
      </c>
      <c r="P215" t="s">
        <v>84</v>
      </c>
      <c r="Q215">
        <v>2</v>
      </c>
      <c r="R215" t="s">
        <v>94</v>
      </c>
      <c r="S215">
        <v>1</v>
      </c>
      <c r="T215">
        <v>-3</v>
      </c>
      <c r="U215" t="s">
        <v>349</v>
      </c>
      <c r="V215" t="s">
        <v>349</v>
      </c>
      <c r="W215">
        <v>-3</v>
      </c>
    </row>
    <row r="216" spans="1:23" x14ac:dyDescent="0.3">
      <c r="A216" s="1">
        <v>44105</v>
      </c>
      <c r="B216" s="1">
        <v>44105</v>
      </c>
      <c r="C216" t="s">
        <v>157</v>
      </c>
      <c r="D216" t="s">
        <v>48</v>
      </c>
      <c r="E216" t="s">
        <v>49</v>
      </c>
      <c r="F216" t="s">
        <v>256</v>
      </c>
      <c r="G216" s="53">
        <v>44141.821956018517</v>
      </c>
      <c r="H216">
        <v>33</v>
      </c>
      <c r="I216">
        <v>15894</v>
      </c>
      <c r="J216" t="s">
        <v>50</v>
      </c>
      <c r="K216" t="s">
        <v>50</v>
      </c>
      <c r="L216" t="s">
        <v>159</v>
      </c>
      <c r="M216" t="s">
        <v>51</v>
      </c>
      <c r="N216" t="s">
        <v>92</v>
      </c>
      <c r="O216" s="1">
        <v>41335</v>
      </c>
      <c r="P216" t="s">
        <v>84</v>
      </c>
      <c r="Q216">
        <v>2</v>
      </c>
      <c r="R216" t="s">
        <v>94</v>
      </c>
      <c r="S216">
        <v>10.588209000000001</v>
      </c>
      <c r="T216">
        <v>81.489000000000004</v>
      </c>
      <c r="U216" t="s">
        <v>349</v>
      </c>
      <c r="V216" t="s">
        <v>349</v>
      </c>
      <c r="W216">
        <v>863</v>
      </c>
    </row>
    <row r="217" spans="1:23" x14ac:dyDescent="0.3">
      <c r="A217" s="1">
        <v>44105</v>
      </c>
      <c r="B217" s="1">
        <v>44105</v>
      </c>
      <c r="C217" t="s">
        <v>157</v>
      </c>
      <c r="D217" t="s">
        <v>93</v>
      </c>
      <c r="E217" t="s">
        <v>49</v>
      </c>
      <c r="F217" t="s">
        <v>253</v>
      </c>
      <c r="G217" s="53">
        <v>44221.697384259256</v>
      </c>
      <c r="H217">
        <v>61</v>
      </c>
      <c r="I217" t="s">
        <v>349</v>
      </c>
      <c r="J217" t="s">
        <v>50</v>
      </c>
      <c r="K217" t="s">
        <v>50</v>
      </c>
      <c r="L217" t="s">
        <v>159</v>
      </c>
      <c r="M217" t="s">
        <v>51</v>
      </c>
      <c r="N217" t="s">
        <v>92</v>
      </c>
      <c r="O217" s="1">
        <v>41335</v>
      </c>
      <c r="P217" t="s">
        <v>84</v>
      </c>
      <c r="Q217">
        <v>3</v>
      </c>
      <c r="R217" t="s">
        <v>81</v>
      </c>
      <c r="S217">
        <v>1</v>
      </c>
      <c r="T217">
        <v>-80</v>
      </c>
      <c r="U217" t="s">
        <v>349</v>
      </c>
      <c r="V217" t="s">
        <v>349</v>
      </c>
      <c r="W217">
        <v>-80</v>
      </c>
    </row>
    <row r="218" spans="1:23" x14ac:dyDescent="0.3">
      <c r="A218" s="1">
        <v>44105</v>
      </c>
      <c r="B218" s="1">
        <v>44105</v>
      </c>
      <c r="C218" t="s">
        <v>157</v>
      </c>
      <c r="D218" t="s">
        <v>48</v>
      </c>
      <c r="E218" t="s">
        <v>49</v>
      </c>
      <c r="F218" t="s">
        <v>256</v>
      </c>
      <c r="G218" s="53">
        <v>44141.821956018517</v>
      </c>
      <c r="H218">
        <v>33</v>
      </c>
      <c r="I218">
        <v>15894</v>
      </c>
      <c r="J218" t="s">
        <v>50</v>
      </c>
      <c r="K218" t="s">
        <v>50</v>
      </c>
      <c r="L218" t="s">
        <v>159</v>
      </c>
      <c r="M218" t="s">
        <v>51</v>
      </c>
      <c r="N218" t="s">
        <v>92</v>
      </c>
      <c r="O218" s="1">
        <v>41335</v>
      </c>
      <c r="P218" t="s">
        <v>84</v>
      </c>
      <c r="Q218">
        <v>3</v>
      </c>
      <c r="R218" t="s">
        <v>81</v>
      </c>
      <c r="S218">
        <v>359.39598799999999</v>
      </c>
      <c r="T218">
        <v>76.656999999999996</v>
      </c>
      <c r="U218" t="s">
        <v>349</v>
      </c>
      <c r="V218" t="s">
        <v>349</v>
      </c>
      <c r="W218">
        <v>27550</v>
      </c>
    </row>
    <row r="219" spans="1:23" x14ac:dyDescent="0.3">
      <c r="A219" s="1">
        <v>44105</v>
      </c>
      <c r="B219" s="1">
        <v>44105</v>
      </c>
      <c r="C219" t="s">
        <v>157</v>
      </c>
      <c r="D219" t="s">
        <v>93</v>
      </c>
      <c r="E219" t="s">
        <v>49</v>
      </c>
      <c r="F219" t="s">
        <v>253</v>
      </c>
      <c r="G219" s="53">
        <v>44221.697384259256</v>
      </c>
      <c r="H219">
        <v>61</v>
      </c>
      <c r="I219" t="s">
        <v>349</v>
      </c>
      <c r="J219" t="s">
        <v>50</v>
      </c>
      <c r="K219" t="s">
        <v>50</v>
      </c>
      <c r="L219" t="s">
        <v>159</v>
      </c>
      <c r="M219" t="s">
        <v>51</v>
      </c>
      <c r="N219" t="s">
        <v>92</v>
      </c>
      <c r="O219" s="1">
        <v>41335</v>
      </c>
      <c r="P219" t="s">
        <v>84</v>
      </c>
      <c r="Q219">
        <v>4</v>
      </c>
      <c r="R219" t="s">
        <v>27</v>
      </c>
      <c r="S219">
        <v>1</v>
      </c>
      <c r="T219">
        <v>-689</v>
      </c>
      <c r="U219" t="s">
        <v>349</v>
      </c>
      <c r="V219" t="s">
        <v>349</v>
      </c>
      <c r="W219">
        <v>-689</v>
      </c>
    </row>
    <row r="220" spans="1:23" x14ac:dyDescent="0.3">
      <c r="A220" s="1">
        <v>44105</v>
      </c>
      <c r="B220" s="1">
        <v>44105</v>
      </c>
      <c r="C220" t="s">
        <v>157</v>
      </c>
      <c r="D220" t="s">
        <v>48</v>
      </c>
      <c r="E220" t="s">
        <v>49</v>
      </c>
      <c r="F220" t="s">
        <v>256</v>
      </c>
      <c r="G220" s="53">
        <v>44141.821956018517</v>
      </c>
      <c r="H220">
        <v>33</v>
      </c>
      <c r="I220">
        <v>15894</v>
      </c>
      <c r="J220" t="s">
        <v>50</v>
      </c>
      <c r="K220" t="s">
        <v>50</v>
      </c>
      <c r="L220" t="s">
        <v>159</v>
      </c>
      <c r="M220" t="s">
        <v>51</v>
      </c>
      <c r="N220" t="s">
        <v>92</v>
      </c>
      <c r="O220" s="1">
        <v>41335</v>
      </c>
      <c r="P220" t="s">
        <v>84</v>
      </c>
      <c r="Q220">
        <v>4</v>
      </c>
      <c r="R220" t="s">
        <v>27</v>
      </c>
      <c r="S220">
        <v>3072.8331600000001</v>
      </c>
      <c r="T220">
        <v>76.781000000000006</v>
      </c>
      <c r="U220" t="s">
        <v>349</v>
      </c>
      <c r="V220" t="s">
        <v>349</v>
      </c>
      <c r="W220">
        <v>235935</v>
      </c>
    </row>
    <row r="221" spans="1:23" x14ac:dyDescent="0.3">
      <c r="A221" s="1">
        <v>44105</v>
      </c>
      <c r="B221" s="1">
        <v>44105</v>
      </c>
      <c r="C221" t="s">
        <v>157</v>
      </c>
      <c r="D221" t="s">
        <v>93</v>
      </c>
      <c r="E221" t="s">
        <v>49</v>
      </c>
      <c r="F221" t="s">
        <v>253</v>
      </c>
      <c r="G221" s="53">
        <v>44221.697384259256</v>
      </c>
      <c r="H221">
        <v>61</v>
      </c>
      <c r="I221" t="s">
        <v>349</v>
      </c>
      <c r="J221" t="s">
        <v>50</v>
      </c>
      <c r="K221" t="s">
        <v>50</v>
      </c>
      <c r="L221" t="s">
        <v>159</v>
      </c>
      <c r="M221" t="s">
        <v>51</v>
      </c>
      <c r="N221" t="s">
        <v>92</v>
      </c>
      <c r="O221" s="1">
        <v>41335</v>
      </c>
      <c r="P221" t="s">
        <v>84</v>
      </c>
      <c r="Q221">
        <v>5</v>
      </c>
      <c r="R221" t="s">
        <v>28</v>
      </c>
      <c r="S221">
        <v>1</v>
      </c>
      <c r="T221">
        <v>-3</v>
      </c>
      <c r="U221" t="s">
        <v>349</v>
      </c>
      <c r="V221" t="s">
        <v>349</v>
      </c>
      <c r="W221">
        <v>-3</v>
      </c>
    </row>
    <row r="222" spans="1:23" x14ac:dyDescent="0.3">
      <c r="A222" s="1">
        <v>44105</v>
      </c>
      <c r="B222" s="1">
        <v>44105</v>
      </c>
      <c r="C222" t="s">
        <v>157</v>
      </c>
      <c r="D222" t="s">
        <v>48</v>
      </c>
      <c r="E222" t="s">
        <v>49</v>
      </c>
      <c r="F222" t="s">
        <v>256</v>
      </c>
      <c r="G222" s="53">
        <v>44141.821956018517</v>
      </c>
      <c r="H222">
        <v>33</v>
      </c>
      <c r="I222">
        <v>15894</v>
      </c>
      <c r="J222" t="s">
        <v>50</v>
      </c>
      <c r="K222" t="s">
        <v>50</v>
      </c>
      <c r="L222" t="s">
        <v>159</v>
      </c>
      <c r="M222" t="s">
        <v>51</v>
      </c>
      <c r="N222" t="s">
        <v>92</v>
      </c>
      <c r="O222" s="1">
        <v>41335</v>
      </c>
      <c r="P222" t="s">
        <v>84</v>
      </c>
      <c r="Q222">
        <v>5</v>
      </c>
      <c r="R222" t="s">
        <v>28</v>
      </c>
      <c r="S222">
        <v>12.686017</v>
      </c>
      <c r="T222">
        <v>79.340999999999994</v>
      </c>
      <c r="U222" t="s">
        <v>349</v>
      </c>
      <c r="V222" t="s">
        <v>349</v>
      </c>
      <c r="W222">
        <v>1007</v>
      </c>
    </row>
    <row r="223" spans="1:23" x14ac:dyDescent="0.3">
      <c r="A223" s="1">
        <v>44136</v>
      </c>
      <c r="B223" s="1">
        <v>44136</v>
      </c>
      <c r="C223" t="s">
        <v>157</v>
      </c>
      <c r="D223" t="s">
        <v>93</v>
      </c>
      <c r="E223" t="s">
        <v>49</v>
      </c>
      <c r="F223" t="s">
        <v>259</v>
      </c>
      <c r="G223" s="53">
        <v>44215.508055555554</v>
      </c>
      <c r="H223">
        <v>61</v>
      </c>
      <c r="I223" t="s">
        <v>349</v>
      </c>
      <c r="J223" t="s">
        <v>50</v>
      </c>
      <c r="K223" t="s">
        <v>50</v>
      </c>
      <c r="L223" t="s">
        <v>159</v>
      </c>
      <c r="M223" t="s">
        <v>51</v>
      </c>
      <c r="N223" t="s">
        <v>92</v>
      </c>
      <c r="O223" s="1">
        <v>41335</v>
      </c>
      <c r="P223" t="s">
        <v>84</v>
      </c>
      <c r="Q223">
        <v>1</v>
      </c>
      <c r="R223" t="s">
        <v>83</v>
      </c>
      <c r="S223">
        <v>1</v>
      </c>
      <c r="T223">
        <v>-1312</v>
      </c>
      <c r="U223" t="s">
        <v>349</v>
      </c>
      <c r="V223" t="s">
        <v>349</v>
      </c>
      <c r="W223">
        <v>-1312</v>
      </c>
    </row>
    <row r="224" spans="1:23" x14ac:dyDescent="0.3">
      <c r="A224" s="1">
        <v>44136</v>
      </c>
      <c r="B224" s="1">
        <v>44136</v>
      </c>
      <c r="C224" t="s">
        <v>157</v>
      </c>
      <c r="D224" t="s">
        <v>48</v>
      </c>
      <c r="E224" t="s">
        <v>49</v>
      </c>
      <c r="F224" t="s">
        <v>264</v>
      </c>
      <c r="G224" s="53">
        <v>44169.666030092594</v>
      </c>
      <c r="H224">
        <v>33</v>
      </c>
      <c r="I224">
        <v>16653</v>
      </c>
      <c r="J224" t="s">
        <v>50</v>
      </c>
      <c r="K224" t="s">
        <v>50</v>
      </c>
      <c r="L224" t="s">
        <v>159</v>
      </c>
      <c r="M224" t="s">
        <v>51</v>
      </c>
      <c r="N224" t="s">
        <v>92</v>
      </c>
      <c r="O224" s="1">
        <v>41335</v>
      </c>
      <c r="P224" t="s">
        <v>84</v>
      </c>
      <c r="Q224">
        <v>1</v>
      </c>
      <c r="R224" t="s">
        <v>83</v>
      </c>
      <c r="S224">
        <v>2836.8555449999999</v>
      </c>
      <c r="T224">
        <v>80.344999999999999</v>
      </c>
      <c r="U224" t="s">
        <v>349</v>
      </c>
      <c r="V224" t="s">
        <v>349</v>
      </c>
      <c r="W224">
        <v>227927</v>
      </c>
    </row>
    <row r="225" spans="1:23" x14ac:dyDescent="0.3">
      <c r="A225" s="1">
        <v>44136</v>
      </c>
      <c r="B225" s="1">
        <v>44136</v>
      </c>
      <c r="C225" t="s">
        <v>157</v>
      </c>
      <c r="D225" t="s">
        <v>93</v>
      </c>
      <c r="E225" t="s">
        <v>49</v>
      </c>
      <c r="F225" t="s">
        <v>259</v>
      </c>
      <c r="G225" s="53">
        <v>44215.508055555554</v>
      </c>
      <c r="H225">
        <v>61</v>
      </c>
      <c r="I225" t="s">
        <v>349</v>
      </c>
      <c r="J225" t="s">
        <v>50</v>
      </c>
      <c r="K225" t="s">
        <v>50</v>
      </c>
      <c r="L225" t="s">
        <v>159</v>
      </c>
      <c r="M225" t="s">
        <v>51</v>
      </c>
      <c r="N225" t="s">
        <v>92</v>
      </c>
      <c r="O225" s="1">
        <v>41335</v>
      </c>
      <c r="P225" t="s">
        <v>84</v>
      </c>
      <c r="Q225">
        <v>2</v>
      </c>
      <c r="R225" t="s">
        <v>94</v>
      </c>
      <c r="S225">
        <v>1</v>
      </c>
      <c r="T225">
        <v>-6</v>
      </c>
      <c r="U225" t="s">
        <v>349</v>
      </c>
      <c r="V225" t="s">
        <v>349</v>
      </c>
      <c r="W225">
        <v>-6</v>
      </c>
    </row>
    <row r="226" spans="1:23" x14ac:dyDescent="0.3">
      <c r="A226" s="1">
        <v>44136</v>
      </c>
      <c r="B226" s="1">
        <v>44136</v>
      </c>
      <c r="C226" t="s">
        <v>157</v>
      </c>
      <c r="D226" t="s">
        <v>48</v>
      </c>
      <c r="E226" t="s">
        <v>49</v>
      </c>
      <c r="F226" t="s">
        <v>264</v>
      </c>
      <c r="G226" s="53">
        <v>44169.666030092594</v>
      </c>
      <c r="H226">
        <v>33</v>
      </c>
      <c r="I226">
        <v>16653</v>
      </c>
      <c r="J226" t="s">
        <v>50</v>
      </c>
      <c r="K226" t="s">
        <v>50</v>
      </c>
      <c r="L226" t="s">
        <v>159</v>
      </c>
      <c r="M226" t="s">
        <v>51</v>
      </c>
      <c r="N226" t="s">
        <v>92</v>
      </c>
      <c r="O226" s="1">
        <v>41335</v>
      </c>
      <c r="P226" t="s">
        <v>84</v>
      </c>
      <c r="Q226">
        <v>2</v>
      </c>
      <c r="R226" t="s">
        <v>94</v>
      </c>
      <c r="S226">
        <v>11.915349000000001</v>
      </c>
      <c r="T226">
        <v>81.489000000000004</v>
      </c>
      <c r="U226" t="s">
        <v>349</v>
      </c>
      <c r="V226" t="s">
        <v>349</v>
      </c>
      <c r="W226">
        <v>971</v>
      </c>
    </row>
    <row r="227" spans="1:23" x14ac:dyDescent="0.3">
      <c r="A227" s="1">
        <v>44136</v>
      </c>
      <c r="B227" s="1">
        <v>44136</v>
      </c>
      <c r="C227" t="s">
        <v>157</v>
      </c>
      <c r="D227" t="s">
        <v>93</v>
      </c>
      <c r="E227" t="s">
        <v>49</v>
      </c>
      <c r="F227" t="s">
        <v>259</v>
      </c>
      <c r="G227" s="53">
        <v>44215.508055555554</v>
      </c>
      <c r="H227">
        <v>61</v>
      </c>
      <c r="I227" t="s">
        <v>349</v>
      </c>
      <c r="J227" t="s">
        <v>50</v>
      </c>
      <c r="K227" t="s">
        <v>50</v>
      </c>
      <c r="L227" t="s">
        <v>159</v>
      </c>
      <c r="M227" t="s">
        <v>51</v>
      </c>
      <c r="N227" t="s">
        <v>92</v>
      </c>
      <c r="O227" s="1">
        <v>41335</v>
      </c>
      <c r="P227" t="s">
        <v>84</v>
      </c>
      <c r="Q227">
        <v>3</v>
      </c>
      <c r="R227" t="s">
        <v>81</v>
      </c>
      <c r="S227">
        <v>1</v>
      </c>
      <c r="T227">
        <v>-189</v>
      </c>
      <c r="U227" t="s">
        <v>349</v>
      </c>
      <c r="V227" t="s">
        <v>349</v>
      </c>
      <c r="W227">
        <v>-189</v>
      </c>
    </row>
    <row r="228" spans="1:23" x14ac:dyDescent="0.3">
      <c r="A228" s="1">
        <v>44136</v>
      </c>
      <c r="B228" s="1">
        <v>44136</v>
      </c>
      <c r="C228" t="s">
        <v>157</v>
      </c>
      <c r="D228" t="s">
        <v>48</v>
      </c>
      <c r="E228" t="s">
        <v>49</v>
      </c>
      <c r="F228" t="s">
        <v>264</v>
      </c>
      <c r="G228" s="53">
        <v>44169.666030092594</v>
      </c>
      <c r="H228">
        <v>33</v>
      </c>
      <c r="I228">
        <v>16653</v>
      </c>
      <c r="J228" t="s">
        <v>50</v>
      </c>
      <c r="K228" t="s">
        <v>50</v>
      </c>
      <c r="L228" t="s">
        <v>159</v>
      </c>
      <c r="M228" t="s">
        <v>51</v>
      </c>
      <c r="N228" t="s">
        <v>92</v>
      </c>
      <c r="O228" s="1">
        <v>41335</v>
      </c>
      <c r="P228" t="s">
        <v>84</v>
      </c>
      <c r="Q228">
        <v>3</v>
      </c>
      <c r="R228" t="s">
        <v>81</v>
      </c>
      <c r="S228">
        <v>427.739485</v>
      </c>
      <c r="T228">
        <v>76.656999999999996</v>
      </c>
      <c r="U228" t="s">
        <v>349</v>
      </c>
      <c r="V228" t="s">
        <v>349</v>
      </c>
      <c r="W228">
        <v>32789</v>
      </c>
    </row>
    <row r="229" spans="1:23" x14ac:dyDescent="0.3">
      <c r="A229" s="1">
        <v>44136</v>
      </c>
      <c r="B229" s="1">
        <v>44136</v>
      </c>
      <c r="C229" t="s">
        <v>157</v>
      </c>
      <c r="D229" t="s">
        <v>93</v>
      </c>
      <c r="E229" t="s">
        <v>49</v>
      </c>
      <c r="F229" t="s">
        <v>259</v>
      </c>
      <c r="G229" s="53">
        <v>44215.508055555554</v>
      </c>
      <c r="H229">
        <v>61</v>
      </c>
      <c r="I229" t="s">
        <v>349</v>
      </c>
      <c r="J229" t="s">
        <v>50</v>
      </c>
      <c r="K229" t="s">
        <v>50</v>
      </c>
      <c r="L229" t="s">
        <v>159</v>
      </c>
      <c r="M229" t="s">
        <v>51</v>
      </c>
      <c r="N229" t="s">
        <v>92</v>
      </c>
      <c r="O229" s="1">
        <v>41335</v>
      </c>
      <c r="P229" t="s">
        <v>84</v>
      </c>
      <c r="Q229">
        <v>4</v>
      </c>
      <c r="R229" t="s">
        <v>27</v>
      </c>
      <c r="S229">
        <v>1</v>
      </c>
      <c r="T229">
        <v>-1578</v>
      </c>
      <c r="U229" t="s">
        <v>349</v>
      </c>
      <c r="V229" t="s">
        <v>349</v>
      </c>
      <c r="W229">
        <v>-1578</v>
      </c>
    </row>
    <row r="230" spans="1:23" x14ac:dyDescent="0.3">
      <c r="A230" s="1">
        <v>44136</v>
      </c>
      <c r="B230" s="1">
        <v>44136</v>
      </c>
      <c r="C230" t="s">
        <v>157</v>
      </c>
      <c r="D230" t="s">
        <v>48</v>
      </c>
      <c r="E230" t="s">
        <v>49</v>
      </c>
      <c r="F230" t="s">
        <v>264</v>
      </c>
      <c r="G230" s="53">
        <v>44169.666030092594</v>
      </c>
      <c r="H230">
        <v>33</v>
      </c>
      <c r="I230">
        <v>16653</v>
      </c>
      <c r="J230" t="s">
        <v>50</v>
      </c>
      <c r="K230" t="s">
        <v>50</v>
      </c>
      <c r="L230" t="s">
        <v>159</v>
      </c>
      <c r="M230" t="s">
        <v>51</v>
      </c>
      <c r="N230" t="s">
        <v>92</v>
      </c>
      <c r="O230" s="1">
        <v>41335</v>
      </c>
      <c r="P230" t="s">
        <v>84</v>
      </c>
      <c r="Q230">
        <v>4</v>
      </c>
      <c r="R230" t="s">
        <v>27</v>
      </c>
      <c r="S230">
        <v>3569.1454020000001</v>
      </c>
      <c r="T230">
        <v>76.781000000000006</v>
      </c>
      <c r="U230" t="s">
        <v>349</v>
      </c>
      <c r="V230" t="s">
        <v>349</v>
      </c>
      <c r="W230">
        <v>274043</v>
      </c>
    </row>
    <row r="231" spans="1:23" x14ac:dyDescent="0.3">
      <c r="A231" s="1">
        <v>44136</v>
      </c>
      <c r="B231" s="1">
        <v>44136</v>
      </c>
      <c r="C231" t="s">
        <v>157</v>
      </c>
      <c r="D231" t="s">
        <v>93</v>
      </c>
      <c r="E231" t="s">
        <v>49</v>
      </c>
      <c r="F231" t="s">
        <v>259</v>
      </c>
      <c r="G231" s="53">
        <v>44215.508055555554</v>
      </c>
      <c r="H231">
        <v>61</v>
      </c>
      <c r="I231" t="s">
        <v>349</v>
      </c>
      <c r="J231" t="s">
        <v>50</v>
      </c>
      <c r="K231" t="s">
        <v>50</v>
      </c>
      <c r="L231" t="s">
        <v>159</v>
      </c>
      <c r="M231" t="s">
        <v>51</v>
      </c>
      <c r="N231" t="s">
        <v>92</v>
      </c>
      <c r="O231" s="1">
        <v>41335</v>
      </c>
      <c r="P231" t="s">
        <v>84</v>
      </c>
      <c r="Q231">
        <v>5</v>
      </c>
      <c r="R231" t="s">
        <v>28</v>
      </c>
      <c r="S231">
        <v>1</v>
      </c>
      <c r="T231">
        <v>-7</v>
      </c>
      <c r="U231" t="s">
        <v>349</v>
      </c>
      <c r="V231" t="s">
        <v>349</v>
      </c>
      <c r="W231">
        <v>-7</v>
      </c>
    </row>
    <row r="232" spans="1:23" x14ac:dyDescent="0.3">
      <c r="A232" s="1">
        <v>44136</v>
      </c>
      <c r="B232" s="1">
        <v>44136</v>
      </c>
      <c r="C232" t="s">
        <v>157</v>
      </c>
      <c r="D232" t="s">
        <v>48</v>
      </c>
      <c r="E232" t="s">
        <v>49</v>
      </c>
      <c r="F232" t="s">
        <v>264</v>
      </c>
      <c r="G232" s="53">
        <v>44169.666030092594</v>
      </c>
      <c r="H232">
        <v>33</v>
      </c>
      <c r="I232">
        <v>16653</v>
      </c>
      <c r="J232" t="s">
        <v>50</v>
      </c>
      <c r="K232" t="s">
        <v>50</v>
      </c>
      <c r="L232" t="s">
        <v>159</v>
      </c>
      <c r="M232" t="s">
        <v>51</v>
      </c>
      <c r="N232" t="s">
        <v>92</v>
      </c>
      <c r="O232" s="1">
        <v>41335</v>
      </c>
      <c r="P232" t="s">
        <v>84</v>
      </c>
      <c r="Q232">
        <v>5</v>
      </c>
      <c r="R232" t="s">
        <v>28</v>
      </c>
      <c r="S232">
        <v>14.665755000000001</v>
      </c>
      <c r="T232">
        <v>79.340999999999994</v>
      </c>
      <c r="U232" t="s">
        <v>349</v>
      </c>
      <c r="V232" t="s">
        <v>349</v>
      </c>
      <c r="W232">
        <v>1164</v>
      </c>
    </row>
    <row r="233" spans="1:23" x14ac:dyDescent="0.3">
      <c r="A233" s="1">
        <v>44166</v>
      </c>
      <c r="B233" s="1">
        <v>44166</v>
      </c>
      <c r="C233" t="s">
        <v>157</v>
      </c>
      <c r="D233" t="s">
        <v>93</v>
      </c>
      <c r="E233" t="s">
        <v>49</v>
      </c>
      <c r="F233" t="s">
        <v>268</v>
      </c>
      <c r="G233" s="53">
        <v>44251.474293981482</v>
      </c>
      <c r="H233">
        <v>33</v>
      </c>
      <c r="I233" t="s">
        <v>349</v>
      </c>
      <c r="J233" t="s">
        <v>50</v>
      </c>
      <c r="K233" t="s">
        <v>50</v>
      </c>
      <c r="L233" t="s">
        <v>159</v>
      </c>
      <c r="M233" t="s">
        <v>51</v>
      </c>
      <c r="N233" t="s">
        <v>92</v>
      </c>
      <c r="O233" s="1">
        <v>41335</v>
      </c>
      <c r="P233" t="s">
        <v>84</v>
      </c>
      <c r="Q233">
        <v>1</v>
      </c>
      <c r="R233" t="s">
        <v>83</v>
      </c>
      <c r="S233">
        <v>1</v>
      </c>
      <c r="T233">
        <v>882</v>
      </c>
      <c r="U233" t="s">
        <v>349</v>
      </c>
      <c r="V233" t="s">
        <v>349</v>
      </c>
      <c r="W233">
        <v>882</v>
      </c>
    </row>
    <row r="234" spans="1:23" x14ac:dyDescent="0.3">
      <c r="A234" s="1">
        <v>44166</v>
      </c>
      <c r="B234" s="1">
        <v>44166</v>
      </c>
      <c r="C234" t="s">
        <v>157</v>
      </c>
      <c r="D234" t="s">
        <v>48</v>
      </c>
      <c r="E234" t="s">
        <v>49</v>
      </c>
      <c r="F234" t="s">
        <v>267</v>
      </c>
      <c r="G234" s="53">
        <v>44203.692604166667</v>
      </c>
      <c r="H234">
        <v>33</v>
      </c>
      <c r="I234">
        <v>16938</v>
      </c>
      <c r="J234" t="s">
        <v>50</v>
      </c>
      <c r="K234" t="s">
        <v>50</v>
      </c>
      <c r="L234" t="s">
        <v>159</v>
      </c>
      <c r="M234" t="s">
        <v>51</v>
      </c>
      <c r="N234" t="s">
        <v>92</v>
      </c>
      <c r="O234" s="1">
        <v>41335</v>
      </c>
      <c r="P234" t="s">
        <v>84</v>
      </c>
      <c r="Q234">
        <v>1</v>
      </c>
      <c r="R234" t="s">
        <v>83</v>
      </c>
      <c r="S234">
        <v>3655.0122390000001</v>
      </c>
      <c r="T234">
        <v>80.344999999999999</v>
      </c>
      <c r="U234" t="s">
        <v>349</v>
      </c>
      <c r="V234" t="s">
        <v>349</v>
      </c>
      <c r="W234">
        <v>293662</v>
      </c>
    </row>
    <row r="235" spans="1:23" x14ac:dyDescent="0.3">
      <c r="A235" s="1">
        <v>44166</v>
      </c>
      <c r="B235" s="1">
        <v>44166</v>
      </c>
      <c r="C235" t="s">
        <v>157</v>
      </c>
      <c r="D235" t="s">
        <v>93</v>
      </c>
      <c r="E235" t="s">
        <v>49</v>
      </c>
      <c r="F235" t="s">
        <v>268</v>
      </c>
      <c r="G235" s="53">
        <v>44251.474293981482</v>
      </c>
      <c r="H235">
        <v>33</v>
      </c>
      <c r="I235" t="s">
        <v>349</v>
      </c>
      <c r="J235" t="s">
        <v>50</v>
      </c>
      <c r="K235" t="s">
        <v>50</v>
      </c>
      <c r="L235" t="s">
        <v>159</v>
      </c>
      <c r="M235" t="s">
        <v>51</v>
      </c>
      <c r="N235" t="s">
        <v>92</v>
      </c>
      <c r="O235" s="1">
        <v>41335</v>
      </c>
      <c r="P235" t="s">
        <v>84</v>
      </c>
      <c r="Q235">
        <v>2</v>
      </c>
      <c r="R235" t="s">
        <v>94</v>
      </c>
      <c r="S235">
        <v>1</v>
      </c>
      <c r="T235">
        <v>4</v>
      </c>
      <c r="U235" t="s">
        <v>349</v>
      </c>
      <c r="V235" t="s">
        <v>349</v>
      </c>
      <c r="W235">
        <v>4</v>
      </c>
    </row>
    <row r="236" spans="1:23" x14ac:dyDescent="0.3">
      <c r="A236" s="1">
        <v>44166</v>
      </c>
      <c r="B236" s="1">
        <v>44166</v>
      </c>
      <c r="C236" t="s">
        <v>157</v>
      </c>
      <c r="D236" t="s">
        <v>48</v>
      </c>
      <c r="E236" t="s">
        <v>49</v>
      </c>
      <c r="F236" t="s">
        <v>267</v>
      </c>
      <c r="G236" s="53">
        <v>44203.692604166667</v>
      </c>
      <c r="H236">
        <v>33</v>
      </c>
      <c r="I236">
        <v>16938</v>
      </c>
      <c r="J236" t="s">
        <v>50</v>
      </c>
      <c r="K236" t="s">
        <v>50</v>
      </c>
      <c r="L236" t="s">
        <v>159</v>
      </c>
      <c r="M236" t="s">
        <v>51</v>
      </c>
      <c r="N236" t="s">
        <v>92</v>
      </c>
      <c r="O236" s="1">
        <v>41335</v>
      </c>
      <c r="P236" t="s">
        <v>84</v>
      </c>
      <c r="Q236">
        <v>2</v>
      </c>
      <c r="R236" t="s">
        <v>94</v>
      </c>
      <c r="S236">
        <v>14.851406000000001</v>
      </c>
      <c r="T236">
        <v>81.489000000000004</v>
      </c>
      <c r="U236" t="s">
        <v>349</v>
      </c>
      <c r="V236" t="s">
        <v>349</v>
      </c>
      <c r="W236">
        <v>1210</v>
      </c>
    </row>
    <row r="237" spans="1:23" x14ac:dyDescent="0.3">
      <c r="A237" s="1">
        <v>44166</v>
      </c>
      <c r="B237" s="1">
        <v>44166</v>
      </c>
      <c r="C237" t="s">
        <v>157</v>
      </c>
      <c r="D237" t="s">
        <v>93</v>
      </c>
      <c r="E237" t="s">
        <v>49</v>
      </c>
      <c r="F237" t="s">
        <v>268</v>
      </c>
      <c r="G237" s="53">
        <v>44251.474293981482</v>
      </c>
      <c r="H237">
        <v>33</v>
      </c>
      <c r="I237" t="s">
        <v>349</v>
      </c>
      <c r="J237" t="s">
        <v>50</v>
      </c>
      <c r="K237" t="s">
        <v>50</v>
      </c>
      <c r="L237" t="s">
        <v>159</v>
      </c>
      <c r="M237" t="s">
        <v>51</v>
      </c>
      <c r="N237" t="s">
        <v>92</v>
      </c>
      <c r="O237" s="1">
        <v>41335</v>
      </c>
      <c r="P237" t="s">
        <v>84</v>
      </c>
      <c r="Q237">
        <v>3</v>
      </c>
      <c r="R237" t="s">
        <v>81</v>
      </c>
      <c r="S237">
        <v>1</v>
      </c>
      <c r="T237">
        <v>128</v>
      </c>
      <c r="U237" t="s">
        <v>349</v>
      </c>
      <c r="V237" t="s">
        <v>349</v>
      </c>
      <c r="W237">
        <v>128</v>
      </c>
    </row>
    <row r="238" spans="1:23" x14ac:dyDescent="0.3">
      <c r="A238" s="1">
        <v>44166</v>
      </c>
      <c r="B238" s="1">
        <v>44166</v>
      </c>
      <c r="C238" t="s">
        <v>157</v>
      </c>
      <c r="D238" t="s">
        <v>48</v>
      </c>
      <c r="E238" t="s">
        <v>49</v>
      </c>
      <c r="F238" t="s">
        <v>267</v>
      </c>
      <c r="G238" s="53">
        <v>44203.692604166667</v>
      </c>
      <c r="H238">
        <v>33</v>
      </c>
      <c r="I238">
        <v>16938</v>
      </c>
      <c r="J238" t="s">
        <v>50</v>
      </c>
      <c r="K238" t="s">
        <v>50</v>
      </c>
      <c r="L238" t="s">
        <v>159</v>
      </c>
      <c r="M238" t="s">
        <v>51</v>
      </c>
      <c r="N238" t="s">
        <v>92</v>
      </c>
      <c r="O238" s="1">
        <v>41335</v>
      </c>
      <c r="P238" t="s">
        <v>84</v>
      </c>
      <c r="Q238">
        <v>3</v>
      </c>
      <c r="R238" t="s">
        <v>81</v>
      </c>
      <c r="S238">
        <v>555.09301300000004</v>
      </c>
      <c r="T238">
        <v>76.656999999999996</v>
      </c>
      <c r="U238" t="s">
        <v>349</v>
      </c>
      <c r="V238" t="s">
        <v>349</v>
      </c>
      <c r="W238">
        <v>42552</v>
      </c>
    </row>
    <row r="239" spans="1:23" x14ac:dyDescent="0.3">
      <c r="A239" s="1">
        <v>44166</v>
      </c>
      <c r="B239" s="1">
        <v>44166</v>
      </c>
      <c r="C239" t="s">
        <v>157</v>
      </c>
      <c r="D239" t="s">
        <v>93</v>
      </c>
      <c r="E239" t="s">
        <v>49</v>
      </c>
      <c r="F239" t="s">
        <v>268</v>
      </c>
      <c r="G239" s="53">
        <v>44251.474293981482</v>
      </c>
      <c r="H239">
        <v>33</v>
      </c>
      <c r="I239" t="s">
        <v>349</v>
      </c>
      <c r="J239" t="s">
        <v>50</v>
      </c>
      <c r="K239" t="s">
        <v>50</v>
      </c>
      <c r="L239" t="s">
        <v>159</v>
      </c>
      <c r="M239" t="s">
        <v>51</v>
      </c>
      <c r="N239" t="s">
        <v>92</v>
      </c>
      <c r="O239" s="1">
        <v>41335</v>
      </c>
      <c r="P239" t="s">
        <v>84</v>
      </c>
      <c r="Q239">
        <v>4</v>
      </c>
      <c r="R239" t="s">
        <v>27</v>
      </c>
      <c r="S239">
        <v>1</v>
      </c>
      <c r="T239">
        <v>1055</v>
      </c>
      <c r="U239" t="s">
        <v>349</v>
      </c>
      <c r="V239" t="s">
        <v>349</v>
      </c>
      <c r="W239">
        <v>1055</v>
      </c>
    </row>
    <row r="240" spans="1:23" x14ac:dyDescent="0.3">
      <c r="A240" s="1">
        <v>44166</v>
      </c>
      <c r="B240" s="1">
        <v>44166</v>
      </c>
      <c r="C240" t="s">
        <v>157</v>
      </c>
      <c r="D240" t="s">
        <v>48</v>
      </c>
      <c r="E240" t="s">
        <v>49</v>
      </c>
      <c r="F240" t="s">
        <v>267</v>
      </c>
      <c r="G240" s="53">
        <v>44203.692604166667</v>
      </c>
      <c r="H240">
        <v>33</v>
      </c>
      <c r="I240">
        <v>16938</v>
      </c>
      <c r="J240" t="s">
        <v>50</v>
      </c>
      <c r="K240" t="s">
        <v>50</v>
      </c>
      <c r="L240" t="s">
        <v>159</v>
      </c>
      <c r="M240" t="s">
        <v>51</v>
      </c>
      <c r="N240" t="s">
        <v>92</v>
      </c>
      <c r="O240" s="1">
        <v>41335</v>
      </c>
      <c r="P240" t="s">
        <v>84</v>
      </c>
      <c r="Q240">
        <v>4</v>
      </c>
      <c r="R240" t="s">
        <v>27</v>
      </c>
      <c r="S240">
        <v>4574.312688</v>
      </c>
      <c r="T240">
        <v>76.781000000000006</v>
      </c>
      <c r="U240" t="s">
        <v>349</v>
      </c>
      <c r="V240" t="s">
        <v>349</v>
      </c>
      <c r="W240">
        <v>351220</v>
      </c>
    </row>
    <row r="241" spans="1:23" x14ac:dyDescent="0.3">
      <c r="A241" s="1">
        <v>44166</v>
      </c>
      <c r="B241" s="1">
        <v>44166</v>
      </c>
      <c r="C241" t="s">
        <v>157</v>
      </c>
      <c r="D241" t="s">
        <v>93</v>
      </c>
      <c r="E241" t="s">
        <v>49</v>
      </c>
      <c r="F241" t="s">
        <v>268</v>
      </c>
      <c r="G241" s="53">
        <v>44251.474293981482</v>
      </c>
      <c r="H241">
        <v>33</v>
      </c>
      <c r="I241" t="s">
        <v>349</v>
      </c>
      <c r="J241" t="s">
        <v>50</v>
      </c>
      <c r="K241" t="s">
        <v>50</v>
      </c>
      <c r="L241" t="s">
        <v>159</v>
      </c>
      <c r="M241" t="s">
        <v>51</v>
      </c>
      <c r="N241" t="s">
        <v>92</v>
      </c>
      <c r="O241" s="1">
        <v>41335</v>
      </c>
      <c r="P241" t="s">
        <v>84</v>
      </c>
      <c r="Q241">
        <v>5</v>
      </c>
      <c r="R241" t="s">
        <v>28</v>
      </c>
      <c r="S241">
        <v>1</v>
      </c>
      <c r="T241">
        <v>4</v>
      </c>
      <c r="U241" t="s">
        <v>349</v>
      </c>
      <c r="V241" t="s">
        <v>349</v>
      </c>
      <c r="W241">
        <v>4</v>
      </c>
    </row>
    <row r="242" spans="1:23" x14ac:dyDescent="0.3">
      <c r="A242" s="1">
        <v>44166</v>
      </c>
      <c r="B242" s="1">
        <v>44166</v>
      </c>
      <c r="C242" t="s">
        <v>157</v>
      </c>
      <c r="D242" t="s">
        <v>48</v>
      </c>
      <c r="E242" t="s">
        <v>49</v>
      </c>
      <c r="F242" t="s">
        <v>267</v>
      </c>
      <c r="G242" s="53">
        <v>44203.692604166667</v>
      </c>
      <c r="H242">
        <v>33</v>
      </c>
      <c r="I242">
        <v>16938</v>
      </c>
      <c r="J242" t="s">
        <v>50</v>
      </c>
      <c r="K242" t="s">
        <v>50</v>
      </c>
      <c r="L242" t="s">
        <v>159</v>
      </c>
      <c r="M242" t="s">
        <v>51</v>
      </c>
      <c r="N242" t="s">
        <v>92</v>
      </c>
      <c r="O242" s="1">
        <v>41335</v>
      </c>
      <c r="P242" t="s">
        <v>84</v>
      </c>
      <c r="Q242">
        <v>5</v>
      </c>
      <c r="R242" t="s">
        <v>28</v>
      </c>
      <c r="S242">
        <v>18.685690000000001</v>
      </c>
      <c r="T242">
        <v>79.340999999999994</v>
      </c>
      <c r="U242" t="s">
        <v>349</v>
      </c>
      <c r="V242" t="s">
        <v>349</v>
      </c>
      <c r="W242">
        <v>1483</v>
      </c>
    </row>
    <row r="243" spans="1:23" x14ac:dyDescent="0.3">
      <c r="A243" s="1">
        <v>44197</v>
      </c>
      <c r="B243" s="1">
        <v>44197</v>
      </c>
      <c r="C243" t="s">
        <v>157</v>
      </c>
      <c r="D243" t="s">
        <v>93</v>
      </c>
      <c r="E243" t="s">
        <v>49</v>
      </c>
      <c r="F243" t="s">
        <v>270</v>
      </c>
      <c r="G243" s="53">
        <v>44273.429872685185</v>
      </c>
      <c r="H243">
        <v>61</v>
      </c>
      <c r="I243" t="s">
        <v>349</v>
      </c>
      <c r="J243" t="s">
        <v>50</v>
      </c>
      <c r="K243" t="s">
        <v>50</v>
      </c>
      <c r="L243" t="s">
        <v>159</v>
      </c>
      <c r="M243" t="s">
        <v>51</v>
      </c>
      <c r="N243" t="s">
        <v>92</v>
      </c>
      <c r="O243" s="1">
        <v>41335</v>
      </c>
      <c r="P243" t="s">
        <v>84</v>
      </c>
      <c r="Q243">
        <v>1</v>
      </c>
      <c r="R243" t="s">
        <v>83</v>
      </c>
      <c r="S243">
        <v>1</v>
      </c>
      <c r="T243">
        <v>-332</v>
      </c>
      <c r="U243" t="s">
        <v>349</v>
      </c>
      <c r="V243" t="s">
        <v>349</v>
      </c>
      <c r="W243">
        <v>-332</v>
      </c>
    </row>
    <row r="244" spans="1:23" x14ac:dyDescent="0.3">
      <c r="A244" s="1">
        <v>44197</v>
      </c>
      <c r="B244" s="1">
        <v>44197</v>
      </c>
      <c r="C244" t="s">
        <v>157</v>
      </c>
      <c r="D244" t="s">
        <v>48</v>
      </c>
      <c r="E244" t="s">
        <v>49</v>
      </c>
      <c r="F244" t="s">
        <v>272</v>
      </c>
      <c r="G244" s="53">
        <v>44235.838287037041</v>
      </c>
      <c r="H244">
        <v>33</v>
      </c>
      <c r="I244">
        <v>17339</v>
      </c>
      <c r="J244" t="s">
        <v>50</v>
      </c>
      <c r="K244" t="s">
        <v>50</v>
      </c>
      <c r="L244" t="s">
        <v>159</v>
      </c>
      <c r="M244" t="s">
        <v>51</v>
      </c>
      <c r="N244" t="s">
        <v>92</v>
      </c>
      <c r="O244" s="1">
        <v>41335</v>
      </c>
      <c r="P244" t="s">
        <v>84</v>
      </c>
      <c r="Q244">
        <v>1</v>
      </c>
      <c r="R244" t="s">
        <v>83</v>
      </c>
      <c r="S244">
        <v>2962.3663649999999</v>
      </c>
      <c r="T244">
        <v>85.203000000000003</v>
      </c>
      <c r="U244" t="s">
        <v>349</v>
      </c>
      <c r="V244" t="s">
        <v>349</v>
      </c>
      <c r="W244">
        <v>252403</v>
      </c>
    </row>
    <row r="245" spans="1:23" x14ac:dyDescent="0.3">
      <c r="A245" s="1">
        <v>44197</v>
      </c>
      <c r="B245" s="1">
        <v>44197</v>
      </c>
      <c r="C245" t="s">
        <v>157</v>
      </c>
      <c r="D245" t="s">
        <v>93</v>
      </c>
      <c r="E245" t="s">
        <v>49</v>
      </c>
      <c r="F245" t="s">
        <v>270</v>
      </c>
      <c r="G245" s="53">
        <v>44273.429872685185</v>
      </c>
      <c r="H245">
        <v>61</v>
      </c>
      <c r="I245" t="s">
        <v>349</v>
      </c>
      <c r="J245" t="s">
        <v>50</v>
      </c>
      <c r="K245" t="s">
        <v>50</v>
      </c>
      <c r="L245" t="s">
        <v>159</v>
      </c>
      <c r="M245" t="s">
        <v>51</v>
      </c>
      <c r="N245" t="s">
        <v>92</v>
      </c>
      <c r="O245" s="1">
        <v>41335</v>
      </c>
      <c r="P245" t="s">
        <v>84</v>
      </c>
      <c r="Q245">
        <v>2</v>
      </c>
      <c r="R245" t="s">
        <v>94</v>
      </c>
      <c r="S245">
        <v>1</v>
      </c>
      <c r="T245">
        <v>-1</v>
      </c>
      <c r="U245" t="s">
        <v>349</v>
      </c>
      <c r="V245" t="s">
        <v>349</v>
      </c>
      <c r="W245">
        <v>-1</v>
      </c>
    </row>
    <row r="246" spans="1:23" x14ac:dyDescent="0.3">
      <c r="A246" s="1">
        <v>44197</v>
      </c>
      <c r="B246" s="1">
        <v>44197</v>
      </c>
      <c r="C246" t="s">
        <v>157</v>
      </c>
      <c r="D246" t="s">
        <v>48</v>
      </c>
      <c r="E246" t="s">
        <v>49</v>
      </c>
      <c r="F246" t="s">
        <v>272</v>
      </c>
      <c r="G246" s="53">
        <v>44235.838287037041</v>
      </c>
      <c r="H246">
        <v>33</v>
      </c>
      <c r="I246">
        <v>17339</v>
      </c>
      <c r="J246" t="s">
        <v>50</v>
      </c>
      <c r="K246" t="s">
        <v>50</v>
      </c>
      <c r="L246" t="s">
        <v>159</v>
      </c>
      <c r="M246" t="s">
        <v>51</v>
      </c>
      <c r="N246" t="s">
        <v>92</v>
      </c>
      <c r="O246" s="1">
        <v>41335</v>
      </c>
      <c r="P246" t="s">
        <v>84</v>
      </c>
      <c r="Q246">
        <v>2</v>
      </c>
      <c r="R246" t="s">
        <v>94</v>
      </c>
      <c r="S246">
        <v>9.6260829999999995</v>
      </c>
      <c r="T246">
        <v>86.819000000000003</v>
      </c>
      <c r="U246" t="s">
        <v>349</v>
      </c>
      <c r="V246" t="s">
        <v>349</v>
      </c>
      <c r="W246">
        <v>836</v>
      </c>
    </row>
    <row r="247" spans="1:23" x14ac:dyDescent="0.3">
      <c r="A247" s="1">
        <v>44197</v>
      </c>
      <c r="B247" s="1">
        <v>44197</v>
      </c>
      <c r="C247" t="s">
        <v>157</v>
      </c>
      <c r="D247" t="s">
        <v>93</v>
      </c>
      <c r="E247" t="s">
        <v>49</v>
      </c>
      <c r="F247" t="s">
        <v>270</v>
      </c>
      <c r="G247" s="53">
        <v>44273.429872685185</v>
      </c>
      <c r="H247">
        <v>61</v>
      </c>
      <c r="I247" t="s">
        <v>349</v>
      </c>
      <c r="J247" t="s">
        <v>50</v>
      </c>
      <c r="K247" t="s">
        <v>50</v>
      </c>
      <c r="L247" t="s">
        <v>159</v>
      </c>
      <c r="M247" t="s">
        <v>51</v>
      </c>
      <c r="N247" t="s">
        <v>92</v>
      </c>
      <c r="O247" s="1">
        <v>41335</v>
      </c>
      <c r="P247" t="s">
        <v>84</v>
      </c>
      <c r="Q247">
        <v>3</v>
      </c>
      <c r="R247" t="s">
        <v>81</v>
      </c>
      <c r="S247">
        <v>1</v>
      </c>
      <c r="T247">
        <v>-33</v>
      </c>
      <c r="U247" t="s">
        <v>349</v>
      </c>
      <c r="V247" t="s">
        <v>349</v>
      </c>
      <c r="W247">
        <v>-33</v>
      </c>
    </row>
    <row r="248" spans="1:23" x14ac:dyDescent="0.3">
      <c r="A248" s="1">
        <v>44197</v>
      </c>
      <c r="B248" s="1">
        <v>44197</v>
      </c>
      <c r="C248" t="s">
        <v>157</v>
      </c>
      <c r="D248" t="s">
        <v>48</v>
      </c>
      <c r="E248" t="s">
        <v>49</v>
      </c>
      <c r="F248" t="s">
        <v>272</v>
      </c>
      <c r="G248" s="53">
        <v>44235.838287037041</v>
      </c>
      <c r="H248">
        <v>33</v>
      </c>
      <c r="I248">
        <v>17339</v>
      </c>
      <c r="J248" t="s">
        <v>50</v>
      </c>
      <c r="K248" t="s">
        <v>50</v>
      </c>
      <c r="L248" t="s">
        <v>159</v>
      </c>
      <c r="M248" t="s">
        <v>51</v>
      </c>
      <c r="N248" t="s">
        <v>92</v>
      </c>
      <c r="O248" s="1">
        <v>41335</v>
      </c>
      <c r="P248" t="s">
        <v>84</v>
      </c>
      <c r="Q248">
        <v>3</v>
      </c>
      <c r="R248" t="s">
        <v>81</v>
      </c>
      <c r="S248">
        <v>320.36813000000001</v>
      </c>
      <c r="T248">
        <v>78.597999999999999</v>
      </c>
      <c r="U248" t="s">
        <v>349</v>
      </c>
      <c r="V248" t="s">
        <v>349</v>
      </c>
      <c r="W248">
        <v>25180</v>
      </c>
    </row>
    <row r="249" spans="1:23" x14ac:dyDescent="0.3">
      <c r="A249" s="1">
        <v>44197</v>
      </c>
      <c r="B249" s="1">
        <v>44197</v>
      </c>
      <c r="C249" t="s">
        <v>157</v>
      </c>
      <c r="D249" t="s">
        <v>93</v>
      </c>
      <c r="E249" t="s">
        <v>49</v>
      </c>
      <c r="F249" t="s">
        <v>270</v>
      </c>
      <c r="G249" s="53">
        <v>44273.429872685185</v>
      </c>
      <c r="H249">
        <v>61</v>
      </c>
      <c r="I249" t="s">
        <v>349</v>
      </c>
      <c r="J249" t="s">
        <v>50</v>
      </c>
      <c r="K249" t="s">
        <v>50</v>
      </c>
      <c r="L249" t="s">
        <v>159</v>
      </c>
      <c r="M249" t="s">
        <v>51</v>
      </c>
      <c r="N249" t="s">
        <v>92</v>
      </c>
      <c r="O249" s="1">
        <v>41335</v>
      </c>
      <c r="P249" t="s">
        <v>84</v>
      </c>
      <c r="Q249">
        <v>4</v>
      </c>
      <c r="R249" t="s">
        <v>27</v>
      </c>
      <c r="S249">
        <v>1</v>
      </c>
      <c r="T249">
        <v>-385</v>
      </c>
      <c r="U249" t="s">
        <v>349</v>
      </c>
      <c r="V249" t="s">
        <v>349</v>
      </c>
      <c r="W249">
        <v>-385</v>
      </c>
    </row>
    <row r="250" spans="1:23" x14ac:dyDescent="0.3">
      <c r="A250" s="1">
        <v>44197</v>
      </c>
      <c r="B250" s="1">
        <v>44197</v>
      </c>
      <c r="C250" t="s">
        <v>157</v>
      </c>
      <c r="D250" t="s">
        <v>48</v>
      </c>
      <c r="E250" t="s">
        <v>49</v>
      </c>
      <c r="F250" t="s">
        <v>272</v>
      </c>
      <c r="G250" s="53">
        <v>44235.838287037041</v>
      </c>
      <c r="H250">
        <v>33</v>
      </c>
      <c r="I250">
        <v>17339</v>
      </c>
      <c r="J250" t="s">
        <v>50</v>
      </c>
      <c r="K250" t="s">
        <v>50</v>
      </c>
      <c r="L250" t="s">
        <v>159</v>
      </c>
      <c r="M250" t="s">
        <v>51</v>
      </c>
      <c r="N250" t="s">
        <v>92</v>
      </c>
      <c r="O250" s="1">
        <v>41335</v>
      </c>
      <c r="P250" t="s">
        <v>84</v>
      </c>
      <c r="Q250">
        <v>4</v>
      </c>
      <c r="R250" t="s">
        <v>27</v>
      </c>
      <c r="S250">
        <v>3662.8658420000002</v>
      </c>
      <c r="T250">
        <v>80.213999999999999</v>
      </c>
      <c r="U250" t="s">
        <v>349</v>
      </c>
      <c r="V250" t="s">
        <v>349</v>
      </c>
      <c r="W250">
        <v>293813</v>
      </c>
    </row>
    <row r="251" spans="1:23" x14ac:dyDescent="0.3">
      <c r="A251" s="1">
        <v>44197</v>
      </c>
      <c r="B251" s="1">
        <v>44197</v>
      </c>
      <c r="C251" t="s">
        <v>157</v>
      </c>
      <c r="D251" t="s">
        <v>93</v>
      </c>
      <c r="E251" t="s">
        <v>49</v>
      </c>
      <c r="F251" t="s">
        <v>270</v>
      </c>
      <c r="G251" s="53">
        <v>44273.429872685185</v>
      </c>
      <c r="H251">
        <v>61</v>
      </c>
      <c r="I251" t="s">
        <v>349</v>
      </c>
      <c r="J251" t="s">
        <v>50</v>
      </c>
      <c r="K251" t="s">
        <v>50</v>
      </c>
      <c r="L251" t="s">
        <v>159</v>
      </c>
      <c r="M251" t="s">
        <v>51</v>
      </c>
      <c r="N251" t="s">
        <v>92</v>
      </c>
      <c r="O251" s="1">
        <v>41335</v>
      </c>
      <c r="P251" t="s">
        <v>84</v>
      </c>
      <c r="Q251">
        <v>5</v>
      </c>
      <c r="R251" t="s">
        <v>28</v>
      </c>
      <c r="S251">
        <v>1</v>
      </c>
      <c r="T251">
        <v>-1</v>
      </c>
      <c r="U251" t="s">
        <v>349</v>
      </c>
      <c r="V251" t="s">
        <v>349</v>
      </c>
      <c r="W251">
        <v>-1</v>
      </c>
    </row>
    <row r="252" spans="1:23" x14ac:dyDescent="0.3">
      <c r="A252" s="1">
        <v>44197</v>
      </c>
      <c r="B252" s="1">
        <v>44197</v>
      </c>
      <c r="C252" t="s">
        <v>157</v>
      </c>
      <c r="D252" t="s">
        <v>48</v>
      </c>
      <c r="E252" t="s">
        <v>49</v>
      </c>
      <c r="F252" t="s">
        <v>272</v>
      </c>
      <c r="G252" s="53">
        <v>44235.838287037041</v>
      </c>
      <c r="H252">
        <v>33</v>
      </c>
      <c r="I252">
        <v>17339</v>
      </c>
      <c r="J252" t="s">
        <v>50</v>
      </c>
      <c r="K252" t="s">
        <v>50</v>
      </c>
      <c r="L252" t="s">
        <v>159</v>
      </c>
      <c r="M252" t="s">
        <v>51</v>
      </c>
      <c r="N252" t="s">
        <v>92</v>
      </c>
      <c r="O252" s="1">
        <v>41335</v>
      </c>
      <c r="P252" t="s">
        <v>84</v>
      </c>
      <c r="Q252">
        <v>5</v>
      </c>
      <c r="R252" t="s">
        <v>28</v>
      </c>
      <c r="S252">
        <v>10.591604999999999</v>
      </c>
      <c r="T252">
        <v>86.617999999999995</v>
      </c>
      <c r="U252" t="s">
        <v>349</v>
      </c>
      <c r="V252" t="s">
        <v>349</v>
      </c>
      <c r="W252">
        <v>917</v>
      </c>
    </row>
    <row r="253" spans="1:23" x14ac:dyDescent="0.3">
      <c r="A253" s="1">
        <v>44228</v>
      </c>
      <c r="B253" s="1">
        <v>44228</v>
      </c>
      <c r="C253" t="s">
        <v>157</v>
      </c>
      <c r="D253" t="s">
        <v>93</v>
      </c>
      <c r="E253" t="s">
        <v>49</v>
      </c>
      <c r="F253" t="s">
        <v>278</v>
      </c>
      <c r="G253" s="53">
        <v>44302.769236111111</v>
      </c>
      <c r="H253">
        <v>33</v>
      </c>
      <c r="I253" t="s">
        <v>349</v>
      </c>
      <c r="J253" t="s">
        <v>50</v>
      </c>
      <c r="K253" t="s">
        <v>50</v>
      </c>
      <c r="L253" t="s">
        <v>159</v>
      </c>
      <c r="M253" t="s">
        <v>51</v>
      </c>
      <c r="N253" t="s">
        <v>92</v>
      </c>
      <c r="O253" s="1">
        <v>41335</v>
      </c>
      <c r="P253" t="s">
        <v>84</v>
      </c>
      <c r="Q253">
        <v>1</v>
      </c>
      <c r="R253" t="s">
        <v>83</v>
      </c>
      <c r="S253">
        <v>1</v>
      </c>
      <c r="T253">
        <v>1042</v>
      </c>
      <c r="U253" t="s">
        <v>349</v>
      </c>
      <c r="V253" t="s">
        <v>349</v>
      </c>
      <c r="W253">
        <v>1042</v>
      </c>
    </row>
    <row r="254" spans="1:23" x14ac:dyDescent="0.3">
      <c r="A254" s="1">
        <v>44228</v>
      </c>
      <c r="B254" s="1">
        <v>44228</v>
      </c>
      <c r="C254" t="s">
        <v>157</v>
      </c>
      <c r="D254" t="s">
        <v>48</v>
      </c>
      <c r="E254" t="s">
        <v>49</v>
      </c>
      <c r="F254" t="s">
        <v>277</v>
      </c>
      <c r="G254" s="53">
        <v>44259.815057870372</v>
      </c>
      <c r="H254">
        <v>33</v>
      </c>
      <c r="I254">
        <v>17645</v>
      </c>
      <c r="J254" t="s">
        <v>50</v>
      </c>
      <c r="K254" t="s">
        <v>50</v>
      </c>
      <c r="L254" t="s">
        <v>159</v>
      </c>
      <c r="M254" t="s">
        <v>51</v>
      </c>
      <c r="N254" t="s">
        <v>92</v>
      </c>
      <c r="O254" s="1">
        <v>41335</v>
      </c>
      <c r="P254" t="s">
        <v>84</v>
      </c>
      <c r="Q254">
        <v>1</v>
      </c>
      <c r="R254" t="s">
        <v>83</v>
      </c>
      <c r="S254">
        <v>2149.7309340000002</v>
      </c>
      <c r="T254">
        <v>85.203000000000003</v>
      </c>
      <c r="U254" t="s">
        <v>349</v>
      </c>
      <c r="V254" t="s">
        <v>349</v>
      </c>
      <c r="W254">
        <v>183164</v>
      </c>
    </row>
    <row r="255" spans="1:23" x14ac:dyDescent="0.3">
      <c r="A255" s="1">
        <v>44228</v>
      </c>
      <c r="B255" s="1">
        <v>44228</v>
      </c>
      <c r="C255" t="s">
        <v>157</v>
      </c>
      <c r="D255" t="s">
        <v>93</v>
      </c>
      <c r="E255" t="s">
        <v>49</v>
      </c>
      <c r="F255" t="s">
        <v>278</v>
      </c>
      <c r="G255" s="53">
        <v>44302.769236111111</v>
      </c>
      <c r="H255">
        <v>33</v>
      </c>
      <c r="I255" t="s">
        <v>349</v>
      </c>
      <c r="J255" t="s">
        <v>50</v>
      </c>
      <c r="K255" t="s">
        <v>50</v>
      </c>
      <c r="L255" t="s">
        <v>159</v>
      </c>
      <c r="M255" t="s">
        <v>51</v>
      </c>
      <c r="N255" t="s">
        <v>92</v>
      </c>
      <c r="O255" s="1">
        <v>41335</v>
      </c>
      <c r="P255" t="s">
        <v>84</v>
      </c>
      <c r="Q255">
        <v>2</v>
      </c>
      <c r="R255" t="s">
        <v>94</v>
      </c>
      <c r="S255">
        <v>1</v>
      </c>
      <c r="T255">
        <v>4</v>
      </c>
      <c r="U255" t="s">
        <v>349</v>
      </c>
      <c r="V255" t="s">
        <v>349</v>
      </c>
      <c r="W255">
        <v>4</v>
      </c>
    </row>
    <row r="256" spans="1:23" x14ac:dyDescent="0.3">
      <c r="A256" s="1">
        <v>44228</v>
      </c>
      <c r="B256" s="1">
        <v>44228</v>
      </c>
      <c r="C256" t="s">
        <v>157</v>
      </c>
      <c r="D256" t="s">
        <v>48</v>
      </c>
      <c r="E256" t="s">
        <v>49</v>
      </c>
      <c r="F256" t="s">
        <v>277</v>
      </c>
      <c r="G256" s="53">
        <v>44259.815057870372</v>
      </c>
      <c r="H256">
        <v>33</v>
      </c>
      <c r="I256">
        <v>17645</v>
      </c>
      <c r="J256" t="s">
        <v>50</v>
      </c>
      <c r="K256" t="s">
        <v>50</v>
      </c>
      <c r="L256" t="s">
        <v>159</v>
      </c>
      <c r="M256" t="s">
        <v>51</v>
      </c>
      <c r="N256" t="s">
        <v>92</v>
      </c>
      <c r="O256" s="1">
        <v>41335</v>
      </c>
      <c r="P256" t="s">
        <v>84</v>
      </c>
      <c r="Q256">
        <v>2</v>
      </c>
      <c r="R256" t="s">
        <v>94</v>
      </c>
      <c r="S256">
        <v>7.2339039999999999</v>
      </c>
      <c r="T256">
        <v>86.819000000000003</v>
      </c>
      <c r="U256" t="s">
        <v>349</v>
      </c>
      <c r="V256" t="s">
        <v>349</v>
      </c>
      <c r="W256">
        <v>628</v>
      </c>
    </row>
    <row r="257" spans="1:23" x14ac:dyDescent="0.3">
      <c r="A257" s="1">
        <v>44228</v>
      </c>
      <c r="B257" s="1">
        <v>44228</v>
      </c>
      <c r="C257" t="s">
        <v>157</v>
      </c>
      <c r="D257" t="s">
        <v>93</v>
      </c>
      <c r="E257" t="s">
        <v>49</v>
      </c>
      <c r="F257" t="s">
        <v>278</v>
      </c>
      <c r="G257" s="53">
        <v>44302.769236111111</v>
      </c>
      <c r="H257">
        <v>33</v>
      </c>
      <c r="I257" t="s">
        <v>349</v>
      </c>
      <c r="J257" t="s">
        <v>50</v>
      </c>
      <c r="K257" t="s">
        <v>50</v>
      </c>
      <c r="L257" t="s">
        <v>159</v>
      </c>
      <c r="M257" t="s">
        <v>51</v>
      </c>
      <c r="N257" t="s">
        <v>92</v>
      </c>
      <c r="O257" s="1">
        <v>41335</v>
      </c>
      <c r="P257" t="s">
        <v>84</v>
      </c>
      <c r="Q257">
        <v>3</v>
      </c>
      <c r="R257" t="s">
        <v>81</v>
      </c>
      <c r="S257">
        <v>1</v>
      </c>
      <c r="T257">
        <v>105</v>
      </c>
      <c r="U257" t="s">
        <v>349</v>
      </c>
      <c r="V257" t="s">
        <v>349</v>
      </c>
      <c r="W257">
        <v>105</v>
      </c>
    </row>
    <row r="258" spans="1:23" x14ac:dyDescent="0.3">
      <c r="A258" s="1">
        <v>44228</v>
      </c>
      <c r="B258" s="1">
        <v>44228</v>
      </c>
      <c r="C258" t="s">
        <v>157</v>
      </c>
      <c r="D258" t="s">
        <v>48</v>
      </c>
      <c r="E258" t="s">
        <v>49</v>
      </c>
      <c r="F258" t="s">
        <v>277</v>
      </c>
      <c r="G258" s="53">
        <v>44259.815057870372</v>
      </c>
      <c r="H258">
        <v>33</v>
      </c>
      <c r="I258">
        <v>17645</v>
      </c>
      <c r="J258" t="s">
        <v>50</v>
      </c>
      <c r="K258" t="s">
        <v>50</v>
      </c>
      <c r="L258" t="s">
        <v>159</v>
      </c>
      <c r="M258" t="s">
        <v>51</v>
      </c>
      <c r="N258" t="s">
        <v>92</v>
      </c>
      <c r="O258" s="1">
        <v>41335</v>
      </c>
      <c r="P258" t="s">
        <v>84</v>
      </c>
      <c r="Q258">
        <v>3</v>
      </c>
      <c r="R258" t="s">
        <v>81</v>
      </c>
      <c r="S258">
        <v>234.44251299999999</v>
      </c>
      <c r="T258">
        <v>78.597999999999999</v>
      </c>
      <c r="U258" t="s">
        <v>349</v>
      </c>
      <c r="V258" t="s">
        <v>349</v>
      </c>
      <c r="W258">
        <v>18427</v>
      </c>
    </row>
    <row r="259" spans="1:23" x14ac:dyDescent="0.3">
      <c r="A259" s="1">
        <v>44228</v>
      </c>
      <c r="B259" s="1">
        <v>44228</v>
      </c>
      <c r="C259" t="s">
        <v>157</v>
      </c>
      <c r="D259" t="s">
        <v>93</v>
      </c>
      <c r="E259" t="s">
        <v>49</v>
      </c>
      <c r="F259" t="s">
        <v>278</v>
      </c>
      <c r="G259" s="53">
        <v>44302.769236111111</v>
      </c>
      <c r="H259">
        <v>33</v>
      </c>
      <c r="I259" t="s">
        <v>349</v>
      </c>
      <c r="J259" t="s">
        <v>50</v>
      </c>
      <c r="K259" t="s">
        <v>50</v>
      </c>
      <c r="L259" t="s">
        <v>159</v>
      </c>
      <c r="M259" t="s">
        <v>51</v>
      </c>
      <c r="N259" t="s">
        <v>92</v>
      </c>
      <c r="O259" s="1">
        <v>41335</v>
      </c>
      <c r="P259" t="s">
        <v>84</v>
      </c>
      <c r="Q259">
        <v>4</v>
      </c>
      <c r="R259" t="s">
        <v>27</v>
      </c>
      <c r="S259">
        <v>1</v>
      </c>
      <c r="T259">
        <v>1221</v>
      </c>
      <c r="U259" t="s">
        <v>349</v>
      </c>
      <c r="V259" t="s">
        <v>349</v>
      </c>
      <c r="W259">
        <v>1221</v>
      </c>
    </row>
    <row r="260" spans="1:23" x14ac:dyDescent="0.3">
      <c r="A260" s="1">
        <v>44228</v>
      </c>
      <c r="B260" s="1">
        <v>44228</v>
      </c>
      <c r="C260" t="s">
        <v>157</v>
      </c>
      <c r="D260" t="s">
        <v>48</v>
      </c>
      <c r="E260" t="s">
        <v>49</v>
      </c>
      <c r="F260" t="s">
        <v>277</v>
      </c>
      <c r="G260" s="53">
        <v>44259.815057870372</v>
      </c>
      <c r="H260">
        <v>33</v>
      </c>
      <c r="I260">
        <v>17645</v>
      </c>
      <c r="J260" t="s">
        <v>50</v>
      </c>
      <c r="K260" t="s">
        <v>50</v>
      </c>
      <c r="L260" t="s">
        <v>159</v>
      </c>
      <c r="M260" t="s">
        <v>51</v>
      </c>
      <c r="N260" t="s">
        <v>92</v>
      </c>
      <c r="O260" s="1">
        <v>41335</v>
      </c>
      <c r="P260" t="s">
        <v>84</v>
      </c>
      <c r="Q260">
        <v>4</v>
      </c>
      <c r="R260" t="s">
        <v>27</v>
      </c>
      <c r="S260">
        <v>2674.997464</v>
      </c>
      <c r="T260">
        <v>80.213999999999999</v>
      </c>
      <c r="U260" t="s">
        <v>349</v>
      </c>
      <c r="V260" t="s">
        <v>349</v>
      </c>
      <c r="W260">
        <v>214572</v>
      </c>
    </row>
    <row r="261" spans="1:23" x14ac:dyDescent="0.3">
      <c r="A261" s="1">
        <v>44228</v>
      </c>
      <c r="B261" s="1">
        <v>44228</v>
      </c>
      <c r="C261" t="s">
        <v>157</v>
      </c>
      <c r="D261" t="s">
        <v>93</v>
      </c>
      <c r="E261" t="s">
        <v>49</v>
      </c>
      <c r="F261" t="s">
        <v>278</v>
      </c>
      <c r="G261" s="53">
        <v>44302.769236111111</v>
      </c>
      <c r="H261">
        <v>33</v>
      </c>
      <c r="I261" t="s">
        <v>349</v>
      </c>
      <c r="J261" t="s">
        <v>50</v>
      </c>
      <c r="K261" t="s">
        <v>50</v>
      </c>
      <c r="L261" t="s">
        <v>159</v>
      </c>
      <c r="M261" t="s">
        <v>51</v>
      </c>
      <c r="N261" t="s">
        <v>92</v>
      </c>
      <c r="O261" s="1">
        <v>41335</v>
      </c>
      <c r="P261" t="s">
        <v>84</v>
      </c>
      <c r="Q261">
        <v>5</v>
      </c>
      <c r="R261" t="s">
        <v>28</v>
      </c>
      <c r="S261">
        <v>1</v>
      </c>
      <c r="T261">
        <v>3</v>
      </c>
      <c r="U261" t="s">
        <v>349</v>
      </c>
      <c r="V261" t="s">
        <v>349</v>
      </c>
      <c r="W261">
        <v>3</v>
      </c>
    </row>
    <row r="262" spans="1:23" x14ac:dyDescent="0.3">
      <c r="A262" s="1">
        <v>44228</v>
      </c>
      <c r="B262" s="1">
        <v>44228</v>
      </c>
      <c r="C262" t="s">
        <v>157</v>
      </c>
      <c r="D262" t="s">
        <v>48</v>
      </c>
      <c r="E262" t="s">
        <v>49</v>
      </c>
      <c r="F262" t="s">
        <v>277</v>
      </c>
      <c r="G262" s="53">
        <v>44259.815057870372</v>
      </c>
      <c r="H262">
        <v>33</v>
      </c>
      <c r="I262">
        <v>17645</v>
      </c>
      <c r="J262" t="s">
        <v>50</v>
      </c>
      <c r="K262" t="s">
        <v>50</v>
      </c>
      <c r="L262" t="s">
        <v>159</v>
      </c>
      <c r="M262" t="s">
        <v>51</v>
      </c>
      <c r="N262" t="s">
        <v>92</v>
      </c>
      <c r="O262" s="1">
        <v>41335</v>
      </c>
      <c r="P262" t="s">
        <v>84</v>
      </c>
      <c r="Q262">
        <v>5</v>
      </c>
      <c r="R262" t="s">
        <v>28</v>
      </c>
      <c r="S262">
        <v>7.8341200000000004</v>
      </c>
      <c r="T262">
        <v>86.617999999999995</v>
      </c>
      <c r="U262" t="s">
        <v>349</v>
      </c>
      <c r="V262" t="s">
        <v>349</v>
      </c>
      <c r="W262">
        <v>679</v>
      </c>
    </row>
    <row r="263" spans="1:23" x14ac:dyDescent="0.3">
      <c r="A263" s="1">
        <v>44256</v>
      </c>
      <c r="B263" s="1">
        <v>44256</v>
      </c>
      <c r="C263" t="s">
        <v>157</v>
      </c>
      <c r="D263" t="s">
        <v>93</v>
      </c>
      <c r="E263" t="s">
        <v>49</v>
      </c>
      <c r="F263" t="s">
        <v>284</v>
      </c>
      <c r="G263" s="53">
        <v>44327.522789351853</v>
      </c>
      <c r="H263">
        <v>33</v>
      </c>
      <c r="I263" t="s">
        <v>349</v>
      </c>
      <c r="J263" t="s">
        <v>50</v>
      </c>
      <c r="K263" t="s">
        <v>50</v>
      </c>
      <c r="L263" t="s">
        <v>159</v>
      </c>
      <c r="M263" t="s">
        <v>51</v>
      </c>
      <c r="N263" t="s">
        <v>92</v>
      </c>
      <c r="O263" s="1">
        <v>41335</v>
      </c>
      <c r="P263" t="s">
        <v>84</v>
      </c>
      <c r="Q263">
        <v>1</v>
      </c>
      <c r="R263" t="s">
        <v>83</v>
      </c>
      <c r="S263">
        <v>1</v>
      </c>
      <c r="T263">
        <v>1933</v>
      </c>
      <c r="U263" t="s">
        <v>349</v>
      </c>
      <c r="V263" t="s">
        <v>349</v>
      </c>
      <c r="W263">
        <v>1933</v>
      </c>
    </row>
    <row r="264" spans="1:23" x14ac:dyDescent="0.3">
      <c r="A264" s="1">
        <v>44256</v>
      </c>
      <c r="B264" s="1">
        <v>44256</v>
      </c>
      <c r="C264" t="s">
        <v>157</v>
      </c>
      <c r="D264" t="s">
        <v>48</v>
      </c>
      <c r="E264" t="s">
        <v>49</v>
      </c>
      <c r="F264" t="s">
        <v>282</v>
      </c>
      <c r="G264" s="53">
        <v>44294.484247685185</v>
      </c>
      <c r="H264">
        <v>33</v>
      </c>
      <c r="I264">
        <v>18264</v>
      </c>
      <c r="J264" t="s">
        <v>50</v>
      </c>
      <c r="K264" t="s">
        <v>50</v>
      </c>
      <c r="L264" t="s">
        <v>159</v>
      </c>
      <c r="M264" t="s">
        <v>51</v>
      </c>
      <c r="N264" t="s">
        <v>92</v>
      </c>
      <c r="O264" s="1">
        <v>41335</v>
      </c>
      <c r="P264" t="s">
        <v>84</v>
      </c>
      <c r="Q264">
        <v>1</v>
      </c>
      <c r="R264" t="s">
        <v>83</v>
      </c>
      <c r="S264">
        <v>2429.5084940000002</v>
      </c>
      <c r="T264">
        <v>85.203000000000003</v>
      </c>
      <c r="U264" t="s">
        <v>349</v>
      </c>
      <c r="V264" t="s">
        <v>349</v>
      </c>
      <c r="W264">
        <v>207001</v>
      </c>
    </row>
    <row r="265" spans="1:23" x14ac:dyDescent="0.3">
      <c r="A265" s="1">
        <v>44256</v>
      </c>
      <c r="B265" s="1">
        <v>44256</v>
      </c>
      <c r="C265" t="s">
        <v>157</v>
      </c>
      <c r="D265" t="s">
        <v>93</v>
      </c>
      <c r="E265" t="s">
        <v>49</v>
      </c>
      <c r="F265" t="s">
        <v>284</v>
      </c>
      <c r="G265" s="53">
        <v>44327.522789351853</v>
      </c>
      <c r="H265">
        <v>33</v>
      </c>
      <c r="I265" t="s">
        <v>349</v>
      </c>
      <c r="J265" t="s">
        <v>50</v>
      </c>
      <c r="K265" t="s">
        <v>50</v>
      </c>
      <c r="L265" t="s">
        <v>159</v>
      </c>
      <c r="M265" t="s">
        <v>51</v>
      </c>
      <c r="N265" t="s">
        <v>92</v>
      </c>
      <c r="O265" s="1">
        <v>41335</v>
      </c>
      <c r="P265" t="s">
        <v>84</v>
      </c>
      <c r="Q265">
        <v>2</v>
      </c>
      <c r="R265" t="s">
        <v>94</v>
      </c>
      <c r="S265">
        <v>1</v>
      </c>
      <c r="T265">
        <v>6</v>
      </c>
      <c r="U265" t="s">
        <v>349</v>
      </c>
      <c r="V265" t="s">
        <v>349</v>
      </c>
      <c r="W265">
        <v>6</v>
      </c>
    </row>
    <row r="266" spans="1:23" x14ac:dyDescent="0.3">
      <c r="A266" s="1">
        <v>44256</v>
      </c>
      <c r="B266" s="1">
        <v>44256</v>
      </c>
      <c r="C266" t="s">
        <v>157</v>
      </c>
      <c r="D266" t="s">
        <v>48</v>
      </c>
      <c r="E266" t="s">
        <v>49</v>
      </c>
      <c r="F266" t="s">
        <v>282</v>
      </c>
      <c r="G266" s="53">
        <v>44294.484247685185</v>
      </c>
      <c r="H266">
        <v>33</v>
      </c>
      <c r="I266">
        <v>18264</v>
      </c>
      <c r="J266" t="s">
        <v>50</v>
      </c>
      <c r="K266" t="s">
        <v>50</v>
      </c>
      <c r="L266" t="s">
        <v>159</v>
      </c>
      <c r="M266" t="s">
        <v>51</v>
      </c>
      <c r="N266" t="s">
        <v>92</v>
      </c>
      <c r="O266" s="1">
        <v>41335</v>
      </c>
      <c r="P266" t="s">
        <v>84</v>
      </c>
      <c r="Q266">
        <v>2</v>
      </c>
      <c r="R266" t="s">
        <v>94</v>
      </c>
      <c r="S266">
        <v>8.2069919999999996</v>
      </c>
      <c r="T266">
        <v>86.819000000000003</v>
      </c>
      <c r="U266" t="s">
        <v>349</v>
      </c>
      <c r="V266" t="s">
        <v>349</v>
      </c>
      <c r="W266">
        <v>713</v>
      </c>
    </row>
    <row r="267" spans="1:23" x14ac:dyDescent="0.3">
      <c r="A267" s="1">
        <v>44256</v>
      </c>
      <c r="B267" s="1">
        <v>44256</v>
      </c>
      <c r="C267" t="s">
        <v>157</v>
      </c>
      <c r="D267" t="s">
        <v>93</v>
      </c>
      <c r="E267" t="s">
        <v>49</v>
      </c>
      <c r="F267" t="s">
        <v>284</v>
      </c>
      <c r="G267" s="53">
        <v>44327.522789351853</v>
      </c>
      <c r="H267">
        <v>33</v>
      </c>
      <c r="I267" t="s">
        <v>349</v>
      </c>
      <c r="J267" t="s">
        <v>50</v>
      </c>
      <c r="K267" t="s">
        <v>50</v>
      </c>
      <c r="L267" t="s">
        <v>159</v>
      </c>
      <c r="M267" t="s">
        <v>51</v>
      </c>
      <c r="N267" t="s">
        <v>92</v>
      </c>
      <c r="O267" s="1">
        <v>41335</v>
      </c>
      <c r="P267" t="s">
        <v>84</v>
      </c>
      <c r="Q267">
        <v>3</v>
      </c>
      <c r="R267" t="s">
        <v>81</v>
      </c>
      <c r="S267">
        <v>1</v>
      </c>
      <c r="T267">
        <v>196</v>
      </c>
      <c r="U267" t="s">
        <v>349</v>
      </c>
      <c r="V267" t="s">
        <v>349</v>
      </c>
      <c r="W267">
        <v>196</v>
      </c>
    </row>
    <row r="268" spans="1:23" x14ac:dyDescent="0.3">
      <c r="A268" s="1">
        <v>44256</v>
      </c>
      <c r="B268" s="1">
        <v>44256</v>
      </c>
      <c r="C268" t="s">
        <v>157</v>
      </c>
      <c r="D268" t="s">
        <v>48</v>
      </c>
      <c r="E268" t="s">
        <v>49</v>
      </c>
      <c r="F268" t="s">
        <v>282</v>
      </c>
      <c r="G268" s="53">
        <v>44294.484247685185</v>
      </c>
      <c r="H268">
        <v>33</v>
      </c>
      <c r="I268">
        <v>18264</v>
      </c>
      <c r="J268" t="s">
        <v>50</v>
      </c>
      <c r="K268" t="s">
        <v>50</v>
      </c>
      <c r="L268" t="s">
        <v>159</v>
      </c>
      <c r="M268" t="s">
        <v>51</v>
      </c>
      <c r="N268" t="s">
        <v>92</v>
      </c>
      <c r="O268" s="1">
        <v>41335</v>
      </c>
      <c r="P268" t="s">
        <v>84</v>
      </c>
      <c r="Q268">
        <v>3</v>
      </c>
      <c r="R268" t="s">
        <v>81</v>
      </c>
      <c r="S268">
        <v>266.55027999999999</v>
      </c>
      <c r="T268">
        <v>78.597999999999999</v>
      </c>
      <c r="U268" t="s">
        <v>349</v>
      </c>
      <c r="V268" t="s">
        <v>349</v>
      </c>
      <c r="W268">
        <v>20950</v>
      </c>
    </row>
    <row r="269" spans="1:23" x14ac:dyDescent="0.3">
      <c r="A269" s="1">
        <v>44256</v>
      </c>
      <c r="B269" s="1">
        <v>44256</v>
      </c>
      <c r="C269" t="s">
        <v>157</v>
      </c>
      <c r="D269" t="s">
        <v>93</v>
      </c>
      <c r="E269" t="s">
        <v>49</v>
      </c>
      <c r="F269" t="s">
        <v>284</v>
      </c>
      <c r="G269" s="53">
        <v>44327.522789351853</v>
      </c>
      <c r="H269">
        <v>33</v>
      </c>
      <c r="I269" t="s">
        <v>349</v>
      </c>
      <c r="J269" t="s">
        <v>50</v>
      </c>
      <c r="K269" t="s">
        <v>50</v>
      </c>
      <c r="L269" t="s">
        <v>159</v>
      </c>
      <c r="M269" t="s">
        <v>51</v>
      </c>
      <c r="N269" t="s">
        <v>92</v>
      </c>
      <c r="O269" s="1">
        <v>41335</v>
      </c>
      <c r="P269" t="s">
        <v>84</v>
      </c>
      <c r="Q269">
        <v>4</v>
      </c>
      <c r="R269" t="s">
        <v>27</v>
      </c>
      <c r="S269">
        <v>1</v>
      </c>
      <c r="T269">
        <v>2266</v>
      </c>
      <c r="U269" t="s">
        <v>349</v>
      </c>
      <c r="V269" t="s">
        <v>349</v>
      </c>
      <c r="W269">
        <v>2266</v>
      </c>
    </row>
    <row r="270" spans="1:23" x14ac:dyDescent="0.3">
      <c r="A270" s="1">
        <v>44256</v>
      </c>
      <c r="B270" s="1">
        <v>44256</v>
      </c>
      <c r="C270" t="s">
        <v>157</v>
      </c>
      <c r="D270" t="s">
        <v>48</v>
      </c>
      <c r="E270" t="s">
        <v>49</v>
      </c>
      <c r="F270" t="s">
        <v>282</v>
      </c>
      <c r="G270" s="53">
        <v>44294.484247685185</v>
      </c>
      <c r="H270">
        <v>33</v>
      </c>
      <c r="I270">
        <v>18264</v>
      </c>
      <c r="J270" t="s">
        <v>50</v>
      </c>
      <c r="K270" t="s">
        <v>50</v>
      </c>
      <c r="L270" t="s">
        <v>159</v>
      </c>
      <c r="M270" t="s">
        <v>51</v>
      </c>
      <c r="N270" t="s">
        <v>92</v>
      </c>
      <c r="O270" s="1">
        <v>41335</v>
      </c>
      <c r="P270" t="s">
        <v>84</v>
      </c>
      <c r="Q270">
        <v>4</v>
      </c>
      <c r="R270" t="s">
        <v>27</v>
      </c>
      <c r="S270">
        <v>3026.9486430000002</v>
      </c>
      <c r="T270">
        <v>80.213999999999999</v>
      </c>
      <c r="U270" t="s">
        <v>349</v>
      </c>
      <c r="V270" t="s">
        <v>349</v>
      </c>
      <c r="W270">
        <v>242804</v>
      </c>
    </row>
    <row r="271" spans="1:23" x14ac:dyDescent="0.3">
      <c r="A271" s="1">
        <v>44256</v>
      </c>
      <c r="B271" s="1">
        <v>44256</v>
      </c>
      <c r="C271" t="s">
        <v>157</v>
      </c>
      <c r="D271" t="s">
        <v>93</v>
      </c>
      <c r="E271" t="s">
        <v>49</v>
      </c>
      <c r="F271" t="s">
        <v>284</v>
      </c>
      <c r="G271" s="53">
        <v>44327.522789351853</v>
      </c>
      <c r="H271">
        <v>33</v>
      </c>
      <c r="I271" t="s">
        <v>349</v>
      </c>
      <c r="J271" t="s">
        <v>50</v>
      </c>
      <c r="K271" t="s">
        <v>50</v>
      </c>
      <c r="L271" t="s">
        <v>159</v>
      </c>
      <c r="M271" t="s">
        <v>51</v>
      </c>
      <c r="N271" t="s">
        <v>92</v>
      </c>
      <c r="O271" s="1">
        <v>41335</v>
      </c>
      <c r="P271" t="s">
        <v>84</v>
      </c>
      <c r="Q271">
        <v>5</v>
      </c>
      <c r="R271" t="s">
        <v>28</v>
      </c>
      <c r="S271">
        <v>1</v>
      </c>
      <c r="T271">
        <v>7</v>
      </c>
      <c r="U271" t="s">
        <v>349</v>
      </c>
      <c r="V271" t="s">
        <v>349</v>
      </c>
      <c r="W271">
        <v>7</v>
      </c>
    </row>
    <row r="272" spans="1:23" x14ac:dyDescent="0.3">
      <c r="A272" s="1">
        <v>44256</v>
      </c>
      <c r="B272" s="1">
        <v>44256</v>
      </c>
      <c r="C272" t="s">
        <v>157</v>
      </c>
      <c r="D272" t="s">
        <v>48</v>
      </c>
      <c r="E272" t="s">
        <v>49</v>
      </c>
      <c r="F272" t="s">
        <v>282</v>
      </c>
      <c r="G272" s="53">
        <v>44294.484247685185</v>
      </c>
      <c r="H272">
        <v>33</v>
      </c>
      <c r="I272">
        <v>18264</v>
      </c>
      <c r="J272" t="s">
        <v>50</v>
      </c>
      <c r="K272" t="s">
        <v>50</v>
      </c>
      <c r="L272" t="s">
        <v>159</v>
      </c>
      <c r="M272" t="s">
        <v>51</v>
      </c>
      <c r="N272" t="s">
        <v>92</v>
      </c>
      <c r="O272" s="1">
        <v>41335</v>
      </c>
      <c r="P272" t="s">
        <v>84</v>
      </c>
      <c r="Q272">
        <v>5</v>
      </c>
      <c r="R272" t="s">
        <v>28</v>
      </c>
      <c r="S272">
        <v>8.8766890000000007</v>
      </c>
      <c r="T272">
        <v>86.617999999999995</v>
      </c>
      <c r="U272" t="s">
        <v>349</v>
      </c>
      <c r="V272" t="s">
        <v>349</v>
      </c>
      <c r="W272">
        <v>769</v>
      </c>
    </row>
    <row r="273" spans="1:23" x14ac:dyDescent="0.3">
      <c r="A273" s="1">
        <v>44287</v>
      </c>
      <c r="B273" s="1">
        <v>44287</v>
      </c>
      <c r="C273" t="s">
        <v>157</v>
      </c>
      <c r="D273" t="s">
        <v>48</v>
      </c>
      <c r="E273" t="s">
        <v>49</v>
      </c>
      <c r="F273" t="s">
        <v>286</v>
      </c>
      <c r="G273" s="53">
        <v>44323.702997685185</v>
      </c>
      <c r="H273">
        <v>33</v>
      </c>
      <c r="I273">
        <v>18700</v>
      </c>
      <c r="J273" t="s">
        <v>50</v>
      </c>
      <c r="K273" t="s">
        <v>50</v>
      </c>
      <c r="L273" t="s">
        <v>159</v>
      </c>
      <c r="M273" t="s">
        <v>51</v>
      </c>
      <c r="N273" t="s">
        <v>92</v>
      </c>
      <c r="O273" s="1">
        <v>41335</v>
      </c>
      <c r="P273" t="s">
        <v>84</v>
      </c>
      <c r="Q273">
        <v>1</v>
      </c>
      <c r="R273" t="s">
        <v>83</v>
      </c>
      <c r="S273">
        <v>1898.22228</v>
      </c>
      <c r="T273">
        <v>85.203000000000003</v>
      </c>
      <c r="U273" t="s">
        <v>349</v>
      </c>
      <c r="V273" t="s">
        <v>349</v>
      </c>
      <c r="W273">
        <v>161734</v>
      </c>
    </row>
    <row r="274" spans="1:23" x14ac:dyDescent="0.3">
      <c r="A274" s="1">
        <v>44287</v>
      </c>
      <c r="B274" s="1">
        <v>44287</v>
      </c>
      <c r="C274" t="s">
        <v>157</v>
      </c>
      <c r="D274" t="s">
        <v>48</v>
      </c>
      <c r="E274" t="s">
        <v>49</v>
      </c>
      <c r="F274" t="s">
        <v>286</v>
      </c>
      <c r="G274" s="53">
        <v>44323.702997685185</v>
      </c>
      <c r="H274">
        <v>33</v>
      </c>
      <c r="I274">
        <v>18700</v>
      </c>
      <c r="J274" t="s">
        <v>50</v>
      </c>
      <c r="K274" t="s">
        <v>50</v>
      </c>
      <c r="L274" t="s">
        <v>159</v>
      </c>
      <c r="M274" t="s">
        <v>51</v>
      </c>
      <c r="N274" t="s">
        <v>92</v>
      </c>
      <c r="O274" s="1">
        <v>41335</v>
      </c>
      <c r="P274" t="s">
        <v>84</v>
      </c>
      <c r="Q274">
        <v>2</v>
      </c>
      <c r="R274" t="s">
        <v>94</v>
      </c>
      <c r="S274">
        <v>6.7238790000000002</v>
      </c>
      <c r="T274">
        <v>86.819000000000003</v>
      </c>
      <c r="U274" t="s">
        <v>349</v>
      </c>
      <c r="V274" t="s">
        <v>349</v>
      </c>
      <c r="W274">
        <v>584</v>
      </c>
    </row>
    <row r="275" spans="1:23" x14ac:dyDescent="0.3">
      <c r="A275" s="1">
        <v>44287</v>
      </c>
      <c r="B275" s="1">
        <v>44287</v>
      </c>
      <c r="C275" t="s">
        <v>157</v>
      </c>
      <c r="D275" t="s">
        <v>48</v>
      </c>
      <c r="E275" t="s">
        <v>49</v>
      </c>
      <c r="F275" t="s">
        <v>286</v>
      </c>
      <c r="G275" s="53">
        <v>44323.702997685185</v>
      </c>
      <c r="H275">
        <v>33</v>
      </c>
      <c r="I275">
        <v>18700</v>
      </c>
      <c r="J275" t="s">
        <v>50</v>
      </c>
      <c r="K275" t="s">
        <v>50</v>
      </c>
      <c r="L275" t="s">
        <v>159</v>
      </c>
      <c r="M275" t="s">
        <v>51</v>
      </c>
      <c r="N275" t="s">
        <v>92</v>
      </c>
      <c r="O275" s="1">
        <v>41335</v>
      </c>
      <c r="P275" t="s">
        <v>84</v>
      </c>
      <c r="Q275">
        <v>3</v>
      </c>
      <c r="R275" t="s">
        <v>81</v>
      </c>
      <c r="S275">
        <v>210.80923799999999</v>
      </c>
      <c r="T275">
        <v>78.597999999999999</v>
      </c>
      <c r="U275" t="s">
        <v>349</v>
      </c>
      <c r="V275" t="s">
        <v>349</v>
      </c>
      <c r="W275">
        <v>16569</v>
      </c>
    </row>
    <row r="276" spans="1:23" x14ac:dyDescent="0.3">
      <c r="A276" s="1">
        <v>44287</v>
      </c>
      <c r="B276" s="1">
        <v>44287</v>
      </c>
      <c r="C276" t="s">
        <v>157</v>
      </c>
      <c r="D276" t="s">
        <v>48</v>
      </c>
      <c r="E276" t="s">
        <v>49</v>
      </c>
      <c r="F276" t="s">
        <v>286</v>
      </c>
      <c r="G276" s="53">
        <v>44323.702997685185</v>
      </c>
      <c r="H276">
        <v>33</v>
      </c>
      <c r="I276">
        <v>18700</v>
      </c>
      <c r="J276" t="s">
        <v>50</v>
      </c>
      <c r="K276" t="s">
        <v>50</v>
      </c>
      <c r="L276" t="s">
        <v>159</v>
      </c>
      <c r="M276" t="s">
        <v>51</v>
      </c>
      <c r="N276" t="s">
        <v>92</v>
      </c>
      <c r="O276" s="1">
        <v>41335</v>
      </c>
      <c r="P276" t="s">
        <v>84</v>
      </c>
      <c r="Q276">
        <v>4</v>
      </c>
      <c r="R276" t="s">
        <v>27</v>
      </c>
      <c r="S276">
        <v>2386.3591110000002</v>
      </c>
      <c r="T276">
        <v>80.213999999999999</v>
      </c>
      <c r="U276" t="s">
        <v>349</v>
      </c>
      <c r="V276" t="s">
        <v>349</v>
      </c>
      <c r="W276">
        <v>191419</v>
      </c>
    </row>
    <row r="277" spans="1:23" x14ac:dyDescent="0.3">
      <c r="A277" s="1">
        <v>44287</v>
      </c>
      <c r="B277" s="1">
        <v>44287</v>
      </c>
      <c r="C277" t="s">
        <v>157</v>
      </c>
      <c r="D277" t="s">
        <v>48</v>
      </c>
      <c r="E277" t="s">
        <v>49</v>
      </c>
      <c r="F277" t="s">
        <v>286</v>
      </c>
      <c r="G277" s="53">
        <v>44323.702997685185</v>
      </c>
      <c r="H277">
        <v>33</v>
      </c>
      <c r="I277">
        <v>18700</v>
      </c>
      <c r="J277" t="s">
        <v>50</v>
      </c>
      <c r="K277" t="s">
        <v>50</v>
      </c>
      <c r="L277" t="s">
        <v>159</v>
      </c>
      <c r="M277" t="s">
        <v>51</v>
      </c>
      <c r="N277" t="s">
        <v>92</v>
      </c>
      <c r="O277" s="1">
        <v>41335</v>
      </c>
      <c r="P277" t="s">
        <v>84</v>
      </c>
      <c r="Q277">
        <v>5</v>
      </c>
      <c r="R277" t="s">
        <v>28</v>
      </c>
      <c r="S277">
        <v>7.1214380000000004</v>
      </c>
      <c r="T277">
        <v>86.617999999999995</v>
      </c>
      <c r="U277" t="s">
        <v>349</v>
      </c>
      <c r="V277" t="s">
        <v>349</v>
      </c>
      <c r="W277">
        <v>617</v>
      </c>
    </row>
    <row r="278" spans="1:23" x14ac:dyDescent="0.3">
      <c r="B278"/>
    </row>
    <row r="279" spans="1:23" x14ac:dyDescent="0.3">
      <c r="B279"/>
    </row>
    <row r="280" spans="1:23" x14ac:dyDescent="0.3">
      <c r="B280"/>
    </row>
    <row r="281" spans="1:23" x14ac:dyDescent="0.3">
      <c r="B281"/>
    </row>
    <row r="282" spans="1:23" x14ac:dyDescent="0.3">
      <c r="B282"/>
    </row>
    <row r="283" spans="1:23" x14ac:dyDescent="0.3">
      <c r="B283"/>
    </row>
    <row r="284" spans="1:23" x14ac:dyDescent="0.3">
      <c r="B284"/>
    </row>
    <row r="285" spans="1:23" x14ac:dyDescent="0.3">
      <c r="B285"/>
    </row>
    <row r="286" spans="1:23" x14ac:dyDescent="0.3">
      <c r="B286"/>
    </row>
    <row r="287" spans="1:23" x14ac:dyDescent="0.3">
      <c r="B287"/>
    </row>
    <row r="288" spans="1:23" x14ac:dyDescent="0.3">
      <c r="B288"/>
    </row>
    <row r="289" spans="2:2" x14ac:dyDescent="0.3">
      <c r="B289"/>
    </row>
    <row r="290" spans="2:2" x14ac:dyDescent="0.3">
      <c r="B290"/>
    </row>
    <row r="291" spans="2:2" x14ac:dyDescent="0.3">
      <c r="B291"/>
    </row>
    <row r="292" spans="2:2" x14ac:dyDescent="0.3">
      <c r="B292"/>
    </row>
    <row r="293" spans="2:2" x14ac:dyDescent="0.3">
      <c r="B293"/>
    </row>
    <row r="294" spans="2:2" x14ac:dyDescent="0.3">
      <c r="B294"/>
    </row>
    <row r="295" spans="2:2" x14ac:dyDescent="0.3">
      <c r="B295"/>
    </row>
    <row r="296" spans="2:2" x14ac:dyDescent="0.3">
      <c r="B296"/>
    </row>
    <row r="297" spans="2:2" x14ac:dyDescent="0.3">
      <c r="B297"/>
    </row>
    <row r="298" spans="2:2" x14ac:dyDescent="0.3">
      <c r="B298"/>
    </row>
    <row r="299" spans="2:2" x14ac:dyDescent="0.3">
      <c r="B299"/>
    </row>
    <row r="300" spans="2:2" x14ac:dyDescent="0.3">
      <c r="B300"/>
    </row>
    <row r="301" spans="2:2" x14ac:dyDescent="0.3">
      <c r="B301"/>
    </row>
    <row r="302" spans="2:2" x14ac:dyDescent="0.3">
      <c r="B302"/>
    </row>
    <row r="303" spans="2:2" x14ac:dyDescent="0.3">
      <c r="B303"/>
    </row>
    <row r="304" spans="2:2" x14ac:dyDescent="0.3">
      <c r="B304"/>
    </row>
    <row r="305" spans="2:2" x14ac:dyDescent="0.3">
      <c r="B305"/>
    </row>
    <row r="306" spans="2:2" x14ac:dyDescent="0.3">
      <c r="B306"/>
    </row>
    <row r="307" spans="2:2" x14ac:dyDescent="0.3">
      <c r="B307"/>
    </row>
    <row r="308" spans="2:2" x14ac:dyDescent="0.3">
      <c r="B308"/>
    </row>
    <row r="309" spans="2:2" x14ac:dyDescent="0.3">
      <c r="B309"/>
    </row>
    <row r="310" spans="2:2" x14ac:dyDescent="0.3">
      <c r="B310"/>
    </row>
    <row r="311" spans="2:2" x14ac:dyDescent="0.3">
      <c r="B311"/>
    </row>
    <row r="312" spans="2:2" x14ac:dyDescent="0.3">
      <c r="B312"/>
    </row>
    <row r="313" spans="2:2" x14ac:dyDescent="0.3">
      <c r="B313"/>
    </row>
    <row r="314" spans="2:2" x14ac:dyDescent="0.3">
      <c r="B314"/>
    </row>
    <row r="315" spans="2:2" x14ac:dyDescent="0.3">
      <c r="B315"/>
    </row>
    <row r="316" spans="2:2" x14ac:dyDescent="0.3">
      <c r="B316"/>
    </row>
    <row r="317" spans="2:2" x14ac:dyDescent="0.3">
      <c r="B317"/>
    </row>
    <row r="318" spans="2:2" x14ac:dyDescent="0.3">
      <c r="B318"/>
    </row>
    <row r="319" spans="2:2" x14ac:dyDescent="0.3">
      <c r="B319"/>
    </row>
    <row r="320" spans="2:2" x14ac:dyDescent="0.3">
      <c r="B320"/>
    </row>
    <row r="321" spans="2:2" x14ac:dyDescent="0.3">
      <c r="B321"/>
    </row>
    <row r="322" spans="2:2" x14ac:dyDescent="0.3">
      <c r="B322"/>
    </row>
    <row r="323" spans="2:2" x14ac:dyDescent="0.3">
      <c r="B323"/>
    </row>
    <row r="324" spans="2:2" x14ac:dyDescent="0.3">
      <c r="B324"/>
    </row>
    <row r="325" spans="2:2" x14ac:dyDescent="0.3">
      <c r="B325"/>
    </row>
    <row r="326" spans="2:2" x14ac:dyDescent="0.3">
      <c r="B326"/>
    </row>
    <row r="327" spans="2:2" x14ac:dyDescent="0.3">
      <c r="B327"/>
    </row>
    <row r="328" spans="2:2" x14ac:dyDescent="0.3">
      <c r="B328"/>
    </row>
    <row r="329" spans="2:2" x14ac:dyDescent="0.3">
      <c r="B329"/>
    </row>
    <row r="330" spans="2:2" x14ac:dyDescent="0.3">
      <c r="B330"/>
    </row>
    <row r="331" spans="2:2" x14ac:dyDescent="0.3">
      <c r="B331"/>
    </row>
    <row r="332" spans="2:2" x14ac:dyDescent="0.3">
      <c r="B332"/>
    </row>
    <row r="333" spans="2:2" x14ac:dyDescent="0.3">
      <c r="B333"/>
    </row>
    <row r="334" spans="2:2" x14ac:dyDescent="0.3">
      <c r="B334"/>
    </row>
    <row r="335" spans="2:2" x14ac:dyDescent="0.3">
      <c r="B335"/>
    </row>
    <row r="336" spans="2:2" x14ac:dyDescent="0.3">
      <c r="B336"/>
    </row>
    <row r="337" spans="2:2" x14ac:dyDescent="0.3">
      <c r="B337"/>
    </row>
    <row r="338" spans="2:2" x14ac:dyDescent="0.3">
      <c r="B338"/>
    </row>
    <row r="339" spans="2:2" x14ac:dyDescent="0.3">
      <c r="B339"/>
    </row>
    <row r="340" spans="2:2" x14ac:dyDescent="0.3">
      <c r="B340"/>
    </row>
    <row r="341" spans="2:2" x14ac:dyDescent="0.3">
      <c r="B341"/>
    </row>
    <row r="342" spans="2:2" x14ac:dyDescent="0.3">
      <c r="B342"/>
    </row>
    <row r="343" spans="2:2" x14ac:dyDescent="0.3">
      <c r="B343"/>
    </row>
    <row r="344" spans="2:2" x14ac:dyDescent="0.3">
      <c r="B344"/>
    </row>
    <row r="345" spans="2:2" x14ac:dyDescent="0.3">
      <c r="B345"/>
    </row>
    <row r="346" spans="2:2" x14ac:dyDescent="0.3">
      <c r="B346"/>
    </row>
    <row r="347" spans="2:2" x14ac:dyDescent="0.3">
      <c r="B347"/>
    </row>
    <row r="348" spans="2:2" x14ac:dyDescent="0.3">
      <c r="B348"/>
    </row>
    <row r="349" spans="2:2" x14ac:dyDescent="0.3">
      <c r="B349"/>
    </row>
    <row r="350" spans="2:2" x14ac:dyDescent="0.3">
      <c r="B350"/>
    </row>
    <row r="351" spans="2:2" x14ac:dyDescent="0.3">
      <c r="B351"/>
    </row>
    <row r="352" spans="2:2" x14ac:dyDescent="0.3">
      <c r="B352"/>
    </row>
    <row r="353" spans="2:2" x14ac:dyDescent="0.3">
      <c r="B353"/>
    </row>
    <row r="354" spans="2:2" x14ac:dyDescent="0.3">
      <c r="B354"/>
    </row>
    <row r="355" spans="2:2" x14ac:dyDescent="0.3">
      <c r="B355"/>
    </row>
    <row r="356" spans="2:2" x14ac:dyDescent="0.3">
      <c r="B356"/>
    </row>
    <row r="357" spans="2:2" x14ac:dyDescent="0.3">
      <c r="B357"/>
    </row>
    <row r="358" spans="2:2" x14ac:dyDescent="0.3">
      <c r="B358"/>
    </row>
    <row r="359" spans="2:2" x14ac:dyDescent="0.3">
      <c r="B359"/>
    </row>
    <row r="360" spans="2:2" x14ac:dyDescent="0.3">
      <c r="B360"/>
    </row>
    <row r="361" spans="2:2" x14ac:dyDescent="0.3">
      <c r="B361"/>
    </row>
    <row r="362" spans="2:2" x14ac:dyDescent="0.3">
      <c r="B362"/>
    </row>
    <row r="363" spans="2:2" x14ac:dyDescent="0.3">
      <c r="B363"/>
    </row>
    <row r="364" spans="2:2" x14ac:dyDescent="0.3">
      <c r="B364"/>
    </row>
    <row r="365" spans="2:2" x14ac:dyDescent="0.3">
      <c r="B365"/>
    </row>
    <row r="366" spans="2:2" x14ac:dyDescent="0.3">
      <c r="B366"/>
    </row>
    <row r="367" spans="2:2" x14ac:dyDescent="0.3">
      <c r="B367"/>
    </row>
    <row r="368" spans="2:2" x14ac:dyDescent="0.3">
      <c r="B368"/>
    </row>
    <row r="369" spans="2:2" x14ac:dyDescent="0.3">
      <c r="B369"/>
    </row>
    <row r="370" spans="2:2" x14ac:dyDescent="0.3">
      <c r="B370"/>
    </row>
    <row r="371" spans="2:2" x14ac:dyDescent="0.3">
      <c r="B371"/>
    </row>
    <row r="372" spans="2:2" x14ac:dyDescent="0.3">
      <c r="B372"/>
    </row>
    <row r="373" spans="2:2" x14ac:dyDescent="0.3">
      <c r="B373"/>
    </row>
    <row r="374" spans="2:2" x14ac:dyDescent="0.3">
      <c r="B374"/>
    </row>
    <row r="375" spans="2:2" x14ac:dyDescent="0.3">
      <c r="B375"/>
    </row>
    <row r="376" spans="2:2" x14ac:dyDescent="0.3">
      <c r="B376"/>
    </row>
    <row r="377" spans="2:2" x14ac:dyDescent="0.3">
      <c r="B377"/>
    </row>
    <row r="378" spans="2:2" x14ac:dyDescent="0.3">
      <c r="B378"/>
    </row>
    <row r="379" spans="2:2" x14ac:dyDescent="0.3">
      <c r="B379"/>
    </row>
    <row r="380" spans="2:2" x14ac:dyDescent="0.3">
      <c r="B380"/>
    </row>
    <row r="381" spans="2:2" x14ac:dyDescent="0.3">
      <c r="B381"/>
    </row>
    <row r="382" spans="2:2" x14ac:dyDescent="0.3">
      <c r="B382"/>
    </row>
    <row r="383" spans="2:2" x14ac:dyDescent="0.3">
      <c r="B383"/>
    </row>
    <row r="384" spans="2:2" x14ac:dyDescent="0.3">
      <c r="B384"/>
    </row>
    <row r="385" spans="2:2" x14ac:dyDescent="0.3">
      <c r="B385"/>
    </row>
    <row r="386" spans="2:2" x14ac:dyDescent="0.3">
      <c r="B386"/>
    </row>
    <row r="387" spans="2:2" x14ac:dyDescent="0.3">
      <c r="B387"/>
    </row>
    <row r="388" spans="2:2" x14ac:dyDescent="0.3">
      <c r="B388"/>
    </row>
    <row r="389" spans="2:2" x14ac:dyDescent="0.3">
      <c r="B389"/>
    </row>
    <row r="390" spans="2:2" x14ac:dyDescent="0.3">
      <c r="B390"/>
    </row>
    <row r="391" spans="2:2" x14ac:dyDescent="0.3">
      <c r="B391"/>
    </row>
    <row r="392" spans="2:2" x14ac:dyDescent="0.3">
      <c r="B392"/>
    </row>
    <row r="393" spans="2:2" x14ac:dyDescent="0.3">
      <c r="B393"/>
    </row>
    <row r="394" spans="2:2" x14ac:dyDescent="0.3">
      <c r="B394"/>
    </row>
    <row r="395" spans="2:2" x14ac:dyDescent="0.3">
      <c r="B395"/>
    </row>
    <row r="396" spans="2:2" x14ac:dyDescent="0.3">
      <c r="B396"/>
    </row>
    <row r="397" spans="2:2" x14ac:dyDescent="0.3">
      <c r="B397"/>
    </row>
    <row r="398" spans="2:2" x14ac:dyDescent="0.3">
      <c r="B398"/>
    </row>
    <row r="399" spans="2:2" x14ac:dyDescent="0.3">
      <c r="B399"/>
    </row>
    <row r="400" spans="2:2" x14ac:dyDescent="0.3">
      <c r="B400"/>
    </row>
    <row r="401" spans="2:2" x14ac:dyDescent="0.3">
      <c r="B401"/>
    </row>
    <row r="402" spans="2:2" x14ac:dyDescent="0.3">
      <c r="B402"/>
    </row>
    <row r="403" spans="2:2" x14ac:dyDescent="0.3">
      <c r="B403"/>
    </row>
    <row r="404" spans="2:2" x14ac:dyDescent="0.3">
      <c r="B404"/>
    </row>
    <row r="405" spans="2:2" x14ac:dyDescent="0.3">
      <c r="B405"/>
    </row>
    <row r="406" spans="2:2" x14ac:dyDescent="0.3">
      <c r="B406"/>
    </row>
    <row r="407" spans="2:2" x14ac:dyDescent="0.3">
      <c r="B407"/>
    </row>
    <row r="408" spans="2:2" x14ac:dyDescent="0.3">
      <c r="B408"/>
    </row>
    <row r="409" spans="2:2" x14ac:dyDescent="0.3">
      <c r="B409"/>
    </row>
    <row r="410" spans="2:2" x14ac:dyDescent="0.3">
      <c r="B410"/>
    </row>
    <row r="411" spans="2:2" x14ac:dyDescent="0.3">
      <c r="B411"/>
    </row>
    <row r="412" spans="2:2" x14ac:dyDescent="0.3">
      <c r="B412"/>
    </row>
    <row r="413" spans="2:2" x14ac:dyDescent="0.3">
      <c r="B413"/>
    </row>
    <row r="414" spans="2:2" x14ac:dyDescent="0.3">
      <c r="B414"/>
    </row>
    <row r="415" spans="2:2" x14ac:dyDescent="0.3">
      <c r="B415"/>
    </row>
    <row r="416" spans="2:2" x14ac:dyDescent="0.3">
      <c r="B416"/>
    </row>
    <row r="417" spans="2:2" x14ac:dyDescent="0.3">
      <c r="B417"/>
    </row>
    <row r="418" spans="2:2" x14ac:dyDescent="0.3">
      <c r="B418"/>
    </row>
    <row r="419" spans="2:2" x14ac:dyDescent="0.3">
      <c r="B419"/>
    </row>
    <row r="420" spans="2:2" x14ac:dyDescent="0.3">
      <c r="B420"/>
    </row>
    <row r="421" spans="2:2" x14ac:dyDescent="0.3">
      <c r="B421"/>
    </row>
    <row r="422" spans="2:2" x14ac:dyDescent="0.3">
      <c r="B422"/>
    </row>
    <row r="423" spans="2:2" x14ac:dyDescent="0.3">
      <c r="B423"/>
    </row>
    <row r="424" spans="2:2" x14ac:dyDescent="0.3">
      <c r="B424"/>
    </row>
    <row r="425" spans="2:2" x14ac:dyDescent="0.3">
      <c r="B425"/>
    </row>
    <row r="426" spans="2:2" x14ac:dyDescent="0.3">
      <c r="B426"/>
    </row>
    <row r="427" spans="2:2" x14ac:dyDescent="0.3">
      <c r="B427"/>
    </row>
    <row r="428" spans="2:2" x14ac:dyDescent="0.3">
      <c r="B428"/>
    </row>
    <row r="429" spans="2:2" x14ac:dyDescent="0.3">
      <c r="B429"/>
    </row>
    <row r="430" spans="2:2" x14ac:dyDescent="0.3">
      <c r="B430"/>
    </row>
    <row r="431" spans="2:2" x14ac:dyDescent="0.3">
      <c r="B431"/>
    </row>
    <row r="432" spans="2:2" x14ac:dyDescent="0.3">
      <c r="B432"/>
    </row>
    <row r="433" spans="2:2" x14ac:dyDescent="0.3">
      <c r="B433"/>
    </row>
    <row r="434" spans="2:2" x14ac:dyDescent="0.3">
      <c r="B434"/>
    </row>
    <row r="435" spans="2:2" x14ac:dyDescent="0.3">
      <c r="B435"/>
    </row>
    <row r="436" spans="2:2" x14ac:dyDescent="0.3">
      <c r="B436"/>
    </row>
    <row r="437" spans="2:2" x14ac:dyDescent="0.3">
      <c r="B437"/>
    </row>
    <row r="438" spans="2:2" x14ac:dyDescent="0.3">
      <c r="B438"/>
    </row>
    <row r="439" spans="2:2" x14ac:dyDescent="0.3">
      <c r="B439"/>
    </row>
    <row r="440" spans="2:2" x14ac:dyDescent="0.3">
      <c r="B440"/>
    </row>
    <row r="441" spans="2:2" x14ac:dyDescent="0.3">
      <c r="B441"/>
    </row>
    <row r="442" spans="2:2" x14ac:dyDescent="0.3">
      <c r="B442"/>
    </row>
    <row r="443" spans="2:2" x14ac:dyDescent="0.3">
      <c r="B443"/>
    </row>
    <row r="444" spans="2:2" x14ac:dyDescent="0.3">
      <c r="B444"/>
    </row>
    <row r="445" spans="2:2" x14ac:dyDescent="0.3">
      <c r="B445"/>
    </row>
    <row r="446" spans="2:2" x14ac:dyDescent="0.3">
      <c r="B446"/>
    </row>
    <row r="447" spans="2:2" x14ac:dyDescent="0.3">
      <c r="B447"/>
    </row>
    <row r="448" spans="2:2" x14ac:dyDescent="0.3">
      <c r="B448"/>
    </row>
    <row r="449" spans="2:2" x14ac:dyDescent="0.3">
      <c r="B449"/>
    </row>
    <row r="450" spans="2:2" x14ac:dyDescent="0.3">
      <c r="B450"/>
    </row>
    <row r="451" spans="2:2" x14ac:dyDescent="0.3">
      <c r="B451"/>
    </row>
    <row r="452" spans="2:2" x14ac:dyDescent="0.3">
      <c r="B452"/>
    </row>
    <row r="453" spans="2:2" x14ac:dyDescent="0.3">
      <c r="B453"/>
    </row>
    <row r="454" spans="2:2" x14ac:dyDescent="0.3">
      <c r="B454"/>
    </row>
    <row r="455" spans="2:2" x14ac:dyDescent="0.3">
      <c r="B455"/>
    </row>
    <row r="456" spans="2:2" x14ac:dyDescent="0.3">
      <c r="B456"/>
    </row>
    <row r="457" spans="2:2" x14ac:dyDescent="0.3">
      <c r="B457"/>
    </row>
    <row r="458" spans="2:2" x14ac:dyDescent="0.3">
      <c r="B458"/>
    </row>
    <row r="459" spans="2:2" x14ac:dyDescent="0.3">
      <c r="B459"/>
    </row>
    <row r="460" spans="2:2" x14ac:dyDescent="0.3">
      <c r="B460"/>
    </row>
    <row r="461" spans="2:2" x14ac:dyDescent="0.3">
      <c r="B461"/>
    </row>
    <row r="462" spans="2:2" x14ac:dyDescent="0.3">
      <c r="B462"/>
    </row>
    <row r="463" spans="2:2" x14ac:dyDescent="0.3">
      <c r="B463"/>
    </row>
    <row r="464" spans="2:2" x14ac:dyDescent="0.3">
      <c r="B464"/>
    </row>
    <row r="465" spans="2:2" x14ac:dyDescent="0.3">
      <c r="B465"/>
    </row>
    <row r="466" spans="2:2" x14ac:dyDescent="0.3">
      <c r="B466"/>
    </row>
    <row r="467" spans="2:2" x14ac:dyDescent="0.3">
      <c r="B467"/>
    </row>
    <row r="468" spans="2:2" x14ac:dyDescent="0.3">
      <c r="B468"/>
    </row>
    <row r="469" spans="2:2" x14ac:dyDescent="0.3">
      <c r="B469"/>
    </row>
    <row r="470" spans="2:2" x14ac:dyDescent="0.3">
      <c r="B470"/>
    </row>
    <row r="471" spans="2:2" x14ac:dyDescent="0.3">
      <c r="B471"/>
    </row>
    <row r="472" spans="2:2" x14ac:dyDescent="0.3">
      <c r="B472"/>
    </row>
    <row r="473" spans="2:2" x14ac:dyDescent="0.3">
      <c r="B473"/>
    </row>
    <row r="474" spans="2:2" x14ac:dyDescent="0.3">
      <c r="B474"/>
    </row>
    <row r="475" spans="2:2" x14ac:dyDescent="0.3">
      <c r="B475"/>
    </row>
    <row r="476" spans="2:2" x14ac:dyDescent="0.3">
      <c r="B476"/>
    </row>
    <row r="477" spans="2:2" x14ac:dyDescent="0.3">
      <c r="B477"/>
    </row>
    <row r="478" spans="2:2" x14ac:dyDescent="0.3">
      <c r="B478"/>
    </row>
    <row r="479" spans="2:2" x14ac:dyDescent="0.3">
      <c r="B479"/>
    </row>
    <row r="480" spans="2:2" x14ac:dyDescent="0.3">
      <c r="B480"/>
    </row>
    <row r="481" spans="2:2" x14ac:dyDescent="0.3">
      <c r="B481"/>
    </row>
    <row r="482" spans="2:2" x14ac:dyDescent="0.3">
      <c r="B482"/>
    </row>
    <row r="483" spans="2:2" x14ac:dyDescent="0.3">
      <c r="B483"/>
    </row>
    <row r="484" spans="2:2" x14ac:dyDescent="0.3">
      <c r="B484"/>
    </row>
    <row r="485" spans="2:2" x14ac:dyDescent="0.3">
      <c r="B485"/>
    </row>
    <row r="486" spans="2:2" x14ac:dyDescent="0.3">
      <c r="B486"/>
    </row>
    <row r="487" spans="2:2" x14ac:dyDescent="0.3">
      <c r="B487"/>
    </row>
    <row r="488" spans="2:2" x14ac:dyDescent="0.3">
      <c r="B488"/>
    </row>
    <row r="489" spans="2:2" x14ac:dyDescent="0.3">
      <c r="B489"/>
    </row>
    <row r="490" spans="2:2" x14ac:dyDescent="0.3">
      <c r="B490"/>
    </row>
    <row r="491" spans="2:2" x14ac:dyDescent="0.3">
      <c r="B491"/>
    </row>
    <row r="492" spans="2:2" x14ac:dyDescent="0.3">
      <c r="B492"/>
    </row>
    <row r="493" spans="2:2" x14ac:dyDescent="0.3">
      <c r="B493"/>
    </row>
    <row r="494" spans="2:2" x14ac:dyDescent="0.3">
      <c r="B494"/>
    </row>
    <row r="495" spans="2:2" x14ac:dyDescent="0.3">
      <c r="B495"/>
    </row>
    <row r="496" spans="2:2" x14ac:dyDescent="0.3">
      <c r="B496"/>
    </row>
    <row r="497" spans="2:2" x14ac:dyDescent="0.3">
      <c r="B497"/>
    </row>
    <row r="498" spans="2:2" x14ac:dyDescent="0.3">
      <c r="B498"/>
    </row>
    <row r="499" spans="2:2" x14ac:dyDescent="0.3">
      <c r="B499"/>
    </row>
    <row r="500" spans="2:2" x14ac:dyDescent="0.3">
      <c r="B500"/>
    </row>
    <row r="501" spans="2:2" x14ac:dyDescent="0.3">
      <c r="B501"/>
    </row>
    <row r="502" spans="2:2" x14ac:dyDescent="0.3">
      <c r="B502"/>
    </row>
    <row r="503" spans="2:2" x14ac:dyDescent="0.3">
      <c r="B503"/>
    </row>
    <row r="504" spans="2:2" x14ac:dyDescent="0.3">
      <c r="B504"/>
    </row>
    <row r="505" spans="2:2" x14ac:dyDescent="0.3">
      <c r="B505"/>
    </row>
    <row r="506" spans="2:2" x14ac:dyDescent="0.3">
      <c r="B506"/>
    </row>
    <row r="507" spans="2:2" x14ac:dyDescent="0.3">
      <c r="B507"/>
    </row>
    <row r="508" spans="2:2" x14ac:dyDescent="0.3">
      <c r="B508"/>
    </row>
    <row r="509" spans="2:2" x14ac:dyDescent="0.3">
      <c r="B509"/>
    </row>
    <row r="510" spans="2:2" x14ac:dyDescent="0.3">
      <c r="B510"/>
    </row>
    <row r="511" spans="2:2" x14ac:dyDescent="0.3">
      <c r="B511"/>
    </row>
    <row r="512" spans="2:2" x14ac:dyDescent="0.3">
      <c r="B512"/>
    </row>
    <row r="513" spans="2:2" x14ac:dyDescent="0.3">
      <c r="B513"/>
    </row>
    <row r="514" spans="2:2" x14ac:dyDescent="0.3">
      <c r="B514"/>
    </row>
    <row r="515" spans="2:2" x14ac:dyDescent="0.3">
      <c r="B515"/>
    </row>
    <row r="516" spans="2:2" x14ac:dyDescent="0.3">
      <c r="B516"/>
    </row>
    <row r="517" spans="2:2" x14ac:dyDescent="0.3">
      <c r="B517"/>
    </row>
    <row r="518" spans="2:2" x14ac:dyDescent="0.3">
      <c r="B518"/>
    </row>
    <row r="519" spans="2:2" x14ac:dyDescent="0.3">
      <c r="B519"/>
    </row>
    <row r="520" spans="2:2" x14ac:dyDescent="0.3">
      <c r="B520"/>
    </row>
    <row r="521" spans="2:2" x14ac:dyDescent="0.3">
      <c r="B521"/>
    </row>
    <row r="522" spans="2:2" x14ac:dyDescent="0.3">
      <c r="B522"/>
    </row>
    <row r="523" spans="2:2" x14ac:dyDescent="0.3">
      <c r="B523"/>
    </row>
    <row r="524" spans="2:2" x14ac:dyDescent="0.3">
      <c r="B524"/>
    </row>
    <row r="525" spans="2:2" x14ac:dyDescent="0.3">
      <c r="B525"/>
    </row>
    <row r="526" spans="2:2" x14ac:dyDescent="0.3">
      <c r="B526"/>
    </row>
    <row r="527" spans="2:2" x14ac:dyDescent="0.3">
      <c r="B527"/>
    </row>
    <row r="528" spans="2:2" x14ac:dyDescent="0.3">
      <c r="B528"/>
    </row>
    <row r="529" spans="2:2" x14ac:dyDescent="0.3">
      <c r="B529"/>
    </row>
    <row r="530" spans="2:2" x14ac:dyDescent="0.3">
      <c r="B530"/>
    </row>
    <row r="531" spans="2:2" x14ac:dyDescent="0.3">
      <c r="B531"/>
    </row>
    <row r="532" spans="2:2" x14ac:dyDescent="0.3">
      <c r="B532"/>
    </row>
    <row r="533" spans="2:2" x14ac:dyDescent="0.3">
      <c r="B533"/>
    </row>
    <row r="534" spans="2:2" x14ac:dyDescent="0.3">
      <c r="B534"/>
    </row>
    <row r="535" spans="2:2" x14ac:dyDescent="0.3">
      <c r="B535"/>
    </row>
    <row r="536" spans="2:2" x14ac:dyDescent="0.3">
      <c r="B536"/>
    </row>
    <row r="537" spans="2:2" x14ac:dyDescent="0.3">
      <c r="B537"/>
    </row>
    <row r="538" spans="2:2" x14ac:dyDescent="0.3">
      <c r="B538"/>
    </row>
    <row r="539" spans="2:2" x14ac:dyDescent="0.3">
      <c r="B539"/>
    </row>
    <row r="540" spans="2:2" x14ac:dyDescent="0.3">
      <c r="B540"/>
    </row>
    <row r="541" spans="2:2" x14ac:dyDescent="0.3">
      <c r="B541"/>
    </row>
    <row r="542" spans="2:2" x14ac:dyDescent="0.3">
      <c r="B542"/>
    </row>
    <row r="543" spans="2:2" x14ac:dyDescent="0.3">
      <c r="B543"/>
    </row>
    <row r="544" spans="2:2" x14ac:dyDescent="0.3">
      <c r="B544"/>
    </row>
    <row r="545" spans="2:2" x14ac:dyDescent="0.3">
      <c r="B545"/>
    </row>
    <row r="546" spans="2:2" x14ac:dyDescent="0.3">
      <c r="B546"/>
    </row>
    <row r="547" spans="2:2" x14ac:dyDescent="0.3">
      <c r="B547"/>
    </row>
    <row r="548" spans="2:2" x14ac:dyDescent="0.3">
      <c r="B548"/>
    </row>
    <row r="549" spans="2:2" x14ac:dyDescent="0.3">
      <c r="B549"/>
    </row>
    <row r="550" spans="2:2" x14ac:dyDescent="0.3">
      <c r="B550"/>
    </row>
    <row r="551" spans="2:2" x14ac:dyDescent="0.3">
      <c r="B551"/>
    </row>
    <row r="552" spans="2:2" x14ac:dyDescent="0.3">
      <c r="B552"/>
    </row>
    <row r="553" spans="2:2" x14ac:dyDescent="0.3">
      <c r="B553"/>
    </row>
    <row r="554" spans="2:2" x14ac:dyDescent="0.3">
      <c r="B554"/>
    </row>
    <row r="555" spans="2:2" x14ac:dyDescent="0.3">
      <c r="B555"/>
    </row>
    <row r="556" spans="2:2" x14ac:dyDescent="0.3">
      <c r="B556"/>
    </row>
    <row r="557" spans="2:2" x14ac:dyDescent="0.3">
      <c r="B557"/>
    </row>
    <row r="558" spans="2:2" x14ac:dyDescent="0.3">
      <c r="B558"/>
    </row>
    <row r="559" spans="2:2" x14ac:dyDescent="0.3">
      <c r="B559"/>
    </row>
    <row r="560" spans="2:2" x14ac:dyDescent="0.3">
      <c r="B560"/>
    </row>
    <row r="561" spans="2:2" x14ac:dyDescent="0.3">
      <c r="B561"/>
    </row>
    <row r="562" spans="2:2" x14ac:dyDescent="0.3">
      <c r="B562"/>
    </row>
    <row r="563" spans="2:2" x14ac:dyDescent="0.3">
      <c r="B563"/>
    </row>
    <row r="564" spans="2:2" x14ac:dyDescent="0.3">
      <c r="B564"/>
    </row>
    <row r="565" spans="2:2" x14ac:dyDescent="0.3">
      <c r="B565"/>
    </row>
    <row r="566" spans="2:2" x14ac:dyDescent="0.3">
      <c r="B566"/>
    </row>
    <row r="567" spans="2:2" x14ac:dyDescent="0.3">
      <c r="B567"/>
    </row>
    <row r="568" spans="2:2" x14ac:dyDescent="0.3">
      <c r="B568"/>
    </row>
    <row r="569" spans="2:2" x14ac:dyDescent="0.3">
      <c r="B569"/>
    </row>
    <row r="570" spans="2:2" x14ac:dyDescent="0.3">
      <c r="B570"/>
    </row>
    <row r="571" spans="2:2" x14ac:dyDescent="0.3">
      <c r="B571"/>
    </row>
    <row r="572" spans="2:2" x14ac:dyDescent="0.3">
      <c r="B572"/>
    </row>
    <row r="573" spans="2:2" x14ac:dyDescent="0.3">
      <c r="B573"/>
    </row>
    <row r="574" spans="2:2" x14ac:dyDescent="0.3">
      <c r="B574"/>
    </row>
    <row r="575" spans="2:2" x14ac:dyDescent="0.3">
      <c r="B575"/>
    </row>
    <row r="576" spans="2:2" x14ac:dyDescent="0.3">
      <c r="B576"/>
    </row>
    <row r="577" spans="2:2" x14ac:dyDescent="0.3">
      <c r="B577"/>
    </row>
    <row r="578" spans="2:2" x14ac:dyDescent="0.3">
      <c r="B578"/>
    </row>
    <row r="579" spans="2:2" x14ac:dyDescent="0.3">
      <c r="B579"/>
    </row>
    <row r="580" spans="2:2" x14ac:dyDescent="0.3">
      <c r="B580"/>
    </row>
    <row r="581" spans="2:2" x14ac:dyDescent="0.3">
      <c r="B581"/>
    </row>
    <row r="582" spans="2:2" x14ac:dyDescent="0.3">
      <c r="B582"/>
    </row>
    <row r="583" spans="2:2" x14ac:dyDescent="0.3">
      <c r="B583"/>
    </row>
    <row r="584" spans="2:2" x14ac:dyDescent="0.3">
      <c r="B584"/>
    </row>
    <row r="585" spans="2:2" x14ac:dyDescent="0.3">
      <c r="B585"/>
    </row>
    <row r="586" spans="2:2" x14ac:dyDescent="0.3">
      <c r="B586"/>
    </row>
    <row r="587" spans="2:2" x14ac:dyDescent="0.3">
      <c r="B587"/>
    </row>
    <row r="588" spans="2:2" x14ac:dyDescent="0.3">
      <c r="B588"/>
    </row>
    <row r="589" spans="2:2" x14ac:dyDescent="0.3">
      <c r="B589"/>
    </row>
    <row r="590" spans="2:2" x14ac:dyDescent="0.3">
      <c r="B590"/>
    </row>
    <row r="591" spans="2:2" x14ac:dyDescent="0.3">
      <c r="B591"/>
    </row>
    <row r="592" spans="2:2" x14ac:dyDescent="0.3">
      <c r="B592"/>
    </row>
    <row r="593" spans="2:2" x14ac:dyDescent="0.3">
      <c r="B593"/>
    </row>
    <row r="594" spans="2:2" x14ac:dyDescent="0.3">
      <c r="B594"/>
    </row>
    <row r="595" spans="2:2" x14ac:dyDescent="0.3">
      <c r="B595"/>
    </row>
    <row r="596" spans="2:2" x14ac:dyDescent="0.3">
      <c r="B596"/>
    </row>
    <row r="597" spans="2:2" x14ac:dyDescent="0.3">
      <c r="B597"/>
    </row>
    <row r="598" spans="2:2" x14ac:dyDescent="0.3">
      <c r="B598"/>
    </row>
    <row r="599" spans="2:2" x14ac:dyDescent="0.3">
      <c r="B599"/>
    </row>
    <row r="600" spans="2:2" x14ac:dyDescent="0.3">
      <c r="B600"/>
    </row>
    <row r="601" spans="2:2" x14ac:dyDescent="0.3">
      <c r="B601"/>
    </row>
    <row r="602" spans="2:2" x14ac:dyDescent="0.3">
      <c r="B602"/>
    </row>
    <row r="603" spans="2:2" x14ac:dyDescent="0.3">
      <c r="B603"/>
    </row>
    <row r="604" spans="2:2" x14ac:dyDescent="0.3">
      <c r="B604"/>
    </row>
    <row r="605" spans="2:2" x14ac:dyDescent="0.3">
      <c r="B605"/>
    </row>
    <row r="606" spans="2:2" x14ac:dyDescent="0.3">
      <c r="B606"/>
    </row>
    <row r="607" spans="2:2" x14ac:dyDescent="0.3">
      <c r="B607"/>
    </row>
    <row r="608" spans="2:2" x14ac:dyDescent="0.3">
      <c r="B608"/>
    </row>
    <row r="609" spans="2:2" x14ac:dyDescent="0.3">
      <c r="B609"/>
    </row>
    <row r="610" spans="2:2" x14ac:dyDescent="0.3">
      <c r="B610"/>
    </row>
    <row r="611" spans="2:2" x14ac:dyDescent="0.3">
      <c r="B611"/>
    </row>
    <row r="612" spans="2:2" x14ac:dyDescent="0.3">
      <c r="B612"/>
    </row>
    <row r="613" spans="2:2" x14ac:dyDescent="0.3">
      <c r="B613"/>
    </row>
    <row r="614" spans="2:2" x14ac:dyDescent="0.3">
      <c r="B614"/>
    </row>
    <row r="615" spans="2:2" x14ac:dyDescent="0.3">
      <c r="B615"/>
    </row>
    <row r="616" spans="2:2" x14ac:dyDescent="0.3">
      <c r="B616"/>
    </row>
    <row r="617" spans="2:2" x14ac:dyDescent="0.3">
      <c r="B617"/>
    </row>
    <row r="618" spans="2:2" x14ac:dyDescent="0.3">
      <c r="B618"/>
    </row>
    <row r="619" spans="2:2" x14ac:dyDescent="0.3">
      <c r="B619"/>
    </row>
    <row r="620" spans="2:2" x14ac:dyDescent="0.3">
      <c r="B620"/>
    </row>
    <row r="621" spans="2:2" x14ac:dyDescent="0.3">
      <c r="B621"/>
    </row>
    <row r="622" spans="2:2" x14ac:dyDescent="0.3">
      <c r="B622"/>
    </row>
    <row r="623" spans="2:2" x14ac:dyDescent="0.3">
      <c r="B623"/>
    </row>
    <row r="624" spans="2:2" x14ac:dyDescent="0.3">
      <c r="B624"/>
    </row>
    <row r="625" spans="2:2" x14ac:dyDescent="0.3">
      <c r="B625"/>
    </row>
    <row r="626" spans="2:2" x14ac:dyDescent="0.3">
      <c r="B626"/>
    </row>
    <row r="627" spans="2:2" x14ac:dyDescent="0.3">
      <c r="B627"/>
    </row>
    <row r="628" spans="2:2" x14ac:dyDescent="0.3">
      <c r="B628"/>
    </row>
    <row r="629" spans="2:2" x14ac:dyDescent="0.3">
      <c r="B629"/>
    </row>
    <row r="630" spans="2:2" x14ac:dyDescent="0.3">
      <c r="B630"/>
    </row>
    <row r="631" spans="2:2" x14ac:dyDescent="0.3">
      <c r="B631"/>
    </row>
    <row r="632" spans="2:2" x14ac:dyDescent="0.3">
      <c r="B632"/>
    </row>
    <row r="633" spans="2:2" x14ac:dyDescent="0.3">
      <c r="B633"/>
    </row>
    <row r="634" spans="2:2" x14ac:dyDescent="0.3">
      <c r="B634"/>
    </row>
    <row r="635" spans="2:2" x14ac:dyDescent="0.3">
      <c r="B635"/>
    </row>
    <row r="636" spans="2:2" x14ac:dyDescent="0.3">
      <c r="B636"/>
    </row>
    <row r="637" spans="2:2" x14ac:dyDescent="0.3">
      <c r="B637"/>
    </row>
    <row r="638" spans="2:2" x14ac:dyDescent="0.3">
      <c r="B638"/>
    </row>
    <row r="639" spans="2:2" x14ac:dyDescent="0.3">
      <c r="B639"/>
    </row>
    <row r="640" spans="2:2" x14ac:dyDescent="0.3">
      <c r="B640"/>
    </row>
    <row r="641" spans="2:2" x14ac:dyDescent="0.3">
      <c r="B641"/>
    </row>
    <row r="642" spans="2:2" x14ac:dyDescent="0.3">
      <c r="B642"/>
    </row>
    <row r="643" spans="2:2" x14ac:dyDescent="0.3">
      <c r="B643"/>
    </row>
    <row r="644" spans="2:2" x14ac:dyDescent="0.3">
      <c r="B644"/>
    </row>
    <row r="645" spans="2:2" x14ac:dyDescent="0.3">
      <c r="B645"/>
    </row>
    <row r="646" spans="2:2" x14ac:dyDescent="0.3">
      <c r="B646"/>
    </row>
    <row r="647" spans="2:2" x14ac:dyDescent="0.3">
      <c r="B647"/>
    </row>
    <row r="648" spans="2:2" x14ac:dyDescent="0.3">
      <c r="B648"/>
    </row>
    <row r="649" spans="2:2" x14ac:dyDescent="0.3">
      <c r="B649"/>
    </row>
    <row r="650" spans="2:2" x14ac:dyDescent="0.3">
      <c r="B650"/>
    </row>
    <row r="651" spans="2:2" x14ac:dyDescent="0.3">
      <c r="B651"/>
    </row>
    <row r="652" spans="2:2" x14ac:dyDescent="0.3">
      <c r="B652"/>
    </row>
    <row r="653" spans="2:2" x14ac:dyDescent="0.3">
      <c r="B653"/>
    </row>
    <row r="654" spans="2:2" x14ac:dyDescent="0.3">
      <c r="B654"/>
    </row>
    <row r="655" spans="2:2" x14ac:dyDescent="0.3">
      <c r="B655"/>
    </row>
    <row r="656" spans="2:2" x14ac:dyDescent="0.3">
      <c r="B656"/>
    </row>
    <row r="657" spans="2:2" x14ac:dyDescent="0.3">
      <c r="B657"/>
    </row>
    <row r="658" spans="2:2" x14ac:dyDescent="0.3">
      <c r="B658"/>
    </row>
    <row r="659" spans="2:2" x14ac:dyDescent="0.3">
      <c r="B659"/>
    </row>
    <row r="660" spans="2:2" x14ac:dyDescent="0.3">
      <c r="B660"/>
    </row>
    <row r="661" spans="2:2" x14ac:dyDescent="0.3">
      <c r="B661"/>
    </row>
    <row r="662" spans="2:2" x14ac:dyDescent="0.3">
      <c r="B662"/>
    </row>
    <row r="663" spans="2:2" x14ac:dyDescent="0.3">
      <c r="B663"/>
    </row>
    <row r="664" spans="2:2" x14ac:dyDescent="0.3">
      <c r="B664"/>
    </row>
    <row r="665" spans="2:2" x14ac:dyDescent="0.3">
      <c r="B665"/>
    </row>
    <row r="666" spans="2:2" x14ac:dyDescent="0.3">
      <c r="B666"/>
    </row>
    <row r="667" spans="2:2" x14ac:dyDescent="0.3">
      <c r="B667"/>
    </row>
    <row r="668" spans="2:2" x14ac:dyDescent="0.3">
      <c r="B668"/>
    </row>
    <row r="669" spans="2:2" x14ac:dyDescent="0.3">
      <c r="B669"/>
    </row>
    <row r="670" spans="2:2" x14ac:dyDescent="0.3">
      <c r="B670"/>
    </row>
    <row r="671" spans="2:2" x14ac:dyDescent="0.3">
      <c r="B671"/>
    </row>
    <row r="672" spans="2:2" x14ac:dyDescent="0.3">
      <c r="B672"/>
    </row>
    <row r="673" spans="2:2" x14ac:dyDescent="0.3">
      <c r="B673"/>
    </row>
    <row r="674" spans="2:2" x14ac:dyDescent="0.3">
      <c r="B674"/>
    </row>
    <row r="675" spans="2:2" x14ac:dyDescent="0.3">
      <c r="B675"/>
    </row>
    <row r="676" spans="2:2" x14ac:dyDescent="0.3">
      <c r="B676"/>
    </row>
    <row r="677" spans="2:2" x14ac:dyDescent="0.3">
      <c r="B677"/>
    </row>
    <row r="678" spans="2:2" x14ac:dyDescent="0.3">
      <c r="B678"/>
    </row>
    <row r="679" spans="2:2" x14ac:dyDescent="0.3">
      <c r="B679"/>
    </row>
    <row r="680" spans="2:2" x14ac:dyDescent="0.3">
      <c r="B680"/>
    </row>
    <row r="681" spans="2:2" x14ac:dyDescent="0.3">
      <c r="B681"/>
    </row>
    <row r="682" spans="2:2" x14ac:dyDescent="0.3">
      <c r="B682"/>
    </row>
    <row r="683" spans="2:2" x14ac:dyDescent="0.3">
      <c r="B683"/>
    </row>
    <row r="684" spans="2:2" x14ac:dyDescent="0.3">
      <c r="B684"/>
    </row>
    <row r="685" spans="2:2" x14ac:dyDescent="0.3">
      <c r="B685"/>
    </row>
    <row r="686" spans="2:2" x14ac:dyDescent="0.3">
      <c r="B686"/>
    </row>
    <row r="687" spans="2:2" x14ac:dyDescent="0.3">
      <c r="B687"/>
    </row>
    <row r="688" spans="2:2" x14ac:dyDescent="0.3">
      <c r="B688"/>
    </row>
    <row r="689" spans="2:2" x14ac:dyDescent="0.3">
      <c r="B689"/>
    </row>
    <row r="690" spans="2:2" x14ac:dyDescent="0.3">
      <c r="B690"/>
    </row>
    <row r="691" spans="2:2" x14ac:dyDescent="0.3">
      <c r="B691"/>
    </row>
    <row r="692" spans="2:2" x14ac:dyDescent="0.3">
      <c r="B692"/>
    </row>
    <row r="693" spans="2:2" x14ac:dyDescent="0.3">
      <c r="B693"/>
    </row>
    <row r="694" spans="2:2" x14ac:dyDescent="0.3">
      <c r="B694"/>
    </row>
    <row r="695" spans="2:2" x14ac:dyDescent="0.3">
      <c r="B695"/>
    </row>
    <row r="696" spans="2:2" x14ac:dyDescent="0.3">
      <c r="B696"/>
    </row>
    <row r="697" spans="2:2" x14ac:dyDescent="0.3">
      <c r="B697"/>
    </row>
    <row r="698" spans="2:2" x14ac:dyDescent="0.3">
      <c r="B698"/>
    </row>
    <row r="699" spans="2:2" x14ac:dyDescent="0.3">
      <c r="B699"/>
    </row>
    <row r="700" spans="2:2" x14ac:dyDescent="0.3">
      <c r="B700"/>
    </row>
    <row r="701" spans="2:2" x14ac:dyDescent="0.3">
      <c r="B701"/>
    </row>
    <row r="702" spans="2:2" x14ac:dyDescent="0.3">
      <c r="B702"/>
    </row>
    <row r="703" spans="2:2" x14ac:dyDescent="0.3">
      <c r="B703"/>
    </row>
    <row r="704" spans="2:2" x14ac:dyDescent="0.3">
      <c r="B704"/>
    </row>
    <row r="705" spans="2:2" x14ac:dyDescent="0.3">
      <c r="B705"/>
    </row>
    <row r="706" spans="2:2" x14ac:dyDescent="0.3">
      <c r="B706"/>
    </row>
    <row r="707" spans="2:2" x14ac:dyDescent="0.3">
      <c r="B707"/>
    </row>
    <row r="708" spans="2:2" x14ac:dyDescent="0.3">
      <c r="B708"/>
    </row>
    <row r="709" spans="2:2" x14ac:dyDescent="0.3">
      <c r="B709"/>
    </row>
    <row r="710" spans="2:2" x14ac:dyDescent="0.3">
      <c r="B710"/>
    </row>
    <row r="711" spans="2:2" x14ac:dyDescent="0.3">
      <c r="B711"/>
    </row>
    <row r="712" spans="2:2" x14ac:dyDescent="0.3">
      <c r="B712"/>
    </row>
    <row r="713" spans="2:2" x14ac:dyDescent="0.3">
      <c r="B713"/>
    </row>
    <row r="714" spans="2:2" x14ac:dyDescent="0.3">
      <c r="B714"/>
    </row>
    <row r="715" spans="2:2" x14ac:dyDescent="0.3">
      <c r="B715"/>
    </row>
    <row r="716" spans="2:2" x14ac:dyDescent="0.3">
      <c r="B716"/>
    </row>
    <row r="717" spans="2:2" x14ac:dyDescent="0.3">
      <c r="B717"/>
    </row>
    <row r="718" spans="2:2" x14ac:dyDescent="0.3">
      <c r="B718"/>
    </row>
    <row r="719" spans="2:2" x14ac:dyDescent="0.3">
      <c r="B719"/>
    </row>
    <row r="720" spans="2:2" x14ac:dyDescent="0.3">
      <c r="B720"/>
    </row>
    <row r="721" spans="2:2" x14ac:dyDescent="0.3">
      <c r="B721"/>
    </row>
    <row r="722" spans="2:2" x14ac:dyDescent="0.3">
      <c r="B722"/>
    </row>
    <row r="723" spans="2:2" x14ac:dyDescent="0.3">
      <c r="B723"/>
    </row>
    <row r="724" spans="2:2" x14ac:dyDescent="0.3">
      <c r="B724"/>
    </row>
    <row r="725" spans="2:2" x14ac:dyDescent="0.3">
      <c r="B725"/>
    </row>
    <row r="726" spans="2:2" x14ac:dyDescent="0.3">
      <c r="B726"/>
    </row>
    <row r="727" spans="2:2" x14ac:dyDescent="0.3">
      <c r="B727"/>
    </row>
    <row r="728" spans="2:2" x14ac:dyDescent="0.3">
      <c r="B728"/>
    </row>
    <row r="729" spans="2:2" x14ac:dyDescent="0.3">
      <c r="B729"/>
    </row>
    <row r="730" spans="2:2" x14ac:dyDescent="0.3">
      <c r="B730"/>
    </row>
    <row r="731" spans="2:2" x14ac:dyDescent="0.3">
      <c r="B731"/>
    </row>
    <row r="732" spans="2:2" x14ac:dyDescent="0.3">
      <c r="B732"/>
    </row>
    <row r="733" spans="2:2" x14ac:dyDescent="0.3">
      <c r="B733"/>
    </row>
    <row r="734" spans="2:2" x14ac:dyDescent="0.3">
      <c r="B734"/>
    </row>
    <row r="735" spans="2:2" x14ac:dyDescent="0.3">
      <c r="B73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735"/>
  <sheetViews>
    <sheetView zoomScale="60" zoomScaleNormal="60" workbookViewId="0">
      <selection activeCell="T5" sqref="T5"/>
    </sheetView>
  </sheetViews>
  <sheetFormatPr baseColWidth="10" defaultRowHeight="14.4" x14ac:dyDescent="0.3"/>
  <cols>
    <col min="1" max="1" width="12" customWidth="1"/>
    <col min="2" max="2" width="21.109375" style="1" bestFit="1" customWidth="1"/>
    <col min="3" max="3" width="45.88671875" bestFit="1" customWidth="1"/>
    <col min="4" max="4" width="39.109375" bestFit="1" customWidth="1"/>
    <col min="5" max="5" width="15.88671875" bestFit="1" customWidth="1"/>
    <col min="6" max="6" width="65.44140625" bestFit="1" customWidth="1"/>
    <col min="7" max="7" width="18.33203125" bestFit="1" customWidth="1"/>
    <col min="8" max="8" width="21.88671875" bestFit="1" customWidth="1"/>
    <col min="9" max="9" width="8.44140625" bestFit="1" customWidth="1"/>
    <col min="10" max="10" width="13.44140625" bestFit="1" customWidth="1"/>
    <col min="11" max="11" width="15.5546875" bestFit="1" customWidth="1"/>
    <col min="12" max="12" width="10.5546875" bestFit="1" customWidth="1"/>
    <col min="13" max="13" width="12.5546875" bestFit="1" customWidth="1"/>
    <col min="14" max="14" width="16.109375" bestFit="1" customWidth="1"/>
    <col min="15" max="15" width="14" bestFit="1" customWidth="1"/>
    <col min="16" max="16" width="21.88671875" bestFit="1" customWidth="1"/>
    <col min="17" max="17" width="7.5546875" bestFit="1" customWidth="1"/>
    <col min="18" max="18" width="17" bestFit="1" customWidth="1"/>
    <col min="19" max="19" width="11.109375" bestFit="1" customWidth="1"/>
    <col min="20" max="20" width="19.109375" bestFit="1" customWidth="1"/>
    <col min="21" max="21" width="13" bestFit="1" customWidth="1"/>
    <col min="22" max="22" width="21.33203125" bestFit="1" customWidth="1"/>
    <col min="23" max="23" width="10.109375" bestFit="1" customWidth="1"/>
  </cols>
  <sheetData>
    <row r="1" spans="1:23" s="2" customFormat="1" x14ac:dyDescent="0.3">
      <c r="A1" s="34" t="s">
        <v>29</v>
      </c>
      <c r="B1" s="34" t="s">
        <v>1</v>
      </c>
      <c r="C1" s="34" t="s">
        <v>30</v>
      </c>
      <c r="D1" s="34" t="s">
        <v>34</v>
      </c>
      <c r="E1" s="34" t="s">
        <v>35</v>
      </c>
      <c r="F1" s="34" t="s">
        <v>36</v>
      </c>
      <c r="G1" s="34" t="s">
        <v>37</v>
      </c>
      <c r="H1" s="34" t="s">
        <v>38</v>
      </c>
      <c r="I1" s="34" t="s">
        <v>39</v>
      </c>
      <c r="J1" s="34" t="s">
        <v>40</v>
      </c>
      <c r="K1" s="34" t="s">
        <v>41</v>
      </c>
      <c r="L1" s="34" t="s">
        <v>42</v>
      </c>
      <c r="M1" s="34" t="s">
        <v>43</v>
      </c>
      <c r="N1" s="34" t="s">
        <v>44</v>
      </c>
      <c r="O1" s="34" t="s">
        <v>45</v>
      </c>
      <c r="P1" s="34" t="s">
        <v>46</v>
      </c>
      <c r="Q1" s="34" t="s">
        <v>31</v>
      </c>
      <c r="R1" s="34" t="s">
        <v>32</v>
      </c>
      <c r="S1" s="34" t="s">
        <v>18</v>
      </c>
      <c r="T1" s="34" t="s">
        <v>19</v>
      </c>
      <c r="U1" s="34" t="s">
        <v>21</v>
      </c>
      <c r="V1" s="2" t="s">
        <v>22</v>
      </c>
      <c r="W1" s="2" t="s">
        <v>33</v>
      </c>
    </row>
    <row r="2" spans="1:23" x14ac:dyDescent="0.3">
      <c r="A2" s="1">
        <v>43556</v>
      </c>
      <c r="B2" s="1">
        <v>43556</v>
      </c>
      <c r="C2" t="s">
        <v>157</v>
      </c>
      <c r="D2" t="s">
        <v>54</v>
      </c>
      <c r="E2" t="s">
        <v>21</v>
      </c>
      <c r="F2" t="s">
        <v>170</v>
      </c>
      <c r="G2" s="53">
        <v>43598</v>
      </c>
      <c r="H2">
        <v>33</v>
      </c>
      <c r="I2">
        <v>8451</v>
      </c>
      <c r="J2" t="s">
        <v>50</v>
      </c>
      <c r="K2" t="s">
        <v>50</v>
      </c>
      <c r="L2" t="s">
        <v>159</v>
      </c>
      <c r="M2" t="s">
        <v>51</v>
      </c>
      <c r="N2" t="s">
        <v>92</v>
      </c>
      <c r="O2" s="1">
        <v>41335</v>
      </c>
      <c r="P2" t="s">
        <v>84</v>
      </c>
      <c r="Q2">
        <v>1</v>
      </c>
      <c r="R2" t="s">
        <v>83</v>
      </c>
      <c r="S2" t="s">
        <v>349</v>
      </c>
      <c r="T2" t="s">
        <v>349</v>
      </c>
      <c r="U2">
        <v>0</v>
      </c>
      <c r="V2">
        <v>0</v>
      </c>
      <c r="W2">
        <v>0</v>
      </c>
    </row>
    <row r="3" spans="1:23" x14ac:dyDescent="0.3">
      <c r="A3" s="1">
        <v>43556</v>
      </c>
      <c r="B3" s="1">
        <v>43556</v>
      </c>
      <c r="C3" t="s">
        <v>157</v>
      </c>
      <c r="D3" t="s">
        <v>54</v>
      </c>
      <c r="E3" t="s">
        <v>21</v>
      </c>
      <c r="F3" t="s">
        <v>170</v>
      </c>
      <c r="G3" s="53">
        <v>43598</v>
      </c>
      <c r="H3">
        <v>33</v>
      </c>
      <c r="I3">
        <v>8451</v>
      </c>
      <c r="J3" t="s">
        <v>50</v>
      </c>
      <c r="K3" t="s">
        <v>50</v>
      </c>
      <c r="L3" t="s">
        <v>159</v>
      </c>
      <c r="M3" t="s">
        <v>51</v>
      </c>
      <c r="N3" t="s">
        <v>92</v>
      </c>
      <c r="O3" s="1">
        <v>41335</v>
      </c>
      <c r="P3" t="s">
        <v>84</v>
      </c>
      <c r="Q3">
        <v>2</v>
      </c>
      <c r="R3" t="s">
        <v>94</v>
      </c>
      <c r="S3" t="s">
        <v>349</v>
      </c>
      <c r="T3" t="s">
        <v>349</v>
      </c>
      <c r="U3">
        <v>0</v>
      </c>
      <c r="V3">
        <v>0</v>
      </c>
      <c r="W3">
        <v>0</v>
      </c>
    </row>
    <row r="4" spans="1:23" x14ac:dyDescent="0.3">
      <c r="A4" s="1">
        <v>43556</v>
      </c>
      <c r="B4" s="1">
        <v>43556</v>
      </c>
      <c r="C4" t="s">
        <v>157</v>
      </c>
      <c r="D4" t="s">
        <v>54</v>
      </c>
      <c r="E4" t="s">
        <v>21</v>
      </c>
      <c r="F4" t="s">
        <v>170</v>
      </c>
      <c r="G4" s="53">
        <v>43598</v>
      </c>
      <c r="H4">
        <v>33</v>
      </c>
      <c r="I4">
        <v>8451</v>
      </c>
      <c r="J4" t="s">
        <v>50</v>
      </c>
      <c r="K4" t="s">
        <v>50</v>
      </c>
      <c r="L4" t="s">
        <v>159</v>
      </c>
      <c r="M4" t="s">
        <v>51</v>
      </c>
      <c r="N4" t="s">
        <v>92</v>
      </c>
      <c r="O4" s="1">
        <v>41335</v>
      </c>
      <c r="P4" t="s">
        <v>84</v>
      </c>
      <c r="Q4">
        <v>3</v>
      </c>
      <c r="R4" t="s">
        <v>81</v>
      </c>
      <c r="S4" t="s">
        <v>349</v>
      </c>
      <c r="T4" t="s">
        <v>349</v>
      </c>
      <c r="U4">
        <v>0</v>
      </c>
      <c r="V4">
        <v>0</v>
      </c>
      <c r="W4">
        <v>0</v>
      </c>
    </row>
    <row r="5" spans="1:23" x14ac:dyDescent="0.3">
      <c r="A5" s="1">
        <v>43556</v>
      </c>
      <c r="B5" s="1">
        <v>43556</v>
      </c>
      <c r="C5" t="s">
        <v>157</v>
      </c>
      <c r="D5" t="s">
        <v>54</v>
      </c>
      <c r="E5" t="s">
        <v>21</v>
      </c>
      <c r="F5" t="s">
        <v>170</v>
      </c>
      <c r="G5" s="53">
        <v>43598</v>
      </c>
      <c r="H5">
        <v>33</v>
      </c>
      <c r="I5">
        <v>8451</v>
      </c>
      <c r="J5" t="s">
        <v>50</v>
      </c>
      <c r="K5" t="s">
        <v>50</v>
      </c>
      <c r="L5" t="s">
        <v>159</v>
      </c>
      <c r="M5" t="s">
        <v>51</v>
      </c>
      <c r="N5" t="s">
        <v>92</v>
      </c>
      <c r="O5" s="1">
        <v>41335</v>
      </c>
      <c r="P5" t="s">
        <v>84</v>
      </c>
      <c r="Q5">
        <v>4</v>
      </c>
      <c r="R5" t="s">
        <v>27</v>
      </c>
      <c r="S5" t="s">
        <v>349</v>
      </c>
      <c r="T5" t="s">
        <v>349</v>
      </c>
      <c r="U5">
        <v>0</v>
      </c>
      <c r="V5">
        <v>0</v>
      </c>
      <c r="W5">
        <v>0</v>
      </c>
    </row>
    <row r="6" spans="1:23" x14ac:dyDescent="0.3">
      <c r="A6" s="1">
        <v>43556</v>
      </c>
      <c r="B6" s="1">
        <v>43556</v>
      </c>
      <c r="C6" t="s">
        <v>157</v>
      </c>
      <c r="D6" t="s">
        <v>54</v>
      </c>
      <c r="E6" t="s">
        <v>21</v>
      </c>
      <c r="F6" t="s">
        <v>170</v>
      </c>
      <c r="G6" s="53">
        <v>43598</v>
      </c>
      <c r="H6">
        <v>33</v>
      </c>
      <c r="I6">
        <v>8451</v>
      </c>
      <c r="J6" t="s">
        <v>50</v>
      </c>
      <c r="K6" t="s">
        <v>50</v>
      </c>
      <c r="L6" t="s">
        <v>159</v>
      </c>
      <c r="M6" t="s">
        <v>51</v>
      </c>
      <c r="N6" t="s">
        <v>92</v>
      </c>
      <c r="O6" s="1">
        <v>41335</v>
      </c>
      <c r="P6" t="s">
        <v>84</v>
      </c>
      <c r="Q6">
        <v>5</v>
      </c>
      <c r="R6" t="s">
        <v>28</v>
      </c>
      <c r="S6" t="s">
        <v>349</v>
      </c>
      <c r="T6" t="s">
        <v>349</v>
      </c>
      <c r="U6">
        <v>0</v>
      </c>
      <c r="V6">
        <v>0</v>
      </c>
      <c r="W6">
        <v>0</v>
      </c>
    </row>
    <row r="7" spans="1:23" x14ac:dyDescent="0.3">
      <c r="A7" s="1">
        <v>43586</v>
      </c>
      <c r="B7" s="1">
        <v>43586</v>
      </c>
      <c r="C7" t="s">
        <v>157</v>
      </c>
      <c r="D7" t="s">
        <v>54</v>
      </c>
      <c r="E7" t="s">
        <v>21</v>
      </c>
      <c r="F7" t="s">
        <v>173</v>
      </c>
      <c r="G7" s="53">
        <v>43627</v>
      </c>
      <c r="H7">
        <v>33</v>
      </c>
      <c r="I7">
        <v>8768</v>
      </c>
      <c r="J7" t="s">
        <v>50</v>
      </c>
      <c r="K7" t="s">
        <v>50</v>
      </c>
      <c r="L7" t="s">
        <v>159</v>
      </c>
      <c r="M7" t="s">
        <v>51</v>
      </c>
      <c r="N7" t="s">
        <v>92</v>
      </c>
      <c r="O7" s="1">
        <v>41335</v>
      </c>
      <c r="P7" t="s">
        <v>84</v>
      </c>
      <c r="Q7">
        <v>1</v>
      </c>
      <c r="R7" t="s">
        <v>83</v>
      </c>
      <c r="S7" t="s">
        <v>349</v>
      </c>
      <c r="T7" t="s">
        <v>349</v>
      </c>
      <c r="U7">
        <v>0</v>
      </c>
      <c r="V7">
        <v>0</v>
      </c>
      <c r="W7">
        <v>0</v>
      </c>
    </row>
    <row r="8" spans="1:23" x14ac:dyDescent="0.3">
      <c r="A8" s="1">
        <v>43586</v>
      </c>
      <c r="B8" s="1">
        <v>43586</v>
      </c>
      <c r="C8" t="s">
        <v>157</v>
      </c>
      <c r="D8" t="s">
        <v>54</v>
      </c>
      <c r="E8" t="s">
        <v>21</v>
      </c>
      <c r="F8" t="s">
        <v>173</v>
      </c>
      <c r="G8" s="53">
        <v>43627</v>
      </c>
      <c r="H8">
        <v>33</v>
      </c>
      <c r="I8">
        <v>8768</v>
      </c>
      <c r="J8" t="s">
        <v>50</v>
      </c>
      <c r="K8" t="s">
        <v>50</v>
      </c>
      <c r="L8" t="s">
        <v>159</v>
      </c>
      <c r="M8" t="s">
        <v>51</v>
      </c>
      <c r="N8" t="s">
        <v>92</v>
      </c>
      <c r="O8" s="1">
        <v>41335</v>
      </c>
      <c r="P8" t="s">
        <v>84</v>
      </c>
      <c r="Q8">
        <v>2</v>
      </c>
      <c r="R8" t="s">
        <v>94</v>
      </c>
      <c r="S8" t="s">
        <v>349</v>
      </c>
      <c r="T8" t="s">
        <v>349</v>
      </c>
      <c r="U8">
        <v>0</v>
      </c>
      <c r="V8">
        <v>0</v>
      </c>
      <c r="W8">
        <v>0</v>
      </c>
    </row>
    <row r="9" spans="1:23" x14ac:dyDescent="0.3">
      <c r="A9" s="1">
        <v>43586</v>
      </c>
      <c r="B9" s="1">
        <v>43586</v>
      </c>
      <c r="C9" t="s">
        <v>157</v>
      </c>
      <c r="D9" t="s">
        <v>54</v>
      </c>
      <c r="E9" t="s">
        <v>21</v>
      </c>
      <c r="F9" t="s">
        <v>173</v>
      </c>
      <c r="G9" s="53">
        <v>43627</v>
      </c>
      <c r="H9">
        <v>33</v>
      </c>
      <c r="I9">
        <v>8768</v>
      </c>
      <c r="J9" t="s">
        <v>50</v>
      </c>
      <c r="K9" t="s">
        <v>50</v>
      </c>
      <c r="L9" t="s">
        <v>159</v>
      </c>
      <c r="M9" t="s">
        <v>51</v>
      </c>
      <c r="N9" t="s">
        <v>92</v>
      </c>
      <c r="O9" s="1">
        <v>41335</v>
      </c>
      <c r="P9" t="s">
        <v>84</v>
      </c>
      <c r="Q9">
        <v>3</v>
      </c>
      <c r="R9" t="s">
        <v>81</v>
      </c>
      <c r="S9" t="s">
        <v>349</v>
      </c>
      <c r="T9" t="s">
        <v>349</v>
      </c>
      <c r="U9">
        <v>0</v>
      </c>
      <c r="V9">
        <v>0</v>
      </c>
      <c r="W9">
        <v>0</v>
      </c>
    </row>
    <row r="10" spans="1:23" x14ac:dyDescent="0.3">
      <c r="A10" s="1">
        <v>43586</v>
      </c>
      <c r="B10" s="1">
        <v>43586</v>
      </c>
      <c r="C10" t="s">
        <v>157</v>
      </c>
      <c r="D10" t="s">
        <v>54</v>
      </c>
      <c r="E10" t="s">
        <v>21</v>
      </c>
      <c r="F10" t="s">
        <v>173</v>
      </c>
      <c r="G10" s="53">
        <v>43627</v>
      </c>
      <c r="H10">
        <v>33</v>
      </c>
      <c r="I10">
        <v>8768</v>
      </c>
      <c r="J10" t="s">
        <v>50</v>
      </c>
      <c r="K10" t="s">
        <v>50</v>
      </c>
      <c r="L10" t="s">
        <v>159</v>
      </c>
      <c r="M10" t="s">
        <v>51</v>
      </c>
      <c r="N10" t="s">
        <v>92</v>
      </c>
      <c r="O10" s="1">
        <v>41335</v>
      </c>
      <c r="P10" t="s">
        <v>84</v>
      </c>
      <c r="Q10">
        <v>4</v>
      </c>
      <c r="R10" t="s">
        <v>27</v>
      </c>
      <c r="S10" t="s">
        <v>349</v>
      </c>
      <c r="T10" t="s">
        <v>349</v>
      </c>
      <c r="U10">
        <v>0</v>
      </c>
      <c r="V10">
        <v>0</v>
      </c>
      <c r="W10">
        <v>0</v>
      </c>
    </row>
    <row r="11" spans="1:23" x14ac:dyDescent="0.3">
      <c r="A11" s="1">
        <v>43586</v>
      </c>
      <c r="B11" s="1">
        <v>43586</v>
      </c>
      <c r="C11" t="s">
        <v>157</v>
      </c>
      <c r="D11" t="s">
        <v>54</v>
      </c>
      <c r="E11" t="s">
        <v>21</v>
      </c>
      <c r="F11" t="s">
        <v>173</v>
      </c>
      <c r="G11" s="53">
        <v>43627</v>
      </c>
      <c r="H11">
        <v>33</v>
      </c>
      <c r="I11">
        <v>8768</v>
      </c>
      <c r="J11" t="s">
        <v>50</v>
      </c>
      <c r="K11" t="s">
        <v>50</v>
      </c>
      <c r="L11" t="s">
        <v>159</v>
      </c>
      <c r="M11" t="s">
        <v>51</v>
      </c>
      <c r="N11" t="s">
        <v>92</v>
      </c>
      <c r="O11" s="1">
        <v>41335</v>
      </c>
      <c r="P11" t="s">
        <v>84</v>
      </c>
      <c r="Q11">
        <v>5</v>
      </c>
      <c r="R11" t="s">
        <v>28</v>
      </c>
      <c r="S11" t="s">
        <v>349</v>
      </c>
      <c r="T11" t="s">
        <v>349</v>
      </c>
      <c r="U11">
        <v>0</v>
      </c>
      <c r="V11">
        <v>0</v>
      </c>
      <c r="W11">
        <v>0</v>
      </c>
    </row>
    <row r="12" spans="1:23" x14ac:dyDescent="0.3">
      <c r="A12" s="1">
        <v>43617</v>
      </c>
      <c r="B12" s="1">
        <v>43617</v>
      </c>
      <c r="C12" t="s">
        <v>157</v>
      </c>
      <c r="D12" t="s">
        <v>54</v>
      </c>
      <c r="E12" t="s">
        <v>21</v>
      </c>
      <c r="F12" t="s">
        <v>175</v>
      </c>
      <c r="G12" s="53">
        <v>43655</v>
      </c>
      <c r="H12">
        <v>33</v>
      </c>
      <c r="I12">
        <v>9022</v>
      </c>
      <c r="J12" t="s">
        <v>50</v>
      </c>
      <c r="K12" t="s">
        <v>50</v>
      </c>
      <c r="L12" t="s">
        <v>159</v>
      </c>
      <c r="M12" t="s">
        <v>51</v>
      </c>
      <c r="N12" t="s">
        <v>92</v>
      </c>
      <c r="O12" s="1">
        <v>41335</v>
      </c>
      <c r="P12" t="s">
        <v>84</v>
      </c>
      <c r="Q12">
        <v>1</v>
      </c>
      <c r="R12" t="s">
        <v>83</v>
      </c>
      <c r="S12" t="s">
        <v>349</v>
      </c>
      <c r="T12" t="s">
        <v>349</v>
      </c>
      <c r="U12">
        <v>0</v>
      </c>
      <c r="V12">
        <v>0</v>
      </c>
      <c r="W12">
        <v>0</v>
      </c>
    </row>
    <row r="13" spans="1:23" x14ac:dyDescent="0.3">
      <c r="A13" s="1">
        <v>43617</v>
      </c>
      <c r="B13" s="1">
        <v>43617</v>
      </c>
      <c r="C13" t="s">
        <v>157</v>
      </c>
      <c r="D13" t="s">
        <v>54</v>
      </c>
      <c r="E13" t="s">
        <v>21</v>
      </c>
      <c r="F13" t="s">
        <v>175</v>
      </c>
      <c r="G13" s="53">
        <v>43655</v>
      </c>
      <c r="H13">
        <v>33</v>
      </c>
      <c r="I13">
        <v>9022</v>
      </c>
      <c r="J13" t="s">
        <v>50</v>
      </c>
      <c r="K13" t="s">
        <v>50</v>
      </c>
      <c r="L13" t="s">
        <v>159</v>
      </c>
      <c r="M13" t="s">
        <v>51</v>
      </c>
      <c r="N13" t="s">
        <v>92</v>
      </c>
      <c r="O13" s="1">
        <v>41335</v>
      </c>
      <c r="P13" t="s">
        <v>84</v>
      </c>
      <c r="Q13">
        <v>2</v>
      </c>
      <c r="R13" t="s">
        <v>94</v>
      </c>
      <c r="S13" t="s">
        <v>349</v>
      </c>
      <c r="T13" t="s">
        <v>349</v>
      </c>
      <c r="U13">
        <v>0</v>
      </c>
      <c r="V13">
        <v>0</v>
      </c>
      <c r="W13">
        <v>0</v>
      </c>
    </row>
    <row r="14" spans="1:23" x14ac:dyDescent="0.3">
      <c r="A14" s="1">
        <v>43617</v>
      </c>
      <c r="B14" s="1">
        <v>43617</v>
      </c>
      <c r="C14" t="s">
        <v>157</v>
      </c>
      <c r="D14" t="s">
        <v>54</v>
      </c>
      <c r="E14" t="s">
        <v>21</v>
      </c>
      <c r="F14" t="s">
        <v>175</v>
      </c>
      <c r="G14" s="53">
        <v>43655</v>
      </c>
      <c r="H14">
        <v>33</v>
      </c>
      <c r="I14">
        <v>9022</v>
      </c>
      <c r="J14" t="s">
        <v>50</v>
      </c>
      <c r="K14" t="s">
        <v>50</v>
      </c>
      <c r="L14" t="s">
        <v>159</v>
      </c>
      <c r="M14" t="s">
        <v>51</v>
      </c>
      <c r="N14" t="s">
        <v>92</v>
      </c>
      <c r="O14" s="1">
        <v>41335</v>
      </c>
      <c r="P14" t="s">
        <v>84</v>
      </c>
      <c r="Q14">
        <v>3</v>
      </c>
      <c r="R14" t="s">
        <v>81</v>
      </c>
      <c r="S14" t="s">
        <v>349</v>
      </c>
      <c r="T14" t="s">
        <v>349</v>
      </c>
      <c r="U14">
        <v>0</v>
      </c>
      <c r="V14">
        <v>0</v>
      </c>
      <c r="W14">
        <v>0</v>
      </c>
    </row>
    <row r="15" spans="1:23" x14ac:dyDescent="0.3">
      <c r="A15" s="1">
        <v>43617</v>
      </c>
      <c r="B15" s="1">
        <v>43617</v>
      </c>
      <c r="C15" t="s">
        <v>157</v>
      </c>
      <c r="D15" t="s">
        <v>54</v>
      </c>
      <c r="E15" t="s">
        <v>21</v>
      </c>
      <c r="F15" t="s">
        <v>175</v>
      </c>
      <c r="G15" s="53">
        <v>43655</v>
      </c>
      <c r="H15">
        <v>33</v>
      </c>
      <c r="I15">
        <v>9022</v>
      </c>
      <c r="J15" t="s">
        <v>50</v>
      </c>
      <c r="K15" t="s">
        <v>50</v>
      </c>
      <c r="L15" t="s">
        <v>159</v>
      </c>
      <c r="M15" t="s">
        <v>51</v>
      </c>
      <c r="N15" t="s">
        <v>92</v>
      </c>
      <c r="O15" s="1">
        <v>41335</v>
      </c>
      <c r="P15" t="s">
        <v>84</v>
      </c>
      <c r="Q15">
        <v>4</v>
      </c>
      <c r="R15" t="s">
        <v>27</v>
      </c>
      <c r="S15" t="s">
        <v>349</v>
      </c>
      <c r="T15" t="s">
        <v>349</v>
      </c>
      <c r="U15">
        <v>0</v>
      </c>
      <c r="V15">
        <v>0</v>
      </c>
      <c r="W15">
        <v>0</v>
      </c>
    </row>
    <row r="16" spans="1:23" x14ac:dyDescent="0.3">
      <c r="A16" s="1">
        <v>43617</v>
      </c>
      <c r="B16" s="1">
        <v>43617</v>
      </c>
      <c r="C16" t="s">
        <v>157</v>
      </c>
      <c r="D16" t="s">
        <v>54</v>
      </c>
      <c r="E16" t="s">
        <v>21</v>
      </c>
      <c r="F16" t="s">
        <v>175</v>
      </c>
      <c r="G16" s="53">
        <v>43655</v>
      </c>
      <c r="H16">
        <v>33</v>
      </c>
      <c r="I16">
        <v>9022</v>
      </c>
      <c r="J16" t="s">
        <v>50</v>
      </c>
      <c r="K16" t="s">
        <v>50</v>
      </c>
      <c r="L16" t="s">
        <v>159</v>
      </c>
      <c r="M16" t="s">
        <v>51</v>
      </c>
      <c r="N16" t="s">
        <v>92</v>
      </c>
      <c r="O16" s="1">
        <v>41335</v>
      </c>
      <c r="P16" t="s">
        <v>84</v>
      </c>
      <c r="Q16">
        <v>5</v>
      </c>
      <c r="R16" t="s">
        <v>28</v>
      </c>
      <c r="S16" t="s">
        <v>349</v>
      </c>
      <c r="T16" t="s">
        <v>349</v>
      </c>
      <c r="U16">
        <v>0</v>
      </c>
      <c r="V16">
        <v>0</v>
      </c>
      <c r="W16">
        <v>0</v>
      </c>
    </row>
    <row r="17" spans="1:23" x14ac:dyDescent="0.3">
      <c r="A17" s="1">
        <v>43647</v>
      </c>
      <c r="B17" s="1">
        <v>43647</v>
      </c>
      <c r="C17" t="s">
        <v>157</v>
      </c>
      <c r="D17" t="s">
        <v>54</v>
      </c>
      <c r="E17" t="s">
        <v>21</v>
      </c>
      <c r="F17" t="s">
        <v>180</v>
      </c>
      <c r="G17" s="53">
        <v>43686</v>
      </c>
      <c r="H17">
        <v>33</v>
      </c>
      <c r="I17">
        <v>9466</v>
      </c>
      <c r="J17" t="s">
        <v>50</v>
      </c>
      <c r="K17" t="s">
        <v>50</v>
      </c>
      <c r="L17" t="s">
        <v>159</v>
      </c>
      <c r="M17" t="s">
        <v>51</v>
      </c>
      <c r="N17" t="s">
        <v>92</v>
      </c>
      <c r="O17" s="1">
        <v>41335</v>
      </c>
      <c r="P17" t="s">
        <v>84</v>
      </c>
      <c r="Q17">
        <v>1</v>
      </c>
      <c r="R17" t="s">
        <v>83</v>
      </c>
      <c r="S17" t="s">
        <v>349</v>
      </c>
      <c r="T17" t="s">
        <v>349</v>
      </c>
      <c r="U17">
        <v>0</v>
      </c>
      <c r="V17">
        <v>0</v>
      </c>
      <c r="W17">
        <v>0</v>
      </c>
    </row>
    <row r="18" spans="1:23" x14ac:dyDescent="0.3">
      <c r="A18" s="1">
        <v>43647</v>
      </c>
      <c r="B18" s="1">
        <v>43647</v>
      </c>
      <c r="C18" t="s">
        <v>157</v>
      </c>
      <c r="D18" t="s">
        <v>54</v>
      </c>
      <c r="E18" t="s">
        <v>21</v>
      </c>
      <c r="F18" t="s">
        <v>180</v>
      </c>
      <c r="G18" s="53">
        <v>43686</v>
      </c>
      <c r="H18">
        <v>33</v>
      </c>
      <c r="I18">
        <v>9466</v>
      </c>
      <c r="J18" t="s">
        <v>50</v>
      </c>
      <c r="K18" t="s">
        <v>50</v>
      </c>
      <c r="L18" t="s">
        <v>159</v>
      </c>
      <c r="M18" t="s">
        <v>51</v>
      </c>
      <c r="N18" t="s">
        <v>92</v>
      </c>
      <c r="O18" s="1">
        <v>41335</v>
      </c>
      <c r="P18" t="s">
        <v>84</v>
      </c>
      <c r="Q18">
        <v>2</v>
      </c>
      <c r="R18" t="s">
        <v>94</v>
      </c>
      <c r="S18" t="s">
        <v>349</v>
      </c>
      <c r="T18" t="s">
        <v>349</v>
      </c>
      <c r="U18">
        <v>0</v>
      </c>
      <c r="V18">
        <v>0</v>
      </c>
      <c r="W18">
        <v>0</v>
      </c>
    </row>
    <row r="19" spans="1:23" x14ac:dyDescent="0.3">
      <c r="A19" s="1">
        <v>43647</v>
      </c>
      <c r="B19" s="1">
        <v>43647</v>
      </c>
      <c r="C19" t="s">
        <v>157</v>
      </c>
      <c r="D19" t="s">
        <v>54</v>
      </c>
      <c r="E19" t="s">
        <v>21</v>
      </c>
      <c r="F19" t="s">
        <v>180</v>
      </c>
      <c r="G19" s="53">
        <v>43686</v>
      </c>
      <c r="H19">
        <v>33</v>
      </c>
      <c r="I19">
        <v>9466</v>
      </c>
      <c r="J19" t="s">
        <v>50</v>
      </c>
      <c r="K19" t="s">
        <v>50</v>
      </c>
      <c r="L19" t="s">
        <v>159</v>
      </c>
      <c r="M19" t="s">
        <v>51</v>
      </c>
      <c r="N19" t="s">
        <v>92</v>
      </c>
      <c r="O19" s="1">
        <v>41335</v>
      </c>
      <c r="P19" t="s">
        <v>84</v>
      </c>
      <c r="Q19">
        <v>3</v>
      </c>
      <c r="R19" t="s">
        <v>81</v>
      </c>
      <c r="S19" t="s">
        <v>349</v>
      </c>
      <c r="T19" t="s">
        <v>349</v>
      </c>
      <c r="U19">
        <v>0</v>
      </c>
      <c r="V19">
        <v>0</v>
      </c>
      <c r="W19">
        <v>0</v>
      </c>
    </row>
    <row r="20" spans="1:23" x14ac:dyDescent="0.3">
      <c r="A20" s="1">
        <v>43647</v>
      </c>
      <c r="B20" s="1">
        <v>43647</v>
      </c>
      <c r="C20" t="s">
        <v>157</v>
      </c>
      <c r="D20" t="s">
        <v>54</v>
      </c>
      <c r="E20" t="s">
        <v>21</v>
      </c>
      <c r="F20" t="s">
        <v>180</v>
      </c>
      <c r="G20" s="53">
        <v>43686</v>
      </c>
      <c r="H20">
        <v>33</v>
      </c>
      <c r="I20">
        <v>9466</v>
      </c>
      <c r="J20" t="s">
        <v>50</v>
      </c>
      <c r="K20" t="s">
        <v>50</v>
      </c>
      <c r="L20" t="s">
        <v>159</v>
      </c>
      <c r="M20" t="s">
        <v>51</v>
      </c>
      <c r="N20" t="s">
        <v>92</v>
      </c>
      <c r="O20" s="1">
        <v>41335</v>
      </c>
      <c r="P20" t="s">
        <v>84</v>
      </c>
      <c r="Q20">
        <v>4</v>
      </c>
      <c r="R20" t="s">
        <v>27</v>
      </c>
      <c r="S20" t="s">
        <v>349</v>
      </c>
      <c r="T20" t="s">
        <v>349</v>
      </c>
      <c r="U20">
        <v>0</v>
      </c>
      <c r="V20">
        <v>0</v>
      </c>
      <c r="W20">
        <v>0</v>
      </c>
    </row>
    <row r="21" spans="1:23" x14ac:dyDescent="0.3">
      <c r="A21" s="1">
        <v>43647</v>
      </c>
      <c r="B21" s="1">
        <v>43647</v>
      </c>
      <c r="C21" t="s">
        <v>157</v>
      </c>
      <c r="D21" t="s">
        <v>54</v>
      </c>
      <c r="E21" t="s">
        <v>21</v>
      </c>
      <c r="F21" t="s">
        <v>180</v>
      </c>
      <c r="G21" s="53">
        <v>43686</v>
      </c>
      <c r="H21">
        <v>33</v>
      </c>
      <c r="I21">
        <v>9466</v>
      </c>
      <c r="J21" t="s">
        <v>50</v>
      </c>
      <c r="K21" t="s">
        <v>50</v>
      </c>
      <c r="L21" t="s">
        <v>159</v>
      </c>
      <c r="M21" t="s">
        <v>51</v>
      </c>
      <c r="N21" t="s">
        <v>92</v>
      </c>
      <c r="O21" s="1">
        <v>41335</v>
      </c>
      <c r="P21" t="s">
        <v>84</v>
      </c>
      <c r="Q21">
        <v>5</v>
      </c>
      <c r="R21" t="s">
        <v>28</v>
      </c>
      <c r="S21" t="s">
        <v>349</v>
      </c>
      <c r="T21" t="s">
        <v>349</v>
      </c>
      <c r="U21">
        <v>0</v>
      </c>
      <c r="V21">
        <v>0</v>
      </c>
      <c r="W21">
        <v>0</v>
      </c>
    </row>
    <row r="22" spans="1:23" x14ac:dyDescent="0.3">
      <c r="A22" s="1">
        <v>43678</v>
      </c>
      <c r="B22" s="1">
        <v>43739</v>
      </c>
      <c r="C22" t="s">
        <v>157</v>
      </c>
      <c r="D22" t="s">
        <v>54</v>
      </c>
      <c r="E22" t="s">
        <v>21</v>
      </c>
      <c r="F22" t="s">
        <v>183</v>
      </c>
      <c r="G22" s="53">
        <v>43719</v>
      </c>
      <c r="H22">
        <v>33</v>
      </c>
      <c r="I22">
        <v>9996</v>
      </c>
      <c r="J22" t="s">
        <v>50</v>
      </c>
      <c r="K22" t="s">
        <v>50</v>
      </c>
      <c r="L22" t="s">
        <v>159</v>
      </c>
      <c r="M22" t="s">
        <v>51</v>
      </c>
      <c r="N22" t="s">
        <v>92</v>
      </c>
      <c r="O22" s="1">
        <v>41335</v>
      </c>
      <c r="P22" t="s">
        <v>84</v>
      </c>
      <c r="Q22">
        <v>1</v>
      </c>
      <c r="R22" t="s">
        <v>83</v>
      </c>
      <c r="S22" t="s">
        <v>349</v>
      </c>
      <c r="T22" t="s">
        <v>349</v>
      </c>
      <c r="U22">
        <v>0</v>
      </c>
      <c r="V22">
        <v>0</v>
      </c>
      <c r="W22">
        <v>0</v>
      </c>
    </row>
    <row r="23" spans="1:23" x14ac:dyDescent="0.3">
      <c r="A23" s="1">
        <v>43678</v>
      </c>
      <c r="B23" s="1">
        <v>43739</v>
      </c>
      <c r="C23" t="s">
        <v>157</v>
      </c>
      <c r="D23" t="s">
        <v>54</v>
      </c>
      <c r="E23" t="s">
        <v>21</v>
      </c>
      <c r="F23" t="s">
        <v>183</v>
      </c>
      <c r="G23" s="53">
        <v>43719</v>
      </c>
      <c r="H23">
        <v>33</v>
      </c>
      <c r="I23">
        <v>9996</v>
      </c>
      <c r="J23" t="s">
        <v>50</v>
      </c>
      <c r="K23" t="s">
        <v>50</v>
      </c>
      <c r="L23" t="s">
        <v>159</v>
      </c>
      <c r="M23" t="s">
        <v>51</v>
      </c>
      <c r="N23" t="s">
        <v>92</v>
      </c>
      <c r="O23" s="1">
        <v>41335</v>
      </c>
      <c r="P23" t="s">
        <v>84</v>
      </c>
      <c r="Q23">
        <v>2</v>
      </c>
      <c r="R23" t="s">
        <v>94</v>
      </c>
      <c r="S23" t="s">
        <v>349</v>
      </c>
      <c r="T23" t="s">
        <v>349</v>
      </c>
      <c r="U23">
        <v>0</v>
      </c>
      <c r="V23">
        <v>0</v>
      </c>
      <c r="W23">
        <v>0</v>
      </c>
    </row>
    <row r="24" spans="1:23" x14ac:dyDescent="0.3">
      <c r="A24" s="1">
        <v>43678</v>
      </c>
      <c r="B24" s="1">
        <v>43739</v>
      </c>
      <c r="C24" t="s">
        <v>157</v>
      </c>
      <c r="D24" t="s">
        <v>54</v>
      </c>
      <c r="E24" t="s">
        <v>21</v>
      </c>
      <c r="F24" t="s">
        <v>183</v>
      </c>
      <c r="G24" s="53">
        <v>43719</v>
      </c>
      <c r="H24">
        <v>33</v>
      </c>
      <c r="I24">
        <v>9996</v>
      </c>
      <c r="J24" t="s">
        <v>50</v>
      </c>
      <c r="K24" t="s">
        <v>50</v>
      </c>
      <c r="L24" t="s">
        <v>159</v>
      </c>
      <c r="M24" t="s">
        <v>51</v>
      </c>
      <c r="N24" t="s">
        <v>92</v>
      </c>
      <c r="O24" s="1">
        <v>41335</v>
      </c>
      <c r="P24" t="s">
        <v>84</v>
      </c>
      <c r="Q24">
        <v>3</v>
      </c>
      <c r="R24" t="s">
        <v>81</v>
      </c>
      <c r="S24" t="s">
        <v>349</v>
      </c>
      <c r="T24" t="s">
        <v>349</v>
      </c>
      <c r="U24">
        <v>0</v>
      </c>
      <c r="V24">
        <v>0</v>
      </c>
      <c r="W24">
        <v>0</v>
      </c>
    </row>
    <row r="25" spans="1:23" x14ac:dyDescent="0.3">
      <c r="A25" s="1">
        <v>43678</v>
      </c>
      <c r="B25" s="1">
        <v>43739</v>
      </c>
      <c r="C25" t="s">
        <v>157</v>
      </c>
      <c r="D25" t="s">
        <v>54</v>
      </c>
      <c r="E25" t="s">
        <v>21</v>
      </c>
      <c r="F25" t="s">
        <v>183</v>
      </c>
      <c r="G25" s="53">
        <v>43719</v>
      </c>
      <c r="H25">
        <v>33</v>
      </c>
      <c r="I25">
        <v>9996</v>
      </c>
      <c r="J25" t="s">
        <v>50</v>
      </c>
      <c r="K25" t="s">
        <v>50</v>
      </c>
      <c r="L25" t="s">
        <v>159</v>
      </c>
      <c r="M25" t="s">
        <v>51</v>
      </c>
      <c r="N25" t="s">
        <v>92</v>
      </c>
      <c r="O25" s="1">
        <v>41335</v>
      </c>
      <c r="P25" t="s">
        <v>84</v>
      </c>
      <c r="Q25">
        <v>4</v>
      </c>
      <c r="R25" t="s">
        <v>27</v>
      </c>
      <c r="S25" t="s">
        <v>349</v>
      </c>
      <c r="T25" t="s">
        <v>349</v>
      </c>
      <c r="U25">
        <v>0</v>
      </c>
      <c r="V25">
        <v>0</v>
      </c>
      <c r="W25">
        <v>0</v>
      </c>
    </row>
    <row r="26" spans="1:23" x14ac:dyDescent="0.3">
      <c r="A26" s="1">
        <v>43678</v>
      </c>
      <c r="B26" s="1">
        <v>43739</v>
      </c>
      <c r="C26" t="s">
        <v>157</v>
      </c>
      <c r="D26" t="s">
        <v>54</v>
      </c>
      <c r="E26" t="s">
        <v>21</v>
      </c>
      <c r="F26" t="s">
        <v>183</v>
      </c>
      <c r="G26" s="53">
        <v>43719</v>
      </c>
      <c r="H26">
        <v>33</v>
      </c>
      <c r="I26">
        <v>9996</v>
      </c>
      <c r="J26" t="s">
        <v>50</v>
      </c>
      <c r="K26" t="s">
        <v>50</v>
      </c>
      <c r="L26" t="s">
        <v>159</v>
      </c>
      <c r="M26" t="s">
        <v>51</v>
      </c>
      <c r="N26" t="s">
        <v>92</v>
      </c>
      <c r="O26" s="1">
        <v>41335</v>
      </c>
      <c r="P26" t="s">
        <v>84</v>
      </c>
      <c r="Q26">
        <v>5</v>
      </c>
      <c r="R26" t="s">
        <v>28</v>
      </c>
      <c r="S26" t="s">
        <v>349</v>
      </c>
      <c r="T26" t="s">
        <v>349</v>
      </c>
      <c r="U26">
        <v>0</v>
      </c>
      <c r="V26">
        <v>0</v>
      </c>
      <c r="W26">
        <v>0</v>
      </c>
    </row>
    <row r="27" spans="1:23" x14ac:dyDescent="0.3">
      <c r="A27" s="1">
        <v>43709</v>
      </c>
      <c r="B27" s="1">
        <v>43739</v>
      </c>
      <c r="C27" t="s">
        <v>157</v>
      </c>
      <c r="D27" t="s">
        <v>54</v>
      </c>
      <c r="E27" t="s">
        <v>21</v>
      </c>
      <c r="F27" t="s">
        <v>183</v>
      </c>
      <c r="G27" s="53">
        <v>43748</v>
      </c>
      <c r="H27">
        <v>33</v>
      </c>
      <c r="I27">
        <v>10390</v>
      </c>
      <c r="J27" t="s">
        <v>50</v>
      </c>
      <c r="K27" t="s">
        <v>50</v>
      </c>
      <c r="L27" t="s">
        <v>159</v>
      </c>
      <c r="M27" t="s">
        <v>51</v>
      </c>
      <c r="N27" t="s">
        <v>92</v>
      </c>
      <c r="O27" s="1">
        <v>41335</v>
      </c>
      <c r="P27" t="s">
        <v>84</v>
      </c>
      <c r="Q27">
        <v>1</v>
      </c>
      <c r="R27" t="s">
        <v>83</v>
      </c>
      <c r="S27" t="s">
        <v>349</v>
      </c>
      <c r="T27" t="s">
        <v>349</v>
      </c>
      <c r="U27">
        <v>0</v>
      </c>
      <c r="V27">
        <v>0</v>
      </c>
      <c r="W27">
        <v>0</v>
      </c>
    </row>
    <row r="28" spans="1:23" x14ac:dyDescent="0.3">
      <c r="A28" s="1">
        <v>43709</v>
      </c>
      <c r="B28" s="1">
        <v>43739</v>
      </c>
      <c r="C28" t="s">
        <v>157</v>
      </c>
      <c r="D28" t="s">
        <v>54</v>
      </c>
      <c r="E28" t="s">
        <v>21</v>
      </c>
      <c r="F28" t="s">
        <v>183</v>
      </c>
      <c r="G28" s="53">
        <v>43748</v>
      </c>
      <c r="H28">
        <v>33</v>
      </c>
      <c r="I28">
        <v>10390</v>
      </c>
      <c r="J28" t="s">
        <v>50</v>
      </c>
      <c r="K28" t="s">
        <v>50</v>
      </c>
      <c r="L28" t="s">
        <v>159</v>
      </c>
      <c r="M28" t="s">
        <v>51</v>
      </c>
      <c r="N28" t="s">
        <v>92</v>
      </c>
      <c r="O28" s="1">
        <v>41335</v>
      </c>
      <c r="P28" t="s">
        <v>84</v>
      </c>
      <c r="Q28">
        <v>2</v>
      </c>
      <c r="R28" t="s">
        <v>94</v>
      </c>
      <c r="S28" t="s">
        <v>349</v>
      </c>
      <c r="T28" t="s">
        <v>349</v>
      </c>
      <c r="U28">
        <v>0</v>
      </c>
      <c r="V28">
        <v>0</v>
      </c>
      <c r="W28">
        <v>0</v>
      </c>
    </row>
    <row r="29" spans="1:23" x14ac:dyDescent="0.3">
      <c r="A29" s="1">
        <v>43709</v>
      </c>
      <c r="B29" s="1">
        <v>43739</v>
      </c>
      <c r="C29" t="s">
        <v>157</v>
      </c>
      <c r="D29" t="s">
        <v>54</v>
      </c>
      <c r="E29" t="s">
        <v>21</v>
      </c>
      <c r="F29" t="s">
        <v>183</v>
      </c>
      <c r="G29" s="53">
        <v>43748</v>
      </c>
      <c r="H29">
        <v>33</v>
      </c>
      <c r="I29">
        <v>10390</v>
      </c>
      <c r="J29" t="s">
        <v>50</v>
      </c>
      <c r="K29" t="s">
        <v>50</v>
      </c>
      <c r="L29" t="s">
        <v>159</v>
      </c>
      <c r="M29" t="s">
        <v>51</v>
      </c>
      <c r="N29" t="s">
        <v>92</v>
      </c>
      <c r="O29" s="1">
        <v>41335</v>
      </c>
      <c r="P29" t="s">
        <v>84</v>
      </c>
      <c r="Q29">
        <v>3</v>
      </c>
      <c r="R29" t="s">
        <v>81</v>
      </c>
      <c r="S29" t="s">
        <v>349</v>
      </c>
      <c r="T29" t="s">
        <v>349</v>
      </c>
      <c r="U29">
        <v>0</v>
      </c>
      <c r="V29">
        <v>0</v>
      </c>
      <c r="W29">
        <v>0</v>
      </c>
    </row>
    <row r="30" spans="1:23" x14ac:dyDescent="0.3">
      <c r="A30" s="1">
        <v>43709</v>
      </c>
      <c r="B30" s="1">
        <v>43739</v>
      </c>
      <c r="C30" t="s">
        <v>157</v>
      </c>
      <c r="D30" t="s">
        <v>54</v>
      </c>
      <c r="E30" t="s">
        <v>21</v>
      </c>
      <c r="F30" t="s">
        <v>183</v>
      </c>
      <c r="G30" s="53">
        <v>43748</v>
      </c>
      <c r="H30">
        <v>33</v>
      </c>
      <c r="I30">
        <v>10390</v>
      </c>
      <c r="J30" t="s">
        <v>50</v>
      </c>
      <c r="K30" t="s">
        <v>50</v>
      </c>
      <c r="L30" t="s">
        <v>159</v>
      </c>
      <c r="M30" t="s">
        <v>51</v>
      </c>
      <c r="N30" t="s">
        <v>92</v>
      </c>
      <c r="O30" s="1">
        <v>41335</v>
      </c>
      <c r="P30" t="s">
        <v>84</v>
      </c>
      <c r="Q30">
        <v>4</v>
      </c>
      <c r="R30" t="s">
        <v>27</v>
      </c>
      <c r="S30" t="s">
        <v>349</v>
      </c>
      <c r="T30" t="s">
        <v>349</v>
      </c>
      <c r="U30">
        <v>0</v>
      </c>
      <c r="V30">
        <v>0</v>
      </c>
      <c r="W30">
        <v>0</v>
      </c>
    </row>
    <row r="31" spans="1:23" x14ac:dyDescent="0.3">
      <c r="A31" s="1">
        <v>43709</v>
      </c>
      <c r="B31" s="1">
        <v>43739</v>
      </c>
      <c r="C31" t="s">
        <v>157</v>
      </c>
      <c r="D31" t="s">
        <v>54</v>
      </c>
      <c r="E31" t="s">
        <v>21</v>
      </c>
      <c r="F31" t="s">
        <v>183</v>
      </c>
      <c r="G31" s="53">
        <v>43748</v>
      </c>
      <c r="H31">
        <v>33</v>
      </c>
      <c r="I31">
        <v>10390</v>
      </c>
      <c r="J31" t="s">
        <v>50</v>
      </c>
      <c r="K31" t="s">
        <v>50</v>
      </c>
      <c r="L31" t="s">
        <v>159</v>
      </c>
      <c r="M31" t="s">
        <v>51</v>
      </c>
      <c r="N31" t="s">
        <v>92</v>
      </c>
      <c r="O31" s="1">
        <v>41335</v>
      </c>
      <c r="P31" t="s">
        <v>84</v>
      </c>
      <c r="Q31">
        <v>5</v>
      </c>
      <c r="R31" t="s">
        <v>28</v>
      </c>
      <c r="S31" t="s">
        <v>349</v>
      </c>
      <c r="T31" t="s">
        <v>349</v>
      </c>
      <c r="U31">
        <v>0</v>
      </c>
      <c r="V31">
        <v>0</v>
      </c>
      <c r="W31">
        <v>0</v>
      </c>
    </row>
    <row r="32" spans="1:23" x14ac:dyDescent="0.3">
      <c r="A32" s="1">
        <v>43739</v>
      </c>
      <c r="B32" s="1">
        <v>43709</v>
      </c>
      <c r="C32" t="s">
        <v>157</v>
      </c>
      <c r="D32" t="s">
        <v>58</v>
      </c>
      <c r="E32" t="s">
        <v>21</v>
      </c>
      <c r="F32" t="s">
        <v>186</v>
      </c>
      <c r="G32" s="53">
        <v>43944.47278935185</v>
      </c>
      <c r="H32">
        <v>61</v>
      </c>
      <c r="I32" t="s">
        <v>349</v>
      </c>
      <c r="J32" t="s">
        <v>50</v>
      </c>
      <c r="K32" t="s">
        <v>50</v>
      </c>
      <c r="L32" t="s">
        <v>159</v>
      </c>
      <c r="M32" t="s">
        <v>51</v>
      </c>
      <c r="N32" t="s">
        <v>92</v>
      </c>
      <c r="O32" s="1">
        <v>41335</v>
      </c>
      <c r="P32" t="s">
        <v>84</v>
      </c>
      <c r="Q32">
        <v>1</v>
      </c>
      <c r="R32" t="s">
        <v>83</v>
      </c>
      <c r="S32" t="s">
        <v>349</v>
      </c>
      <c r="T32" t="s">
        <v>349</v>
      </c>
      <c r="U32">
        <v>0</v>
      </c>
      <c r="V32">
        <v>5969.53</v>
      </c>
      <c r="W32">
        <v>0</v>
      </c>
    </row>
    <row r="33" spans="1:23" x14ac:dyDescent="0.3">
      <c r="A33" s="1">
        <v>43739</v>
      </c>
      <c r="B33" s="1">
        <v>43709</v>
      </c>
      <c r="C33" t="s">
        <v>157</v>
      </c>
      <c r="D33" t="s">
        <v>58</v>
      </c>
      <c r="E33" t="s">
        <v>21</v>
      </c>
      <c r="F33" t="s">
        <v>190</v>
      </c>
      <c r="G33" s="53">
        <v>43944.47278935185</v>
      </c>
      <c r="H33">
        <v>61</v>
      </c>
      <c r="I33" t="s">
        <v>349</v>
      </c>
      <c r="J33" t="s">
        <v>50</v>
      </c>
      <c r="K33" t="s">
        <v>50</v>
      </c>
      <c r="L33" t="s">
        <v>159</v>
      </c>
      <c r="M33" t="s">
        <v>51</v>
      </c>
      <c r="N33" t="s">
        <v>92</v>
      </c>
      <c r="O33" s="1">
        <v>41335</v>
      </c>
      <c r="P33" t="s">
        <v>84</v>
      </c>
      <c r="Q33">
        <v>1</v>
      </c>
      <c r="R33" t="s">
        <v>83</v>
      </c>
      <c r="S33" t="s">
        <v>349</v>
      </c>
      <c r="T33" t="s">
        <v>349</v>
      </c>
      <c r="U33">
        <v>0</v>
      </c>
      <c r="V33">
        <v>6360.2</v>
      </c>
      <c r="W33">
        <v>0</v>
      </c>
    </row>
    <row r="34" spans="1:23" x14ac:dyDescent="0.3">
      <c r="A34" s="1">
        <v>43739</v>
      </c>
      <c r="B34" s="1">
        <v>43739</v>
      </c>
      <c r="C34" t="s">
        <v>157</v>
      </c>
      <c r="D34" t="s">
        <v>54</v>
      </c>
      <c r="E34" t="s">
        <v>21</v>
      </c>
      <c r="F34" t="s">
        <v>183</v>
      </c>
      <c r="G34" s="53">
        <v>43781</v>
      </c>
      <c r="H34">
        <v>33</v>
      </c>
      <c r="I34">
        <v>10809</v>
      </c>
      <c r="J34" t="s">
        <v>50</v>
      </c>
      <c r="K34" t="s">
        <v>50</v>
      </c>
      <c r="L34" t="s">
        <v>159</v>
      </c>
      <c r="M34" t="s">
        <v>51</v>
      </c>
      <c r="N34" t="s">
        <v>92</v>
      </c>
      <c r="O34" s="1">
        <v>41335</v>
      </c>
      <c r="P34" t="s">
        <v>84</v>
      </c>
      <c r="Q34">
        <v>1</v>
      </c>
      <c r="R34" t="s">
        <v>83</v>
      </c>
      <c r="S34" t="s">
        <v>349</v>
      </c>
      <c r="T34" t="s">
        <v>349</v>
      </c>
      <c r="U34">
        <v>0</v>
      </c>
      <c r="V34">
        <v>5969.53</v>
      </c>
      <c r="W34">
        <v>0</v>
      </c>
    </row>
    <row r="35" spans="1:23" x14ac:dyDescent="0.3">
      <c r="A35" s="1">
        <v>43739</v>
      </c>
      <c r="B35" s="1">
        <v>43709</v>
      </c>
      <c r="C35" t="s">
        <v>157</v>
      </c>
      <c r="D35" t="s">
        <v>58</v>
      </c>
      <c r="E35" t="s">
        <v>21</v>
      </c>
      <c r="F35" t="s">
        <v>186</v>
      </c>
      <c r="G35" s="53">
        <v>43944.47278935185</v>
      </c>
      <c r="H35">
        <v>61</v>
      </c>
      <c r="I35" t="s">
        <v>349</v>
      </c>
      <c r="J35" t="s">
        <v>50</v>
      </c>
      <c r="K35" t="s">
        <v>50</v>
      </c>
      <c r="L35" t="s">
        <v>159</v>
      </c>
      <c r="M35" t="s">
        <v>51</v>
      </c>
      <c r="N35" t="s">
        <v>92</v>
      </c>
      <c r="O35" s="1">
        <v>41335</v>
      </c>
      <c r="P35" t="s">
        <v>84</v>
      </c>
      <c r="Q35">
        <v>2</v>
      </c>
      <c r="R35" t="s">
        <v>94</v>
      </c>
      <c r="S35" t="s">
        <v>349</v>
      </c>
      <c r="T35" t="s">
        <v>349</v>
      </c>
      <c r="U35">
        <v>0</v>
      </c>
      <c r="V35">
        <v>6128.55</v>
      </c>
      <c r="W35">
        <v>0</v>
      </c>
    </row>
    <row r="36" spans="1:23" x14ac:dyDescent="0.3">
      <c r="A36" s="1">
        <v>43739</v>
      </c>
      <c r="B36" s="1">
        <v>43709</v>
      </c>
      <c r="C36" t="s">
        <v>157</v>
      </c>
      <c r="D36" t="s">
        <v>58</v>
      </c>
      <c r="E36" t="s">
        <v>21</v>
      </c>
      <c r="F36" t="s">
        <v>190</v>
      </c>
      <c r="G36" s="53">
        <v>43944.47278935185</v>
      </c>
      <c r="H36">
        <v>61</v>
      </c>
      <c r="I36" t="s">
        <v>349</v>
      </c>
      <c r="J36" t="s">
        <v>50</v>
      </c>
      <c r="K36" t="s">
        <v>50</v>
      </c>
      <c r="L36" t="s">
        <v>159</v>
      </c>
      <c r="M36" t="s">
        <v>51</v>
      </c>
      <c r="N36" t="s">
        <v>92</v>
      </c>
      <c r="O36" s="1">
        <v>41335</v>
      </c>
      <c r="P36" t="s">
        <v>84</v>
      </c>
      <c r="Q36">
        <v>2</v>
      </c>
      <c r="R36" t="s">
        <v>94</v>
      </c>
      <c r="S36" t="s">
        <v>349</v>
      </c>
      <c r="T36" t="s">
        <v>349</v>
      </c>
      <c r="U36">
        <v>0</v>
      </c>
      <c r="V36">
        <v>6409.16</v>
      </c>
      <c r="W36">
        <v>0</v>
      </c>
    </row>
    <row r="37" spans="1:23" x14ac:dyDescent="0.3">
      <c r="A37" s="1">
        <v>43739</v>
      </c>
      <c r="B37" s="1">
        <v>43739</v>
      </c>
      <c r="C37" t="s">
        <v>157</v>
      </c>
      <c r="D37" t="s">
        <v>54</v>
      </c>
      <c r="E37" t="s">
        <v>21</v>
      </c>
      <c r="F37" t="s">
        <v>183</v>
      </c>
      <c r="G37" s="53">
        <v>43781</v>
      </c>
      <c r="H37">
        <v>33</v>
      </c>
      <c r="I37">
        <v>10809</v>
      </c>
      <c r="J37" t="s">
        <v>50</v>
      </c>
      <c r="K37" t="s">
        <v>50</v>
      </c>
      <c r="L37" t="s">
        <v>159</v>
      </c>
      <c r="M37" t="s">
        <v>51</v>
      </c>
      <c r="N37" t="s">
        <v>92</v>
      </c>
      <c r="O37" s="1">
        <v>41335</v>
      </c>
      <c r="P37" t="s">
        <v>84</v>
      </c>
      <c r="Q37">
        <v>2</v>
      </c>
      <c r="R37" t="s">
        <v>94</v>
      </c>
      <c r="S37" t="s">
        <v>349</v>
      </c>
      <c r="T37" t="s">
        <v>349</v>
      </c>
      <c r="U37">
        <v>0</v>
      </c>
      <c r="V37">
        <v>6128.55</v>
      </c>
      <c r="W37">
        <v>0</v>
      </c>
    </row>
    <row r="38" spans="1:23" x14ac:dyDescent="0.3">
      <c r="A38" s="1">
        <v>43739</v>
      </c>
      <c r="B38" s="1">
        <v>43709</v>
      </c>
      <c r="C38" t="s">
        <v>157</v>
      </c>
      <c r="D38" t="s">
        <v>58</v>
      </c>
      <c r="E38" t="s">
        <v>21</v>
      </c>
      <c r="F38" t="s">
        <v>186</v>
      </c>
      <c r="G38" s="53">
        <v>43944.47278935185</v>
      </c>
      <c r="H38">
        <v>61</v>
      </c>
      <c r="I38" t="s">
        <v>349</v>
      </c>
      <c r="J38" t="s">
        <v>50</v>
      </c>
      <c r="K38" t="s">
        <v>50</v>
      </c>
      <c r="L38" t="s">
        <v>159</v>
      </c>
      <c r="M38" t="s">
        <v>51</v>
      </c>
      <c r="N38" t="s">
        <v>92</v>
      </c>
      <c r="O38" s="1">
        <v>41335</v>
      </c>
      <c r="P38" t="s">
        <v>84</v>
      </c>
      <c r="Q38">
        <v>3</v>
      </c>
      <c r="R38" t="s">
        <v>81</v>
      </c>
      <c r="S38" t="s">
        <v>349</v>
      </c>
      <c r="T38" t="s">
        <v>349</v>
      </c>
      <c r="U38">
        <v>0</v>
      </c>
      <c r="V38">
        <v>5735.8</v>
      </c>
      <c r="W38">
        <v>0</v>
      </c>
    </row>
    <row r="39" spans="1:23" x14ac:dyDescent="0.3">
      <c r="A39" s="1">
        <v>43739</v>
      </c>
      <c r="B39" s="1">
        <v>43709</v>
      </c>
      <c r="C39" t="s">
        <v>157</v>
      </c>
      <c r="D39" t="s">
        <v>58</v>
      </c>
      <c r="E39" t="s">
        <v>21</v>
      </c>
      <c r="F39" t="s">
        <v>190</v>
      </c>
      <c r="G39" s="53">
        <v>43944.47278935185</v>
      </c>
      <c r="H39">
        <v>61</v>
      </c>
      <c r="I39" t="s">
        <v>349</v>
      </c>
      <c r="J39" t="s">
        <v>50</v>
      </c>
      <c r="K39" t="s">
        <v>50</v>
      </c>
      <c r="L39" t="s">
        <v>159</v>
      </c>
      <c r="M39" t="s">
        <v>51</v>
      </c>
      <c r="N39" t="s">
        <v>92</v>
      </c>
      <c r="O39" s="1">
        <v>41335</v>
      </c>
      <c r="P39" t="s">
        <v>84</v>
      </c>
      <c r="Q39">
        <v>3</v>
      </c>
      <c r="R39" t="s">
        <v>81</v>
      </c>
      <c r="S39" t="s">
        <v>349</v>
      </c>
      <c r="T39" t="s">
        <v>349</v>
      </c>
      <c r="U39">
        <v>0</v>
      </c>
      <c r="V39">
        <v>6046.73</v>
      </c>
      <c r="W39">
        <v>0</v>
      </c>
    </row>
    <row r="40" spans="1:23" x14ac:dyDescent="0.3">
      <c r="A40" s="1">
        <v>43739</v>
      </c>
      <c r="B40" s="1">
        <v>43739</v>
      </c>
      <c r="C40" t="s">
        <v>157</v>
      </c>
      <c r="D40" t="s">
        <v>54</v>
      </c>
      <c r="E40" t="s">
        <v>21</v>
      </c>
      <c r="F40" t="s">
        <v>183</v>
      </c>
      <c r="G40" s="53">
        <v>43781</v>
      </c>
      <c r="H40">
        <v>33</v>
      </c>
      <c r="I40">
        <v>10809</v>
      </c>
      <c r="J40" t="s">
        <v>50</v>
      </c>
      <c r="K40" t="s">
        <v>50</v>
      </c>
      <c r="L40" t="s">
        <v>159</v>
      </c>
      <c r="M40" t="s">
        <v>51</v>
      </c>
      <c r="N40" t="s">
        <v>92</v>
      </c>
      <c r="O40" s="1">
        <v>41335</v>
      </c>
      <c r="P40" t="s">
        <v>84</v>
      </c>
      <c r="Q40">
        <v>3</v>
      </c>
      <c r="R40" t="s">
        <v>81</v>
      </c>
      <c r="S40" t="s">
        <v>349</v>
      </c>
      <c r="T40" t="s">
        <v>349</v>
      </c>
      <c r="U40">
        <v>0</v>
      </c>
      <c r="V40">
        <v>5735.8</v>
      </c>
      <c r="W40">
        <v>0</v>
      </c>
    </row>
    <row r="41" spans="1:23" x14ac:dyDescent="0.3">
      <c r="A41" s="1">
        <v>43739</v>
      </c>
      <c r="B41" s="1">
        <v>43709</v>
      </c>
      <c r="C41" t="s">
        <v>157</v>
      </c>
      <c r="D41" t="s">
        <v>58</v>
      </c>
      <c r="E41" t="s">
        <v>21</v>
      </c>
      <c r="F41" t="s">
        <v>186</v>
      </c>
      <c r="G41" s="53">
        <v>43944.47278935185</v>
      </c>
      <c r="H41">
        <v>61</v>
      </c>
      <c r="I41" t="s">
        <v>349</v>
      </c>
      <c r="J41" t="s">
        <v>50</v>
      </c>
      <c r="K41" t="s">
        <v>50</v>
      </c>
      <c r="L41" t="s">
        <v>159</v>
      </c>
      <c r="M41" t="s">
        <v>51</v>
      </c>
      <c r="N41" t="s">
        <v>92</v>
      </c>
      <c r="O41" s="1">
        <v>41335</v>
      </c>
      <c r="P41" t="s">
        <v>84</v>
      </c>
      <c r="Q41">
        <v>4</v>
      </c>
      <c r="R41" t="s">
        <v>27</v>
      </c>
      <c r="S41" t="s">
        <v>349</v>
      </c>
      <c r="T41" t="s">
        <v>349</v>
      </c>
      <c r="U41">
        <v>0</v>
      </c>
      <c r="V41">
        <v>5821.34</v>
      </c>
      <c r="W41">
        <v>0</v>
      </c>
    </row>
    <row r="42" spans="1:23" x14ac:dyDescent="0.3">
      <c r="A42" s="1">
        <v>43739</v>
      </c>
      <c r="B42" s="1">
        <v>43709</v>
      </c>
      <c r="C42" t="s">
        <v>157</v>
      </c>
      <c r="D42" t="s">
        <v>58</v>
      </c>
      <c r="E42" t="s">
        <v>21</v>
      </c>
      <c r="F42" t="s">
        <v>190</v>
      </c>
      <c r="G42" s="53">
        <v>43944.47278935185</v>
      </c>
      <c r="H42">
        <v>61</v>
      </c>
      <c r="I42" t="s">
        <v>349</v>
      </c>
      <c r="J42" t="s">
        <v>50</v>
      </c>
      <c r="K42" t="s">
        <v>50</v>
      </c>
      <c r="L42" t="s">
        <v>159</v>
      </c>
      <c r="M42" t="s">
        <v>51</v>
      </c>
      <c r="N42" t="s">
        <v>92</v>
      </c>
      <c r="O42" s="1">
        <v>41335</v>
      </c>
      <c r="P42" t="s">
        <v>84</v>
      </c>
      <c r="Q42">
        <v>4</v>
      </c>
      <c r="R42" t="s">
        <v>27</v>
      </c>
      <c r="S42" t="s">
        <v>349</v>
      </c>
      <c r="T42" t="s">
        <v>349</v>
      </c>
      <c r="U42">
        <v>0</v>
      </c>
      <c r="V42">
        <v>6160.55</v>
      </c>
      <c r="W42">
        <v>0</v>
      </c>
    </row>
    <row r="43" spans="1:23" x14ac:dyDescent="0.3">
      <c r="A43" s="1">
        <v>43739</v>
      </c>
      <c r="B43" s="1">
        <v>43739</v>
      </c>
      <c r="C43" t="s">
        <v>157</v>
      </c>
      <c r="D43" t="s">
        <v>54</v>
      </c>
      <c r="E43" t="s">
        <v>21</v>
      </c>
      <c r="F43" t="s">
        <v>183</v>
      </c>
      <c r="G43" s="53">
        <v>43781</v>
      </c>
      <c r="H43">
        <v>33</v>
      </c>
      <c r="I43">
        <v>10809</v>
      </c>
      <c r="J43" t="s">
        <v>50</v>
      </c>
      <c r="K43" t="s">
        <v>50</v>
      </c>
      <c r="L43" t="s">
        <v>159</v>
      </c>
      <c r="M43" t="s">
        <v>51</v>
      </c>
      <c r="N43" t="s">
        <v>92</v>
      </c>
      <c r="O43" s="1">
        <v>41335</v>
      </c>
      <c r="P43" t="s">
        <v>84</v>
      </c>
      <c r="Q43">
        <v>4</v>
      </c>
      <c r="R43" t="s">
        <v>27</v>
      </c>
      <c r="S43" t="s">
        <v>349</v>
      </c>
      <c r="T43" t="s">
        <v>349</v>
      </c>
      <c r="U43">
        <v>0</v>
      </c>
      <c r="V43">
        <v>5821.34</v>
      </c>
      <c r="W43">
        <v>0</v>
      </c>
    </row>
    <row r="44" spans="1:23" x14ac:dyDescent="0.3">
      <c r="A44" s="1">
        <v>43739</v>
      </c>
      <c r="B44" s="1">
        <v>43709</v>
      </c>
      <c r="C44" t="s">
        <v>157</v>
      </c>
      <c r="D44" t="s">
        <v>58</v>
      </c>
      <c r="E44" t="s">
        <v>21</v>
      </c>
      <c r="F44" t="s">
        <v>190</v>
      </c>
      <c r="G44" s="53">
        <v>43944.47278935185</v>
      </c>
      <c r="H44">
        <v>61</v>
      </c>
      <c r="I44" t="s">
        <v>349</v>
      </c>
      <c r="J44" t="s">
        <v>50</v>
      </c>
      <c r="K44" t="s">
        <v>50</v>
      </c>
      <c r="L44" t="s">
        <v>159</v>
      </c>
      <c r="M44" t="s">
        <v>51</v>
      </c>
      <c r="N44" t="s">
        <v>92</v>
      </c>
      <c r="O44" s="1">
        <v>41335</v>
      </c>
      <c r="P44" t="s">
        <v>84</v>
      </c>
      <c r="Q44">
        <v>5</v>
      </c>
      <c r="R44" t="s">
        <v>28</v>
      </c>
      <c r="S44" t="s">
        <v>349</v>
      </c>
      <c r="T44" t="s">
        <v>349</v>
      </c>
      <c r="U44">
        <v>0</v>
      </c>
      <c r="V44">
        <v>5634.08</v>
      </c>
      <c r="W44">
        <v>0</v>
      </c>
    </row>
    <row r="45" spans="1:23" x14ac:dyDescent="0.3">
      <c r="A45" s="1">
        <v>43739</v>
      </c>
      <c r="B45" s="1">
        <v>43709</v>
      </c>
      <c r="C45" t="s">
        <v>157</v>
      </c>
      <c r="D45" t="s">
        <v>58</v>
      </c>
      <c r="E45" t="s">
        <v>21</v>
      </c>
      <c r="F45" t="s">
        <v>186</v>
      </c>
      <c r="G45" s="53">
        <v>43944.47278935185</v>
      </c>
      <c r="H45">
        <v>61</v>
      </c>
      <c r="I45" t="s">
        <v>349</v>
      </c>
      <c r="J45" t="s">
        <v>50</v>
      </c>
      <c r="K45" t="s">
        <v>50</v>
      </c>
      <c r="L45" t="s">
        <v>159</v>
      </c>
      <c r="M45" t="s">
        <v>51</v>
      </c>
      <c r="N45" t="s">
        <v>92</v>
      </c>
      <c r="O45" s="1">
        <v>41335</v>
      </c>
      <c r="P45" t="s">
        <v>84</v>
      </c>
      <c r="Q45">
        <v>5</v>
      </c>
      <c r="R45" t="s">
        <v>28</v>
      </c>
      <c r="S45" t="s">
        <v>349</v>
      </c>
      <c r="T45" t="s">
        <v>349</v>
      </c>
      <c r="U45">
        <v>0</v>
      </c>
      <c r="V45">
        <v>6082.17</v>
      </c>
      <c r="W45">
        <v>0</v>
      </c>
    </row>
    <row r="46" spans="1:23" x14ac:dyDescent="0.3">
      <c r="A46" s="1">
        <v>43739</v>
      </c>
      <c r="B46" s="1">
        <v>43739</v>
      </c>
      <c r="C46" t="s">
        <v>157</v>
      </c>
      <c r="D46" t="s">
        <v>54</v>
      </c>
      <c r="E46" t="s">
        <v>21</v>
      </c>
      <c r="F46" t="s">
        <v>183</v>
      </c>
      <c r="G46" s="53">
        <v>43781</v>
      </c>
      <c r="H46">
        <v>33</v>
      </c>
      <c r="I46">
        <v>10809</v>
      </c>
      <c r="J46" t="s">
        <v>50</v>
      </c>
      <c r="K46" t="s">
        <v>50</v>
      </c>
      <c r="L46" t="s">
        <v>159</v>
      </c>
      <c r="M46" t="s">
        <v>51</v>
      </c>
      <c r="N46" t="s">
        <v>92</v>
      </c>
      <c r="O46" s="1">
        <v>41335</v>
      </c>
      <c r="P46" t="s">
        <v>84</v>
      </c>
      <c r="Q46">
        <v>5</v>
      </c>
      <c r="R46" t="s">
        <v>28</v>
      </c>
      <c r="S46" t="s">
        <v>349</v>
      </c>
      <c r="T46" t="s">
        <v>349</v>
      </c>
      <c r="U46">
        <v>0</v>
      </c>
      <c r="V46">
        <v>6082.17</v>
      </c>
      <c r="W46">
        <v>0</v>
      </c>
    </row>
    <row r="47" spans="1:23" x14ac:dyDescent="0.3">
      <c r="A47" s="1">
        <v>43770</v>
      </c>
      <c r="B47" s="1">
        <v>43770</v>
      </c>
      <c r="C47" t="s">
        <v>157</v>
      </c>
      <c r="D47" t="s">
        <v>54</v>
      </c>
      <c r="E47" t="s">
        <v>21</v>
      </c>
      <c r="F47" t="s">
        <v>191</v>
      </c>
      <c r="G47" s="53">
        <v>43805</v>
      </c>
      <c r="H47">
        <v>33</v>
      </c>
      <c r="I47">
        <v>11167</v>
      </c>
      <c r="J47" t="s">
        <v>50</v>
      </c>
      <c r="K47" t="s">
        <v>50</v>
      </c>
      <c r="L47" t="s">
        <v>159</v>
      </c>
      <c r="M47" t="s">
        <v>51</v>
      </c>
      <c r="N47" t="s">
        <v>92</v>
      </c>
      <c r="O47" s="1">
        <v>41335</v>
      </c>
      <c r="P47" t="s">
        <v>84</v>
      </c>
      <c r="Q47">
        <v>1</v>
      </c>
      <c r="R47" t="s">
        <v>83</v>
      </c>
      <c r="S47" t="s">
        <v>349</v>
      </c>
      <c r="T47" t="s">
        <v>349</v>
      </c>
      <c r="U47">
        <v>0</v>
      </c>
      <c r="V47">
        <v>5969.53</v>
      </c>
      <c r="W47">
        <v>0</v>
      </c>
    </row>
    <row r="48" spans="1:23" x14ac:dyDescent="0.3">
      <c r="A48" s="1">
        <v>43770</v>
      </c>
      <c r="B48" s="1">
        <v>43770</v>
      </c>
      <c r="C48" t="s">
        <v>157</v>
      </c>
      <c r="D48" t="s">
        <v>54</v>
      </c>
      <c r="E48" t="s">
        <v>21</v>
      </c>
      <c r="F48" t="s">
        <v>191</v>
      </c>
      <c r="G48" s="53">
        <v>43805</v>
      </c>
      <c r="H48">
        <v>33</v>
      </c>
      <c r="I48">
        <v>11167</v>
      </c>
      <c r="J48" t="s">
        <v>50</v>
      </c>
      <c r="K48" t="s">
        <v>50</v>
      </c>
      <c r="L48" t="s">
        <v>159</v>
      </c>
      <c r="M48" t="s">
        <v>51</v>
      </c>
      <c r="N48" t="s">
        <v>92</v>
      </c>
      <c r="O48" s="1">
        <v>41335</v>
      </c>
      <c r="P48" t="s">
        <v>84</v>
      </c>
      <c r="Q48">
        <v>2</v>
      </c>
      <c r="R48" t="s">
        <v>94</v>
      </c>
      <c r="S48" t="s">
        <v>349</v>
      </c>
      <c r="T48" t="s">
        <v>349</v>
      </c>
      <c r="U48">
        <v>0</v>
      </c>
      <c r="V48">
        <v>6128.55</v>
      </c>
      <c r="W48">
        <v>0</v>
      </c>
    </row>
    <row r="49" spans="1:23" x14ac:dyDescent="0.3">
      <c r="A49" s="1">
        <v>43770</v>
      </c>
      <c r="B49" s="1">
        <v>43770</v>
      </c>
      <c r="C49" t="s">
        <v>157</v>
      </c>
      <c r="D49" t="s">
        <v>54</v>
      </c>
      <c r="E49" t="s">
        <v>21</v>
      </c>
      <c r="F49" t="s">
        <v>191</v>
      </c>
      <c r="G49" s="53">
        <v>43805</v>
      </c>
      <c r="H49">
        <v>33</v>
      </c>
      <c r="I49">
        <v>11167</v>
      </c>
      <c r="J49" t="s">
        <v>50</v>
      </c>
      <c r="K49" t="s">
        <v>50</v>
      </c>
      <c r="L49" t="s">
        <v>159</v>
      </c>
      <c r="M49" t="s">
        <v>51</v>
      </c>
      <c r="N49" t="s">
        <v>92</v>
      </c>
      <c r="O49" s="1">
        <v>41335</v>
      </c>
      <c r="P49" t="s">
        <v>84</v>
      </c>
      <c r="Q49">
        <v>3</v>
      </c>
      <c r="R49" t="s">
        <v>81</v>
      </c>
      <c r="S49" t="s">
        <v>349</v>
      </c>
      <c r="T49" t="s">
        <v>349</v>
      </c>
      <c r="U49">
        <v>0</v>
      </c>
      <c r="V49">
        <v>5735.8</v>
      </c>
      <c r="W49">
        <v>0</v>
      </c>
    </row>
    <row r="50" spans="1:23" x14ac:dyDescent="0.3">
      <c r="A50" s="1">
        <v>43770</v>
      </c>
      <c r="B50" s="1">
        <v>43770</v>
      </c>
      <c r="C50" t="s">
        <v>157</v>
      </c>
      <c r="D50" t="s">
        <v>54</v>
      </c>
      <c r="E50" t="s">
        <v>21</v>
      </c>
      <c r="F50" t="s">
        <v>191</v>
      </c>
      <c r="G50" s="53">
        <v>43805</v>
      </c>
      <c r="H50">
        <v>33</v>
      </c>
      <c r="I50">
        <v>11167</v>
      </c>
      <c r="J50" t="s">
        <v>50</v>
      </c>
      <c r="K50" t="s">
        <v>50</v>
      </c>
      <c r="L50" t="s">
        <v>159</v>
      </c>
      <c r="M50" t="s">
        <v>51</v>
      </c>
      <c r="N50" t="s">
        <v>92</v>
      </c>
      <c r="O50" s="1">
        <v>41335</v>
      </c>
      <c r="P50" t="s">
        <v>84</v>
      </c>
      <c r="Q50">
        <v>4</v>
      </c>
      <c r="R50" t="s">
        <v>27</v>
      </c>
      <c r="S50" t="s">
        <v>349</v>
      </c>
      <c r="T50" t="s">
        <v>349</v>
      </c>
      <c r="U50">
        <v>0</v>
      </c>
      <c r="V50">
        <v>5821.34</v>
      </c>
      <c r="W50">
        <v>0</v>
      </c>
    </row>
    <row r="51" spans="1:23" x14ac:dyDescent="0.3">
      <c r="A51" s="1">
        <v>43770</v>
      </c>
      <c r="B51" s="1">
        <v>43770</v>
      </c>
      <c r="C51" t="s">
        <v>157</v>
      </c>
      <c r="D51" t="s">
        <v>54</v>
      </c>
      <c r="E51" t="s">
        <v>21</v>
      </c>
      <c r="F51" t="s">
        <v>191</v>
      </c>
      <c r="G51" s="53">
        <v>43805</v>
      </c>
      <c r="H51">
        <v>33</v>
      </c>
      <c r="I51">
        <v>11167</v>
      </c>
      <c r="J51" t="s">
        <v>50</v>
      </c>
      <c r="K51" t="s">
        <v>50</v>
      </c>
      <c r="L51" t="s">
        <v>159</v>
      </c>
      <c r="M51" t="s">
        <v>51</v>
      </c>
      <c r="N51" t="s">
        <v>92</v>
      </c>
      <c r="O51" s="1">
        <v>41335</v>
      </c>
      <c r="P51" t="s">
        <v>84</v>
      </c>
      <c r="Q51">
        <v>5</v>
      </c>
      <c r="R51" t="s">
        <v>28</v>
      </c>
      <c r="S51" t="s">
        <v>349</v>
      </c>
      <c r="T51" t="s">
        <v>349</v>
      </c>
      <c r="U51">
        <v>0</v>
      </c>
      <c r="V51">
        <v>6082.17</v>
      </c>
      <c r="W51">
        <v>0</v>
      </c>
    </row>
    <row r="52" spans="1:23" x14ac:dyDescent="0.3">
      <c r="A52" s="1">
        <v>43800</v>
      </c>
      <c r="B52" s="1">
        <v>43800</v>
      </c>
      <c r="C52" t="s">
        <v>157</v>
      </c>
      <c r="D52" t="s">
        <v>54</v>
      </c>
      <c r="E52" t="s">
        <v>21</v>
      </c>
      <c r="F52" t="s">
        <v>195</v>
      </c>
      <c r="G52" s="53">
        <v>43837</v>
      </c>
      <c r="H52">
        <v>33</v>
      </c>
      <c r="I52">
        <v>11902</v>
      </c>
      <c r="J52" t="s">
        <v>50</v>
      </c>
      <c r="K52" t="s">
        <v>50</v>
      </c>
      <c r="L52" t="s">
        <v>159</v>
      </c>
      <c r="M52" t="s">
        <v>51</v>
      </c>
      <c r="N52" t="s">
        <v>92</v>
      </c>
      <c r="O52" s="1">
        <v>41335</v>
      </c>
      <c r="P52" t="s">
        <v>84</v>
      </c>
      <c r="Q52">
        <v>1</v>
      </c>
      <c r="R52" t="s">
        <v>83</v>
      </c>
      <c r="S52" t="s">
        <v>349</v>
      </c>
      <c r="T52" t="s">
        <v>349</v>
      </c>
      <c r="U52">
        <v>0</v>
      </c>
      <c r="V52">
        <v>5969.53</v>
      </c>
      <c r="W52">
        <v>0</v>
      </c>
    </row>
    <row r="53" spans="1:23" x14ac:dyDescent="0.3">
      <c r="A53" s="1">
        <v>43800</v>
      </c>
      <c r="B53" s="1">
        <v>43800</v>
      </c>
      <c r="C53" t="s">
        <v>157</v>
      </c>
      <c r="D53" t="s">
        <v>54</v>
      </c>
      <c r="E53" t="s">
        <v>21</v>
      </c>
      <c r="F53" t="s">
        <v>195</v>
      </c>
      <c r="G53" s="53">
        <v>43837</v>
      </c>
      <c r="H53">
        <v>33</v>
      </c>
      <c r="I53">
        <v>11902</v>
      </c>
      <c r="J53" t="s">
        <v>50</v>
      </c>
      <c r="K53" t="s">
        <v>50</v>
      </c>
      <c r="L53" t="s">
        <v>159</v>
      </c>
      <c r="M53" t="s">
        <v>51</v>
      </c>
      <c r="N53" t="s">
        <v>92</v>
      </c>
      <c r="O53" s="1">
        <v>41335</v>
      </c>
      <c r="P53" t="s">
        <v>84</v>
      </c>
      <c r="Q53">
        <v>2</v>
      </c>
      <c r="R53" t="s">
        <v>94</v>
      </c>
      <c r="S53" t="s">
        <v>349</v>
      </c>
      <c r="T53" t="s">
        <v>349</v>
      </c>
      <c r="U53">
        <v>0</v>
      </c>
      <c r="V53">
        <v>6128.55</v>
      </c>
      <c r="W53">
        <v>0</v>
      </c>
    </row>
    <row r="54" spans="1:23" x14ac:dyDescent="0.3">
      <c r="A54" s="1">
        <v>43800</v>
      </c>
      <c r="B54" s="1">
        <v>43800</v>
      </c>
      <c r="C54" t="s">
        <v>157</v>
      </c>
      <c r="D54" t="s">
        <v>54</v>
      </c>
      <c r="E54" t="s">
        <v>21</v>
      </c>
      <c r="F54" t="s">
        <v>195</v>
      </c>
      <c r="G54" s="53">
        <v>43837</v>
      </c>
      <c r="H54">
        <v>33</v>
      </c>
      <c r="I54">
        <v>11902</v>
      </c>
      <c r="J54" t="s">
        <v>50</v>
      </c>
      <c r="K54" t="s">
        <v>50</v>
      </c>
      <c r="L54" t="s">
        <v>159</v>
      </c>
      <c r="M54" t="s">
        <v>51</v>
      </c>
      <c r="N54" t="s">
        <v>92</v>
      </c>
      <c r="O54" s="1">
        <v>41335</v>
      </c>
      <c r="P54" t="s">
        <v>84</v>
      </c>
      <c r="Q54">
        <v>3</v>
      </c>
      <c r="R54" t="s">
        <v>81</v>
      </c>
      <c r="S54" t="s">
        <v>349</v>
      </c>
      <c r="T54" t="s">
        <v>349</v>
      </c>
      <c r="U54">
        <v>0</v>
      </c>
      <c r="V54">
        <v>5735.8</v>
      </c>
      <c r="W54">
        <v>0</v>
      </c>
    </row>
    <row r="55" spans="1:23" x14ac:dyDescent="0.3">
      <c r="A55" s="1">
        <v>43800</v>
      </c>
      <c r="B55" s="1">
        <v>43800</v>
      </c>
      <c r="C55" t="s">
        <v>157</v>
      </c>
      <c r="D55" t="s">
        <v>54</v>
      </c>
      <c r="E55" t="s">
        <v>21</v>
      </c>
      <c r="F55" t="s">
        <v>195</v>
      </c>
      <c r="G55" s="53">
        <v>43837</v>
      </c>
      <c r="H55">
        <v>33</v>
      </c>
      <c r="I55">
        <v>11902</v>
      </c>
      <c r="J55" t="s">
        <v>50</v>
      </c>
      <c r="K55" t="s">
        <v>50</v>
      </c>
      <c r="L55" t="s">
        <v>159</v>
      </c>
      <c r="M55" t="s">
        <v>51</v>
      </c>
      <c r="N55" t="s">
        <v>92</v>
      </c>
      <c r="O55" s="1">
        <v>41335</v>
      </c>
      <c r="P55" t="s">
        <v>84</v>
      </c>
      <c r="Q55">
        <v>4</v>
      </c>
      <c r="R55" t="s">
        <v>27</v>
      </c>
      <c r="S55" t="s">
        <v>349</v>
      </c>
      <c r="T55" t="s">
        <v>349</v>
      </c>
      <c r="U55">
        <v>0</v>
      </c>
      <c r="V55">
        <v>5821.34</v>
      </c>
      <c r="W55">
        <v>0</v>
      </c>
    </row>
    <row r="56" spans="1:23" x14ac:dyDescent="0.3">
      <c r="A56" s="1">
        <v>43800</v>
      </c>
      <c r="B56" s="1">
        <v>43800</v>
      </c>
      <c r="C56" t="s">
        <v>157</v>
      </c>
      <c r="D56" t="s">
        <v>54</v>
      </c>
      <c r="E56" t="s">
        <v>21</v>
      </c>
      <c r="F56" t="s">
        <v>195</v>
      </c>
      <c r="G56" s="53">
        <v>43837</v>
      </c>
      <c r="H56">
        <v>33</v>
      </c>
      <c r="I56">
        <v>11902</v>
      </c>
      <c r="J56" t="s">
        <v>50</v>
      </c>
      <c r="K56" t="s">
        <v>50</v>
      </c>
      <c r="L56" t="s">
        <v>159</v>
      </c>
      <c r="M56" t="s">
        <v>51</v>
      </c>
      <c r="N56" t="s">
        <v>92</v>
      </c>
      <c r="O56" s="1">
        <v>41335</v>
      </c>
      <c r="P56" t="s">
        <v>84</v>
      </c>
      <c r="Q56">
        <v>5</v>
      </c>
      <c r="R56" t="s">
        <v>28</v>
      </c>
      <c r="S56" t="s">
        <v>349</v>
      </c>
      <c r="T56" t="s">
        <v>349</v>
      </c>
      <c r="U56">
        <v>0</v>
      </c>
      <c r="V56">
        <v>6082.17</v>
      </c>
      <c r="W56">
        <v>0</v>
      </c>
    </row>
    <row r="57" spans="1:23" x14ac:dyDescent="0.3">
      <c r="A57" s="1">
        <v>43831</v>
      </c>
      <c r="B57" s="1">
        <v>43831</v>
      </c>
      <c r="C57" t="s">
        <v>157</v>
      </c>
      <c r="D57" t="s">
        <v>54</v>
      </c>
      <c r="E57" t="s">
        <v>21</v>
      </c>
      <c r="F57" t="s">
        <v>199</v>
      </c>
      <c r="G57" s="53">
        <v>43910.518553240741</v>
      </c>
      <c r="H57">
        <v>33</v>
      </c>
      <c r="I57">
        <v>13159</v>
      </c>
      <c r="J57" t="s">
        <v>50</v>
      </c>
      <c r="K57" t="s">
        <v>50</v>
      </c>
      <c r="L57" t="s">
        <v>159</v>
      </c>
      <c r="M57" t="s">
        <v>51</v>
      </c>
      <c r="N57" t="s">
        <v>92</v>
      </c>
      <c r="O57" s="1">
        <v>41335</v>
      </c>
      <c r="P57" t="s">
        <v>84</v>
      </c>
      <c r="Q57">
        <v>1</v>
      </c>
      <c r="R57" t="s">
        <v>83</v>
      </c>
      <c r="S57" t="s">
        <v>349</v>
      </c>
      <c r="T57" t="s">
        <v>349</v>
      </c>
      <c r="U57">
        <v>0</v>
      </c>
      <c r="V57">
        <v>5969.53</v>
      </c>
      <c r="W57">
        <v>0</v>
      </c>
    </row>
    <row r="58" spans="1:23" x14ac:dyDescent="0.3">
      <c r="A58" s="1">
        <v>43831</v>
      </c>
      <c r="B58" s="1">
        <v>43831</v>
      </c>
      <c r="C58" t="s">
        <v>157</v>
      </c>
      <c r="D58" t="s">
        <v>54</v>
      </c>
      <c r="E58" t="s">
        <v>21</v>
      </c>
      <c r="F58" t="s">
        <v>199</v>
      </c>
      <c r="G58" s="53">
        <v>43910.518553240741</v>
      </c>
      <c r="H58">
        <v>33</v>
      </c>
      <c r="I58">
        <v>13159</v>
      </c>
      <c r="J58" t="s">
        <v>50</v>
      </c>
      <c r="K58" t="s">
        <v>50</v>
      </c>
      <c r="L58" t="s">
        <v>159</v>
      </c>
      <c r="M58" t="s">
        <v>51</v>
      </c>
      <c r="N58" t="s">
        <v>92</v>
      </c>
      <c r="O58" s="1">
        <v>41335</v>
      </c>
      <c r="P58" t="s">
        <v>84</v>
      </c>
      <c r="Q58">
        <v>2</v>
      </c>
      <c r="R58" t="s">
        <v>94</v>
      </c>
      <c r="S58" t="s">
        <v>349</v>
      </c>
      <c r="T58" t="s">
        <v>349</v>
      </c>
      <c r="U58">
        <v>0</v>
      </c>
      <c r="V58">
        <v>6128.55</v>
      </c>
      <c r="W58">
        <v>0</v>
      </c>
    </row>
    <row r="59" spans="1:23" x14ac:dyDescent="0.3">
      <c r="A59" s="1">
        <v>43831</v>
      </c>
      <c r="B59" s="1">
        <v>43831</v>
      </c>
      <c r="C59" t="s">
        <v>157</v>
      </c>
      <c r="D59" t="s">
        <v>54</v>
      </c>
      <c r="E59" t="s">
        <v>21</v>
      </c>
      <c r="F59" t="s">
        <v>199</v>
      </c>
      <c r="G59" s="53">
        <v>43910.518553240741</v>
      </c>
      <c r="H59">
        <v>33</v>
      </c>
      <c r="I59">
        <v>13159</v>
      </c>
      <c r="J59" t="s">
        <v>50</v>
      </c>
      <c r="K59" t="s">
        <v>50</v>
      </c>
      <c r="L59" t="s">
        <v>159</v>
      </c>
      <c r="M59" t="s">
        <v>51</v>
      </c>
      <c r="N59" t="s">
        <v>92</v>
      </c>
      <c r="O59" s="1">
        <v>41335</v>
      </c>
      <c r="P59" t="s">
        <v>84</v>
      </c>
      <c r="Q59">
        <v>3</v>
      </c>
      <c r="R59" t="s">
        <v>81</v>
      </c>
      <c r="S59" t="s">
        <v>349</v>
      </c>
      <c r="T59" t="s">
        <v>349</v>
      </c>
      <c r="U59">
        <v>0</v>
      </c>
      <c r="V59">
        <v>5735.8</v>
      </c>
      <c r="W59">
        <v>0</v>
      </c>
    </row>
    <row r="60" spans="1:23" x14ac:dyDescent="0.3">
      <c r="A60" s="1">
        <v>43831</v>
      </c>
      <c r="B60" s="1">
        <v>43831</v>
      </c>
      <c r="C60" t="s">
        <v>157</v>
      </c>
      <c r="D60" t="s">
        <v>54</v>
      </c>
      <c r="E60" t="s">
        <v>21</v>
      </c>
      <c r="F60" t="s">
        <v>199</v>
      </c>
      <c r="G60" s="53">
        <v>43910.518553240741</v>
      </c>
      <c r="H60">
        <v>33</v>
      </c>
      <c r="I60">
        <v>13159</v>
      </c>
      <c r="J60" t="s">
        <v>50</v>
      </c>
      <c r="K60" t="s">
        <v>50</v>
      </c>
      <c r="L60" t="s">
        <v>159</v>
      </c>
      <c r="M60" t="s">
        <v>51</v>
      </c>
      <c r="N60" t="s">
        <v>92</v>
      </c>
      <c r="O60" s="1">
        <v>41335</v>
      </c>
      <c r="P60" t="s">
        <v>84</v>
      </c>
      <c r="Q60">
        <v>4</v>
      </c>
      <c r="R60" t="s">
        <v>27</v>
      </c>
      <c r="S60" t="s">
        <v>349</v>
      </c>
      <c r="T60" t="s">
        <v>349</v>
      </c>
      <c r="U60">
        <v>0</v>
      </c>
      <c r="V60">
        <v>5821.34</v>
      </c>
      <c r="W60">
        <v>0</v>
      </c>
    </row>
    <row r="61" spans="1:23" x14ac:dyDescent="0.3">
      <c r="A61" s="1">
        <v>43831</v>
      </c>
      <c r="B61" s="1">
        <v>43831</v>
      </c>
      <c r="C61" t="s">
        <v>157</v>
      </c>
      <c r="D61" t="s">
        <v>54</v>
      </c>
      <c r="E61" t="s">
        <v>21</v>
      </c>
      <c r="F61" t="s">
        <v>199</v>
      </c>
      <c r="G61" s="53">
        <v>43910.518553240741</v>
      </c>
      <c r="H61">
        <v>33</v>
      </c>
      <c r="I61">
        <v>13159</v>
      </c>
      <c r="J61" t="s">
        <v>50</v>
      </c>
      <c r="K61" t="s">
        <v>50</v>
      </c>
      <c r="L61" t="s">
        <v>159</v>
      </c>
      <c r="M61" t="s">
        <v>51</v>
      </c>
      <c r="N61" t="s">
        <v>92</v>
      </c>
      <c r="O61" s="1">
        <v>41335</v>
      </c>
      <c r="P61" t="s">
        <v>84</v>
      </c>
      <c r="Q61">
        <v>5</v>
      </c>
      <c r="R61" t="s">
        <v>28</v>
      </c>
      <c r="S61" t="s">
        <v>349</v>
      </c>
      <c r="T61" t="s">
        <v>349</v>
      </c>
      <c r="U61">
        <v>0</v>
      </c>
      <c r="V61">
        <v>6082.17</v>
      </c>
      <c r="W61">
        <v>0</v>
      </c>
    </row>
    <row r="62" spans="1:23" x14ac:dyDescent="0.3">
      <c r="A62" s="1">
        <v>43862</v>
      </c>
      <c r="B62" s="1">
        <v>43862</v>
      </c>
      <c r="C62" t="s">
        <v>157</v>
      </c>
      <c r="D62" t="s">
        <v>54</v>
      </c>
      <c r="E62" t="s">
        <v>21</v>
      </c>
      <c r="F62" t="s">
        <v>203</v>
      </c>
      <c r="G62" s="53">
        <v>43902.628391203703</v>
      </c>
      <c r="H62">
        <v>33</v>
      </c>
      <c r="I62">
        <v>13209</v>
      </c>
      <c r="J62" t="s">
        <v>50</v>
      </c>
      <c r="K62" t="s">
        <v>50</v>
      </c>
      <c r="L62" t="s">
        <v>159</v>
      </c>
      <c r="M62" t="s">
        <v>51</v>
      </c>
      <c r="N62" t="s">
        <v>92</v>
      </c>
      <c r="O62" s="1">
        <v>41335</v>
      </c>
      <c r="P62" t="s">
        <v>84</v>
      </c>
      <c r="Q62">
        <v>1</v>
      </c>
      <c r="R62" t="s">
        <v>83</v>
      </c>
      <c r="S62" t="s">
        <v>349</v>
      </c>
      <c r="T62" t="s">
        <v>349</v>
      </c>
      <c r="U62">
        <v>0</v>
      </c>
      <c r="V62">
        <v>6208.06</v>
      </c>
      <c r="W62">
        <v>0</v>
      </c>
    </row>
    <row r="63" spans="1:23" x14ac:dyDescent="0.3">
      <c r="A63" s="1">
        <v>43862</v>
      </c>
      <c r="B63" s="1">
        <v>43862</v>
      </c>
      <c r="C63" t="s">
        <v>157</v>
      </c>
      <c r="D63" t="s">
        <v>54</v>
      </c>
      <c r="E63" t="s">
        <v>21</v>
      </c>
      <c r="F63" t="s">
        <v>203</v>
      </c>
      <c r="G63" s="53">
        <v>43902.628391203703</v>
      </c>
      <c r="H63">
        <v>33</v>
      </c>
      <c r="I63">
        <v>13209</v>
      </c>
      <c r="J63" t="s">
        <v>50</v>
      </c>
      <c r="K63" t="s">
        <v>50</v>
      </c>
      <c r="L63" t="s">
        <v>159</v>
      </c>
      <c r="M63" t="s">
        <v>51</v>
      </c>
      <c r="N63" t="s">
        <v>92</v>
      </c>
      <c r="O63" s="1">
        <v>41335</v>
      </c>
      <c r="P63" t="s">
        <v>84</v>
      </c>
      <c r="Q63">
        <v>2</v>
      </c>
      <c r="R63" t="s">
        <v>94</v>
      </c>
      <c r="S63" t="s">
        <v>349</v>
      </c>
      <c r="T63" t="s">
        <v>349</v>
      </c>
      <c r="U63">
        <v>0</v>
      </c>
      <c r="V63">
        <v>6283.67</v>
      </c>
      <c r="W63">
        <v>0</v>
      </c>
    </row>
    <row r="64" spans="1:23" x14ac:dyDescent="0.3">
      <c r="A64" s="1">
        <v>43862</v>
      </c>
      <c r="B64" s="1">
        <v>43862</v>
      </c>
      <c r="C64" t="s">
        <v>157</v>
      </c>
      <c r="D64" t="s">
        <v>54</v>
      </c>
      <c r="E64" t="s">
        <v>21</v>
      </c>
      <c r="F64" t="s">
        <v>203</v>
      </c>
      <c r="G64" s="53">
        <v>43902.628391203703</v>
      </c>
      <c r="H64">
        <v>33</v>
      </c>
      <c r="I64">
        <v>13209</v>
      </c>
      <c r="J64" t="s">
        <v>50</v>
      </c>
      <c r="K64" t="s">
        <v>50</v>
      </c>
      <c r="L64" t="s">
        <v>159</v>
      </c>
      <c r="M64" t="s">
        <v>51</v>
      </c>
      <c r="N64" t="s">
        <v>92</v>
      </c>
      <c r="O64" s="1">
        <v>41335</v>
      </c>
      <c r="P64" t="s">
        <v>84</v>
      </c>
      <c r="Q64">
        <v>3</v>
      </c>
      <c r="R64" t="s">
        <v>81</v>
      </c>
      <c r="S64" t="s">
        <v>349</v>
      </c>
      <c r="T64" t="s">
        <v>349</v>
      </c>
      <c r="U64">
        <v>0</v>
      </c>
      <c r="V64">
        <v>5891.37</v>
      </c>
      <c r="W64">
        <v>0</v>
      </c>
    </row>
    <row r="65" spans="1:23" x14ac:dyDescent="0.3">
      <c r="A65" s="1">
        <v>43862</v>
      </c>
      <c r="B65" s="1">
        <v>43862</v>
      </c>
      <c r="C65" t="s">
        <v>157</v>
      </c>
      <c r="D65" t="s">
        <v>54</v>
      </c>
      <c r="E65" t="s">
        <v>21</v>
      </c>
      <c r="F65" t="s">
        <v>203</v>
      </c>
      <c r="G65" s="53">
        <v>43902.628391203703</v>
      </c>
      <c r="H65">
        <v>33</v>
      </c>
      <c r="I65">
        <v>13209</v>
      </c>
      <c r="J65" t="s">
        <v>50</v>
      </c>
      <c r="K65" t="s">
        <v>50</v>
      </c>
      <c r="L65" t="s">
        <v>159</v>
      </c>
      <c r="M65" t="s">
        <v>51</v>
      </c>
      <c r="N65" t="s">
        <v>92</v>
      </c>
      <c r="O65" s="1">
        <v>41335</v>
      </c>
      <c r="P65" t="s">
        <v>84</v>
      </c>
      <c r="Q65">
        <v>4</v>
      </c>
      <c r="R65" t="s">
        <v>27</v>
      </c>
      <c r="S65" t="s">
        <v>349</v>
      </c>
      <c r="T65" t="s">
        <v>349</v>
      </c>
      <c r="U65">
        <v>0</v>
      </c>
      <c r="V65">
        <v>6091.55</v>
      </c>
      <c r="W65">
        <v>0</v>
      </c>
    </row>
    <row r="66" spans="1:23" x14ac:dyDescent="0.3">
      <c r="A66" s="1">
        <v>43862</v>
      </c>
      <c r="B66" s="1">
        <v>43862</v>
      </c>
      <c r="C66" t="s">
        <v>157</v>
      </c>
      <c r="D66" t="s">
        <v>54</v>
      </c>
      <c r="E66" t="s">
        <v>21</v>
      </c>
      <c r="F66" t="s">
        <v>203</v>
      </c>
      <c r="G66" s="53">
        <v>43902.628391203703</v>
      </c>
      <c r="H66">
        <v>33</v>
      </c>
      <c r="I66">
        <v>13209</v>
      </c>
      <c r="J66" t="s">
        <v>50</v>
      </c>
      <c r="K66" t="s">
        <v>50</v>
      </c>
      <c r="L66" t="s">
        <v>159</v>
      </c>
      <c r="M66" t="s">
        <v>51</v>
      </c>
      <c r="N66" t="s">
        <v>92</v>
      </c>
      <c r="O66" s="1">
        <v>41335</v>
      </c>
      <c r="P66" t="s">
        <v>84</v>
      </c>
      <c r="Q66">
        <v>5</v>
      </c>
      <c r="R66" t="s">
        <v>28</v>
      </c>
      <c r="S66" t="s">
        <v>349</v>
      </c>
      <c r="T66" t="s">
        <v>349</v>
      </c>
      <c r="U66">
        <v>0</v>
      </c>
      <c r="V66">
        <v>5908.1</v>
      </c>
      <c r="W66">
        <v>0</v>
      </c>
    </row>
    <row r="67" spans="1:23" x14ac:dyDescent="0.3">
      <c r="A67" s="1">
        <v>43891</v>
      </c>
      <c r="B67" s="1">
        <v>43891</v>
      </c>
      <c r="C67" t="s">
        <v>157</v>
      </c>
      <c r="D67" t="s">
        <v>54</v>
      </c>
      <c r="E67" t="s">
        <v>21</v>
      </c>
      <c r="F67" t="s">
        <v>206</v>
      </c>
      <c r="G67" s="53">
        <v>43928.620706018519</v>
      </c>
      <c r="H67">
        <v>33</v>
      </c>
      <c r="I67">
        <v>13219</v>
      </c>
      <c r="J67" t="s">
        <v>50</v>
      </c>
      <c r="K67" t="s">
        <v>50</v>
      </c>
      <c r="L67" t="s">
        <v>159</v>
      </c>
      <c r="M67" t="s">
        <v>51</v>
      </c>
      <c r="N67" t="s">
        <v>92</v>
      </c>
      <c r="O67" s="1">
        <v>41335</v>
      </c>
      <c r="P67" t="s">
        <v>84</v>
      </c>
      <c r="Q67">
        <v>1</v>
      </c>
      <c r="R67" t="s">
        <v>83</v>
      </c>
      <c r="S67" t="s">
        <v>349</v>
      </c>
      <c r="T67" t="s">
        <v>349</v>
      </c>
      <c r="U67">
        <v>0</v>
      </c>
      <c r="V67">
        <v>6208.06</v>
      </c>
      <c r="W67">
        <v>0</v>
      </c>
    </row>
    <row r="68" spans="1:23" x14ac:dyDescent="0.3">
      <c r="A68" s="1">
        <v>43891</v>
      </c>
      <c r="B68" s="1">
        <v>43891</v>
      </c>
      <c r="C68" t="s">
        <v>157</v>
      </c>
      <c r="D68" t="s">
        <v>54</v>
      </c>
      <c r="E68" t="s">
        <v>21</v>
      </c>
      <c r="F68" t="s">
        <v>206</v>
      </c>
      <c r="G68" s="53">
        <v>43928.620706018519</v>
      </c>
      <c r="H68">
        <v>33</v>
      </c>
      <c r="I68">
        <v>13219</v>
      </c>
      <c r="J68" t="s">
        <v>50</v>
      </c>
      <c r="K68" t="s">
        <v>50</v>
      </c>
      <c r="L68" t="s">
        <v>159</v>
      </c>
      <c r="M68" t="s">
        <v>51</v>
      </c>
      <c r="N68" t="s">
        <v>92</v>
      </c>
      <c r="O68" s="1">
        <v>41335</v>
      </c>
      <c r="P68" t="s">
        <v>84</v>
      </c>
      <c r="Q68">
        <v>2</v>
      </c>
      <c r="R68" t="s">
        <v>94</v>
      </c>
      <c r="S68" t="s">
        <v>349</v>
      </c>
      <c r="T68" t="s">
        <v>349</v>
      </c>
      <c r="U68">
        <v>0</v>
      </c>
      <c r="V68">
        <v>6283.67</v>
      </c>
      <c r="W68">
        <v>0</v>
      </c>
    </row>
    <row r="69" spans="1:23" x14ac:dyDescent="0.3">
      <c r="A69" s="1">
        <v>43891</v>
      </c>
      <c r="B69" s="1">
        <v>43891</v>
      </c>
      <c r="C69" t="s">
        <v>157</v>
      </c>
      <c r="D69" t="s">
        <v>54</v>
      </c>
      <c r="E69" t="s">
        <v>21</v>
      </c>
      <c r="F69" t="s">
        <v>206</v>
      </c>
      <c r="G69" s="53">
        <v>43928.620706018519</v>
      </c>
      <c r="H69">
        <v>33</v>
      </c>
      <c r="I69">
        <v>13219</v>
      </c>
      <c r="J69" t="s">
        <v>50</v>
      </c>
      <c r="K69" t="s">
        <v>50</v>
      </c>
      <c r="L69" t="s">
        <v>159</v>
      </c>
      <c r="M69" t="s">
        <v>51</v>
      </c>
      <c r="N69" t="s">
        <v>92</v>
      </c>
      <c r="O69" s="1">
        <v>41335</v>
      </c>
      <c r="P69" t="s">
        <v>84</v>
      </c>
      <c r="Q69">
        <v>3</v>
      </c>
      <c r="R69" t="s">
        <v>81</v>
      </c>
      <c r="S69" t="s">
        <v>349</v>
      </c>
      <c r="T69" t="s">
        <v>349</v>
      </c>
      <c r="U69">
        <v>0</v>
      </c>
      <c r="V69">
        <v>5891.37</v>
      </c>
      <c r="W69">
        <v>0</v>
      </c>
    </row>
    <row r="70" spans="1:23" x14ac:dyDescent="0.3">
      <c r="A70" s="1">
        <v>43891</v>
      </c>
      <c r="B70" s="1">
        <v>43891</v>
      </c>
      <c r="C70" t="s">
        <v>157</v>
      </c>
      <c r="D70" t="s">
        <v>54</v>
      </c>
      <c r="E70" t="s">
        <v>21</v>
      </c>
      <c r="F70" t="s">
        <v>206</v>
      </c>
      <c r="G70" s="53">
        <v>43928.620706018519</v>
      </c>
      <c r="H70">
        <v>33</v>
      </c>
      <c r="I70">
        <v>13219</v>
      </c>
      <c r="J70" t="s">
        <v>50</v>
      </c>
      <c r="K70" t="s">
        <v>50</v>
      </c>
      <c r="L70" t="s">
        <v>159</v>
      </c>
      <c r="M70" t="s">
        <v>51</v>
      </c>
      <c r="N70" t="s">
        <v>92</v>
      </c>
      <c r="O70" s="1">
        <v>41335</v>
      </c>
      <c r="P70" t="s">
        <v>84</v>
      </c>
      <c r="Q70">
        <v>4</v>
      </c>
      <c r="R70" t="s">
        <v>27</v>
      </c>
      <c r="S70" t="s">
        <v>349</v>
      </c>
      <c r="T70" t="s">
        <v>349</v>
      </c>
      <c r="U70">
        <v>0</v>
      </c>
      <c r="V70">
        <v>6091.55</v>
      </c>
      <c r="W70">
        <v>0</v>
      </c>
    </row>
    <row r="71" spans="1:23" x14ac:dyDescent="0.3">
      <c r="A71" s="1">
        <v>43891</v>
      </c>
      <c r="B71" s="1">
        <v>43891</v>
      </c>
      <c r="C71" t="s">
        <v>157</v>
      </c>
      <c r="D71" t="s">
        <v>54</v>
      </c>
      <c r="E71" t="s">
        <v>21</v>
      </c>
      <c r="F71" t="s">
        <v>206</v>
      </c>
      <c r="G71" s="53">
        <v>43928.620706018519</v>
      </c>
      <c r="H71">
        <v>33</v>
      </c>
      <c r="I71">
        <v>13219</v>
      </c>
      <c r="J71" t="s">
        <v>50</v>
      </c>
      <c r="K71" t="s">
        <v>50</v>
      </c>
      <c r="L71" t="s">
        <v>159</v>
      </c>
      <c r="M71" t="s">
        <v>51</v>
      </c>
      <c r="N71" t="s">
        <v>92</v>
      </c>
      <c r="O71" s="1">
        <v>41335</v>
      </c>
      <c r="P71" t="s">
        <v>84</v>
      </c>
      <c r="Q71">
        <v>5</v>
      </c>
      <c r="R71" t="s">
        <v>28</v>
      </c>
      <c r="S71" t="s">
        <v>349</v>
      </c>
      <c r="T71" t="s">
        <v>349</v>
      </c>
      <c r="U71">
        <v>0</v>
      </c>
      <c r="V71">
        <v>5908.1</v>
      </c>
      <c r="W71">
        <v>0</v>
      </c>
    </row>
    <row r="72" spans="1:23" x14ac:dyDescent="0.3">
      <c r="A72" s="1">
        <v>43922</v>
      </c>
      <c r="B72" s="1">
        <v>43922</v>
      </c>
      <c r="C72" t="s">
        <v>157</v>
      </c>
      <c r="D72" t="s">
        <v>54</v>
      </c>
      <c r="E72" t="s">
        <v>21</v>
      </c>
      <c r="F72" t="s">
        <v>212</v>
      </c>
      <c r="G72" s="53">
        <v>43959.644641203704</v>
      </c>
      <c r="H72">
        <v>33</v>
      </c>
      <c r="I72">
        <v>13722</v>
      </c>
      <c r="J72" t="s">
        <v>50</v>
      </c>
      <c r="K72" t="s">
        <v>50</v>
      </c>
      <c r="L72" t="s">
        <v>159</v>
      </c>
      <c r="M72" t="s">
        <v>51</v>
      </c>
      <c r="N72" t="s">
        <v>92</v>
      </c>
      <c r="O72" s="1">
        <v>41335</v>
      </c>
      <c r="P72" t="s">
        <v>84</v>
      </c>
      <c r="Q72">
        <v>1</v>
      </c>
      <c r="R72" t="s">
        <v>83</v>
      </c>
      <c r="S72" t="s">
        <v>349</v>
      </c>
      <c r="T72" t="s">
        <v>349</v>
      </c>
      <c r="U72">
        <v>0</v>
      </c>
      <c r="V72">
        <v>6077.2</v>
      </c>
      <c r="W72">
        <v>0</v>
      </c>
    </row>
    <row r="73" spans="1:23" x14ac:dyDescent="0.3">
      <c r="A73" s="1">
        <v>43922</v>
      </c>
      <c r="B73" s="1">
        <v>43922</v>
      </c>
      <c r="C73" t="s">
        <v>157</v>
      </c>
      <c r="D73" t="s">
        <v>54</v>
      </c>
      <c r="E73" t="s">
        <v>21</v>
      </c>
      <c r="F73" t="s">
        <v>212</v>
      </c>
      <c r="G73" s="53">
        <v>43959.644641203704</v>
      </c>
      <c r="H73">
        <v>33</v>
      </c>
      <c r="I73">
        <v>13722</v>
      </c>
      <c r="J73" t="s">
        <v>50</v>
      </c>
      <c r="K73" t="s">
        <v>50</v>
      </c>
      <c r="L73" t="s">
        <v>159</v>
      </c>
      <c r="M73" t="s">
        <v>51</v>
      </c>
      <c r="N73" t="s">
        <v>92</v>
      </c>
      <c r="O73" s="1">
        <v>41335</v>
      </c>
      <c r="P73" t="s">
        <v>84</v>
      </c>
      <c r="Q73">
        <v>2</v>
      </c>
      <c r="R73" t="s">
        <v>94</v>
      </c>
      <c r="S73" t="s">
        <v>349</v>
      </c>
      <c r="T73" t="s">
        <v>349</v>
      </c>
      <c r="U73">
        <v>0</v>
      </c>
      <c r="V73">
        <v>6151.21</v>
      </c>
      <c r="W73">
        <v>0</v>
      </c>
    </row>
    <row r="74" spans="1:23" x14ac:dyDescent="0.3">
      <c r="A74" s="1">
        <v>43922</v>
      </c>
      <c r="B74" s="1">
        <v>43922</v>
      </c>
      <c r="C74" t="s">
        <v>157</v>
      </c>
      <c r="D74" t="s">
        <v>54</v>
      </c>
      <c r="E74" t="s">
        <v>21</v>
      </c>
      <c r="F74" t="s">
        <v>212</v>
      </c>
      <c r="G74" s="53">
        <v>43959.644641203704</v>
      </c>
      <c r="H74">
        <v>33</v>
      </c>
      <c r="I74">
        <v>13722</v>
      </c>
      <c r="J74" t="s">
        <v>50</v>
      </c>
      <c r="K74" t="s">
        <v>50</v>
      </c>
      <c r="L74" t="s">
        <v>159</v>
      </c>
      <c r="M74" t="s">
        <v>51</v>
      </c>
      <c r="N74" t="s">
        <v>92</v>
      </c>
      <c r="O74" s="1">
        <v>41335</v>
      </c>
      <c r="P74" t="s">
        <v>84</v>
      </c>
      <c r="Q74">
        <v>3</v>
      </c>
      <c r="R74" t="s">
        <v>81</v>
      </c>
      <c r="S74" t="s">
        <v>349</v>
      </c>
      <c r="T74" t="s">
        <v>349</v>
      </c>
      <c r="U74">
        <v>0</v>
      </c>
      <c r="V74">
        <v>5767.18</v>
      </c>
      <c r="W74">
        <v>0</v>
      </c>
    </row>
    <row r="75" spans="1:23" x14ac:dyDescent="0.3">
      <c r="A75" s="1">
        <v>43922</v>
      </c>
      <c r="B75" s="1">
        <v>43922</v>
      </c>
      <c r="C75" t="s">
        <v>157</v>
      </c>
      <c r="D75" t="s">
        <v>54</v>
      </c>
      <c r="E75" t="s">
        <v>21</v>
      </c>
      <c r="F75" t="s">
        <v>212</v>
      </c>
      <c r="G75" s="53">
        <v>43959.644641203704</v>
      </c>
      <c r="H75">
        <v>33</v>
      </c>
      <c r="I75">
        <v>13722</v>
      </c>
      <c r="J75" t="s">
        <v>50</v>
      </c>
      <c r="K75" t="s">
        <v>50</v>
      </c>
      <c r="L75" t="s">
        <v>159</v>
      </c>
      <c r="M75" t="s">
        <v>51</v>
      </c>
      <c r="N75" t="s">
        <v>92</v>
      </c>
      <c r="O75" s="1">
        <v>41335</v>
      </c>
      <c r="P75" t="s">
        <v>84</v>
      </c>
      <c r="Q75">
        <v>4</v>
      </c>
      <c r="R75" t="s">
        <v>27</v>
      </c>
      <c r="S75" t="s">
        <v>349</v>
      </c>
      <c r="T75" t="s">
        <v>349</v>
      </c>
      <c r="U75">
        <v>0</v>
      </c>
      <c r="V75">
        <v>5963.14</v>
      </c>
      <c r="W75">
        <v>0</v>
      </c>
    </row>
    <row r="76" spans="1:23" x14ac:dyDescent="0.3">
      <c r="A76" s="1">
        <v>43922</v>
      </c>
      <c r="B76" s="1">
        <v>43922</v>
      </c>
      <c r="C76" t="s">
        <v>157</v>
      </c>
      <c r="D76" t="s">
        <v>54</v>
      </c>
      <c r="E76" t="s">
        <v>21</v>
      </c>
      <c r="F76" t="s">
        <v>212</v>
      </c>
      <c r="G76" s="53">
        <v>43959.644641203704</v>
      </c>
      <c r="H76">
        <v>33</v>
      </c>
      <c r="I76">
        <v>13722</v>
      </c>
      <c r="J76" t="s">
        <v>50</v>
      </c>
      <c r="K76" t="s">
        <v>50</v>
      </c>
      <c r="L76" t="s">
        <v>159</v>
      </c>
      <c r="M76" t="s">
        <v>51</v>
      </c>
      <c r="N76" t="s">
        <v>92</v>
      </c>
      <c r="O76" s="1">
        <v>41335</v>
      </c>
      <c r="P76" t="s">
        <v>84</v>
      </c>
      <c r="Q76">
        <v>5</v>
      </c>
      <c r="R76" t="s">
        <v>28</v>
      </c>
      <c r="S76" t="s">
        <v>349</v>
      </c>
      <c r="T76" t="s">
        <v>349</v>
      </c>
      <c r="U76">
        <v>0</v>
      </c>
      <c r="V76">
        <v>5783.56</v>
      </c>
      <c r="W76">
        <v>0</v>
      </c>
    </row>
    <row r="77" spans="1:23" x14ac:dyDescent="0.3">
      <c r="A77" s="1">
        <v>43952</v>
      </c>
      <c r="B77" s="1">
        <v>43952</v>
      </c>
      <c r="C77" t="s">
        <v>157</v>
      </c>
      <c r="D77" t="s">
        <v>54</v>
      </c>
      <c r="E77" t="s">
        <v>21</v>
      </c>
      <c r="F77" t="s">
        <v>221</v>
      </c>
      <c r="G77" s="53">
        <v>43987.496550925927</v>
      </c>
      <c r="H77">
        <v>33</v>
      </c>
      <c r="I77">
        <v>14013</v>
      </c>
      <c r="J77" t="s">
        <v>50</v>
      </c>
      <c r="K77" t="s">
        <v>50</v>
      </c>
      <c r="L77" t="s">
        <v>159</v>
      </c>
      <c r="M77" t="s">
        <v>51</v>
      </c>
      <c r="N77" t="s">
        <v>92</v>
      </c>
      <c r="O77" s="1">
        <v>41335</v>
      </c>
      <c r="P77" t="s">
        <v>84</v>
      </c>
      <c r="Q77">
        <v>1</v>
      </c>
      <c r="R77" t="s">
        <v>83</v>
      </c>
      <c r="S77" t="s">
        <v>349</v>
      </c>
      <c r="T77" t="s">
        <v>349</v>
      </c>
      <c r="U77">
        <v>0</v>
      </c>
      <c r="V77">
        <v>6077.2</v>
      </c>
      <c r="W77">
        <v>0</v>
      </c>
    </row>
    <row r="78" spans="1:23" x14ac:dyDescent="0.3">
      <c r="A78" s="1">
        <v>43952</v>
      </c>
      <c r="B78" s="1">
        <v>43952</v>
      </c>
      <c r="C78" t="s">
        <v>157</v>
      </c>
      <c r="D78" t="s">
        <v>54</v>
      </c>
      <c r="E78" t="s">
        <v>21</v>
      </c>
      <c r="F78" t="s">
        <v>221</v>
      </c>
      <c r="G78" s="53">
        <v>43987.496550925927</v>
      </c>
      <c r="H78">
        <v>33</v>
      </c>
      <c r="I78">
        <v>14013</v>
      </c>
      <c r="J78" t="s">
        <v>50</v>
      </c>
      <c r="K78" t="s">
        <v>50</v>
      </c>
      <c r="L78" t="s">
        <v>159</v>
      </c>
      <c r="M78" t="s">
        <v>51</v>
      </c>
      <c r="N78" t="s">
        <v>92</v>
      </c>
      <c r="O78" s="1">
        <v>41335</v>
      </c>
      <c r="P78" t="s">
        <v>84</v>
      </c>
      <c r="Q78">
        <v>2</v>
      </c>
      <c r="R78" t="s">
        <v>94</v>
      </c>
      <c r="S78" t="s">
        <v>349</v>
      </c>
      <c r="T78" t="s">
        <v>349</v>
      </c>
      <c r="U78">
        <v>0</v>
      </c>
      <c r="V78">
        <v>6151.21</v>
      </c>
      <c r="W78">
        <v>0</v>
      </c>
    </row>
    <row r="79" spans="1:23" x14ac:dyDescent="0.3">
      <c r="A79" s="1">
        <v>43952</v>
      </c>
      <c r="B79" s="1">
        <v>43952</v>
      </c>
      <c r="C79" t="s">
        <v>157</v>
      </c>
      <c r="D79" t="s">
        <v>54</v>
      </c>
      <c r="E79" t="s">
        <v>21</v>
      </c>
      <c r="F79" t="s">
        <v>221</v>
      </c>
      <c r="G79" s="53">
        <v>43987.496550925927</v>
      </c>
      <c r="H79">
        <v>33</v>
      </c>
      <c r="I79">
        <v>14013</v>
      </c>
      <c r="J79" t="s">
        <v>50</v>
      </c>
      <c r="K79" t="s">
        <v>50</v>
      </c>
      <c r="L79" t="s">
        <v>159</v>
      </c>
      <c r="M79" t="s">
        <v>51</v>
      </c>
      <c r="N79" t="s">
        <v>92</v>
      </c>
      <c r="O79" s="1">
        <v>41335</v>
      </c>
      <c r="P79" t="s">
        <v>84</v>
      </c>
      <c r="Q79">
        <v>3</v>
      </c>
      <c r="R79" t="s">
        <v>81</v>
      </c>
      <c r="S79" t="s">
        <v>349</v>
      </c>
      <c r="T79" t="s">
        <v>349</v>
      </c>
      <c r="U79">
        <v>0</v>
      </c>
      <c r="V79">
        <v>5767.18</v>
      </c>
      <c r="W79">
        <v>0</v>
      </c>
    </row>
    <row r="80" spans="1:23" x14ac:dyDescent="0.3">
      <c r="A80" s="1">
        <v>43952</v>
      </c>
      <c r="B80" s="1">
        <v>43952</v>
      </c>
      <c r="C80" t="s">
        <v>157</v>
      </c>
      <c r="D80" t="s">
        <v>54</v>
      </c>
      <c r="E80" t="s">
        <v>21</v>
      </c>
      <c r="F80" t="s">
        <v>221</v>
      </c>
      <c r="G80" s="53">
        <v>43987.496550925927</v>
      </c>
      <c r="H80">
        <v>33</v>
      </c>
      <c r="I80">
        <v>14013</v>
      </c>
      <c r="J80" t="s">
        <v>50</v>
      </c>
      <c r="K80" t="s">
        <v>50</v>
      </c>
      <c r="L80" t="s">
        <v>159</v>
      </c>
      <c r="M80" t="s">
        <v>51</v>
      </c>
      <c r="N80" t="s">
        <v>92</v>
      </c>
      <c r="O80" s="1">
        <v>41335</v>
      </c>
      <c r="P80" t="s">
        <v>84</v>
      </c>
      <c r="Q80">
        <v>4</v>
      </c>
      <c r="R80" t="s">
        <v>27</v>
      </c>
      <c r="S80" t="s">
        <v>349</v>
      </c>
      <c r="T80" t="s">
        <v>349</v>
      </c>
      <c r="U80">
        <v>0</v>
      </c>
      <c r="V80">
        <v>5963.14</v>
      </c>
      <c r="W80">
        <v>0</v>
      </c>
    </row>
    <row r="81" spans="1:23" x14ac:dyDescent="0.3">
      <c r="A81" s="1">
        <v>43952</v>
      </c>
      <c r="B81" s="1">
        <v>43952</v>
      </c>
      <c r="C81" t="s">
        <v>157</v>
      </c>
      <c r="D81" t="s">
        <v>54</v>
      </c>
      <c r="E81" t="s">
        <v>21</v>
      </c>
      <c r="F81" t="s">
        <v>221</v>
      </c>
      <c r="G81" s="53">
        <v>43987.496550925927</v>
      </c>
      <c r="H81">
        <v>33</v>
      </c>
      <c r="I81">
        <v>14013</v>
      </c>
      <c r="J81" t="s">
        <v>50</v>
      </c>
      <c r="K81" t="s">
        <v>50</v>
      </c>
      <c r="L81" t="s">
        <v>159</v>
      </c>
      <c r="M81" t="s">
        <v>51</v>
      </c>
      <c r="N81" t="s">
        <v>92</v>
      </c>
      <c r="O81" s="1">
        <v>41335</v>
      </c>
      <c r="P81" t="s">
        <v>84</v>
      </c>
      <c r="Q81">
        <v>5</v>
      </c>
      <c r="R81" t="s">
        <v>28</v>
      </c>
      <c r="S81" t="s">
        <v>349</v>
      </c>
      <c r="T81" t="s">
        <v>349</v>
      </c>
      <c r="U81">
        <v>0</v>
      </c>
      <c r="V81">
        <v>5783.56</v>
      </c>
      <c r="W81">
        <v>0</v>
      </c>
    </row>
    <row r="82" spans="1:23" x14ac:dyDescent="0.3">
      <c r="A82" s="1">
        <v>43983</v>
      </c>
      <c r="B82" s="1">
        <v>43983</v>
      </c>
      <c r="C82" t="s">
        <v>157</v>
      </c>
      <c r="D82" t="s">
        <v>54</v>
      </c>
      <c r="E82" t="s">
        <v>21</v>
      </c>
      <c r="F82" t="s">
        <v>224</v>
      </c>
      <c r="G82" s="53">
        <v>44020.479664351849</v>
      </c>
      <c r="H82">
        <v>33</v>
      </c>
      <c r="I82">
        <v>14392</v>
      </c>
      <c r="J82" t="s">
        <v>50</v>
      </c>
      <c r="K82" t="s">
        <v>50</v>
      </c>
      <c r="L82" t="s">
        <v>159</v>
      </c>
      <c r="M82" t="s">
        <v>51</v>
      </c>
      <c r="N82" t="s">
        <v>92</v>
      </c>
      <c r="O82" s="1">
        <v>41335</v>
      </c>
      <c r="P82" t="s">
        <v>84</v>
      </c>
      <c r="Q82">
        <v>1</v>
      </c>
      <c r="R82" t="s">
        <v>83</v>
      </c>
      <c r="S82" t="s">
        <v>349</v>
      </c>
      <c r="T82" t="s">
        <v>349</v>
      </c>
      <c r="U82">
        <v>0</v>
      </c>
      <c r="V82">
        <v>6077.2</v>
      </c>
      <c r="W82">
        <v>0</v>
      </c>
    </row>
    <row r="83" spans="1:23" x14ac:dyDescent="0.3">
      <c r="A83" s="1">
        <v>43983</v>
      </c>
      <c r="B83" s="1">
        <v>43983</v>
      </c>
      <c r="C83" t="s">
        <v>157</v>
      </c>
      <c r="D83" t="s">
        <v>54</v>
      </c>
      <c r="E83" t="s">
        <v>21</v>
      </c>
      <c r="F83" t="s">
        <v>224</v>
      </c>
      <c r="G83" s="53">
        <v>44020.479664351849</v>
      </c>
      <c r="H83">
        <v>33</v>
      </c>
      <c r="I83">
        <v>14392</v>
      </c>
      <c r="J83" t="s">
        <v>50</v>
      </c>
      <c r="K83" t="s">
        <v>50</v>
      </c>
      <c r="L83" t="s">
        <v>159</v>
      </c>
      <c r="M83" t="s">
        <v>51</v>
      </c>
      <c r="N83" t="s">
        <v>92</v>
      </c>
      <c r="O83" s="1">
        <v>41335</v>
      </c>
      <c r="P83" t="s">
        <v>84</v>
      </c>
      <c r="Q83">
        <v>2</v>
      </c>
      <c r="R83" t="s">
        <v>94</v>
      </c>
      <c r="S83" t="s">
        <v>349</v>
      </c>
      <c r="T83" t="s">
        <v>349</v>
      </c>
      <c r="U83">
        <v>0</v>
      </c>
      <c r="V83">
        <v>6151.21</v>
      </c>
      <c r="W83">
        <v>0</v>
      </c>
    </row>
    <row r="84" spans="1:23" x14ac:dyDescent="0.3">
      <c r="A84" s="1">
        <v>43983</v>
      </c>
      <c r="B84" s="1">
        <v>43983</v>
      </c>
      <c r="C84" t="s">
        <v>157</v>
      </c>
      <c r="D84" t="s">
        <v>54</v>
      </c>
      <c r="E84" t="s">
        <v>21</v>
      </c>
      <c r="F84" t="s">
        <v>224</v>
      </c>
      <c r="G84" s="53">
        <v>44020.479664351849</v>
      </c>
      <c r="H84">
        <v>33</v>
      </c>
      <c r="I84">
        <v>14392</v>
      </c>
      <c r="J84" t="s">
        <v>50</v>
      </c>
      <c r="K84" t="s">
        <v>50</v>
      </c>
      <c r="L84" t="s">
        <v>159</v>
      </c>
      <c r="M84" t="s">
        <v>51</v>
      </c>
      <c r="N84" t="s">
        <v>92</v>
      </c>
      <c r="O84" s="1">
        <v>41335</v>
      </c>
      <c r="P84" t="s">
        <v>84</v>
      </c>
      <c r="Q84">
        <v>3</v>
      </c>
      <c r="R84" t="s">
        <v>81</v>
      </c>
      <c r="S84" t="s">
        <v>349</v>
      </c>
      <c r="T84" t="s">
        <v>349</v>
      </c>
      <c r="U84">
        <v>0</v>
      </c>
      <c r="V84">
        <v>5767.18</v>
      </c>
      <c r="W84">
        <v>0</v>
      </c>
    </row>
    <row r="85" spans="1:23" x14ac:dyDescent="0.3">
      <c r="A85" s="1">
        <v>43983</v>
      </c>
      <c r="B85" s="1">
        <v>43983</v>
      </c>
      <c r="C85" t="s">
        <v>157</v>
      </c>
      <c r="D85" t="s">
        <v>54</v>
      </c>
      <c r="E85" t="s">
        <v>21</v>
      </c>
      <c r="F85" t="s">
        <v>224</v>
      </c>
      <c r="G85" s="53">
        <v>44020.479664351849</v>
      </c>
      <c r="H85">
        <v>33</v>
      </c>
      <c r="I85">
        <v>14392</v>
      </c>
      <c r="J85" t="s">
        <v>50</v>
      </c>
      <c r="K85" t="s">
        <v>50</v>
      </c>
      <c r="L85" t="s">
        <v>159</v>
      </c>
      <c r="M85" t="s">
        <v>51</v>
      </c>
      <c r="N85" t="s">
        <v>92</v>
      </c>
      <c r="O85" s="1">
        <v>41335</v>
      </c>
      <c r="P85" t="s">
        <v>84</v>
      </c>
      <c r="Q85">
        <v>4</v>
      </c>
      <c r="R85" t="s">
        <v>27</v>
      </c>
      <c r="S85" t="s">
        <v>349</v>
      </c>
      <c r="T85" t="s">
        <v>349</v>
      </c>
      <c r="U85">
        <v>0</v>
      </c>
      <c r="V85">
        <v>5963.14</v>
      </c>
      <c r="W85">
        <v>0</v>
      </c>
    </row>
    <row r="86" spans="1:23" x14ac:dyDescent="0.3">
      <c r="A86" s="1">
        <v>43983</v>
      </c>
      <c r="B86" s="1">
        <v>43983</v>
      </c>
      <c r="C86" t="s">
        <v>157</v>
      </c>
      <c r="D86" t="s">
        <v>54</v>
      </c>
      <c r="E86" t="s">
        <v>21</v>
      </c>
      <c r="F86" t="s">
        <v>224</v>
      </c>
      <c r="G86" s="53">
        <v>44020.479664351849</v>
      </c>
      <c r="H86">
        <v>33</v>
      </c>
      <c r="I86">
        <v>14392</v>
      </c>
      <c r="J86" t="s">
        <v>50</v>
      </c>
      <c r="K86" t="s">
        <v>50</v>
      </c>
      <c r="L86" t="s">
        <v>159</v>
      </c>
      <c r="M86" t="s">
        <v>51</v>
      </c>
      <c r="N86" t="s">
        <v>92</v>
      </c>
      <c r="O86" s="1">
        <v>41335</v>
      </c>
      <c r="P86" t="s">
        <v>84</v>
      </c>
      <c r="Q86">
        <v>5</v>
      </c>
      <c r="R86" t="s">
        <v>28</v>
      </c>
      <c r="S86" t="s">
        <v>349</v>
      </c>
      <c r="T86" t="s">
        <v>349</v>
      </c>
      <c r="U86">
        <v>0</v>
      </c>
      <c r="V86">
        <v>5783.56</v>
      </c>
      <c r="W86">
        <v>0</v>
      </c>
    </row>
    <row r="87" spans="1:23" x14ac:dyDescent="0.3">
      <c r="A87" s="1">
        <v>44013</v>
      </c>
      <c r="B87" s="1">
        <v>44013</v>
      </c>
      <c r="C87" t="s">
        <v>157</v>
      </c>
      <c r="D87" t="s">
        <v>54</v>
      </c>
      <c r="E87" t="s">
        <v>21</v>
      </c>
      <c r="F87" t="s">
        <v>231</v>
      </c>
      <c r="G87" s="53">
        <v>44053.449259259258</v>
      </c>
      <c r="H87">
        <v>33</v>
      </c>
      <c r="I87">
        <v>14796</v>
      </c>
      <c r="J87" t="s">
        <v>50</v>
      </c>
      <c r="K87" t="s">
        <v>50</v>
      </c>
      <c r="L87" t="s">
        <v>159</v>
      </c>
      <c r="M87" t="s">
        <v>51</v>
      </c>
      <c r="N87" t="s">
        <v>92</v>
      </c>
      <c r="O87" s="1">
        <v>41335</v>
      </c>
      <c r="P87" t="s">
        <v>84</v>
      </c>
      <c r="Q87">
        <v>1</v>
      </c>
      <c r="R87" t="s">
        <v>83</v>
      </c>
      <c r="S87" t="s">
        <v>349</v>
      </c>
      <c r="T87" t="s">
        <v>349</v>
      </c>
      <c r="U87">
        <v>0</v>
      </c>
      <c r="V87">
        <v>6059.26</v>
      </c>
      <c r="W87">
        <v>0</v>
      </c>
    </row>
    <row r="88" spans="1:23" x14ac:dyDescent="0.3">
      <c r="A88" s="1">
        <v>44013</v>
      </c>
      <c r="B88" s="1">
        <v>44013</v>
      </c>
      <c r="C88" t="s">
        <v>157</v>
      </c>
      <c r="D88" t="s">
        <v>54</v>
      </c>
      <c r="E88" t="s">
        <v>21</v>
      </c>
      <c r="F88" t="s">
        <v>231</v>
      </c>
      <c r="G88" s="53">
        <v>44053.449259259258</v>
      </c>
      <c r="H88">
        <v>33</v>
      </c>
      <c r="I88">
        <v>14796</v>
      </c>
      <c r="J88" t="s">
        <v>50</v>
      </c>
      <c r="K88" t="s">
        <v>50</v>
      </c>
      <c r="L88" t="s">
        <v>159</v>
      </c>
      <c r="M88" t="s">
        <v>51</v>
      </c>
      <c r="N88" t="s">
        <v>92</v>
      </c>
      <c r="O88" s="1">
        <v>41335</v>
      </c>
      <c r="P88" t="s">
        <v>84</v>
      </c>
      <c r="Q88">
        <v>2</v>
      </c>
      <c r="R88" t="s">
        <v>94</v>
      </c>
      <c r="S88" t="s">
        <v>349</v>
      </c>
      <c r="T88" t="s">
        <v>349</v>
      </c>
      <c r="U88">
        <v>0</v>
      </c>
      <c r="V88">
        <v>6135.34</v>
      </c>
      <c r="W88">
        <v>0</v>
      </c>
    </row>
    <row r="89" spans="1:23" x14ac:dyDescent="0.3">
      <c r="A89" s="1">
        <v>44013</v>
      </c>
      <c r="B89" s="1">
        <v>44013</v>
      </c>
      <c r="C89" t="s">
        <v>157</v>
      </c>
      <c r="D89" t="s">
        <v>54</v>
      </c>
      <c r="E89" t="s">
        <v>21</v>
      </c>
      <c r="F89" t="s">
        <v>231</v>
      </c>
      <c r="G89" s="53">
        <v>44053.449259259258</v>
      </c>
      <c r="H89">
        <v>33</v>
      </c>
      <c r="I89">
        <v>14796</v>
      </c>
      <c r="J89" t="s">
        <v>50</v>
      </c>
      <c r="K89" t="s">
        <v>50</v>
      </c>
      <c r="L89" t="s">
        <v>159</v>
      </c>
      <c r="M89" t="s">
        <v>51</v>
      </c>
      <c r="N89" t="s">
        <v>92</v>
      </c>
      <c r="O89" s="1">
        <v>41335</v>
      </c>
      <c r="P89" t="s">
        <v>84</v>
      </c>
      <c r="Q89">
        <v>3</v>
      </c>
      <c r="R89" t="s">
        <v>81</v>
      </c>
      <c r="S89" t="s">
        <v>349</v>
      </c>
      <c r="T89" t="s">
        <v>349</v>
      </c>
      <c r="U89">
        <v>0</v>
      </c>
      <c r="V89">
        <v>5857.61</v>
      </c>
      <c r="W89">
        <v>0</v>
      </c>
    </row>
    <row r="90" spans="1:23" x14ac:dyDescent="0.3">
      <c r="A90" s="1">
        <v>44013</v>
      </c>
      <c r="B90" s="1">
        <v>44013</v>
      </c>
      <c r="C90" t="s">
        <v>157</v>
      </c>
      <c r="D90" t="s">
        <v>54</v>
      </c>
      <c r="E90" t="s">
        <v>21</v>
      </c>
      <c r="F90" t="s">
        <v>231</v>
      </c>
      <c r="G90" s="53">
        <v>44053.449259259258</v>
      </c>
      <c r="H90">
        <v>33</v>
      </c>
      <c r="I90">
        <v>14796</v>
      </c>
      <c r="J90" t="s">
        <v>50</v>
      </c>
      <c r="K90" t="s">
        <v>50</v>
      </c>
      <c r="L90" t="s">
        <v>159</v>
      </c>
      <c r="M90" t="s">
        <v>51</v>
      </c>
      <c r="N90" t="s">
        <v>92</v>
      </c>
      <c r="O90" s="1">
        <v>41335</v>
      </c>
      <c r="P90" t="s">
        <v>84</v>
      </c>
      <c r="Q90">
        <v>4</v>
      </c>
      <c r="R90" t="s">
        <v>27</v>
      </c>
      <c r="S90" t="s">
        <v>349</v>
      </c>
      <c r="T90" t="s">
        <v>349</v>
      </c>
      <c r="U90">
        <v>0</v>
      </c>
      <c r="V90">
        <v>5984.4</v>
      </c>
      <c r="W90">
        <v>0</v>
      </c>
    </row>
    <row r="91" spans="1:23" x14ac:dyDescent="0.3">
      <c r="A91" s="1">
        <v>44013</v>
      </c>
      <c r="B91" s="1">
        <v>44013</v>
      </c>
      <c r="C91" t="s">
        <v>157</v>
      </c>
      <c r="D91" t="s">
        <v>54</v>
      </c>
      <c r="E91" t="s">
        <v>21</v>
      </c>
      <c r="F91" t="s">
        <v>231</v>
      </c>
      <c r="G91" s="53">
        <v>44053.449259259258</v>
      </c>
      <c r="H91">
        <v>33</v>
      </c>
      <c r="I91">
        <v>14796</v>
      </c>
      <c r="J91" t="s">
        <v>50</v>
      </c>
      <c r="K91" t="s">
        <v>50</v>
      </c>
      <c r="L91" t="s">
        <v>159</v>
      </c>
      <c r="M91" t="s">
        <v>51</v>
      </c>
      <c r="N91" t="s">
        <v>92</v>
      </c>
      <c r="O91" s="1">
        <v>41335</v>
      </c>
      <c r="P91" t="s">
        <v>84</v>
      </c>
      <c r="Q91">
        <v>5</v>
      </c>
      <c r="R91" t="s">
        <v>28</v>
      </c>
      <c r="S91" t="s">
        <v>349</v>
      </c>
      <c r="T91" t="s">
        <v>349</v>
      </c>
      <c r="U91">
        <v>0</v>
      </c>
      <c r="V91">
        <v>5746.52</v>
      </c>
      <c r="W91">
        <v>0</v>
      </c>
    </row>
    <row r="92" spans="1:23" x14ac:dyDescent="0.3">
      <c r="A92" s="1">
        <v>44044</v>
      </c>
      <c r="B92" s="1">
        <v>44044</v>
      </c>
      <c r="C92" t="s">
        <v>157</v>
      </c>
      <c r="D92" t="s">
        <v>54</v>
      </c>
      <c r="E92" t="s">
        <v>21</v>
      </c>
      <c r="F92" t="s">
        <v>238</v>
      </c>
      <c r="G92" s="53">
        <v>44081.950659722221</v>
      </c>
      <c r="H92">
        <v>33</v>
      </c>
      <c r="I92">
        <v>15128</v>
      </c>
      <c r="J92" t="s">
        <v>50</v>
      </c>
      <c r="K92" t="s">
        <v>50</v>
      </c>
      <c r="L92" t="s">
        <v>159</v>
      </c>
      <c r="M92" t="s">
        <v>51</v>
      </c>
      <c r="N92" t="s">
        <v>92</v>
      </c>
      <c r="O92" s="1">
        <v>41335</v>
      </c>
      <c r="P92" t="s">
        <v>84</v>
      </c>
      <c r="Q92">
        <v>1</v>
      </c>
      <c r="R92" t="s">
        <v>83</v>
      </c>
      <c r="S92" t="s">
        <v>349</v>
      </c>
      <c r="T92" t="s">
        <v>349</v>
      </c>
      <c r="U92">
        <v>0</v>
      </c>
      <c r="V92">
        <v>6060.78</v>
      </c>
      <c r="W92">
        <v>0</v>
      </c>
    </row>
    <row r="93" spans="1:23" x14ac:dyDescent="0.3">
      <c r="A93" s="1">
        <v>44044</v>
      </c>
      <c r="B93" s="1">
        <v>44044</v>
      </c>
      <c r="C93" t="s">
        <v>157</v>
      </c>
      <c r="D93" t="s">
        <v>54</v>
      </c>
      <c r="E93" t="s">
        <v>21</v>
      </c>
      <c r="F93" t="s">
        <v>238</v>
      </c>
      <c r="G93" s="53">
        <v>44081.950659722221</v>
      </c>
      <c r="H93">
        <v>33</v>
      </c>
      <c r="I93">
        <v>15128</v>
      </c>
      <c r="J93" t="s">
        <v>50</v>
      </c>
      <c r="K93" t="s">
        <v>50</v>
      </c>
      <c r="L93" t="s">
        <v>159</v>
      </c>
      <c r="M93" t="s">
        <v>51</v>
      </c>
      <c r="N93" t="s">
        <v>92</v>
      </c>
      <c r="O93" s="1">
        <v>41335</v>
      </c>
      <c r="P93" t="s">
        <v>84</v>
      </c>
      <c r="Q93">
        <v>2</v>
      </c>
      <c r="R93" t="s">
        <v>94</v>
      </c>
      <c r="S93" t="s">
        <v>349</v>
      </c>
      <c r="T93" t="s">
        <v>349</v>
      </c>
      <c r="U93">
        <v>0</v>
      </c>
      <c r="V93">
        <v>6136.88</v>
      </c>
      <c r="W93">
        <v>0</v>
      </c>
    </row>
    <row r="94" spans="1:23" x14ac:dyDescent="0.3">
      <c r="A94" s="1">
        <v>44044</v>
      </c>
      <c r="B94" s="1">
        <v>44044</v>
      </c>
      <c r="C94" t="s">
        <v>157</v>
      </c>
      <c r="D94" t="s">
        <v>54</v>
      </c>
      <c r="E94" t="s">
        <v>21</v>
      </c>
      <c r="F94" t="s">
        <v>238</v>
      </c>
      <c r="G94" s="53">
        <v>44081.950659722221</v>
      </c>
      <c r="H94">
        <v>33</v>
      </c>
      <c r="I94">
        <v>15128</v>
      </c>
      <c r="J94" t="s">
        <v>50</v>
      </c>
      <c r="K94" t="s">
        <v>50</v>
      </c>
      <c r="L94" t="s">
        <v>159</v>
      </c>
      <c r="M94" t="s">
        <v>51</v>
      </c>
      <c r="N94" t="s">
        <v>92</v>
      </c>
      <c r="O94" s="1">
        <v>41335</v>
      </c>
      <c r="P94" t="s">
        <v>84</v>
      </c>
      <c r="Q94">
        <v>3</v>
      </c>
      <c r="R94" t="s">
        <v>81</v>
      </c>
      <c r="S94" t="s">
        <v>349</v>
      </c>
      <c r="T94" t="s">
        <v>349</v>
      </c>
      <c r="U94">
        <v>0</v>
      </c>
      <c r="V94">
        <v>5859.08</v>
      </c>
      <c r="W94">
        <v>0</v>
      </c>
    </row>
    <row r="95" spans="1:23" x14ac:dyDescent="0.3">
      <c r="A95" s="1">
        <v>44044</v>
      </c>
      <c r="B95" s="1">
        <v>44044</v>
      </c>
      <c r="C95" t="s">
        <v>157</v>
      </c>
      <c r="D95" t="s">
        <v>54</v>
      </c>
      <c r="E95" t="s">
        <v>21</v>
      </c>
      <c r="F95" t="s">
        <v>238</v>
      </c>
      <c r="G95" s="53">
        <v>44081.950659722221</v>
      </c>
      <c r="H95">
        <v>33</v>
      </c>
      <c r="I95">
        <v>15128</v>
      </c>
      <c r="J95" t="s">
        <v>50</v>
      </c>
      <c r="K95" t="s">
        <v>50</v>
      </c>
      <c r="L95" t="s">
        <v>159</v>
      </c>
      <c r="M95" t="s">
        <v>51</v>
      </c>
      <c r="N95" t="s">
        <v>92</v>
      </c>
      <c r="O95" s="1">
        <v>41335</v>
      </c>
      <c r="P95" t="s">
        <v>84</v>
      </c>
      <c r="Q95">
        <v>4</v>
      </c>
      <c r="R95" t="s">
        <v>27</v>
      </c>
      <c r="S95" t="s">
        <v>349</v>
      </c>
      <c r="T95" t="s">
        <v>349</v>
      </c>
      <c r="U95">
        <v>0</v>
      </c>
      <c r="V95">
        <v>5985.9</v>
      </c>
      <c r="W95">
        <v>0</v>
      </c>
    </row>
    <row r="96" spans="1:23" x14ac:dyDescent="0.3">
      <c r="A96" s="1">
        <v>44044</v>
      </c>
      <c r="B96" s="1">
        <v>44044</v>
      </c>
      <c r="C96" t="s">
        <v>157</v>
      </c>
      <c r="D96" t="s">
        <v>54</v>
      </c>
      <c r="E96" t="s">
        <v>21</v>
      </c>
      <c r="F96" t="s">
        <v>238</v>
      </c>
      <c r="G96" s="53">
        <v>44081.950659722221</v>
      </c>
      <c r="H96">
        <v>33</v>
      </c>
      <c r="I96">
        <v>15128</v>
      </c>
      <c r="J96" t="s">
        <v>50</v>
      </c>
      <c r="K96" t="s">
        <v>50</v>
      </c>
      <c r="L96" t="s">
        <v>159</v>
      </c>
      <c r="M96" t="s">
        <v>51</v>
      </c>
      <c r="N96" t="s">
        <v>92</v>
      </c>
      <c r="O96" s="1">
        <v>41335</v>
      </c>
      <c r="P96" t="s">
        <v>84</v>
      </c>
      <c r="Q96">
        <v>5</v>
      </c>
      <c r="R96" t="s">
        <v>28</v>
      </c>
      <c r="S96" t="s">
        <v>349</v>
      </c>
      <c r="T96" t="s">
        <v>349</v>
      </c>
      <c r="U96">
        <v>0</v>
      </c>
      <c r="V96">
        <v>5747.96</v>
      </c>
      <c r="W96">
        <v>0</v>
      </c>
    </row>
    <row r="97" spans="1:23" x14ac:dyDescent="0.3">
      <c r="A97" s="1">
        <v>44075</v>
      </c>
      <c r="B97" s="1">
        <v>44075</v>
      </c>
      <c r="C97" t="s">
        <v>157</v>
      </c>
      <c r="D97" t="s">
        <v>54</v>
      </c>
      <c r="E97" t="s">
        <v>21</v>
      </c>
      <c r="F97" t="s">
        <v>248</v>
      </c>
      <c r="G97" s="53">
        <v>44111.714999999997</v>
      </c>
      <c r="H97">
        <v>33</v>
      </c>
      <c r="I97">
        <v>15552</v>
      </c>
      <c r="J97" t="s">
        <v>50</v>
      </c>
      <c r="K97" t="s">
        <v>50</v>
      </c>
      <c r="L97" t="s">
        <v>159</v>
      </c>
      <c r="M97" t="s">
        <v>51</v>
      </c>
      <c r="N97" t="s">
        <v>92</v>
      </c>
      <c r="O97" s="1">
        <v>41335</v>
      </c>
      <c r="P97" t="s">
        <v>84</v>
      </c>
      <c r="Q97">
        <v>1</v>
      </c>
      <c r="R97" t="s">
        <v>83</v>
      </c>
      <c r="S97" t="s">
        <v>349</v>
      </c>
      <c r="T97" t="s">
        <v>349</v>
      </c>
      <c r="U97">
        <v>0</v>
      </c>
      <c r="V97">
        <v>6059.26</v>
      </c>
      <c r="W97">
        <v>0</v>
      </c>
    </row>
    <row r="98" spans="1:23" x14ac:dyDescent="0.3">
      <c r="A98" s="1">
        <v>44075</v>
      </c>
      <c r="B98" s="1">
        <v>44075</v>
      </c>
      <c r="C98" t="s">
        <v>157</v>
      </c>
      <c r="D98" t="s">
        <v>54</v>
      </c>
      <c r="E98" t="s">
        <v>21</v>
      </c>
      <c r="F98" t="s">
        <v>248</v>
      </c>
      <c r="G98" s="53">
        <v>44111.714999999997</v>
      </c>
      <c r="H98">
        <v>33</v>
      </c>
      <c r="I98">
        <v>15552</v>
      </c>
      <c r="J98" t="s">
        <v>50</v>
      </c>
      <c r="K98" t="s">
        <v>50</v>
      </c>
      <c r="L98" t="s">
        <v>159</v>
      </c>
      <c r="M98" t="s">
        <v>51</v>
      </c>
      <c r="N98" t="s">
        <v>92</v>
      </c>
      <c r="O98" s="1">
        <v>41335</v>
      </c>
      <c r="P98" t="s">
        <v>84</v>
      </c>
      <c r="Q98">
        <v>2</v>
      </c>
      <c r="R98" t="s">
        <v>94</v>
      </c>
      <c r="S98" t="s">
        <v>349</v>
      </c>
      <c r="T98" t="s">
        <v>349</v>
      </c>
      <c r="U98">
        <v>0</v>
      </c>
      <c r="V98">
        <v>6135.33</v>
      </c>
      <c r="W98">
        <v>0</v>
      </c>
    </row>
    <row r="99" spans="1:23" x14ac:dyDescent="0.3">
      <c r="A99" s="1">
        <v>44075</v>
      </c>
      <c r="B99" s="1">
        <v>44075</v>
      </c>
      <c r="C99" t="s">
        <v>157</v>
      </c>
      <c r="D99" t="s">
        <v>54</v>
      </c>
      <c r="E99" t="s">
        <v>21</v>
      </c>
      <c r="F99" t="s">
        <v>248</v>
      </c>
      <c r="G99" s="53">
        <v>44111.714999999997</v>
      </c>
      <c r="H99">
        <v>33</v>
      </c>
      <c r="I99">
        <v>15552</v>
      </c>
      <c r="J99" t="s">
        <v>50</v>
      </c>
      <c r="K99" t="s">
        <v>50</v>
      </c>
      <c r="L99" t="s">
        <v>159</v>
      </c>
      <c r="M99" t="s">
        <v>51</v>
      </c>
      <c r="N99" t="s">
        <v>92</v>
      </c>
      <c r="O99" s="1">
        <v>41335</v>
      </c>
      <c r="P99" t="s">
        <v>84</v>
      </c>
      <c r="Q99">
        <v>3</v>
      </c>
      <c r="R99" t="s">
        <v>81</v>
      </c>
      <c r="S99" t="s">
        <v>349</v>
      </c>
      <c r="T99" t="s">
        <v>349</v>
      </c>
      <c r="U99">
        <v>0</v>
      </c>
      <c r="V99">
        <v>5857.6</v>
      </c>
      <c r="W99">
        <v>0</v>
      </c>
    </row>
    <row r="100" spans="1:23" x14ac:dyDescent="0.3">
      <c r="A100" s="1">
        <v>44075</v>
      </c>
      <c r="B100" s="1">
        <v>44075</v>
      </c>
      <c r="C100" t="s">
        <v>157</v>
      </c>
      <c r="D100" t="s">
        <v>54</v>
      </c>
      <c r="E100" t="s">
        <v>21</v>
      </c>
      <c r="F100" t="s">
        <v>248</v>
      </c>
      <c r="G100" s="53">
        <v>44111.714999999997</v>
      </c>
      <c r="H100">
        <v>33</v>
      </c>
      <c r="I100">
        <v>15552</v>
      </c>
      <c r="J100" t="s">
        <v>50</v>
      </c>
      <c r="K100" t="s">
        <v>50</v>
      </c>
      <c r="L100" t="s">
        <v>159</v>
      </c>
      <c r="M100" t="s">
        <v>51</v>
      </c>
      <c r="N100" t="s">
        <v>92</v>
      </c>
      <c r="O100" s="1">
        <v>41335</v>
      </c>
      <c r="P100" t="s">
        <v>84</v>
      </c>
      <c r="Q100">
        <v>4</v>
      </c>
      <c r="R100" t="s">
        <v>27</v>
      </c>
      <c r="S100" t="s">
        <v>349</v>
      </c>
      <c r="T100" t="s">
        <v>349</v>
      </c>
      <c r="U100">
        <v>0</v>
      </c>
      <c r="V100">
        <v>5984.39</v>
      </c>
      <c r="W100">
        <v>0</v>
      </c>
    </row>
    <row r="101" spans="1:23" x14ac:dyDescent="0.3">
      <c r="A101" s="1">
        <v>44075</v>
      </c>
      <c r="B101" s="1">
        <v>44075</v>
      </c>
      <c r="C101" t="s">
        <v>157</v>
      </c>
      <c r="D101" t="s">
        <v>54</v>
      </c>
      <c r="E101" t="s">
        <v>21</v>
      </c>
      <c r="F101" t="s">
        <v>248</v>
      </c>
      <c r="G101" s="53">
        <v>44111.714999999997</v>
      </c>
      <c r="H101">
        <v>33</v>
      </c>
      <c r="I101">
        <v>15552</v>
      </c>
      <c r="J101" t="s">
        <v>50</v>
      </c>
      <c r="K101" t="s">
        <v>50</v>
      </c>
      <c r="L101" t="s">
        <v>159</v>
      </c>
      <c r="M101" t="s">
        <v>51</v>
      </c>
      <c r="N101" t="s">
        <v>92</v>
      </c>
      <c r="O101" s="1">
        <v>41335</v>
      </c>
      <c r="P101" t="s">
        <v>84</v>
      </c>
      <c r="Q101">
        <v>5</v>
      </c>
      <c r="R101" t="s">
        <v>28</v>
      </c>
      <c r="S101" t="s">
        <v>349</v>
      </c>
      <c r="T101" t="s">
        <v>349</v>
      </c>
      <c r="U101">
        <v>0</v>
      </c>
      <c r="V101">
        <v>5746.51</v>
      </c>
      <c r="W101">
        <v>0</v>
      </c>
    </row>
    <row r="102" spans="1:23" x14ac:dyDescent="0.3">
      <c r="A102" s="1">
        <v>44105</v>
      </c>
      <c r="B102" s="1">
        <v>44105</v>
      </c>
      <c r="C102" t="s">
        <v>157</v>
      </c>
      <c r="D102" t="s">
        <v>54</v>
      </c>
      <c r="E102" t="s">
        <v>21</v>
      </c>
      <c r="F102" t="s">
        <v>251</v>
      </c>
      <c r="G102" s="53">
        <v>44141.821956018517</v>
      </c>
      <c r="H102">
        <v>33</v>
      </c>
      <c r="I102">
        <v>15894</v>
      </c>
      <c r="J102" t="s">
        <v>50</v>
      </c>
      <c r="K102" t="s">
        <v>50</v>
      </c>
      <c r="L102" t="s">
        <v>159</v>
      </c>
      <c r="M102" t="s">
        <v>51</v>
      </c>
      <c r="N102" t="s">
        <v>92</v>
      </c>
      <c r="O102" s="1">
        <v>41335</v>
      </c>
      <c r="P102" t="s">
        <v>84</v>
      </c>
      <c r="Q102">
        <v>1</v>
      </c>
      <c r="R102" t="s">
        <v>83</v>
      </c>
      <c r="S102" t="s">
        <v>349</v>
      </c>
      <c r="T102" t="s">
        <v>349</v>
      </c>
      <c r="U102">
        <v>0</v>
      </c>
      <c r="V102">
        <v>6059.26</v>
      </c>
      <c r="W102">
        <v>0</v>
      </c>
    </row>
    <row r="103" spans="1:23" x14ac:dyDescent="0.3">
      <c r="A103" s="1">
        <v>44105</v>
      </c>
      <c r="B103" s="1">
        <v>44105</v>
      </c>
      <c r="C103" t="s">
        <v>157</v>
      </c>
      <c r="D103" t="s">
        <v>54</v>
      </c>
      <c r="E103" t="s">
        <v>21</v>
      </c>
      <c r="F103" t="s">
        <v>251</v>
      </c>
      <c r="G103" s="53">
        <v>44141.821956018517</v>
      </c>
      <c r="H103">
        <v>33</v>
      </c>
      <c r="I103">
        <v>15894</v>
      </c>
      <c r="J103" t="s">
        <v>50</v>
      </c>
      <c r="K103" t="s">
        <v>50</v>
      </c>
      <c r="L103" t="s">
        <v>159</v>
      </c>
      <c r="M103" t="s">
        <v>51</v>
      </c>
      <c r="N103" t="s">
        <v>92</v>
      </c>
      <c r="O103" s="1">
        <v>41335</v>
      </c>
      <c r="P103" t="s">
        <v>84</v>
      </c>
      <c r="Q103">
        <v>2</v>
      </c>
      <c r="R103" t="s">
        <v>94</v>
      </c>
      <c r="S103" t="s">
        <v>349</v>
      </c>
      <c r="T103" t="s">
        <v>349</v>
      </c>
      <c r="U103">
        <v>0</v>
      </c>
      <c r="V103">
        <v>6135.33</v>
      </c>
      <c r="W103">
        <v>0</v>
      </c>
    </row>
    <row r="104" spans="1:23" x14ac:dyDescent="0.3">
      <c r="A104" s="1">
        <v>44105</v>
      </c>
      <c r="B104" s="1">
        <v>44105</v>
      </c>
      <c r="C104" t="s">
        <v>157</v>
      </c>
      <c r="D104" t="s">
        <v>54</v>
      </c>
      <c r="E104" t="s">
        <v>21</v>
      </c>
      <c r="F104" t="s">
        <v>251</v>
      </c>
      <c r="G104" s="53">
        <v>44141.821956018517</v>
      </c>
      <c r="H104">
        <v>33</v>
      </c>
      <c r="I104">
        <v>15894</v>
      </c>
      <c r="J104" t="s">
        <v>50</v>
      </c>
      <c r="K104" t="s">
        <v>50</v>
      </c>
      <c r="L104" t="s">
        <v>159</v>
      </c>
      <c r="M104" t="s">
        <v>51</v>
      </c>
      <c r="N104" t="s">
        <v>92</v>
      </c>
      <c r="O104" s="1">
        <v>41335</v>
      </c>
      <c r="P104" t="s">
        <v>84</v>
      </c>
      <c r="Q104">
        <v>3</v>
      </c>
      <c r="R104" t="s">
        <v>81</v>
      </c>
      <c r="S104" t="s">
        <v>349</v>
      </c>
      <c r="T104" t="s">
        <v>349</v>
      </c>
      <c r="U104">
        <v>0</v>
      </c>
      <c r="V104">
        <v>5857.6</v>
      </c>
      <c r="W104">
        <v>0</v>
      </c>
    </row>
    <row r="105" spans="1:23" x14ac:dyDescent="0.3">
      <c r="A105" s="1">
        <v>44105</v>
      </c>
      <c r="B105" s="1">
        <v>44105</v>
      </c>
      <c r="C105" t="s">
        <v>157</v>
      </c>
      <c r="D105" t="s">
        <v>54</v>
      </c>
      <c r="E105" t="s">
        <v>21</v>
      </c>
      <c r="F105" t="s">
        <v>251</v>
      </c>
      <c r="G105" s="53">
        <v>44141.821956018517</v>
      </c>
      <c r="H105">
        <v>33</v>
      </c>
      <c r="I105">
        <v>15894</v>
      </c>
      <c r="J105" t="s">
        <v>50</v>
      </c>
      <c r="K105" t="s">
        <v>50</v>
      </c>
      <c r="L105" t="s">
        <v>159</v>
      </c>
      <c r="M105" t="s">
        <v>51</v>
      </c>
      <c r="N105" t="s">
        <v>92</v>
      </c>
      <c r="O105" s="1">
        <v>41335</v>
      </c>
      <c r="P105" t="s">
        <v>84</v>
      </c>
      <c r="Q105">
        <v>4</v>
      </c>
      <c r="R105" t="s">
        <v>27</v>
      </c>
      <c r="S105" t="s">
        <v>349</v>
      </c>
      <c r="T105" t="s">
        <v>349</v>
      </c>
      <c r="U105">
        <v>0</v>
      </c>
      <c r="V105">
        <v>5984.39</v>
      </c>
      <c r="W105">
        <v>0</v>
      </c>
    </row>
    <row r="106" spans="1:23" x14ac:dyDescent="0.3">
      <c r="A106" s="1">
        <v>44105</v>
      </c>
      <c r="B106" s="1">
        <v>44105</v>
      </c>
      <c r="C106" t="s">
        <v>157</v>
      </c>
      <c r="D106" t="s">
        <v>54</v>
      </c>
      <c r="E106" t="s">
        <v>21</v>
      </c>
      <c r="F106" t="s">
        <v>251</v>
      </c>
      <c r="G106" s="53">
        <v>44141.821956018517</v>
      </c>
      <c r="H106">
        <v>33</v>
      </c>
      <c r="I106">
        <v>15894</v>
      </c>
      <c r="J106" t="s">
        <v>50</v>
      </c>
      <c r="K106" t="s">
        <v>50</v>
      </c>
      <c r="L106" t="s">
        <v>159</v>
      </c>
      <c r="M106" t="s">
        <v>51</v>
      </c>
      <c r="N106" t="s">
        <v>92</v>
      </c>
      <c r="O106" s="1">
        <v>41335</v>
      </c>
      <c r="P106" t="s">
        <v>84</v>
      </c>
      <c r="Q106">
        <v>5</v>
      </c>
      <c r="R106" t="s">
        <v>28</v>
      </c>
      <c r="S106" t="s">
        <v>349</v>
      </c>
      <c r="T106" t="s">
        <v>349</v>
      </c>
      <c r="U106">
        <v>0</v>
      </c>
      <c r="V106">
        <v>5746.51</v>
      </c>
      <c r="W106">
        <v>0</v>
      </c>
    </row>
    <row r="107" spans="1:23" x14ac:dyDescent="0.3">
      <c r="A107" s="1">
        <v>44136</v>
      </c>
      <c r="B107" s="1">
        <v>44136</v>
      </c>
      <c r="C107" t="s">
        <v>157</v>
      </c>
      <c r="D107" t="s">
        <v>54</v>
      </c>
      <c r="E107" t="s">
        <v>21</v>
      </c>
      <c r="F107" t="s">
        <v>261</v>
      </c>
      <c r="G107" s="53">
        <v>44169.666030092594</v>
      </c>
      <c r="H107">
        <v>33</v>
      </c>
      <c r="I107">
        <v>16653</v>
      </c>
      <c r="J107" t="s">
        <v>50</v>
      </c>
      <c r="K107" t="s">
        <v>50</v>
      </c>
      <c r="L107" t="s">
        <v>159</v>
      </c>
      <c r="M107" t="s">
        <v>51</v>
      </c>
      <c r="N107" t="s">
        <v>92</v>
      </c>
      <c r="O107" s="1">
        <v>41335</v>
      </c>
      <c r="P107" t="s">
        <v>84</v>
      </c>
      <c r="Q107">
        <v>1</v>
      </c>
      <c r="R107" t="s">
        <v>83</v>
      </c>
      <c r="S107" t="s">
        <v>349</v>
      </c>
      <c r="T107" t="s">
        <v>349</v>
      </c>
      <c r="U107">
        <v>0</v>
      </c>
      <c r="V107">
        <v>6059.26</v>
      </c>
      <c r="W107">
        <v>0</v>
      </c>
    </row>
    <row r="108" spans="1:23" x14ac:dyDescent="0.3">
      <c r="A108" s="1">
        <v>44136</v>
      </c>
      <c r="B108" s="1">
        <v>44136</v>
      </c>
      <c r="C108" t="s">
        <v>157</v>
      </c>
      <c r="D108" t="s">
        <v>54</v>
      </c>
      <c r="E108" t="s">
        <v>21</v>
      </c>
      <c r="F108" t="s">
        <v>261</v>
      </c>
      <c r="G108" s="53">
        <v>44169.666030092594</v>
      </c>
      <c r="H108">
        <v>33</v>
      </c>
      <c r="I108">
        <v>16653</v>
      </c>
      <c r="J108" t="s">
        <v>50</v>
      </c>
      <c r="K108" t="s">
        <v>50</v>
      </c>
      <c r="L108" t="s">
        <v>159</v>
      </c>
      <c r="M108" t="s">
        <v>51</v>
      </c>
      <c r="N108" t="s">
        <v>92</v>
      </c>
      <c r="O108" s="1">
        <v>41335</v>
      </c>
      <c r="P108" t="s">
        <v>84</v>
      </c>
      <c r="Q108">
        <v>2</v>
      </c>
      <c r="R108" t="s">
        <v>94</v>
      </c>
      <c r="S108" t="s">
        <v>349</v>
      </c>
      <c r="T108" t="s">
        <v>349</v>
      </c>
      <c r="U108">
        <v>0</v>
      </c>
      <c r="V108">
        <v>6135.33</v>
      </c>
      <c r="W108">
        <v>0</v>
      </c>
    </row>
    <row r="109" spans="1:23" x14ac:dyDescent="0.3">
      <c r="A109" s="1">
        <v>44136</v>
      </c>
      <c r="B109" s="1">
        <v>44136</v>
      </c>
      <c r="C109" t="s">
        <v>157</v>
      </c>
      <c r="D109" t="s">
        <v>54</v>
      </c>
      <c r="E109" t="s">
        <v>21</v>
      </c>
      <c r="F109" t="s">
        <v>261</v>
      </c>
      <c r="G109" s="53">
        <v>44169.666030092594</v>
      </c>
      <c r="H109">
        <v>33</v>
      </c>
      <c r="I109">
        <v>16653</v>
      </c>
      <c r="J109" t="s">
        <v>50</v>
      </c>
      <c r="K109" t="s">
        <v>50</v>
      </c>
      <c r="L109" t="s">
        <v>159</v>
      </c>
      <c r="M109" t="s">
        <v>51</v>
      </c>
      <c r="N109" t="s">
        <v>92</v>
      </c>
      <c r="O109" s="1">
        <v>41335</v>
      </c>
      <c r="P109" t="s">
        <v>84</v>
      </c>
      <c r="Q109">
        <v>3</v>
      </c>
      <c r="R109" t="s">
        <v>81</v>
      </c>
      <c r="S109" t="s">
        <v>349</v>
      </c>
      <c r="T109" t="s">
        <v>349</v>
      </c>
      <c r="U109">
        <v>0</v>
      </c>
      <c r="V109">
        <v>5857.6</v>
      </c>
      <c r="W109">
        <v>0</v>
      </c>
    </row>
    <row r="110" spans="1:23" x14ac:dyDescent="0.3">
      <c r="A110" s="1">
        <v>44136</v>
      </c>
      <c r="B110" s="1">
        <v>44136</v>
      </c>
      <c r="C110" t="s">
        <v>157</v>
      </c>
      <c r="D110" t="s">
        <v>54</v>
      </c>
      <c r="E110" t="s">
        <v>21</v>
      </c>
      <c r="F110" t="s">
        <v>261</v>
      </c>
      <c r="G110" s="53">
        <v>44169.666030092594</v>
      </c>
      <c r="H110">
        <v>33</v>
      </c>
      <c r="I110">
        <v>16653</v>
      </c>
      <c r="J110" t="s">
        <v>50</v>
      </c>
      <c r="K110" t="s">
        <v>50</v>
      </c>
      <c r="L110" t="s">
        <v>159</v>
      </c>
      <c r="M110" t="s">
        <v>51</v>
      </c>
      <c r="N110" t="s">
        <v>92</v>
      </c>
      <c r="O110" s="1">
        <v>41335</v>
      </c>
      <c r="P110" t="s">
        <v>84</v>
      </c>
      <c r="Q110">
        <v>4</v>
      </c>
      <c r="R110" t="s">
        <v>27</v>
      </c>
      <c r="S110" t="s">
        <v>349</v>
      </c>
      <c r="T110" t="s">
        <v>349</v>
      </c>
      <c r="U110">
        <v>0</v>
      </c>
      <c r="V110">
        <v>5984.39</v>
      </c>
      <c r="W110">
        <v>0</v>
      </c>
    </row>
    <row r="111" spans="1:23" x14ac:dyDescent="0.3">
      <c r="A111" s="1">
        <v>44136</v>
      </c>
      <c r="B111" s="1">
        <v>44136</v>
      </c>
      <c r="C111" t="s">
        <v>157</v>
      </c>
      <c r="D111" t="s">
        <v>54</v>
      </c>
      <c r="E111" t="s">
        <v>21</v>
      </c>
      <c r="F111" t="s">
        <v>261</v>
      </c>
      <c r="G111" s="53">
        <v>44169.666030092594</v>
      </c>
      <c r="H111">
        <v>33</v>
      </c>
      <c r="I111">
        <v>16653</v>
      </c>
      <c r="J111" t="s">
        <v>50</v>
      </c>
      <c r="K111" t="s">
        <v>50</v>
      </c>
      <c r="L111" t="s">
        <v>159</v>
      </c>
      <c r="M111" t="s">
        <v>51</v>
      </c>
      <c r="N111" t="s">
        <v>92</v>
      </c>
      <c r="O111" s="1">
        <v>41335</v>
      </c>
      <c r="P111" t="s">
        <v>84</v>
      </c>
      <c r="Q111">
        <v>5</v>
      </c>
      <c r="R111" t="s">
        <v>28</v>
      </c>
      <c r="S111" t="s">
        <v>349</v>
      </c>
      <c r="T111" t="s">
        <v>349</v>
      </c>
      <c r="U111">
        <v>0</v>
      </c>
      <c r="V111">
        <v>5746.51</v>
      </c>
      <c r="W111">
        <v>0</v>
      </c>
    </row>
    <row r="112" spans="1:23" x14ac:dyDescent="0.3">
      <c r="A112" s="1">
        <v>44166</v>
      </c>
      <c r="B112" s="1">
        <v>44166</v>
      </c>
      <c r="C112" t="s">
        <v>157</v>
      </c>
      <c r="D112" t="s">
        <v>54</v>
      </c>
      <c r="E112" t="s">
        <v>21</v>
      </c>
      <c r="F112" t="s">
        <v>265</v>
      </c>
      <c r="G112" s="53">
        <v>44203.692604166667</v>
      </c>
      <c r="H112">
        <v>33</v>
      </c>
      <c r="I112">
        <v>16938</v>
      </c>
      <c r="J112" t="s">
        <v>50</v>
      </c>
      <c r="K112" t="s">
        <v>50</v>
      </c>
      <c r="L112" t="s">
        <v>159</v>
      </c>
      <c r="M112" t="s">
        <v>51</v>
      </c>
      <c r="N112" t="s">
        <v>92</v>
      </c>
      <c r="O112" s="1">
        <v>41335</v>
      </c>
      <c r="P112" t="s">
        <v>84</v>
      </c>
      <c r="Q112">
        <v>1</v>
      </c>
      <c r="R112" t="s">
        <v>83</v>
      </c>
      <c r="S112" t="s">
        <v>349</v>
      </c>
      <c r="T112" t="s">
        <v>349</v>
      </c>
      <c r="U112">
        <v>0</v>
      </c>
      <c r="V112">
        <v>6059.26</v>
      </c>
      <c r="W112">
        <v>0</v>
      </c>
    </row>
    <row r="113" spans="1:23" x14ac:dyDescent="0.3">
      <c r="A113" s="1">
        <v>44166</v>
      </c>
      <c r="B113" s="1">
        <v>44166</v>
      </c>
      <c r="C113" t="s">
        <v>157</v>
      </c>
      <c r="D113" t="s">
        <v>54</v>
      </c>
      <c r="E113" t="s">
        <v>21</v>
      </c>
      <c r="F113" t="s">
        <v>265</v>
      </c>
      <c r="G113" s="53">
        <v>44203.692604166667</v>
      </c>
      <c r="H113">
        <v>33</v>
      </c>
      <c r="I113">
        <v>16938</v>
      </c>
      <c r="J113" t="s">
        <v>50</v>
      </c>
      <c r="K113" t="s">
        <v>50</v>
      </c>
      <c r="L113" t="s">
        <v>159</v>
      </c>
      <c r="M113" t="s">
        <v>51</v>
      </c>
      <c r="N113" t="s">
        <v>92</v>
      </c>
      <c r="O113" s="1">
        <v>41335</v>
      </c>
      <c r="P113" t="s">
        <v>84</v>
      </c>
      <c r="Q113">
        <v>2</v>
      </c>
      <c r="R113" t="s">
        <v>94</v>
      </c>
      <c r="S113" t="s">
        <v>349</v>
      </c>
      <c r="T113" t="s">
        <v>349</v>
      </c>
      <c r="U113">
        <v>0</v>
      </c>
      <c r="V113">
        <v>6135.33</v>
      </c>
      <c r="W113">
        <v>0</v>
      </c>
    </row>
    <row r="114" spans="1:23" x14ac:dyDescent="0.3">
      <c r="A114" s="1">
        <v>44166</v>
      </c>
      <c r="B114" s="1">
        <v>44166</v>
      </c>
      <c r="C114" t="s">
        <v>157</v>
      </c>
      <c r="D114" t="s">
        <v>54</v>
      </c>
      <c r="E114" t="s">
        <v>21</v>
      </c>
      <c r="F114" t="s">
        <v>265</v>
      </c>
      <c r="G114" s="53">
        <v>44203.692604166667</v>
      </c>
      <c r="H114">
        <v>33</v>
      </c>
      <c r="I114">
        <v>16938</v>
      </c>
      <c r="J114" t="s">
        <v>50</v>
      </c>
      <c r="K114" t="s">
        <v>50</v>
      </c>
      <c r="L114" t="s">
        <v>159</v>
      </c>
      <c r="M114" t="s">
        <v>51</v>
      </c>
      <c r="N114" t="s">
        <v>92</v>
      </c>
      <c r="O114" s="1">
        <v>41335</v>
      </c>
      <c r="P114" t="s">
        <v>84</v>
      </c>
      <c r="Q114">
        <v>3</v>
      </c>
      <c r="R114" t="s">
        <v>81</v>
      </c>
      <c r="S114" t="s">
        <v>349</v>
      </c>
      <c r="T114" t="s">
        <v>349</v>
      </c>
      <c r="U114">
        <v>0</v>
      </c>
      <c r="V114">
        <v>5857.6</v>
      </c>
      <c r="W114">
        <v>0</v>
      </c>
    </row>
    <row r="115" spans="1:23" x14ac:dyDescent="0.3">
      <c r="A115" s="1">
        <v>44166</v>
      </c>
      <c r="B115" s="1">
        <v>44166</v>
      </c>
      <c r="C115" t="s">
        <v>157</v>
      </c>
      <c r="D115" t="s">
        <v>54</v>
      </c>
      <c r="E115" t="s">
        <v>21</v>
      </c>
      <c r="F115" t="s">
        <v>265</v>
      </c>
      <c r="G115" s="53">
        <v>44203.692604166667</v>
      </c>
      <c r="H115">
        <v>33</v>
      </c>
      <c r="I115">
        <v>16938</v>
      </c>
      <c r="J115" t="s">
        <v>50</v>
      </c>
      <c r="K115" t="s">
        <v>50</v>
      </c>
      <c r="L115" t="s">
        <v>159</v>
      </c>
      <c r="M115" t="s">
        <v>51</v>
      </c>
      <c r="N115" t="s">
        <v>92</v>
      </c>
      <c r="O115" s="1">
        <v>41335</v>
      </c>
      <c r="P115" t="s">
        <v>84</v>
      </c>
      <c r="Q115">
        <v>4</v>
      </c>
      <c r="R115" t="s">
        <v>27</v>
      </c>
      <c r="S115" t="s">
        <v>349</v>
      </c>
      <c r="T115" t="s">
        <v>349</v>
      </c>
      <c r="U115">
        <v>0</v>
      </c>
      <c r="V115">
        <v>5984.39</v>
      </c>
      <c r="W115">
        <v>0</v>
      </c>
    </row>
    <row r="116" spans="1:23" x14ac:dyDescent="0.3">
      <c r="A116" s="1">
        <v>44166</v>
      </c>
      <c r="B116" s="1">
        <v>44166</v>
      </c>
      <c r="C116" t="s">
        <v>157</v>
      </c>
      <c r="D116" t="s">
        <v>54</v>
      </c>
      <c r="E116" t="s">
        <v>21</v>
      </c>
      <c r="F116" t="s">
        <v>265</v>
      </c>
      <c r="G116" s="53">
        <v>44203.692604166667</v>
      </c>
      <c r="H116">
        <v>33</v>
      </c>
      <c r="I116">
        <v>16938</v>
      </c>
      <c r="J116" t="s">
        <v>50</v>
      </c>
      <c r="K116" t="s">
        <v>50</v>
      </c>
      <c r="L116" t="s">
        <v>159</v>
      </c>
      <c r="M116" t="s">
        <v>51</v>
      </c>
      <c r="N116" t="s">
        <v>92</v>
      </c>
      <c r="O116" s="1">
        <v>41335</v>
      </c>
      <c r="P116" t="s">
        <v>84</v>
      </c>
      <c r="Q116">
        <v>5</v>
      </c>
      <c r="R116" t="s">
        <v>28</v>
      </c>
      <c r="S116" t="s">
        <v>349</v>
      </c>
      <c r="T116" t="s">
        <v>349</v>
      </c>
      <c r="U116">
        <v>0</v>
      </c>
      <c r="V116">
        <v>5746.51</v>
      </c>
      <c r="W116">
        <v>0</v>
      </c>
    </row>
    <row r="117" spans="1:23" x14ac:dyDescent="0.3">
      <c r="A117" s="1">
        <v>44197</v>
      </c>
      <c r="B117" s="1">
        <v>44197</v>
      </c>
      <c r="C117" t="s">
        <v>157</v>
      </c>
      <c r="D117" t="s">
        <v>54</v>
      </c>
      <c r="E117" t="s">
        <v>21</v>
      </c>
      <c r="F117" t="s">
        <v>274</v>
      </c>
      <c r="G117" s="53">
        <v>44235.838287037041</v>
      </c>
      <c r="H117">
        <v>33</v>
      </c>
      <c r="I117">
        <v>17339</v>
      </c>
      <c r="J117" t="s">
        <v>50</v>
      </c>
      <c r="K117" t="s">
        <v>50</v>
      </c>
      <c r="L117" t="s">
        <v>159</v>
      </c>
      <c r="M117" t="s">
        <v>51</v>
      </c>
      <c r="N117" t="s">
        <v>92</v>
      </c>
      <c r="O117" s="1">
        <v>41335</v>
      </c>
      <c r="P117" t="s">
        <v>84</v>
      </c>
      <c r="Q117">
        <v>1</v>
      </c>
      <c r="R117" t="s">
        <v>83</v>
      </c>
      <c r="S117" t="s">
        <v>349</v>
      </c>
      <c r="T117" t="s">
        <v>349</v>
      </c>
      <c r="U117">
        <v>0</v>
      </c>
      <c r="V117">
        <v>5914.42</v>
      </c>
      <c r="W117">
        <v>0</v>
      </c>
    </row>
    <row r="118" spans="1:23" x14ac:dyDescent="0.3">
      <c r="A118" s="1">
        <v>44197</v>
      </c>
      <c r="B118" s="1">
        <v>44197</v>
      </c>
      <c r="C118" t="s">
        <v>157</v>
      </c>
      <c r="D118" t="s">
        <v>54</v>
      </c>
      <c r="E118" t="s">
        <v>21</v>
      </c>
      <c r="F118" t="s">
        <v>274</v>
      </c>
      <c r="G118" s="53">
        <v>44235.838287037041</v>
      </c>
      <c r="H118">
        <v>33</v>
      </c>
      <c r="I118">
        <v>17339</v>
      </c>
      <c r="J118" t="s">
        <v>50</v>
      </c>
      <c r="K118" t="s">
        <v>50</v>
      </c>
      <c r="L118" t="s">
        <v>159</v>
      </c>
      <c r="M118" t="s">
        <v>51</v>
      </c>
      <c r="N118" t="s">
        <v>92</v>
      </c>
      <c r="O118" s="1">
        <v>41335</v>
      </c>
      <c r="P118" t="s">
        <v>84</v>
      </c>
      <c r="Q118">
        <v>2</v>
      </c>
      <c r="R118" t="s">
        <v>94</v>
      </c>
      <c r="S118" t="s">
        <v>349</v>
      </c>
      <c r="T118" t="s">
        <v>349</v>
      </c>
      <c r="U118">
        <v>0</v>
      </c>
      <c r="V118">
        <v>6007.37</v>
      </c>
      <c r="W118">
        <v>0</v>
      </c>
    </row>
    <row r="119" spans="1:23" x14ac:dyDescent="0.3">
      <c r="A119" s="1">
        <v>44197</v>
      </c>
      <c r="B119" s="1">
        <v>44197</v>
      </c>
      <c r="C119" t="s">
        <v>157</v>
      </c>
      <c r="D119" t="s">
        <v>54</v>
      </c>
      <c r="E119" t="s">
        <v>21</v>
      </c>
      <c r="F119" t="s">
        <v>274</v>
      </c>
      <c r="G119" s="53">
        <v>44235.838287037041</v>
      </c>
      <c r="H119">
        <v>33</v>
      </c>
      <c r="I119">
        <v>17339</v>
      </c>
      <c r="J119" t="s">
        <v>50</v>
      </c>
      <c r="K119" t="s">
        <v>50</v>
      </c>
      <c r="L119" t="s">
        <v>159</v>
      </c>
      <c r="M119" t="s">
        <v>51</v>
      </c>
      <c r="N119" t="s">
        <v>92</v>
      </c>
      <c r="O119" s="1">
        <v>41335</v>
      </c>
      <c r="P119" t="s">
        <v>84</v>
      </c>
      <c r="Q119">
        <v>3</v>
      </c>
      <c r="R119" t="s">
        <v>81</v>
      </c>
      <c r="S119" t="s">
        <v>349</v>
      </c>
      <c r="T119" t="s">
        <v>349</v>
      </c>
      <c r="U119">
        <v>0</v>
      </c>
      <c r="V119">
        <v>5302.48</v>
      </c>
      <c r="W119">
        <v>0</v>
      </c>
    </row>
    <row r="120" spans="1:23" x14ac:dyDescent="0.3">
      <c r="A120" s="1">
        <v>44197</v>
      </c>
      <c r="B120" s="1">
        <v>44197</v>
      </c>
      <c r="C120" t="s">
        <v>157</v>
      </c>
      <c r="D120" t="s">
        <v>54</v>
      </c>
      <c r="E120" t="s">
        <v>21</v>
      </c>
      <c r="F120" t="s">
        <v>274</v>
      </c>
      <c r="G120" s="53">
        <v>44235.838287037041</v>
      </c>
      <c r="H120">
        <v>33</v>
      </c>
      <c r="I120">
        <v>17339</v>
      </c>
      <c r="J120" t="s">
        <v>50</v>
      </c>
      <c r="K120" t="s">
        <v>50</v>
      </c>
      <c r="L120" t="s">
        <v>159</v>
      </c>
      <c r="M120" t="s">
        <v>51</v>
      </c>
      <c r="N120" t="s">
        <v>92</v>
      </c>
      <c r="O120" s="1">
        <v>41335</v>
      </c>
      <c r="P120" t="s">
        <v>84</v>
      </c>
      <c r="Q120">
        <v>4</v>
      </c>
      <c r="R120" t="s">
        <v>27</v>
      </c>
      <c r="S120" t="s">
        <v>349</v>
      </c>
      <c r="T120" t="s">
        <v>349</v>
      </c>
      <c r="U120">
        <v>0</v>
      </c>
      <c r="V120">
        <v>5512.82</v>
      </c>
      <c r="W120">
        <v>0</v>
      </c>
    </row>
    <row r="121" spans="1:23" x14ac:dyDescent="0.3">
      <c r="A121" s="1">
        <v>44197</v>
      </c>
      <c r="B121" s="1">
        <v>44197</v>
      </c>
      <c r="C121" t="s">
        <v>157</v>
      </c>
      <c r="D121" t="s">
        <v>54</v>
      </c>
      <c r="E121" t="s">
        <v>21</v>
      </c>
      <c r="F121" t="s">
        <v>274</v>
      </c>
      <c r="G121" s="53">
        <v>44235.838287037041</v>
      </c>
      <c r="H121">
        <v>33</v>
      </c>
      <c r="I121">
        <v>17339</v>
      </c>
      <c r="J121" t="s">
        <v>50</v>
      </c>
      <c r="K121" t="s">
        <v>50</v>
      </c>
      <c r="L121" t="s">
        <v>159</v>
      </c>
      <c r="M121" t="s">
        <v>51</v>
      </c>
      <c r="N121" t="s">
        <v>92</v>
      </c>
      <c r="O121" s="1">
        <v>41335</v>
      </c>
      <c r="P121" t="s">
        <v>84</v>
      </c>
      <c r="Q121">
        <v>5</v>
      </c>
      <c r="R121" t="s">
        <v>28</v>
      </c>
      <c r="S121" t="s">
        <v>349</v>
      </c>
      <c r="T121" t="s">
        <v>349</v>
      </c>
      <c r="U121">
        <v>0</v>
      </c>
      <c r="V121">
        <v>5963.28</v>
      </c>
      <c r="W121">
        <v>0</v>
      </c>
    </row>
    <row r="122" spans="1:23" x14ac:dyDescent="0.3">
      <c r="A122" s="1">
        <v>44228</v>
      </c>
      <c r="B122" s="1">
        <v>44228</v>
      </c>
      <c r="C122" t="s">
        <v>157</v>
      </c>
      <c r="D122" t="s">
        <v>54</v>
      </c>
      <c r="E122" t="s">
        <v>21</v>
      </c>
      <c r="F122" t="s">
        <v>275</v>
      </c>
      <c r="G122" s="53">
        <v>44259.815057870372</v>
      </c>
      <c r="H122">
        <v>33</v>
      </c>
      <c r="I122">
        <v>17645</v>
      </c>
      <c r="J122" t="s">
        <v>50</v>
      </c>
      <c r="K122" t="s">
        <v>50</v>
      </c>
      <c r="L122" t="s">
        <v>159</v>
      </c>
      <c r="M122" t="s">
        <v>51</v>
      </c>
      <c r="N122" t="s">
        <v>92</v>
      </c>
      <c r="O122" s="1">
        <v>41335</v>
      </c>
      <c r="P122" t="s">
        <v>84</v>
      </c>
      <c r="Q122">
        <v>1</v>
      </c>
      <c r="R122" t="s">
        <v>83</v>
      </c>
      <c r="S122" t="s">
        <v>349</v>
      </c>
      <c r="T122" t="s">
        <v>349</v>
      </c>
      <c r="U122">
        <v>0</v>
      </c>
      <c r="V122">
        <v>5914.42</v>
      </c>
      <c r="W122">
        <v>0</v>
      </c>
    </row>
    <row r="123" spans="1:23" x14ac:dyDescent="0.3">
      <c r="A123" s="1">
        <v>44228</v>
      </c>
      <c r="B123" s="1">
        <v>44228</v>
      </c>
      <c r="C123" t="s">
        <v>157</v>
      </c>
      <c r="D123" t="s">
        <v>54</v>
      </c>
      <c r="E123" t="s">
        <v>21</v>
      </c>
      <c r="F123" t="s">
        <v>275</v>
      </c>
      <c r="G123" s="53">
        <v>44259.815057870372</v>
      </c>
      <c r="H123">
        <v>33</v>
      </c>
      <c r="I123">
        <v>17645</v>
      </c>
      <c r="J123" t="s">
        <v>50</v>
      </c>
      <c r="K123" t="s">
        <v>50</v>
      </c>
      <c r="L123" t="s">
        <v>159</v>
      </c>
      <c r="M123" t="s">
        <v>51</v>
      </c>
      <c r="N123" t="s">
        <v>92</v>
      </c>
      <c r="O123" s="1">
        <v>41335</v>
      </c>
      <c r="P123" t="s">
        <v>84</v>
      </c>
      <c r="Q123">
        <v>2</v>
      </c>
      <c r="R123" t="s">
        <v>94</v>
      </c>
      <c r="S123" t="s">
        <v>349</v>
      </c>
      <c r="T123" t="s">
        <v>349</v>
      </c>
      <c r="U123">
        <v>0</v>
      </c>
      <c r="V123">
        <v>6007.37</v>
      </c>
      <c r="W123">
        <v>0</v>
      </c>
    </row>
    <row r="124" spans="1:23" x14ac:dyDescent="0.3">
      <c r="A124" s="1">
        <v>44228</v>
      </c>
      <c r="B124" s="1">
        <v>44228</v>
      </c>
      <c r="C124" t="s">
        <v>157</v>
      </c>
      <c r="D124" t="s">
        <v>54</v>
      </c>
      <c r="E124" t="s">
        <v>21</v>
      </c>
      <c r="F124" t="s">
        <v>275</v>
      </c>
      <c r="G124" s="53">
        <v>44259.815057870372</v>
      </c>
      <c r="H124">
        <v>33</v>
      </c>
      <c r="I124">
        <v>17645</v>
      </c>
      <c r="J124" t="s">
        <v>50</v>
      </c>
      <c r="K124" t="s">
        <v>50</v>
      </c>
      <c r="L124" t="s">
        <v>159</v>
      </c>
      <c r="M124" t="s">
        <v>51</v>
      </c>
      <c r="N124" t="s">
        <v>92</v>
      </c>
      <c r="O124" s="1">
        <v>41335</v>
      </c>
      <c r="P124" t="s">
        <v>84</v>
      </c>
      <c r="Q124">
        <v>3</v>
      </c>
      <c r="R124" t="s">
        <v>81</v>
      </c>
      <c r="S124" t="s">
        <v>349</v>
      </c>
      <c r="T124" t="s">
        <v>349</v>
      </c>
      <c r="U124">
        <v>0</v>
      </c>
      <c r="V124">
        <v>5302.48</v>
      </c>
      <c r="W124">
        <v>0</v>
      </c>
    </row>
    <row r="125" spans="1:23" x14ac:dyDescent="0.3">
      <c r="A125" s="1">
        <v>44228</v>
      </c>
      <c r="B125" s="1">
        <v>44228</v>
      </c>
      <c r="C125" t="s">
        <v>157</v>
      </c>
      <c r="D125" t="s">
        <v>54</v>
      </c>
      <c r="E125" t="s">
        <v>21</v>
      </c>
      <c r="F125" t="s">
        <v>275</v>
      </c>
      <c r="G125" s="53">
        <v>44259.815057870372</v>
      </c>
      <c r="H125">
        <v>33</v>
      </c>
      <c r="I125">
        <v>17645</v>
      </c>
      <c r="J125" t="s">
        <v>50</v>
      </c>
      <c r="K125" t="s">
        <v>50</v>
      </c>
      <c r="L125" t="s">
        <v>159</v>
      </c>
      <c r="M125" t="s">
        <v>51</v>
      </c>
      <c r="N125" t="s">
        <v>92</v>
      </c>
      <c r="O125" s="1">
        <v>41335</v>
      </c>
      <c r="P125" t="s">
        <v>84</v>
      </c>
      <c r="Q125">
        <v>4</v>
      </c>
      <c r="R125" t="s">
        <v>27</v>
      </c>
      <c r="S125" t="s">
        <v>349</v>
      </c>
      <c r="T125" t="s">
        <v>349</v>
      </c>
      <c r="U125">
        <v>0</v>
      </c>
      <c r="V125">
        <v>5512.82</v>
      </c>
      <c r="W125">
        <v>0</v>
      </c>
    </row>
    <row r="126" spans="1:23" x14ac:dyDescent="0.3">
      <c r="A126" s="1">
        <v>44228</v>
      </c>
      <c r="B126" s="1">
        <v>44228</v>
      </c>
      <c r="C126" t="s">
        <v>157</v>
      </c>
      <c r="D126" t="s">
        <v>54</v>
      </c>
      <c r="E126" t="s">
        <v>21</v>
      </c>
      <c r="F126" t="s">
        <v>275</v>
      </c>
      <c r="G126" s="53">
        <v>44259.815057870372</v>
      </c>
      <c r="H126">
        <v>33</v>
      </c>
      <c r="I126">
        <v>17645</v>
      </c>
      <c r="J126" t="s">
        <v>50</v>
      </c>
      <c r="K126" t="s">
        <v>50</v>
      </c>
      <c r="L126" t="s">
        <v>159</v>
      </c>
      <c r="M126" t="s">
        <v>51</v>
      </c>
      <c r="N126" t="s">
        <v>92</v>
      </c>
      <c r="O126" s="1">
        <v>41335</v>
      </c>
      <c r="P126" t="s">
        <v>84</v>
      </c>
      <c r="Q126">
        <v>5</v>
      </c>
      <c r="R126" t="s">
        <v>28</v>
      </c>
      <c r="S126" t="s">
        <v>349</v>
      </c>
      <c r="T126" t="s">
        <v>349</v>
      </c>
      <c r="U126">
        <v>0</v>
      </c>
      <c r="V126">
        <v>5963.28</v>
      </c>
      <c r="W126">
        <v>0</v>
      </c>
    </row>
    <row r="127" spans="1:23" x14ac:dyDescent="0.3">
      <c r="A127" s="1">
        <v>44256</v>
      </c>
      <c r="B127" s="1">
        <v>44256</v>
      </c>
      <c r="C127" t="s">
        <v>157</v>
      </c>
      <c r="D127" t="s">
        <v>54</v>
      </c>
      <c r="E127" t="s">
        <v>21</v>
      </c>
      <c r="F127" t="s">
        <v>280</v>
      </c>
      <c r="G127" s="53">
        <v>44294.484247685185</v>
      </c>
      <c r="H127">
        <v>33</v>
      </c>
      <c r="I127">
        <v>18264</v>
      </c>
      <c r="J127" t="s">
        <v>50</v>
      </c>
      <c r="K127" t="s">
        <v>50</v>
      </c>
      <c r="L127" t="s">
        <v>159</v>
      </c>
      <c r="M127" t="s">
        <v>51</v>
      </c>
      <c r="N127" t="s">
        <v>92</v>
      </c>
      <c r="O127" s="1">
        <v>41335</v>
      </c>
      <c r="P127" t="s">
        <v>84</v>
      </c>
      <c r="Q127">
        <v>1</v>
      </c>
      <c r="R127" t="s">
        <v>83</v>
      </c>
      <c r="S127" t="s">
        <v>349</v>
      </c>
      <c r="T127" t="s">
        <v>349</v>
      </c>
      <c r="U127">
        <v>0</v>
      </c>
      <c r="V127">
        <v>5914.4219999999996</v>
      </c>
      <c r="W127">
        <v>0</v>
      </c>
    </row>
    <row r="128" spans="1:23" x14ac:dyDescent="0.3">
      <c r="A128" s="1">
        <v>44256</v>
      </c>
      <c r="B128" s="1">
        <v>44256</v>
      </c>
      <c r="C128" t="s">
        <v>157</v>
      </c>
      <c r="D128" t="s">
        <v>54</v>
      </c>
      <c r="E128" t="s">
        <v>21</v>
      </c>
      <c r="F128" t="s">
        <v>280</v>
      </c>
      <c r="G128" s="53">
        <v>44294.484247685185</v>
      </c>
      <c r="H128">
        <v>33</v>
      </c>
      <c r="I128">
        <v>18264</v>
      </c>
      <c r="J128" t="s">
        <v>50</v>
      </c>
      <c r="K128" t="s">
        <v>50</v>
      </c>
      <c r="L128" t="s">
        <v>159</v>
      </c>
      <c r="M128" t="s">
        <v>51</v>
      </c>
      <c r="N128" t="s">
        <v>92</v>
      </c>
      <c r="O128" s="1">
        <v>41335</v>
      </c>
      <c r="P128" t="s">
        <v>84</v>
      </c>
      <c r="Q128">
        <v>2</v>
      </c>
      <c r="R128" t="s">
        <v>94</v>
      </c>
      <c r="S128" t="s">
        <v>349</v>
      </c>
      <c r="T128" t="s">
        <v>349</v>
      </c>
      <c r="U128">
        <v>0</v>
      </c>
      <c r="V128">
        <v>6007.3739999999998</v>
      </c>
      <c r="W128">
        <v>0</v>
      </c>
    </row>
    <row r="129" spans="1:23" x14ac:dyDescent="0.3">
      <c r="A129" s="1">
        <v>44256</v>
      </c>
      <c r="B129" s="1">
        <v>44256</v>
      </c>
      <c r="C129" t="s">
        <v>157</v>
      </c>
      <c r="D129" t="s">
        <v>54</v>
      </c>
      <c r="E129" t="s">
        <v>21</v>
      </c>
      <c r="F129" t="s">
        <v>280</v>
      </c>
      <c r="G129" s="53">
        <v>44294.484247685185</v>
      </c>
      <c r="H129">
        <v>33</v>
      </c>
      <c r="I129">
        <v>18264</v>
      </c>
      <c r="J129" t="s">
        <v>50</v>
      </c>
      <c r="K129" t="s">
        <v>50</v>
      </c>
      <c r="L129" t="s">
        <v>159</v>
      </c>
      <c r="M129" t="s">
        <v>51</v>
      </c>
      <c r="N129" t="s">
        <v>92</v>
      </c>
      <c r="O129" s="1">
        <v>41335</v>
      </c>
      <c r="P129" t="s">
        <v>84</v>
      </c>
      <c r="Q129">
        <v>3</v>
      </c>
      <c r="R129" t="s">
        <v>81</v>
      </c>
      <c r="S129" t="s">
        <v>349</v>
      </c>
      <c r="T129" t="s">
        <v>349</v>
      </c>
      <c r="U129">
        <v>0</v>
      </c>
      <c r="V129">
        <v>5302.482</v>
      </c>
      <c r="W129">
        <v>0</v>
      </c>
    </row>
    <row r="130" spans="1:23" x14ac:dyDescent="0.3">
      <c r="A130" s="1">
        <v>44256</v>
      </c>
      <c r="B130" s="1">
        <v>44256</v>
      </c>
      <c r="C130" t="s">
        <v>157</v>
      </c>
      <c r="D130" t="s">
        <v>54</v>
      </c>
      <c r="E130" t="s">
        <v>21</v>
      </c>
      <c r="F130" t="s">
        <v>280</v>
      </c>
      <c r="G130" s="53">
        <v>44294.484247685185</v>
      </c>
      <c r="H130">
        <v>33</v>
      </c>
      <c r="I130">
        <v>18264</v>
      </c>
      <c r="J130" t="s">
        <v>50</v>
      </c>
      <c r="K130" t="s">
        <v>50</v>
      </c>
      <c r="L130" t="s">
        <v>159</v>
      </c>
      <c r="M130" t="s">
        <v>51</v>
      </c>
      <c r="N130" t="s">
        <v>92</v>
      </c>
      <c r="O130" s="1">
        <v>41335</v>
      </c>
      <c r="P130" t="s">
        <v>84</v>
      </c>
      <c r="Q130">
        <v>4</v>
      </c>
      <c r="R130" t="s">
        <v>27</v>
      </c>
      <c r="S130" t="s">
        <v>349</v>
      </c>
      <c r="T130" t="s">
        <v>349</v>
      </c>
      <c r="U130">
        <v>0</v>
      </c>
      <c r="V130">
        <v>5512.8180000000002</v>
      </c>
      <c r="W130">
        <v>0</v>
      </c>
    </row>
    <row r="131" spans="1:23" x14ac:dyDescent="0.3">
      <c r="A131" s="1">
        <v>44256</v>
      </c>
      <c r="B131" s="1">
        <v>44256</v>
      </c>
      <c r="C131" t="s">
        <v>157</v>
      </c>
      <c r="D131" t="s">
        <v>54</v>
      </c>
      <c r="E131" t="s">
        <v>21</v>
      </c>
      <c r="F131" t="s">
        <v>280</v>
      </c>
      <c r="G131" s="53">
        <v>44294.484247685185</v>
      </c>
      <c r="H131">
        <v>33</v>
      </c>
      <c r="I131">
        <v>18264</v>
      </c>
      <c r="J131" t="s">
        <v>50</v>
      </c>
      <c r="K131" t="s">
        <v>50</v>
      </c>
      <c r="L131" t="s">
        <v>159</v>
      </c>
      <c r="M131" t="s">
        <v>51</v>
      </c>
      <c r="N131" t="s">
        <v>92</v>
      </c>
      <c r="O131" s="1">
        <v>41335</v>
      </c>
      <c r="P131" t="s">
        <v>84</v>
      </c>
      <c r="Q131">
        <v>5</v>
      </c>
      <c r="R131" t="s">
        <v>28</v>
      </c>
      <c r="S131" t="s">
        <v>349</v>
      </c>
      <c r="T131" t="s">
        <v>349</v>
      </c>
      <c r="U131">
        <v>0</v>
      </c>
      <c r="V131">
        <v>5963.2809999999999</v>
      </c>
      <c r="W131">
        <v>0</v>
      </c>
    </row>
    <row r="132" spans="1:23" x14ac:dyDescent="0.3">
      <c r="A132" s="1">
        <v>44287</v>
      </c>
      <c r="B132" s="1">
        <v>44287</v>
      </c>
      <c r="C132" t="s">
        <v>157</v>
      </c>
      <c r="D132" t="s">
        <v>54</v>
      </c>
      <c r="E132" t="s">
        <v>21</v>
      </c>
      <c r="F132" t="s">
        <v>285</v>
      </c>
      <c r="G132" s="53">
        <v>44323.702997685185</v>
      </c>
      <c r="H132">
        <v>33</v>
      </c>
      <c r="I132">
        <v>18700</v>
      </c>
      <c r="J132" t="s">
        <v>50</v>
      </c>
      <c r="K132" t="s">
        <v>50</v>
      </c>
      <c r="L132" t="s">
        <v>159</v>
      </c>
      <c r="M132" t="s">
        <v>51</v>
      </c>
      <c r="N132" t="s">
        <v>92</v>
      </c>
      <c r="O132" s="1">
        <v>41335</v>
      </c>
      <c r="P132" t="s">
        <v>84</v>
      </c>
      <c r="Q132">
        <v>1</v>
      </c>
      <c r="R132" t="s">
        <v>83</v>
      </c>
      <c r="S132" t="s">
        <v>349</v>
      </c>
      <c r="T132" t="s">
        <v>349</v>
      </c>
      <c r="U132">
        <v>0</v>
      </c>
      <c r="V132">
        <v>5914.4219999999996</v>
      </c>
      <c r="W132">
        <v>0</v>
      </c>
    </row>
    <row r="133" spans="1:23" x14ac:dyDescent="0.3">
      <c r="A133" s="1">
        <v>44287</v>
      </c>
      <c r="B133" s="1">
        <v>44287</v>
      </c>
      <c r="C133" t="s">
        <v>157</v>
      </c>
      <c r="D133" t="s">
        <v>54</v>
      </c>
      <c r="E133" t="s">
        <v>21</v>
      </c>
      <c r="F133" t="s">
        <v>285</v>
      </c>
      <c r="G133" s="53">
        <v>44323.702997685185</v>
      </c>
      <c r="H133">
        <v>33</v>
      </c>
      <c r="I133">
        <v>18700</v>
      </c>
      <c r="J133" t="s">
        <v>50</v>
      </c>
      <c r="K133" t="s">
        <v>50</v>
      </c>
      <c r="L133" t="s">
        <v>159</v>
      </c>
      <c r="M133" t="s">
        <v>51</v>
      </c>
      <c r="N133" t="s">
        <v>92</v>
      </c>
      <c r="O133" s="1">
        <v>41335</v>
      </c>
      <c r="P133" t="s">
        <v>84</v>
      </c>
      <c r="Q133">
        <v>2</v>
      </c>
      <c r="R133" t="s">
        <v>94</v>
      </c>
      <c r="S133" t="s">
        <v>349</v>
      </c>
      <c r="T133" t="s">
        <v>349</v>
      </c>
      <c r="U133">
        <v>0</v>
      </c>
      <c r="V133">
        <v>6007.3739999999998</v>
      </c>
      <c r="W133">
        <v>0</v>
      </c>
    </row>
    <row r="134" spans="1:23" x14ac:dyDescent="0.3">
      <c r="A134" s="1">
        <v>44287</v>
      </c>
      <c r="B134" s="1">
        <v>44287</v>
      </c>
      <c r="C134" t="s">
        <v>157</v>
      </c>
      <c r="D134" t="s">
        <v>54</v>
      </c>
      <c r="E134" t="s">
        <v>21</v>
      </c>
      <c r="F134" t="s">
        <v>285</v>
      </c>
      <c r="G134" s="53">
        <v>44323.702997685185</v>
      </c>
      <c r="H134">
        <v>33</v>
      </c>
      <c r="I134">
        <v>18700</v>
      </c>
      <c r="J134" t="s">
        <v>50</v>
      </c>
      <c r="K134" t="s">
        <v>50</v>
      </c>
      <c r="L134" t="s">
        <v>159</v>
      </c>
      <c r="M134" t="s">
        <v>51</v>
      </c>
      <c r="N134" t="s">
        <v>92</v>
      </c>
      <c r="O134" s="1">
        <v>41335</v>
      </c>
      <c r="P134" t="s">
        <v>84</v>
      </c>
      <c r="Q134">
        <v>3</v>
      </c>
      <c r="R134" t="s">
        <v>81</v>
      </c>
      <c r="S134" t="s">
        <v>349</v>
      </c>
      <c r="T134" t="s">
        <v>349</v>
      </c>
      <c r="U134">
        <v>0</v>
      </c>
      <c r="V134">
        <v>5302.482</v>
      </c>
      <c r="W134">
        <v>0</v>
      </c>
    </row>
    <row r="135" spans="1:23" x14ac:dyDescent="0.3">
      <c r="A135" s="1">
        <v>44287</v>
      </c>
      <c r="B135" s="1">
        <v>44287</v>
      </c>
      <c r="C135" t="s">
        <v>157</v>
      </c>
      <c r="D135" t="s">
        <v>54</v>
      </c>
      <c r="E135" t="s">
        <v>21</v>
      </c>
      <c r="F135" t="s">
        <v>285</v>
      </c>
      <c r="G135" s="53">
        <v>44323.702997685185</v>
      </c>
      <c r="H135">
        <v>33</v>
      </c>
      <c r="I135">
        <v>18700</v>
      </c>
      <c r="J135" t="s">
        <v>50</v>
      </c>
      <c r="K135" t="s">
        <v>50</v>
      </c>
      <c r="L135" t="s">
        <v>159</v>
      </c>
      <c r="M135" t="s">
        <v>51</v>
      </c>
      <c r="N135" t="s">
        <v>92</v>
      </c>
      <c r="O135" s="1">
        <v>41335</v>
      </c>
      <c r="P135" t="s">
        <v>84</v>
      </c>
      <c r="Q135">
        <v>4</v>
      </c>
      <c r="R135" t="s">
        <v>27</v>
      </c>
      <c r="S135" t="s">
        <v>349</v>
      </c>
      <c r="T135" t="s">
        <v>349</v>
      </c>
      <c r="U135">
        <v>0</v>
      </c>
      <c r="V135">
        <v>5512.8180000000002</v>
      </c>
      <c r="W135">
        <v>0</v>
      </c>
    </row>
    <row r="136" spans="1:23" x14ac:dyDescent="0.3">
      <c r="A136" s="1">
        <v>44287</v>
      </c>
      <c r="B136" s="1">
        <v>44287</v>
      </c>
      <c r="C136" t="s">
        <v>157</v>
      </c>
      <c r="D136" t="s">
        <v>54</v>
      </c>
      <c r="E136" t="s">
        <v>21</v>
      </c>
      <c r="F136" t="s">
        <v>285</v>
      </c>
      <c r="G136" s="53">
        <v>44323.702997685185</v>
      </c>
      <c r="H136">
        <v>33</v>
      </c>
      <c r="I136">
        <v>18700</v>
      </c>
      <c r="J136" t="s">
        <v>50</v>
      </c>
      <c r="K136" t="s">
        <v>50</v>
      </c>
      <c r="L136" t="s">
        <v>159</v>
      </c>
      <c r="M136" t="s">
        <v>51</v>
      </c>
      <c r="N136" t="s">
        <v>92</v>
      </c>
      <c r="O136" s="1">
        <v>41335</v>
      </c>
      <c r="P136" t="s">
        <v>84</v>
      </c>
      <c r="Q136">
        <v>5</v>
      </c>
      <c r="R136" t="s">
        <v>28</v>
      </c>
      <c r="S136" t="s">
        <v>349</v>
      </c>
      <c r="T136" t="s">
        <v>349</v>
      </c>
      <c r="U136">
        <v>0</v>
      </c>
      <c r="V136">
        <v>5963.2809999999999</v>
      </c>
      <c r="W136">
        <v>0</v>
      </c>
    </row>
    <row r="137" spans="1:23" x14ac:dyDescent="0.3">
      <c r="B137"/>
    </row>
    <row r="138" spans="1:23" x14ac:dyDescent="0.3">
      <c r="B138"/>
    </row>
    <row r="139" spans="1:23" x14ac:dyDescent="0.3">
      <c r="B139"/>
    </row>
    <row r="140" spans="1:23" x14ac:dyDescent="0.3">
      <c r="B140"/>
    </row>
    <row r="141" spans="1:23" x14ac:dyDescent="0.3">
      <c r="B141"/>
    </row>
    <row r="142" spans="1:23" x14ac:dyDescent="0.3">
      <c r="B142"/>
    </row>
    <row r="143" spans="1:23" x14ac:dyDescent="0.3">
      <c r="B143"/>
    </row>
    <row r="144" spans="1:23" x14ac:dyDescent="0.3">
      <c r="B144"/>
    </row>
    <row r="145" spans="2:2" x14ac:dyDescent="0.3">
      <c r="B145"/>
    </row>
    <row r="146" spans="2:2" x14ac:dyDescent="0.3">
      <c r="B146"/>
    </row>
    <row r="147" spans="2:2" x14ac:dyDescent="0.3">
      <c r="B147"/>
    </row>
    <row r="148" spans="2:2" x14ac:dyDescent="0.3">
      <c r="B148"/>
    </row>
    <row r="149" spans="2:2" x14ac:dyDescent="0.3">
      <c r="B149"/>
    </row>
    <row r="150" spans="2:2" x14ac:dyDescent="0.3">
      <c r="B150"/>
    </row>
    <row r="151" spans="2:2" x14ac:dyDescent="0.3">
      <c r="B151"/>
    </row>
    <row r="152" spans="2:2" x14ac:dyDescent="0.3">
      <c r="B152"/>
    </row>
    <row r="153" spans="2:2" x14ac:dyDescent="0.3">
      <c r="B153"/>
    </row>
    <row r="154" spans="2:2" x14ac:dyDescent="0.3">
      <c r="B154"/>
    </row>
    <row r="155" spans="2:2" x14ac:dyDescent="0.3">
      <c r="B155"/>
    </row>
    <row r="156" spans="2:2" x14ac:dyDescent="0.3">
      <c r="B156"/>
    </row>
    <row r="157" spans="2:2" x14ac:dyDescent="0.3">
      <c r="B157"/>
    </row>
    <row r="158" spans="2:2" x14ac:dyDescent="0.3">
      <c r="B158"/>
    </row>
    <row r="159" spans="2:2" x14ac:dyDescent="0.3">
      <c r="B159"/>
    </row>
    <row r="160" spans="2:2" x14ac:dyDescent="0.3">
      <c r="B160"/>
    </row>
    <row r="161" spans="2:2" x14ac:dyDescent="0.3">
      <c r="B161"/>
    </row>
    <row r="162" spans="2:2" x14ac:dyDescent="0.3">
      <c r="B162"/>
    </row>
    <row r="163" spans="2:2" x14ac:dyDescent="0.3">
      <c r="B163"/>
    </row>
    <row r="164" spans="2:2" x14ac:dyDescent="0.3">
      <c r="B164"/>
    </row>
    <row r="165" spans="2:2" x14ac:dyDescent="0.3">
      <c r="B165"/>
    </row>
    <row r="166" spans="2:2" x14ac:dyDescent="0.3">
      <c r="B166"/>
    </row>
    <row r="167" spans="2:2" x14ac:dyDescent="0.3">
      <c r="B167"/>
    </row>
    <row r="168" spans="2:2" x14ac:dyDescent="0.3">
      <c r="B168"/>
    </row>
    <row r="169" spans="2:2" x14ac:dyDescent="0.3">
      <c r="B169"/>
    </row>
    <row r="170" spans="2:2" x14ac:dyDescent="0.3">
      <c r="B170"/>
    </row>
    <row r="171" spans="2:2" x14ac:dyDescent="0.3">
      <c r="B171"/>
    </row>
    <row r="172" spans="2:2" x14ac:dyDescent="0.3">
      <c r="B172"/>
    </row>
    <row r="173" spans="2:2" x14ac:dyDescent="0.3">
      <c r="B173"/>
    </row>
    <row r="174" spans="2:2" x14ac:dyDescent="0.3">
      <c r="B174"/>
    </row>
    <row r="175" spans="2:2" x14ac:dyDescent="0.3">
      <c r="B175"/>
    </row>
    <row r="176" spans="2:2" x14ac:dyDescent="0.3">
      <c r="B176"/>
    </row>
    <row r="177" spans="2:2" x14ac:dyDescent="0.3">
      <c r="B177"/>
    </row>
    <row r="178" spans="2:2" x14ac:dyDescent="0.3">
      <c r="B178"/>
    </row>
    <row r="179" spans="2:2" x14ac:dyDescent="0.3">
      <c r="B179"/>
    </row>
    <row r="180" spans="2:2" x14ac:dyDescent="0.3">
      <c r="B180"/>
    </row>
    <row r="181" spans="2:2" x14ac:dyDescent="0.3">
      <c r="B181"/>
    </row>
    <row r="182" spans="2:2" x14ac:dyDescent="0.3">
      <c r="B182"/>
    </row>
    <row r="183" spans="2:2" x14ac:dyDescent="0.3">
      <c r="B183"/>
    </row>
    <row r="184" spans="2:2" x14ac:dyDescent="0.3">
      <c r="B184"/>
    </row>
    <row r="185" spans="2:2" x14ac:dyDescent="0.3">
      <c r="B185"/>
    </row>
    <row r="186" spans="2:2" x14ac:dyDescent="0.3">
      <c r="B186"/>
    </row>
    <row r="187" spans="2:2" x14ac:dyDescent="0.3">
      <c r="B187"/>
    </row>
    <row r="188" spans="2:2" x14ac:dyDescent="0.3">
      <c r="B188"/>
    </row>
    <row r="189" spans="2:2" x14ac:dyDescent="0.3">
      <c r="B189"/>
    </row>
    <row r="190" spans="2:2" x14ac:dyDescent="0.3">
      <c r="B190"/>
    </row>
    <row r="191" spans="2:2" x14ac:dyDescent="0.3">
      <c r="B191"/>
    </row>
    <row r="192" spans="2:2" x14ac:dyDescent="0.3">
      <c r="B192"/>
    </row>
    <row r="193" spans="2:2" x14ac:dyDescent="0.3">
      <c r="B193"/>
    </row>
    <row r="194" spans="2:2" x14ac:dyDescent="0.3">
      <c r="B194"/>
    </row>
    <row r="195" spans="2:2" x14ac:dyDescent="0.3">
      <c r="B195"/>
    </row>
    <row r="196" spans="2:2" x14ac:dyDescent="0.3">
      <c r="B196"/>
    </row>
    <row r="197" spans="2:2" x14ac:dyDescent="0.3">
      <c r="B197"/>
    </row>
    <row r="198" spans="2:2" x14ac:dyDescent="0.3">
      <c r="B198"/>
    </row>
    <row r="199" spans="2:2" x14ac:dyDescent="0.3">
      <c r="B199"/>
    </row>
    <row r="200" spans="2:2" x14ac:dyDescent="0.3">
      <c r="B200"/>
    </row>
    <row r="201" spans="2:2" x14ac:dyDescent="0.3">
      <c r="B201"/>
    </row>
    <row r="202" spans="2:2" x14ac:dyDescent="0.3">
      <c r="B202"/>
    </row>
    <row r="203" spans="2:2" x14ac:dyDescent="0.3">
      <c r="B203"/>
    </row>
    <row r="204" spans="2:2" x14ac:dyDescent="0.3">
      <c r="B204"/>
    </row>
    <row r="205" spans="2:2" x14ac:dyDescent="0.3">
      <c r="B205"/>
    </row>
    <row r="206" spans="2:2" x14ac:dyDescent="0.3">
      <c r="B206"/>
    </row>
    <row r="207" spans="2:2" x14ac:dyDescent="0.3">
      <c r="B207"/>
    </row>
    <row r="208" spans="2:2" x14ac:dyDescent="0.3">
      <c r="B208"/>
    </row>
    <row r="209" spans="2:2" x14ac:dyDescent="0.3">
      <c r="B209"/>
    </row>
    <row r="210" spans="2:2" x14ac:dyDescent="0.3">
      <c r="B210"/>
    </row>
    <row r="211" spans="2:2" x14ac:dyDescent="0.3">
      <c r="B211"/>
    </row>
    <row r="212" spans="2:2" x14ac:dyDescent="0.3">
      <c r="B212"/>
    </row>
    <row r="213" spans="2:2" x14ac:dyDescent="0.3">
      <c r="B213"/>
    </row>
    <row r="214" spans="2:2" x14ac:dyDescent="0.3">
      <c r="B214"/>
    </row>
    <row r="215" spans="2:2" x14ac:dyDescent="0.3">
      <c r="B215"/>
    </row>
    <row r="216" spans="2:2" x14ac:dyDescent="0.3">
      <c r="B216"/>
    </row>
    <row r="217" spans="2:2" x14ac:dyDescent="0.3">
      <c r="B217"/>
    </row>
    <row r="218" spans="2:2" x14ac:dyDescent="0.3">
      <c r="B218"/>
    </row>
    <row r="219" spans="2:2" x14ac:dyDescent="0.3">
      <c r="B219"/>
    </row>
    <row r="220" spans="2:2" x14ac:dyDescent="0.3">
      <c r="B220"/>
    </row>
    <row r="221" spans="2:2" x14ac:dyDescent="0.3">
      <c r="B221"/>
    </row>
    <row r="222" spans="2:2" x14ac:dyDescent="0.3">
      <c r="B222"/>
    </row>
    <row r="223" spans="2:2" x14ac:dyDescent="0.3">
      <c r="B223"/>
    </row>
    <row r="224" spans="2:2" x14ac:dyDescent="0.3">
      <c r="B224"/>
    </row>
    <row r="225" spans="2:2" x14ac:dyDescent="0.3">
      <c r="B225"/>
    </row>
    <row r="226" spans="2:2" x14ac:dyDescent="0.3">
      <c r="B226"/>
    </row>
    <row r="227" spans="2:2" x14ac:dyDescent="0.3">
      <c r="B227"/>
    </row>
    <row r="228" spans="2:2" x14ac:dyDescent="0.3">
      <c r="B228"/>
    </row>
    <row r="229" spans="2:2" x14ac:dyDescent="0.3">
      <c r="B229"/>
    </row>
    <row r="230" spans="2:2" x14ac:dyDescent="0.3">
      <c r="B230"/>
    </row>
    <row r="231" spans="2:2" x14ac:dyDescent="0.3">
      <c r="B231"/>
    </row>
    <row r="232" spans="2:2" x14ac:dyDescent="0.3">
      <c r="B232"/>
    </row>
    <row r="233" spans="2:2" x14ac:dyDescent="0.3">
      <c r="B233"/>
    </row>
    <row r="234" spans="2:2" x14ac:dyDescent="0.3">
      <c r="B234"/>
    </row>
    <row r="235" spans="2:2" x14ac:dyDescent="0.3">
      <c r="B235"/>
    </row>
    <row r="236" spans="2:2" x14ac:dyDescent="0.3">
      <c r="B236"/>
    </row>
    <row r="237" spans="2:2" x14ac:dyDescent="0.3">
      <c r="B237"/>
    </row>
    <row r="238" spans="2:2" x14ac:dyDescent="0.3">
      <c r="B238"/>
    </row>
    <row r="239" spans="2:2" x14ac:dyDescent="0.3">
      <c r="B239"/>
    </row>
    <row r="240" spans="2:2" x14ac:dyDescent="0.3">
      <c r="B240"/>
    </row>
    <row r="241" spans="2:2" x14ac:dyDescent="0.3">
      <c r="B241"/>
    </row>
    <row r="242" spans="2:2" x14ac:dyDescent="0.3">
      <c r="B242"/>
    </row>
    <row r="243" spans="2:2" x14ac:dyDescent="0.3">
      <c r="B243"/>
    </row>
    <row r="244" spans="2:2" x14ac:dyDescent="0.3">
      <c r="B244"/>
    </row>
    <row r="245" spans="2:2" x14ac:dyDescent="0.3">
      <c r="B245"/>
    </row>
    <row r="246" spans="2:2" x14ac:dyDescent="0.3">
      <c r="B246"/>
    </row>
    <row r="247" spans="2:2" x14ac:dyDescent="0.3">
      <c r="B247"/>
    </row>
    <row r="248" spans="2:2" x14ac:dyDescent="0.3">
      <c r="B248"/>
    </row>
    <row r="249" spans="2:2" x14ac:dyDescent="0.3">
      <c r="B249"/>
    </row>
    <row r="250" spans="2:2" x14ac:dyDescent="0.3">
      <c r="B250"/>
    </row>
    <row r="251" spans="2:2" x14ac:dyDescent="0.3">
      <c r="B251"/>
    </row>
    <row r="252" spans="2:2" x14ac:dyDescent="0.3">
      <c r="B252"/>
    </row>
    <row r="253" spans="2:2" x14ac:dyDescent="0.3">
      <c r="B253"/>
    </row>
    <row r="254" spans="2:2" x14ac:dyDescent="0.3">
      <c r="B254"/>
    </row>
    <row r="255" spans="2:2" x14ac:dyDescent="0.3">
      <c r="B255"/>
    </row>
    <row r="256" spans="2:2" x14ac:dyDescent="0.3">
      <c r="B256"/>
    </row>
    <row r="257" spans="2:2" x14ac:dyDescent="0.3">
      <c r="B257"/>
    </row>
    <row r="258" spans="2:2" x14ac:dyDescent="0.3">
      <c r="B258"/>
    </row>
    <row r="259" spans="2:2" x14ac:dyDescent="0.3">
      <c r="B259"/>
    </row>
    <row r="260" spans="2:2" x14ac:dyDescent="0.3">
      <c r="B260"/>
    </row>
    <row r="261" spans="2:2" x14ac:dyDescent="0.3">
      <c r="B261"/>
    </row>
    <row r="262" spans="2:2" x14ac:dyDescent="0.3">
      <c r="B262"/>
    </row>
    <row r="263" spans="2:2" x14ac:dyDescent="0.3">
      <c r="B263"/>
    </row>
    <row r="264" spans="2:2" x14ac:dyDescent="0.3">
      <c r="B264"/>
    </row>
    <row r="265" spans="2:2" x14ac:dyDescent="0.3">
      <c r="B265"/>
    </row>
    <row r="266" spans="2:2" x14ac:dyDescent="0.3">
      <c r="B266"/>
    </row>
    <row r="267" spans="2:2" x14ac:dyDescent="0.3">
      <c r="B267"/>
    </row>
    <row r="268" spans="2:2" x14ac:dyDescent="0.3">
      <c r="B268"/>
    </row>
    <row r="269" spans="2:2" x14ac:dyDescent="0.3">
      <c r="B269"/>
    </row>
    <row r="270" spans="2:2" x14ac:dyDescent="0.3">
      <c r="B270"/>
    </row>
    <row r="271" spans="2:2" x14ac:dyDescent="0.3">
      <c r="B271"/>
    </row>
    <row r="272" spans="2:2" x14ac:dyDescent="0.3">
      <c r="B272"/>
    </row>
    <row r="273" spans="2:2" x14ac:dyDescent="0.3">
      <c r="B273"/>
    </row>
    <row r="274" spans="2:2" x14ac:dyDescent="0.3">
      <c r="B274"/>
    </row>
    <row r="275" spans="2:2" x14ac:dyDescent="0.3">
      <c r="B275"/>
    </row>
    <row r="276" spans="2:2" x14ac:dyDescent="0.3">
      <c r="B276"/>
    </row>
    <row r="277" spans="2:2" x14ac:dyDescent="0.3">
      <c r="B277"/>
    </row>
    <row r="278" spans="2:2" x14ac:dyDescent="0.3">
      <c r="B278"/>
    </row>
    <row r="279" spans="2:2" x14ac:dyDescent="0.3">
      <c r="B279"/>
    </row>
    <row r="280" spans="2:2" x14ac:dyDescent="0.3">
      <c r="B280"/>
    </row>
    <row r="281" spans="2:2" x14ac:dyDescent="0.3">
      <c r="B281"/>
    </row>
    <row r="282" spans="2:2" x14ac:dyDescent="0.3">
      <c r="B282"/>
    </row>
    <row r="283" spans="2:2" x14ac:dyDescent="0.3">
      <c r="B283"/>
    </row>
    <row r="284" spans="2:2" x14ac:dyDescent="0.3">
      <c r="B284"/>
    </row>
    <row r="285" spans="2:2" x14ac:dyDescent="0.3">
      <c r="B285"/>
    </row>
    <row r="286" spans="2:2" x14ac:dyDescent="0.3">
      <c r="B286"/>
    </row>
    <row r="287" spans="2:2" x14ac:dyDescent="0.3">
      <c r="B287"/>
    </row>
    <row r="288" spans="2:2" x14ac:dyDescent="0.3">
      <c r="B288"/>
    </row>
    <row r="289" spans="2:2" x14ac:dyDescent="0.3">
      <c r="B289"/>
    </row>
    <row r="290" spans="2:2" x14ac:dyDescent="0.3">
      <c r="B290"/>
    </row>
    <row r="291" spans="2:2" x14ac:dyDescent="0.3">
      <c r="B291"/>
    </row>
    <row r="292" spans="2:2" x14ac:dyDescent="0.3">
      <c r="B292"/>
    </row>
    <row r="293" spans="2:2" x14ac:dyDescent="0.3">
      <c r="B293"/>
    </row>
    <row r="294" spans="2:2" x14ac:dyDescent="0.3">
      <c r="B294"/>
    </row>
    <row r="295" spans="2:2" x14ac:dyDescent="0.3">
      <c r="B295"/>
    </row>
    <row r="296" spans="2:2" x14ac:dyDescent="0.3">
      <c r="B296"/>
    </row>
    <row r="297" spans="2:2" x14ac:dyDescent="0.3">
      <c r="B297"/>
    </row>
    <row r="298" spans="2:2" x14ac:dyDescent="0.3">
      <c r="B298"/>
    </row>
    <row r="299" spans="2:2" x14ac:dyDescent="0.3">
      <c r="B299"/>
    </row>
    <row r="300" spans="2:2" x14ac:dyDescent="0.3">
      <c r="B300"/>
    </row>
    <row r="301" spans="2:2" x14ac:dyDescent="0.3">
      <c r="B301"/>
    </row>
    <row r="302" spans="2:2" x14ac:dyDescent="0.3">
      <c r="B302"/>
    </row>
    <row r="303" spans="2:2" x14ac:dyDescent="0.3">
      <c r="B303"/>
    </row>
    <row r="304" spans="2:2" x14ac:dyDescent="0.3">
      <c r="B304"/>
    </row>
    <row r="305" spans="2:2" x14ac:dyDescent="0.3">
      <c r="B305"/>
    </row>
    <row r="306" spans="2:2" x14ac:dyDescent="0.3">
      <c r="B306"/>
    </row>
    <row r="307" spans="2:2" x14ac:dyDescent="0.3">
      <c r="B307"/>
    </row>
    <row r="308" spans="2:2" x14ac:dyDescent="0.3">
      <c r="B308"/>
    </row>
    <row r="309" spans="2:2" x14ac:dyDescent="0.3">
      <c r="B309"/>
    </row>
    <row r="310" spans="2:2" x14ac:dyDescent="0.3">
      <c r="B310"/>
    </row>
    <row r="311" spans="2:2" x14ac:dyDescent="0.3">
      <c r="B311"/>
    </row>
    <row r="312" spans="2:2" x14ac:dyDescent="0.3">
      <c r="B312"/>
    </row>
    <row r="313" spans="2:2" x14ac:dyDescent="0.3">
      <c r="B313"/>
    </row>
    <row r="314" spans="2:2" x14ac:dyDescent="0.3">
      <c r="B314"/>
    </row>
    <row r="315" spans="2:2" x14ac:dyDescent="0.3">
      <c r="B315"/>
    </row>
    <row r="316" spans="2:2" x14ac:dyDescent="0.3">
      <c r="B316"/>
    </row>
    <row r="317" spans="2:2" x14ac:dyDescent="0.3">
      <c r="B317"/>
    </row>
    <row r="318" spans="2:2" x14ac:dyDescent="0.3">
      <c r="B318"/>
    </row>
    <row r="319" spans="2:2" x14ac:dyDescent="0.3">
      <c r="B319"/>
    </row>
    <row r="320" spans="2:2" x14ac:dyDescent="0.3">
      <c r="B320"/>
    </row>
    <row r="321" spans="2:2" x14ac:dyDescent="0.3">
      <c r="B321"/>
    </row>
    <row r="322" spans="2:2" x14ac:dyDescent="0.3">
      <c r="B322"/>
    </row>
    <row r="323" spans="2:2" x14ac:dyDescent="0.3">
      <c r="B323"/>
    </row>
    <row r="324" spans="2:2" x14ac:dyDescent="0.3">
      <c r="B324"/>
    </row>
    <row r="325" spans="2:2" x14ac:dyDescent="0.3">
      <c r="B325"/>
    </row>
    <row r="326" spans="2:2" x14ac:dyDescent="0.3">
      <c r="B326"/>
    </row>
    <row r="327" spans="2:2" x14ac:dyDescent="0.3">
      <c r="B327"/>
    </row>
    <row r="328" spans="2:2" x14ac:dyDescent="0.3">
      <c r="B328"/>
    </row>
    <row r="329" spans="2:2" x14ac:dyDescent="0.3">
      <c r="B329"/>
    </row>
    <row r="330" spans="2:2" x14ac:dyDescent="0.3">
      <c r="B330"/>
    </row>
    <row r="331" spans="2:2" x14ac:dyDescent="0.3">
      <c r="B331"/>
    </row>
    <row r="332" spans="2:2" x14ac:dyDescent="0.3">
      <c r="B332"/>
    </row>
    <row r="333" spans="2:2" x14ac:dyDescent="0.3">
      <c r="B333"/>
    </row>
    <row r="334" spans="2:2" x14ac:dyDescent="0.3">
      <c r="B334"/>
    </row>
    <row r="335" spans="2:2" x14ac:dyDescent="0.3">
      <c r="B335"/>
    </row>
    <row r="336" spans="2:2" x14ac:dyDescent="0.3">
      <c r="B336"/>
    </row>
    <row r="337" spans="2:2" x14ac:dyDescent="0.3">
      <c r="B337"/>
    </row>
    <row r="338" spans="2:2" x14ac:dyDescent="0.3">
      <c r="B338"/>
    </row>
    <row r="339" spans="2:2" x14ac:dyDescent="0.3">
      <c r="B339"/>
    </row>
    <row r="340" spans="2:2" x14ac:dyDescent="0.3">
      <c r="B340"/>
    </row>
    <row r="341" spans="2:2" x14ac:dyDescent="0.3">
      <c r="B341"/>
    </row>
    <row r="342" spans="2:2" x14ac:dyDescent="0.3">
      <c r="B342"/>
    </row>
    <row r="343" spans="2:2" x14ac:dyDescent="0.3">
      <c r="B343"/>
    </row>
    <row r="344" spans="2:2" x14ac:dyDescent="0.3">
      <c r="B344"/>
    </row>
    <row r="345" spans="2:2" x14ac:dyDescent="0.3">
      <c r="B345"/>
    </row>
    <row r="346" spans="2:2" x14ac:dyDescent="0.3">
      <c r="B346"/>
    </row>
    <row r="347" spans="2:2" x14ac:dyDescent="0.3">
      <c r="B347"/>
    </row>
    <row r="348" spans="2:2" x14ac:dyDescent="0.3">
      <c r="B348"/>
    </row>
    <row r="349" spans="2:2" x14ac:dyDescent="0.3">
      <c r="B349"/>
    </row>
    <row r="350" spans="2:2" x14ac:dyDescent="0.3">
      <c r="B350"/>
    </row>
    <row r="351" spans="2:2" x14ac:dyDescent="0.3">
      <c r="B351"/>
    </row>
    <row r="352" spans="2:2" x14ac:dyDescent="0.3">
      <c r="B352"/>
    </row>
    <row r="353" spans="2:2" x14ac:dyDescent="0.3">
      <c r="B353"/>
    </row>
    <row r="354" spans="2:2" x14ac:dyDescent="0.3">
      <c r="B354"/>
    </row>
    <row r="355" spans="2:2" x14ac:dyDescent="0.3">
      <c r="B355"/>
    </row>
    <row r="356" spans="2:2" x14ac:dyDescent="0.3">
      <c r="B356"/>
    </row>
    <row r="357" spans="2:2" x14ac:dyDescent="0.3">
      <c r="B357"/>
    </row>
    <row r="358" spans="2:2" x14ac:dyDescent="0.3">
      <c r="B358"/>
    </row>
    <row r="359" spans="2:2" x14ac:dyDescent="0.3">
      <c r="B359"/>
    </row>
    <row r="360" spans="2:2" x14ac:dyDescent="0.3">
      <c r="B360"/>
    </row>
    <row r="361" spans="2:2" x14ac:dyDescent="0.3">
      <c r="B361"/>
    </row>
    <row r="362" spans="2:2" x14ac:dyDescent="0.3">
      <c r="B362"/>
    </row>
    <row r="363" spans="2:2" x14ac:dyDescent="0.3">
      <c r="B363"/>
    </row>
    <row r="364" spans="2:2" x14ac:dyDescent="0.3">
      <c r="B364"/>
    </row>
    <row r="365" spans="2:2" x14ac:dyDescent="0.3">
      <c r="B365"/>
    </row>
    <row r="366" spans="2:2" x14ac:dyDescent="0.3">
      <c r="B366"/>
    </row>
    <row r="367" spans="2:2" x14ac:dyDescent="0.3">
      <c r="B367"/>
    </row>
    <row r="368" spans="2:2" x14ac:dyDescent="0.3">
      <c r="B368"/>
    </row>
    <row r="369" spans="2:2" x14ac:dyDescent="0.3">
      <c r="B369"/>
    </row>
    <row r="370" spans="2:2" x14ac:dyDescent="0.3">
      <c r="B370"/>
    </row>
    <row r="371" spans="2:2" x14ac:dyDescent="0.3">
      <c r="B371"/>
    </row>
    <row r="372" spans="2:2" x14ac:dyDescent="0.3">
      <c r="B372"/>
    </row>
    <row r="373" spans="2:2" x14ac:dyDescent="0.3">
      <c r="B373"/>
    </row>
    <row r="374" spans="2:2" x14ac:dyDescent="0.3">
      <c r="B374"/>
    </row>
    <row r="375" spans="2:2" x14ac:dyDescent="0.3">
      <c r="B375"/>
    </row>
    <row r="376" spans="2:2" x14ac:dyDescent="0.3">
      <c r="B376"/>
    </row>
    <row r="377" spans="2:2" x14ac:dyDescent="0.3">
      <c r="B377"/>
    </row>
    <row r="378" spans="2:2" x14ac:dyDescent="0.3">
      <c r="B378"/>
    </row>
    <row r="379" spans="2:2" x14ac:dyDescent="0.3">
      <c r="B379"/>
    </row>
    <row r="380" spans="2:2" x14ac:dyDescent="0.3">
      <c r="B380"/>
    </row>
    <row r="381" spans="2:2" x14ac:dyDescent="0.3">
      <c r="B381"/>
    </row>
    <row r="382" spans="2:2" x14ac:dyDescent="0.3">
      <c r="B382"/>
    </row>
    <row r="383" spans="2:2" x14ac:dyDescent="0.3">
      <c r="B383"/>
    </row>
    <row r="384" spans="2:2" x14ac:dyDescent="0.3">
      <c r="B384"/>
    </row>
    <row r="385" spans="2:2" x14ac:dyDescent="0.3">
      <c r="B385"/>
    </row>
    <row r="386" spans="2:2" x14ac:dyDescent="0.3">
      <c r="B386"/>
    </row>
    <row r="387" spans="2:2" x14ac:dyDescent="0.3">
      <c r="B387"/>
    </row>
    <row r="388" spans="2:2" x14ac:dyDescent="0.3">
      <c r="B388"/>
    </row>
    <row r="389" spans="2:2" x14ac:dyDescent="0.3">
      <c r="B389"/>
    </row>
    <row r="390" spans="2:2" x14ac:dyDescent="0.3">
      <c r="B390"/>
    </row>
    <row r="391" spans="2:2" x14ac:dyDescent="0.3">
      <c r="B391"/>
    </row>
    <row r="392" spans="2:2" x14ac:dyDescent="0.3">
      <c r="B392"/>
    </row>
    <row r="393" spans="2:2" x14ac:dyDescent="0.3">
      <c r="B393"/>
    </row>
    <row r="394" spans="2:2" x14ac:dyDescent="0.3">
      <c r="B394"/>
    </row>
    <row r="395" spans="2:2" x14ac:dyDescent="0.3">
      <c r="B395"/>
    </row>
    <row r="396" spans="2:2" x14ac:dyDescent="0.3">
      <c r="B396"/>
    </row>
    <row r="397" spans="2:2" x14ac:dyDescent="0.3">
      <c r="B397"/>
    </row>
    <row r="398" spans="2:2" x14ac:dyDescent="0.3">
      <c r="B398"/>
    </row>
    <row r="399" spans="2:2" x14ac:dyDescent="0.3">
      <c r="B399"/>
    </row>
    <row r="400" spans="2:2" x14ac:dyDescent="0.3">
      <c r="B400"/>
    </row>
    <row r="401" spans="2:2" x14ac:dyDescent="0.3">
      <c r="B401"/>
    </row>
    <row r="402" spans="2:2" x14ac:dyDescent="0.3">
      <c r="B402"/>
    </row>
    <row r="403" spans="2:2" x14ac:dyDescent="0.3">
      <c r="B403"/>
    </row>
    <row r="404" spans="2:2" x14ac:dyDescent="0.3">
      <c r="B404"/>
    </row>
    <row r="405" spans="2:2" x14ac:dyDescent="0.3">
      <c r="B405"/>
    </row>
    <row r="406" spans="2:2" x14ac:dyDescent="0.3">
      <c r="B406"/>
    </row>
    <row r="407" spans="2:2" x14ac:dyDescent="0.3">
      <c r="B407"/>
    </row>
    <row r="408" spans="2:2" x14ac:dyDescent="0.3">
      <c r="B408"/>
    </row>
    <row r="409" spans="2:2" x14ac:dyDescent="0.3">
      <c r="B409"/>
    </row>
    <row r="410" spans="2:2" x14ac:dyDescent="0.3">
      <c r="B410"/>
    </row>
    <row r="411" spans="2:2" x14ac:dyDescent="0.3">
      <c r="B411"/>
    </row>
    <row r="412" spans="2:2" x14ac:dyDescent="0.3">
      <c r="B412"/>
    </row>
    <row r="413" spans="2:2" x14ac:dyDescent="0.3">
      <c r="B413"/>
    </row>
    <row r="414" spans="2:2" x14ac:dyDescent="0.3">
      <c r="B414"/>
    </row>
    <row r="415" spans="2:2" x14ac:dyDescent="0.3">
      <c r="B415"/>
    </row>
    <row r="416" spans="2:2" x14ac:dyDescent="0.3">
      <c r="B416"/>
    </row>
    <row r="417" spans="2:2" x14ac:dyDescent="0.3">
      <c r="B417"/>
    </row>
    <row r="418" spans="2:2" x14ac:dyDescent="0.3">
      <c r="B418"/>
    </row>
    <row r="419" spans="2:2" x14ac:dyDescent="0.3">
      <c r="B419"/>
    </row>
    <row r="420" spans="2:2" x14ac:dyDescent="0.3">
      <c r="B420"/>
    </row>
    <row r="421" spans="2:2" x14ac:dyDescent="0.3">
      <c r="B421"/>
    </row>
    <row r="422" spans="2:2" x14ac:dyDescent="0.3">
      <c r="B422"/>
    </row>
    <row r="423" spans="2:2" x14ac:dyDescent="0.3">
      <c r="B423"/>
    </row>
    <row r="424" spans="2:2" x14ac:dyDescent="0.3">
      <c r="B424"/>
    </row>
    <row r="425" spans="2:2" x14ac:dyDescent="0.3">
      <c r="B425"/>
    </row>
    <row r="426" spans="2:2" x14ac:dyDescent="0.3">
      <c r="B426"/>
    </row>
    <row r="427" spans="2:2" x14ac:dyDescent="0.3">
      <c r="B427"/>
    </row>
    <row r="428" spans="2:2" x14ac:dyDescent="0.3">
      <c r="B428"/>
    </row>
    <row r="429" spans="2:2" x14ac:dyDescent="0.3">
      <c r="B429"/>
    </row>
    <row r="430" spans="2:2" x14ac:dyDescent="0.3">
      <c r="B430"/>
    </row>
    <row r="431" spans="2:2" x14ac:dyDescent="0.3">
      <c r="B431"/>
    </row>
    <row r="432" spans="2:2" x14ac:dyDescent="0.3">
      <c r="B432"/>
    </row>
    <row r="433" spans="2:2" x14ac:dyDescent="0.3">
      <c r="B433"/>
    </row>
    <row r="434" spans="2:2" x14ac:dyDescent="0.3">
      <c r="B434"/>
    </row>
    <row r="435" spans="2:2" x14ac:dyDescent="0.3">
      <c r="B435"/>
    </row>
    <row r="436" spans="2:2" x14ac:dyDescent="0.3">
      <c r="B436"/>
    </row>
    <row r="437" spans="2:2" x14ac:dyDescent="0.3">
      <c r="B437"/>
    </row>
    <row r="438" spans="2:2" x14ac:dyDescent="0.3">
      <c r="B438"/>
    </row>
    <row r="439" spans="2:2" x14ac:dyDescent="0.3">
      <c r="B439"/>
    </row>
    <row r="440" spans="2:2" x14ac:dyDescent="0.3">
      <c r="B440"/>
    </row>
    <row r="441" spans="2:2" x14ac:dyDescent="0.3">
      <c r="B441"/>
    </row>
    <row r="442" spans="2:2" x14ac:dyDescent="0.3">
      <c r="B442"/>
    </row>
    <row r="443" spans="2:2" x14ac:dyDescent="0.3">
      <c r="B443"/>
    </row>
    <row r="444" spans="2:2" x14ac:dyDescent="0.3">
      <c r="B444"/>
    </row>
    <row r="445" spans="2:2" x14ac:dyDescent="0.3">
      <c r="B445"/>
    </row>
    <row r="446" spans="2:2" x14ac:dyDescent="0.3">
      <c r="B446"/>
    </row>
    <row r="447" spans="2:2" x14ac:dyDescent="0.3">
      <c r="B447"/>
    </row>
    <row r="448" spans="2:2" x14ac:dyDescent="0.3">
      <c r="B448"/>
    </row>
    <row r="449" spans="2:2" x14ac:dyDescent="0.3">
      <c r="B449"/>
    </row>
    <row r="450" spans="2:2" x14ac:dyDescent="0.3">
      <c r="B450"/>
    </row>
    <row r="451" spans="2:2" x14ac:dyDescent="0.3">
      <c r="B451"/>
    </row>
    <row r="452" spans="2:2" x14ac:dyDescent="0.3">
      <c r="B452"/>
    </row>
    <row r="453" spans="2:2" x14ac:dyDescent="0.3">
      <c r="B453"/>
    </row>
    <row r="454" spans="2:2" x14ac:dyDescent="0.3">
      <c r="B454"/>
    </row>
    <row r="455" spans="2:2" x14ac:dyDescent="0.3">
      <c r="B455"/>
    </row>
    <row r="456" spans="2:2" x14ac:dyDescent="0.3">
      <c r="B456"/>
    </row>
    <row r="457" spans="2:2" x14ac:dyDescent="0.3">
      <c r="B457"/>
    </row>
    <row r="458" spans="2:2" x14ac:dyDescent="0.3">
      <c r="B458"/>
    </row>
    <row r="459" spans="2:2" x14ac:dyDescent="0.3">
      <c r="B459"/>
    </row>
    <row r="460" spans="2:2" x14ac:dyDescent="0.3">
      <c r="B460"/>
    </row>
    <row r="461" spans="2:2" x14ac:dyDescent="0.3">
      <c r="B461"/>
    </row>
    <row r="462" spans="2:2" x14ac:dyDescent="0.3">
      <c r="B462"/>
    </row>
    <row r="463" spans="2:2" x14ac:dyDescent="0.3">
      <c r="B463"/>
    </row>
    <row r="464" spans="2:2" x14ac:dyDescent="0.3">
      <c r="B464"/>
    </row>
    <row r="465" spans="2:2" x14ac:dyDescent="0.3">
      <c r="B465"/>
    </row>
    <row r="466" spans="2:2" x14ac:dyDescent="0.3">
      <c r="B466"/>
    </row>
    <row r="467" spans="2:2" x14ac:dyDescent="0.3">
      <c r="B467"/>
    </row>
    <row r="468" spans="2:2" x14ac:dyDescent="0.3">
      <c r="B468"/>
    </row>
    <row r="469" spans="2:2" x14ac:dyDescent="0.3">
      <c r="B469"/>
    </row>
    <row r="470" spans="2:2" x14ac:dyDescent="0.3">
      <c r="B470"/>
    </row>
    <row r="471" spans="2:2" x14ac:dyDescent="0.3">
      <c r="B471"/>
    </row>
    <row r="472" spans="2:2" x14ac:dyDescent="0.3">
      <c r="B472"/>
    </row>
    <row r="473" spans="2:2" x14ac:dyDescent="0.3">
      <c r="B473"/>
    </row>
    <row r="474" spans="2:2" x14ac:dyDescent="0.3">
      <c r="B474"/>
    </row>
    <row r="475" spans="2:2" x14ac:dyDescent="0.3">
      <c r="B475"/>
    </row>
    <row r="476" spans="2:2" x14ac:dyDescent="0.3">
      <c r="B476"/>
    </row>
    <row r="477" spans="2:2" x14ac:dyDescent="0.3">
      <c r="B477"/>
    </row>
    <row r="478" spans="2:2" x14ac:dyDescent="0.3">
      <c r="B478"/>
    </row>
    <row r="479" spans="2:2" x14ac:dyDescent="0.3">
      <c r="B479"/>
    </row>
    <row r="480" spans="2:2" x14ac:dyDescent="0.3">
      <c r="B480"/>
    </row>
    <row r="481" spans="2:2" x14ac:dyDescent="0.3">
      <c r="B481"/>
    </row>
    <row r="482" spans="2:2" x14ac:dyDescent="0.3">
      <c r="B482"/>
    </row>
    <row r="483" spans="2:2" x14ac:dyDescent="0.3">
      <c r="B483"/>
    </row>
    <row r="484" spans="2:2" x14ac:dyDescent="0.3">
      <c r="B484"/>
    </row>
    <row r="485" spans="2:2" x14ac:dyDescent="0.3">
      <c r="B485"/>
    </row>
    <row r="486" spans="2:2" x14ac:dyDescent="0.3">
      <c r="B486"/>
    </row>
    <row r="487" spans="2:2" x14ac:dyDescent="0.3">
      <c r="B487"/>
    </row>
    <row r="488" spans="2:2" x14ac:dyDescent="0.3">
      <c r="B488"/>
    </row>
    <row r="489" spans="2:2" x14ac:dyDescent="0.3">
      <c r="B489"/>
    </row>
    <row r="490" spans="2:2" x14ac:dyDescent="0.3">
      <c r="B490"/>
    </row>
    <row r="491" spans="2:2" x14ac:dyDescent="0.3">
      <c r="B491"/>
    </row>
    <row r="492" spans="2:2" x14ac:dyDescent="0.3">
      <c r="B492"/>
    </row>
    <row r="493" spans="2:2" x14ac:dyDescent="0.3">
      <c r="B493"/>
    </row>
    <row r="494" spans="2:2" x14ac:dyDescent="0.3">
      <c r="B494"/>
    </row>
    <row r="495" spans="2:2" x14ac:dyDescent="0.3">
      <c r="B495"/>
    </row>
    <row r="496" spans="2:2" x14ac:dyDescent="0.3">
      <c r="B496"/>
    </row>
    <row r="497" spans="2:2" x14ac:dyDescent="0.3">
      <c r="B497"/>
    </row>
    <row r="498" spans="2:2" x14ac:dyDescent="0.3">
      <c r="B498"/>
    </row>
    <row r="499" spans="2:2" x14ac:dyDescent="0.3">
      <c r="B499"/>
    </row>
    <row r="500" spans="2:2" x14ac:dyDescent="0.3">
      <c r="B500"/>
    </row>
    <row r="501" spans="2:2" x14ac:dyDescent="0.3">
      <c r="B501"/>
    </row>
    <row r="502" spans="2:2" x14ac:dyDescent="0.3">
      <c r="B502"/>
    </row>
    <row r="503" spans="2:2" x14ac:dyDescent="0.3">
      <c r="B503"/>
    </row>
    <row r="504" spans="2:2" x14ac:dyDescent="0.3">
      <c r="B504"/>
    </row>
    <row r="505" spans="2:2" x14ac:dyDescent="0.3">
      <c r="B505"/>
    </row>
    <row r="506" spans="2:2" x14ac:dyDescent="0.3">
      <c r="B506"/>
    </row>
    <row r="507" spans="2:2" x14ac:dyDescent="0.3">
      <c r="B507"/>
    </row>
    <row r="508" spans="2:2" x14ac:dyDescent="0.3">
      <c r="B508"/>
    </row>
    <row r="509" spans="2:2" x14ac:dyDescent="0.3">
      <c r="B509"/>
    </row>
    <row r="510" spans="2:2" x14ac:dyDescent="0.3">
      <c r="B510"/>
    </row>
    <row r="511" spans="2:2" x14ac:dyDescent="0.3">
      <c r="B511"/>
    </row>
    <row r="512" spans="2:2" x14ac:dyDescent="0.3">
      <c r="B512"/>
    </row>
    <row r="513" spans="2:2" x14ac:dyDescent="0.3">
      <c r="B513"/>
    </row>
    <row r="514" spans="2:2" x14ac:dyDescent="0.3">
      <c r="B514"/>
    </row>
    <row r="515" spans="2:2" x14ac:dyDescent="0.3">
      <c r="B515"/>
    </row>
    <row r="516" spans="2:2" x14ac:dyDescent="0.3">
      <c r="B516"/>
    </row>
    <row r="517" spans="2:2" x14ac:dyDescent="0.3">
      <c r="B517"/>
    </row>
    <row r="518" spans="2:2" x14ac:dyDescent="0.3">
      <c r="B518"/>
    </row>
    <row r="519" spans="2:2" x14ac:dyDescent="0.3">
      <c r="B519"/>
    </row>
    <row r="520" spans="2:2" x14ac:dyDescent="0.3">
      <c r="B520"/>
    </row>
    <row r="521" spans="2:2" x14ac:dyDescent="0.3">
      <c r="B521"/>
    </row>
    <row r="522" spans="2:2" x14ac:dyDescent="0.3">
      <c r="B522"/>
    </row>
    <row r="523" spans="2:2" x14ac:dyDescent="0.3">
      <c r="B523"/>
    </row>
    <row r="524" spans="2:2" x14ac:dyDescent="0.3">
      <c r="B524"/>
    </row>
    <row r="525" spans="2:2" x14ac:dyDescent="0.3">
      <c r="B525"/>
    </row>
    <row r="526" spans="2:2" x14ac:dyDescent="0.3">
      <c r="B526"/>
    </row>
    <row r="527" spans="2:2" x14ac:dyDescent="0.3">
      <c r="B527"/>
    </row>
    <row r="528" spans="2:2" x14ac:dyDescent="0.3">
      <c r="B528"/>
    </row>
    <row r="529" spans="2:2" x14ac:dyDescent="0.3">
      <c r="B529"/>
    </row>
    <row r="530" spans="2:2" x14ac:dyDescent="0.3">
      <c r="B530"/>
    </row>
    <row r="531" spans="2:2" x14ac:dyDescent="0.3">
      <c r="B531"/>
    </row>
    <row r="532" spans="2:2" x14ac:dyDescent="0.3">
      <c r="B532"/>
    </row>
    <row r="533" spans="2:2" x14ac:dyDescent="0.3">
      <c r="B533"/>
    </row>
    <row r="534" spans="2:2" x14ac:dyDescent="0.3">
      <c r="B534"/>
    </row>
    <row r="535" spans="2:2" x14ac:dyDescent="0.3">
      <c r="B535"/>
    </row>
    <row r="536" spans="2:2" x14ac:dyDescent="0.3">
      <c r="B536"/>
    </row>
    <row r="537" spans="2:2" x14ac:dyDescent="0.3">
      <c r="B537"/>
    </row>
    <row r="538" spans="2:2" x14ac:dyDescent="0.3">
      <c r="B538"/>
    </row>
    <row r="539" spans="2:2" x14ac:dyDescent="0.3">
      <c r="B539"/>
    </row>
    <row r="540" spans="2:2" x14ac:dyDescent="0.3">
      <c r="B540"/>
    </row>
    <row r="541" spans="2:2" x14ac:dyDescent="0.3">
      <c r="B541"/>
    </row>
    <row r="542" spans="2:2" x14ac:dyDescent="0.3">
      <c r="B542"/>
    </row>
    <row r="543" spans="2:2" x14ac:dyDescent="0.3">
      <c r="B543"/>
    </row>
    <row r="544" spans="2:2" x14ac:dyDescent="0.3">
      <c r="B544"/>
    </row>
    <row r="545" spans="2:2" x14ac:dyDescent="0.3">
      <c r="B545"/>
    </row>
    <row r="546" spans="2:2" x14ac:dyDescent="0.3">
      <c r="B546"/>
    </row>
    <row r="547" spans="2:2" x14ac:dyDescent="0.3">
      <c r="B547"/>
    </row>
    <row r="548" spans="2:2" x14ac:dyDescent="0.3">
      <c r="B548"/>
    </row>
    <row r="549" spans="2:2" x14ac:dyDescent="0.3">
      <c r="B549"/>
    </row>
    <row r="550" spans="2:2" x14ac:dyDescent="0.3">
      <c r="B550"/>
    </row>
    <row r="551" spans="2:2" x14ac:dyDescent="0.3">
      <c r="B551"/>
    </row>
    <row r="552" spans="2:2" x14ac:dyDescent="0.3">
      <c r="B552"/>
    </row>
    <row r="553" spans="2:2" x14ac:dyDescent="0.3">
      <c r="B553"/>
    </row>
    <row r="554" spans="2:2" x14ac:dyDescent="0.3">
      <c r="B554"/>
    </row>
    <row r="555" spans="2:2" x14ac:dyDescent="0.3">
      <c r="B555"/>
    </row>
    <row r="556" spans="2:2" x14ac:dyDescent="0.3">
      <c r="B556"/>
    </row>
    <row r="557" spans="2:2" x14ac:dyDescent="0.3">
      <c r="B557"/>
    </row>
    <row r="558" spans="2:2" x14ac:dyDescent="0.3">
      <c r="B558"/>
    </row>
    <row r="559" spans="2:2" x14ac:dyDescent="0.3">
      <c r="B559"/>
    </row>
    <row r="560" spans="2:2" x14ac:dyDescent="0.3">
      <c r="B560"/>
    </row>
    <row r="561" spans="2:2" x14ac:dyDescent="0.3">
      <c r="B561"/>
    </row>
    <row r="562" spans="2:2" x14ac:dyDescent="0.3">
      <c r="B562"/>
    </row>
    <row r="563" spans="2:2" x14ac:dyDescent="0.3">
      <c r="B563"/>
    </row>
    <row r="564" spans="2:2" x14ac:dyDescent="0.3">
      <c r="B564"/>
    </row>
    <row r="565" spans="2:2" x14ac:dyDescent="0.3">
      <c r="B565"/>
    </row>
    <row r="566" spans="2:2" x14ac:dyDescent="0.3">
      <c r="B566"/>
    </row>
    <row r="567" spans="2:2" x14ac:dyDescent="0.3">
      <c r="B567"/>
    </row>
    <row r="568" spans="2:2" x14ac:dyDescent="0.3">
      <c r="B568"/>
    </row>
    <row r="569" spans="2:2" x14ac:dyDescent="0.3">
      <c r="B569"/>
    </row>
    <row r="570" spans="2:2" x14ac:dyDescent="0.3">
      <c r="B570"/>
    </row>
    <row r="571" spans="2:2" x14ac:dyDescent="0.3">
      <c r="B571"/>
    </row>
    <row r="572" spans="2:2" x14ac:dyDescent="0.3">
      <c r="B572"/>
    </row>
    <row r="573" spans="2:2" x14ac:dyDescent="0.3">
      <c r="B573"/>
    </row>
    <row r="574" spans="2:2" x14ac:dyDescent="0.3">
      <c r="B574"/>
    </row>
    <row r="575" spans="2:2" x14ac:dyDescent="0.3">
      <c r="B575"/>
    </row>
    <row r="576" spans="2:2" x14ac:dyDescent="0.3">
      <c r="B576"/>
    </row>
    <row r="577" spans="2:2" x14ac:dyDescent="0.3">
      <c r="B577"/>
    </row>
    <row r="578" spans="2:2" x14ac:dyDescent="0.3">
      <c r="B578"/>
    </row>
    <row r="579" spans="2:2" x14ac:dyDescent="0.3">
      <c r="B579"/>
    </row>
    <row r="580" spans="2:2" x14ac:dyDescent="0.3">
      <c r="B580"/>
    </row>
    <row r="581" spans="2:2" x14ac:dyDescent="0.3">
      <c r="B581"/>
    </row>
    <row r="582" spans="2:2" x14ac:dyDescent="0.3">
      <c r="B582"/>
    </row>
    <row r="583" spans="2:2" x14ac:dyDescent="0.3">
      <c r="B583"/>
    </row>
    <row r="584" spans="2:2" x14ac:dyDescent="0.3">
      <c r="B584"/>
    </row>
    <row r="585" spans="2:2" x14ac:dyDescent="0.3">
      <c r="B585"/>
    </row>
    <row r="586" spans="2:2" x14ac:dyDescent="0.3">
      <c r="B586"/>
    </row>
    <row r="587" spans="2:2" x14ac:dyDescent="0.3">
      <c r="B587"/>
    </row>
    <row r="588" spans="2:2" x14ac:dyDescent="0.3">
      <c r="B588"/>
    </row>
    <row r="589" spans="2:2" x14ac:dyDescent="0.3">
      <c r="B589"/>
    </row>
    <row r="590" spans="2:2" x14ac:dyDescent="0.3">
      <c r="B590"/>
    </row>
    <row r="591" spans="2:2" x14ac:dyDescent="0.3">
      <c r="B591"/>
    </row>
    <row r="592" spans="2:2" x14ac:dyDescent="0.3">
      <c r="B592"/>
    </row>
    <row r="593" spans="2:2" x14ac:dyDescent="0.3">
      <c r="B593"/>
    </row>
    <row r="594" spans="2:2" x14ac:dyDescent="0.3">
      <c r="B594"/>
    </row>
    <row r="595" spans="2:2" x14ac:dyDescent="0.3">
      <c r="B595"/>
    </row>
    <row r="596" spans="2:2" x14ac:dyDescent="0.3">
      <c r="B596"/>
    </row>
    <row r="597" spans="2:2" x14ac:dyDescent="0.3">
      <c r="B597"/>
    </row>
    <row r="598" spans="2:2" x14ac:dyDescent="0.3">
      <c r="B598"/>
    </row>
    <row r="599" spans="2:2" x14ac:dyDescent="0.3">
      <c r="B599"/>
    </row>
    <row r="600" spans="2:2" x14ac:dyDescent="0.3">
      <c r="B600"/>
    </row>
    <row r="601" spans="2:2" x14ac:dyDescent="0.3">
      <c r="B601"/>
    </row>
    <row r="602" spans="2:2" x14ac:dyDescent="0.3">
      <c r="B602"/>
    </row>
    <row r="603" spans="2:2" x14ac:dyDescent="0.3">
      <c r="B603"/>
    </row>
    <row r="604" spans="2:2" x14ac:dyDescent="0.3">
      <c r="B604"/>
    </row>
    <row r="605" spans="2:2" x14ac:dyDescent="0.3">
      <c r="B605"/>
    </row>
    <row r="606" spans="2:2" x14ac:dyDescent="0.3">
      <c r="B606"/>
    </row>
    <row r="607" spans="2:2" x14ac:dyDescent="0.3">
      <c r="B607"/>
    </row>
    <row r="608" spans="2:2" x14ac:dyDescent="0.3">
      <c r="B608"/>
    </row>
    <row r="609" spans="2:2" x14ac:dyDescent="0.3">
      <c r="B609"/>
    </row>
    <row r="610" spans="2:2" x14ac:dyDescent="0.3">
      <c r="B610"/>
    </row>
    <row r="611" spans="2:2" x14ac:dyDescent="0.3">
      <c r="B611"/>
    </row>
    <row r="612" spans="2:2" x14ac:dyDescent="0.3">
      <c r="B612"/>
    </row>
    <row r="613" spans="2:2" x14ac:dyDescent="0.3">
      <c r="B613"/>
    </row>
    <row r="614" spans="2:2" x14ac:dyDescent="0.3">
      <c r="B614"/>
    </row>
    <row r="615" spans="2:2" x14ac:dyDescent="0.3">
      <c r="B615"/>
    </row>
    <row r="616" spans="2:2" x14ac:dyDescent="0.3">
      <c r="B616"/>
    </row>
    <row r="617" spans="2:2" x14ac:dyDescent="0.3">
      <c r="B617"/>
    </row>
    <row r="618" spans="2:2" x14ac:dyDescent="0.3">
      <c r="B618"/>
    </row>
    <row r="619" spans="2:2" x14ac:dyDescent="0.3">
      <c r="B619"/>
    </row>
    <row r="620" spans="2:2" x14ac:dyDescent="0.3">
      <c r="B620"/>
    </row>
    <row r="621" spans="2:2" x14ac:dyDescent="0.3">
      <c r="B621"/>
    </row>
    <row r="622" spans="2:2" x14ac:dyDescent="0.3">
      <c r="B622"/>
    </row>
    <row r="623" spans="2:2" x14ac:dyDescent="0.3">
      <c r="B623"/>
    </row>
    <row r="624" spans="2:2" x14ac:dyDescent="0.3">
      <c r="B624"/>
    </row>
    <row r="625" spans="2:2" x14ac:dyDescent="0.3">
      <c r="B625"/>
    </row>
    <row r="626" spans="2:2" x14ac:dyDescent="0.3">
      <c r="B626"/>
    </row>
    <row r="627" spans="2:2" x14ac:dyDescent="0.3">
      <c r="B627"/>
    </row>
    <row r="628" spans="2:2" x14ac:dyDescent="0.3">
      <c r="B628"/>
    </row>
    <row r="629" spans="2:2" x14ac:dyDescent="0.3">
      <c r="B629"/>
    </row>
    <row r="630" spans="2:2" x14ac:dyDescent="0.3">
      <c r="B630"/>
    </row>
    <row r="631" spans="2:2" x14ac:dyDescent="0.3">
      <c r="B631"/>
    </row>
    <row r="632" spans="2:2" x14ac:dyDescent="0.3">
      <c r="B632"/>
    </row>
    <row r="633" spans="2:2" x14ac:dyDescent="0.3">
      <c r="B633"/>
    </row>
    <row r="634" spans="2:2" x14ac:dyDescent="0.3">
      <c r="B634"/>
    </row>
    <row r="635" spans="2:2" x14ac:dyDescent="0.3">
      <c r="B635"/>
    </row>
    <row r="636" spans="2:2" x14ac:dyDescent="0.3">
      <c r="B636"/>
    </row>
    <row r="637" spans="2:2" x14ac:dyDescent="0.3">
      <c r="B637"/>
    </row>
    <row r="638" spans="2:2" x14ac:dyDescent="0.3">
      <c r="B638"/>
    </row>
    <row r="639" spans="2:2" x14ac:dyDescent="0.3">
      <c r="B639"/>
    </row>
    <row r="640" spans="2:2" x14ac:dyDescent="0.3">
      <c r="B640"/>
    </row>
    <row r="641" spans="2:2" x14ac:dyDescent="0.3">
      <c r="B641"/>
    </row>
    <row r="642" spans="2:2" x14ac:dyDescent="0.3">
      <c r="B642"/>
    </row>
    <row r="643" spans="2:2" x14ac:dyDescent="0.3">
      <c r="B643"/>
    </row>
    <row r="644" spans="2:2" x14ac:dyDescent="0.3">
      <c r="B644"/>
    </row>
    <row r="645" spans="2:2" x14ac:dyDescent="0.3">
      <c r="B645"/>
    </row>
    <row r="646" spans="2:2" x14ac:dyDescent="0.3">
      <c r="B646"/>
    </row>
    <row r="647" spans="2:2" x14ac:dyDescent="0.3">
      <c r="B647"/>
    </row>
    <row r="648" spans="2:2" x14ac:dyDescent="0.3">
      <c r="B648"/>
    </row>
    <row r="649" spans="2:2" x14ac:dyDescent="0.3">
      <c r="B649"/>
    </row>
    <row r="650" spans="2:2" x14ac:dyDescent="0.3">
      <c r="B650"/>
    </row>
    <row r="651" spans="2:2" x14ac:dyDescent="0.3">
      <c r="B651"/>
    </row>
    <row r="652" spans="2:2" x14ac:dyDescent="0.3">
      <c r="B652"/>
    </row>
    <row r="653" spans="2:2" x14ac:dyDescent="0.3">
      <c r="B653"/>
    </row>
    <row r="654" spans="2:2" x14ac:dyDescent="0.3">
      <c r="B654"/>
    </row>
    <row r="655" spans="2:2" x14ac:dyDescent="0.3">
      <c r="B655"/>
    </row>
    <row r="656" spans="2:2" x14ac:dyDescent="0.3">
      <c r="B656"/>
    </row>
    <row r="657" spans="2:2" x14ac:dyDescent="0.3">
      <c r="B657"/>
    </row>
    <row r="658" spans="2:2" x14ac:dyDescent="0.3">
      <c r="B658"/>
    </row>
    <row r="659" spans="2:2" x14ac:dyDescent="0.3">
      <c r="B659"/>
    </row>
    <row r="660" spans="2:2" x14ac:dyDescent="0.3">
      <c r="B660"/>
    </row>
    <row r="661" spans="2:2" x14ac:dyDescent="0.3">
      <c r="B661"/>
    </row>
    <row r="662" spans="2:2" x14ac:dyDescent="0.3">
      <c r="B662"/>
    </row>
    <row r="663" spans="2:2" x14ac:dyDescent="0.3">
      <c r="B663"/>
    </row>
    <row r="664" spans="2:2" x14ac:dyDescent="0.3">
      <c r="B664"/>
    </row>
    <row r="665" spans="2:2" x14ac:dyDescent="0.3">
      <c r="B665"/>
    </row>
    <row r="666" spans="2:2" x14ac:dyDescent="0.3">
      <c r="B666"/>
    </row>
    <row r="667" spans="2:2" x14ac:dyDescent="0.3">
      <c r="B667"/>
    </row>
    <row r="668" spans="2:2" x14ac:dyDescent="0.3">
      <c r="B668"/>
    </row>
    <row r="669" spans="2:2" x14ac:dyDescent="0.3">
      <c r="B669"/>
    </row>
    <row r="670" spans="2:2" x14ac:dyDescent="0.3">
      <c r="B670"/>
    </row>
    <row r="671" spans="2:2" x14ac:dyDescent="0.3">
      <c r="B671"/>
    </row>
    <row r="672" spans="2:2" x14ac:dyDescent="0.3">
      <c r="B672"/>
    </row>
    <row r="673" spans="2:2" x14ac:dyDescent="0.3">
      <c r="B673"/>
    </row>
    <row r="674" spans="2:2" x14ac:dyDescent="0.3">
      <c r="B674"/>
    </row>
    <row r="675" spans="2:2" x14ac:dyDescent="0.3">
      <c r="B675"/>
    </row>
    <row r="676" spans="2:2" x14ac:dyDescent="0.3">
      <c r="B676"/>
    </row>
    <row r="677" spans="2:2" x14ac:dyDescent="0.3">
      <c r="B677"/>
    </row>
    <row r="678" spans="2:2" x14ac:dyDescent="0.3">
      <c r="B678"/>
    </row>
    <row r="679" spans="2:2" x14ac:dyDescent="0.3">
      <c r="B679"/>
    </row>
    <row r="680" spans="2:2" x14ac:dyDescent="0.3">
      <c r="B680"/>
    </row>
    <row r="681" spans="2:2" x14ac:dyDescent="0.3">
      <c r="B681"/>
    </row>
    <row r="682" spans="2:2" x14ac:dyDescent="0.3">
      <c r="B682"/>
    </row>
    <row r="683" spans="2:2" x14ac:dyDescent="0.3">
      <c r="B683"/>
    </row>
    <row r="684" spans="2:2" x14ac:dyDescent="0.3">
      <c r="B684"/>
    </row>
    <row r="685" spans="2:2" x14ac:dyDescent="0.3">
      <c r="B685"/>
    </row>
    <row r="686" spans="2:2" x14ac:dyDescent="0.3">
      <c r="B686"/>
    </row>
    <row r="687" spans="2:2" x14ac:dyDescent="0.3">
      <c r="B687"/>
    </row>
    <row r="688" spans="2:2" x14ac:dyDescent="0.3">
      <c r="B688"/>
    </row>
    <row r="689" spans="2:2" x14ac:dyDescent="0.3">
      <c r="B689"/>
    </row>
    <row r="690" spans="2:2" x14ac:dyDescent="0.3">
      <c r="B690"/>
    </row>
    <row r="691" spans="2:2" x14ac:dyDescent="0.3">
      <c r="B691"/>
    </row>
    <row r="692" spans="2:2" x14ac:dyDescent="0.3">
      <c r="B692"/>
    </row>
    <row r="693" spans="2:2" x14ac:dyDescent="0.3">
      <c r="B693"/>
    </row>
    <row r="694" spans="2:2" x14ac:dyDescent="0.3">
      <c r="B694"/>
    </row>
    <row r="695" spans="2:2" x14ac:dyDescent="0.3">
      <c r="B695"/>
    </row>
    <row r="696" spans="2:2" x14ac:dyDescent="0.3">
      <c r="B696"/>
    </row>
    <row r="697" spans="2:2" x14ac:dyDescent="0.3">
      <c r="B697"/>
    </row>
    <row r="698" spans="2:2" x14ac:dyDescent="0.3">
      <c r="B698"/>
    </row>
    <row r="699" spans="2:2" x14ac:dyDescent="0.3">
      <c r="B699"/>
    </row>
    <row r="700" spans="2:2" x14ac:dyDescent="0.3">
      <c r="B700"/>
    </row>
    <row r="701" spans="2:2" x14ac:dyDescent="0.3">
      <c r="B701"/>
    </row>
    <row r="702" spans="2:2" x14ac:dyDescent="0.3">
      <c r="B702"/>
    </row>
    <row r="703" spans="2:2" x14ac:dyDescent="0.3">
      <c r="B703"/>
    </row>
    <row r="704" spans="2:2" x14ac:dyDescent="0.3">
      <c r="B704"/>
    </row>
    <row r="705" spans="2:2" x14ac:dyDescent="0.3">
      <c r="B705"/>
    </row>
    <row r="706" spans="2:2" x14ac:dyDescent="0.3">
      <c r="B706"/>
    </row>
    <row r="707" spans="2:2" x14ac:dyDescent="0.3">
      <c r="B707"/>
    </row>
    <row r="708" spans="2:2" x14ac:dyDescent="0.3">
      <c r="B708"/>
    </row>
    <row r="709" spans="2:2" x14ac:dyDescent="0.3">
      <c r="B709"/>
    </row>
    <row r="710" spans="2:2" x14ac:dyDescent="0.3">
      <c r="B710"/>
    </row>
    <row r="711" spans="2:2" x14ac:dyDescent="0.3">
      <c r="B711"/>
    </row>
    <row r="712" spans="2:2" x14ac:dyDescent="0.3">
      <c r="B712"/>
    </row>
    <row r="713" spans="2:2" x14ac:dyDescent="0.3">
      <c r="B713"/>
    </row>
    <row r="714" spans="2:2" x14ac:dyDescent="0.3">
      <c r="B714"/>
    </row>
    <row r="715" spans="2:2" x14ac:dyDescent="0.3">
      <c r="B715"/>
    </row>
    <row r="716" spans="2:2" x14ac:dyDescent="0.3">
      <c r="B716"/>
    </row>
    <row r="717" spans="2:2" x14ac:dyDescent="0.3">
      <c r="B717"/>
    </row>
    <row r="718" spans="2:2" x14ac:dyDescent="0.3">
      <c r="B718"/>
    </row>
    <row r="719" spans="2:2" x14ac:dyDescent="0.3">
      <c r="B719"/>
    </row>
    <row r="720" spans="2:2" x14ac:dyDescent="0.3">
      <c r="B720"/>
    </row>
    <row r="721" spans="2:2" x14ac:dyDescent="0.3">
      <c r="B721"/>
    </row>
    <row r="722" spans="2:2" x14ac:dyDescent="0.3">
      <c r="B722"/>
    </row>
    <row r="723" spans="2:2" x14ac:dyDescent="0.3">
      <c r="B723"/>
    </row>
    <row r="724" spans="2:2" x14ac:dyDescent="0.3">
      <c r="B724"/>
    </row>
    <row r="725" spans="2:2" x14ac:dyDescent="0.3">
      <c r="B725"/>
    </row>
    <row r="726" spans="2:2" x14ac:dyDescent="0.3">
      <c r="B726"/>
    </row>
    <row r="727" spans="2:2" x14ac:dyDescent="0.3">
      <c r="B727"/>
    </row>
    <row r="728" spans="2:2" x14ac:dyDescent="0.3">
      <c r="B728"/>
    </row>
    <row r="729" spans="2:2" x14ac:dyDescent="0.3">
      <c r="B729"/>
    </row>
    <row r="730" spans="2:2" x14ac:dyDescent="0.3">
      <c r="B730"/>
    </row>
    <row r="731" spans="2:2" x14ac:dyDescent="0.3">
      <c r="B731"/>
    </row>
    <row r="732" spans="2:2" x14ac:dyDescent="0.3">
      <c r="B732"/>
    </row>
    <row r="733" spans="2:2" x14ac:dyDescent="0.3">
      <c r="B733"/>
    </row>
    <row r="734" spans="2:2" x14ac:dyDescent="0.3">
      <c r="B734"/>
    </row>
    <row r="735" spans="2:2" x14ac:dyDescent="0.3">
      <c r="B73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AD3261"/>
  <sheetViews>
    <sheetView topLeftCell="M1" zoomScale="85" zoomScaleNormal="85" workbookViewId="0">
      <selection activeCell="T1" sqref="T1:T1048576"/>
    </sheetView>
  </sheetViews>
  <sheetFormatPr baseColWidth="10" defaultRowHeight="14.4" x14ac:dyDescent="0.3"/>
  <cols>
    <col min="1" max="1" width="12.6640625" bestFit="1" customWidth="1"/>
    <col min="2" max="2" width="17.109375" bestFit="1" customWidth="1"/>
    <col min="3" max="3" width="8" bestFit="1" customWidth="1"/>
    <col min="4" max="4" width="7.109375" bestFit="1" customWidth="1"/>
    <col min="5" max="5" width="16.6640625" bestFit="1" customWidth="1"/>
    <col min="6" max="6" width="11.88671875" bestFit="1" customWidth="1"/>
    <col min="7" max="7" width="27" bestFit="1" customWidth="1"/>
    <col min="8" max="9" width="26.109375" bestFit="1" customWidth="1"/>
    <col min="10" max="10" width="59.44140625" bestFit="1" customWidth="1"/>
    <col min="11" max="11" width="16.6640625" bestFit="1" customWidth="1"/>
    <col min="12" max="12" width="20.5546875" bestFit="1" customWidth="1"/>
    <col min="13" max="14" width="15" bestFit="1" customWidth="1"/>
    <col min="15" max="15" width="10.33203125" bestFit="1" customWidth="1"/>
    <col min="16" max="16" width="21.88671875" bestFit="1" customWidth="1"/>
    <col min="17" max="17" width="9.5546875" bestFit="1" customWidth="1"/>
    <col min="18" max="18" width="15.88671875" bestFit="1" customWidth="1"/>
    <col min="19" max="19" width="12" style="4" bestFit="1" customWidth="1"/>
    <col min="20" max="20" width="15.44140625" bestFit="1" customWidth="1"/>
    <col min="21" max="21" width="21.33203125" bestFit="1" customWidth="1"/>
    <col min="22" max="22" width="12.44140625" bestFit="1" customWidth="1"/>
    <col min="23" max="23" width="20.33203125" bestFit="1" customWidth="1"/>
    <col min="24" max="24" width="15.44140625" bestFit="1" customWidth="1"/>
    <col min="25" max="26" width="22.5546875" bestFit="1" customWidth="1"/>
    <col min="27" max="27" width="13.33203125" bestFit="1" customWidth="1"/>
    <col min="28" max="28" width="21.44140625" bestFit="1" customWidth="1"/>
    <col min="29" max="29" width="20.33203125" bestFit="1" customWidth="1"/>
  </cols>
  <sheetData>
    <row r="1" spans="1:30" s="2" customFormat="1" x14ac:dyDescent="0.3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4" t="s">
        <v>14</v>
      </c>
      <c r="P1" s="34" t="s">
        <v>15</v>
      </c>
      <c r="Q1" s="34" t="s">
        <v>16</v>
      </c>
      <c r="R1" s="34" t="s">
        <v>17</v>
      </c>
      <c r="S1" s="54" t="s">
        <v>18</v>
      </c>
      <c r="T1" s="34" t="s">
        <v>19</v>
      </c>
      <c r="U1" s="34" t="s">
        <v>75</v>
      </c>
      <c r="V1" s="34" t="s">
        <v>20</v>
      </c>
      <c r="W1" s="34" t="s">
        <v>76</v>
      </c>
      <c r="X1" s="34" t="s">
        <v>21</v>
      </c>
      <c r="Y1" s="34" t="s">
        <v>22</v>
      </c>
      <c r="Z1" s="34" t="s">
        <v>77</v>
      </c>
      <c r="AA1" s="34" t="s">
        <v>23</v>
      </c>
      <c r="AB1" s="34" t="s">
        <v>78</v>
      </c>
      <c r="AC1" s="34" t="s">
        <v>24</v>
      </c>
      <c r="AD1" s="34" t="s">
        <v>71</v>
      </c>
    </row>
    <row r="2" spans="1:30" x14ac:dyDescent="0.3">
      <c r="A2">
        <v>600911</v>
      </c>
      <c r="B2" t="s">
        <v>99</v>
      </c>
      <c r="C2">
        <v>2016</v>
      </c>
      <c r="D2">
        <v>4</v>
      </c>
      <c r="E2" t="s">
        <v>85</v>
      </c>
      <c r="F2" t="s">
        <v>84</v>
      </c>
      <c r="G2" t="s">
        <v>84</v>
      </c>
      <c r="H2" t="s">
        <v>25</v>
      </c>
      <c r="I2" t="s">
        <v>100</v>
      </c>
      <c r="J2" t="s">
        <v>101</v>
      </c>
      <c r="K2" t="s">
        <v>102</v>
      </c>
      <c r="L2" t="s">
        <v>103</v>
      </c>
      <c r="M2">
        <v>4919.3408924699997</v>
      </c>
      <c r="N2">
        <v>0</v>
      </c>
      <c r="O2" t="s">
        <v>79</v>
      </c>
      <c r="P2" s="35">
        <v>44330.488381134259</v>
      </c>
      <c r="Q2">
        <v>5423000</v>
      </c>
      <c r="R2" t="s">
        <v>74</v>
      </c>
      <c r="S2" s="4">
        <v>73.123154069999998</v>
      </c>
      <c r="T2">
        <v>68.686022080000001</v>
      </c>
      <c r="U2">
        <v>68.686022080000001</v>
      </c>
      <c r="V2">
        <v>5022.5385748899998</v>
      </c>
      <c r="W2">
        <v>5022.5385748899998</v>
      </c>
      <c r="X2">
        <v>0</v>
      </c>
      <c r="Y2">
        <v>0</v>
      </c>
      <c r="Z2">
        <v>0</v>
      </c>
      <c r="AA2">
        <v>0</v>
      </c>
      <c r="AB2">
        <v>0</v>
      </c>
      <c r="AC2" t="s">
        <v>84</v>
      </c>
      <c r="AD2" s="35">
        <v>42461</v>
      </c>
    </row>
    <row r="3" spans="1:30" x14ac:dyDescent="0.3">
      <c r="A3">
        <v>600929</v>
      </c>
      <c r="B3" t="s">
        <v>99</v>
      </c>
      <c r="C3">
        <v>2016</v>
      </c>
      <c r="D3">
        <v>4</v>
      </c>
      <c r="E3" t="s">
        <v>87</v>
      </c>
      <c r="F3" t="s">
        <v>84</v>
      </c>
      <c r="G3" t="s">
        <v>84</v>
      </c>
      <c r="H3" t="s">
        <v>25</v>
      </c>
      <c r="I3" t="s">
        <v>100</v>
      </c>
      <c r="J3" t="s">
        <v>101</v>
      </c>
      <c r="K3" t="s">
        <v>104</v>
      </c>
      <c r="L3" t="s">
        <v>103</v>
      </c>
      <c r="M3">
        <v>1317.6215099999999</v>
      </c>
      <c r="N3">
        <v>0</v>
      </c>
      <c r="O3" t="s">
        <v>79</v>
      </c>
      <c r="P3" s="35">
        <v>44330.488381793977</v>
      </c>
      <c r="Q3">
        <v>5423034</v>
      </c>
      <c r="R3" t="s">
        <v>74</v>
      </c>
      <c r="S3" s="4">
        <v>35.336403199999999</v>
      </c>
      <c r="T3">
        <v>68.686022080000001</v>
      </c>
      <c r="U3">
        <v>68.686022080000001</v>
      </c>
      <c r="V3">
        <v>2427.1169704099998</v>
      </c>
      <c r="W3">
        <v>2427.1169704099998</v>
      </c>
      <c r="X3">
        <v>0</v>
      </c>
      <c r="Y3">
        <v>0</v>
      </c>
      <c r="Z3">
        <v>0</v>
      </c>
      <c r="AA3">
        <v>0</v>
      </c>
      <c r="AB3">
        <v>0</v>
      </c>
      <c r="AC3" t="s">
        <v>84</v>
      </c>
      <c r="AD3" s="35">
        <v>42461</v>
      </c>
    </row>
    <row r="4" spans="1:30" x14ac:dyDescent="0.3">
      <c r="A4">
        <v>607827</v>
      </c>
      <c r="B4" t="s">
        <v>105</v>
      </c>
      <c r="C4">
        <v>2016</v>
      </c>
      <c r="D4">
        <v>3</v>
      </c>
      <c r="E4" t="s">
        <v>87</v>
      </c>
      <c r="F4" t="s">
        <v>84</v>
      </c>
      <c r="G4" t="s">
        <v>84</v>
      </c>
      <c r="H4" t="s">
        <v>25</v>
      </c>
      <c r="I4" t="s">
        <v>100</v>
      </c>
      <c r="J4" t="s">
        <v>101</v>
      </c>
      <c r="K4" t="s">
        <v>104</v>
      </c>
      <c r="L4" t="s">
        <v>103</v>
      </c>
      <c r="M4">
        <v>1703.6853574199999</v>
      </c>
      <c r="N4">
        <v>0</v>
      </c>
      <c r="O4" t="s">
        <v>79</v>
      </c>
      <c r="P4" s="35">
        <v>44330.494940509263</v>
      </c>
      <c r="Q4">
        <v>5439222</v>
      </c>
      <c r="R4" t="s">
        <v>74</v>
      </c>
      <c r="S4" s="4">
        <v>45.689989320000002</v>
      </c>
      <c r="T4">
        <v>68.686022080000001</v>
      </c>
      <c r="U4">
        <v>68.686022080000001</v>
      </c>
      <c r="V4">
        <v>3138.2636150399999</v>
      </c>
      <c r="W4">
        <v>3138.2636150399999</v>
      </c>
      <c r="X4">
        <v>0</v>
      </c>
      <c r="Y4">
        <v>0</v>
      </c>
      <c r="Z4">
        <v>0</v>
      </c>
      <c r="AA4">
        <v>0</v>
      </c>
      <c r="AB4">
        <v>0</v>
      </c>
      <c r="AC4" t="s">
        <v>84</v>
      </c>
      <c r="AD4" s="35">
        <v>42430</v>
      </c>
    </row>
    <row r="5" spans="1:30" x14ac:dyDescent="0.3">
      <c r="A5">
        <v>600947</v>
      </c>
      <c r="B5" t="s">
        <v>99</v>
      </c>
      <c r="C5">
        <v>2016</v>
      </c>
      <c r="D5">
        <v>4</v>
      </c>
      <c r="E5" t="s">
        <v>59</v>
      </c>
      <c r="F5" t="s">
        <v>84</v>
      </c>
      <c r="G5" t="s">
        <v>84</v>
      </c>
      <c r="H5" t="s">
        <v>25</v>
      </c>
      <c r="I5" t="s">
        <v>100</v>
      </c>
      <c r="J5" t="s">
        <v>101</v>
      </c>
      <c r="K5" t="s">
        <v>106</v>
      </c>
      <c r="L5" t="s">
        <v>103</v>
      </c>
      <c r="M5">
        <v>2065.7815005799998</v>
      </c>
      <c r="N5">
        <v>0</v>
      </c>
      <c r="O5" t="s">
        <v>79</v>
      </c>
      <c r="P5" s="35">
        <v>44330.488382442127</v>
      </c>
      <c r="Q5">
        <v>5423068</v>
      </c>
      <c r="R5" t="s">
        <v>74</v>
      </c>
      <c r="S5" s="4">
        <v>54.541874569999997</v>
      </c>
      <c r="T5">
        <v>68.686022080000001</v>
      </c>
      <c r="U5">
        <v>68.686022080000001</v>
      </c>
      <c r="V5">
        <v>3746.2644009099999</v>
      </c>
      <c r="W5">
        <v>3746.2644009099999</v>
      </c>
      <c r="X5">
        <v>0</v>
      </c>
      <c r="Y5">
        <v>0</v>
      </c>
      <c r="Z5">
        <v>0</v>
      </c>
      <c r="AA5">
        <v>0</v>
      </c>
      <c r="AB5">
        <v>0</v>
      </c>
      <c r="AC5" t="s">
        <v>84</v>
      </c>
      <c r="AD5" s="35">
        <v>42461</v>
      </c>
    </row>
    <row r="6" spans="1:30" x14ac:dyDescent="0.3">
      <c r="A6">
        <v>607809</v>
      </c>
      <c r="B6" t="s">
        <v>105</v>
      </c>
      <c r="C6">
        <v>2016</v>
      </c>
      <c r="D6">
        <v>3</v>
      </c>
      <c r="E6" t="s">
        <v>85</v>
      </c>
      <c r="F6" t="s">
        <v>84</v>
      </c>
      <c r="G6" t="s">
        <v>84</v>
      </c>
      <c r="H6" t="s">
        <v>25</v>
      </c>
      <c r="I6" t="s">
        <v>100</v>
      </c>
      <c r="J6" t="s">
        <v>101</v>
      </c>
      <c r="K6" t="s">
        <v>102</v>
      </c>
      <c r="L6" t="s">
        <v>103</v>
      </c>
      <c r="M6">
        <v>6396.77665523</v>
      </c>
      <c r="N6">
        <v>0</v>
      </c>
      <c r="O6" t="s">
        <v>79</v>
      </c>
      <c r="P6" s="35">
        <v>44330.494939849537</v>
      </c>
      <c r="Q6">
        <v>5439188</v>
      </c>
      <c r="R6" t="s">
        <v>74</v>
      </c>
      <c r="S6" s="4">
        <v>95.084381250000007</v>
      </c>
      <c r="T6">
        <v>68.686022080000001</v>
      </c>
      <c r="U6">
        <v>68.686022080000001</v>
      </c>
      <c r="V6">
        <v>6530.9679097500002</v>
      </c>
      <c r="W6">
        <v>6530.9679097500002</v>
      </c>
      <c r="X6">
        <v>0</v>
      </c>
      <c r="Y6">
        <v>0</v>
      </c>
      <c r="Z6">
        <v>0</v>
      </c>
      <c r="AA6">
        <v>0</v>
      </c>
      <c r="AB6">
        <v>0</v>
      </c>
      <c r="AC6" t="s">
        <v>84</v>
      </c>
      <c r="AD6" s="35">
        <v>42430</v>
      </c>
    </row>
    <row r="7" spans="1:30" x14ac:dyDescent="0.3">
      <c r="A7">
        <v>607845</v>
      </c>
      <c r="B7" t="s">
        <v>105</v>
      </c>
      <c r="C7">
        <v>2016</v>
      </c>
      <c r="D7">
        <v>3</v>
      </c>
      <c r="E7" t="s">
        <v>59</v>
      </c>
      <c r="F7" t="s">
        <v>84</v>
      </c>
      <c r="G7" t="s">
        <v>84</v>
      </c>
      <c r="H7" t="s">
        <v>25</v>
      </c>
      <c r="I7" t="s">
        <v>100</v>
      </c>
      <c r="J7" t="s">
        <v>101</v>
      </c>
      <c r="K7" t="s">
        <v>106</v>
      </c>
      <c r="L7" t="s">
        <v>103</v>
      </c>
      <c r="M7">
        <v>2312.6677555199999</v>
      </c>
      <c r="N7">
        <v>0</v>
      </c>
      <c r="O7" t="s">
        <v>79</v>
      </c>
      <c r="P7" s="35">
        <v>44330.494941122677</v>
      </c>
      <c r="Q7">
        <v>5439256</v>
      </c>
      <c r="R7" t="s">
        <v>74</v>
      </c>
      <c r="S7" s="4">
        <v>61.060298299999999</v>
      </c>
      <c r="T7">
        <v>68.686022080000001</v>
      </c>
      <c r="U7">
        <v>68.686022080000001</v>
      </c>
      <c r="V7">
        <v>4193.9889970000004</v>
      </c>
      <c r="W7">
        <v>4193.9889970000004</v>
      </c>
      <c r="X7">
        <v>0</v>
      </c>
      <c r="Y7">
        <v>0</v>
      </c>
      <c r="Z7">
        <v>0</v>
      </c>
      <c r="AA7">
        <v>0</v>
      </c>
      <c r="AB7">
        <v>0</v>
      </c>
      <c r="AC7" t="s">
        <v>84</v>
      </c>
      <c r="AD7" s="35">
        <v>42430</v>
      </c>
    </row>
    <row r="8" spans="1:30" x14ac:dyDescent="0.3">
      <c r="A8">
        <v>607809</v>
      </c>
      <c r="B8" t="s">
        <v>105</v>
      </c>
      <c r="C8">
        <v>2016</v>
      </c>
      <c r="D8">
        <v>3</v>
      </c>
      <c r="E8" t="s">
        <v>85</v>
      </c>
      <c r="F8" t="s">
        <v>84</v>
      </c>
      <c r="G8" t="s">
        <v>84</v>
      </c>
      <c r="H8" t="s">
        <v>25</v>
      </c>
      <c r="I8" t="s">
        <v>100</v>
      </c>
      <c r="J8" t="s">
        <v>101</v>
      </c>
      <c r="K8" t="s">
        <v>102</v>
      </c>
      <c r="L8" t="s">
        <v>103</v>
      </c>
      <c r="M8">
        <v>6396.77665523</v>
      </c>
      <c r="N8">
        <v>0</v>
      </c>
      <c r="O8" t="s">
        <v>79</v>
      </c>
      <c r="P8" s="35">
        <v>44330.494939849537</v>
      </c>
      <c r="Q8">
        <v>5439187</v>
      </c>
      <c r="R8" t="s">
        <v>82</v>
      </c>
      <c r="S8" s="4">
        <v>6554.1730485600001</v>
      </c>
      <c r="T8">
        <v>77.583745070000006</v>
      </c>
      <c r="U8">
        <v>77.583745070000006</v>
      </c>
      <c r="V8">
        <v>508497.29094451998</v>
      </c>
      <c r="W8">
        <v>508497.29094451998</v>
      </c>
      <c r="X8">
        <v>0</v>
      </c>
      <c r="Y8">
        <v>0</v>
      </c>
      <c r="Z8">
        <v>0</v>
      </c>
      <c r="AA8">
        <v>0</v>
      </c>
      <c r="AB8">
        <v>0</v>
      </c>
      <c r="AC8" t="s">
        <v>84</v>
      </c>
      <c r="AD8" s="35">
        <v>42430</v>
      </c>
    </row>
    <row r="9" spans="1:30" x14ac:dyDescent="0.3">
      <c r="A9">
        <v>607845</v>
      </c>
      <c r="B9" t="s">
        <v>105</v>
      </c>
      <c r="C9">
        <v>2016</v>
      </c>
      <c r="D9">
        <v>3</v>
      </c>
      <c r="E9" t="s">
        <v>59</v>
      </c>
      <c r="F9" t="s">
        <v>84</v>
      </c>
      <c r="G9" t="s">
        <v>84</v>
      </c>
      <c r="H9" t="s">
        <v>25</v>
      </c>
      <c r="I9" t="s">
        <v>100</v>
      </c>
      <c r="J9" t="s">
        <v>101</v>
      </c>
      <c r="K9" t="s">
        <v>106</v>
      </c>
      <c r="L9" t="s">
        <v>103</v>
      </c>
      <c r="M9">
        <v>2312.6677555199999</v>
      </c>
      <c r="N9">
        <v>0</v>
      </c>
      <c r="O9" t="s">
        <v>79</v>
      </c>
      <c r="P9" s="35">
        <v>44330.494941122677</v>
      </c>
      <c r="Q9">
        <v>5439255</v>
      </c>
      <c r="R9" t="s">
        <v>82</v>
      </c>
      <c r="S9" s="4">
        <v>2342.8884535299999</v>
      </c>
      <c r="T9">
        <v>77.583745070000006</v>
      </c>
      <c r="U9">
        <v>77.583745070000006</v>
      </c>
      <c r="V9">
        <v>181770.06050639</v>
      </c>
      <c r="W9">
        <v>181770.06050639</v>
      </c>
      <c r="X9">
        <v>0</v>
      </c>
      <c r="Y9">
        <v>0</v>
      </c>
      <c r="Z9">
        <v>0</v>
      </c>
      <c r="AA9">
        <v>0</v>
      </c>
      <c r="AB9">
        <v>0</v>
      </c>
      <c r="AC9" t="s">
        <v>84</v>
      </c>
      <c r="AD9" s="35">
        <v>42430</v>
      </c>
    </row>
    <row r="10" spans="1:30" x14ac:dyDescent="0.3">
      <c r="A10">
        <v>600929</v>
      </c>
      <c r="B10" t="s">
        <v>99</v>
      </c>
      <c r="C10">
        <v>2016</v>
      </c>
      <c r="D10">
        <v>4</v>
      </c>
      <c r="E10" t="s">
        <v>87</v>
      </c>
      <c r="F10" t="s">
        <v>84</v>
      </c>
      <c r="G10" t="s">
        <v>84</v>
      </c>
      <c r="H10" t="s">
        <v>25</v>
      </c>
      <c r="I10" t="s">
        <v>100</v>
      </c>
      <c r="J10" t="s">
        <v>101</v>
      </c>
      <c r="K10" t="s">
        <v>104</v>
      </c>
      <c r="L10" t="s">
        <v>103</v>
      </c>
      <c r="M10">
        <v>1317.6215099999999</v>
      </c>
      <c r="N10">
        <v>0</v>
      </c>
      <c r="O10" t="s">
        <v>79</v>
      </c>
      <c r="P10" s="35">
        <v>44330.488381793977</v>
      </c>
      <c r="Q10">
        <v>5423033</v>
      </c>
      <c r="R10" t="s">
        <v>82</v>
      </c>
      <c r="S10" s="4">
        <v>1334.2916278</v>
      </c>
      <c r="T10">
        <v>77.583745070000006</v>
      </c>
      <c r="U10">
        <v>77.583745070000006</v>
      </c>
      <c r="V10">
        <v>103519.34150053</v>
      </c>
      <c r="W10">
        <v>103519.34150053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84</v>
      </c>
      <c r="AD10" s="35">
        <v>42461</v>
      </c>
    </row>
    <row r="11" spans="1:30" x14ac:dyDescent="0.3">
      <c r="A11">
        <v>600947</v>
      </c>
      <c r="B11" t="s">
        <v>99</v>
      </c>
      <c r="C11">
        <v>2016</v>
      </c>
      <c r="D11">
        <v>4</v>
      </c>
      <c r="E11" t="s">
        <v>59</v>
      </c>
      <c r="F11" t="s">
        <v>84</v>
      </c>
      <c r="G11" t="s">
        <v>84</v>
      </c>
      <c r="H11" t="s">
        <v>25</v>
      </c>
      <c r="I11" t="s">
        <v>100</v>
      </c>
      <c r="J11" t="s">
        <v>101</v>
      </c>
      <c r="K11" t="s">
        <v>106</v>
      </c>
      <c r="L11" t="s">
        <v>103</v>
      </c>
      <c r="M11">
        <v>2065.7815005799998</v>
      </c>
      <c r="N11">
        <v>0</v>
      </c>
      <c r="O11" t="s">
        <v>79</v>
      </c>
      <c r="P11" s="35">
        <v>44330.488382442127</v>
      </c>
      <c r="Q11">
        <v>5423067</v>
      </c>
      <c r="R11" t="s">
        <v>82</v>
      </c>
      <c r="S11" s="4">
        <v>2092.7760218399999</v>
      </c>
      <c r="T11">
        <v>77.583745070000006</v>
      </c>
      <c r="U11">
        <v>77.583745070000006</v>
      </c>
      <c r="V11">
        <v>162365.40136680001</v>
      </c>
      <c r="W11">
        <v>162365.40136680001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84</v>
      </c>
      <c r="AD11" s="35">
        <v>42461</v>
      </c>
    </row>
    <row r="12" spans="1:30" x14ac:dyDescent="0.3">
      <c r="A12">
        <v>607827</v>
      </c>
      <c r="B12" t="s">
        <v>105</v>
      </c>
      <c r="C12">
        <v>2016</v>
      </c>
      <c r="D12">
        <v>3</v>
      </c>
      <c r="E12" t="s">
        <v>87</v>
      </c>
      <c r="F12" t="s">
        <v>84</v>
      </c>
      <c r="G12" t="s">
        <v>84</v>
      </c>
      <c r="H12" t="s">
        <v>25</v>
      </c>
      <c r="I12" t="s">
        <v>100</v>
      </c>
      <c r="J12" t="s">
        <v>101</v>
      </c>
      <c r="K12" t="s">
        <v>104</v>
      </c>
      <c r="L12" t="s">
        <v>103</v>
      </c>
      <c r="M12">
        <v>1703.6853574199999</v>
      </c>
      <c r="N12">
        <v>0</v>
      </c>
      <c r="O12" t="s">
        <v>79</v>
      </c>
      <c r="P12" s="35">
        <v>44330.494940509263</v>
      </c>
      <c r="Q12">
        <v>5439221</v>
      </c>
      <c r="R12" t="s">
        <v>82</v>
      </c>
      <c r="S12" s="4">
        <v>1725.23982916</v>
      </c>
      <c r="T12">
        <v>77.583745070000006</v>
      </c>
      <c r="U12">
        <v>77.583745070000006</v>
      </c>
      <c r="V12">
        <v>133850.56708995</v>
      </c>
      <c r="W12">
        <v>133850.56708995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84</v>
      </c>
      <c r="AD12" s="35">
        <v>42430</v>
      </c>
    </row>
    <row r="13" spans="1:30" x14ac:dyDescent="0.3">
      <c r="A13">
        <v>600911</v>
      </c>
      <c r="B13" t="s">
        <v>99</v>
      </c>
      <c r="C13">
        <v>2016</v>
      </c>
      <c r="D13">
        <v>4</v>
      </c>
      <c r="E13" t="s">
        <v>85</v>
      </c>
      <c r="F13" t="s">
        <v>84</v>
      </c>
      <c r="G13" t="s">
        <v>84</v>
      </c>
      <c r="H13" t="s">
        <v>25</v>
      </c>
      <c r="I13" t="s">
        <v>100</v>
      </c>
      <c r="J13" t="s">
        <v>101</v>
      </c>
      <c r="K13" t="s">
        <v>102</v>
      </c>
      <c r="L13" t="s">
        <v>103</v>
      </c>
      <c r="M13">
        <v>4919.3408924699997</v>
      </c>
      <c r="N13">
        <v>0</v>
      </c>
      <c r="O13" t="s">
        <v>79</v>
      </c>
      <c r="P13" s="35">
        <v>44330.488381134259</v>
      </c>
      <c r="Q13">
        <v>5422999</v>
      </c>
      <c r="R13" t="s">
        <v>82</v>
      </c>
      <c r="S13" s="4">
        <v>5040.3841234299998</v>
      </c>
      <c r="T13">
        <v>77.583745070000006</v>
      </c>
      <c r="U13">
        <v>77.583745070000006</v>
      </c>
      <c r="V13">
        <v>391051.87688721</v>
      </c>
      <c r="W13">
        <v>391051.87688721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84</v>
      </c>
      <c r="AD13" s="35">
        <v>42461</v>
      </c>
    </row>
    <row r="14" spans="1:30" x14ac:dyDescent="0.3">
      <c r="A14">
        <v>747847</v>
      </c>
      <c r="B14" t="s">
        <v>107</v>
      </c>
      <c r="C14">
        <v>2016</v>
      </c>
      <c r="D14">
        <v>1</v>
      </c>
      <c r="E14" t="s">
        <v>85</v>
      </c>
      <c r="F14" t="s">
        <v>84</v>
      </c>
      <c r="G14" t="s">
        <v>84</v>
      </c>
      <c r="H14" t="s">
        <v>100</v>
      </c>
      <c r="I14" t="s">
        <v>100</v>
      </c>
      <c r="J14" t="s">
        <v>108</v>
      </c>
      <c r="K14" t="s">
        <v>102</v>
      </c>
      <c r="L14" t="s">
        <v>109</v>
      </c>
      <c r="M14">
        <v>4067.4409494400002</v>
      </c>
      <c r="N14">
        <v>0</v>
      </c>
      <c r="O14" t="s">
        <v>79</v>
      </c>
      <c r="P14" s="35">
        <v>44350.694832986112</v>
      </c>
      <c r="Q14">
        <v>6409298</v>
      </c>
      <c r="R14" t="s">
        <v>74</v>
      </c>
      <c r="S14" s="4">
        <v>60.460154670000001</v>
      </c>
      <c r="T14">
        <v>68.686022080000001</v>
      </c>
      <c r="U14">
        <v>68.686022080000001</v>
      </c>
      <c r="V14">
        <v>4152.7675182900002</v>
      </c>
      <c r="W14">
        <v>4152.7675182900002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84</v>
      </c>
      <c r="AD14" s="35">
        <v>42370</v>
      </c>
    </row>
    <row r="15" spans="1:30" x14ac:dyDescent="0.3">
      <c r="A15">
        <v>747883</v>
      </c>
      <c r="B15" t="s">
        <v>107</v>
      </c>
      <c r="C15">
        <v>2016</v>
      </c>
      <c r="D15">
        <v>1</v>
      </c>
      <c r="E15" t="s">
        <v>59</v>
      </c>
      <c r="F15" t="s">
        <v>84</v>
      </c>
      <c r="G15" t="s">
        <v>84</v>
      </c>
      <c r="H15" t="s">
        <v>100</v>
      </c>
      <c r="I15" t="s">
        <v>100</v>
      </c>
      <c r="J15" t="s">
        <v>108</v>
      </c>
      <c r="K15" t="s">
        <v>106</v>
      </c>
      <c r="L15" t="s">
        <v>109</v>
      </c>
      <c r="M15">
        <v>1749.0648298200001</v>
      </c>
      <c r="N15">
        <v>0</v>
      </c>
      <c r="O15" t="s">
        <v>79</v>
      </c>
      <c r="P15" s="35">
        <v>44350.694834374997</v>
      </c>
      <c r="Q15">
        <v>6409370</v>
      </c>
      <c r="R15" t="s">
        <v>74</v>
      </c>
      <c r="S15" s="4">
        <v>46.179750630000001</v>
      </c>
      <c r="T15">
        <v>68.686022080000001</v>
      </c>
      <c r="U15">
        <v>68.686022080000001</v>
      </c>
      <c r="V15">
        <v>3171.9033716700001</v>
      </c>
      <c r="W15">
        <v>3171.9033716700001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84</v>
      </c>
      <c r="AD15" s="35">
        <v>42370</v>
      </c>
    </row>
    <row r="16" spans="1:30" x14ac:dyDescent="0.3">
      <c r="A16">
        <v>747865</v>
      </c>
      <c r="B16" t="s">
        <v>107</v>
      </c>
      <c r="C16">
        <v>2016</v>
      </c>
      <c r="D16">
        <v>1</v>
      </c>
      <c r="E16" t="s">
        <v>87</v>
      </c>
      <c r="F16" t="s">
        <v>84</v>
      </c>
      <c r="G16" t="s">
        <v>84</v>
      </c>
      <c r="H16" t="s">
        <v>100</v>
      </c>
      <c r="I16" t="s">
        <v>100</v>
      </c>
      <c r="J16" t="s">
        <v>108</v>
      </c>
      <c r="K16" t="s">
        <v>104</v>
      </c>
      <c r="L16" t="s">
        <v>109</v>
      </c>
      <c r="M16">
        <v>897.34483422000005</v>
      </c>
      <c r="N16">
        <v>0</v>
      </c>
      <c r="O16" t="s">
        <v>79</v>
      </c>
      <c r="P16" s="35">
        <v>44350.694833680558</v>
      </c>
      <c r="Q16">
        <v>6409334</v>
      </c>
      <c r="R16" t="s">
        <v>74</v>
      </c>
      <c r="S16" s="4">
        <v>24.0652863</v>
      </c>
      <c r="T16">
        <v>68.686022080000001</v>
      </c>
      <c r="U16">
        <v>68.686022080000001</v>
      </c>
      <c r="V16">
        <v>1652.94878606</v>
      </c>
      <c r="W16">
        <v>1652.94878606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84</v>
      </c>
      <c r="AD16" s="35">
        <v>42370</v>
      </c>
    </row>
    <row r="17" spans="1:30" x14ac:dyDescent="0.3">
      <c r="A17">
        <v>747847</v>
      </c>
      <c r="B17" t="s">
        <v>107</v>
      </c>
      <c r="C17">
        <v>2016</v>
      </c>
      <c r="D17">
        <v>1</v>
      </c>
      <c r="E17" t="s">
        <v>85</v>
      </c>
      <c r="F17" t="s">
        <v>84</v>
      </c>
      <c r="G17" t="s">
        <v>84</v>
      </c>
      <c r="H17" t="s">
        <v>100</v>
      </c>
      <c r="I17" t="s">
        <v>100</v>
      </c>
      <c r="J17" t="s">
        <v>108</v>
      </c>
      <c r="K17" t="s">
        <v>102</v>
      </c>
      <c r="L17" t="s">
        <v>109</v>
      </c>
      <c r="M17">
        <v>4067.4409494400002</v>
      </c>
      <c r="N17">
        <v>0</v>
      </c>
      <c r="O17" t="s">
        <v>79</v>
      </c>
      <c r="P17" s="35">
        <v>44350.694832986112</v>
      </c>
      <c r="Q17">
        <v>6409297</v>
      </c>
      <c r="R17" t="s">
        <v>82</v>
      </c>
      <c r="S17" s="4">
        <v>4167.5226890499998</v>
      </c>
      <c r="T17">
        <v>77.583745070000006</v>
      </c>
      <c r="U17">
        <v>77.583745070000006</v>
      </c>
      <c r="V17">
        <v>323332.01788041001</v>
      </c>
      <c r="W17">
        <v>323332.01788041001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84</v>
      </c>
      <c r="AD17" s="35">
        <v>42370</v>
      </c>
    </row>
    <row r="18" spans="1:30" x14ac:dyDescent="0.3">
      <c r="A18">
        <v>747883</v>
      </c>
      <c r="B18" t="s">
        <v>107</v>
      </c>
      <c r="C18">
        <v>2016</v>
      </c>
      <c r="D18">
        <v>1</v>
      </c>
      <c r="E18" t="s">
        <v>59</v>
      </c>
      <c r="F18" t="s">
        <v>84</v>
      </c>
      <c r="G18" t="s">
        <v>84</v>
      </c>
      <c r="H18" t="s">
        <v>100</v>
      </c>
      <c r="I18" t="s">
        <v>100</v>
      </c>
      <c r="J18" t="s">
        <v>108</v>
      </c>
      <c r="K18" t="s">
        <v>106</v>
      </c>
      <c r="L18" t="s">
        <v>109</v>
      </c>
      <c r="M18">
        <v>1749.0648298200001</v>
      </c>
      <c r="N18">
        <v>0</v>
      </c>
      <c r="O18" t="s">
        <v>79</v>
      </c>
      <c r="P18" s="35">
        <v>44350.694834374997</v>
      </c>
      <c r="Q18">
        <v>6409369</v>
      </c>
      <c r="R18" t="s">
        <v>82</v>
      </c>
      <c r="S18" s="4">
        <v>1771.9206680100001</v>
      </c>
      <c r="T18">
        <v>77.583745070000006</v>
      </c>
      <c r="U18">
        <v>77.583745070000006</v>
      </c>
      <c r="V18">
        <v>137472.24139149999</v>
      </c>
      <c r="W18">
        <v>137472.24139149999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84</v>
      </c>
      <c r="AD18" s="35">
        <v>42370</v>
      </c>
    </row>
    <row r="19" spans="1:30" x14ac:dyDescent="0.3">
      <c r="A19">
        <v>747865</v>
      </c>
      <c r="B19" t="s">
        <v>107</v>
      </c>
      <c r="C19">
        <v>2016</v>
      </c>
      <c r="D19">
        <v>1</v>
      </c>
      <c r="E19" t="s">
        <v>87</v>
      </c>
      <c r="F19" t="s">
        <v>84</v>
      </c>
      <c r="G19" t="s">
        <v>84</v>
      </c>
      <c r="H19" t="s">
        <v>100</v>
      </c>
      <c r="I19" t="s">
        <v>100</v>
      </c>
      <c r="J19" t="s">
        <v>108</v>
      </c>
      <c r="K19" t="s">
        <v>104</v>
      </c>
      <c r="L19" t="s">
        <v>109</v>
      </c>
      <c r="M19">
        <v>897.34483422000005</v>
      </c>
      <c r="N19">
        <v>0</v>
      </c>
      <c r="O19" t="s">
        <v>79</v>
      </c>
      <c r="P19" s="35">
        <v>44350.694833680558</v>
      </c>
      <c r="Q19">
        <v>6409333</v>
      </c>
      <c r="R19" t="s">
        <v>82</v>
      </c>
      <c r="S19" s="4">
        <v>908.69774853000001</v>
      </c>
      <c r="T19">
        <v>77.583745070000006</v>
      </c>
      <c r="U19">
        <v>77.583745070000006</v>
      </c>
      <c r="V19">
        <v>70500.174467250006</v>
      </c>
      <c r="W19">
        <v>70500.174467249992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84</v>
      </c>
      <c r="AD19" s="35">
        <v>42370</v>
      </c>
    </row>
    <row r="20" spans="1:30" x14ac:dyDescent="0.3">
      <c r="A20">
        <v>755003</v>
      </c>
      <c r="B20" t="s">
        <v>110</v>
      </c>
      <c r="C20">
        <v>2016</v>
      </c>
      <c r="D20">
        <v>2</v>
      </c>
      <c r="E20" t="s">
        <v>85</v>
      </c>
      <c r="F20" t="s">
        <v>84</v>
      </c>
      <c r="G20" t="s">
        <v>84</v>
      </c>
      <c r="H20" t="s">
        <v>100</v>
      </c>
      <c r="I20" t="s">
        <v>100</v>
      </c>
      <c r="J20" t="s">
        <v>111</v>
      </c>
      <c r="K20" t="s">
        <v>102</v>
      </c>
      <c r="L20" t="s">
        <v>109</v>
      </c>
      <c r="M20">
        <v>5278.3353200499996</v>
      </c>
      <c r="N20">
        <v>0</v>
      </c>
      <c r="O20" t="s">
        <v>79</v>
      </c>
      <c r="P20" s="35">
        <v>44350.700936655092</v>
      </c>
      <c r="Q20">
        <v>6425847</v>
      </c>
      <c r="R20" t="s">
        <v>74</v>
      </c>
      <c r="S20" s="4">
        <v>78.459398379999996</v>
      </c>
      <c r="T20">
        <v>68.686022080000001</v>
      </c>
      <c r="U20">
        <v>68.686022080000001</v>
      </c>
      <c r="V20">
        <v>5389.0639692699997</v>
      </c>
      <c r="W20">
        <v>5389.0639692699997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84</v>
      </c>
      <c r="AD20" s="35">
        <v>42401</v>
      </c>
    </row>
    <row r="21" spans="1:30" x14ac:dyDescent="0.3">
      <c r="A21">
        <v>755021</v>
      </c>
      <c r="B21" t="s">
        <v>110</v>
      </c>
      <c r="C21">
        <v>2016</v>
      </c>
      <c r="D21">
        <v>2</v>
      </c>
      <c r="E21" t="s">
        <v>87</v>
      </c>
      <c r="F21" t="s">
        <v>84</v>
      </c>
      <c r="G21" t="s">
        <v>84</v>
      </c>
      <c r="H21" t="s">
        <v>100</v>
      </c>
      <c r="I21" t="s">
        <v>100</v>
      </c>
      <c r="J21" t="s">
        <v>111</v>
      </c>
      <c r="K21" t="s">
        <v>104</v>
      </c>
      <c r="L21" t="s">
        <v>109</v>
      </c>
      <c r="M21">
        <v>1241.48702998</v>
      </c>
      <c r="N21">
        <v>0</v>
      </c>
      <c r="O21" t="s">
        <v>79</v>
      </c>
      <c r="P21" s="35">
        <v>44350.700937118047</v>
      </c>
      <c r="Q21">
        <v>6425881</v>
      </c>
      <c r="R21" t="s">
        <v>74</v>
      </c>
      <c r="S21" s="4">
        <v>33.294603889999998</v>
      </c>
      <c r="T21">
        <v>68.686022080000001</v>
      </c>
      <c r="U21">
        <v>68.686022080000001</v>
      </c>
      <c r="V21">
        <v>2286.8738982599998</v>
      </c>
      <c r="W21">
        <v>2286.8738982599998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84</v>
      </c>
      <c r="AD21" s="35">
        <v>42401</v>
      </c>
    </row>
    <row r="22" spans="1:30" x14ac:dyDescent="0.3">
      <c r="A22">
        <v>755039</v>
      </c>
      <c r="B22" t="s">
        <v>110</v>
      </c>
      <c r="C22">
        <v>2016</v>
      </c>
      <c r="D22">
        <v>2</v>
      </c>
      <c r="E22" t="s">
        <v>59</v>
      </c>
      <c r="F22" t="s">
        <v>84</v>
      </c>
      <c r="G22" t="s">
        <v>84</v>
      </c>
      <c r="H22" t="s">
        <v>100</v>
      </c>
      <c r="I22" t="s">
        <v>100</v>
      </c>
      <c r="J22" t="s">
        <v>111</v>
      </c>
      <c r="K22" t="s">
        <v>106</v>
      </c>
      <c r="L22" t="s">
        <v>109</v>
      </c>
      <c r="M22">
        <v>1904.6034659100001</v>
      </c>
      <c r="N22">
        <v>0</v>
      </c>
      <c r="O22" t="s">
        <v>79</v>
      </c>
      <c r="P22" s="35">
        <v>44350.700937847221</v>
      </c>
      <c r="Q22">
        <v>6425915</v>
      </c>
      <c r="R22" t="s">
        <v>74</v>
      </c>
      <c r="S22" s="4">
        <v>50.286365379999999</v>
      </c>
      <c r="T22">
        <v>68.686022080000001</v>
      </c>
      <c r="U22">
        <v>68.686022080000001</v>
      </c>
      <c r="V22">
        <v>3453.9704030600001</v>
      </c>
      <c r="W22">
        <v>3453.9704030600001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84</v>
      </c>
      <c r="AD22" s="35">
        <v>42401</v>
      </c>
    </row>
    <row r="23" spans="1:30" x14ac:dyDescent="0.3">
      <c r="A23">
        <v>755039</v>
      </c>
      <c r="B23" t="s">
        <v>110</v>
      </c>
      <c r="C23">
        <v>2016</v>
      </c>
      <c r="D23">
        <v>2</v>
      </c>
      <c r="E23" t="s">
        <v>59</v>
      </c>
      <c r="F23" t="s">
        <v>84</v>
      </c>
      <c r="G23" t="s">
        <v>84</v>
      </c>
      <c r="H23" t="s">
        <v>100</v>
      </c>
      <c r="I23" t="s">
        <v>100</v>
      </c>
      <c r="J23" t="s">
        <v>111</v>
      </c>
      <c r="K23" t="s">
        <v>106</v>
      </c>
      <c r="L23" t="s">
        <v>109</v>
      </c>
      <c r="M23">
        <v>1904.6034659100001</v>
      </c>
      <c r="N23">
        <v>0</v>
      </c>
      <c r="O23" t="s">
        <v>79</v>
      </c>
      <c r="P23" s="35">
        <v>44350.700937847221</v>
      </c>
      <c r="Q23">
        <v>6425914</v>
      </c>
      <c r="R23" t="s">
        <v>82</v>
      </c>
      <c r="S23" s="4">
        <v>1929.49179933</v>
      </c>
      <c r="T23">
        <v>77.583745070000006</v>
      </c>
      <c r="U23">
        <v>77.583745070000006</v>
      </c>
      <c r="V23">
        <v>149697.19987352</v>
      </c>
      <c r="W23">
        <v>149697.19987352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84</v>
      </c>
      <c r="AD23" s="35">
        <v>42401</v>
      </c>
    </row>
    <row r="24" spans="1:30" x14ac:dyDescent="0.3">
      <c r="A24">
        <v>755003</v>
      </c>
      <c r="B24" t="s">
        <v>110</v>
      </c>
      <c r="C24">
        <v>2016</v>
      </c>
      <c r="D24">
        <v>2</v>
      </c>
      <c r="E24" t="s">
        <v>85</v>
      </c>
      <c r="F24" t="s">
        <v>84</v>
      </c>
      <c r="G24" t="s">
        <v>84</v>
      </c>
      <c r="H24" t="s">
        <v>100</v>
      </c>
      <c r="I24" t="s">
        <v>100</v>
      </c>
      <c r="J24" t="s">
        <v>111</v>
      </c>
      <c r="K24" t="s">
        <v>102</v>
      </c>
      <c r="L24" t="s">
        <v>109</v>
      </c>
      <c r="M24">
        <v>5278.3353200499996</v>
      </c>
      <c r="N24">
        <v>0</v>
      </c>
      <c r="O24" t="s">
        <v>79</v>
      </c>
      <c r="P24" s="35">
        <v>44350.700936655092</v>
      </c>
      <c r="Q24">
        <v>6425846</v>
      </c>
      <c r="R24" t="s">
        <v>82</v>
      </c>
      <c r="S24" s="4">
        <v>5408.2118167600001</v>
      </c>
      <c r="T24">
        <v>77.583745070000006</v>
      </c>
      <c r="U24">
        <v>77.583745070000006</v>
      </c>
      <c r="V24">
        <v>419589.32687604002</v>
      </c>
      <c r="W24">
        <v>419589.32687604002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84</v>
      </c>
      <c r="AD24" s="35">
        <v>42401</v>
      </c>
    </row>
    <row r="25" spans="1:30" x14ac:dyDescent="0.3">
      <c r="A25">
        <v>755021</v>
      </c>
      <c r="B25" t="s">
        <v>110</v>
      </c>
      <c r="C25">
        <v>2016</v>
      </c>
      <c r="D25">
        <v>2</v>
      </c>
      <c r="E25" t="s">
        <v>87</v>
      </c>
      <c r="F25" t="s">
        <v>84</v>
      </c>
      <c r="G25" t="s">
        <v>84</v>
      </c>
      <c r="H25" t="s">
        <v>100</v>
      </c>
      <c r="I25" t="s">
        <v>100</v>
      </c>
      <c r="J25" t="s">
        <v>111</v>
      </c>
      <c r="K25" t="s">
        <v>104</v>
      </c>
      <c r="L25" t="s">
        <v>109</v>
      </c>
      <c r="M25">
        <v>1241.48702998</v>
      </c>
      <c r="N25">
        <v>0</v>
      </c>
      <c r="O25" t="s">
        <v>79</v>
      </c>
      <c r="P25" s="35">
        <v>44350.700937118047</v>
      </c>
      <c r="Q25">
        <v>6425880</v>
      </c>
      <c r="R25" t="s">
        <v>82</v>
      </c>
      <c r="S25" s="4">
        <v>1257.19391916</v>
      </c>
      <c r="T25">
        <v>77.583745070000006</v>
      </c>
      <c r="U25">
        <v>77.583745070000006</v>
      </c>
      <c r="V25">
        <v>97537.81252747</v>
      </c>
      <c r="W25">
        <v>97537.81252747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84</v>
      </c>
      <c r="AD25" s="35">
        <v>42401</v>
      </c>
    </row>
    <row r="26" spans="1:30" x14ac:dyDescent="0.3">
      <c r="A26">
        <v>339874</v>
      </c>
      <c r="B26" t="s">
        <v>112</v>
      </c>
      <c r="C26">
        <v>2018</v>
      </c>
      <c r="D26">
        <v>4</v>
      </c>
      <c r="E26" t="s">
        <v>87</v>
      </c>
      <c r="F26" t="s">
        <v>84</v>
      </c>
      <c r="G26" t="s">
        <v>84</v>
      </c>
      <c r="H26" t="s">
        <v>25</v>
      </c>
      <c r="I26" t="s">
        <v>25</v>
      </c>
      <c r="J26" t="s">
        <v>101</v>
      </c>
      <c r="K26" t="s">
        <v>88</v>
      </c>
      <c r="L26" t="s">
        <v>103</v>
      </c>
      <c r="M26">
        <v>395.73036543000001</v>
      </c>
      <c r="N26">
        <v>0</v>
      </c>
      <c r="O26" t="s">
        <v>79</v>
      </c>
      <c r="P26" s="35">
        <v>44269.883115474528</v>
      </c>
      <c r="Q26">
        <v>3217183</v>
      </c>
      <c r="R26" t="s">
        <v>74</v>
      </c>
      <c r="S26" s="4">
        <v>10.528968040000001</v>
      </c>
      <c r="T26">
        <v>62.965655060000003</v>
      </c>
      <c r="U26">
        <v>62.965655060000003</v>
      </c>
      <c r="V26">
        <v>662.96336970000004</v>
      </c>
      <c r="W26">
        <v>662.96336970000004</v>
      </c>
      <c r="X26">
        <v>0</v>
      </c>
      <c r="Y26">
        <v>5073.6281670099997</v>
      </c>
      <c r="Z26">
        <v>5073.6281670099997</v>
      </c>
      <c r="AA26">
        <v>0</v>
      </c>
      <c r="AB26">
        <v>0</v>
      </c>
      <c r="AC26" t="s">
        <v>84</v>
      </c>
      <c r="AD26" s="35">
        <v>43191</v>
      </c>
    </row>
    <row r="27" spans="1:30" x14ac:dyDescent="0.3">
      <c r="A27">
        <v>339897</v>
      </c>
      <c r="B27" t="s">
        <v>112</v>
      </c>
      <c r="C27">
        <v>2018</v>
      </c>
      <c r="D27">
        <v>4</v>
      </c>
      <c r="E27" t="s">
        <v>89</v>
      </c>
      <c r="F27" t="s">
        <v>84</v>
      </c>
      <c r="G27" t="s">
        <v>84</v>
      </c>
      <c r="H27" t="s">
        <v>25</v>
      </c>
      <c r="I27" t="s">
        <v>25</v>
      </c>
      <c r="J27" t="s">
        <v>101</v>
      </c>
      <c r="K27" t="s">
        <v>90</v>
      </c>
      <c r="L27" t="s">
        <v>103</v>
      </c>
      <c r="M27">
        <v>912.57738198000004</v>
      </c>
      <c r="N27">
        <v>0</v>
      </c>
      <c r="O27" t="s">
        <v>79</v>
      </c>
      <c r="P27" s="35">
        <v>44269.883116168981</v>
      </c>
      <c r="Q27">
        <v>3217229</v>
      </c>
      <c r="R27" t="s">
        <v>74</v>
      </c>
      <c r="S27" s="4">
        <v>23.903975920000001</v>
      </c>
      <c r="T27">
        <v>62.965655060000003</v>
      </c>
      <c r="U27">
        <v>62.965655060000003</v>
      </c>
      <c r="V27">
        <v>1505.12950228</v>
      </c>
      <c r="W27">
        <v>1505.12950228</v>
      </c>
      <c r="X27">
        <v>0</v>
      </c>
      <c r="Y27">
        <v>5073.6281670099997</v>
      </c>
      <c r="Z27">
        <v>5073.6281670099997</v>
      </c>
      <c r="AA27">
        <v>0</v>
      </c>
      <c r="AB27">
        <v>0</v>
      </c>
      <c r="AC27" t="s">
        <v>84</v>
      </c>
      <c r="AD27" s="35">
        <v>43191</v>
      </c>
    </row>
    <row r="28" spans="1:30" x14ac:dyDescent="0.3">
      <c r="A28">
        <v>339851</v>
      </c>
      <c r="B28" t="s">
        <v>112</v>
      </c>
      <c r="C28">
        <v>2018</v>
      </c>
      <c r="D28">
        <v>4</v>
      </c>
      <c r="E28" t="s">
        <v>85</v>
      </c>
      <c r="F28" t="s">
        <v>84</v>
      </c>
      <c r="G28" t="s">
        <v>84</v>
      </c>
      <c r="H28" t="s">
        <v>25</v>
      </c>
      <c r="I28" t="s">
        <v>25</v>
      </c>
      <c r="J28" t="s">
        <v>101</v>
      </c>
      <c r="K28" t="s">
        <v>86</v>
      </c>
      <c r="L28" t="s">
        <v>103</v>
      </c>
      <c r="M28">
        <v>2217.9983667299998</v>
      </c>
      <c r="N28">
        <v>0</v>
      </c>
      <c r="O28" t="s">
        <v>79</v>
      </c>
      <c r="P28" s="35">
        <v>44269.88311489582</v>
      </c>
      <c r="Q28">
        <v>3217137</v>
      </c>
      <c r="R28" t="s">
        <v>74</v>
      </c>
      <c r="S28" s="4">
        <v>32.708752820000001</v>
      </c>
      <c r="T28">
        <v>62.965655060000003</v>
      </c>
      <c r="U28">
        <v>62.965655060000003</v>
      </c>
      <c r="V28">
        <v>2059.5280472300001</v>
      </c>
      <c r="W28">
        <v>2059.5280472300001</v>
      </c>
      <c r="X28">
        <v>0</v>
      </c>
      <c r="Y28">
        <v>5073.6281670099997</v>
      </c>
      <c r="Z28">
        <v>5073.6281670099997</v>
      </c>
      <c r="AA28">
        <v>0</v>
      </c>
      <c r="AB28">
        <v>0</v>
      </c>
      <c r="AC28" t="s">
        <v>84</v>
      </c>
      <c r="AD28" s="35">
        <v>43191</v>
      </c>
    </row>
    <row r="29" spans="1:30" x14ac:dyDescent="0.3">
      <c r="A29">
        <v>119638</v>
      </c>
      <c r="B29" t="s">
        <v>113</v>
      </c>
      <c r="C29">
        <v>2018</v>
      </c>
      <c r="D29">
        <v>9</v>
      </c>
      <c r="E29" t="s">
        <v>87</v>
      </c>
      <c r="F29" t="s">
        <v>84</v>
      </c>
      <c r="G29" t="s">
        <v>84</v>
      </c>
      <c r="H29" t="s">
        <v>25</v>
      </c>
      <c r="I29" t="s">
        <v>25</v>
      </c>
      <c r="J29" t="s">
        <v>101</v>
      </c>
      <c r="K29" t="s">
        <v>88</v>
      </c>
      <c r="L29" t="s">
        <v>103</v>
      </c>
      <c r="M29">
        <v>316.65874517999998</v>
      </c>
      <c r="N29">
        <v>0</v>
      </c>
      <c r="O29" t="s">
        <v>80</v>
      </c>
      <c r="P29" s="35">
        <v>44269.85110659722</v>
      </c>
      <c r="Q29">
        <v>1081733</v>
      </c>
      <c r="R29" t="s">
        <v>81</v>
      </c>
      <c r="S29" s="4">
        <v>65.677974120000002</v>
      </c>
      <c r="T29">
        <v>63.269710340000003</v>
      </c>
      <c r="U29">
        <v>63.269710340000003</v>
      </c>
      <c r="V29">
        <v>4155.4263987200002</v>
      </c>
      <c r="W29">
        <v>4155.4263987200002</v>
      </c>
      <c r="X29">
        <v>0</v>
      </c>
      <c r="Y29">
        <v>5098.1282447499998</v>
      </c>
      <c r="Z29">
        <v>5098.1282447499998</v>
      </c>
      <c r="AA29">
        <v>0</v>
      </c>
      <c r="AB29">
        <v>0</v>
      </c>
      <c r="AC29" t="s">
        <v>84</v>
      </c>
      <c r="AD29" s="35">
        <v>43344</v>
      </c>
    </row>
    <row r="30" spans="1:30" x14ac:dyDescent="0.3">
      <c r="A30">
        <v>130294</v>
      </c>
      <c r="B30" t="s">
        <v>114</v>
      </c>
      <c r="C30">
        <v>2018</v>
      </c>
      <c r="D30">
        <v>10</v>
      </c>
      <c r="E30" t="s">
        <v>85</v>
      </c>
      <c r="F30" t="s">
        <v>84</v>
      </c>
      <c r="G30" t="s">
        <v>84</v>
      </c>
      <c r="H30" t="s">
        <v>25</v>
      </c>
      <c r="I30" t="s">
        <v>25</v>
      </c>
      <c r="J30" t="s">
        <v>101</v>
      </c>
      <c r="K30" t="s">
        <v>86</v>
      </c>
      <c r="L30" t="s">
        <v>103</v>
      </c>
      <c r="M30">
        <v>1428.8615156599999</v>
      </c>
      <c r="N30">
        <v>0</v>
      </c>
      <c r="O30" t="s">
        <v>80</v>
      </c>
      <c r="P30" s="35">
        <v>44269.8525723727</v>
      </c>
      <c r="Q30">
        <v>1192985</v>
      </c>
      <c r="R30" t="s">
        <v>81</v>
      </c>
      <c r="S30" s="4">
        <v>293.84436671999998</v>
      </c>
      <c r="T30">
        <v>63.269710340000003</v>
      </c>
      <c r="U30">
        <v>63.269710340000003</v>
      </c>
      <c r="V30">
        <v>18591.44796836</v>
      </c>
      <c r="W30">
        <v>18591.44796836</v>
      </c>
      <c r="X30">
        <v>0</v>
      </c>
      <c r="Y30">
        <v>5098.1282447499998</v>
      </c>
      <c r="Z30">
        <v>5098.1282447499998</v>
      </c>
      <c r="AA30">
        <v>0</v>
      </c>
      <c r="AB30">
        <v>0</v>
      </c>
      <c r="AC30" t="s">
        <v>84</v>
      </c>
      <c r="AD30" s="35">
        <v>43374</v>
      </c>
    </row>
    <row r="31" spans="1:30" x14ac:dyDescent="0.3">
      <c r="A31">
        <v>144832</v>
      </c>
      <c r="B31" t="s">
        <v>115</v>
      </c>
      <c r="C31">
        <v>2018</v>
      </c>
      <c r="D31">
        <v>11</v>
      </c>
      <c r="E31" t="s">
        <v>85</v>
      </c>
      <c r="F31" t="s">
        <v>84</v>
      </c>
      <c r="G31" t="s">
        <v>84</v>
      </c>
      <c r="H31" t="s">
        <v>25</v>
      </c>
      <c r="I31" t="s">
        <v>25</v>
      </c>
      <c r="J31" t="s">
        <v>101</v>
      </c>
      <c r="K31" t="s">
        <v>86</v>
      </c>
      <c r="L31" t="s">
        <v>103</v>
      </c>
      <c r="M31">
        <v>1939.5207746900001</v>
      </c>
      <c r="N31">
        <v>0</v>
      </c>
      <c r="O31" t="s">
        <v>80</v>
      </c>
      <c r="P31" s="35">
        <v>44269.854262534733</v>
      </c>
      <c r="Q31">
        <v>1336945</v>
      </c>
      <c r="R31" t="s">
        <v>81</v>
      </c>
      <c r="S31" s="4">
        <v>398.86108453000003</v>
      </c>
      <c r="T31">
        <v>63.269710340000003</v>
      </c>
      <c r="U31">
        <v>63.269710340000003</v>
      </c>
      <c r="V31">
        <v>25235.825285430001</v>
      </c>
      <c r="W31">
        <v>25235.825285430001</v>
      </c>
      <c r="X31">
        <v>0</v>
      </c>
      <c r="Y31">
        <v>5098.1282447499998</v>
      </c>
      <c r="Z31">
        <v>5098.1282447499998</v>
      </c>
      <c r="AA31">
        <v>0</v>
      </c>
      <c r="AB31">
        <v>0</v>
      </c>
      <c r="AC31" t="s">
        <v>84</v>
      </c>
      <c r="AD31" s="35">
        <v>43405</v>
      </c>
    </row>
    <row r="32" spans="1:30" x14ac:dyDescent="0.3">
      <c r="A32">
        <v>130318</v>
      </c>
      <c r="B32" t="s">
        <v>114</v>
      </c>
      <c r="C32">
        <v>2018</v>
      </c>
      <c r="D32">
        <v>10</v>
      </c>
      <c r="E32" t="s">
        <v>87</v>
      </c>
      <c r="F32" t="s">
        <v>84</v>
      </c>
      <c r="G32" t="s">
        <v>84</v>
      </c>
      <c r="H32" t="s">
        <v>25</v>
      </c>
      <c r="I32" t="s">
        <v>25</v>
      </c>
      <c r="J32" t="s">
        <v>101</v>
      </c>
      <c r="K32" t="s">
        <v>88</v>
      </c>
      <c r="L32" t="s">
        <v>103</v>
      </c>
      <c r="M32">
        <v>333.40243543999998</v>
      </c>
      <c r="N32">
        <v>0</v>
      </c>
      <c r="O32" t="s">
        <v>80</v>
      </c>
      <c r="P32" s="35">
        <v>44269.852573611111</v>
      </c>
      <c r="Q32">
        <v>1193105</v>
      </c>
      <c r="R32" t="s">
        <v>81</v>
      </c>
      <c r="S32" s="4">
        <v>69.149925620000005</v>
      </c>
      <c r="T32">
        <v>63.269710340000003</v>
      </c>
      <c r="U32">
        <v>63.269710340000003</v>
      </c>
      <c r="V32">
        <v>4375.0957643499996</v>
      </c>
      <c r="W32">
        <v>4375.0957643499996</v>
      </c>
      <c r="X32">
        <v>0</v>
      </c>
      <c r="Y32">
        <v>5098.1282447499998</v>
      </c>
      <c r="Z32">
        <v>5098.1282447499998</v>
      </c>
      <c r="AA32">
        <v>0</v>
      </c>
      <c r="AB32">
        <v>0</v>
      </c>
      <c r="AC32" t="s">
        <v>84</v>
      </c>
      <c r="AD32" s="35">
        <v>43374</v>
      </c>
    </row>
    <row r="33" spans="1:30" x14ac:dyDescent="0.3">
      <c r="A33">
        <v>119662</v>
      </c>
      <c r="B33" t="s">
        <v>113</v>
      </c>
      <c r="C33">
        <v>2018</v>
      </c>
      <c r="D33">
        <v>9</v>
      </c>
      <c r="E33" t="s">
        <v>89</v>
      </c>
      <c r="F33" t="s">
        <v>84</v>
      </c>
      <c r="G33" t="s">
        <v>84</v>
      </c>
      <c r="H33" t="s">
        <v>25</v>
      </c>
      <c r="I33" t="s">
        <v>25</v>
      </c>
      <c r="J33" t="s">
        <v>101</v>
      </c>
      <c r="K33" t="s">
        <v>90</v>
      </c>
      <c r="L33" t="s">
        <v>103</v>
      </c>
      <c r="M33">
        <v>843.05591856000001</v>
      </c>
      <c r="N33">
        <v>0</v>
      </c>
      <c r="O33" t="s">
        <v>80</v>
      </c>
      <c r="P33" s="35">
        <v>44269.851107986113</v>
      </c>
      <c r="Q33">
        <v>1081853</v>
      </c>
      <c r="R33" t="s">
        <v>81</v>
      </c>
      <c r="S33" s="4">
        <v>167.12112604999999</v>
      </c>
      <c r="T33">
        <v>63.269710340000003</v>
      </c>
      <c r="U33">
        <v>63.269710340000003</v>
      </c>
      <c r="V33">
        <v>10573.705237210001</v>
      </c>
      <c r="W33">
        <v>10573.705237210001</v>
      </c>
      <c r="X33">
        <v>0</v>
      </c>
      <c r="Y33">
        <v>5098.1282447499998</v>
      </c>
      <c r="Z33">
        <v>5098.1282447499998</v>
      </c>
      <c r="AA33">
        <v>0</v>
      </c>
      <c r="AB33">
        <v>0</v>
      </c>
      <c r="AC33" t="s">
        <v>84</v>
      </c>
      <c r="AD33" s="35">
        <v>43344</v>
      </c>
    </row>
    <row r="34" spans="1:30" x14ac:dyDescent="0.3">
      <c r="A34">
        <v>443785</v>
      </c>
      <c r="B34" t="s">
        <v>116</v>
      </c>
      <c r="C34">
        <v>2018</v>
      </c>
      <c r="D34">
        <v>12</v>
      </c>
      <c r="E34" t="s">
        <v>85</v>
      </c>
      <c r="F34" t="s">
        <v>84</v>
      </c>
      <c r="G34" t="s">
        <v>84</v>
      </c>
      <c r="H34" t="s">
        <v>25</v>
      </c>
      <c r="I34" t="s">
        <v>25</v>
      </c>
      <c r="J34" t="s">
        <v>101</v>
      </c>
      <c r="K34" t="s">
        <v>86</v>
      </c>
      <c r="L34" t="s">
        <v>103</v>
      </c>
      <c r="M34">
        <v>3041.3129330199999</v>
      </c>
      <c r="N34">
        <v>0</v>
      </c>
      <c r="O34" t="s">
        <v>80</v>
      </c>
      <c r="P34" s="35">
        <v>44284.514579629627</v>
      </c>
      <c r="Q34">
        <v>4215244</v>
      </c>
      <c r="R34" t="s">
        <v>81</v>
      </c>
      <c r="S34" s="4">
        <v>625.44386772999997</v>
      </c>
      <c r="T34">
        <v>63.269710340000003</v>
      </c>
      <c r="U34">
        <v>63.269710340000003</v>
      </c>
      <c r="V34">
        <v>39571.652347050003</v>
      </c>
      <c r="W34">
        <v>39571.652347050003</v>
      </c>
      <c r="X34">
        <v>0</v>
      </c>
      <c r="Y34">
        <v>5098.1282447499998</v>
      </c>
      <c r="Z34">
        <v>5098.1282447499998</v>
      </c>
      <c r="AA34">
        <v>0</v>
      </c>
      <c r="AB34">
        <v>0</v>
      </c>
      <c r="AC34" t="s">
        <v>84</v>
      </c>
      <c r="AD34" s="35">
        <v>43435</v>
      </c>
    </row>
    <row r="35" spans="1:30" x14ac:dyDescent="0.3">
      <c r="A35">
        <v>119614</v>
      </c>
      <c r="B35" t="s">
        <v>113</v>
      </c>
      <c r="C35">
        <v>2018</v>
      </c>
      <c r="D35">
        <v>9</v>
      </c>
      <c r="E35" t="s">
        <v>85</v>
      </c>
      <c r="F35" t="s">
        <v>84</v>
      </c>
      <c r="G35" t="s">
        <v>84</v>
      </c>
      <c r="H35" t="s">
        <v>25</v>
      </c>
      <c r="I35" t="s">
        <v>25</v>
      </c>
      <c r="J35" t="s">
        <v>101</v>
      </c>
      <c r="K35" t="s">
        <v>86</v>
      </c>
      <c r="L35" t="s">
        <v>103</v>
      </c>
      <c r="M35">
        <v>1439.52704135</v>
      </c>
      <c r="N35">
        <v>0</v>
      </c>
      <c r="O35" t="s">
        <v>80</v>
      </c>
      <c r="P35" s="35">
        <v>44269.851105011578</v>
      </c>
      <c r="Q35">
        <v>1081613</v>
      </c>
      <c r="R35" t="s">
        <v>81</v>
      </c>
      <c r="S35" s="4">
        <v>317.66754981000003</v>
      </c>
      <c r="T35">
        <v>63.269710340000003</v>
      </c>
      <c r="U35">
        <v>63.269710340000003</v>
      </c>
      <c r="V35">
        <v>20098.733862000001</v>
      </c>
      <c r="W35">
        <v>20098.733862000001</v>
      </c>
      <c r="X35">
        <v>0</v>
      </c>
      <c r="Y35">
        <v>5098.1282447499998</v>
      </c>
      <c r="Z35">
        <v>5098.1282447499998</v>
      </c>
      <c r="AA35">
        <v>0</v>
      </c>
      <c r="AB35">
        <v>0</v>
      </c>
      <c r="AC35" t="s">
        <v>84</v>
      </c>
      <c r="AD35" s="35">
        <v>43344</v>
      </c>
    </row>
    <row r="36" spans="1:30" x14ac:dyDescent="0.3">
      <c r="A36">
        <v>144856</v>
      </c>
      <c r="B36" t="s">
        <v>115</v>
      </c>
      <c r="C36">
        <v>2018</v>
      </c>
      <c r="D36">
        <v>11</v>
      </c>
      <c r="E36" t="s">
        <v>87</v>
      </c>
      <c r="F36" t="s">
        <v>84</v>
      </c>
      <c r="G36" t="s">
        <v>84</v>
      </c>
      <c r="H36" t="s">
        <v>25</v>
      </c>
      <c r="I36" t="s">
        <v>25</v>
      </c>
      <c r="J36" t="s">
        <v>101</v>
      </c>
      <c r="K36" t="s">
        <v>88</v>
      </c>
      <c r="L36" t="s">
        <v>103</v>
      </c>
      <c r="M36">
        <v>527.43779992999998</v>
      </c>
      <c r="N36">
        <v>0</v>
      </c>
      <c r="O36" t="s">
        <v>80</v>
      </c>
      <c r="P36" s="35">
        <v>44269.854263738423</v>
      </c>
      <c r="Q36">
        <v>1337065</v>
      </c>
      <c r="R36" t="s">
        <v>81</v>
      </c>
      <c r="S36" s="4">
        <v>109.3941758</v>
      </c>
      <c r="T36">
        <v>63.269710340000003</v>
      </c>
      <c r="U36">
        <v>63.269710340000003</v>
      </c>
      <c r="V36">
        <v>6921.3378162299996</v>
      </c>
      <c r="W36">
        <v>6921.3378162299996</v>
      </c>
      <c r="X36">
        <v>0</v>
      </c>
      <c r="Y36">
        <v>5098.1282447499998</v>
      </c>
      <c r="Z36">
        <v>5098.1282447499998</v>
      </c>
      <c r="AA36">
        <v>0</v>
      </c>
      <c r="AB36">
        <v>0</v>
      </c>
      <c r="AC36" t="s">
        <v>84</v>
      </c>
      <c r="AD36" s="35">
        <v>43405</v>
      </c>
    </row>
    <row r="37" spans="1:30" x14ac:dyDescent="0.3">
      <c r="A37">
        <v>443809</v>
      </c>
      <c r="B37" t="s">
        <v>116</v>
      </c>
      <c r="C37">
        <v>2018</v>
      </c>
      <c r="D37">
        <v>12</v>
      </c>
      <c r="E37" t="s">
        <v>87</v>
      </c>
      <c r="F37" t="s">
        <v>84</v>
      </c>
      <c r="G37" t="s">
        <v>84</v>
      </c>
      <c r="H37" t="s">
        <v>25</v>
      </c>
      <c r="I37" t="s">
        <v>25</v>
      </c>
      <c r="J37" t="s">
        <v>101</v>
      </c>
      <c r="K37" t="s">
        <v>88</v>
      </c>
      <c r="L37" t="s">
        <v>103</v>
      </c>
      <c r="M37">
        <v>824.95046656</v>
      </c>
      <c r="N37">
        <v>0</v>
      </c>
      <c r="O37" t="s">
        <v>80</v>
      </c>
      <c r="P37" s="35">
        <v>44284.514580937503</v>
      </c>
      <c r="Q37">
        <v>4215364</v>
      </c>
      <c r="R37" t="s">
        <v>81</v>
      </c>
      <c r="S37" s="4">
        <v>171.10032004000001</v>
      </c>
      <c r="T37">
        <v>63.269710340000003</v>
      </c>
      <c r="U37">
        <v>63.269710340000003</v>
      </c>
      <c r="V37">
        <v>10825.46768826</v>
      </c>
      <c r="W37">
        <v>10825.46768826</v>
      </c>
      <c r="X37">
        <v>0</v>
      </c>
      <c r="Y37">
        <v>5098.1282447499998</v>
      </c>
      <c r="Z37">
        <v>5098.1282447499998</v>
      </c>
      <c r="AA37">
        <v>0</v>
      </c>
      <c r="AB37">
        <v>0</v>
      </c>
      <c r="AC37" t="s">
        <v>84</v>
      </c>
      <c r="AD37" s="35">
        <v>43435</v>
      </c>
    </row>
    <row r="38" spans="1:30" x14ac:dyDescent="0.3">
      <c r="A38">
        <v>144880</v>
      </c>
      <c r="B38" t="s">
        <v>115</v>
      </c>
      <c r="C38">
        <v>2018</v>
      </c>
      <c r="D38">
        <v>11</v>
      </c>
      <c r="E38" t="s">
        <v>89</v>
      </c>
      <c r="F38" t="s">
        <v>84</v>
      </c>
      <c r="G38" t="s">
        <v>84</v>
      </c>
      <c r="H38" t="s">
        <v>25</v>
      </c>
      <c r="I38" t="s">
        <v>25</v>
      </c>
      <c r="J38" t="s">
        <v>101</v>
      </c>
      <c r="K38" t="s">
        <v>90</v>
      </c>
      <c r="L38" t="s">
        <v>103</v>
      </c>
      <c r="M38">
        <v>1036.3887642100001</v>
      </c>
      <c r="N38">
        <v>0</v>
      </c>
      <c r="O38" t="s">
        <v>80</v>
      </c>
      <c r="P38" s="35">
        <v>44269.854264965281</v>
      </c>
      <c r="Q38">
        <v>1337185</v>
      </c>
      <c r="R38" t="s">
        <v>81</v>
      </c>
      <c r="S38" s="4">
        <v>205.45113395000001</v>
      </c>
      <c r="T38">
        <v>63.269710340000003</v>
      </c>
      <c r="U38">
        <v>63.269710340000003</v>
      </c>
      <c r="V38">
        <v>12998.8337348</v>
      </c>
      <c r="W38">
        <v>12998.8337348</v>
      </c>
      <c r="X38">
        <v>0</v>
      </c>
      <c r="Y38">
        <v>5098.1282447499998</v>
      </c>
      <c r="Z38">
        <v>5098.1282447499998</v>
      </c>
      <c r="AA38">
        <v>0</v>
      </c>
      <c r="AB38">
        <v>0</v>
      </c>
      <c r="AC38" t="s">
        <v>84</v>
      </c>
      <c r="AD38" s="35">
        <v>43405</v>
      </c>
    </row>
    <row r="39" spans="1:30" x14ac:dyDescent="0.3">
      <c r="A39">
        <v>130342</v>
      </c>
      <c r="B39" t="s">
        <v>114</v>
      </c>
      <c r="C39">
        <v>2018</v>
      </c>
      <c r="D39">
        <v>10</v>
      </c>
      <c r="E39" t="s">
        <v>89</v>
      </c>
      <c r="F39" t="s">
        <v>84</v>
      </c>
      <c r="G39" t="s">
        <v>84</v>
      </c>
      <c r="H39" t="s">
        <v>25</v>
      </c>
      <c r="I39" t="s">
        <v>25</v>
      </c>
      <c r="J39" t="s">
        <v>101</v>
      </c>
      <c r="K39" t="s">
        <v>90</v>
      </c>
      <c r="L39" t="s">
        <v>103</v>
      </c>
      <c r="M39">
        <v>879.43208655000001</v>
      </c>
      <c r="N39">
        <v>0</v>
      </c>
      <c r="O39" t="s">
        <v>80</v>
      </c>
      <c r="P39" s="35">
        <v>44269.852574803241</v>
      </c>
      <c r="Q39">
        <v>1193225</v>
      </c>
      <c r="R39" t="s">
        <v>81</v>
      </c>
      <c r="S39" s="4">
        <v>174.33643208999999</v>
      </c>
      <c r="T39">
        <v>63.269710340000003</v>
      </c>
      <c r="U39">
        <v>63.269710340000003</v>
      </c>
      <c r="V39">
        <v>11030.215560860001</v>
      </c>
      <c r="W39">
        <v>11030.215560860001</v>
      </c>
      <c r="X39">
        <v>0</v>
      </c>
      <c r="Y39">
        <v>5098.1282447499998</v>
      </c>
      <c r="Z39">
        <v>5098.1282447499998</v>
      </c>
      <c r="AA39">
        <v>0</v>
      </c>
      <c r="AB39">
        <v>0</v>
      </c>
      <c r="AC39" t="s">
        <v>84</v>
      </c>
      <c r="AD39" s="35">
        <v>43374</v>
      </c>
    </row>
    <row r="40" spans="1:30" x14ac:dyDescent="0.3">
      <c r="A40">
        <v>443833</v>
      </c>
      <c r="B40" t="s">
        <v>116</v>
      </c>
      <c r="C40">
        <v>2018</v>
      </c>
      <c r="D40">
        <v>12</v>
      </c>
      <c r="E40" t="s">
        <v>89</v>
      </c>
      <c r="F40" t="s">
        <v>84</v>
      </c>
      <c r="G40" t="s">
        <v>84</v>
      </c>
      <c r="H40" t="s">
        <v>25</v>
      </c>
      <c r="I40" t="s">
        <v>25</v>
      </c>
      <c r="J40" t="s">
        <v>101</v>
      </c>
      <c r="K40" t="s">
        <v>90</v>
      </c>
      <c r="L40" t="s">
        <v>103</v>
      </c>
      <c r="M40">
        <v>1153.4816149200001</v>
      </c>
      <c r="N40">
        <v>0</v>
      </c>
      <c r="O40" t="s">
        <v>80</v>
      </c>
      <c r="P40" s="35">
        <v>44284.51458221065</v>
      </c>
      <c r="Q40">
        <v>4215484</v>
      </c>
      <c r="R40" t="s">
        <v>81</v>
      </c>
      <c r="S40" s="4">
        <v>228.66332979000001</v>
      </c>
      <c r="T40">
        <v>63.269710340000003</v>
      </c>
      <c r="U40">
        <v>63.269710340000003</v>
      </c>
      <c r="V40">
        <v>14467.462641710001</v>
      </c>
      <c r="W40">
        <v>14467.462641710001</v>
      </c>
      <c r="X40">
        <v>0</v>
      </c>
      <c r="Y40">
        <v>5098.1282447499998</v>
      </c>
      <c r="Z40">
        <v>5098.1282447499998</v>
      </c>
      <c r="AA40">
        <v>0</v>
      </c>
      <c r="AB40">
        <v>0</v>
      </c>
      <c r="AC40" t="s">
        <v>84</v>
      </c>
      <c r="AD40" s="35">
        <v>43435</v>
      </c>
    </row>
    <row r="41" spans="1:30" x14ac:dyDescent="0.3">
      <c r="A41">
        <v>339897</v>
      </c>
      <c r="B41" t="s">
        <v>112</v>
      </c>
      <c r="C41">
        <v>2018</v>
      </c>
      <c r="D41">
        <v>4</v>
      </c>
      <c r="E41" t="s">
        <v>89</v>
      </c>
      <c r="F41" t="s">
        <v>84</v>
      </c>
      <c r="G41" t="s">
        <v>84</v>
      </c>
      <c r="H41" t="s">
        <v>25</v>
      </c>
      <c r="I41" t="s">
        <v>25</v>
      </c>
      <c r="J41" t="s">
        <v>101</v>
      </c>
      <c r="K41" t="s">
        <v>90</v>
      </c>
      <c r="L41" t="s">
        <v>103</v>
      </c>
      <c r="M41">
        <v>912.57738198000004</v>
      </c>
      <c r="N41">
        <v>0</v>
      </c>
      <c r="O41" t="s">
        <v>79</v>
      </c>
      <c r="P41" s="35">
        <v>44269.883116168981</v>
      </c>
      <c r="Q41">
        <v>3217228</v>
      </c>
      <c r="R41" t="s">
        <v>82</v>
      </c>
      <c r="S41" s="4">
        <v>917.19743819999997</v>
      </c>
      <c r="T41">
        <v>65.034753960000003</v>
      </c>
      <c r="U41">
        <v>65.034753960000003</v>
      </c>
      <c r="V41">
        <v>59649.709724109998</v>
      </c>
      <c r="W41">
        <v>59649.709724110013</v>
      </c>
      <c r="X41">
        <v>0</v>
      </c>
      <c r="Y41">
        <v>5170.2475498599997</v>
      </c>
      <c r="Z41">
        <v>5170.2475498599997</v>
      </c>
      <c r="AA41">
        <v>0</v>
      </c>
      <c r="AB41">
        <v>0</v>
      </c>
      <c r="AC41" t="s">
        <v>84</v>
      </c>
      <c r="AD41" s="35">
        <v>43191</v>
      </c>
    </row>
    <row r="42" spans="1:30" x14ac:dyDescent="0.3">
      <c r="A42">
        <v>339851</v>
      </c>
      <c r="B42" t="s">
        <v>112</v>
      </c>
      <c r="C42">
        <v>2018</v>
      </c>
      <c r="D42">
        <v>4</v>
      </c>
      <c r="E42" t="s">
        <v>85</v>
      </c>
      <c r="F42" t="s">
        <v>84</v>
      </c>
      <c r="G42" t="s">
        <v>84</v>
      </c>
      <c r="H42" t="s">
        <v>25</v>
      </c>
      <c r="I42" t="s">
        <v>25</v>
      </c>
      <c r="J42" t="s">
        <v>101</v>
      </c>
      <c r="K42" t="s">
        <v>86</v>
      </c>
      <c r="L42" t="s">
        <v>103</v>
      </c>
      <c r="M42">
        <v>2217.9983667299998</v>
      </c>
      <c r="N42">
        <v>0</v>
      </c>
      <c r="O42" t="s">
        <v>79</v>
      </c>
      <c r="P42" s="35">
        <v>44269.88311489582</v>
      </c>
      <c r="Q42">
        <v>3217136</v>
      </c>
      <c r="R42" t="s">
        <v>82</v>
      </c>
      <c r="S42" s="4">
        <v>2254.6166188699999</v>
      </c>
      <c r="T42">
        <v>65.034753960000003</v>
      </c>
      <c r="U42">
        <v>65.034753960000003</v>
      </c>
      <c r="V42">
        <v>146628.43707769</v>
      </c>
      <c r="W42">
        <v>146628.43707769</v>
      </c>
      <c r="X42">
        <v>0</v>
      </c>
      <c r="Y42">
        <v>5170.2475498599997</v>
      </c>
      <c r="Z42">
        <v>5170.2475498599997</v>
      </c>
      <c r="AA42">
        <v>0</v>
      </c>
      <c r="AB42">
        <v>0</v>
      </c>
      <c r="AC42" t="s">
        <v>84</v>
      </c>
      <c r="AD42" s="35">
        <v>43191</v>
      </c>
    </row>
    <row r="43" spans="1:30" x14ac:dyDescent="0.3">
      <c r="A43">
        <v>339874</v>
      </c>
      <c r="B43" t="s">
        <v>112</v>
      </c>
      <c r="C43">
        <v>2018</v>
      </c>
      <c r="D43">
        <v>4</v>
      </c>
      <c r="E43" t="s">
        <v>87</v>
      </c>
      <c r="F43" t="s">
        <v>84</v>
      </c>
      <c r="G43" t="s">
        <v>84</v>
      </c>
      <c r="H43" t="s">
        <v>25</v>
      </c>
      <c r="I43" t="s">
        <v>25</v>
      </c>
      <c r="J43" t="s">
        <v>101</v>
      </c>
      <c r="K43" t="s">
        <v>88</v>
      </c>
      <c r="L43" t="s">
        <v>103</v>
      </c>
      <c r="M43">
        <v>395.73036543000001</v>
      </c>
      <c r="N43">
        <v>0</v>
      </c>
      <c r="O43" t="s">
        <v>79</v>
      </c>
      <c r="P43" s="35">
        <v>44269.883115474528</v>
      </c>
      <c r="Q43">
        <v>3217182</v>
      </c>
      <c r="R43" t="s">
        <v>82</v>
      </c>
      <c r="S43" s="4">
        <v>397.57056835999998</v>
      </c>
      <c r="T43">
        <v>65.034753960000003</v>
      </c>
      <c r="U43">
        <v>65.034753960000003</v>
      </c>
      <c r="V43">
        <v>25855.904094310001</v>
      </c>
      <c r="W43">
        <v>25855.904094310001</v>
      </c>
      <c r="X43">
        <v>0</v>
      </c>
      <c r="Y43">
        <v>5170.2475498599997</v>
      </c>
      <c r="Z43">
        <v>5170.2475498599997</v>
      </c>
      <c r="AA43">
        <v>0</v>
      </c>
      <c r="AB43">
        <v>0</v>
      </c>
      <c r="AC43" t="s">
        <v>84</v>
      </c>
      <c r="AD43" s="35">
        <v>43191</v>
      </c>
    </row>
    <row r="44" spans="1:30" x14ac:dyDescent="0.3">
      <c r="A44">
        <v>51320</v>
      </c>
      <c r="B44" t="s">
        <v>117</v>
      </c>
      <c r="C44">
        <v>2018</v>
      </c>
      <c r="D44">
        <v>2</v>
      </c>
      <c r="E44" t="s">
        <v>85</v>
      </c>
      <c r="F44" t="s">
        <v>84</v>
      </c>
      <c r="G44" t="s">
        <v>84</v>
      </c>
      <c r="H44" t="s">
        <v>25</v>
      </c>
      <c r="I44" t="s">
        <v>25</v>
      </c>
      <c r="J44" t="s">
        <v>101</v>
      </c>
      <c r="K44" t="s">
        <v>86</v>
      </c>
      <c r="L44" t="s">
        <v>103</v>
      </c>
      <c r="M44">
        <v>2992.3278786400001</v>
      </c>
      <c r="N44">
        <v>0</v>
      </c>
      <c r="O44" t="s">
        <v>79</v>
      </c>
      <c r="P44" s="35">
        <v>44269.843124270832</v>
      </c>
      <c r="Q44">
        <v>446370</v>
      </c>
      <c r="R44" t="s">
        <v>74</v>
      </c>
      <c r="S44" s="4">
        <v>44.320619090000001</v>
      </c>
      <c r="T44">
        <v>63.18491057</v>
      </c>
      <c r="U44">
        <v>63.18491057</v>
      </c>
      <c r="V44">
        <v>2800.3943535499998</v>
      </c>
      <c r="W44">
        <v>2800.3943535499998</v>
      </c>
      <c r="X44">
        <v>0</v>
      </c>
      <c r="Y44">
        <v>5189.8618194600003</v>
      </c>
      <c r="Z44">
        <v>5189.8618194600003</v>
      </c>
      <c r="AA44">
        <v>0</v>
      </c>
      <c r="AB44">
        <v>0</v>
      </c>
      <c r="AC44" t="s">
        <v>84</v>
      </c>
      <c r="AD44" s="35">
        <v>43132</v>
      </c>
    </row>
    <row r="45" spans="1:30" x14ac:dyDescent="0.3">
      <c r="A45">
        <v>51342</v>
      </c>
      <c r="B45" t="s">
        <v>117</v>
      </c>
      <c r="C45">
        <v>2018</v>
      </c>
      <c r="D45">
        <v>2</v>
      </c>
      <c r="E45" t="s">
        <v>87</v>
      </c>
      <c r="F45" t="s">
        <v>84</v>
      </c>
      <c r="G45" t="s">
        <v>84</v>
      </c>
      <c r="H45" t="s">
        <v>25</v>
      </c>
      <c r="I45" t="s">
        <v>25</v>
      </c>
      <c r="J45" t="s">
        <v>101</v>
      </c>
      <c r="K45" t="s">
        <v>88</v>
      </c>
      <c r="L45" t="s">
        <v>103</v>
      </c>
      <c r="M45">
        <v>828.89142677999996</v>
      </c>
      <c r="N45">
        <v>0</v>
      </c>
      <c r="O45" t="s">
        <v>79</v>
      </c>
      <c r="P45" s="35">
        <v>44269.843124965279</v>
      </c>
      <c r="Q45">
        <v>446414</v>
      </c>
      <c r="R45" t="s">
        <v>74</v>
      </c>
      <c r="S45" s="4">
        <v>22.150215490000001</v>
      </c>
      <c r="T45">
        <v>63.18491057</v>
      </c>
      <c r="U45">
        <v>63.18491057</v>
      </c>
      <c r="V45">
        <v>1399.55938479</v>
      </c>
      <c r="W45">
        <v>1399.55938479</v>
      </c>
      <c r="X45">
        <v>0</v>
      </c>
      <c r="Y45">
        <v>5189.8618194600003</v>
      </c>
      <c r="Z45">
        <v>5189.8618194600003</v>
      </c>
      <c r="AA45">
        <v>0</v>
      </c>
      <c r="AB45">
        <v>0</v>
      </c>
      <c r="AC45" t="s">
        <v>84</v>
      </c>
      <c r="AD45" s="35">
        <v>43132</v>
      </c>
    </row>
    <row r="46" spans="1:30" x14ac:dyDescent="0.3">
      <c r="A46">
        <v>51364</v>
      </c>
      <c r="B46" t="s">
        <v>117</v>
      </c>
      <c r="C46">
        <v>2018</v>
      </c>
      <c r="D46">
        <v>2</v>
      </c>
      <c r="E46" t="s">
        <v>89</v>
      </c>
      <c r="F46" t="s">
        <v>84</v>
      </c>
      <c r="G46" t="s">
        <v>84</v>
      </c>
      <c r="H46" t="s">
        <v>25</v>
      </c>
      <c r="I46" t="s">
        <v>25</v>
      </c>
      <c r="J46" t="s">
        <v>101</v>
      </c>
      <c r="K46" t="s">
        <v>90</v>
      </c>
      <c r="L46" t="s">
        <v>103</v>
      </c>
      <c r="M46">
        <v>1043.8948492300001</v>
      </c>
      <c r="N46">
        <v>0</v>
      </c>
      <c r="O46" t="s">
        <v>79</v>
      </c>
      <c r="P46" s="35">
        <v>44269.843125613428</v>
      </c>
      <c r="Q46">
        <v>446458</v>
      </c>
      <c r="R46" t="s">
        <v>74</v>
      </c>
      <c r="S46" s="4">
        <v>27.463195800000001</v>
      </c>
      <c r="T46">
        <v>63.18491057</v>
      </c>
      <c r="U46">
        <v>63.18491057</v>
      </c>
      <c r="V46">
        <v>1735.2595705900001</v>
      </c>
      <c r="W46">
        <v>1735.2595705900001</v>
      </c>
      <c r="X46">
        <v>0</v>
      </c>
      <c r="Y46">
        <v>5189.8618194600003</v>
      </c>
      <c r="Z46">
        <v>5189.8618194600003</v>
      </c>
      <c r="AA46">
        <v>0</v>
      </c>
      <c r="AB46">
        <v>0</v>
      </c>
      <c r="AC46" t="s">
        <v>84</v>
      </c>
      <c r="AD46" s="35">
        <v>43132</v>
      </c>
    </row>
    <row r="47" spans="1:30" x14ac:dyDescent="0.3">
      <c r="A47">
        <v>144880</v>
      </c>
      <c r="B47" t="s">
        <v>115</v>
      </c>
      <c r="C47">
        <v>2018</v>
      </c>
      <c r="D47">
        <v>11</v>
      </c>
      <c r="E47" t="s">
        <v>89</v>
      </c>
      <c r="F47" t="s">
        <v>84</v>
      </c>
      <c r="G47" t="s">
        <v>84</v>
      </c>
      <c r="H47" t="s">
        <v>25</v>
      </c>
      <c r="I47" t="s">
        <v>25</v>
      </c>
      <c r="J47" t="s">
        <v>101</v>
      </c>
      <c r="K47" t="s">
        <v>90</v>
      </c>
      <c r="L47" t="s">
        <v>103</v>
      </c>
      <c r="M47">
        <v>1036.3887642100001</v>
      </c>
      <c r="N47">
        <v>0</v>
      </c>
      <c r="O47" t="s">
        <v>80</v>
      </c>
      <c r="P47" s="35">
        <v>44269.854264965281</v>
      </c>
      <c r="Q47">
        <v>1337184</v>
      </c>
      <c r="R47" t="s">
        <v>27</v>
      </c>
      <c r="S47" s="4">
        <v>464.38247552000001</v>
      </c>
      <c r="T47">
        <v>65.348800729999994</v>
      </c>
      <c r="U47">
        <v>65.348800729999994</v>
      </c>
      <c r="V47">
        <v>30346.837853109999</v>
      </c>
      <c r="W47">
        <v>30346.837853109999</v>
      </c>
      <c r="X47">
        <v>0</v>
      </c>
      <c r="Y47">
        <v>5195.2141935899999</v>
      </c>
      <c r="Z47">
        <v>5195.2141935899999</v>
      </c>
      <c r="AA47">
        <v>0</v>
      </c>
      <c r="AB47">
        <v>0</v>
      </c>
      <c r="AC47" t="s">
        <v>84</v>
      </c>
      <c r="AD47" s="35">
        <v>43405</v>
      </c>
    </row>
    <row r="48" spans="1:30" x14ac:dyDescent="0.3">
      <c r="A48">
        <v>119662</v>
      </c>
      <c r="B48" t="s">
        <v>113</v>
      </c>
      <c r="C48">
        <v>2018</v>
      </c>
      <c r="D48">
        <v>9</v>
      </c>
      <c r="E48" t="s">
        <v>89</v>
      </c>
      <c r="F48" t="s">
        <v>84</v>
      </c>
      <c r="G48" t="s">
        <v>84</v>
      </c>
      <c r="H48" t="s">
        <v>25</v>
      </c>
      <c r="I48" t="s">
        <v>25</v>
      </c>
      <c r="J48" t="s">
        <v>101</v>
      </c>
      <c r="K48" t="s">
        <v>90</v>
      </c>
      <c r="L48" t="s">
        <v>103</v>
      </c>
      <c r="M48">
        <v>843.05591856000001</v>
      </c>
      <c r="N48">
        <v>0</v>
      </c>
      <c r="O48" t="s">
        <v>80</v>
      </c>
      <c r="P48" s="35">
        <v>44269.851107986113</v>
      </c>
      <c r="Q48">
        <v>1081852</v>
      </c>
      <c r="R48" t="s">
        <v>27</v>
      </c>
      <c r="S48" s="4">
        <v>377.75261540000002</v>
      </c>
      <c r="T48">
        <v>65.348800729999994</v>
      </c>
      <c r="U48">
        <v>65.348800729999994</v>
      </c>
      <c r="V48">
        <v>24685.680387690001</v>
      </c>
      <c r="W48">
        <v>24685.680387690001</v>
      </c>
      <c r="X48">
        <v>0</v>
      </c>
      <c r="Y48">
        <v>5195.2141935899999</v>
      </c>
      <c r="Z48">
        <v>5195.2141935899999</v>
      </c>
      <c r="AA48">
        <v>0</v>
      </c>
      <c r="AB48">
        <v>0</v>
      </c>
      <c r="AC48" t="s">
        <v>84</v>
      </c>
      <c r="AD48" s="35">
        <v>43344</v>
      </c>
    </row>
    <row r="49" spans="1:30" x14ac:dyDescent="0.3">
      <c r="A49">
        <v>119614</v>
      </c>
      <c r="B49" t="s">
        <v>113</v>
      </c>
      <c r="C49">
        <v>2018</v>
      </c>
      <c r="D49">
        <v>9</v>
      </c>
      <c r="E49" t="s">
        <v>85</v>
      </c>
      <c r="F49" t="s">
        <v>84</v>
      </c>
      <c r="G49" t="s">
        <v>84</v>
      </c>
      <c r="H49" t="s">
        <v>25</v>
      </c>
      <c r="I49" t="s">
        <v>25</v>
      </c>
      <c r="J49" t="s">
        <v>101</v>
      </c>
      <c r="K49" t="s">
        <v>86</v>
      </c>
      <c r="L49" t="s">
        <v>103</v>
      </c>
      <c r="M49">
        <v>1439.52704135</v>
      </c>
      <c r="N49">
        <v>0</v>
      </c>
      <c r="O49" t="s">
        <v>80</v>
      </c>
      <c r="P49" s="35">
        <v>44269.851105011578</v>
      </c>
      <c r="Q49">
        <v>1081612</v>
      </c>
      <c r="R49" t="s">
        <v>27</v>
      </c>
      <c r="S49" s="4">
        <v>639.96089424000002</v>
      </c>
      <c r="T49">
        <v>65.348800729999994</v>
      </c>
      <c r="U49">
        <v>65.348800729999994</v>
      </c>
      <c r="V49">
        <v>41820.676950300003</v>
      </c>
      <c r="W49">
        <v>41820.676950300003</v>
      </c>
      <c r="X49">
        <v>0</v>
      </c>
      <c r="Y49">
        <v>5195.2141935899999</v>
      </c>
      <c r="Z49">
        <v>5195.2141935899999</v>
      </c>
      <c r="AA49">
        <v>0</v>
      </c>
      <c r="AB49">
        <v>0</v>
      </c>
      <c r="AC49" t="s">
        <v>84</v>
      </c>
      <c r="AD49" s="35">
        <v>43344</v>
      </c>
    </row>
    <row r="50" spans="1:30" x14ac:dyDescent="0.3">
      <c r="A50">
        <v>130294</v>
      </c>
      <c r="B50" t="s">
        <v>114</v>
      </c>
      <c r="C50">
        <v>2018</v>
      </c>
      <c r="D50">
        <v>10</v>
      </c>
      <c r="E50" t="s">
        <v>85</v>
      </c>
      <c r="F50" t="s">
        <v>84</v>
      </c>
      <c r="G50" t="s">
        <v>84</v>
      </c>
      <c r="H50" t="s">
        <v>25</v>
      </c>
      <c r="I50" t="s">
        <v>25</v>
      </c>
      <c r="J50" t="s">
        <v>101</v>
      </c>
      <c r="K50" t="s">
        <v>86</v>
      </c>
      <c r="L50" t="s">
        <v>103</v>
      </c>
      <c r="M50">
        <v>1428.8615156599999</v>
      </c>
      <c r="N50">
        <v>0</v>
      </c>
      <c r="O50" t="s">
        <v>80</v>
      </c>
      <c r="P50" s="35">
        <v>44269.8525723727</v>
      </c>
      <c r="Q50">
        <v>1192984</v>
      </c>
      <c r="R50" t="s">
        <v>27</v>
      </c>
      <c r="S50" s="4">
        <v>661.15529293999998</v>
      </c>
      <c r="T50">
        <v>65.348800729999994</v>
      </c>
      <c r="U50">
        <v>65.348800729999994</v>
      </c>
      <c r="V50">
        <v>43205.705487339997</v>
      </c>
      <c r="W50">
        <v>43205.705487339997</v>
      </c>
      <c r="X50">
        <v>0</v>
      </c>
      <c r="Y50">
        <v>5195.2141935899999</v>
      </c>
      <c r="Z50">
        <v>5195.2141935899999</v>
      </c>
      <c r="AA50">
        <v>0</v>
      </c>
      <c r="AB50">
        <v>0</v>
      </c>
      <c r="AC50" t="s">
        <v>84</v>
      </c>
      <c r="AD50" s="35">
        <v>43374</v>
      </c>
    </row>
    <row r="51" spans="1:30" x14ac:dyDescent="0.3">
      <c r="A51">
        <v>443809</v>
      </c>
      <c r="B51" t="s">
        <v>116</v>
      </c>
      <c r="C51">
        <v>2018</v>
      </c>
      <c r="D51">
        <v>12</v>
      </c>
      <c r="E51" t="s">
        <v>87</v>
      </c>
      <c r="F51" t="s">
        <v>84</v>
      </c>
      <c r="G51" t="s">
        <v>84</v>
      </c>
      <c r="H51" t="s">
        <v>25</v>
      </c>
      <c r="I51" t="s">
        <v>25</v>
      </c>
      <c r="J51" t="s">
        <v>101</v>
      </c>
      <c r="K51" t="s">
        <v>88</v>
      </c>
      <c r="L51" t="s">
        <v>103</v>
      </c>
      <c r="M51">
        <v>824.95046656</v>
      </c>
      <c r="N51">
        <v>0</v>
      </c>
      <c r="O51" t="s">
        <v>80</v>
      </c>
      <c r="P51" s="35">
        <v>44284.514580937503</v>
      </c>
      <c r="Q51">
        <v>4215363</v>
      </c>
      <c r="R51" t="s">
        <v>27</v>
      </c>
      <c r="S51" s="4">
        <v>342.02608154000001</v>
      </c>
      <c r="T51">
        <v>65.348800729999994</v>
      </c>
      <c r="U51">
        <v>65.348800729999994</v>
      </c>
      <c r="V51">
        <v>22350.994245409998</v>
      </c>
      <c r="W51">
        <v>22350.994245409998</v>
      </c>
      <c r="X51">
        <v>0</v>
      </c>
      <c r="Y51">
        <v>5195.2141935899999</v>
      </c>
      <c r="Z51">
        <v>5195.2141935899999</v>
      </c>
      <c r="AA51">
        <v>0</v>
      </c>
      <c r="AB51">
        <v>0</v>
      </c>
      <c r="AC51" t="s">
        <v>84</v>
      </c>
      <c r="AD51" s="35">
        <v>43435</v>
      </c>
    </row>
    <row r="52" spans="1:30" x14ac:dyDescent="0.3">
      <c r="A52">
        <v>144832</v>
      </c>
      <c r="B52" t="s">
        <v>115</v>
      </c>
      <c r="C52">
        <v>2018</v>
      </c>
      <c r="D52">
        <v>11</v>
      </c>
      <c r="E52" t="s">
        <v>85</v>
      </c>
      <c r="F52" t="s">
        <v>84</v>
      </c>
      <c r="G52" t="s">
        <v>84</v>
      </c>
      <c r="H52" t="s">
        <v>25</v>
      </c>
      <c r="I52" t="s">
        <v>25</v>
      </c>
      <c r="J52" t="s">
        <v>101</v>
      </c>
      <c r="K52" t="s">
        <v>86</v>
      </c>
      <c r="L52" t="s">
        <v>103</v>
      </c>
      <c r="M52">
        <v>1939.5207746900001</v>
      </c>
      <c r="N52">
        <v>0</v>
      </c>
      <c r="O52" t="s">
        <v>80</v>
      </c>
      <c r="P52" s="35">
        <v>44269.854262534733</v>
      </c>
      <c r="Q52">
        <v>1336944</v>
      </c>
      <c r="R52" t="s">
        <v>27</v>
      </c>
      <c r="S52" s="4">
        <v>897.44486215999996</v>
      </c>
      <c r="T52">
        <v>65.348800729999994</v>
      </c>
      <c r="U52">
        <v>65.348800729999994</v>
      </c>
      <c r="V52">
        <v>58646.945459429997</v>
      </c>
      <c r="W52">
        <v>58646.945459429997</v>
      </c>
      <c r="X52">
        <v>0</v>
      </c>
      <c r="Y52">
        <v>5195.2141935899999</v>
      </c>
      <c r="Z52">
        <v>5195.2141935899999</v>
      </c>
      <c r="AA52">
        <v>0</v>
      </c>
      <c r="AB52">
        <v>0</v>
      </c>
      <c r="AC52" t="s">
        <v>84</v>
      </c>
      <c r="AD52" s="35">
        <v>43405</v>
      </c>
    </row>
    <row r="53" spans="1:30" x14ac:dyDescent="0.3">
      <c r="A53">
        <v>119638</v>
      </c>
      <c r="B53" t="s">
        <v>113</v>
      </c>
      <c r="C53">
        <v>2018</v>
      </c>
      <c r="D53">
        <v>9</v>
      </c>
      <c r="E53" t="s">
        <v>87</v>
      </c>
      <c r="F53" t="s">
        <v>84</v>
      </c>
      <c r="G53" t="s">
        <v>84</v>
      </c>
      <c r="H53" t="s">
        <v>25</v>
      </c>
      <c r="I53" t="s">
        <v>25</v>
      </c>
      <c r="J53" t="s">
        <v>101</v>
      </c>
      <c r="K53" t="s">
        <v>88</v>
      </c>
      <c r="L53" t="s">
        <v>103</v>
      </c>
      <c r="M53">
        <v>316.65874517999998</v>
      </c>
      <c r="N53">
        <v>0</v>
      </c>
      <c r="O53" t="s">
        <v>80</v>
      </c>
      <c r="P53" s="35">
        <v>44269.85110659722</v>
      </c>
      <c r="Q53">
        <v>1081732</v>
      </c>
      <c r="R53" t="s">
        <v>27</v>
      </c>
      <c r="S53" s="4">
        <v>131.28745895</v>
      </c>
      <c r="T53">
        <v>65.348800729999994</v>
      </c>
      <c r="U53">
        <v>65.348800729999994</v>
      </c>
      <c r="V53">
        <v>8579.4779927500003</v>
      </c>
      <c r="W53">
        <v>8579.4779927500003</v>
      </c>
      <c r="X53">
        <v>0</v>
      </c>
      <c r="Y53">
        <v>5195.2141935899999</v>
      </c>
      <c r="Z53">
        <v>5195.2141935899999</v>
      </c>
      <c r="AA53">
        <v>0</v>
      </c>
      <c r="AB53">
        <v>0</v>
      </c>
      <c r="AC53" t="s">
        <v>84</v>
      </c>
      <c r="AD53" s="35">
        <v>43344</v>
      </c>
    </row>
    <row r="54" spans="1:30" x14ac:dyDescent="0.3">
      <c r="A54">
        <v>443833</v>
      </c>
      <c r="B54" t="s">
        <v>116</v>
      </c>
      <c r="C54">
        <v>2018</v>
      </c>
      <c r="D54">
        <v>12</v>
      </c>
      <c r="E54" t="s">
        <v>89</v>
      </c>
      <c r="F54" t="s">
        <v>84</v>
      </c>
      <c r="G54" t="s">
        <v>84</v>
      </c>
      <c r="H54" t="s">
        <v>25</v>
      </c>
      <c r="I54" t="s">
        <v>25</v>
      </c>
      <c r="J54" t="s">
        <v>101</v>
      </c>
      <c r="K54" t="s">
        <v>90</v>
      </c>
      <c r="L54" t="s">
        <v>103</v>
      </c>
      <c r="M54">
        <v>1153.4816149200001</v>
      </c>
      <c r="N54">
        <v>0</v>
      </c>
      <c r="O54" t="s">
        <v>80</v>
      </c>
      <c r="P54" s="35">
        <v>44284.51458221065</v>
      </c>
      <c r="Q54">
        <v>4215483</v>
      </c>
      <c r="R54" t="s">
        <v>27</v>
      </c>
      <c r="S54" s="4">
        <v>516.84914608999998</v>
      </c>
      <c r="T54">
        <v>65.348800729999994</v>
      </c>
      <c r="U54">
        <v>65.348800729999994</v>
      </c>
      <c r="V54">
        <v>33775.471853169998</v>
      </c>
      <c r="W54">
        <v>33775.471853169998</v>
      </c>
      <c r="X54">
        <v>0</v>
      </c>
      <c r="Y54">
        <v>5195.2141935899999</v>
      </c>
      <c r="Z54">
        <v>5195.2141935899999</v>
      </c>
      <c r="AA54">
        <v>0</v>
      </c>
      <c r="AB54">
        <v>0</v>
      </c>
      <c r="AC54" t="s">
        <v>84</v>
      </c>
      <c r="AD54" s="35">
        <v>43435</v>
      </c>
    </row>
    <row r="55" spans="1:30" x14ac:dyDescent="0.3">
      <c r="A55">
        <v>443785</v>
      </c>
      <c r="B55" t="s">
        <v>116</v>
      </c>
      <c r="C55">
        <v>2018</v>
      </c>
      <c r="D55">
        <v>12</v>
      </c>
      <c r="E55" t="s">
        <v>85</v>
      </c>
      <c r="F55" t="s">
        <v>84</v>
      </c>
      <c r="G55" t="s">
        <v>84</v>
      </c>
      <c r="H55" t="s">
        <v>25</v>
      </c>
      <c r="I55" t="s">
        <v>25</v>
      </c>
      <c r="J55" t="s">
        <v>101</v>
      </c>
      <c r="K55" t="s">
        <v>86</v>
      </c>
      <c r="L55" t="s">
        <v>103</v>
      </c>
      <c r="M55">
        <v>3041.3129330199999</v>
      </c>
      <c r="N55">
        <v>0</v>
      </c>
      <c r="O55" t="s">
        <v>80</v>
      </c>
      <c r="P55" s="35">
        <v>44284.514579629627</v>
      </c>
      <c r="Q55">
        <v>4215243</v>
      </c>
      <c r="R55" t="s">
        <v>27</v>
      </c>
      <c r="S55" s="4">
        <v>1407.2603405699999</v>
      </c>
      <c r="T55">
        <v>65.348800729999994</v>
      </c>
      <c r="U55">
        <v>65.348800729999994</v>
      </c>
      <c r="V55">
        <v>91962.775565599994</v>
      </c>
      <c r="W55">
        <v>91962.775565599994</v>
      </c>
      <c r="X55">
        <v>0</v>
      </c>
      <c r="Y55">
        <v>5195.2141935899999</v>
      </c>
      <c r="Z55">
        <v>5195.2141935899999</v>
      </c>
      <c r="AA55">
        <v>0</v>
      </c>
      <c r="AB55">
        <v>0</v>
      </c>
      <c r="AC55" t="s">
        <v>84</v>
      </c>
      <c r="AD55" s="35">
        <v>43435</v>
      </c>
    </row>
    <row r="56" spans="1:30" x14ac:dyDescent="0.3">
      <c r="A56">
        <v>130342</v>
      </c>
      <c r="B56" t="s">
        <v>114</v>
      </c>
      <c r="C56">
        <v>2018</v>
      </c>
      <c r="D56">
        <v>10</v>
      </c>
      <c r="E56" t="s">
        <v>89</v>
      </c>
      <c r="F56" t="s">
        <v>84</v>
      </c>
      <c r="G56" t="s">
        <v>84</v>
      </c>
      <c r="H56" t="s">
        <v>25</v>
      </c>
      <c r="I56" t="s">
        <v>25</v>
      </c>
      <c r="J56" t="s">
        <v>101</v>
      </c>
      <c r="K56" t="s">
        <v>90</v>
      </c>
      <c r="L56" t="s">
        <v>103</v>
      </c>
      <c r="M56">
        <v>879.43208655000001</v>
      </c>
      <c r="N56">
        <v>0</v>
      </c>
      <c r="O56" t="s">
        <v>80</v>
      </c>
      <c r="P56" s="35">
        <v>44269.852574803241</v>
      </c>
      <c r="Q56">
        <v>1193224</v>
      </c>
      <c r="R56" t="s">
        <v>27</v>
      </c>
      <c r="S56" s="4">
        <v>394.05372144</v>
      </c>
      <c r="T56">
        <v>65.348800729999994</v>
      </c>
      <c r="U56">
        <v>65.348800729999994</v>
      </c>
      <c r="V56">
        <v>25750.938117950001</v>
      </c>
      <c r="W56">
        <v>25750.938117950001</v>
      </c>
      <c r="X56">
        <v>0</v>
      </c>
      <c r="Y56">
        <v>5195.2141935899999</v>
      </c>
      <c r="Z56">
        <v>5195.2141935899999</v>
      </c>
      <c r="AA56">
        <v>0</v>
      </c>
      <c r="AB56">
        <v>0</v>
      </c>
      <c r="AC56" t="s">
        <v>84</v>
      </c>
      <c r="AD56" s="35">
        <v>43374</v>
      </c>
    </row>
    <row r="57" spans="1:30" x14ac:dyDescent="0.3">
      <c r="A57">
        <v>130318</v>
      </c>
      <c r="B57" t="s">
        <v>114</v>
      </c>
      <c r="C57">
        <v>2018</v>
      </c>
      <c r="D57">
        <v>10</v>
      </c>
      <c r="E57" t="s">
        <v>87</v>
      </c>
      <c r="F57" t="s">
        <v>84</v>
      </c>
      <c r="G57" t="s">
        <v>84</v>
      </c>
      <c r="H57" t="s">
        <v>25</v>
      </c>
      <c r="I57" t="s">
        <v>25</v>
      </c>
      <c r="J57" t="s">
        <v>101</v>
      </c>
      <c r="K57" t="s">
        <v>88</v>
      </c>
      <c r="L57" t="s">
        <v>103</v>
      </c>
      <c r="M57">
        <v>333.40243543999998</v>
      </c>
      <c r="N57">
        <v>0</v>
      </c>
      <c r="O57" t="s">
        <v>80</v>
      </c>
      <c r="P57" s="35">
        <v>44269.852573611111</v>
      </c>
      <c r="Q57">
        <v>1193104</v>
      </c>
      <c r="R57" t="s">
        <v>27</v>
      </c>
      <c r="S57" s="4">
        <v>138.22930368999999</v>
      </c>
      <c r="T57">
        <v>65.348800729999994</v>
      </c>
      <c r="U57">
        <v>65.348800729999994</v>
      </c>
      <c r="V57">
        <v>9033.1192210900008</v>
      </c>
      <c r="W57">
        <v>9033.1192210900008</v>
      </c>
      <c r="X57">
        <v>0</v>
      </c>
      <c r="Y57">
        <v>5195.2141935899999</v>
      </c>
      <c r="Z57">
        <v>5195.2141935899999</v>
      </c>
      <c r="AA57">
        <v>0</v>
      </c>
      <c r="AB57">
        <v>0</v>
      </c>
      <c r="AC57" t="s">
        <v>84</v>
      </c>
      <c r="AD57" s="35">
        <v>43374</v>
      </c>
    </row>
    <row r="58" spans="1:30" x14ac:dyDescent="0.3">
      <c r="A58">
        <v>144856</v>
      </c>
      <c r="B58" t="s">
        <v>115</v>
      </c>
      <c r="C58">
        <v>2018</v>
      </c>
      <c r="D58">
        <v>11</v>
      </c>
      <c r="E58" t="s">
        <v>87</v>
      </c>
      <c r="F58" t="s">
        <v>84</v>
      </c>
      <c r="G58" t="s">
        <v>84</v>
      </c>
      <c r="H58" t="s">
        <v>25</v>
      </c>
      <c r="I58" t="s">
        <v>25</v>
      </c>
      <c r="J58" t="s">
        <v>101</v>
      </c>
      <c r="K58" t="s">
        <v>88</v>
      </c>
      <c r="L58" t="s">
        <v>103</v>
      </c>
      <c r="M58">
        <v>527.43779992999998</v>
      </c>
      <c r="N58">
        <v>0</v>
      </c>
      <c r="O58" t="s">
        <v>80</v>
      </c>
      <c r="P58" s="35">
        <v>44269.854263738423</v>
      </c>
      <c r="Q58">
        <v>1337064</v>
      </c>
      <c r="R58" t="s">
        <v>27</v>
      </c>
      <c r="S58" s="4">
        <v>218.67674640000001</v>
      </c>
      <c r="T58">
        <v>65.348800729999994</v>
      </c>
      <c r="U58">
        <v>65.348800729999994</v>
      </c>
      <c r="V58">
        <v>14290.26312358</v>
      </c>
      <c r="W58">
        <v>14290.26312358</v>
      </c>
      <c r="X58">
        <v>0</v>
      </c>
      <c r="Y58">
        <v>5195.2141935899999</v>
      </c>
      <c r="Z58">
        <v>5195.2141935899999</v>
      </c>
      <c r="AA58">
        <v>0</v>
      </c>
      <c r="AB58">
        <v>0</v>
      </c>
      <c r="AC58" t="s">
        <v>84</v>
      </c>
      <c r="AD58" s="35">
        <v>43405</v>
      </c>
    </row>
    <row r="59" spans="1:30" x14ac:dyDescent="0.3">
      <c r="A59">
        <v>63558</v>
      </c>
      <c r="B59" t="s">
        <v>118</v>
      </c>
      <c r="C59">
        <v>2018</v>
      </c>
      <c r="D59">
        <v>3</v>
      </c>
      <c r="E59" t="s">
        <v>85</v>
      </c>
      <c r="F59" t="s">
        <v>84</v>
      </c>
      <c r="G59" t="s">
        <v>84</v>
      </c>
      <c r="H59" t="s">
        <v>25</v>
      </c>
      <c r="I59" t="s">
        <v>25</v>
      </c>
      <c r="J59" t="s">
        <v>101</v>
      </c>
      <c r="K59" t="s">
        <v>86</v>
      </c>
      <c r="L59" t="s">
        <v>103</v>
      </c>
      <c r="M59">
        <v>2918.7091952800001</v>
      </c>
      <c r="N59">
        <v>0</v>
      </c>
      <c r="O59" t="s">
        <v>79</v>
      </c>
      <c r="P59" s="35">
        <v>44269.844469872682</v>
      </c>
      <c r="Q59">
        <v>560913</v>
      </c>
      <c r="R59" t="s">
        <v>74</v>
      </c>
      <c r="S59" s="4">
        <v>42.925512990000001</v>
      </c>
      <c r="T59">
        <v>63.88468314</v>
      </c>
      <c r="U59">
        <v>63.88468314</v>
      </c>
      <c r="V59">
        <v>2742.2827956000001</v>
      </c>
      <c r="W59">
        <v>2742.2827956000001</v>
      </c>
      <c r="X59">
        <v>0</v>
      </c>
      <c r="Y59">
        <v>5247.3395130299996</v>
      </c>
      <c r="Z59">
        <v>5247.3395130299996</v>
      </c>
      <c r="AA59">
        <v>0</v>
      </c>
      <c r="AB59">
        <v>0</v>
      </c>
      <c r="AC59" t="s">
        <v>84</v>
      </c>
      <c r="AD59" s="35">
        <v>43160</v>
      </c>
    </row>
    <row r="60" spans="1:30" x14ac:dyDescent="0.3">
      <c r="A60">
        <v>63604</v>
      </c>
      <c r="B60" t="s">
        <v>118</v>
      </c>
      <c r="C60">
        <v>2018</v>
      </c>
      <c r="D60">
        <v>3</v>
      </c>
      <c r="E60" t="s">
        <v>89</v>
      </c>
      <c r="F60" t="s">
        <v>84</v>
      </c>
      <c r="G60" t="s">
        <v>84</v>
      </c>
      <c r="H60" t="s">
        <v>25</v>
      </c>
      <c r="I60" t="s">
        <v>25</v>
      </c>
      <c r="J60" t="s">
        <v>101</v>
      </c>
      <c r="K60" t="s">
        <v>90</v>
      </c>
      <c r="L60" t="s">
        <v>103</v>
      </c>
      <c r="M60">
        <v>1101.95310419</v>
      </c>
      <c r="N60">
        <v>0</v>
      </c>
      <c r="O60" t="s">
        <v>79</v>
      </c>
      <c r="P60" s="35">
        <v>44269.844471643519</v>
      </c>
      <c r="Q60">
        <v>561005</v>
      </c>
      <c r="R60" t="s">
        <v>74</v>
      </c>
      <c r="S60" s="4">
        <v>28.786274299999999</v>
      </c>
      <c r="T60">
        <v>63.88468314</v>
      </c>
      <c r="U60">
        <v>63.88468314</v>
      </c>
      <c r="V60">
        <v>1839.0020123500001</v>
      </c>
      <c r="W60">
        <v>1839.0020123500001</v>
      </c>
      <c r="X60">
        <v>0</v>
      </c>
      <c r="Y60">
        <v>5247.3395130299996</v>
      </c>
      <c r="Z60">
        <v>5247.3395130299996</v>
      </c>
      <c r="AA60">
        <v>0</v>
      </c>
      <c r="AB60">
        <v>0</v>
      </c>
      <c r="AC60" t="s">
        <v>84</v>
      </c>
      <c r="AD60" s="35">
        <v>43160</v>
      </c>
    </row>
    <row r="61" spans="1:30" x14ac:dyDescent="0.3">
      <c r="A61">
        <v>63581</v>
      </c>
      <c r="B61" t="s">
        <v>118</v>
      </c>
      <c r="C61">
        <v>2018</v>
      </c>
      <c r="D61">
        <v>3</v>
      </c>
      <c r="E61" t="s">
        <v>87</v>
      </c>
      <c r="F61" t="s">
        <v>84</v>
      </c>
      <c r="G61" t="s">
        <v>84</v>
      </c>
      <c r="H61" t="s">
        <v>25</v>
      </c>
      <c r="I61" t="s">
        <v>25</v>
      </c>
      <c r="J61" t="s">
        <v>101</v>
      </c>
      <c r="K61" t="s">
        <v>88</v>
      </c>
      <c r="L61" t="s">
        <v>103</v>
      </c>
      <c r="M61">
        <v>681.39686511000002</v>
      </c>
      <c r="N61">
        <v>0</v>
      </c>
      <c r="O61" t="s">
        <v>79</v>
      </c>
      <c r="P61" s="35">
        <v>44269.844470682867</v>
      </c>
      <c r="Q61">
        <v>560959</v>
      </c>
      <c r="R61" t="s">
        <v>74</v>
      </c>
      <c r="S61" s="4">
        <v>18.080418030000001</v>
      </c>
      <c r="T61">
        <v>63.88468314</v>
      </c>
      <c r="U61">
        <v>63.88468314</v>
      </c>
      <c r="V61">
        <v>1155.0617765300001</v>
      </c>
      <c r="W61">
        <v>1155.0617765300001</v>
      </c>
      <c r="X61">
        <v>0</v>
      </c>
      <c r="Y61">
        <v>5247.3395130299996</v>
      </c>
      <c r="Z61">
        <v>5247.3395130299996</v>
      </c>
      <c r="AA61">
        <v>0</v>
      </c>
      <c r="AB61">
        <v>0</v>
      </c>
      <c r="AC61" t="s">
        <v>84</v>
      </c>
      <c r="AD61" s="35">
        <v>43160</v>
      </c>
    </row>
    <row r="62" spans="1:30" x14ac:dyDescent="0.3">
      <c r="A62">
        <v>38545</v>
      </c>
      <c r="B62" t="s">
        <v>119</v>
      </c>
      <c r="C62">
        <v>2018</v>
      </c>
      <c r="D62">
        <v>1</v>
      </c>
      <c r="E62" t="s">
        <v>85</v>
      </c>
      <c r="F62" t="s">
        <v>84</v>
      </c>
      <c r="G62" t="s">
        <v>84</v>
      </c>
      <c r="H62" t="s">
        <v>25</v>
      </c>
      <c r="I62" t="s">
        <v>25</v>
      </c>
      <c r="J62" t="s">
        <v>101</v>
      </c>
      <c r="K62" t="s">
        <v>86</v>
      </c>
      <c r="L62" t="s">
        <v>103</v>
      </c>
      <c r="M62">
        <v>2934.8747129799999</v>
      </c>
      <c r="N62">
        <v>0</v>
      </c>
      <c r="O62" t="s">
        <v>79</v>
      </c>
      <c r="P62" s="35">
        <v>44269.841712766203</v>
      </c>
      <c r="Q62">
        <v>327738</v>
      </c>
      <c r="R62" t="s">
        <v>74</v>
      </c>
      <c r="S62" s="4">
        <v>43.280991440000001</v>
      </c>
      <c r="T62">
        <v>64.104883880000003</v>
      </c>
      <c r="U62">
        <v>64.104883880000003</v>
      </c>
      <c r="V62">
        <v>2774.5229306699998</v>
      </c>
      <c r="W62">
        <v>2774.5229306699998</v>
      </c>
      <c r="X62">
        <v>0</v>
      </c>
      <c r="Y62">
        <v>5265.4262910300004</v>
      </c>
      <c r="Z62">
        <v>5265.4262910300004</v>
      </c>
      <c r="AA62">
        <v>0</v>
      </c>
      <c r="AB62">
        <v>0</v>
      </c>
      <c r="AC62" t="s">
        <v>84</v>
      </c>
      <c r="AD62" s="35">
        <v>43101</v>
      </c>
    </row>
    <row r="63" spans="1:30" x14ac:dyDescent="0.3">
      <c r="A63">
        <v>38568</v>
      </c>
      <c r="B63" t="s">
        <v>119</v>
      </c>
      <c r="C63">
        <v>2018</v>
      </c>
      <c r="D63">
        <v>1</v>
      </c>
      <c r="E63" t="s">
        <v>87</v>
      </c>
      <c r="F63" t="s">
        <v>84</v>
      </c>
      <c r="G63" t="s">
        <v>84</v>
      </c>
      <c r="H63" t="s">
        <v>25</v>
      </c>
      <c r="I63" t="s">
        <v>25</v>
      </c>
      <c r="J63" t="s">
        <v>101</v>
      </c>
      <c r="K63" t="s">
        <v>88</v>
      </c>
      <c r="L63" t="s">
        <v>103</v>
      </c>
      <c r="M63">
        <v>892.08334261000005</v>
      </c>
      <c r="N63">
        <v>0</v>
      </c>
      <c r="O63" t="s">
        <v>79</v>
      </c>
      <c r="P63" s="35">
        <v>44269.841713576388</v>
      </c>
      <c r="Q63">
        <v>327784</v>
      </c>
      <c r="R63" t="s">
        <v>74</v>
      </c>
      <c r="S63" s="4">
        <v>23.73540972</v>
      </c>
      <c r="T63">
        <v>64.104883880000003</v>
      </c>
      <c r="U63">
        <v>64.104883880000003</v>
      </c>
      <c r="V63">
        <v>1521.55568391</v>
      </c>
      <c r="W63">
        <v>1521.55568391</v>
      </c>
      <c r="X63">
        <v>0</v>
      </c>
      <c r="Y63">
        <v>5265.4262910300004</v>
      </c>
      <c r="Z63">
        <v>5265.4262910300004</v>
      </c>
      <c r="AA63">
        <v>0</v>
      </c>
      <c r="AB63">
        <v>0</v>
      </c>
      <c r="AC63" t="s">
        <v>84</v>
      </c>
      <c r="AD63" s="35">
        <v>43101</v>
      </c>
    </row>
    <row r="64" spans="1:30" x14ac:dyDescent="0.3">
      <c r="A64">
        <v>38591</v>
      </c>
      <c r="B64" t="s">
        <v>119</v>
      </c>
      <c r="C64">
        <v>2018</v>
      </c>
      <c r="D64">
        <v>1</v>
      </c>
      <c r="E64" t="s">
        <v>89</v>
      </c>
      <c r="F64" t="s">
        <v>84</v>
      </c>
      <c r="G64" t="s">
        <v>84</v>
      </c>
      <c r="H64" t="s">
        <v>25</v>
      </c>
      <c r="I64" t="s">
        <v>25</v>
      </c>
      <c r="J64" t="s">
        <v>101</v>
      </c>
      <c r="K64" t="s">
        <v>90</v>
      </c>
      <c r="L64" t="s">
        <v>103</v>
      </c>
      <c r="M64">
        <v>1063.1400695499999</v>
      </c>
      <c r="N64">
        <v>0</v>
      </c>
      <c r="O64" t="s">
        <v>79</v>
      </c>
      <c r="P64" s="35">
        <v>44269.841714548609</v>
      </c>
      <c r="Q64">
        <v>327830</v>
      </c>
      <c r="R64" t="s">
        <v>74</v>
      </c>
      <c r="S64" s="4">
        <v>27.84811478</v>
      </c>
      <c r="T64">
        <v>64.104883880000003</v>
      </c>
      <c r="U64">
        <v>64.104883880000003</v>
      </c>
      <c r="V64">
        <v>1785.2001646399999</v>
      </c>
      <c r="W64">
        <v>1785.2001646399999</v>
      </c>
      <c r="X64">
        <v>0</v>
      </c>
      <c r="Y64">
        <v>5265.4262910300004</v>
      </c>
      <c r="Z64">
        <v>5265.4262910300004</v>
      </c>
      <c r="AA64">
        <v>0</v>
      </c>
      <c r="AB64">
        <v>0</v>
      </c>
      <c r="AC64" t="s">
        <v>84</v>
      </c>
      <c r="AD64" s="35">
        <v>43101</v>
      </c>
    </row>
    <row r="65" spans="1:30" x14ac:dyDescent="0.3">
      <c r="A65">
        <v>352684</v>
      </c>
      <c r="B65" t="s">
        <v>120</v>
      </c>
      <c r="C65">
        <v>2018</v>
      </c>
      <c r="D65">
        <v>5</v>
      </c>
      <c r="E65" t="s">
        <v>85</v>
      </c>
      <c r="F65" t="s">
        <v>84</v>
      </c>
      <c r="G65" t="s">
        <v>84</v>
      </c>
      <c r="H65" t="s">
        <v>25</v>
      </c>
      <c r="I65" t="s">
        <v>25</v>
      </c>
      <c r="J65" t="s">
        <v>101</v>
      </c>
      <c r="K65" t="s">
        <v>86</v>
      </c>
      <c r="L65" t="s">
        <v>103</v>
      </c>
      <c r="M65">
        <v>2108.0789959600002</v>
      </c>
      <c r="N65">
        <v>0</v>
      </c>
      <c r="O65" t="s">
        <v>79</v>
      </c>
      <c r="P65" s="35">
        <v>44269.884373807872</v>
      </c>
      <c r="Q65">
        <v>3336167</v>
      </c>
      <c r="R65" t="s">
        <v>74</v>
      </c>
      <c r="S65" s="4">
        <v>31.092819609999999</v>
      </c>
      <c r="T65">
        <v>65.646583879999994</v>
      </c>
      <c r="U65">
        <v>65.646583879999994</v>
      </c>
      <c r="V65">
        <v>2041.13739042</v>
      </c>
      <c r="W65">
        <v>2041.13739042</v>
      </c>
      <c r="X65">
        <v>0</v>
      </c>
      <c r="Y65">
        <v>5289.6512662200003</v>
      </c>
      <c r="Z65">
        <v>5289.6512662200003</v>
      </c>
      <c r="AA65">
        <v>0</v>
      </c>
      <c r="AB65">
        <v>0</v>
      </c>
      <c r="AC65" t="s">
        <v>84</v>
      </c>
      <c r="AD65" s="35">
        <v>43221</v>
      </c>
    </row>
    <row r="66" spans="1:30" x14ac:dyDescent="0.3">
      <c r="A66">
        <v>352730</v>
      </c>
      <c r="B66" t="s">
        <v>120</v>
      </c>
      <c r="C66">
        <v>2018</v>
      </c>
      <c r="D66">
        <v>5</v>
      </c>
      <c r="E66" t="s">
        <v>89</v>
      </c>
      <c r="F66" t="s">
        <v>84</v>
      </c>
      <c r="G66" t="s">
        <v>84</v>
      </c>
      <c r="H66" t="s">
        <v>25</v>
      </c>
      <c r="I66" t="s">
        <v>25</v>
      </c>
      <c r="J66" t="s">
        <v>101</v>
      </c>
      <c r="K66" t="s">
        <v>90</v>
      </c>
      <c r="L66" t="s">
        <v>103</v>
      </c>
      <c r="M66">
        <v>932.17317322999997</v>
      </c>
      <c r="N66">
        <v>0</v>
      </c>
      <c r="O66" t="s">
        <v>79</v>
      </c>
      <c r="P66" s="35">
        <v>44269.884375000001</v>
      </c>
      <c r="Q66">
        <v>3336259</v>
      </c>
      <c r="R66" t="s">
        <v>74</v>
      </c>
      <c r="S66" s="4">
        <v>24.421228410000001</v>
      </c>
      <c r="T66">
        <v>65.646583879999994</v>
      </c>
      <c r="U66">
        <v>65.646583879999994</v>
      </c>
      <c r="V66">
        <v>1603.1702191500001</v>
      </c>
      <c r="W66">
        <v>1603.1702191500001</v>
      </c>
      <c r="X66">
        <v>0</v>
      </c>
      <c r="Y66">
        <v>5289.6512662200003</v>
      </c>
      <c r="Z66">
        <v>5289.6512662200003</v>
      </c>
      <c r="AA66">
        <v>0</v>
      </c>
      <c r="AB66">
        <v>0</v>
      </c>
      <c r="AC66" t="s">
        <v>84</v>
      </c>
      <c r="AD66" s="35">
        <v>43221</v>
      </c>
    </row>
    <row r="67" spans="1:30" x14ac:dyDescent="0.3">
      <c r="A67">
        <v>352707</v>
      </c>
      <c r="B67" t="s">
        <v>120</v>
      </c>
      <c r="C67">
        <v>2018</v>
      </c>
      <c r="D67">
        <v>5</v>
      </c>
      <c r="E67" t="s">
        <v>87</v>
      </c>
      <c r="F67" t="s">
        <v>84</v>
      </c>
      <c r="G67" t="s">
        <v>84</v>
      </c>
      <c r="H67" t="s">
        <v>25</v>
      </c>
      <c r="I67" t="s">
        <v>25</v>
      </c>
      <c r="J67" t="s">
        <v>101</v>
      </c>
      <c r="K67" t="s">
        <v>88</v>
      </c>
      <c r="L67" t="s">
        <v>103</v>
      </c>
      <c r="M67">
        <v>393.55599067000003</v>
      </c>
      <c r="N67">
        <v>0</v>
      </c>
      <c r="O67" t="s">
        <v>79</v>
      </c>
      <c r="P67" s="35">
        <v>44269.884374386573</v>
      </c>
      <c r="Q67">
        <v>3336213</v>
      </c>
      <c r="R67" t="s">
        <v>74</v>
      </c>
      <c r="S67" s="4">
        <v>10.47281476</v>
      </c>
      <c r="T67">
        <v>65.646583879999994</v>
      </c>
      <c r="U67">
        <v>65.646583879999994</v>
      </c>
      <c r="V67">
        <v>687.50451289</v>
      </c>
      <c r="W67">
        <v>687.50451289</v>
      </c>
      <c r="X67">
        <v>0</v>
      </c>
      <c r="Y67">
        <v>5289.6512662200003</v>
      </c>
      <c r="Z67">
        <v>5289.6512662200003</v>
      </c>
      <c r="AA67">
        <v>0</v>
      </c>
      <c r="AB67">
        <v>0</v>
      </c>
      <c r="AC67" t="s">
        <v>84</v>
      </c>
      <c r="AD67" s="35">
        <v>43221</v>
      </c>
    </row>
    <row r="68" spans="1:30" x14ac:dyDescent="0.3">
      <c r="A68">
        <v>23</v>
      </c>
      <c r="B68" t="s">
        <v>121</v>
      </c>
      <c r="C68">
        <v>2017</v>
      </c>
      <c r="D68">
        <v>9</v>
      </c>
      <c r="E68" t="s">
        <v>87</v>
      </c>
      <c r="F68" t="s">
        <v>84</v>
      </c>
      <c r="G68" t="s">
        <v>84</v>
      </c>
      <c r="H68" t="s">
        <v>25</v>
      </c>
      <c r="I68" t="s">
        <v>25</v>
      </c>
      <c r="J68" t="s">
        <v>101</v>
      </c>
      <c r="K68" t="s">
        <v>88</v>
      </c>
      <c r="L68" t="s">
        <v>103</v>
      </c>
      <c r="M68">
        <v>317.51694221999998</v>
      </c>
      <c r="N68">
        <v>0</v>
      </c>
      <c r="O68" t="s">
        <v>79</v>
      </c>
      <c r="P68" s="35">
        <v>44269.837767013887</v>
      </c>
      <c r="Q68">
        <v>46</v>
      </c>
      <c r="R68" t="s">
        <v>74</v>
      </c>
      <c r="S68" s="4">
        <v>8.5152728700000004</v>
      </c>
      <c r="T68">
        <v>67.202638160000006</v>
      </c>
      <c r="U68">
        <v>67.202638160000006</v>
      </c>
      <c r="V68">
        <v>572.24880134</v>
      </c>
      <c r="W68">
        <v>572.24880134</v>
      </c>
      <c r="X68">
        <v>0</v>
      </c>
      <c r="Y68">
        <v>5313.2038837600003</v>
      </c>
      <c r="Z68">
        <v>5313.2038837600003</v>
      </c>
      <c r="AA68">
        <v>0</v>
      </c>
      <c r="AB68">
        <v>0</v>
      </c>
      <c r="AC68" t="s">
        <v>84</v>
      </c>
      <c r="AD68" s="35">
        <v>42979</v>
      </c>
    </row>
    <row r="69" spans="1:30" x14ac:dyDescent="0.3">
      <c r="A69">
        <v>2</v>
      </c>
      <c r="B69" t="s">
        <v>121</v>
      </c>
      <c r="C69">
        <v>2017</v>
      </c>
      <c r="D69">
        <v>9</v>
      </c>
      <c r="E69" t="s">
        <v>85</v>
      </c>
      <c r="F69" t="s">
        <v>84</v>
      </c>
      <c r="G69" t="s">
        <v>84</v>
      </c>
      <c r="H69" t="s">
        <v>25</v>
      </c>
      <c r="I69" t="s">
        <v>25</v>
      </c>
      <c r="J69" t="s">
        <v>101</v>
      </c>
      <c r="K69" t="s">
        <v>86</v>
      </c>
      <c r="L69" t="s">
        <v>103</v>
      </c>
      <c r="M69">
        <v>1525.35760676</v>
      </c>
      <c r="N69">
        <v>0</v>
      </c>
      <c r="O69" t="s">
        <v>79</v>
      </c>
      <c r="P69" s="35">
        <v>44269.837765891207</v>
      </c>
      <c r="Q69">
        <v>4</v>
      </c>
      <c r="R69" t="s">
        <v>74</v>
      </c>
      <c r="S69" s="4">
        <v>22.673557639999999</v>
      </c>
      <c r="T69">
        <v>67.202638160000006</v>
      </c>
      <c r="U69">
        <v>67.202638160000006</v>
      </c>
      <c r="V69">
        <v>1523.7228901000001</v>
      </c>
      <c r="W69">
        <v>1523.7228901000001</v>
      </c>
      <c r="X69">
        <v>0</v>
      </c>
      <c r="Y69">
        <v>5313.2038837600003</v>
      </c>
      <c r="Z69">
        <v>5313.2038837600003</v>
      </c>
      <c r="AA69">
        <v>0</v>
      </c>
      <c r="AB69">
        <v>0</v>
      </c>
      <c r="AC69" t="s">
        <v>84</v>
      </c>
      <c r="AD69" s="35">
        <v>42979</v>
      </c>
    </row>
    <row r="70" spans="1:30" x14ac:dyDescent="0.3">
      <c r="A70">
        <v>44</v>
      </c>
      <c r="B70" t="s">
        <v>121</v>
      </c>
      <c r="C70">
        <v>2017</v>
      </c>
      <c r="D70">
        <v>9</v>
      </c>
      <c r="E70" t="s">
        <v>89</v>
      </c>
      <c r="F70" t="s">
        <v>84</v>
      </c>
      <c r="G70" t="s">
        <v>84</v>
      </c>
      <c r="H70" t="s">
        <v>25</v>
      </c>
      <c r="I70" t="s">
        <v>25</v>
      </c>
      <c r="J70" t="s">
        <v>101</v>
      </c>
      <c r="K70" t="s">
        <v>90</v>
      </c>
      <c r="L70" t="s">
        <v>103</v>
      </c>
      <c r="M70">
        <v>1160.3236436</v>
      </c>
      <c r="N70">
        <v>0</v>
      </c>
      <c r="O70" t="s">
        <v>79</v>
      </c>
      <c r="P70" s="35">
        <v>44269.837768090278</v>
      </c>
      <c r="Q70">
        <v>88</v>
      </c>
      <c r="R70" t="s">
        <v>74</v>
      </c>
      <c r="S70" s="4">
        <v>30.63548909</v>
      </c>
      <c r="T70">
        <v>67.202638160000006</v>
      </c>
      <c r="U70">
        <v>67.202638160000006</v>
      </c>
      <c r="V70">
        <v>2058.7856884100001</v>
      </c>
      <c r="W70">
        <v>2058.7856884100001</v>
      </c>
      <c r="X70">
        <v>0</v>
      </c>
      <c r="Y70">
        <v>5313.2038837600003</v>
      </c>
      <c r="Z70">
        <v>5313.2038837600003</v>
      </c>
      <c r="AA70">
        <v>0</v>
      </c>
      <c r="AB70">
        <v>0</v>
      </c>
      <c r="AC70" t="s">
        <v>84</v>
      </c>
      <c r="AD70" s="35">
        <v>42979</v>
      </c>
    </row>
    <row r="71" spans="1:30" x14ac:dyDescent="0.3">
      <c r="A71">
        <v>655461</v>
      </c>
      <c r="B71" t="s">
        <v>122</v>
      </c>
      <c r="C71">
        <v>2017</v>
      </c>
      <c r="D71">
        <v>1</v>
      </c>
      <c r="E71" t="s">
        <v>59</v>
      </c>
      <c r="F71" t="s">
        <v>84</v>
      </c>
      <c r="G71" t="s">
        <v>84</v>
      </c>
      <c r="H71" t="s">
        <v>25</v>
      </c>
      <c r="I71" t="s">
        <v>25</v>
      </c>
      <c r="J71" t="s">
        <v>123</v>
      </c>
      <c r="K71" t="s">
        <v>106</v>
      </c>
      <c r="L71" t="s">
        <v>103</v>
      </c>
      <c r="M71">
        <v>1996.11345764</v>
      </c>
      <c r="N71">
        <v>0</v>
      </c>
      <c r="O71" t="s">
        <v>79</v>
      </c>
      <c r="P71" s="35">
        <v>44334.054137187501</v>
      </c>
      <c r="Q71">
        <v>5805247</v>
      </c>
      <c r="R71" t="s">
        <v>74</v>
      </c>
      <c r="S71" s="4">
        <v>52.702461419999999</v>
      </c>
      <c r="T71">
        <v>68.422444960000007</v>
      </c>
      <c r="U71">
        <v>68.422444960000007</v>
      </c>
      <c r="V71">
        <v>3606.0312654899999</v>
      </c>
      <c r="W71">
        <v>3606.0312654899999</v>
      </c>
      <c r="X71">
        <v>0</v>
      </c>
      <c r="Y71">
        <v>5313.2467573399999</v>
      </c>
      <c r="Z71">
        <v>5313.2467573399999</v>
      </c>
      <c r="AA71">
        <v>0</v>
      </c>
      <c r="AB71">
        <v>0</v>
      </c>
      <c r="AC71" t="s">
        <v>84</v>
      </c>
      <c r="AD71" s="35">
        <v>42736</v>
      </c>
    </row>
    <row r="72" spans="1:30" x14ac:dyDescent="0.3">
      <c r="A72">
        <v>655417</v>
      </c>
      <c r="B72" t="s">
        <v>122</v>
      </c>
      <c r="C72">
        <v>2017</v>
      </c>
      <c r="D72">
        <v>1</v>
      </c>
      <c r="E72" t="s">
        <v>85</v>
      </c>
      <c r="F72" t="s">
        <v>84</v>
      </c>
      <c r="G72" t="s">
        <v>84</v>
      </c>
      <c r="H72" t="s">
        <v>25</v>
      </c>
      <c r="I72" t="s">
        <v>25</v>
      </c>
      <c r="J72" t="s">
        <v>123</v>
      </c>
      <c r="K72" t="s">
        <v>102</v>
      </c>
      <c r="L72" t="s">
        <v>103</v>
      </c>
      <c r="M72">
        <v>4925.9076084899998</v>
      </c>
      <c r="N72">
        <v>0</v>
      </c>
      <c r="O72" t="s">
        <v>79</v>
      </c>
      <c r="P72" s="35">
        <v>44334.054136030092</v>
      </c>
      <c r="Q72">
        <v>5805159</v>
      </c>
      <c r="R72" t="s">
        <v>74</v>
      </c>
      <c r="S72" s="4">
        <v>73.220764500000001</v>
      </c>
      <c r="T72">
        <v>68.422444960000007</v>
      </c>
      <c r="U72">
        <v>68.422444960000007</v>
      </c>
      <c r="V72">
        <v>5009.9437287399996</v>
      </c>
      <c r="W72">
        <v>5009.9437287399996</v>
      </c>
      <c r="X72">
        <v>0</v>
      </c>
      <c r="Y72">
        <v>5313.2467573399999</v>
      </c>
      <c r="Z72">
        <v>5313.2467573399999</v>
      </c>
      <c r="AA72">
        <v>0</v>
      </c>
      <c r="AB72">
        <v>0</v>
      </c>
      <c r="AC72" t="s">
        <v>84</v>
      </c>
      <c r="AD72" s="35">
        <v>42736</v>
      </c>
    </row>
    <row r="73" spans="1:30" x14ac:dyDescent="0.3">
      <c r="A73">
        <v>655439</v>
      </c>
      <c r="B73" t="s">
        <v>122</v>
      </c>
      <c r="C73">
        <v>2017</v>
      </c>
      <c r="D73">
        <v>1</v>
      </c>
      <c r="E73" t="s">
        <v>87</v>
      </c>
      <c r="F73" t="s">
        <v>84</v>
      </c>
      <c r="G73" t="s">
        <v>84</v>
      </c>
      <c r="H73" t="s">
        <v>25</v>
      </c>
      <c r="I73" t="s">
        <v>25</v>
      </c>
      <c r="J73" t="s">
        <v>123</v>
      </c>
      <c r="K73" t="s">
        <v>104</v>
      </c>
      <c r="L73" t="s">
        <v>103</v>
      </c>
      <c r="M73">
        <v>1242.4683375</v>
      </c>
      <c r="N73">
        <v>0</v>
      </c>
      <c r="O73" t="s">
        <v>79</v>
      </c>
      <c r="P73" s="35">
        <v>44334.054136608793</v>
      </c>
      <c r="Q73">
        <v>5805203</v>
      </c>
      <c r="R73" t="s">
        <v>74</v>
      </c>
      <c r="S73" s="4">
        <v>33.320920919999999</v>
      </c>
      <c r="T73">
        <v>68.422444960000007</v>
      </c>
      <c r="U73">
        <v>68.422444960000007</v>
      </c>
      <c r="V73">
        <v>2279.89887757</v>
      </c>
      <c r="W73">
        <v>2279.89887757</v>
      </c>
      <c r="X73">
        <v>0</v>
      </c>
      <c r="Y73">
        <v>5313.2467573399999</v>
      </c>
      <c r="Z73">
        <v>5313.2467573399999</v>
      </c>
      <c r="AA73">
        <v>0</v>
      </c>
      <c r="AB73">
        <v>0</v>
      </c>
      <c r="AC73" t="s">
        <v>84</v>
      </c>
      <c r="AD73" s="35">
        <v>42736</v>
      </c>
    </row>
    <row r="74" spans="1:30" x14ac:dyDescent="0.3">
      <c r="A74">
        <v>520721</v>
      </c>
      <c r="B74" t="s">
        <v>124</v>
      </c>
      <c r="C74">
        <v>2017</v>
      </c>
      <c r="D74">
        <v>2</v>
      </c>
      <c r="E74" t="s">
        <v>87</v>
      </c>
      <c r="F74" t="s">
        <v>84</v>
      </c>
      <c r="G74" t="s">
        <v>84</v>
      </c>
      <c r="H74" t="s">
        <v>25</v>
      </c>
      <c r="I74" t="s">
        <v>25</v>
      </c>
      <c r="J74" t="s">
        <v>101</v>
      </c>
      <c r="K74" t="s">
        <v>88</v>
      </c>
      <c r="L74" t="s">
        <v>103</v>
      </c>
      <c r="M74">
        <v>1561.42030755</v>
      </c>
      <c r="N74">
        <v>0</v>
      </c>
      <c r="O74" t="s">
        <v>79</v>
      </c>
      <c r="P74" s="35">
        <v>44330.100813923607</v>
      </c>
      <c r="Q74">
        <v>4802848</v>
      </c>
      <c r="R74" t="s">
        <v>74</v>
      </c>
      <c r="S74" s="4">
        <v>41.874678830000001</v>
      </c>
      <c r="T74">
        <v>68.422444960000007</v>
      </c>
      <c r="U74">
        <v>68.422444960000007</v>
      </c>
      <c r="V74">
        <v>2865.1679074399999</v>
      </c>
      <c r="W74">
        <v>2865.1679074399999</v>
      </c>
      <c r="X74">
        <v>0</v>
      </c>
      <c r="Y74">
        <v>5313.2467573399999</v>
      </c>
      <c r="Z74">
        <v>5313.2467573399999</v>
      </c>
      <c r="AA74">
        <v>0</v>
      </c>
      <c r="AB74">
        <v>0</v>
      </c>
      <c r="AC74" t="s">
        <v>84</v>
      </c>
      <c r="AD74" s="35">
        <v>42767</v>
      </c>
    </row>
    <row r="75" spans="1:30" x14ac:dyDescent="0.3">
      <c r="A75">
        <v>530744</v>
      </c>
      <c r="B75" t="s">
        <v>125</v>
      </c>
      <c r="C75">
        <v>2017</v>
      </c>
      <c r="D75">
        <v>3</v>
      </c>
      <c r="E75" t="s">
        <v>87</v>
      </c>
      <c r="F75" t="s">
        <v>84</v>
      </c>
      <c r="G75" t="s">
        <v>84</v>
      </c>
      <c r="H75" t="s">
        <v>25</v>
      </c>
      <c r="I75" t="s">
        <v>25</v>
      </c>
      <c r="J75" t="s">
        <v>101</v>
      </c>
      <c r="K75" t="s">
        <v>88</v>
      </c>
      <c r="L75" t="s">
        <v>103</v>
      </c>
      <c r="M75">
        <v>1611.96951592</v>
      </c>
      <c r="N75">
        <v>0</v>
      </c>
      <c r="O75" t="s">
        <v>79</v>
      </c>
      <c r="P75" s="35">
        <v>44330.101799884258</v>
      </c>
      <c r="Q75">
        <v>4888357</v>
      </c>
      <c r="R75" t="s">
        <v>74</v>
      </c>
      <c r="S75" s="4">
        <v>43.230323980000001</v>
      </c>
      <c r="T75">
        <v>68.422444960000007</v>
      </c>
      <c r="U75">
        <v>68.422444960000007</v>
      </c>
      <c r="V75">
        <v>2957.9244630399999</v>
      </c>
      <c r="W75">
        <v>2957.9244630399999</v>
      </c>
      <c r="X75">
        <v>0</v>
      </c>
      <c r="Y75">
        <v>5313.2467573399999</v>
      </c>
      <c r="Z75">
        <v>5313.2467573399999</v>
      </c>
      <c r="AA75">
        <v>0</v>
      </c>
      <c r="AB75">
        <v>0</v>
      </c>
      <c r="AC75" t="s">
        <v>84</v>
      </c>
      <c r="AD75" s="35">
        <v>42795</v>
      </c>
    </row>
    <row r="76" spans="1:30" x14ac:dyDescent="0.3">
      <c r="A76">
        <v>520699</v>
      </c>
      <c r="B76" t="s">
        <v>124</v>
      </c>
      <c r="C76">
        <v>2017</v>
      </c>
      <c r="D76">
        <v>2</v>
      </c>
      <c r="E76" t="s">
        <v>85</v>
      </c>
      <c r="F76" t="s">
        <v>84</v>
      </c>
      <c r="G76" t="s">
        <v>84</v>
      </c>
      <c r="H76" t="s">
        <v>25</v>
      </c>
      <c r="I76" t="s">
        <v>25</v>
      </c>
      <c r="J76" t="s">
        <v>101</v>
      </c>
      <c r="K76" t="s">
        <v>86</v>
      </c>
      <c r="L76" t="s">
        <v>103</v>
      </c>
      <c r="M76">
        <v>5836.6764009500002</v>
      </c>
      <c r="N76">
        <v>0</v>
      </c>
      <c r="O76" t="s">
        <v>79</v>
      </c>
      <c r="P76" s="35">
        <v>44330.100813229168</v>
      </c>
      <c r="Q76">
        <v>4802804</v>
      </c>
      <c r="R76" t="s">
        <v>74</v>
      </c>
      <c r="S76" s="4">
        <v>86.758815260000006</v>
      </c>
      <c r="T76">
        <v>68.422444960000007</v>
      </c>
      <c r="U76">
        <v>68.422444960000007</v>
      </c>
      <c r="V76">
        <v>5936.2502620400001</v>
      </c>
      <c r="W76">
        <v>5936.2502620400001</v>
      </c>
      <c r="X76">
        <v>0</v>
      </c>
      <c r="Y76">
        <v>5313.2467573399999</v>
      </c>
      <c r="Z76">
        <v>5313.2467573399999</v>
      </c>
      <c r="AA76">
        <v>0</v>
      </c>
      <c r="AB76">
        <v>0</v>
      </c>
      <c r="AC76" t="s">
        <v>84</v>
      </c>
      <c r="AD76" s="35">
        <v>42767</v>
      </c>
    </row>
    <row r="77" spans="1:30" x14ac:dyDescent="0.3">
      <c r="A77">
        <v>520743</v>
      </c>
      <c r="B77" t="s">
        <v>124</v>
      </c>
      <c r="C77">
        <v>2017</v>
      </c>
      <c r="D77">
        <v>2</v>
      </c>
      <c r="E77" t="s">
        <v>89</v>
      </c>
      <c r="F77" t="s">
        <v>84</v>
      </c>
      <c r="G77" t="s">
        <v>84</v>
      </c>
      <c r="H77" t="s">
        <v>25</v>
      </c>
      <c r="I77" t="s">
        <v>25</v>
      </c>
      <c r="J77" t="s">
        <v>101</v>
      </c>
      <c r="K77" t="s">
        <v>90</v>
      </c>
      <c r="L77" t="s">
        <v>103</v>
      </c>
      <c r="M77">
        <v>1936.6982957099999</v>
      </c>
      <c r="N77">
        <v>0</v>
      </c>
      <c r="O77" t="s">
        <v>79</v>
      </c>
      <c r="P77" s="35">
        <v>44330.100814583333</v>
      </c>
      <c r="Q77">
        <v>4802892</v>
      </c>
      <c r="R77" t="s">
        <v>74</v>
      </c>
      <c r="S77" s="4">
        <v>51.13375035</v>
      </c>
      <c r="T77">
        <v>68.422444960000007</v>
      </c>
      <c r="U77">
        <v>68.422444960000007</v>
      </c>
      <c r="V77">
        <v>3498.69621861</v>
      </c>
      <c r="W77">
        <v>3498.69621861</v>
      </c>
      <c r="X77">
        <v>0</v>
      </c>
      <c r="Y77">
        <v>5313.2467573399999</v>
      </c>
      <c r="Z77">
        <v>5313.2467573399999</v>
      </c>
      <c r="AA77">
        <v>0</v>
      </c>
      <c r="AB77">
        <v>0</v>
      </c>
      <c r="AC77" t="s">
        <v>84</v>
      </c>
      <c r="AD77" s="35">
        <v>42767</v>
      </c>
    </row>
    <row r="78" spans="1:30" x14ac:dyDescent="0.3">
      <c r="A78">
        <v>530722</v>
      </c>
      <c r="B78" t="s">
        <v>125</v>
      </c>
      <c r="C78">
        <v>2017</v>
      </c>
      <c r="D78">
        <v>3</v>
      </c>
      <c r="E78" t="s">
        <v>85</v>
      </c>
      <c r="F78" t="s">
        <v>84</v>
      </c>
      <c r="G78" t="s">
        <v>84</v>
      </c>
      <c r="H78" t="s">
        <v>25</v>
      </c>
      <c r="I78" t="s">
        <v>25</v>
      </c>
      <c r="J78" t="s">
        <v>101</v>
      </c>
      <c r="K78" t="s">
        <v>86</v>
      </c>
      <c r="L78" t="s">
        <v>103</v>
      </c>
      <c r="M78">
        <v>6064.1041034099999</v>
      </c>
      <c r="N78">
        <v>0</v>
      </c>
      <c r="O78" t="s">
        <v>79</v>
      </c>
      <c r="P78" s="35">
        <v>44330.101799189812</v>
      </c>
      <c r="Q78">
        <v>4888313</v>
      </c>
      <c r="R78" t="s">
        <v>74</v>
      </c>
      <c r="S78" s="4">
        <v>90.139396379999994</v>
      </c>
      <c r="T78">
        <v>68.422444960000007</v>
      </c>
      <c r="U78">
        <v>68.422444960000007</v>
      </c>
      <c r="V78">
        <v>6167.5578874000003</v>
      </c>
      <c r="W78">
        <v>6167.5578874000003</v>
      </c>
      <c r="X78">
        <v>0</v>
      </c>
      <c r="Y78">
        <v>5313.2467573399999</v>
      </c>
      <c r="Z78">
        <v>5313.2467573399999</v>
      </c>
      <c r="AA78">
        <v>0</v>
      </c>
      <c r="AB78">
        <v>0</v>
      </c>
      <c r="AC78" t="s">
        <v>84</v>
      </c>
      <c r="AD78" s="35">
        <v>42795</v>
      </c>
    </row>
    <row r="79" spans="1:30" x14ac:dyDescent="0.3">
      <c r="A79">
        <v>530766</v>
      </c>
      <c r="B79" t="s">
        <v>125</v>
      </c>
      <c r="C79">
        <v>2017</v>
      </c>
      <c r="D79">
        <v>3</v>
      </c>
      <c r="E79" t="s">
        <v>89</v>
      </c>
      <c r="F79" t="s">
        <v>84</v>
      </c>
      <c r="G79" t="s">
        <v>84</v>
      </c>
      <c r="H79" t="s">
        <v>25</v>
      </c>
      <c r="I79" t="s">
        <v>25</v>
      </c>
      <c r="J79" t="s">
        <v>101</v>
      </c>
      <c r="K79" t="s">
        <v>90</v>
      </c>
      <c r="L79" t="s">
        <v>103</v>
      </c>
      <c r="M79">
        <v>1971.01751208</v>
      </c>
      <c r="N79">
        <v>0</v>
      </c>
      <c r="O79" t="s">
        <v>79</v>
      </c>
      <c r="P79" s="35">
        <v>44330.101800497687</v>
      </c>
      <c r="Q79">
        <v>4888401</v>
      </c>
      <c r="R79" t="s">
        <v>74</v>
      </c>
      <c r="S79" s="4">
        <v>52.03986476</v>
      </c>
      <c r="T79">
        <v>68.422444960000007</v>
      </c>
      <c r="U79">
        <v>68.422444960000007</v>
      </c>
      <c r="V79">
        <v>3560.6947822400002</v>
      </c>
      <c r="W79">
        <v>3560.6947822400002</v>
      </c>
      <c r="X79">
        <v>0</v>
      </c>
      <c r="Y79">
        <v>5313.2467573399999</v>
      </c>
      <c r="Z79">
        <v>5313.2467573399999</v>
      </c>
      <c r="AA79">
        <v>0</v>
      </c>
      <c r="AB79">
        <v>0</v>
      </c>
      <c r="AC79" t="s">
        <v>84</v>
      </c>
      <c r="AD79" s="35">
        <v>42795</v>
      </c>
    </row>
    <row r="80" spans="1:30" x14ac:dyDescent="0.3">
      <c r="A80">
        <v>51320</v>
      </c>
      <c r="B80" t="s">
        <v>117</v>
      </c>
      <c r="C80">
        <v>2018</v>
      </c>
      <c r="D80">
        <v>2</v>
      </c>
      <c r="E80" t="s">
        <v>85</v>
      </c>
      <c r="F80" t="s">
        <v>84</v>
      </c>
      <c r="G80" t="s">
        <v>84</v>
      </c>
      <c r="H80" t="s">
        <v>25</v>
      </c>
      <c r="I80" t="s">
        <v>25</v>
      </c>
      <c r="J80" t="s">
        <v>101</v>
      </c>
      <c r="K80" t="s">
        <v>86</v>
      </c>
      <c r="L80" t="s">
        <v>103</v>
      </c>
      <c r="M80">
        <v>2992.3278786400001</v>
      </c>
      <c r="N80">
        <v>0</v>
      </c>
      <c r="O80" t="s">
        <v>79</v>
      </c>
      <c r="P80" s="35">
        <v>44269.843124270832</v>
      </c>
      <c r="Q80">
        <v>446369</v>
      </c>
      <c r="R80" t="s">
        <v>82</v>
      </c>
      <c r="S80" s="4">
        <v>3055.02337317</v>
      </c>
      <c r="T80">
        <v>65.140487980000003</v>
      </c>
      <c r="U80">
        <v>65.140487980000003</v>
      </c>
      <c r="V80">
        <v>199005.71332089</v>
      </c>
      <c r="W80">
        <v>199005.71332089</v>
      </c>
      <c r="X80">
        <v>0</v>
      </c>
      <c r="Y80">
        <v>5346.7824202000002</v>
      </c>
      <c r="Z80">
        <v>5346.7824202000002</v>
      </c>
      <c r="AA80">
        <v>0</v>
      </c>
      <c r="AB80">
        <v>0</v>
      </c>
      <c r="AC80" t="s">
        <v>84</v>
      </c>
      <c r="AD80" s="35">
        <v>43132</v>
      </c>
    </row>
    <row r="81" spans="1:30" x14ac:dyDescent="0.3">
      <c r="A81">
        <v>51364</v>
      </c>
      <c r="B81" t="s">
        <v>117</v>
      </c>
      <c r="C81">
        <v>2018</v>
      </c>
      <c r="D81">
        <v>2</v>
      </c>
      <c r="E81" t="s">
        <v>89</v>
      </c>
      <c r="F81" t="s">
        <v>84</v>
      </c>
      <c r="G81" t="s">
        <v>84</v>
      </c>
      <c r="H81" t="s">
        <v>25</v>
      </c>
      <c r="I81" t="s">
        <v>25</v>
      </c>
      <c r="J81" t="s">
        <v>101</v>
      </c>
      <c r="K81" t="s">
        <v>90</v>
      </c>
      <c r="L81" t="s">
        <v>103</v>
      </c>
      <c r="M81">
        <v>1043.8948492300001</v>
      </c>
      <c r="N81">
        <v>0</v>
      </c>
      <c r="O81" t="s">
        <v>79</v>
      </c>
      <c r="P81" s="35">
        <v>44269.843125613428</v>
      </c>
      <c r="Q81">
        <v>446457</v>
      </c>
      <c r="R81" t="s">
        <v>82</v>
      </c>
      <c r="S81" s="4">
        <v>1053.7649853099999</v>
      </c>
      <c r="T81">
        <v>65.140487980000003</v>
      </c>
      <c r="U81">
        <v>65.140487980000003</v>
      </c>
      <c r="V81">
        <v>68642.765360000005</v>
      </c>
      <c r="W81">
        <v>68642.765360000005</v>
      </c>
      <c r="X81">
        <v>0</v>
      </c>
      <c r="Y81">
        <v>5346.7824202000002</v>
      </c>
      <c r="Z81">
        <v>5346.7824202000002</v>
      </c>
      <c r="AA81">
        <v>0</v>
      </c>
      <c r="AB81">
        <v>0</v>
      </c>
      <c r="AC81" t="s">
        <v>84</v>
      </c>
      <c r="AD81" s="35">
        <v>43132</v>
      </c>
    </row>
    <row r="82" spans="1:30" x14ac:dyDescent="0.3">
      <c r="A82">
        <v>51342</v>
      </c>
      <c r="B82" t="s">
        <v>117</v>
      </c>
      <c r="C82">
        <v>2018</v>
      </c>
      <c r="D82">
        <v>2</v>
      </c>
      <c r="E82" t="s">
        <v>87</v>
      </c>
      <c r="F82" t="s">
        <v>84</v>
      </c>
      <c r="G82" t="s">
        <v>84</v>
      </c>
      <c r="H82" t="s">
        <v>25</v>
      </c>
      <c r="I82" t="s">
        <v>25</v>
      </c>
      <c r="J82" t="s">
        <v>101</v>
      </c>
      <c r="K82" t="s">
        <v>88</v>
      </c>
      <c r="L82" t="s">
        <v>103</v>
      </c>
      <c r="M82">
        <v>828.89142677999996</v>
      </c>
      <c r="N82">
        <v>0</v>
      </c>
      <c r="O82" t="s">
        <v>79</v>
      </c>
      <c r="P82" s="35">
        <v>44269.843124965279</v>
      </c>
      <c r="Q82">
        <v>446413</v>
      </c>
      <c r="R82" t="s">
        <v>82</v>
      </c>
      <c r="S82" s="4">
        <v>836.38526859000001</v>
      </c>
      <c r="T82">
        <v>65.140487980000003</v>
      </c>
      <c r="U82">
        <v>65.140487980000003</v>
      </c>
      <c r="V82">
        <v>54482.544536120004</v>
      </c>
      <c r="W82">
        <v>54482.544536120004</v>
      </c>
      <c r="X82">
        <v>0</v>
      </c>
      <c r="Y82">
        <v>5346.7824202000002</v>
      </c>
      <c r="Z82">
        <v>5346.7824202000002</v>
      </c>
      <c r="AA82">
        <v>0</v>
      </c>
      <c r="AB82">
        <v>0</v>
      </c>
      <c r="AC82" t="s">
        <v>84</v>
      </c>
      <c r="AD82" s="35">
        <v>43132</v>
      </c>
    </row>
    <row r="83" spans="1:30" x14ac:dyDescent="0.3">
      <c r="A83">
        <v>86397</v>
      </c>
      <c r="B83" t="s">
        <v>126</v>
      </c>
      <c r="C83">
        <v>2018</v>
      </c>
      <c r="D83">
        <v>6</v>
      </c>
      <c r="E83" t="s">
        <v>89</v>
      </c>
      <c r="F83" t="s">
        <v>84</v>
      </c>
      <c r="G83" t="s">
        <v>84</v>
      </c>
      <c r="H83" t="s">
        <v>25</v>
      </c>
      <c r="I83" t="s">
        <v>25</v>
      </c>
      <c r="J83" t="s">
        <v>101</v>
      </c>
      <c r="K83" t="s">
        <v>90</v>
      </c>
      <c r="L83" t="s">
        <v>103</v>
      </c>
      <c r="M83">
        <v>915.94283647999998</v>
      </c>
      <c r="N83">
        <v>0</v>
      </c>
      <c r="O83" t="s">
        <v>79</v>
      </c>
      <c r="P83" s="35">
        <v>44269.847218599527</v>
      </c>
      <c r="Q83">
        <v>783298</v>
      </c>
      <c r="R83" t="s">
        <v>74</v>
      </c>
      <c r="S83" s="4">
        <v>23.827126889999999</v>
      </c>
      <c r="T83">
        <v>66.698195769999998</v>
      </c>
      <c r="U83">
        <v>66.698195769999998</v>
      </c>
      <c r="V83">
        <v>1589.2263740799999</v>
      </c>
      <c r="W83">
        <v>1589.2263740799999</v>
      </c>
      <c r="X83">
        <v>0</v>
      </c>
      <c r="Y83">
        <v>5374.3877419800001</v>
      </c>
      <c r="Z83">
        <v>5374.3877419800001</v>
      </c>
      <c r="AA83">
        <v>0</v>
      </c>
      <c r="AB83">
        <v>0</v>
      </c>
      <c r="AC83" t="s">
        <v>84</v>
      </c>
      <c r="AD83" s="35">
        <v>43252</v>
      </c>
    </row>
    <row r="84" spans="1:30" x14ac:dyDescent="0.3">
      <c r="A84">
        <v>86373</v>
      </c>
      <c r="B84" t="s">
        <v>126</v>
      </c>
      <c r="C84">
        <v>2018</v>
      </c>
      <c r="D84">
        <v>6</v>
      </c>
      <c r="E84" t="s">
        <v>87</v>
      </c>
      <c r="F84" t="s">
        <v>84</v>
      </c>
      <c r="G84" t="s">
        <v>84</v>
      </c>
      <c r="H84" t="s">
        <v>25</v>
      </c>
      <c r="I84" t="s">
        <v>25</v>
      </c>
      <c r="J84" t="s">
        <v>101</v>
      </c>
      <c r="K84" t="s">
        <v>88</v>
      </c>
      <c r="L84" t="s">
        <v>103</v>
      </c>
      <c r="M84">
        <v>349.81857975999998</v>
      </c>
      <c r="N84">
        <v>0</v>
      </c>
      <c r="O84" t="s">
        <v>79</v>
      </c>
      <c r="P84" s="35">
        <v>44269.847217708331</v>
      </c>
      <c r="Q84">
        <v>783250</v>
      </c>
      <c r="R84" t="s">
        <v>74</v>
      </c>
      <c r="S84" s="4">
        <v>9.2434089799999999</v>
      </c>
      <c r="T84">
        <v>66.698195769999998</v>
      </c>
      <c r="U84">
        <v>66.698195769999998</v>
      </c>
      <c r="V84">
        <v>616.51870140000005</v>
      </c>
      <c r="W84">
        <v>616.51870140000005</v>
      </c>
      <c r="X84">
        <v>0</v>
      </c>
      <c r="Y84">
        <v>5374.3877419800001</v>
      </c>
      <c r="Z84">
        <v>5374.3877419800001</v>
      </c>
      <c r="AA84">
        <v>0</v>
      </c>
      <c r="AB84">
        <v>0</v>
      </c>
      <c r="AC84" t="s">
        <v>84</v>
      </c>
      <c r="AD84" s="35">
        <v>43252</v>
      </c>
    </row>
    <row r="85" spans="1:30" x14ac:dyDescent="0.3">
      <c r="A85">
        <v>86349</v>
      </c>
      <c r="B85" t="s">
        <v>126</v>
      </c>
      <c r="C85">
        <v>2018</v>
      </c>
      <c r="D85">
        <v>6</v>
      </c>
      <c r="E85" t="s">
        <v>85</v>
      </c>
      <c r="F85" t="s">
        <v>84</v>
      </c>
      <c r="G85" t="s">
        <v>84</v>
      </c>
      <c r="H85" t="s">
        <v>25</v>
      </c>
      <c r="I85" t="s">
        <v>25</v>
      </c>
      <c r="J85" t="s">
        <v>101</v>
      </c>
      <c r="K85" t="s">
        <v>86</v>
      </c>
      <c r="L85" t="s">
        <v>103</v>
      </c>
      <c r="M85">
        <v>1943.0653741900001</v>
      </c>
      <c r="N85">
        <v>0</v>
      </c>
      <c r="O85" t="s">
        <v>79</v>
      </c>
      <c r="P85" s="35">
        <v>44269.847216898153</v>
      </c>
      <c r="Q85">
        <v>783202</v>
      </c>
      <c r="R85" t="s">
        <v>74</v>
      </c>
      <c r="S85" s="4">
        <v>28.457257309999999</v>
      </c>
      <c r="T85">
        <v>66.698195769999998</v>
      </c>
      <c r="U85">
        <v>66.698195769999998</v>
      </c>
      <c r="V85">
        <v>1898.04771893</v>
      </c>
      <c r="W85">
        <v>1898.04771893</v>
      </c>
      <c r="X85">
        <v>0</v>
      </c>
      <c r="Y85">
        <v>5374.3877419800001</v>
      </c>
      <c r="Z85">
        <v>5374.3877419800001</v>
      </c>
      <c r="AA85">
        <v>0</v>
      </c>
      <c r="AB85">
        <v>0</v>
      </c>
      <c r="AC85" t="s">
        <v>84</v>
      </c>
      <c r="AD85" s="35">
        <v>43252</v>
      </c>
    </row>
    <row r="86" spans="1:30" x14ac:dyDescent="0.3">
      <c r="A86">
        <v>352730</v>
      </c>
      <c r="B86" t="s">
        <v>120</v>
      </c>
      <c r="C86">
        <v>2018</v>
      </c>
      <c r="D86">
        <v>5</v>
      </c>
      <c r="E86" t="s">
        <v>89</v>
      </c>
      <c r="F86" t="s">
        <v>84</v>
      </c>
      <c r="G86" t="s">
        <v>84</v>
      </c>
      <c r="H86" t="s">
        <v>25</v>
      </c>
      <c r="I86" t="s">
        <v>25</v>
      </c>
      <c r="J86" t="s">
        <v>101</v>
      </c>
      <c r="K86" t="s">
        <v>90</v>
      </c>
      <c r="L86" t="s">
        <v>103</v>
      </c>
      <c r="M86">
        <v>932.17317322999997</v>
      </c>
      <c r="N86">
        <v>0</v>
      </c>
      <c r="O86" t="s">
        <v>79</v>
      </c>
      <c r="P86" s="35">
        <v>44269.884375000001</v>
      </c>
      <c r="Q86">
        <v>3336258</v>
      </c>
      <c r="R86" t="s">
        <v>82</v>
      </c>
      <c r="S86" s="4">
        <v>937.04445700999997</v>
      </c>
      <c r="T86">
        <v>67.803780119999999</v>
      </c>
      <c r="U86">
        <v>67.803780119999999</v>
      </c>
      <c r="V86">
        <v>63535.156321160001</v>
      </c>
      <c r="W86">
        <v>63535.156321160001</v>
      </c>
      <c r="X86">
        <v>0</v>
      </c>
      <c r="Y86">
        <v>5390.3844740900004</v>
      </c>
      <c r="Z86">
        <v>5390.3844740900004</v>
      </c>
      <c r="AA86">
        <v>0</v>
      </c>
      <c r="AB86">
        <v>0</v>
      </c>
      <c r="AC86" t="s">
        <v>84</v>
      </c>
      <c r="AD86" s="35">
        <v>43221</v>
      </c>
    </row>
    <row r="87" spans="1:30" x14ac:dyDescent="0.3">
      <c r="A87">
        <v>352707</v>
      </c>
      <c r="B87" t="s">
        <v>120</v>
      </c>
      <c r="C87">
        <v>2018</v>
      </c>
      <c r="D87">
        <v>5</v>
      </c>
      <c r="E87" t="s">
        <v>87</v>
      </c>
      <c r="F87" t="s">
        <v>84</v>
      </c>
      <c r="G87" t="s">
        <v>84</v>
      </c>
      <c r="H87" t="s">
        <v>25</v>
      </c>
      <c r="I87" t="s">
        <v>25</v>
      </c>
      <c r="J87" t="s">
        <v>101</v>
      </c>
      <c r="K87" t="s">
        <v>88</v>
      </c>
      <c r="L87" t="s">
        <v>103</v>
      </c>
      <c r="M87">
        <v>393.55599067000003</v>
      </c>
      <c r="N87">
        <v>0</v>
      </c>
      <c r="O87" t="s">
        <v>79</v>
      </c>
      <c r="P87" s="35">
        <v>44269.884374386573</v>
      </c>
      <c r="Q87">
        <v>3336212</v>
      </c>
      <c r="R87" t="s">
        <v>82</v>
      </c>
      <c r="S87" s="4">
        <v>395.45023814000001</v>
      </c>
      <c r="T87">
        <v>67.803780119999999</v>
      </c>
      <c r="U87">
        <v>67.803780119999999</v>
      </c>
      <c r="V87">
        <v>26813.02099343</v>
      </c>
      <c r="W87">
        <v>26813.02099343</v>
      </c>
      <c r="X87">
        <v>0</v>
      </c>
      <c r="Y87">
        <v>5390.3844740900004</v>
      </c>
      <c r="Z87">
        <v>5390.3844740900004</v>
      </c>
      <c r="AA87">
        <v>0</v>
      </c>
      <c r="AB87">
        <v>0</v>
      </c>
      <c r="AC87" t="s">
        <v>84</v>
      </c>
      <c r="AD87" s="35">
        <v>43221</v>
      </c>
    </row>
    <row r="88" spans="1:30" x14ac:dyDescent="0.3">
      <c r="A88">
        <v>352684</v>
      </c>
      <c r="B88" t="s">
        <v>120</v>
      </c>
      <c r="C88">
        <v>2018</v>
      </c>
      <c r="D88">
        <v>5</v>
      </c>
      <c r="E88" t="s">
        <v>85</v>
      </c>
      <c r="F88" t="s">
        <v>84</v>
      </c>
      <c r="G88" t="s">
        <v>84</v>
      </c>
      <c r="H88" t="s">
        <v>25</v>
      </c>
      <c r="I88" t="s">
        <v>25</v>
      </c>
      <c r="J88" t="s">
        <v>101</v>
      </c>
      <c r="K88" t="s">
        <v>86</v>
      </c>
      <c r="L88" t="s">
        <v>103</v>
      </c>
      <c r="M88">
        <v>2108.0789959600002</v>
      </c>
      <c r="N88">
        <v>0</v>
      </c>
      <c r="O88" t="s">
        <v>79</v>
      </c>
      <c r="P88" s="35">
        <v>44269.884373807872</v>
      </c>
      <c r="Q88">
        <v>3336166</v>
      </c>
      <c r="R88" t="s">
        <v>82</v>
      </c>
      <c r="S88" s="4">
        <v>2143.2302299799999</v>
      </c>
      <c r="T88">
        <v>67.803780119999999</v>
      </c>
      <c r="U88">
        <v>67.803780119999999</v>
      </c>
      <c r="V88">
        <v>145319.11124996</v>
      </c>
      <c r="W88">
        <v>145319.11124996</v>
      </c>
      <c r="X88">
        <v>0</v>
      </c>
      <c r="Y88">
        <v>5390.3844740900004</v>
      </c>
      <c r="Z88">
        <v>5390.3844740900004</v>
      </c>
      <c r="AA88">
        <v>0</v>
      </c>
      <c r="AB88">
        <v>0</v>
      </c>
      <c r="AC88" t="s">
        <v>84</v>
      </c>
      <c r="AD88" s="35">
        <v>43221</v>
      </c>
    </row>
    <row r="89" spans="1:30" x14ac:dyDescent="0.3">
      <c r="A89">
        <v>144856</v>
      </c>
      <c r="B89" t="s">
        <v>115</v>
      </c>
      <c r="C89">
        <v>2018</v>
      </c>
      <c r="D89">
        <v>11</v>
      </c>
      <c r="E89" t="s">
        <v>87</v>
      </c>
      <c r="F89" t="s">
        <v>84</v>
      </c>
      <c r="G89" t="s">
        <v>84</v>
      </c>
      <c r="H89" t="s">
        <v>25</v>
      </c>
      <c r="I89" t="s">
        <v>25</v>
      </c>
      <c r="J89" t="s">
        <v>101</v>
      </c>
      <c r="K89" t="s">
        <v>88</v>
      </c>
      <c r="L89" t="s">
        <v>103</v>
      </c>
      <c r="M89">
        <v>527.43779992999998</v>
      </c>
      <c r="N89">
        <v>0</v>
      </c>
      <c r="O89" t="s">
        <v>80</v>
      </c>
      <c r="P89" s="35">
        <v>44269.854263738423</v>
      </c>
      <c r="Q89">
        <v>1337062</v>
      </c>
      <c r="R89" t="s">
        <v>26</v>
      </c>
      <c r="S89" s="4">
        <v>211.65431179999999</v>
      </c>
      <c r="T89">
        <v>66.899426660000003</v>
      </c>
      <c r="U89">
        <v>66.899426660000003</v>
      </c>
      <c r="V89">
        <v>14159.552110279999</v>
      </c>
      <c r="W89">
        <v>14159.552110279999</v>
      </c>
      <c r="X89">
        <v>0</v>
      </c>
      <c r="Y89">
        <v>5399.4294652999997</v>
      </c>
      <c r="Z89">
        <v>5399.4294652999997</v>
      </c>
      <c r="AA89">
        <v>0</v>
      </c>
      <c r="AB89">
        <v>0</v>
      </c>
      <c r="AC89" t="s">
        <v>84</v>
      </c>
      <c r="AD89" s="35">
        <v>43405</v>
      </c>
    </row>
    <row r="90" spans="1:30" x14ac:dyDescent="0.3">
      <c r="A90">
        <v>144832</v>
      </c>
      <c r="B90" t="s">
        <v>115</v>
      </c>
      <c r="C90">
        <v>2018</v>
      </c>
      <c r="D90">
        <v>11</v>
      </c>
      <c r="E90" t="s">
        <v>85</v>
      </c>
      <c r="F90" t="s">
        <v>84</v>
      </c>
      <c r="G90" t="s">
        <v>84</v>
      </c>
      <c r="H90" t="s">
        <v>25</v>
      </c>
      <c r="I90" t="s">
        <v>25</v>
      </c>
      <c r="J90" t="s">
        <v>101</v>
      </c>
      <c r="K90" t="s">
        <v>86</v>
      </c>
      <c r="L90" t="s">
        <v>103</v>
      </c>
      <c r="M90">
        <v>1939.5207746900001</v>
      </c>
      <c r="N90">
        <v>0</v>
      </c>
      <c r="O90" t="s">
        <v>80</v>
      </c>
      <c r="P90" s="35">
        <v>44269.854262534733</v>
      </c>
      <c r="Q90">
        <v>1336942</v>
      </c>
      <c r="R90" t="s">
        <v>26</v>
      </c>
      <c r="S90" s="4">
        <v>669.86920716999998</v>
      </c>
      <c r="T90">
        <v>66.899426660000003</v>
      </c>
      <c r="U90">
        <v>66.899426660000003</v>
      </c>
      <c r="V90">
        <v>44813.865899179997</v>
      </c>
      <c r="W90">
        <v>44813.865899179997</v>
      </c>
      <c r="X90">
        <v>0</v>
      </c>
      <c r="Y90">
        <v>5399.4294652999997</v>
      </c>
      <c r="Z90">
        <v>5399.4294652999997</v>
      </c>
      <c r="AA90">
        <v>0</v>
      </c>
      <c r="AB90">
        <v>0</v>
      </c>
      <c r="AC90" t="s">
        <v>84</v>
      </c>
      <c r="AD90" s="35">
        <v>43405</v>
      </c>
    </row>
    <row r="91" spans="1:30" x14ac:dyDescent="0.3">
      <c r="A91">
        <v>119662</v>
      </c>
      <c r="B91" t="s">
        <v>113</v>
      </c>
      <c r="C91">
        <v>2018</v>
      </c>
      <c r="D91">
        <v>9</v>
      </c>
      <c r="E91" t="s">
        <v>89</v>
      </c>
      <c r="F91" t="s">
        <v>84</v>
      </c>
      <c r="G91" t="s">
        <v>84</v>
      </c>
      <c r="H91" t="s">
        <v>25</v>
      </c>
      <c r="I91" t="s">
        <v>25</v>
      </c>
      <c r="J91" t="s">
        <v>101</v>
      </c>
      <c r="K91" t="s">
        <v>90</v>
      </c>
      <c r="L91" t="s">
        <v>103</v>
      </c>
      <c r="M91">
        <v>843.05591856000001</v>
      </c>
      <c r="N91">
        <v>0</v>
      </c>
      <c r="O91" t="s">
        <v>80</v>
      </c>
      <c r="P91" s="35">
        <v>44269.851107986113</v>
      </c>
      <c r="Q91">
        <v>1081850</v>
      </c>
      <c r="R91" t="s">
        <v>26</v>
      </c>
      <c r="S91" s="4">
        <v>307.76787617000002</v>
      </c>
      <c r="T91">
        <v>66.899426660000003</v>
      </c>
      <c r="U91">
        <v>66.899426660000003</v>
      </c>
      <c r="V91">
        <v>20589.494461530001</v>
      </c>
      <c r="W91">
        <v>20589.494461530001</v>
      </c>
      <c r="X91">
        <v>0</v>
      </c>
      <c r="Y91">
        <v>5399.4294652999997</v>
      </c>
      <c r="Z91">
        <v>5399.4294652999997</v>
      </c>
      <c r="AA91">
        <v>0</v>
      </c>
      <c r="AB91">
        <v>0</v>
      </c>
      <c r="AC91" t="s">
        <v>84</v>
      </c>
      <c r="AD91" s="35">
        <v>43344</v>
      </c>
    </row>
    <row r="92" spans="1:30" x14ac:dyDescent="0.3">
      <c r="A92">
        <v>119614</v>
      </c>
      <c r="B92" t="s">
        <v>113</v>
      </c>
      <c r="C92">
        <v>2018</v>
      </c>
      <c r="D92">
        <v>9</v>
      </c>
      <c r="E92" t="s">
        <v>85</v>
      </c>
      <c r="F92" t="s">
        <v>84</v>
      </c>
      <c r="G92" t="s">
        <v>84</v>
      </c>
      <c r="H92" t="s">
        <v>25</v>
      </c>
      <c r="I92" t="s">
        <v>25</v>
      </c>
      <c r="J92" t="s">
        <v>101</v>
      </c>
      <c r="K92" t="s">
        <v>86</v>
      </c>
      <c r="L92" t="s">
        <v>103</v>
      </c>
      <c r="M92">
        <v>1439.52704135</v>
      </c>
      <c r="N92">
        <v>0</v>
      </c>
      <c r="O92" t="s">
        <v>80</v>
      </c>
      <c r="P92" s="35">
        <v>44269.851105011578</v>
      </c>
      <c r="Q92">
        <v>1081610</v>
      </c>
      <c r="R92" t="s">
        <v>26</v>
      </c>
      <c r="S92" s="4">
        <v>499.14103108</v>
      </c>
      <c r="T92">
        <v>66.899426660000003</v>
      </c>
      <c r="U92">
        <v>66.899426660000003</v>
      </c>
      <c r="V92">
        <v>33392.248803609997</v>
      </c>
      <c r="W92">
        <v>33392.248803609997</v>
      </c>
      <c r="X92">
        <v>0</v>
      </c>
      <c r="Y92">
        <v>5399.4294652999997</v>
      </c>
      <c r="Z92">
        <v>5399.4294652999997</v>
      </c>
      <c r="AA92">
        <v>0</v>
      </c>
      <c r="AB92">
        <v>0</v>
      </c>
      <c r="AC92" t="s">
        <v>84</v>
      </c>
      <c r="AD92" s="35">
        <v>43344</v>
      </c>
    </row>
    <row r="93" spans="1:30" x14ac:dyDescent="0.3">
      <c r="A93">
        <v>119638</v>
      </c>
      <c r="B93" t="s">
        <v>113</v>
      </c>
      <c r="C93">
        <v>2018</v>
      </c>
      <c r="D93">
        <v>9</v>
      </c>
      <c r="E93" t="s">
        <v>87</v>
      </c>
      <c r="F93" t="s">
        <v>84</v>
      </c>
      <c r="G93" t="s">
        <v>84</v>
      </c>
      <c r="H93" t="s">
        <v>25</v>
      </c>
      <c r="I93" t="s">
        <v>25</v>
      </c>
      <c r="J93" t="s">
        <v>101</v>
      </c>
      <c r="K93" t="s">
        <v>88</v>
      </c>
      <c r="L93" t="s">
        <v>103</v>
      </c>
      <c r="M93">
        <v>316.65874517999998</v>
      </c>
      <c r="N93">
        <v>0</v>
      </c>
      <c r="O93" t="s">
        <v>80</v>
      </c>
      <c r="P93" s="35">
        <v>44269.85110659722</v>
      </c>
      <c r="Q93">
        <v>1081730</v>
      </c>
      <c r="R93" t="s">
        <v>26</v>
      </c>
      <c r="S93" s="4">
        <v>127.07047511</v>
      </c>
      <c r="T93">
        <v>66.899426660000003</v>
      </c>
      <c r="U93">
        <v>66.899426660000003</v>
      </c>
      <c r="V93">
        <v>8500.9419308399993</v>
      </c>
      <c r="W93">
        <v>8500.9419308399993</v>
      </c>
      <c r="X93">
        <v>0</v>
      </c>
      <c r="Y93">
        <v>5399.4294652999997</v>
      </c>
      <c r="Z93">
        <v>5399.4294652999997</v>
      </c>
      <c r="AA93">
        <v>0</v>
      </c>
      <c r="AB93">
        <v>0</v>
      </c>
      <c r="AC93" t="s">
        <v>84</v>
      </c>
      <c r="AD93" s="35">
        <v>43344</v>
      </c>
    </row>
    <row r="94" spans="1:30" x14ac:dyDescent="0.3">
      <c r="A94">
        <v>130318</v>
      </c>
      <c r="B94" t="s">
        <v>114</v>
      </c>
      <c r="C94">
        <v>2018</v>
      </c>
      <c r="D94">
        <v>10</v>
      </c>
      <c r="E94" t="s">
        <v>87</v>
      </c>
      <c r="F94" t="s">
        <v>84</v>
      </c>
      <c r="G94" t="s">
        <v>84</v>
      </c>
      <c r="H94" t="s">
        <v>25</v>
      </c>
      <c r="I94" t="s">
        <v>25</v>
      </c>
      <c r="J94" t="s">
        <v>101</v>
      </c>
      <c r="K94" t="s">
        <v>88</v>
      </c>
      <c r="L94" t="s">
        <v>103</v>
      </c>
      <c r="M94">
        <v>333.40243543999998</v>
      </c>
      <c r="N94">
        <v>0</v>
      </c>
      <c r="O94" t="s">
        <v>80</v>
      </c>
      <c r="P94" s="35">
        <v>44269.852573611111</v>
      </c>
      <c r="Q94">
        <v>1193102</v>
      </c>
      <c r="R94" t="s">
        <v>26</v>
      </c>
      <c r="S94" s="4">
        <v>133.79030291999999</v>
      </c>
      <c r="T94">
        <v>66.899426660000003</v>
      </c>
      <c r="U94">
        <v>66.899426660000003</v>
      </c>
      <c r="V94">
        <v>8950.4945586600006</v>
      </c>
      <c r="W94">
        <v>8950.4945586600006</v>
      </c>
      <c r="X94">
        <v>0</v>
      </c>
      <c r="Y94">
        <v>5399.4294652999997</v>
      </c>
      <c r="Z94">
        <v>5399.4294652999997</v>
      </c>
      <c r="AA94">
        <v>0</v>
      </c>
      <c r="AB94">
        <v>0</v>
      </c>
      <c r="AC94" t="s">
        <v>84</v>
      </c>
      <c r="AD94" s="35">
        <v>43374</v>
      </c>
    </row>
    <row r="95" spans="1:30" x14ac:dyDescent="0.3">
      <c r="A95">
        <v>144880</v>
      </c>
      <c r="B95" t="s">
        <v>115</v>
      </c>
      <c r="C95">
        <v>2018</v>
      </c>
      <c r="D95">
        <v>11</v>
      </c>
      <c r="E95" t="s">
        <v>89</v>
      </c>
      <c r="F95" t="s">
        <v>84</v>
      </c>
      <c r="G95" t="s">
        <v>84</v>
      </c>
      <c r="H95" t="s">
        <v>25</v>
      </c>
      <c r="I95" t="s">
        <v>25</v>
      </c>
      <c r="J95" t="s">
        <v>101</v>
      </c>
      <c r="K95" t="s">
        <v>90</v>
      </c>
      <c r="L95" t="s">
        <v>103</v>
      </c>
      <c r="M95">
        <v>1036.3887642100001</v>
      </c>
      <c r="N95">
        <v>0</v>
      </c>
      <c r="O95" t="s">
        <v>80</v>
      </c>
      <c r="P95" s="35">
        <v>44269.854264965281</v>
      </c>
      <c r="Q95">
        <v>1337182</v>
      </c>
      <c r="R95" t="s">
        <v>26</v>
      </c>
      <c r="S95" s="4">
        <v>378.34138271</v>
      </c>
      <c r="T95">
        <v>66.899426660000003</v>
      </c>
      <c r="U95">
        <v>66.899426660000003</v>
      </c>
      <c r="V95">
        <v>25310.82158656</v>
      </c>
      <c r="W95">
        <v>25310.82158656</v>
      </c>
      <c r="X95">
        <v>0</v>
      </c>
      <c r="Y95">
        <v>5399.4294652999997</v>
      </c>
      <c r="Z95">
        <v>5399.4294652999997</v>
      </c>
      <c r="AA95">
        <v>0</v>
      </c>
      <c r="AB95">
        <v>0</v>
      </c>
      <c r="AC95" t="s">
        <v>84</v>
      </c>
      <c r="AD95" s="35">
        <v>43405</v>
      </c>
    </row>
    <row r="96" spans="1:30" x14ac:dyDescent="0.3">
      <c r="A96">
        <v>443785</v>
      </c>
      <c r="B96" t="s">
        <v>116</v>
      </c>
      <c r="C96">
        <v>2018</v>
      </c>
      <c r="D96">
        <v>12</v>
      </c>
      <c r="E96" t="s">
        <v>85</v>
      </c>
      <c r="F96" t="s">
        <v>84</v>
      </c>
      <c r="G96" t="s">
        <v>84</v>
      </c>
      <c r="H96" t="s">
        <v>25</v>
      </c>
      <c r="I96" t="s">
        <v>25</v>
      </c>
      <c r="J96" t="s">
        <v>101</v>
      </c>
      <c r="K96" t="s">
        <v>86</v>
      </c>
      <c r="L96" t="s">
        <v>103</v>
      </c>
      <c r="M96">
        <v>3041.3129330199999</v>
      </c>
      <c r="N96">
        <v>0</v>
      </c>
      <c r="O96" t="s">
        <v>80</v>
      </c>
      <c r="P96" s="35">
        <v>44284.514579629627</v>
      </c>
      <c r="Q96">
        <v>4215241</v>
      </c>
      <c r="R96" t="s">
        <v>26</v>
      </c>
      <c r="S96" s="4">
        <v>1050.40477513</v>
      </c>
      <c r="T96">
        <v>66.899426660000003</v>
      </c>
      <c r="U96">
        <v>66.899426660000003</v>
      </c>
      <c r="V96">
        <v>70271.477220639994</v>
      </c>
      <c r="W96">
        <v>70271.477220639994</v>
      </c>
      <c r="X96">
        <v>0</v>
      </c>
      <c r="Y96">
        <v>5399.4294652999997</v>
      </c>
      <c r="Z96">
        <v>5399.4294652999997</v>
      </c>
      <c r="AA96">
        <v>0</v>
      </c>
      <c r="AB96">
        <v>0</v>
      </c>
      <c r="AC96" t="s">
        <v>84</v>
      </c>
      <c r="AD96" s="35">
        <v>43435</v>
      </c>
    </row>
    <row r="97" spans="1:30" x14ac:dyDescent="0.3">
      <c r="A97">
        <v>130294</v>
      </c>
      <c r="B97" t="s">
        <v>114</v>
      </c>
      <c r="C97">
        <v>2018</v>
      </c>
      <c r="D97">
        <v>10</v>
      </c>
      <c r="E97" t="s">
        <v>85</v>
      </c>
      <c r="F97" t="s">
        <v>84</v>
      </c>
      <c r="G97" t="s">
        <v>84</v>
      </c>
      <c r="H97" t="s">
        <v>25</v>
      </c>
      <c r="I97" t="s">
        <v>25</v>
      </c>
      <c r="J97" t="s">
        <v>101</v>
      </c>
      <c r="K97" t="s">
        <v>86</v>
      </c>
      <c r="L97" t="s">
        <v>103</v>
      </c>
      <c r="M97">
        <v>1428.8615156599999</v>
      </c>
      <c r="N97">
        <v>0</v>
      </c>
      <c r="O97" t="s">
        <v>80</v>
      </c>
      <c r="P97" s="35">
        <v>44269.8525723727</v>
      </c>
      <c r="Q97">
        <v>1192982</v>
      </c>
      <c r="R97" t="s">
        <v>26</v>
      </c>
      <c r="S97" s="4">
        <v>493.49836471999998</v>
      </c>
      <c r="T97">
        <v>66.899426660000003</v>
      </c>
      <c r="U97">
        <v>66.899426660000003</v>
      </c>
      <c r="V97">
        <v>33014.757659089999</v>
      </c>
      <c r="W97">
        <v>33014.757659089999</v>
      </c>
      <c r="X97">
        <v>0</v>
      </c>
      <c r="Y97">
        <v>5399.4294652999997</v>
      </c>
      <c r="Z97">
        <v>5399.4294652999997</v>
      </c>
      <c r="AA97">
        <v>0</v>
      </c>
      <c r="AB97">
        <v>0</v>
      </c>
      <c r="AC97" t="s">
        <v>84</v>
      </c>
      <c r="AD97" s="35">
        <v>43374</v>
      </c>
    </row>
    <row r="98" spans="1:30" x14ac:dyDescent="0.3">
      <c r="A98">
        <v>443833</v>
      </c>
      <c r="B98" t="s">
        <v>116</v>
      </c>
      <c r="C98">
        <v>2018</v>
      </c>
      <c r="D98">
        <v>12</v>
      </c>
      <c r="E98" t="s">
        <v>89</v>
      </c>
      <c r="F98" t="s">
        <v>84</v>
      </c>
      <c r="G98" t="s">
        <v>84</v>
      </c>
      <c r="H98" t="s">
        <v>25</v>
      </c>
      <c r="I98" t="s">
        <v>25</v>
      </c>
      <c r="J98" t="s">
        <v>101</v>
      </c>
      <c r="K98" t="s">
        <v>90</v>
      </c>
      <c r="L98" t="s">
        <v>103</v>
      </c>
      <c r="M98">
        <v>1153.4816149200001</v>
      </c>
      <c r="N98">
        <v>0</v>
      </c>
      <c r="O98" t="s">
        <v>80</v>
      </c>
      <c r="P98" s="35">
        <v>44284.51458221065</v>
      </c>
      <c r="Q98">
        <v>4215481</v>
      </c>
      <c r="R98" t="s">
        <v>26</v>
      </c>
      <c r="S98" s="4">
        <v>421.08699379000001</v>
      </c>
      <c r="T98">
        <v>66.899426660000003</v>
      </c>
      <c r="U98">
        <v>66.899426660000003</v>
      </c>
      <c r="V98">
        <v>28170.478460229999</v>
      </c>
      <c r="W98">
        <v>28170.478460229999</v>
      </c>
      <c r="X98">
        <v>0</v>
      </c>
      <c r="Y98">
        <v>5399.4294652999997</v>
      </c>
      <c r="Z98">
        <v>5399.4294652999997</v>
      </c>
      <c r="AA98">
        <v>0</v>
      </c>
      <c r="AB98">
        <v>0</v>
      </c>
      <c r="AC98" t="s">
        <v>84</v>
      </c>
      <c r="AD98" s="35">
        <v>43435</v>
      </c>
    </row>
    <row r="99" spans="1:30" x14ac:dyDescent="0.3">
      <c r="A99">
        <v>130342</v>
      </c>
      <c r="B99" t="s">
        <v>114</v>
      </c>
      <c r="C99">
        <v>2018</v>
      </c>
      <c r="D99">
        <v>10</v>
      </c>
      <c r="E99" t="s">
        <v>89</v>
      </c>
      <c r="F99" t="s">
        <v>84</v>
      </c>
      <c r="G99" t="s">
        <v>84</v>
      </c>
      <c r="H99" t="s">
        <v>25</v>
      </c>
      <c r="I99" t="s">
        <v>25</v>
      </c>
      <c r="J99" t="s">
        <v>101</v>
      </c>
      <c r="K99" t="s">
        <v>90</v>
      </c>
      <c r="L99" t="s">
        <v>103</v>
      </c>
      <c r="M99">
        <v>879.43208655000001</v>
      </c>
      <c r="N99">
        <v>0</v>
      </c>
      <c r="O99" t="s">
        <v>80</v>
      </c>
      <c r="P99" s="35">
        <v>44269.852574803241</v>
      </c>
      <c r="Q99">
        <v>1193222</v>
      </c>
      <c r="R99" t="s">
        <v>26</v>
      </c>
      <c r="S99" s="4">
        <v>321.0431868</v>
      </c>
      <c r="T99">
        <v>66.899426660000003</v>
      </c>
      <c r="U99">
        <v>66.899426660000003</v>
      </c>
      <c r="V99">
        <v>21477.605131209999</v>
      </c>
      <c r="W99">
        <v>21477.605131209999</v>
      </c>
      <c r="X99">
        <v>0</v>
      </c>
      <c r="Y99">
        <v>5399.4294652999997</v>
      </c>
      <c r="Z99">
        <v>5399.4294652999997</v>
      </c>
      <c r="AA99">
        <v>0</v>
      </c>
      <c r="AB99">
        <v>0</v>
      </c>
      <c r="AC99" t="s">
        <v>84</v>
      </c>
      <c r="AD99" s="35">
        <v>43374</v>
      </c>
    </row>
    <row r="100" spans="1:30" x14ac:dyDescent="0.3">
      <c r="A100">
        <v>443809</v>
      </c>
      <c r="B100" t="s">
        <v>116</v>
      </c>
      <c r="C100">
        <v>2018</v>
      </c>
      <c r="D100">
        <v>12</v>
      </c>
      <c r="E100" t="s">
        <v>87</v>
      </c>
      <c r="F100" t="s">
        <v>84</v>
      </c>
      <c r="G100" t="s">
        <v>84</v>
      </c>
      <c r="H100" t="s">
        <v>25</v>
      </c>
      <c r="I100" t="s">
        <v>25</v>
      </c>
      <c r="J100" t="s">
        <v>101</v>
      </c>
      <c r="K100" t="s">
        <v>88</v>
      </c>
      <c r="L100" t="s">
        <v>103</v>
      </c>
      <c r="M100">
        <v>824.95046656</v>
      </c>
      <c r="N100">
        <v>0</v>
      </c>
      <c r="O100" t="s">
        <v>80</v>
      </c>
      <c r="P100" s="35">
        <v>44284.514580937503</v>
      </c>
      <c r="Q100">
        <v>4215361</v>
      </c>
      <c r="R100" t="s">
        <v>26</v>
      </c>
      <c r="S100" s="4">
        <v>331.04249125000001</v>
      </c>
      <c r="T100">
        <v>66.899426660000003</v>
      </c>
      <c r="U100">
        <v>66.899426660000003</v>
      </c>
      <c r="V100">
        <v>22146.552865940001</v>
      </c>
      <c r="W100">
        <v>22146.552865940001</v>
      </c>
      <c r="X100">
        <v>0</v>
      </c>
      <c r="Y100">
        <v>5399.4294652999997</v>
      </c>
      <c r="Z100">
        <v>5399.4294652999997</v>
      </c>
      <c r="AA100">
        <v>0</v>
      </c>
      <c r="AB100">
        <v>0</v>
      </c>
      <c r="AC100" t="s">
        <v>84</v>
      </c>
      <c r="AD100" s="35">
        <v>43435</v>
      </c>
    </row>
    <row r="101" spans="1:30" x14ac:dyDescent="0.3">
      <c r="A101">
        <v>63558</v>
      </c>
      <c r="B101" t="s">
        <v>118</v>
      </c>
      <c r="C101">
        <v>2018</v>
      </c>
      <c r="D101">
        <v>3</v>
      </c>
      <c r="E101" t="s">
        <v>85</v>
      </c>
      <c r="F101" t="s">
        <v>84</v>
      </c>
      <c r="G101" t="s">
        <v>84</v>
      </c>
      <c r="H101" t="s">
        <v>25</v>
      </c>
      <c r="I101" t="s">
        <v>25</v>
      </c>
      <c r="J101" t="s">
        <v>101</v>
      </c>
      <c r="K101" t="s">
        <v>86</v>
      </c>
      <c r="L101" t="s">
        <v>103</v>
      </c>
      <c r="M101">
        <v>2918.7091952800001</v>
      </c>
      <c r="N101">
        <v>0</v>
      </c>
      <c r="O101" t="s">
        <v>79</v>
      </c>
      <c r="P101" s="35">
        <v>44269.844469872682</v>
      </c>
      <c r="Q101">
        <v>560912</v>
      </c>
      <c r="R101" t="s">
        <v>82</v>
      </c>
      <c r="S101" s="4">
        <v>2958.8586119199999</v>
      </c>
      <c r="T101">
        <v>65.861918560000007</v>
      </c>
      <c r="U101">
        <v>65.861918560000007</v>
      </c>
      <c r="V101">
        <v>194876.10492243999</v>
      </c>
      <c r="W101">
        <v>194876.10492243999</v>
      </c>
      <c r="X101">
        <v>0</v>
      </c>
      <c r="Y101">
        <v>5405.9980086300002</v>
      </c>
      <c r="Z101">
        <v>5405.9980086300002</v>
      </c>
      <c r="AA101">
        <v>0</v>
      </c>
      <c r="AB101">
        <v>0</v>
      </c>
      <c r="AC101" t="s">
        <v>84</v>
      </c>
      <c r="AD101" s="35">
        <v>43160</v>
      </c>
    </row>
    <row r="102" spans="1:30" x14ac:dyDescent="0.3">
      <c r="A102">
        <v>63604</v>
      </c>
      <c r="B102" t="s">
        <v>118</v>
      </c>
      <c r="C102">
        <v>2018</v>
      </c>
      <c r="D102">
        <v>3</v>
      </c>
      <c r="E102" t="s">
        <v>89</v>
      </c>
      <c r="F102" t="s">
        <v>84</v>
      </c>
      <c r="G102" t="s">
        <v>84</v>
      </c>
      <c r="H102" t="s">
        <v>25</v>
      </c>
      <c r="I102" t="s">
        <v>25</v>
      </c>
      <c r="J102" t="s">
        <v>101</v>
      </c>
      <c r="K102" t="s">
        <v>90</v>
      </c>
      <c r="L102" t="s">
        <v>103</v>
      </c>
      <c r="M102">
        <v>1101.95310419</v>
      </c>
      <c r="N102">
        <v>0</v>
      </c>
      <c r="O102" t="s">
        <v>79</v>
      </c>
      <c r="P102" s="35">
        <v>44269.844471643519</v>
      </c>
      <c r="Q102">
        <v>561004</v>
      </c>
      <c r="R102" t="s">
        <v>82</v>
      </c>
      <c r="S102" s="4">
        <v>1104.53161153</v>
      </c>
      <c r="T102">
        <v>65.861918560000007</v>
      </c>
      <c r="U102">
        <v>65.861918560000007</v>
      </c>
      <c r="V102">
        <v>72746.571043429998</v>
      </c>
      <c r="W102">
        <v>72746.571043429998</v>
      </c>
      <c r="X102">
        <v>0</v>
      </c>
      <c r="Y102">
        <v>5405.9980086300002</v>
      </c>
      <c r="Z102">
        <v>5405.9980086300002</v>
      </c>
      <c r="AA102">
        <v>0</v>
      </c>
      <c r="AB102">
        <v>0</v>
      </c>
      <c r="AC102" t="s">
        <v>84</v>
      </c>
      <c r="AD102" s="35">
        <v>43160</v>
      </c>
    </row>
    <row r="103" spans="1:30" x14ac:dyDescent="0.3">
      <c r="A103">
        <v>63581</v>
      </c>
      <c r="B103" t="s">
        <v>118</v>
      </c>
      <c r="C103">
        <v>2018</v>
      </c>
      <c r="D103">
        <v>3</v>
      </c>
      <c r="E103" t="s">
        <v>87</v>
      </c>
      <c r="F103" t="s">
        <v>84</v>
      </c>
      <c r="G103" t="s">
        <v>84</v>
      </c>
      <c r="H103" t="s">
        <v>25</v>
      </c>
      <c r="I103" t="s">
        <v>25</v>
      </c>
      <c r="J103" t="s">
        <v>101</v>
      </c>
      <c r="K103" t="s">
        <v>88</v>
      </c>
      <c r="L103" t="s">
        <v>103</v>
      </c>
      <c r="M103">
        <v>681.39686511000002</v>
      </c>
      <c r="N103">
        <v>0</v>
      </c>
      <c r="O103" t="s">
        <v>79</v>
      </c>
      <c r="P103" s="35">
        <v>44269.844470682867</v>
      </c>
      <c r="Q103">
        <v>560958</v>
      </c>
      <c r="R103" t="s">
        <v>82</v>
      </c>
      <c r="S103" s="4">
        <v>682.71097830999997</v>
      </c>
      <c r="T103">
        <v>65.861918560000007</v>
      </c>
      <c r="U103">
        <v>65.861918560000007</v>
      </c>
      <c r="V103">
        <v>44964.65485182</v>
      </c>
      <c r="W103">
        <v>44964.65485182</v>
      </c>
      <c r="X103">
        <v>0</v>
      </c>
      <c r="Y103">
        <v>5405.9980086300002</v>
      </c>
      <c r="Z103">
        <v>5405.9980086300002</v>
      </c>
      <c r="AA103">
        <v>0</v>
      </c>
      <c r="AB103">
        <v>0</v>
      </c>
      <c r="AC103" t="s">
        <v>84</v>
      </c>
      <c r="AD103" s="35">
        <v>43160</v>
      </c>
    </row>
    <row r="104" spans="1:30" x14ac:dyDescent="0.3">
      <c r="A104">
        <v>9842</v>
      </c>
      <c r="B104" t="s">
        <v>127</v>
      </c>
      <c r="C104">
        <v>2017</v>
      </c>
      <c r="D104">
        <v>10</v>
      </c>
      <c r="E104" t="s">
        <v>89</v>
      </c>
      <c r="F104" t="s">
        <v>84</v>
      </c>
      <c r="G104" t="s">
        <v>84</v>
      </c>
      <c r="H104" t="s">
        <v>25</v>
      </c>
      <c r="I104" t="s">
        <v>25</v>
      </c>
      <c r="J104" t="s">
        <v>101</v>
      </c>
      <c r="K104" t="s">
        <v>90</v>
      </c>
      <c r="L104" t="s">
        <v>103</v>
      </c>
      <c r="M104">
        <v>1325.6322066800001</v>
      </c>
      <c r="N104">
        <v>0</v>
      </c>
      <c r="O104" t="s">
        <v>79</v>
      </c>
      <c r="P104" s="35">
        <v>44269.838788229157</v>
      </c>
      <c r="Q104">
        <v>83969</v>
      </c>
      <c r="R104" t="s">
        <v>74</v>
      </c>
      <c r="S104" s="4">
        <v>35.000054710000001</v>
      </c>
      <c r="T104">
        <v>68.415853420000005</v>
      </c>
      <c r="U104">
        <v>68.415853420000005</v>
      </c>
      <c r="V104">
        <v>2394.5586128999998</v>
      </c>
      <c r="W104">
        <v>2394.5586128999998</v>
      </c>
      <c r="X104">
        <v>0</v>
      </c>
      <c r="Y104">
        <v>5409.1236305000002</v>
      </c>
      <c r="Z104">
        <v>5409.1236305000002</v>
      </c>
      <c r="AA104">
        <v>0</v>
      </c>
      <c r="AB104">
        <v>0</v>
      </c>
      <c r="AC104" t="s">
        <v>84</v>
      </c>
      <c r="AD104" s="35">
        <v>43009</v>
      </c>
    </row>
    <row r="105" spans="1:30" x14ac:dyDescent="0.3">
      <c r="A105">
        <v>9800</v>
      </c>
      <c r="B105" t="s">
        <v>127</v>
      </c>
      <c r="C105">
        <v>2017</v>
      </c>
      <c r="D105">
        <v>10</v>
      </c>
      <c r="E105" t="s">
        <v>85</v>
      </c>
      <c r="F105" t="s">
        <v>84</v>
      </c>
      <c r="G105" t="s">
        <v>84</v>
      </c>
      <c r="H105" t="s">
        <v>25</v>
      </c>
      <c r="I105" t="s">
        <v>25</v>
      </c>
      <c r="J105" t="s">
        <v>101</v>
      </c>
      <c r="K105" t="s">
        <v>86</v>
      </c>
      <c r="L105" t="s">
        <v>103</v>
      </c>
      <c r="M105">
        <v>1690.9131185399999</v>
      </c>
      <c r="N105">
        <v>0</v>
      </c>
      <c r="O105" t="s">
        <v>79</v>
      </c>
      <c r="P105" s="35">
        <v>44269.83878622685</v>
      </c>
      <c r="Q105">
        <v>83885</v>
      </c>
      <c r="R105" t="s">
        <v>74</v>
      </c>
      <c r="S105" s="4">
        <v>25.134444469999998</v>
      </c>
      <c r="T105">
        <v>68.415853420000005</v>
      </c>
      <c r="U105">
        <v>68.415853420000005</v>
      </c>
      <c r="V105">
        <v>1719.59446862</v>
      </c>
      <c r="W105">
        <v>1719.59446862</v>
      </c>
      <c r="X105">
        <v>0</v>
      </c>
      <c r="Y105">
        <v>5409.1236305000002</v>
      </c>
      <c r="Z105">
        <v>5409.1236305000002</v>
      </c>
      <c r="AA105">
        <v>0</v>
      </c>
      <c r="AB105">
        <v>0</v>
      </c>
      <c r="AC105" t="s">
        <v>84</v>
      </c>
      <c r="AD105" s="35">
        <v>43009</v>
      </c>
    </row>
    <row r="106" spans="1:30" x14ac:dyDescent="0.3">
      <c r="A106">
        <v>9821</v>
      </c>
      <c r="B106" t="s">
        <v>127</v>
      </c>
      <c r="C106">
        <v>2017</v>
      </c>
      <c r="D106">
        <v>10</v>
      </c>
      <c r="E106" t="s">
        <v>87</v>
      </c>
      <c r="F106" t="s">
        <v>84</v>
      </c>
      <c r="G106" t="s">
        <v>84</v>
      </c>
      <c r="H106" t="s">
        <v>25</v>
      </c>
      <c r="I106" t="s">
        <v>25</v>
      </c>
      <c r="J106" t="s">
        <v>101</v>
      </c>
      <c r="K106" t="s">
        <v>88</v>
      </c>
      <c r="L106" t="s">
        <v>103</v>
      </c>
      <c r="M106">
        <v>345.79406583999997</v>
      </c>
      <c r="N106">
        <v>0</v>
      </c>
      <c r="O106" t="s">
        <v>79</v>
      </c>
      <c r="P106" s="35">
        <v>44269.83878726852</v>
      </c>
      <c r="Q106">
        <v>83927</v>
      </c>
      <c r="R106" t="s">
        <v>74</v>
      </c>
      <c r="S106" s="4">
        <v>9.27361799</v>
      </c>
      <c r="T106">
        <v>68.415853420000005</v>
      </c>
      <c r="U106">
        <v>68.415853420000005</v>
      </c>
      <c r="V106">
        <v>634.46248887000002</v>
      </c>
      <c r="W106">
        <v>634.46248887000002</v>
      </c>
      <c r="X106">
        <v>0</v>
      </c>
      <c r="Y106">
        <v>5409.1236305000002</v>
      </c>
      <c r="Z106">
        <v>5409.1236305000002</v>
      </c>
      <c r="AA106">
        <v>0</v>
      </c>
      <c r="AB106">
        <v>0</v>
      </c>
      <c r="AC106" t="s">
        <v>84</v>
      </c>
      <c r="AD106" s="35">
        <v>43009</v>
      </c>
    </row>
    <row r="107" spans="1:30" x14ac:dyDescent="0.3">
      <c r="A107">
        <v>38545</v>
      </c>
      <c r="B107" t="s">
        <v>119</v>
      </c>
      <c r="C107">
        <v>2018</v>
      </c>
      <c r="D107">
        <v>1</v>
      </c>
      <c r="E107" t="s">
        <v>85</v>
      </c>
      <c r="F107" t="s">
        <v>84</v>
      </c>
      <c r="G107" t="s">
        <v>84</v>
      </c>
      <c r="H107" t="s">
        <v>25</v>
      </c>
      <c r="I107" t="s">
        <v>25</v>
      </c>
      <c r="J107" t="s">
        <v>101</v>
      </c>
      <c r="K107" t="s">
        <v>86</v>
      </c>
      <c r="L107" t="s">
        <v>103</v>
      </c>
      <c r="M107">
        <v>2934.8747129799999</v>
      </c>
      <c r="N107">
        <v>0</v>
      </c>
      <c r="O107" t="s">
        <v>79</v>
      </c>
      <c r="P107" s="35">
        <v>44269.841712766203</v>
      </c>
      <c r="Q107">
        <v>327737</v>
      </c>
      <c r="R107" t="s">
        <v>82</v>
      </c>
      <c r="S107" s="4">
        <v>2983.3617666300001</v>
      </c>
      <c r="T107">
        <v>66.088934530000003</v>
      </c>
      <c r="U107">
        <v>66.088934530000003</v>
      </c>
      <c r="V107">
        <v>197167.20048495001</v>
      </c>
      <c r="W107">
        <v>197167.20048495001</v>
      </c>
      <c r="X107">
        <v>0</v>
      </c>
      <c r="Y107">
        <v>5424.6316582400004</v>
      </c>
      <c r="Z107">
        <v>5424.6316582400004</v>
      </c>
      <c r="AA107">
        <v>0</v>
      </c>
      <c r="AB107">
        <v>0</v>
      </c>
      <c r="AC107" t="s">
        <v>84</v>
      </c>
      <c r="AD107" s="35">
        <v>43101</v>
      </c>
    </row>
    <row r="108" spans="1:30" x14ac:dyDescent="0.3">
      <c r="A108">
        <v>38591</v>
      </c>
      <c r="B108" t="s">
        <v>119</v>
      </c>
      <c r="C108">
        <v>2018</v>
      </c>
      <c r="D108">
        <v>1</v>
      </c>
      <c r="E108" t="s">
        <v>89</v>
      </c>
      <c r="F108" t="s">
        <v>84</v>
      </c>
      <c r="G108" t="s">
        <v>84</v>
      </c>
      <c r="H108" t="s">
        <v>25</v>
      </c>
      <c r="I108" t="s">
        <v>25</v>
      </c>
      <c r="J108" t="s">
        <v>101</v>
      </c>
      <c r="K108" t="s">
        <v>90</v>
      </c>
      <c r="L108" t="s">
        <v>103</v>
      </c>
      <c r="M108">
        <v>1063.1400695499999</v>
      </c>
      <c r="N108">
        <v>0</v>
      </c>
      <c r="O108" t="s">
        <v>79</v>
      </c>
      <c r="P108" s="35">
        <v>44269.841714548609</v>
      </c>
      <c r="Q108">
        <v>327829</v>
      </c>
      <c r="R108" t="s">
        <v>82</v>
      </c>
      <c r="S108" s="4">
        <v>1068.53435704</v>
      </c>
      <c r="T108">
        <v>66.088934530000003</v>
      </c>
      <c r="U108">
        <v>66.088934530000003</v>
      </c>
      <c r="V108">
        <v>70618.297169380006</v>
      </c>
      <c r="W108">
        <v>70618.297169379992</v>
      </c>
      <c r="X108">
        <v>0</v>
      </c>
      <c r="Y108">
        <v>5424.6316582400004</v>
      </c>
      <c r="Z108">
        <v>5424.6316582400004</v>
      </c>
      <c r="AA108">
        <v>0</v>
      </c>
      <c r="AB108">
        <v>0</v>
      </c>
      <c r="AC108" t="s">
        <v>84</v>
      </c>
      <c r="AD108" s="35">
        <v>43101</v>
      </c>
    </row>
    <row r="109" spans="1:30" x14ac:dyDescent="0.3">
      <c r="A109">
        <v>38568</v>
      </c>
      <c r="B109" t="s">
        <v>119</v>
      </c>
      <c r="C109">
        <v>2018</v>
      </c>
      <c r="D109">
        <v>1</v>
      </c>
      <c r="E109" t="s">
        <v>87</v>
      </c>
      <c r="F109" t="s">
        <v>84</v>
      </c>
      <c r="G109" t="s">
        <v>84</v>
      </c>
      <c r="H109" t="s">
        <v>25</v>
      </c>
      <c r="I109" t="s">
        <v>25</v>
      </c>
      <c r="J109" t="s">
        <v>101</v>
      </c>
      <c r="K109" t="s">
        <v>88</v>
      </c>
      <c r="L109" t="s">
        <v>103</v>
      </c>
      <c r="M109">
        <v>892.08334261000005</v>
      </c>
      <c r="N109">
        <v>0</v>
      </c>
      <c r="O109" t="s">
        <v>79</v>
      </c>
      <c r="P109" s="35">
        <v>44269.841713576388</v>
      </c>
      <c r="Q109">
        <v>327783</v>
      </c>
      <c r="R109" t="s">
        <v>82</v>
      </c>
      <c r="S109" s="4">
        <v>896.24171113</v>
      </c>
      <c r="T109">
        <v>66.088934530000003</v>
      </c>
      <c r="U109">
        <v>66.088934530000003</v>
      </c>
      <c r="V109">
        <v>59231.659773419997</v>
      </c>
      <c r="W109">
        <v>59231.659773419997</v>
      </c>
      <c r="X109">
        <v>0</v>
      </c>
      <c r="Y109">
        <v>5424.6316582400004</v>
      </c>
      <c r="Z109">
        <v>5424.6316582400004</v>
      </c>
      <c r="AA109">
        <v>0</v>
      </c>
      <c r="AB109">
        <v>0</v>
      </c>
      <c r="AC109" t="s">
        <v>84</v>
      </c>
      <c r="AD109" s="35">
        <v>43101</v>
      </c>
    </row>
    <row r="110" spans="1:30" x14ac:dyDescent="0.3">
      <c r="A110">
        <v>119614</v>
      </c>
      <c r="B110" t="s">
        <v>113</v>
      </c>
      <c r="C110">
        <v>2018</v>
      </c>
      <c r="D110">
        <v>9</v>
      </c>
      <c r="E110" t="s">
        <v>85</v>
      </c>
      <c r="F110" t="s">
        <v>84</v>
      </c>
      <c r="G110" t="s">
        <v>84</v>
      </c>
      <c r="H110" t="s">
        <v>25</v>
      </c>
      <c r="I110" t="s">
        <v>25</v>
      </c>
      <c r="J110" t="s">
        <v>101</v>
      </c>
      <c r="K110" t="s">
        <v>86</v>
      </c>
      <c r="L110" t="s">
        <v>103</v>
      </c>
      <c r="M110">
        <v>1439.52704135</v>
      </c>
      <c r="N110">
        <v>0</v>
      </c>
      <c r="O110" t="s">
        <v>80</v>
      </c>
      <c r="P110" s="35">
        <v>44269.851105011578</v>
      </c>
      <c r="Q110">
        <v>1081611</v>
      </c>
      <c r="R110" t="s">
        <v>28</v>
      </c>
      <c r="S110" s="4">
        <v>9.9484236900000003</v>
      </c>
      <c r="T110">
        <v>69.367911899999996</v>
      </c>
      <c r="U110">
        <v>69.367911899999996</v>
      </c>
      <c r="V110">
        <v>690.10137788999998</v>
      </c>
      <c r="W110">
        <v>690.10137788999998</v>
      </c>
      <c r="X110">
        <v>0</v>
      </c>
      <c r="Y110">
        <v>5444.6246483799996</v>
      </c>
      <c r="Z110">
        <v>5444.6246483799996</v>
      </c>
      <c r="AA110">
        <v>0</v>
      </c>
      <c r="AB110">
        <v>0</v>
      </c>
      <c r="AC110" t="s">
        <v>84</v>
      </c>
      <c r="AD110" s="35">
        <v>43344</v>
      </c>
    </row>
    <row r="111" spans="1:30" x14ac:dyDescent="0.3">
      <c r="A111">
        <v>119662</v>
      </c>
      <c r="B111" t="s">
        <v>113</v>
      </c>
      <c r="C111">
        <v>2018</v>
      </c>
      <c r="D111">
        <v>9</v>
      </c>
      <c r="E111" t="s">
        <v>89</v>
      </c>
      <c r="F111" t="s">
        <v>84</v>
      </c>
      <c r="G111" t="s">
        <v>84</v>
      </c>
      <c r="H111" t="s">
        <v>25</v>
      </c>
      <c r="I111" t="s">
        <v>25</v>
      </c>
      <c r="J111" t="s">
        <v>101</v>
      </c>
      <c r="K111" t="s">
        <v>90</v>
      </c>
      <c r="L111" t="s">
        <v>103</v>
      </c>
      <c r="M111">
        <v>843.05591856000001</v>
      </c>
      <c r="N111">
        <v>0</v>
      </c>
      <c r="O111" t="s">
        <v>80</v>
      </c>
      <c r="P111" s="35">
        <v>44269.851107986113</v>
      </c>
      <c r="Q111">
        <v>1081851</v>
      </c>
      <c r="R111" t="s">
        <v>28</v>
      </c>
      <c r="S111" s="4">
        <v>5.8523218699999999</v>
      </c>
      <c r="T111">
        <v>69.367911899999996</v>
      </c>
      <c r="U111">
        <v>69.367911899999996</v>
      </c>
      <c r="V111">
        <v>405.96334761999998</v>
      </c>
      <c r="W111">
        <v>405.96334761999998</v>
      </c>
      <c r="X111">
        <v>0</v>
      </c>
      <c r="Y111">
        <v>5444.6246483799996</v>
      </c>
      <c r="Z111">
        <v>5444.6246483799996</v>
      </c>
      <c r="AA111">
        <v>0</v>
      </c>
      <c r="AB111">
        <v>0</v>
      </c>
      <c r="AC111" t="s">
        <v>84</v>
      </c>
      <c r="AD111" s="35">
        <v>43344</v>
      </c>
    </row>
    <row r="112" spans="1:30" x14ac:dyDescent="0.3">
      <c r="A112">
        <v>443785</v>
      </c>
      <c r="B112" t="s">
        <v>116</v>
      </c>
      <c r="C112">
        <v>2018</v>
      </c>
      <c r="D112">
        <v>12</v>
      </c>
      <c r="E112" t="s">
        <v>85</v>
      </c>
      <c r="F112" t="s">
        <v>84</v>
      </c>
      <c r="G112" t="s">
        <v>84</v>
      </c>
      <c r="H112" t="s">
        <v>25</v>
      </c>
      <c r="I112" t="s">
        <v>25</v>
      </c>
      <c r="J112" t="s">
        <v>101</v>
      </c>
      <c r="K112" t="s">
        <v>86</v>
      </c>
      <c r="L112" t="s">
        <v>103</v>
      </c>
      <c r="M112">
        <v>3041.3129330199999</v>
      </c>
      <c r="N112">
        <v>0</v>
      </c>
      <c r="O112" t="s">
        <v>80</v>
      </c>
      <c r="P112" s="35">
        <v>44284.514579629627</v>
      </c>
      <c r="Q112">
        <v>4215242</v>
      </c>
      <c r="R112" t="s">
        <v>28</v>
      </c>
      <c r="S112" s="4">
        <v>20.964631180000001</v>
      </c>
      <c r="T112">
        <v>69.367911899999996</v>
      </c>
      <c r="U112">
        <v>69.367911899999996</v>
      </c>
      <c r="V112">
        <v>1454.2726887700001</v>
      </c>
      <c r="W112">
        <v>1454.2726887700001</v>
      </c>
      <c r="X112">
        <v>0</v>
      </c>
      <c r="Y112">
        <v>5444.6246483799996</v>
      </c>
      <c r="Z112">
        <v>5444.6246483799996</v>
      </c>
      <c r="AA112">
        <v>0</v>
      </c>
      <c r="AB112">
        <v>0</v>
      </c>
      <c r="AC112" t="s">
        <v>84</v>
      </c>
      <c r="AD112" s="35">
        <v>43435</v>
      </c>
    </row>
    <row r="113" spans="1:30" x14ac:dyDescent="0.3">
      <c r="A113">
        <v>144832</v>
      </c>
      <c r="B113" t="s">
        <v>115</v>
      </c>
      <c r="C113">
        <v>2018</v>
      </c>
      <c r="D113">
        <v>11</v>
      </c>
      <c r="E113" t="s">
        <v>85</v>
      </c>
      <c r="F113" t="s">
        <v>84</v>
      </c>
      <c r="G113" t="s">
        <v>84</v>
      </c>
      <c r="H113" t="s">
        <v>25</v>
      </c>
      <c r="I113" t="s">
        <v>25</v>
      </c>
      <c r="J113" t="s">
        <v>101</v>
      </c>
      <c r="K113" t="s">
        <v>86</v>
      </c>
      <c r="L113" t="s">
        <v>103</v>
      </c>
      <c r="M113">
        <v>1939.5207746900001</v>
      </c>
      <c r="N113">
        <v>0</v>
      </c>
      <c r="O113" t="s">
        <v>80</v>
      </c>
      <c r="P113" s="35">
        <v>44269.854262534733</v>
      </c>
      <c r="Q113">
        <v>1336943</v>
      </c>
      <c r="R113" t="s">
        <v>28</v>
      </c>
      <c r="S113" s="4">
        <v>13.36966587</v>
      </c>
      <c r="T113">
        <v>69.367911899999996</v>
      </c>
      <c r="U113">
        <v>69.367911899999996</v>
      </c>
      <c r="V113">
        <v>927.42580394000004</v>
      </c>
      <c r="W113">
        <v>927.42580394000004</v>
      </c>
      <c r="X113">
        <v>0</v>
      </c>
      <c r="Y113">
        <v>5444.6246483799996</v>
      </c>
      <c r="Z113">
        <v>5444.6246483799996</v>
      </c>
      <c r="AA113">
        <v>0</v>
      </c>
      <c r="AB113">
        <v>0</v>
      </c>
      <c r="AC113" t="s">
        <v>84</v>
      </c>
      <c r="AD113" s="35">
        <v>43405</v>
      </c>
    </row>
    <row r="114" spans="1:30" x14ac:dyDescent="0.3">
      <c r="A114">
        <v>119638</v>
      </c>
      <c r="B114" t="s">
        <v>113</v>
      </c>
      <c r="C114">
        <v>2018</v>
      </c>
      <c r="D114">
        <v>9</v>
      </c>
      <c r="E114" t="s">
        <v>87</v>
      </c>
      <c r="F114" t="s">
        <v>84</v>
      </c>
      <c r="G114" t="s">
        <v>84</v>
      </c>
      <c r="H114" t="s">
        <v>25</v>
      </c>
      <c r="I114" t="s">
        <v>25</v>
      </c>
      <c r="J114" t="s">
        <v>101</v>
      </c>
      <c r="K114" t="s">
        <v>88</v>
      </c>
      <c r="L114" t="s">
        <v>103</v>
      </c>
      <c r="M114">
        <v>316.65874517999998</v>
      </c>
      <c r="N114">
        <v>0</v>
      </c>
      <c r="O114" t="s">
        <v>80</v>
      </c>
      <c r="P114" s="35">
        <v>44269.85110659722</v>
      </c>
      <c r="Q114">
        <v>1081731</v>
      </c>
      <c r="R114" t="s">
        <v>28</v>
      </c>
      <c r="S114" s="4">
        <v>2.1035998299999998</v>
      </c>
      <c r="T114">
        <v>69.367911899999996</v>
      </c>
      <c r="U114">
        <v>69.367911899999996</v>
      </c>
      <c r="V114">
        <v>145.92232745000001</v>
      </c>
      <c r="W114">
        <v>145.92232745000001</v>
      </c>
      <c r="X114">
        <v>0</v>
      </c>
      <c r="Y114">
        <v>5444.6246483799996</v>
      </c>
      <c r="Z114">
        <v>5444.6246483799996</v>
      </c>
      <c r="AA114">
        <v>0</v>
      </c>
      <c r="AB114">
        <v>0</v>
      </c>
      <c r="AC114" t="s">
        <v>84</v>
      </c>
      <c r="AD114" s="35">
        <v>43344</v>
      </c>
    </row>
    <row r="115" spans="1:30" x14ac:dyDescent="0.3">
      <c r="A115">
        <v>130342</v>
      </c>
      <c r="B115" t="s">
        <v>114</v>
      </c>
      <c r="C115">
        <v>2018</v>
      </c>
      <c r="D115">
        <v>10</v>
      </c>
      <c r="E115" t="s">
        <v>89</v>
      </c>
      <c r="F115" t="s">
        <v>84</v>
      </c>
      <c r="G115" t="s">
        <v>84</v>
      </c>
      <c r="H115" t="s">
        <v>25</v>
      </c>
      <c r="I115" t="s">
        <v>25</v>
      </c>
      <c r="J115" t="s">
        <v>101</v>
      </c>
      <c r="K115" t="s">
        <v>90</v>
      </c>
      <c r="L115" t="s">
        <v>103</v>
      </c>
      <c r="M115">
        <v>879.43208655000001</v>
      </c>
      <c r="N115">
        <v>0</v>
      </c>
      <c r="O115" t="s">
        <v>80</v>
      </c>
      <c r="P115" s="35">
        <v>44269.852574803241</v>
      </c>
      <c r="Q115">
        <v>1193223</v>
      </c>
      <c r="R115" t="s">
        <v>28</v>
      </c>
      <c r="S115" s="4">
        <v>6.1007286299999999</v>
      </c>
      <c r="T115">
        <v>69.367911899999996</v>
      </c>
      <c r="U115">
        <v>69.367911899999996</v>
      </c>
      <c r="V115">
        <v>423.19480600999998</v>
      </c>
      <c r="W115">
        <v>423.19480600999998</v>
      </c>
      <c r="X115">
        <v>0</v>
      </c>
      <c r="Y115">
        <v>5444.6246483799996</v>
      </c>
      <c r="Z115">
        <v>5444.6246483799996</v>
      </c>
      <c r="AA115">
        <v>0</v>
      </c>
      <c r="AB115">
        <v>0</v>
      </c>
      <c r="AC115" t="s">
        <v>84</v>
      </c>
      <c r="AD115" s="35">
        <v>43374</v>
      </c>
    </row>
    <row r="116" spans="1:30" x14ac:dyDescent="0.3">
      <c r="A116">
        <v>130318</v>
      </c>
      <c r="B116" t="s">
        <v>114</v>
      </c>
      <c r="C116">
        <v>2018</v>
      </c>
      <c r="D116">
        <v>10</v>
      </c>
      <c r="E116" t="s">
        <v>87</v>
      </c>
      <c r="F116" t="s">
        <v>84</v>
      </c>
      <c r="G116" t="s">
        <v>84</v>
      </c>
      <c r="H116" t="s">
        <v>25</v>
      </c>
      <c r="I116" t="s">
        <v>25</v>
      </c>
      <c r="J116" t="s">
        <v>101</v>
      </c>
      <c r="K116" t="s">
        <v>88</v>
      </c>
      <c r="L116" t="s">
        <v>103</v>
      </c>
      <c r="M116">
        <v>333.40243543999998</v>
      </c>
      <c r="N116">
        <v>0</v>
      </c>
      <c r="O116" t="s">
        <v>80</v>
      </c>
      <c r="P116" s="35">
        <v>44269.852573611111</v>
      </c>
      <c r="Q116">
        <v>1193103</v>
      </c>
      <c r="R116" t="s">
        <v>28</v>
      </c>
      <c r="S116" s="4">
        <v>2.21497213</v>
      </c>
      <c r="T116">
        <v>69.367911899999996</v>
      </c>
      <c r="U116">
        <v>69.367911899999996</v>
      </c>
      <c r="V116">
        <v>153.64799128000001</v>
      </c>
      <c r="W116">
        <v>153.64799128000001</v>
      </c>
      <c r="X116">
        <v>0</v>
      </c>
      <c r="Y116">
        <v>5444.6246483799996</v>
      </c>
      <c r="Z116">
        <v>5444.6246483799996</v>
      </c>
      <c r="AA116">
        <v>0</v>
      </c>
      <c r="AB116">
        <v>0</v>
      </c>
      <c r="AC116" t="s">
        <v>84</v>
      </c>
      <c r="AD116" s="35">
        <v>43374</v>
      </c>
    </row>
    <row r="117" spans="1:30" x14ac:dyDescent="0.3">
      <c r="A117">
        <v>144856</v>
      </c>
      <c r="B117" t="s">
        <v>115</v>
      </c>
      <c r="C117">
        <v>2018</v>
      </c>
      <c r="D117">
        <v>11</v>
      </c>
      <c r="E117" t="s">
        <v>87</v>
      </c>
      <c r="F117" t="s">
        <v>84</v>
      </c>
      <c r="G117" t="s">
        <v>84</v>
      </c>
      <c r="H117" t="s">
        <v>25</v>
      </c>
      <c r="I117" t="s">
        <v>25</v>
      </c>
      <c r="J117" t="s">
        <v>101</v>
      </c>
      <c r="K117" t="s">
        <v>88</v>
      </c>
      <c r="L117" t="s">
        <v>103</v>
      </c>
      <c r="M117">
        <v>527.43779992999998</v>
      </c>
      <c r="N117">
        <v>0</v>
      </c>
      <c r="O117" t="s">
        <v>80</v>
      </c>
      <c r="P117" s="35">
        <v>44269.854263738423</v>
      </c>
      <c r="Q117">
        <v>1337063</v>
      </c>
      <c r="R117" t="s">
        <v>28</v>
      </c>
      <c r="S117" s="4">
        <v>3.5040536599999998</v>
      </c>
      <c r="T117">
        <v>69.367911899999996</v>
      </c>
      <c r="U117">
        <v>69.367911899999996</v>
      </c>
      <c r="V117">
        <v>243.06888574000001</v>
      </c>
      <c r="W117">
        <v>243.06888574000001</v>
      </c>
      <c r="X117">
        <v>0</v>
      </c>
      <c r="Y117">
        <v>5444.6246483799996</v>
      </c>
      <c r="Z117">
        <v>5444.6246483799996</v>
      </c>
      <c r="AA117">
        <v>0</v>
      </c>
      <c r="AB117">
        <v>0</v>
      </c>
      <c r="AC117" t="s">
        <v>84</v>
      </c>
      <c r="AD117" s="35">
        <v>43405</v>
      </c>
    </row>
    <row r="118" spans="1:30" x14ac:dyDescent="0.3">
      <c r="A118">
        <v>130294</v>
      </c>
      <c r="B118" t="s">
        <v>114</v>
      </c>
      <c r="C118">
        <v>2018</v>
      </c>
      <c r="D118">
        <v>10</v>
      </c>
      <c r="E118" t="s">
        <v>85</v>
      </c>
      <c r="F118" t="s">
        <v>84</v>
      </c>
      <c r="G118" t="s">
        <v>84</v>
      </c>
      <c r="H118" t="s">
        <v>25</v>
      </c>
      <c r="I118" t="s">
        <v>25</v>
      </c>
      <c r="J118" t="s">
        <v>101</v>
      </c>
      <c r="K118" t="s">
        <v>86</v>
      </c>
      <c r="L118" t="s">
        <v>103</v>
      </c>
      <c r="M118">
        <v>1428.8615156599999</v>
      </c>
      <c r="N118">
        <v>0</v>
      </c>
      <c r="O118" t="s">
        <v>80</v>
      </c>
      <c r="P118" s="35">
        <v>44269.8525723727</v>
      </c>
      <c r="Q118">
        <v>1192983</v>
      </c>
      <c r="R118" t="s">
        <v>28</v>
      </c>
      <c r="S118" s="4">
        <v>9.8495469999999994</v>
      </c>
      <c r="T118">
        <v>69.367911899999996</v>
      </c>
      <c r="U118">
        <v>69.367911899999996</v>
      </c>
      <c r="V118">
        <v>683.24250874999996</v>
      </c>
      <c r="W118">
        <v>683.24250874999996</v>
      </c>
      <c r="X118">
        <v>0</v>
      </c>
      <c r="Y118">
        <v>5444.6246483799996</v>
      </c>
      <c r="Z118">
        <v>5444.6246483799996</v>
      </c>
      <c r="AA118">
        <v>0</v>
      </c>
      <c r="AB118">
        <v>0</v>
      </c>
      <c r="AC118" t="s">
        <v>84</v>
      </c>
      <c r="AD118" s="35">
        <v>43374</v>
      </c>
    </row>
    <row r="119" spans="1:30" x14ac:dyDescent="0.3">
      <c r="A119">
        <v>443833</v>
      </c>
      <c r="B119" t="s">
        <v>116</v>
      </c>
      <c r="C119">
        <v>2018</v>
      </c>
      <c r="D119">
        <v>12</v>
      </c>
      <c r="E119" t="s">
        <v>89</v>
      </c>
      <c r="F119" t="s">
        <v>84</v>
      </c>
      <c r="G119" t="s">
        <v>84</v>
      </c>
      <c r="H119" t="s">
        <v>25</v>
      </c>
      <c r="I119" t="s">
        <v>25</v>
      </c>
      <c r="J119" t="s">
        <v>101</v>
      </c>
      <c r="K119" t="s">
        <v>90</v>
      </c>
      <c r="L119" t="s">
        <v>103</v>
      </c>
      <c r="M119">
        <v>1153.4816149200001</v>
      </c>
      <c r="N119">
        <v>0</v>
      </c>
      <c r="O119" t="s">
        <v>80</v>
      </c>
      <c r="P119" s="35">
        <v>44284.51458221065</v>
      </c>
      <c r="Q119">
        <v>4215482</v>
      </c>
      <c r="R119" t="s">
        <v>28</v>
      </c>
      <c r="S119" s="4">
        <v>8.0018439400000005</v>
      </c>
      <c r="T119">
        <v>69.367911899999996</v>
      </c>
      <c r="U119">
        <v>69.367911899999996</v>
      </c>
      <c r="V119">
        <v>555.07120530999998</v>
      </c>
      <c r="W119">
        <v>555.07120530999998</v>
      </c>
      <c r="X119">
        <v>0</v>
      </c>
      <c r="Y119">
        <v>5444.6246483799996</v>
      </c>
      <c r="Z119">
        <v>5444.6246483799996</v>
      </c>
      <c r="AA119">
        <v>0</v>
      </c>
      <c r="AB119">
        <v>0</v>
      </c>
      <c r="AC119" t="s">
        <v>84</v>
      </c>
      <c r="AD119" s="35">
        <v>43435</v>
      </c>
    </row>
    <row r="120" spans="1:30" x14ac:dyDescent="0.3">
      <c r="A120">
        <v>443809</v>
      </c>
      <c r="B120" t="s">
        <v>116</v>
      </c>
      <c r="C120">
        <v>2018</v>
      </c>
      <c r="D120">
        <v>12</v>
      </c>
      <c r="E120" t="s">
        <v>87</v>
      </c>
      <c r="F120" t="s">
        <v>84</v>
      </c>
      <c r="G120" t="s">
        <v>84</v>
      </c>
      <c r="H120" t="s">
        <v>25</v>
      </c>
      <c r="I120" t="s">
        <v>25</v>
      </c>
      <c r="J120" t="s">
        <v>101</v>
      </c>
      <c r="K120" t="s">
        <v>88</v>
      </c>
      <c r="L120" t="s">
        <v>103</v>
      </c>
      <c r="M120">
        <v>824.95046656</v>
      </c>
      <c r="N120">
        <v>0</v>
      </c>
      <c r="O120" t="s">
        <v>80</v>
      </c>
      <c r="P120" s="35">
        <v>44284.514580937503</v>
      </c>
      <c r="Q120">
        <v>4215362</v>
      </c>
      <c r="R120" t="s">
        <v>28</v>
      </c>
      <c r="S120" s="4">
        <v>5.4805906999999996</v>
      </c>
      <c r="T120">
        <v>69.367911899999996</v>
      </c>
      <c r="U120">
        <v>69.367911899999996</v>
      </c>
      <c r="V120">
        <v>380.17713315999998</v>
      </c>
      <c r="W120">
        <v>380.17713315999998</v>
      </c>
      <c r="X120">
        <v>0</v>
      </c>
      <c r="Y120">
        <v>5444.6246483799996</v>
      </c>
      <c r="Z120">
        <v>5444.6246483799996</v>
      </c>
      <c r="AA120">
        <v>0</v>
      </c>
      <c r="AB120">
        <v>0</v>
      </c>
      <c r="AC120" t="s">
        <v>84</v>
      </c>
      <c r="AD120" s="35">
        <v>43435</v>
      </c>
    </row>
    <row r="121" spans="1:30" x14ac:dyDescent="0.3">
      <c r="A121">
        <v>144880</v>
      </c>
      <c r="B121" t="s">
        <v>115</v>
      </c>
      <c r="C121">
        <v>2018</v>
      </c>
      <c r="D121">
        <v>11</v>
      </c>
      <c r="E121" t="s">
        <v>89</v>
      </c>
      <c r="F121" t="s">
        <v>84</v>
      </c>
      <c r="G121" t="s">
        <v>84</v>
      </c>
      <c r="H121" t="s">
        <v>25</v>
      </c>
      <c r="I121" t="s">
        <v>25</v>
      </c>
      <c r="J121" t="s">
        <v>101</v>
      </c>
      <c r="K121" t="s">
        <v>90</v>
      </c>
      <c r="L121" t="s">
        <v>103</v>
      </c>
      <c r="M121">
        <v>1036.3887642100001</v>
      </c>
      <c r="N121">
        <v>0</v>
      </c>
      <c r="O121" t="s">
        <v>80</v>
      </c>
      <c r="P121" s="35">
        <v>44269.854264965281</v>
      </c>
      <c r="Q121">
        <v>1337183</v>
      </c>
      <c r="R121" t="s">
        <v>28</v>
      </c>
      <c r="S121" s="4">
        <v>7.1895564199999997</v>
      </c>
      <c r="T121">
        <v>69.367911899999996</v>
      </c>
      <c r="U121">
        <v>69.367911899999996</v>
      </c>
      <c r="V121">
        <v>498.72451634999999</v>
      </c>
      <c r="W121">
        <v>498.72451634999999</v>
      </c>
      <c r="X121">
        <v>0</v>
      </c>
      <c r="Y121">
        <v>5444.6246483799996</v>
      </c>
      <c r="Z121">
        <v>5444.6246483799996</v>
      </c>
      <c r="AA121">
        <v>0</v>
      </c>
      <c r="AB121">
        <v>0</v>
      </c>
      <c r="AC121" t="s">
        <v>84</v>
      </c>
      <c r="AD121" s="35">
        <v>43405</v>
      </c>
    </row>
    <row r="122" spans="1:30" x14ac:dyDescent="0.3">
      <c r="A122">
        <v>446664</v>
      </c>
      <c r="B122" t="s">
        <v>128</v>
      </c>
      <c r="C122">
        <v>2017</v>
      </c>
      <c r="D122">
        <v>11</v>
      </c>
      <c r="E122" t="s">
        <v>85</v>
      </c>
      <c r="F122" t="s">
        <v>84</v>
      </c>
      <c r="G122" t="s">
        <v>84</v>
      </c>
      <c r="H122" t="s">
        <v>25</v>
      </c>
      <c r="I122" t="s">
        <v>25</v>
      </c>
      <c r="J122" t="s">
        <v>101</v>
      </c>
      <c r="K122" t="s">
        <v>86</v>
      </c>
      <c r="L122" t="s">
        <v>103</v>
      </c>
      <c r="M122">
        <v>2041.4187845900001</v>
      </c>
      <c r="N122">
        <v>0</v>
      </c>
      <c r="O122" t="s">
        <v>79</v>
      </c>
      <c r="P122" s="35">
        <v>44284.5259379977</v>
      </c>
      <c r="Q122">
        <v>4237044</v>
      </c>
      <c r="R122" t="s">
        <v>74</v>
      </c>
      <c r="S122" s="4">
        <v>30.344508250000001</v>
      </c>
      <c r="T122">
        <v>68.874458619999999</v>
      </c>
      <c r="U122">
        <v>68.874458619999999</v>
      </c>
      <c r="V122">
        <v>2089.9615779000001</v>
      </c>
      <c r="W122">
        <v>2089.9615779000001</v>
      </c>
      <c r="X122">
        <v>0</v>
      </c>
      <c r="Y122">
        <v>5445.3820717999997</v>
      </c>
      <c r="Z122">
        <v>5445.3820717999997</v>
      </c>
      <c r="AA122">
        <v>0</v>
      </c>
      <c r="AB122">
        <v>0</v>
      </c>
      <c r="AC122" t="s">
        <v>84</v>
      </c>
      <c r="AD122" s="35">
        <v>43040</v>
      </c>
    </row>
    <row r="123" spans="1:30" x14ac:dyDescent="0.3">
      <c r="A123">
        <v>446686</v>
      </c>
      <c r="B123" t="s">
        <v>128</v>
      </c>
      <c r="C123">
        <v>2017</v>
      </c>
      <c r="D123">
        <v>11</v>
      </c>
      <c r="E123" t="s">
        <v>87</v>
      </c>
      <c r="F123" t="s">
        <v>84</v>
      </c>
      <c r="G123" t="s">
        <v>84</v>
      </c>
      <c r="H123" t="s">
        <v>25</v>
      </c>
      <c r="I123" t="s">
        <v>25</v>
      </c>
      <c r="J123" t="s">
        <v>101</v>
      </c>
      <c r="K123" t="s">
        <v>88</v>
      </c>
      <c r="L123" t="s">
        <v>103</v>
      </c>
      <c r="M123">
        <v>547.58038690000001</v>
      </c>
      <c r="N123">
        <v>0</v>
      </c>
      <c r="O123" t="s">
        <v>79</v>
      </c>
      <c r="P123" s="35">
        <v>44284.525938576393</v>
      </c>
      <c r="Q123">
        <v>4237088</v>
      </c>
      <c r="R123" t="s">
        <v>74</v>
      </c>
      <c r="S123" s="4">
        <v>14.68518933</v>
      </c>
      <c r="T123">
        <v>68.874458619999999</v>
      </c>
      <c r="U123">
        <v>68.874458619999999</v>
      </c>
      <c r="V123">
        <v>1011.43446462</v>
      </c>
      <c r="W123">
        <v>1011.43446462</v>
      </c>
      <c r="X123">
        <v>0</v>
      </c>
      <c r="Y123">
        <v>5445.3820717999997</v>
      </c>
      <c r="Z123">
        <v>5445.3820717999997</v>
      </c>
      <c r="AA123">
        <v>0</v>
      </c>
      <c r="AB123">
        <v>0</v>
      </c>
      <c r="AC123" t="s">
        <v>84</v>
      </c>
      <c r="AD123" s="35">
        <v>43040</v>
      </c>
    </row>
    <row r="124" spans="1:30" x14ac:dyDescent="0.3">
      <c r="A124">
        <v>446708</v>
      </c>
      <c r="B124" t="s">
        <v>128</v>
      </c>
      <c r="C124">
        <v>2017</v>
      </c>
      <c r="D124">
        <v>11</v>
      </c>
      <c r="E124" t="s">
        <v>89</v>
      </c>
      <c r="F124" t="s">
        <v>84</v>
      </c>
      <c r="G124" t="s">
        <v>84</v>
      </c>
      <c r="H124" t="s">
        <v>25</v>
      </c>
      <c r="I124" t="s">
        <v>25</v>
      </c>
      <c r="J124" t="s">
        <v>101</v>
      </c>
      <c r="K124" t="s">
        <v>90</v>
      </c>
      <c r="L124" t="s">
        <v>103</v>
      </c>
      <c r="M124">
        <v>1364.6638703399999</v>
      </c>
      <c r="N124">
        <v>0</v>
      </c>
      <c r="O124" t="s">
        <v>79</v>
      </c>
      <c r="P124" s="35">
        <v>44284.525939120373</v>
      </c>
      <c r="Q124">
        <v>4237132</v>
      </c>
      <c r="R124" t="s">
        <v>74</v>
      </c>
      <c r="S124" s="4">
        <v>36.030589689999999</v>
      </c>
      <c r="T124">
        <v>68.874458619999999</v>
      </c>
      <c r="U124">
        <v>68.874458619999999</v>
      </c>
      <c r="V124">
        <v>2481.58735892</v>
      </c>
      <c r="W124">
        <v>2481.58735892</v>
      </c>
      <c r="X124">
        <v>0</v>
      </c>
      <c r="Y124">
        <v>5445.3820717999997</v>
      </c>
      <c r="Z124">
        <v>5445.3820717999997</v>
      </c>
      <c r="AA124">
        <v>0</v>
      </c>
      <c r="AB124">
        <v>0</v>
      </c>
      <c r="AC124" t="s">
        <v>84</v>
      </c>
      <c r="AD124" s="35">
        <v>43040</v>
      </c>
    </row>
    <row r="125" spans="1:30" x14ac:dyDescent="0.3">
      <c r="A125">
        <v>714746</v>
      </c>
      <c r="B125" t="s">
        <v>129</v>
      </c>
      <c r="C125">
        <v>2016</v>
      </c>
      <c r="D125">
        <v>8</v>
      </c>
      <c r="E125" t="s">
        <v>87</v>
      </c>
      <c r="F125" t="s">
        <v>84</v>
      </c>
      <c r="G125" t="s">
        <v>84</v>
      </c>
      <c r="H125" t="s">
        <v>25</v>
      </c>
      <c r="I125" t="s">
        <v>25</v>
      </c>
      <c r="J125" t="s">
        <v>123</v>
      </c>
      <c r="K125" t="s">
        <v>104</v>
      </c>
      <c r="L125" t="s">
        <v>103</v>
      </c>
      <c r="M125">
        <v>935.63531867999995</v>
      </c>
      <c r="N125">
        <v>0</v>
      </c>
      <c r="O125" t="s">
        <v>79</v>
      </c>
      <c r="P125" s="35">
        <v>44334.103428159717</v>
      </c>
      <c r="Q125">
        <v>6248098</v>
      </c>
      <c r="R125" t="s">
        <v>74</v>
      </c>
      <c r="S125" s="4">
        <v>25.092172990000002</v>
      </c>
      <c r="T125">
        <v>70.292952510000006</v>
      </c>
      <c r="U125">
        <v>70.292952510000006</v>
      </c>
      <c r="V125">
        <v>1763.8029246799999</v>
      </c>
      <c r="W125">
        <v>1763.8029246799999</v>
      </c>
      <c r="X125">
        <v>0</v>
      </c>
      <c r="Y125">
        <v>5458.4983368100002</v>
      </c>
      <c r="Z125">
        <v>5458.4983368100002</v>
      </c>
      <c r="AA125">
        <v>0</v>
      </c>
      <c r="AB125">
        <v>0</v>
      </c>
      <c r="AC125" t="s">
        <v>84</v>
      </c>
      <c r="AD125" s="35">
        <v>42583</v>
      </c>
    </row>
    <row r="126" spans="1:30" x14ac:dyDescent="0.3">
      <c r="A126">
        <v>714728</v>
      </c>
      <c r="B126" t="s">
        <v>129</v>
      </c>
      <c r="C126">
        <v>2016</v>
      </c>
      <c r="D126">
        <v>8</v>
      </c>
      <c r="E126" t="s">
        <v>85</v>
      </c>
      <c r="F126" t="s">
        <v>84</v>
      </c>
      <c r="G126" t="s">
        <v>84</v>
      </c>
      <c r="H126" t="s">
        <v>25</v>
      </c>
      <c r="I126" t="s">
        <v>25</v>
      </c>
      <c r="J126" t="s">
        <v>123</v>
      </c>
      <c r="K126" t="s">
        <v>102</v>
      </c>
      <c r="L126" t="s">
        <v>103</v>
      </c>
      <c r="M126">
        <v>2647.0276601700002</v>
      </c>
      <c r="N126">
        <v>0</v>
      </c>
      <c r="O126" t="s">
        <v>79</v>
      </c>
      <c r="P126" s="35">
        <v>44334.103427696762</v>
      </c>
      <c r="Q126">
        <v>6248062</v>
      </c>
      <c r="R126" t="s">
        <v>74</v>
      </c>
      <c r="S126" s="4">
        <v>39.346533540000003</v>
      </c>
      <c r="T126">
        <v>70.292952510000006</v>
      </c>
      <c r="U126">
        <v>70.292952510000006</v>
      </c>
      <c r="V126">
        <v>2765.7840136300001</v>
      </c>
      <c r="W126">
        <v>2765.7840136300001</v>
      </c>
      <c r="X126">
        <v>0</v>
      </c>
      <c r="Y126">
        <v>5458.4983368100002</v>
      </c>
      <c r="Z126">
        <v>5458.4983368100002</v>
      </c>
      <c r="AA126">
        <v>0</v>
      </c>
      <c r="AB126">
        <v>0</v>
      </c>
      <c r="AC126" t="s">
        <v>84</v>
      </c>
      <c r="AD126" s="35">
        <v>42583</v>
      </c>
    </row>
    <row r="127" spans="1:30" x14ac:dyDescent="0.3">
      <c r="A127">
        <v>714764</v>
      </c>
      <c r="B127" t="s">
        <v>129</v>
      </c>
      <c r="C127">
        <v>2016</v>
      </c>
      <c r="D127">
        <v>8</v>
      </c>
      <c r="E127" t="s">
        <v>59</v>
      </c>
      <c r="F127" t="s">
        <v>84</v>
      </c>
      <c r="G127" t="s">
        <v>84</v>
      </c>
      <c r="H127" t="s">
        <v>25</v>
      </c>
      <c r="I127" t="s">
        <v>25</v>
      </c>
      <c r="J127" t="s">
        <v>123</v>
      </c>
      <c r="K127" t="s">
        <v>106</v>
      </c>
      <c r="L127" t="s">
        <v>103</v>
      </c>
      <c r="M127">
        <v>1612.5415291500001</v>
      </c>
      <c r="N127">
        <v>0</v>
      </c>
      <c r="O127" t="s">
        <v>79</v>
      </c>
      <c r="P127" s="35">
        <v>44334.103428622693</v>
      </c>
      <c r="Q127">
        <v>6248134</v>
      </c>
      <c r="R127" t="s">
        <v>74</v>
      </c>
      <c r="S127" s="4">
        <v>42.575189000000002</v>
      </c>
      <c r="T127">
        <v>70.292952510000006</v>
      </c>
      <c r="U127">
        <v>70.292952510000006</v>
      </c>
      <c r="V127">
        <v>2992.7357385999999</v>
      </c>
      <c r="W127">
        <v>2992.7357385999999</v>
      </c>
      <c r="X127">
        <v>0</v>
      </c>
      <c r="Y127">
        <v>5458.4983368100002</v>
      </c>
      <c r="Z127">
        <v>5458.4983368100002</v>
      </c>
      <c r="AA127">
        <v>0</v>
      </c>
      <c r="AB127">
        <v>0</v>
      </c>
      <c r="AC127" t="s">
        <v>84</v>
      </c>
      <c r="AD127" s="35">
        <v>42583</v>
      </c>
    </row>
    <row r="128" spans="1:30" x14ac:dyDescent="0.3">
      <c r="A128">
        <v>505299</v>
      </c>
      <c r="B128" t="s">
        <v>130</v>
      </c>
      <c r="C128">
        <v>2016</v>
      </c>
      <c r="D128">
        <v>11</v>
      </c>
      <c r="E128" t="s">
        <v>87</v>
      </c>
      <c r="F128" t="s">
        <v>84</v>
      </c>
      <c r="G128" t="s">
        <v>84</v>
      </c>
      <c r="H128" t="s">
        <v>25</v>
      </c>
      <c r="I128" t="s">
        <v>25</v>
      </c>
      <c r="J128" t="s">
        <v>101</v>
      </c>
      <c r="K128" t="s">
        <v>88</v>
      </c>
      <c r="L128" t="s">
        <v>103</v>
      </c>
      <c r="M128">
        <v>3.0402221699999998</v>
      </c>
      <c r="N128">
        <v>0</v>
      </c>
      <c r="O128" t="s">
        <v>79</v>
      </c>
      <c r="P128" s="35">
        <v>44330.099023298608</v>
      </c>
      <c r="Q128">
        <v>4677104</v>
      </c>
      <c r="R128" t="s">
        <v>74</v>
      </c>
      <c r="S128" s="4">
        <v>8.1533670000000003E-2</v>
      </c>
      <c r="T128">
        <v>70.292952510000006</v>
      </c>
      <c r="U128">
        <v>70.292952510000006</v>
      </c>
      <c r="V128">
        <v>5.7312423499999996</v>
      </c>
      <c r="W128">
        <v>5.7312423499999996</v>
      </c>
      <c r="X128">
        <v>0</v>
      </c>
      <c r="Y128">
        <v>5458.4983368100002</v>
      </c>
      <c r="Z128">
        <v>5458.4983368100002</v>
      </c>
      <c r="AA128">
        <v>0</v>
      </c>
      <c r="AB128">
        <v>0</v>
      </c>
      <c r="AC128" t="s">
        <v>84</v>
      </c>
      <c r="AD128" s="35">
        <v>42675</v>
      </c>
    </row>
    <row r="129" spans="1:30" x14ac:dyDescent="0.3">
      <c r="A129">
        <v>490499</v>
      </c>
      <c r="B129" t="s">
        <v>131</v>
      </c>
      <c r="C129">
        <v>2016</v>
      </c>
      <c r="D129">
        <v>9</v>
      </c>
      <c r="E129" t="s">
        <v>87</v>
      </c>
      <c r="F129" t="s">
        <v>84</v>
      </c>
      <c r="G129" t="s">
        <v>84</v>
      </c>
      <c r="H129" t="s">
        <v>25</v>
      </c>
      <c r="I129" t="s">
        <v>25</v>
      </c>
      <c r="J129" t="s">
        <v>101</v>
      </c>
      <c r="K129" t="s">
        <v>104</v>
      </c>
      <c r="L129" t="s">
        <v>103</v>
      </c>
      <c r="M129">
        <v>672.74702771</v>
      </c>
      <c r="N129">
        <v>0</v>
      </c>
      <c r="O129" t="s">
        <v>79</v>
      </c>
      <c r="P129" s="35">
        <v>44330.097784641213</v>
      </c>
      <c r="Q129">
        <v>4588298</v>
      </c>
      <c r="R129" t="s">
        <v>74</v>
      </c>
      <c r="S129" s="4">
        <v>18.0419491</v>
      </c>
      <c r="T129">
        <v>70.292952510000006</v>
      </c>
      <c r="U129">
        <v>70.292952510000006</v>
      </c>
      <c r="V129">
        <v>1268.22187166</v>
      </c>
      <c r="W129">
        <v>1268.22187166</v>
      </c>
      <c r="X129">
        <v>0</v>
      </c>
      <c r="Y129">
        <v>5458.4983368100002</v>
      </c>
      <c r="Z129">
        <v>5458.4983368100002</v>
      </c>
      <c r="AA129">
        <v>0</v>
      </c>
      <c r="AB129">
        <v>0</v>
      </c>
      <c r="AC129" t="s">
        <v>84</v>
      </c>
      <c r="AD129" s="35">
        <v>42614</v>
      </c>
    </row>
    <row r="130" spans="1:30" x14ac:dyDescent="0.3">
      <c r="A130">
        <v>518451</v>
      </c>
      <c r="B130" t="s">
        <v>132</v>
      </c>
      <c r="C130">
        <v>2016</v>
      </c>
      <c r="D130">
        <v>12</v>
      </c>
      <c r="E130" t="s">
        <v>87</v>
      </c>
      <c r="F130" t="s">
        <v>84</v>
      </c>
      <c r="G130" t="s">
        <v>84</v>
      </c>
      <c r="H130" t="s">
        <v>25</v>
      </c>
      <c r="I130" t="s">
        <v>25</v>
      </c>
      <c r="J130" t="s">
        <v>101</v>
      </c>
      <c r="K130" t="s">
        <v>88</v>
      </c>
      <c r="L130" t="s">
        <v>103</v>
      </c>
      <c r="M130">
        <v>5.24655E-3</v>
      </c>
      <c r="N130">
        <v>0</v>
      </c>
      <c r="O130" t="s">
        <v>79</v>
      </c>
      <c r="P130" s="35">
        <v>44330.100235682869</v>
      </c>
      <c r="Q130">
        <v>4792710</v>
      </c>
      <c r="R130" t="s">
        <v>74</v>
      </c>
      <c r="S130" s="4">
        <v>1.407E-4</v>
      </c>
      <c r="T130">
        <v>70.292952510000006</v>
      </c>
      <c r="U130">
        <v>70.292952510000006</v>
      </c>
      <c r="V130">
        <v>9.8904700000000002E-3</v>
      </c>
      <c r="W130">
        <v>9.8904700000000002E-3</v>
      </c>
      <c r="X130">
        <v>0</v>
      </c>
      <c r="Y130">
        <v>5458.4983368100002</v>
      </c>
      <c r="Z130">
        <v>5458.4983368100002</v>
      </c>
      <c r="AA130">
        <v>0</v>
      </c>
      <c r="AB130">
        <v>0</v>
      </c>
      <c r="AC130" t="s">
        <v>84</v>
      </c>
      <c r="AD130" s="35">
        <v>42705</v>
      </c>
    </row>
    <row r="131" spans="1:30" x14ac:dyDescent="0.3">
      <c r="A131">
        <v>490481</v>
      </c>
      <c r="B131" t="s">
        <v>131</v>
      </c>
      <c r="C131">
        <v>2016</v>
      </c>
      <c r="D131">
        <v>9</v>
      </c>
      <c r="E131" t="s">
        <v>85</v>
      </c>
      <c r="F131" t="s">
        <v>84</v>
      </c>
      <c r="G131" t="s">
        <v>84</v>
      </c>
      <c r="H131" t="s">
        <v>25</v>
      </c>
      <c r="I131" t="s">
        <v>25</v>
      </c>
      <c r="J131" t="s">
        <v>101</v>
      </c>
      <c r="K131" t="s">
        <v>86</v>
      </c>
      <c r="L131" t="s">
        <v>103</v>
      </c>
      <c r="M131">
        <v>2263.3159081700001</v>
      </c>
      <c r="N131">
        <v>0</v>
      </c>
      <c r="O131" t="s">
        <v>79</v>
      </c>
      <c r="P131" s="35">
        <v>44330.097784143523</v>
      </c>
      <c r="Q131">
        <v>4588262</v>
      </c>
      <c r="R131" t="s">
        <v>74</v>
      </c>
      <c r="S131" s="4">
        <v>33.642880519999999</v>
      </c>
      <c r="T131">
        <v>70.292952510000006</v>
      </c>
      <c r="U131">
        <v>70.292952510000006</v>
      </c>
      <c r="V131">
        <v>2364.85740244</v>
      </c>
      <c r="W131">
        <v>2364.85740244</v>
      </c>
      <c r="X131">
        <v>0</v>
      </c>
      <c r="Y131">
        <v>5458.4983368100002</v>
      </c>
      <c r="Z131">
        <v>5458.4983368100002</v>
      </c>
      <c r="AA131">
        <v>0</v>
      </c>
      <c r="AB131">
        <v>0</v>
      </c>
      <c r="AC131" t="s">
        <v>84</v>
      </c>
      <c r="AD131" s="35">
        <v>42614</v>
      </c>
    </row>
    <row r="132" spans="1:30" x14ac:dyDescent="0.3">
      <c r="A132">
        <v>490517</v>
      </c>
      <c r="B132" t="s">
        <v>131</v>
      </c>
      <c r="C132">
        <v>2016</v>
      </c>
      <c r="D132">
        <v>9</v>
      </c>
      <c r="E132" t="s">
        <v>89</v>
      </c>
      <c r="F132" t="s">
        <v>84</v>
      </c>
      <c r="G132" t="s">
        <v>84</v>
      </c>
      <c r="H132" t="s">
        <v>25</v>
      </c>
      <c r="I132" t="s">
        <v>25</v>
      </c>
      <c r="J132" t="s">
        <v>101</v>
      </c>
      <c r="K132" t="s">
        <v>90</v>
      </c>
      <c r="L132" t="s">
        <v>103</v>
      </c>
      <c r="M132">
        <v>1264.39372551</v>
      </c>
      <c r="N132">
        <v>0</v>
      </c>
      <c r="O132" t="s">
        <v>79</v>
      </c>
      <c r="P132" s="35">
        <v>44330.097785150458</v>
      </c>
      <c r="Q132">
        <v>4588334</v>
      </c>
      <c r="R132" t="s">
        <v>74</v>
      </c>
      <c r="S132" s="4">
        <v>33.383203379999998</v>
      </c>
      <c r="T132">
        <v>70.292952510000006</v>
      </c>
      <c r="U132">
        <v>70.292952510000006</v>
      </c>
      <c r="V132">
        <v>2346.60393024</v>
      </c>
      <c r="W132">
        <v>2346.60393024</v>
      </c>
      <c r="X132">
        <v>0</v>
      </c>
      <c r="Y132">
        <v>5458.4983368100002</v>
      </c>
      <c r="Z132">
        <v>5458.4983368100002</v>
      </c>
      <c r="AA132">
        <v>0</v>
      </c>
      <c r="AB132">
        <v>0</v>
      </c>
      <c r="AC132" t="s">
        <v>84</v>
      </c>
      <c r="AD132" s="35">
        <v>42614</v>
      </c>
    </row>
    <row r="133" spans="1:30" x14ac:dyDescent="0.3">
      <c r="A133">
        <v>505281</v>
      </c>
      <c r="B133" t="s">
        <v>130</v>
      </c>
      <c r="C133">
        <v>2016</v>
      </c>
      <c r="D133">
        <v>11</v>
      </c>
      <c r="E133" t="s">
        <v>85</v>
      </c>
      <c r="F133" t="s">
        <v>84</v>
      </c>
      <c r="G133" t="s">
        <v>84</v>
      </c>
      <c r="H133" t="s">
        <v>25</v>
      </c>
      <c r="I133" t="s">
        <v>25</v>
      </c>
      <c r="J133" t="s">
        <v>101</v>
      </c>
      <c r="K133" t="s">
        <v>86</v>
      </c>
      <c r="L133" t="s">
        <v>103</v>
      </c>
      <c r="M133">
        <v>10.93651025</v>
      </c>
      <c r="N133">
        <v>0</v>
      </c>
      <c r="O133" t="s">
        <v>79</v>
      </c>
      <c r="P133" s="35">
        <v>44330.09902276619</v>
      </c>
      <c r="Q133">
        <v>4677068</v>
      </c>
      <c r="R133" t="s">
        <v>74</v>
      </c>
      <c r="S133" s="4">
        <v>0.16256488999999999</v>
      </c>
      <c r="T133">
        <v>70.292952510000006</v>
      </c>
      <c r="U133">
        <v>70.292952510000006</v>
      </c>
      <c r="V133">
        <v>11.42716628</v>
      </c>
      <c r="W133">
        <v>11.42716628</v>
      </c>
      <c r="X133">
        <v>0</v>
      </c>
      <c r="Y133">
        <v>5458.4983368100002</v>
      </c>
      <c r="Z133">
        <v>5458.4983368100002</v>
      </c>
      <c r="AA133">
        <v>0</v>
      </c>
      <c r="AB133">
        <v>0</v>
      </c>
      <c r="AC133" t="s">
        <v>84</v>
      </c>
      <c r="AD133" s="35">
        <v>42675</v>
      </c>
    </row>
    <row r="134" spans="1:30" x14ac:dyDescent="0.3">
      <c r="A134">
        <v>496212</v>
      </c>
      <c r="B134" t="s">
        <v>133</v>
      </c>
      <c r="C134">
        <v>2016</v>
      </c>
      <c r="D134">
        <v>10</v>
      </c>
      <c r="E134" t="s">
        <v>89</v>
      </c>
      <c r="F134" t="s">
        <v>84</v>
      </c>
      <c r="G134" t="s">
        <v>84</v>
      </c>
      <c r="H134" t="s">
        <v>25</v>
      </c>
      <c r="I134" t="s">
        <v>25</v>
      </c>
      <c r="J134" t="s">
        <v>101</v>
      </c>
      <c r="K134" t="s">
        <v>90</v>
      </c>
      <c r="L134" t="s">
        <v>103</v>
      </c>
      <c r="M134">
        <v>717.31728549000002</v>
      </c>
      <c r="N134">
        <v>0</v>
      </c>
      <c r="O134" t="s">
        <v>79</v>
      </c>
      <c r="P134" s="35">
        <v>44330.098264814813</v>
      </c>
      <c r="Q134">
        <v>4615654</v>
      </c>
      <c r="R134" t="s">
        <v>74</v>
      </c>
      <c r="S134" s="4">
        <v>18.938996889999999</v>
      </c>
      <c r="T134">
        <v>70.292952510000006</v>
      </c>
      <c r="U134">
        <v>70.292952510000006</v>
      </c>
      <c r="V134">
        <v>1331.2780089099999</v>
      </c>
      <c r="W134">
        <v>1331.2780089099999</v>
      </c>
      <c r="X134">
        <v>0</v>
      </c>
      <c r="Y134">
        <v>5458.4983368100002</v>
      </c>
      <c r="Z134">
        <v>5458.4983368100002</v>
      </c>
      <c r="AA134">
        <v>0</v>
      </c>
      <c r="AB134">
        <v>0</v>
      </c>
      <c r="AC134" t="s">
        <v>84</v>
      </c>
      <c r="AD134" s="35">
        <v>42644</v>
      </c>
    </row>
    <row r="135" spans="1:30" x14ac:dyDescent="0.3">
      <c r="A135">
        <v>518469</v>
      </c>
      <c r="B135" t="s">
        <v>132</v>
      </c>
      <c r="C135">
        <v>2016</v>
      </c>
      <c r="D135">
        <v>12</v>
      </c>
      <c r="E135" t="s">
        <v>89</v>
      </c>
      <c r="F135" t="s">
        <v>84</v>
      </c>
      <c r="G135" t="s">
        <v>84</v>
      </c>
      <c r="H135" t="s">
        <v>25</v>
      </c>
      <c r="I135" t="s">
        <v>25</v>
      </c>
      <c r="J135" t="s">
        <v>101</v>
      </c>
      <c r="K135" t="s">
        <v>90</v>
      </c>
      <c r="L135" t="s">
        <v>103</v>
      </c>
      <c r="M135">
        <v>7.6207699999999998E-3</v>
      </c>
      <c r="N135">
        <v>0</v>
      </c>
      <c r="O135" t="s">
        <v>79</v>
      </c>
      <c r="P135" s="35">
        <v>44330.100236226863</v>
      </c>
      <c r="Q135">
        <v>4792746</v>
      </c>
      <c r="R135" t="s">
        <v>74</v>
      </c>
      <c r="S135" s="4">
        <v>2.0121000000000001E-4</v>
      </c>
      <c r="T135">
        <v>70.292952510000006</v>
      </c>
      <c r="U135">
        <v>70.292952510000006</v>
      </c>
      <c r="V135">
        <v>1.414348E-2</v>
      </c>
      <c r="W135">
        <v>1.414348E-2</v>
      </c>
      <c r="X135">
        <v>0</v>
      </c>
      <c r="Y135">
        <v>5458.4983368100002</v>
      </c>
      <c r="Z135">
        <v>5458.4983368100002</v>
      </c>
      <c r="AA135">
        <v>0</v>
      </c>
      <c r="AB135">
        <v>0</v>
      </c>
      <c r="AC135" t="s">
        <v>84</v>
      </c>
      <c r="AD135" s="35">
        <v>42705</v>
      </c>
    </row>
    <row r="136" spans="1:30" x14ac:dyDescent="0.3">
      <c r="A136">
        <v>672470</v>
      </c>
      <c r="B136" t="s">
        <v>134</v>
      </c>
      <c r="C136">
        <v>2016</v>
      </c>
      <c r="D136">
        <v>5</v>
      </c>
      <c r="E136" t="s">
        <v>87</v>
      </c>
      <c r="F136" t="s">
        <v>84</v>
      </c>
      <c r="G136" t="s">
        <v>84</v>
      </c>
      <c r="H136" t="s">
        <v>25</v>
      </c>
      <c r="I136" t="s">
        <v>25</v>
      </c>
      <c r="J136" t="s">
        <v>101</v>
      </c>
      <c r="K136" t="s">
        <v>104</v>
      </c>
      <c r="L136" t="s">
        <v>103</v>
      </c>
      <c r="M136">
        <v>1352.1891427099999</v>
      </c>
      <c r="N136">
        <v>0</v>
      </c>
      <c r="O136" t="s">
        <v>79</v>
      </c>
      <c r="P136" s="35">
        <v>44334.07016489582</v>
      </c>
      <c r="Q136">
        <v>5939551</v>
      </c>
      <c r="R136" t="s">
        <v>74</v>
      </c>
      <c r="S136" s="4">
        <v>36.26344924</v>
      </c>
      <c r="T136">
        <v>70.292952510000006</v>
      </c>
      <c r="U136">
        <v>70.292952510000006</v>
      </c>
      <c r="V136">
        <v>2549.0649155900001</v>
      </c>
      <c r="W136">
        <v>2549.0649155900001</v>
      </c>
      <c r="X136">
        <v>0</v>
      </c>
      <c r="Y136">
        <v>5458.4983368100002</v>
      </c>
      <c r="Z136">
        <v>5458.4983368100002</v>
      </c>
      <c r="AA136">
        <v>0</v>
      </c>
      <c r="AB136">
        <v>0</v>
      </c>
      <c r="AC136" t="s">
        <v>84</v>
      </c>
      <c r="AD136" s="35">
        <v>42491</v>
      </c>
    </row>
    <row r="137" spans="1:30" x14ac:dyDescent="0.3">
      <c r="A137">
        <v>518433</v>
      </c>
      <c r="B137" t="s">
        <v>132</v>
      </c>
      <c r="C137">
        <v>2016</v>
      </c>
      <c r="D137">
        <v>12</v>
      </c>
      <c r="E137" t="s">
        <v>85</v>
      </c>
      <c r="F137" t="s">
        <v>84</v>
      </c>
      <c r="G137" t="s">
        <v>84</v>
      </c>
      <c r="H137" t="s">
        <v>25</v>
      </c>
      <c r="I137" t="s">
        <v>25</v>
      </c>
      <c r="J137" t="s">
        <v>101</v>
      </c>
      <c r="K137" t="s">
        <v>86</v>
      </c>
      <c r="L137" t="s">
        <v>103</v>
      </c>
      <c r="M137">
        <v>2.1233140000000001E-2</v>
      </c>
      <c r="N137">
        <v>0</v>
      </c>
      <c r="O137" t="s">
        <v>79</v>
      </c>
      <c r="P137" s="35">
        <v>44330.1002351852</v>
      </c>
      <c r="Q137">
        <v>4792674</v>
      </c>
      <c r="R137" t="s">
        <v>74</v>
      </c>
      <c r="S137" s="4">
        <v>3.1562000000000002E-4</v>
      </c>
      <c r="T137">
        <v>70.292952510000006</v>
      </c>
      <c r="U137">
        <v>70.292952510000006</v>
      </c>
      <c r="V137">
        <v>2.2185739999999999E-2</v>
      </c>
      <c r="W137">
        <v>2.2185739999999999E-2</v>
      </c>
      <c r="X137">
        <v>0</v>
      </c>
      <c r="Y137">
        <v>5458.4983368100002</v>
      </c>
      <c r="Z137">
        <v>5458.4983368100002</v>
      </c>
      <c r="AA137">
        <v>0</v>
      </c>
      <c r="AB137">
        <v>0</v>
      </c>
      <c r="AC137" t="s">
        <v>84</v>
      </c>
      <c r="AD137" s="35">
        <v>42705</v>
      </c>
    </row>
    <row r="138" spans="1:30" x14ac:dyDescent="0.3">
      <c r="A138">
        <v>672452</v>
      </c>
      <c r="B138" t="s">
        <v>134</v>
      </c>
      <c r="C138">
        <v>2016</v>
      </c>
      <c r="D138">
        <v>5</v>
      </c>
      <c r="E138" t="s">
        <v>85</v>
      </c>
      <c r="F138" t="s">
        <v>84</v>
      </c>
      <c r="G138" t="s">
        <v>84</v>
      </c>
      <c r="H138" t="s">
        <v>25</v>
      </c>
      <c r="I138" t="s">
        <v>25</v>
      </c>
      <c r="J138" t="s">
        <v>101</v>
      </c>
      <c r="K138" t="s">
        <v>102</v>
      </c>
      <c r="L138" t="s">
        <v>103</v>
      </c>
      <c r="M138">
        <v>4669.0953959799999</v>
      </c>
      <c r="N138">
        <v>0</v>
      </c>
      <c r="O138" t="s">
        <v>79</v>
      </c>
      <c r="P138" s="35">
        <v>44334.070164432873</v>
      </c>
      <c r="Q138">
        <v>5939515</v>
      </c>
      <c r="R138" t="s">
        <v>74</v>
      </c>
      <c r="S138" s="4">
        <v>69.403399649999997</v>
      </c>
      <c r="T138">
        <v>70.292952510000006</v>
      </c>
      <c r="U138">
        <v>70.292952510000006</v>
      </c>
      <c r="V138">
        <v>4878.5698761800004</v>
      </c>
      <c r="W138">
        <v>4878.5698761800004</v>
      </c>
      <c r="X138">
        <v>0</v>
      </c>
      <c r="Y138">
        <v>5458.4983368100002</v>
      </c>
      <c r="Z138">
        <v>5458.4983368100002</v>
      </c>
      <c r="AA138">
        <v>0</v>
      </c>
      <c r="AB138">
        <v>0</v>
      </c>
      <c r="AC138" t="s">
        <v>84</v>
      </c>
      <c r="AD138" s="35">
        <v>42491</v>
      </c>
    </row>
    <row r="139" spans="1:30" x14ac:dyDescent="0.3">
      <c r="A139">
        <v>730808</v>
      </c>
      <c r="B139" t="s">
        <v>135</v>
      </c>
      <c r="C139">
        <v>2016</v>
      </c>
      <c r="D139">
        <v>7</v>
      </c>
      <c r="E139" t="s">
        <v>59</v>
      </c>
      <c r="F139" t="s">
        <v>84</v>
      </c>
      <c r="G139" t="s">
        <v>84</v>
      </c>
      <c r="H139" t="s">
        <v>25</v>
      </c>
      <c r="I139" t="s">
        <v>25</v>
      </c>
      <c r="J139" t="s">
        <v>101</v>
      </c>
      <c r="K139" t="s">
        <v>106</v>
      </c>
      <c r="L139" t="s">
        <v>103</v>
      </c>
      <c r="M139">
        <v>2027.083069</v>
      </c>
      <c r="N139">
        <v>0</v>
      </c>
      <c r="O139" t="s">
        <v>79</v>
      </c>
      <c r="P139" s="35">
        <v>44334.10707554398</v>
      </c>
      <c r="Q139">
        <v>6360147</v>
      </c>
      <c r="R139" t="s">
        <v>74</v>
      </c>
      <c r="S139" s="4">
        <v>53.520137759999997</v>
      </c>
      <c r="T139">
        <v>70.292952510000006</v>
      </c>
      <c r="U139">
        <v>70.292952510000006</v>
      </c>
      <c r="V139">
        <v>3762.0885019399998</v>
      </c>
      <c r="W139">
        <v>3762.0885019399998</v>
      </c>
      <c r="X139">
        <v>0</v>
      </c>
      <c r="Y139">
        <v>5458.4983368100002</v>
      </c>
      <c r="Z139">
        <v>5458.4983368100002</v>
      </c>
      <c r="AA139">
        <v>0</v>
      </c>
      <c r="AB139">
        <v>0</v>
      </c>
      <c r="AC139" t="s">
        <v>84</v>
      </c>
      <c r="AD139" s="35">
        <v>42552</v>
      </c>
    </row>
    <row r="140" spans="1:30" x14ac:dyDescent="0.3">
      <c r="A140">
        <v>496176</v>
      </c>
      <c r="B140" t="s">
        <v>133</v>
      </c>
      <c r="C140">
        <v>2016</v>
      </c>
      <c r="D140">
        <v>10</v>
      </c>
      <c r="E140" t="s">
        <v>85</v>
      </c>
      <c r="F140" t="s">
        <v>84</v>
      </c>
      <c r="G140" t="s">
        <v>84</v>
      </c>
      <c r="H140" t="s">
        <v>25</v>
      </c>
      <c r="I140" t="s">
        <v>25</v>
      </c>
      <c r="J140" t="s">
        <v>101</v>
      </c>
      <c r="K140" t="s">
        <v>86</v>
      </c>
      <c r="L140" t="s">
        <v>103</v>
      </c>
      <c r="M140">
        <v>1382.4463402700001</v>
      </c>
      <c r="N140">
        <v>0</v>
      </c>
      <c r="O140" t="s">
        <v>79</v>
      </c>
      <c r="P140" s="35">
        <v>44330.098263807871</v>
      </c>
      <c r="Q140">
        <v>4615582</v>
      </c>
      <c r="R140" t="s">
        <v>74</v>
      </c>
      <c r="S140" s="4">
        <v>20.549264409999999</v>
      </c>
      <c r="T140">
        <v>70.292952510000006</v>
      </c>
      <c r="U140">
        <v>70.292952510000006</v>
      </c>
      <c r="V140">
        <v>1444.4684674600001</v>
      </c>
      <c r="W140">
        <v>1444.4684674600001</v>
      </c>
      <c r="X140">
        <v>0</v>
      </c>
      <c r="Y140">
        <v>5458.4983368100002</v>
      </c>
      <c r="Z140">
        <v>5458.4983368100002</v>
      </c>
      <c r="AA140">
        <v>0</v>
      </c>
      <c r="AB140">
        <v>0</v>
      </c>
      <c r="AC140" t="s">
        <v>84</v>
      </c>
      <c r="AD140" s="35">
        <v>42644</v>
      </c>
    </row>
    <row r="141" spans="1:30" x14ac:dyDescent="0.3">
      <c r="A141">
        <v>505317</v>
      </c>
      <c r="B141" t="s">
        <v>130</v>
      </c>
      <c r="C141">
        <v>2016</v>
      </c>
      <c r="D141">
        <v>11</v>
      </c>
      <c r="E141" t="s">
        <v>89</v>
      </c>
      <c r="F141" t="s">
        <v>84</v>
      </c>
      <c r="G141" t="s">
        <v>84</v>
      </c>
      <c r="H141" t="s">
        <v>25</v>
      </c>
      <c r="I141" t="s">
        <v>25</v>
      </c>
      <c r="J141" t="s">
        <v>101</v>
      </c>
      <c r="K141" t="s">
        <v>90</v>
      </c>
      <c r="L141" t="s">
        <v>103</v>
      </c>
      <c r="M141">
        <v>4.6410682200000002</v>
      </c>
      <c r="N141">
        <v>0</v>
      </c>
      <c r="O141" t="s">
        <v>79</v>
      </c>
      <c r="P141" s="35">
        <v>44330.099023842587</v>
      </c>
      <c r="Q141">
        <v>4677140</v>
      </c>
      <c r="R141" t="s">
        <v>74</v>
      </c>
      <c r="S141" s="4">
        <v>0.12253598</v>
      </c>
      <c r="T141">
        <v>70.292952510000006</v>
      </c>
      <c r="U141">
        <v>70.292952510000006</v>
      </c>
      <c r="V141">
        <v>8.6134158299999992</v>
      </c>
      <c r="W141">
        <v>8.6134158299999992</v>
      </c>
      <c r="X141">
        <v>0</v>
      </c>
      <c r="Y141">
        <v>5458.4983368100002</v>
      </c>
      <c r="Z141">
        <v>5458.4983368100002</v>
      </c>
      <c r="AA141">
        <v>0</v>
      </c>
      <c r="AB141">
        <v>0</v>
      </c>
      <c r="AC141" t="s">
        <v>84</v>
      </c>
      <c r="AD141" s="35">
        <v>42675</v>
      </c>
    </row>
    <row r="142" spans="1:30" x14ac:dyDescent="0.3">
      <c r="A142">
        <v>672488</v>
      </c>
      <c r="B142" t="s">
        <v>134</v>
      </c>
      <c r="C142">
        <v>2016</v>
      </c>
      <c r="D142">
        <v>5</v>
      </c>
      <c r="E142" t="s">
        <v>59</v>
      </c>
      <c r="F142" t="s">
        <v>84</v>
      </c>
      <c r="G142" t="s">
        <v>84</v>
      </c>
      <c r="H142" t="s">
        <v>25</v>
      </c>
      <c r="I142" t="s">
        <v>25</v>
      </c>
      <c r="J142" t="s">
        <v>101</v>
      </c>
      <c r="K142" t="s">
        <v>106</v>
      </c>
      <c r="L142" t="s">
        <v>103</v>
      </c>
      <c r="M142">
        <v>2057.3166490100002</v>
      </c>
      <c r="N142">
        <v>0</v>
      </c>
      <c r="O142" t="s">
        <v>79</v>
      </c>
      <c r="P142" s="35">
        <v>44334.070165358797</v>
      </c>
      <c r="Q142">
        <v>5939587</v>
      </c>
      <c r="R142" t="s">
        <v>74</v>
      </c>
      <c r="S142" s="4">
        <v>54.318381000000002</v>
      </c>
      <c r="T142">
        <v>70.292952510000006</v>
      </c>
      <c r="U142">
        <v>70.292952510000006</v>
      </c>
      <c r="V142">
        <v>3818.1993764499998</v>
      </c>
      <c r="W142">
        <v>3818.1993764499998</v>
      </c>
      <c r="X142">
        <v>0</v>
      </c>
      <c r="Y142">
        <v>5458.4983368100002</v>
      </c>
      <c r="Z142">
        <v>5458.4983368100002</v>
      </c>
      <c r="AA142">
        <v>0</v>
      </c>
      <c r="AB142">
        <v>0</v>
      </c>
      <c r="AC142" t="s">
        <v>84</v>
      </c>
      <c r="AD142" s="35">
        <v>42491</v>
      </c>
    </row>
    <row r="143" spans="1:30" x14ac:dyDescent="0.3">
      <c r="A143">
        <v>723860</v>
      </c>
      <c r="B143" t="s">
        <v>136</v>
      </c>
      <c r="C143">
        <v>2016</v>
      </c>
      <c r="D143">
        <v>6</v>
      </c>
      <c r="E143" t="s">
        <v>87</v>
      </c>
      <c r="F143" t="s">
        <v>84</v>
      </c>
      <c r="G143" t="s">
        <v>84</v>
      </c>
      <c r="H143" t="s">
        <v>25</v>
      </c>
      <c r="I143" t="s">
        <v>25</v>
      </c>
      <c r="J143" t="s">
        <v>101</v>
      </c>
      <c r="K143" t="s">
        <v>104</v>
      </c>
      <c r="L143" t="s">
        <v>103</v>
      </c>
      <c r="M143">
        <v>1074.09600742</v>
      </c>
      <c r="N143">
        <v>0</v>
      </c>
      <c r="O143" t="s">
        <v>79</v>
      </c>
      <c r="P143" s="35">
        <v>44334.10644262733</v>
      </c>
      <c r="Q143">
        <v>6309599</v>
      </c>
      <c r="R143" t="s">
        <v>74</v>
      </c>
      <c r="S143" s="4">
        <v>28.805456880000001</v>
      </c>
      <c r="T143">
        <v>70.292952510000006</v>
      </c>
      <c r="U143">
        <v>70.292952510000006</v>
      </c>
      <c r="V143">
        <v>2024.8206127399999</v>
      </c>
      <c r="W143">
        <v>2024.8206127399999</v>
      </c>
      <c r="X143">
        <v>0</v>
      </c>
      <c r="Y143">
        <v>5458.4983368100002</v>
      </c>
      <c r="Z143">
        <v>5458.4983368100002</v>
      </c>
      <c r="AA143">
        <v>0</v>
      </c>
      <c r="AB143">
        <v>0</v>
      </c>
      <c r="AC143" t="s">
        <v>84</v>
      </c>
      <c r="AD143" s="35">
        <v>42522</v>
      </c>
    </row>
    <row r="144" spans="1:30" x14ac:dyDescent="0.3">
      <c r="A144">
        <v>723842</v>
      </c>
      <c r="B144" t="s">
        <v>136</v>
      </c>
      <c r="C144">
        <v>2016</v>
      </c>
      <c r="D144">
        <v>6</v>
      </c>
      <c r="E144" t="s">
        <v>85</v>
      </c>
      <c r="F144" t="s">
        <v>84</v>
      </c>
      <c r="G144" t="s">
        <v>84</v>
      </c>
      <c r="H144" t="s">
        <v>25</v>
      </c>
      <c r="I144" t="s">
        <v>25</v>
      </c>
      <c r="J144" t="s">
        <v>101</v>
      </c>
      <c r="K144" t="s">
        <v>102</v>
      </c>
      <c r="L144" t="s">
        <v>103</v>
      </c>
      <c r="M144">
        <v>3755.8750081799999</v>
      </c>
      <c r="N144">
        <v>0</v>
      </c>
      <c r="O144" t="s">
        <v>79</v>
      </c>
      <c r="P144" s="35">
        <v>44334.106442164353</v>
      </c>
      <c r="Q144">
        <v>6309563</v>
      </c>
      <c r="R144" t="s">
        <v>74</v>
      </c>
      <c r="S144" s="4">
        <v>55.828907340000001</v>
      </c>
      <c r="T144">
        <v>70.292952510000006</v>
      </c>
      <c r="U144">
        <v>70.292952510000006</v>
      </c>
      <c r="V144">
        <v>3924.3787328399999</v>
      </c>
      <c r="W144">
        <v>3924.3787328399999</v>
      </c>
      <c r="X144">
        <v>0</v>
      </c>
      <c r="Y144">
        <v>5458.4983368100002</v>
      </c>
      <c r="Z144">
        <v>5458.4983368100002</v>
      </c>
      <c r="AA144">
        <v>0</v>
      </c>
      <c r="AB144">
        <v>0</v>
      </c>
      <c r="AC144" t="s">
        <v>84</v>
      </c>
      <c r="AD144" s="35">
        <v>42522</v>
      </c>
    </row>
    <row r="145" spans="1:30" x14ac:dyDescent="0.3">
      <c r="A145">
        <v>496194</v>
      </c>
      <c r="B145" t="s">
        <v>133</v>
      </c>
      <c r="C145">
        <v>2016</v>
      </c>
      <c r="D145">
        <v>10</v>
      </c>
      <c r="E145" t="s">
        <v>87</v>
      </c>
      <c r="F145" t="s">
        <v>84</v>
      </c>
      <c r="G145" t="s">
        <v>84</v>
      </c>
      <c r="H145" t="s">
        <v>25</v>
      </c>
      <c r="I145" t="s">
        <v>25</v>
      </c>
      <c r="J145" t="s">
        <v>101</v>
      </c>
      <c r="K145" t="s">
        <v>88</v>
      </c>
      <c r="L145" t="s">
        <v>103</v>
      </c>
      <c r="M145">
        <v>420.24133938</v>
      </c>
      <c r="N145">
        <v>0</v>
      </c>
      <c r="O145" t="s">
        <v>79</v>
      </c>
      <c r="P145" s="35">
        <v>44330.098264351851</v>
      </c>
      <c r="Q145">
        <v>4615618</v>
      </c>
      <c r="R145" t="s">
        <v>74</v>
      </c>
      <c r="S145" s="4">
        <v>11.27016924</v>
      </c>
      <c r="T145">
        <v>70.292952510000006</v>
      </c>
      <c r="U145">
        <v>70.292952510000006</v>
      </c>
      <c r="V145">
        <v>792.21347105999996</v>
      </c>
      <c r="W145">
        <v>792.21347105999996</v>
      </c>
      <c r="X145">
        <v>0</v>
      </c>
      <c r="Y145">
        <v>5458.4983368100002</v>
      </c>
      <c r="Z145">
        <v>5458.4983368100002</v>
      </c>
      <c r="AA145">
        <v>0</v>
      </c>
      <c r="AB145">
        <v>0</v>
      </c>
      <c r="AC145" t="s">
        <v>84</v>
      </c>
      <c r="AD145" s="35">
        <v>42644</v>
      </c>
    </row>
    <row r="146" spans="1:30" x14ac:dyDescent="0.3">
      <c r="A146">
        <v>723878</v>
      </c>
      <c r="B146" t="s">
        <v>136</v>
      </c>
      <c r="C146">
        <v>2016</v>
      </c>
      <c r="D146">
        <v>6</v>
      </c>
      <c r="E146" t="s">
        <v>59</v>
      </c>
      <c r="F146" t="s">
        <v>84</v>
      </c>
      <c r="G146" t="s">
        <v>84</v>
      </c>
      <c r="H146" t="s">
        <v>25</v>
      </c>
      <c r="I146" t="s">
        <v>25</v>
      </c>
      <c r="J146" t="s">
        <v>101</v>
      </c>
      <c r="K146" t="s">
        <v>106</v>
      </c>
      <c r="L146" t="s">
        <v>103</v>
      </c>
      <c r="M146">
        <v>1810.25289694</v>
      </c>
      <c r="N146">
        <v>0</v>
      </c>
      <c r="O146" t="s">
        <v>79</v>
      </c>
      <c r="P146" s="35">
        <v>44334.106443090277</v>
      </c>
      <c r="Q146">
        <v>6309635</v>
      </c>
      <c r="R146" t="s">
        <v>74</v>
      </c>
      <c r="S146" s="4">
        <v>47.795270899999998</v>
      </c>
      <c r="T146">
        <v>70.292952510000006</v>
      </c>
      <c r="U146">
        <v>70.292952510000006</v>
      </c>
      <c r="V146">
        <v>3359.6707077900001</v>
      </c>
      <c r="W146">
        <v>3359.6707077900001</v>
      </c>
      <c r="X146">
        <v>0</v>
      </c>
      <c r="Y146">
        <v>5458.4983368100002</v>
      </c>
      <c r="Z146">
        <v>5458.4983368100002</v>
      </c>
      <c r="AA146">
        <v>0</v>
      </c>
      <c r="AB146">
        <v>0</v>
      </c>
      <c r="AC146" t="s">
        <v>84</v>
      </c>
      <c r="AD146" s="35">
        <v>42522</v>
      </c>
    </row>
    <row r="147" spans="1:30" x14ac:dyDescent="0.3">
      <c r="A147">
        <v>730772</v>
      </c>
      <c r="B147" t="s">
        <v>135</v>
      </c>
      <c r="C147">
        <v>2016</v>
      </c>
      <c r="D147">
        <v>7</v>
      </c>
      <c r="E147" t="s">
        <v>85</v>
      </c>
      <c r="F147" t="s">
        <v>84</v>
      </c>
      <c r="G147" t="s">
        <v>84</v>
      </c>
      <c r="H147" t="s">
        <v>25</v>
      </c>
      <c r="I147" t="s">
        <v>25</v>
      </c>
      <c r="J147" t="s">
        <v>101</v>
      </c>
      <c r="K147" t="s">
        <v>102</v>
      </c>
      <c r="L147" t="s">
        <v>103</v>
      </c>
      <c r="M147">
        <v>3778.6930292400002</v>
      </c>
      <c r="N147">
        <v>0</v>
      </c>
      <c r="O147" t="s">
        <v>79</v>
      </c>
      <c r="P147" s="35">
        <v>44334.107074571759</v>
      </c>
      <c r="Q147">
        <v>6360075</v>
      </c>
      <c r="R147" t="s">
        <v>74</v>
      </c>
      <c r="S147" s="4">
        <v>56.168084020000002</v>
      </c>
      <c r="T147">
        <v>70.292952510000006</v>
      </c>
      <c r="U147">
        <v>70.292952510000006</v>
      </c>
      <c r="V147">
        <v>3948.2204625099998</v>
      </c>
      <c r="W147">
        <v>3948.2204625099998</v>
      </c>
      <c r="X147">
        <v>0</v>
      </c>
      <c r="Y147">
        <v>5458.4983368100002</v>
      </c>
      <c r="Z147">
        <v>5458.4983368100002</v>
      </c>
      <c r="AA147">
        <v>0</v>
      </c>
      <c r="AB147">
        <v>0</v>
      </c>
      <c r="AC147" t="s">
        <v>84</v>
      </c>
      <c r="AD147" s="35">
        <v>42552</v>
      </c>
    </row>
    <row r="148" spans="1:30" x14ac:dyDescent="0.3">
      <c r="A148">
        <v>730790</v>
      </c>
      <c r="B148" t="s">
        <v>135</v>
      </c>
      <c r="C148">
        <v>2016</v>
      </c>
      <c r="D148">
        <v>7</v>
      </c>
      <c r="E148" t="s">
        <v>87</v>
      </c>
      <c r="F148" t="s">
        <v>84</v>
      </c>
      <c r="G148" t="s">
        <v>84</v>
      </c>
      <c r="H148" t="s">
        <v>25</v>
      </c>
      <c r="I148" t="s">
        <v>25</v>
      </c>
      <c r="J148" t="s">
        <v>101</v>
      </c>
      <c r="K148" t="s">
        <v>104</v>
      </c>
      <c r="L148" t="s">
        <v>103</v>
      </c>
      <c r="M148">
        <v>1169.0560399599999</v>
      </c>
      <c r="N148">
        <v>0</v>
      </c>
      <c r="O148" t="s">
        <v>79</v>
      </c>
      <c r="P148" s="35">
        <v>44334.107075081018</v>
      </c>
      <c r="Q148">
        <v>6360111</v>
      </c>
      <c r="R148" t="s">
        <v>74</v>
      </c>
      <c r="S148" s="4">
        <v>31.352125990000001</v>
      </c>
      <c r="T148">
        <v>70.292952510000006</v>
      </c>
      <c r="U148">
        <v>70.292952510000006</v>
      </c>
      <c r="V148">
        <v>2203.8335035199998</v>
      </c>
      <c r="W148">
        <v>2203.8335035199998</v>
      </c>
      <c r="X148">
        <v>0</v>
      </c>
      <c r="Y148">
        <v>5458.4983368100002</v>
      </c>
      <c r="Z148">
        <v>5458.4983368100002</v>
      </c>
      <c r="AA148">
        <v>0</v>
      </c>
      <c r="AB148">
        <v>0</v>
      </c>
      <c r="AC148" t="s">
        <v>84</v>
      </c>
      <c r="AD148" s="35">
        <v>42552</v>
      </c>
    </row>
    <row r="149" spans="1:30" x14ac:dyDescent="0.3">
      <c r="A149">
        <v>580771</v>
      </c>
      <c r="B149" t="s">
        <v>137</v>
      </c>
      <c r="C149">
        <v>2017</v>
      </c>
      <c r="D149">
        <v>8</v>
      </c>
      <c r="E149" t="s">
        <v>85</v>
      </c>
      <c r="F149" t="s">
        <v>84</v>
      </c>
      <c r="G149" t="s">
        <v>84</v>
      </c>
      <c r="H149" t="s">
        <v>25</v>
      </c>
      <c r="I149" t="s">
        <v>25</v>
      </c>
      <c r="J149" t="s">
        <v>101</v>
      </c>
      <c r="K149" t="s">
        <v>86</v>
      </c>
      <c r="L149" t="s">
        <v>103</v>
      </c>
      <c r="M149">
        <v>1825.75210223</v>
      </c>
      <c r="N149">
        <v>0</v>
      </c>
      <c r="O149" t="s">
        <v>79</v>
      </c>
      <c r="P149" s="35">
        <v>44330.106720752323</v>
      </c>
      <c r="Q149">
        <v>5313253</v>
      </c>
      <c r="R149" t="s">
        <v>74</v>
      </c>
      <c r="S149" s="4">
        <v>27.138747890000001</v>
      </c>
      <c r="T149">
        <v>69.211605349999999</v>
      </c>
      <c r="U149">
        <v>69.211605349999999</v>
      </c>
      <c r="V149">
        <v>1878.31630857</v>
      </c>
      <c r="W149">
        <v>1878.31630857</v>
      </c>
      <c r="X149">
        <v>0</v>
      </c>
      <c r="Y149">
        <v>5472.0377115299998</v>
      </c>
      <c r="Z149">
        <v>5472.0377115299998</v>
      </c>
      <c r="AA149">
        <v>0</v>
      </c>
      <c r="AB149">
        <v>0</v>
      </c>
      <c r="AC149" t="s">
        <v>84</v>
      </c>
      <c r="AD149" s="35">
        <v>42948</v>
      </c>
    </row>
    <row r="150" spans="1:30" x14ac:dyDescent="0.3">
      <c r="A150">
        <v>580793</v>
      </c>
      <c r="B150" t="s">
        <v>137</v>
      </c>
      <c r="C150">
        <v>2017</v>
      </c>
      <c r="D150">
        <v>8</v>
      </c>
      <c r="E150" t="s">
        <v>87</v>
      </c>
      <c r="F150" t="s">
        <v>84</v>
      </c>
      <c r="G150" t="s">
        <v>84</v>
      </c>
      <c r="H150" t="s">
        <v>25</v>
      </c>
      <c r="I150" t="s">
        <v>25</v>
      </c>
      <c r="J150" t="s">
        <v>101</v>
      </c>
      <c r="K150" t="s">
        <v>88</v>
      </c>
      <c r="L150" t="s">
        <v>103</v>
      </c>
      <c r="M150">
        <v>317.95009379999999</v>
      </c>
      <c r="N150">
        <v>0</v>
      </c>
      <c r="O150" t="s">
        <v>79</v>
      </c>
      <c r="P150" s="35">
        <v>44330.106721331023</v>
      </c>
      <c r="Q150">
        <v>5313297</v>
      </c>
      <c r="R150" t="s">
        <v>74</v>
      </c>
      <c r="S150" s="4">
        <v>8.5268892699999999</v>
      </c>
      <c r="T150">
        <v>69.211605349999999</v>
      </c>
      <c r="U150">
        <v>69.211605349999999</v>
      </c>
      <c r="V150">
        <v>590.15969482000003</v>
      </c>
      <c r="W150">
        <v>590.15969482000003</v>
      </c>
      <c r="X150">
        <v>0</v>
      </c>
      <c r="Y150">
        <v>5472.0377115299998</v>
      </c>
      <c r="Z150">
        <v>5472.0377115299998</v>
      </c>
      <c r="AA150">
        <v>0</v>
      </c>
      <c r="AB150">
        <v>0</v>
      </c>
      <c r="AC150" t="s">
        <v>84</v>
      </c>
      <c r="AD150" s="35">
        <v>42948</v>
      </c>
    </row>
    <row r="151" spans="1:30" x14ac:dyDescent="0.3">
      <c r="A151">
        <v>580815</v>
      </c>
      <c r="B151" t="s">
        <v>137</v>
      </c>
      <c r="C151">
        <v>2017</v>
      </c>
      <c r="D151">
        <v>8</v>
      </c>
      <c r="E151" t="s">
        <v>89</v>
      </c>
      <c r="F151" t="s">
        <v>84</v>
      </c>
      <c r="G151" t="s">
        <v>84</v>
      </c>
      <c r="H151" t="s">
        <v>25</v>
      </c>
      <c r="I151" t="s">
        <v>25</v>
      </c>
      <c r="J151" t="s">
        <v>101</v>
      </c>
      <c r="K151" t="s">
        <v>90</v>
      </c>
      <c r="L151" t="s">
        <v>103</v>
      </c>
      <c r="M151">
        <v>1252.6346749899999</v>
      </c>
      <c r="N151">
        <v>0</v>
      </c>
      <c r="O151" t="s">
        <v>79</v>
      </c>
      <c r="P151" s="35">
        <v>44330.106721909717</v>
      </c>
      <c r="Q151">
        <v>5313341</v>
      </c>
      <c r="R151" t="s">
        <v>74</v>
      </c>
      <c r="S151" s="4">
        <v>33.072734609999998</v>
      </c>
      <c r="T151">
        <v>69.211605349999999</v>
      </c>
      <c r="U151">
        <v>69.211605349999999</v>
      </c>
      <c r="V151">
        <v>2289.0170553900002</v>
      </c>
      <c r="W151">
        <v>2289.0170553900002</v>
      </c>
      <c r="X151">
        <v>0</v>
      </c>
      <c r="Y151">
        <v>5472.0377115299998</v>
      </c>
      <c r="Z151">
        <v>5472.0377115299998</v>
      </c>
      <c r="AA151">
        <v>0</v>
      </c>
      <c r="AB151">
        <v>0</v>
      </c>
      <c r="AC151" t="s">
        <v>84</v>
      </c>
      <c r="AD151" s="35">
        <v>42948</v>
      </c>
    </row>
    <row r="152" spans="1:30" x14ac:dyDescent="0.3">
      <c r="A152">
        <v>456438</v>
      </c>
      <c r="B152" t="s">
        <v>138</v>
      </c>
      <c r="C152">
        <v>2017</v>
      </c>
      <c r="D152">
        <v>12</v>
      </c>
      <c r="E152" t="s">
        <v>87</v>
      </c>
      <c r="F152" t="s">
        <v>84</v>
      </c>
      <c r="G152" t="s">
        <v>84</v>
      </c>
      <c r="H152" t="s">
        <v>25</v>
      </c>
      <c r="I152" t="s">
        <v>25</v>
      </c>
      <c r="J152" t="s">
        <v>101</v>
      </c>
      <c r="K152" t="s">
        <v>88</v>
      </c>
      <c r="L152" t="s">
        <v>103</v>
      </c>
      <c r="M152">
        <v>326.92489831</v>
      </c>
      <c r="N152">
        <v>0</v>
      </c>
      <c r="O152" t="s">
        <v>79</v>
      </c>
      <c r="P152" s="35">
        <v>44284.5268440625</v>
      </c>
      <c r="Q152">
        <v>4320961</v>
      </c>
      <c r="R152" t="s">
        <v>74</v>
      </c>
      <c r="S152" s="4">
        <v>8.7675785000000008</v>
      </c>
      <c r="T152">
        <v>69.2167824</v>
      </c>
      <c r="U152">
        <v>69.2167824</v>
      </c>
      <c r="V152">
        <v>606.86357326999996</v>
      </c>
      <c r="W152">
        <v>606.86357326999996</v>
      </c>
      <c r="X152">
        <v>0</v>
      </c>
      <c r="Y152">
        <v>5472.4470220599997</v>
      </c>
      <c r="Z152">
        <v>5472.4470220599997</v>
      </c>
      <c r="AA152">
        <v>0</v>
      </c>
      <c r="AB152">
        <v>0</v>
      </c>
      <c r="AC152" t="s">
        <v>84</v>
      </c>
      <c r="AD152" s="35">
        <v>43070</v>
      </c>
    </row>
    <row r="153" spans="1:30" x14ac:dyDescent="0.3">
      <c r="A153">
        <v>456416</v>
      </c>
      <c r="B153" t="s">
        <v>138</v>
      </c>
      <c r="C153">
        <v>2017</v>
      </c>
      <c r="D153">
        <v>12</v>
      </c>
      <c r="E153" t="s">
        <v>85</v>
      </c>
      <c r="F153" t="s">
        <v>84</v>
      </c>
      <c r="G153" t="s">
        <v>84</v>
      </c>
      <c r="H153" t="s">
        <v>25</v>
      </c>
      <c r="I153" t="s">
        <v>25</v>
      </c>
      <c r="J153" t="s">
        <v>101</v>
      </c>
      <c r="K153" t="s">
        <v>86</v>
      </c>
      <c r="L153" t="s">
        <v>103</v>
      </c>
      <c r="M153">
        <v>1221.88235865</v>
      </c>
      <c r="N153">
        <v>0</v>
      </c>
      <c r="O153" t="s">
        <v>79</v>
      </c>
      <c r="P153" s="35">
        <v>44284.526843402768</v>
      </c>
      <c r="Q153">
        <v>4320917</v>
      </c>
      <c r="R153" t="s">
        <v>74</v>
      </c>
      <c r="S153" s="4">
        <v>18.16257379</v>
      </c>
      <c r="T153">
        <v>69.2167824</v>
      </c>
      <c r="U153">
        <v>69.2167824</v>
      </c>
      <c r="V153">
        <v>1257.15491802</v>
      </c>
      <c r="W153">
        <v>1257.15491802</v>
      </c>
      <c r="X153">
        <v>0</v>
      </c>
      <c r="Y153">
        <v>5472.4470220599997</v>
      </c>
      <c r="Z153">
        <v>5472.4470220599997</v>
      </c>
      <c r="AA153">
        <v>0</v>
      </c>
      <c r="AB153">
        <v>0</v>
      </c>
      <c r="AC153" t="s">
        <v>84</v>
      </c>
      <c r="AD153" s="35">
        <v>43070</v>
      </c>
    </row>
    <row r="154" spans="1:30" x14ac:dyDescent="0.3">
      <c r="A154">
        <v>456460</v>
      </c>
      <c r="B154" t="s">
        <v>138</v>
      </c>
      <c r="C154">
        <v>2017</v>
      </c>
      <c r="D154">
        <v>12</v>
      </c>
      <c r="E154" t="s">
        <v>89</v>
      </c>
      <c r="F154" t="s">
        <v>84</v>
      </c>
      <c r="G154" t="s">
        <v>84</v>
      </c>
      <c r="H154" t="s">
        <v>25</v>
      </c>
      <c r="I154" t="s">
        <v>25</v>
      </c>
      <c r="J154" t="s">
        <v>101</v>
      </c>
      <c r="K154" t="s">
        <v>90</v>
      </c>
      <c r="L154" t="s">
        <v>103</v>
      </c>
      <c r="M154">
        <v>577.39533010000002</v>
      </c>
      <c r="N154">
        <v>0</v>
      </c>
      <c r="O154" t="s">
        <v>79</v>
      </c>
      <c r="P154" s="35">
        <v>44284.52684471065</v>
      </c>
      <c r="Q154">
        <v>4321005</v>
      </c>
      <c r="R154" t="s">
        <v>74</v>
      </c>
      <c r="S154" s="4">
        <v>15.244702139999999</v>
      </c>
      <c r="T154">
        <v>69.2167824</v>
      </c>
      <c r="U154">
        <v>69.2167824</v>
      </c>
      <c r="V154">
        <v>1055.1892310999999</v>
      </c>
      <c r="W154">
        <v>1055.1892310999999</v>
      </c>
      <c r="X154">
        <v>0</v>
      </c>
      <c r="Y154">
        <v>5472.4470220599997</v>
      </c>
      <c r="Z154">
        <v>5472.4470220599997</v>
      </c>
      <c r="AA154">
        <v>0</v>
      </c>
      <c r="AB154">
        <v>0</v>
      </c>
      <c r="AC154" t="s">
        <v>84</v>
      </c>
      <c r="AD154" s="35">
        <v>43070</v>
      </c>
    </row>
    <row r="155" spans="1:30" x14ac:dyDescent="0.3">
      <c r="A155">
        <v>86397</v>
      </c>
      <c r="B155" t="s">
        <v>126</v>
      </c>
      <c r="C155">
        <v>2018</v>
      </c>
      <c r="D155">
        <v>6</v>
      </c>
      <c r="E155" t="s">
        <v>89</v>
      </c>
      <c r="F155" t="s">
        <v>84</v>
      </c>
      <c r="G155" t="s">
        <v>84</v>
      </c>
      <c r="H155" t="s">
        <v>25</v>
      </c>
      <c r="I155" t="s">
        <v>25</v>
      </c>
      <c r="J155" t="s">
        <v>101</v>
      </c>
      <c r="K155" t="s">
        <v>90</v>
      </c>
      <c r="L155" t="s">
        <v>103</v>
      </c>
      <c r="M155">
        <v>915.94283647999998</v>
      </c>
      <c r="N155">
        <v>0</v>
      </c>
      <c r="O155" t="s">
        <v>79</v>
      </c>
      <c r="P155" s="35">
        <v>44269.847218599527</v>
      </c>
      <c r="Q155">
        <v>783297</v>
      </c>
      <c r="R155" t="s">
        <v>82</v>
      </c>
      <c r="S155" s="4">
        <v>914.24873505999994</v>
      </c>
      <c r="T155">
        <v>68.889948759999996</v>
      </c>
      <c r="U155">
        <v>68.889948759999996</v>
      </c>
      <c r="V155">
        <v>62982.548515980001</v>
      </c>
      <c r="W155">
        <v>62982.548515980008</v>
      </c>
      <c r="X155">
        <v>0</v>
      </c>
      <c r="Y155">
        <v>5476.73462466</v>
      </c>
      <c r="Z155">
        <v>5476.73462466</v>
      </c>
      <c r="AA155">
        <v>0</v>
      </c>
      <c r="AB155">
        <v>0</v>
      </c>
      <c r="AC155" t="s">
        <v>84</v>
      </c>
      <c r="AD155" s="35">
        <v>43252</v>
      </c>
    </row>
    <row r="156" spans="1:30" x14ac:dyDescent="0.3">
      <c r="A156">
        <v>86373</v>
      </c>
      <c r="B156" t="s">
        <v>126</v>
      </c>
      <c r="C156">
        <v>2018</v>
      </c>
      <c r="D156">
        <v>6</v>
      </c>
      <c r="E156" t="s">
        <v>87</v>
      </c>
      <c r="F156" t="s">
        <v>84</v>
      </c>
      <c r="G156" t="s">
        <v>84</v>
      </c>
      <c r="H156" t="s">
        <v>25</v>
      </c>
      <c r="I156" t="s">
        <v>25</v>
      </c>
      <c r="J156" t="s">
        <v>101</v>
      </c>
      <c r="K156" t="s">
        <v>88</v>
      </c>
      <c r="L156" t="s">
        <v>103</v>
      </c>
      <c r="M156">
        <v>349.81857975999998</v>
      </c>
      <c r="N156">
        <v>0</v>
      </c>
      <c r="O156" t="s">
        <v>79</v>
      </c>
      <c r="P156" s="35">
        <v>44269.847217708331</v>
      </c>
      <c r="Q156">
        <v>783249</v>
      </c>
      <c r="R156" t="s">
        <v>82</v>
      </c>
      <c r="S156" s="4">
        <v>349.02825675000003</v>
      </c>
      <c r="T156">
        <v>68.889948759999996</v>
      </c>
      <c r="U156">
        <v>68.889948759999996</v>
      </c>
      <c r="V156">
        <v>24044.53872461</v>
      </c>
      <c r="W156">
        <v>24044.53872461</v>
      </c>
      <c r="X156">
        <v>0</v>
      </c>
      <c r="Y156">
        <v>5476.73462466</v>
      </c>
      <c r="Z156">
        <v>5476.73462466</v>
      </c>
      <c r="AA156">
        <v>0</v>
      </c>
      <c r="AB156">
        <v>0</v>
      </c>
      <c r="AC156" t="s">
        <v>84</v>
      </c>
      <c r="AD156" s="35">
        <v>43252</v>
      </c>
    </row>
    <row r="157" spans="1:30" x14ac:dyDescent="0.3">
      <c r="A157">
        <v>86349</v>
      </c>
      <c r="B157" t="s">
        <v>126</v>
      </c>
      <c r="C157">
        <v>2018</v>
      </c>
      <c r="D157">
        <v>6</v>
      </c>
      <c r="E157" t="s">
        <v>85</v>
      </c>
      <c r="F157" t="s">
        <v>84</v>
      </c>
      <c r="G157" t="s">
        <v>84</v>
      </c>
      <c r="H157" t="s">
        <v>25</v>
      </c>
      <c r="I157" t="s">
        <v>25</v>
      </c>
      <c r="J157" t="s">
        <v>101</v>
      </c>
      <c r="K157" t="s">
        <v>86</v>
      </c>
      <c r="L157" t="s">
        <v>103</v>
      </c>
      <c r="M157">
        <v>1943.0653741900001</v>
      </c>
      <c r="N157">
        <v>0</v>
      </c>
      <c r="O157" t="s">
        <v>79</v>
      </c>
      <c r="P157" s="35">
        <v>44269.847216898153</v>
      </c>
      <c r="Q157">
        <v>783201</v>
      </c>
      <c r="R157" t="s">
        <v>82</v>
      </c>
      <c r="S157" s="4">
        <v>1961.56073631</v>
      </c>
      <c r="T157">
        <v>68.889948759999996</v>
      </c>
      <c r="U157">
        <v>68.889948759999996</v>
      </c>
      <c r="V157">
        <v>135131.81862219999</v>
      </c>
      <c r="W157">
        <v>135131.81862219999</v>
      </c>
      <c r="X157">
        <v>0</v>
      </c>
      <c r="Y157">
        <v>5476.73462466</v>
      </c>
      <c r="Z157">
        <v>5476.73462466</v>
      </c>
      <c r="AA157">
        <v>0</v>
      </c>
      <c r="AB157">
        <v>0</v>
      </c>
      <c r="AC157" t="s">
        <v>84</v>
      </c>
      <c r="AD157" s="35">
        <v>43252</v>
      </c>
    </row>
    <row r="158" spans="1:30" x14ac:dyDescent="0.3">
      <c r="A158">
        <v>100242</v>
      </c>
      <c r="B158" t="s">
        <v>139</v>
      </c>
      <c r="C158">
        <v>2018</v>
      </c>
      <c r="D158">
        <v>7</v>
      </c>
      <c r="E158" t="s">
        <v>89</v>
      </c>
      <c r="F158" t="s">
        <v>84</v>
      </c>
      <c r="G158" t="s">
        <v>84</v>
      </c>
      <c r="H158" t="s">
        <v>25</v>
      </c>
      <c r="I158" t="s">
        <v>25</v>
      </c>
      <c r="J158" t="s">
        <v>101</v>
      </c>
      <c r="K158" t="s">
        <v>90</v>
      </c>
      <c r="L158" t="s">
        <v>103</v>
      </c>
      <c r="M158">
        <v>953.47078386999999</v>
      </c>
      <c r="N158">
        <v>0</v>
      </c>
      <c r="O158" t="s">
        <v>80</v>
      </c>
      <c r="P158" s="35">
        <v>44269.848710416663</v>
      </c>
      <c r="Q158">
        <v>913753</v>
      </c>
      <c r="R158" t="s">
        <v>81</v>
      </c>
      <c r="S158" s="4">
        <v>188.52696423</v>
      </c>
      <c r="T158">
        <v>68.403002279999995</v>
      </c>
      <c r="U158">
        <v>68.403002279999995</v>
      </c>
      <c r="V158">
        <v>12895.810363639999</v>
      </c>
      <c r="W158">
        <v>12895.810363639999</v>
      </c>
      <c r="X158">
        <v>0</v>
      </c>
      <c r="Y158">
        <v>5511.7571433499998</v>
      </c>
      <c r="Z158">
        <v>5511.7571433499998</v>
      </c>
      <c r="AA158">
        <v>0</v>
      </c>
      <c r="AB158">
        <v>0</v>
      </c>
      <c r="AC158" t="s">
        <v>84</v>
      </c>
      <c r="AD158" s="35">
        <v>43282</v>
      </c>
    </row>
    <row r="159" spans="1:30" x14ac:dyDescent="0.3">
      <c r="A159">
        <v>100218</v>
      </c>
      <c r="B159" t="s">
        <v>139</v>
      </c>
      <c r="C159">
        <v>2018</v>
      </c>
      <c r="D159">
        <v>7</v>
      </c>
      <c r="E159" t="s">
        <v>87</v>
      </c>
      <c r="F159" t="s">
        <v>84</v>
      </c>
      <c r="G159" t="s">
        <v>84</v>
      </c>
      <c r="H159" t="s">
        <v>25</v>
      </c>
      <c r="I159" t="s">
        <v>25</v>
      </c>
      <c r="J159" t="s">
        <v>101</v>
      </c>
      <c r="K159" t="s">
        <v>88</v>
      </c>
      <c r="L159" t="s">
        <v>103</v>
      </c>
      <c r="M159">
        <v>347.46938798999997</v>
      </c>
      <c r="N159">
        <v>0</v>
      </c>
      <c r="O159" t="s">
        <v>80</v>
      </c>
      <c r="P159" s="35">
        <v>44269.848709224527</v>
      </c>
      <c r="Q159">
        <v>913633</v>
      </c>
      <c r="R159" t="s">
        <v>81</v>
      </c>
      <c r="S159" s="4">
        <v>71.881931199999997</v>
      </c>
      <c r="T159">
        <v>68.403002279999995</v>
      </c>
      <c r="U159">
        <v>68.403002279999995</v>
      </c>
      <c r="V159">
        <v>4916.9399033299997</v>
      </c>
      <c r="W159">
        <v>4916.9399033299997</v>
      </c>
      <c r="X159">
        <v>0</v>
      </c>
      <c r="Y159">
        <v>5511.7571433499998</v>
      </c>
      <c r="Z159">
        <v>5511.7571433499998</v>
      </c>
      <c r="AA159">
        <v>0</v>
      </c>
      <c r="AB159">
        <v>0</v>
      </c>
      <c r="AC159" t="s">
        <v>84</v>
      </c>
      <c r="AD159" s="35">
        <v>43282</v>
      </c>
    </row>
    <row r="160" spans="1:30" x14ac:dyDescent="0.3">
      <c r="A160">
        <v>100194</v>
      </c>
      <c r="B160" t="s">
        <v>139</v>
      </c>
      <c r="C160">
        <v>2018</v>
      </c>
      <c r="D160">
        <v>7</v>
      </c>
      <c r="E160" t="s">
        <v>85</v>
      </c>
      <c r="F160" t="s">
        <v>84</v>
      </c>
      <c r="G160" t="s">
        <v>84</v>
      </c>
      <c r="H160" t="s">
        <v>25</v>
      </c>
      <c r="I160" t="s">
        <v>25</v>
      </c>
      <c r="J160" t="s">
        <v>101</v>
      </c>
      <c r="K160" t="s">
        <v>86</v>
      </c>
      <c r="L160" t="s">
        <v>103</v>
      </c>
      <c r="M160">
        <v>1870.62563673</v>
      </c>
      <c r="N160">
        <v>0</v>
      </c>
      <c r="O160" t="s">
        <v>80</v>
      </c>
      <c r="P160" s="35">
        <v>44269.848707986108</v>
      </c>
      <c r="Q160">
        <v>913513</v>
      </c>
      <c r="R160" t="s">
        <v>81</v>
      </c>
      <c r="S160" s="4">
        <v>383.70225341999998</v>
      </c>
      <c r="T160">
        <v>68.403002279999995</v>
      </c>
      <c r="U160">
        <v>68.403002279999995</v>
      </c>
      <c r="V160">
        <v>26246.386115189998</v>
      </c>
      <c r="W160">
        <v>26246.386115189998</v>
      </c>
      <c r="X160">
        <v>0</v>
      </c>
      <c r="Y160">
        <v>5511.7571433499998</v>
      </c>
      <c r="Z160">
        <v>5511.7571433499998</v>
      </c>
      <c r="AA160">
        <v>0</v>
      </c>
      <c r="AB160">
        <v>0</v>
      </c>
      <c r="AC160" t="s">
        <v>84</v>
      </c>
      <c r="AD160" s="35">
        <v>43282</v>
      </c>
    </row>
    <row r="161" spans="1:30" x14ac:dyDescent="0.3">
      <c r="A161">
        <v>130342</v>
      </c>
      <c r="B161" t="s">
        <v>114</v>
      </c>
      <c r="C161">
        <v>2018</v>
      </c>
      <c r="D161">
        <v>10</v>
      </c>
      <c r="E161" t="s">
        <v>89</v>
      </c>
      <c r="F161" t="s">
        <v>84</v>
      </c>
      <c r="G161" t="s">
        <v>84</v>
      </c>
      <c r="H161" t="s">
        <v>25</v>
      </c>
      <c r="I161" t="s">
        <v>25</v>
      </c>
      <c r="J161" t="s">
        <v>101</v>
      </c>
      <c r="K161" t="s">
        <v>90</v>
      </c>
      <c r="L161" t="s">
        <v>103</v>
      </c>
      <c r="M161">
        <v>879.43208655000001</v>
      </c>
      <c r="N161">
        <v>0</v>
      </c>
      <c r="O161" t="s">
        <v>80</v>
      </c>
      <c r="P161" s="35">
        <v>44269.852574803241</v>
      </c>
      <c r="Q161">
        <v>1193221</v>
      </c>
      <c r="R161" t="s">
        <v>91</v>
      </c>
      <c r="S161" s="4">
        <v>10.228214250000001</v>
      </c>
      <c r="T161">
        <v>69.013284440000007</v>
      </c>
      <c r="U161">
        <v>69.013284440000007</v>
      </c>
      <c r="V161">
        <v>705.88265973</v>
      </c>
      <c r="W161">
        <v>705.88265973</v>
      </c>
      <c r="X161">
        <v>0</v>
      </c>
      <c r="Y161">
        <v>5519.9499535200002</v>
      </c>
      <c r="Z161">
        <v>5519.9499535200002</v>
      </c>
      <c r="AA161">
        <v>0</v>
      </c>
      <c r="AB161">
        <v>0</v>
      </c>
      <c r="AC161" t="s">
        <v>84</v>
      </c>
      <c r="AD161" s="35">
        <v>43374</v>
      </c>
    </row>
    <row r="162" spans="1:30" x14ac:dyDescent="0.3">
      <c r="A162">
        <v>130318</v>
      </c>
      <c r="B162" t="s">
        <v>114</v>
      </c>
      <c r="C162">
        <v>2018</v>
      </c>
      <c r="D162">
        <v>10</v>
      </c>
      <c r="E162" t="s">
        <v>87</v>
      </c>
      <c r="F162" t="s">
        <v>84</v>
      </c>
      <c r="G162" t="s">
        <v>84</v>
      </c>
      <c r="H162" t="s">
        <v>25</v>
      </c>
      <c r="I162" t="s">
        <v>25</v>
      </c>
      <c r="J162" t="s">
        <v>101</v>
      </c>
      <c r="K162" t="s">
        <v>88</v>
      </c>
      <c r="L162" t="s">
        <v>103</v>
      </c>
      <c r="M162">
        <v>333.40243543999998</v>
      </c>
      <c r="N162">
        <v>0</v>
      </c>
      <c r="O162" t="s">
        <v>80</v>
      </c>
      <c r="P162" s="35">
        <v>44269.852573611111</v>
      </c>
      <c r="Q162">
        <v>1193101</v>
      </c>
      <c r="R162" t="s">
        <v>91</v>
      </c>
      <c r="S162" s="4">
        <v>0</v>
      </c>
      <c r="T162">
        <v>69.013284440000007</v>
      </c>
      <c r="U162">
        <v>69.013284440000007</v>
      </c>
      <c r="V162">
        <v>0</v>
      </c>
      <c r="W162">
        <v>0</v>
      </c>
      <c r="X162">
        <v>0</v>
      </c>
      <c r="Y162">
        <v>5519.9499535200002</v>
      </c>
      <c r="Z162">
        <v>5519.9499535200002</v>
      </c>
      <c r="AA162">
        <v>0</v>
      </c>
      <c r="AB162">
        <v>0</v>
      </c>
      <c r="AC162" t="s">
        <v>84</v>
      </c>
      <c r="AD162" s="35">
        <v>43374</v>
      </c>
    </row>
    <row r="163" spans="1:30" x14ac:dyDescent="0.3">
      <c r="A163">
        <v>144880</v>
      </c>
      <c r="B163" t="s">
        <v>115</v>
      </c>
      <c r="C163">
        <v>2018</v>
      </c>
      <c r="D163">
        <v>11</v>
      </c>
      <c r="E163" t="s">
        <v>89</v>
      </c>
      <c r="F163" t="s">
        <v>84</v>
      </c>
      <c r="G163" t="s">
        <v>84</v>
      </c>
      <c r="H163" t="s">
        <v>25</v>
      </c>
      <c r="I163" t="s">
        <v>25</v>
      </c>
      <c r="J163" t="s">
        <v>101</v>
      </c>
      <c r="K163" t="s">
        <v>90</v>
      </c>
      <c r="L163" t="s">
        <v>103</v>
      </c>
      <c r="M163">
        <v>1036.3887642100001</v>
      </c>
      <c r="N163">
        <v>0</v>
      </c>
      <c r="O163" t="s">
        <v>80</v>
      </c>
      <c r="P163" s="35">
        <v>44269.854264965281</v>
      </c>
      <c r="Q163">
        <v>1337181</v>
      </c>
      <c r="R163" t="s">
        <v>91</v>
      </c>
      <c r="S163" s="4">
        <v>12.053695210000001</v>
      </c>
      <c r="T163">
        <v>69.013284440000007</v>
      </c>
      <c r="U163">
        <v>69.013284440000007</v>
      </c>
      <c r="V163">
        <v>831.86509633000003</v>
      </c>
      <c r="W163">
        <v>831.86509633000003</v>
      </c>
      <c r="X163">
        <v>0</v>
      </c>
      <c r="Y163">
        <v>5519.9499535200002</v>
      </c>
      <c r="Z163">
        <v>5519.9499535200002</v>
      </c>
      <c r="AA163">
        <v>0</v>
      </c>
      <c r="AB163">
        <v>0</v>
      </c>
      <c r="AC163" t="s">
        <v>84</v>
      </c>
      <c r="AD163" s="35">
        <v>43405</v>
      </c>
    </row>
    <row r="164" spans="1:30" x14ac:dyDescent="0.3">
      <c r="A164">
        <v>144832</v>
      </c>
      <c r="B164" t="s">
        <v>115</v>
      </c>
      <c r="C164">
        <v>2018</v>
      </c>
      <c r="D164">
        <v>11</v>
      </c>
      <c r="E164" t="s">
        <v>85</v>
      </c>
      <c r="F164" t="s">
        <v>84</v>
      </c>
      <c r="G164" t="s">
        <v>84</v>
      </c>
      <c r="H164" t="s">
        <v>25</v>
      </c>
      <c r="I164" t="s">
        <v>25</v>
      </c>
      <c r="J164" t="s">
        <v>101</v>
      </c>
      <c r="K164" t="s">
        <v>86</v>
      </c>
      <c r="L164" t="s">
        <v>103</v>
      </c>
      <c r="M164">
        <v>1939.5207746900001</v>
      </c>
      <c r="N164">
        <v>0</v>
      </c>
      <c r="O164" t="s">
        <v>80</v>
      </c>
      <c r="P164" s="35">
        <v>44269.854262534733</v>
      </c>
      <c r="Q164">
        <v>1336941</v>
      </c>
      <c r="R164" t="s">
        <v>91</v>
      </c>
      <c r="S164" s="4">
        <v>18.045206960000002</v>
      </c>
      <c r="T164">
        <v>69.013284440000007</v>
      </c>
      <c r="U164">
        <v>69.013284440000007</v>
      </c>
      <c r="V164">
        <v>1245.3590009699999</v>
      </c>
      <c r="W164">
        <v>1245.3590009699999</v>
      </c>
      <c r="X164">
        <v>0</v>
      </c>
      <c r="Y164">
        <v>5519.9499535200002</v>
      </c>
      <c r="Z164">
        <v>5519.9499535200002</v>
      </c>
      <c r="AA164">
        <v>0</v>
      </c>
      <c r="AB164">
        <v>0</v>
      </c>
      <c r="AC164" t="s">
        <v>84</v>
      </c>
      <c r="AD164" s="35">
        <v>43405</v>
      </c>
    </row>
    <row r="165" spans="1:30" x14ac:dyDescent="0.3">
      <c r="A165">
        <v>119638</v>
      </c>
      <c r="B165" t="s">
        <v>113</v>
      </c>
      <c r="C165">
        <v>2018</v>
      </c>
      <c r="D165">
        <v>9</v>
      </c>
      <c r="E165" t="s">
        <v>87</v>
      </c>
      <c r="F165" t="s">
        <v>84</v>
      </c>
      <c r="G165" t="s">
        <v>84</v>
      </c>
      <c r="H165" t="s">
        <v>25</v>
      </c>
      <c r="I165" t="s">
        <v>25</v>
      </c>
      <c r="J165" t="s">
        <v>101</v>
      </c>
      <c r="K165" t="s">
        <v>88</v>
      </c>
      <c r="L165" t="s">
        <v>103</v>
      </c>
      <c r="M165">
        <v>316.65874517999998</v>
      </c>
      <c r="N165">
        <v>0</v>
      </c>
      <c r="O165" t="s">
        <v>80</v>
      </c>
      <c r="P165" s="35">
        <v>44269.85110659722</v>
      </c>
      <c r="Q165">
        <v>1081729</v>
      </c>
      <c r="R165" t="s">
        <v>91</v>
      </c>
      <c r="S165" s="4">
        <v>0</v>
      </c>
      <c r="T165">
        <v>69.013284440000007</v>
      </c>
      <c r="U165">
        <v>69.013284440000007</v>
      </c>
      <c r="V165">
        <v>0</v>
      </c>
      <c r="W165">
        <v>0</v>
      </c>
      <c r="X165">
        <v>0</v>
      </c>
      <c r="Y165">
        <v>5519.9499535200002</v>
      </c>
      <c r="Z165">
        <v>5519.9499535200002</v>
      </c>
      <c r="AA165">
        <v>0</v>
      </c>
      <c r="AB165">
        <v>0</v>
      </c>
      <c r="AC165" t="s">
        <v>84</v>
      </c>
      <c r="AD165" s="35">
        <v>43344</v>
      </c>
    </row>
    <row r="166" spans="1:30" x14ac:dyDescent="0.3">
      <c r="A166">
        <v>130294</v>
      </c>
      <c r="B166" t="s">
        <v>114</v>
      </c>
      <c r="C166">
        <v>2018</v>
      </c>
      <c r="D166">
        <v>10</v>
      </c>
      <c r="E166" t="s">
        <v>85</v>
      </c>
      <c r="F166" t="s">
        <v>84</v>
      </c>
      <c r="G166" t="s">
        <v>84</v>
      </c>
      <c r="H166" t="s">
        <v>25</v>
      </c>
      <c r="I166" t="s">
        <v>25</v>
      </c>
      <c r="J166" t="s">
        <v>101</v>
      </c>
      <c r="K166" t="s">
        <v>86</v>
      </c>
      <c r="L166" t="s">
        <v>103</v>
      </c>
      <c r="M166">
        <v>1428.8615156599999</v>
      </c>
      <c r="N166">
        <v>0</v>
      </c>
      <c r="O166" t="s">
        <v>80</v>
      </c>
      <c r="P166" s="35">
        <v>44269.8525723727</v>
      </c>
      <c r="Q166">
        <v>1192981</v>
      </c>
      <c r="R166" t="s">
        <v>91</v>
      </c>
      <c r="S166" s="4">
        <v>13.29405805</v>
      </c>
      <c r="T166">
        <v>69.013284440000007</v>
      </c>
      <c r="U166">
        <v>69.013284440000007</v>
      </c>
      <c r="V166">
        <v>917.46660972999996</v>
      </c>
      <c r="W166">
        <v>917.46660972999996</v>
      </c>
      <c r="X166">
        <v>0</v>
      </c>
      <c r="Y166">
        <v>5519.9499535200002</v>
      </c>
      <c r="Z166">
        <v>5519.9499535200002</v>
      </c>
      <c r="AA166">
        <v>0</v>
      </c>
      <c r="AB166">
        <v>0</v>
      </c>
      <c r="AC166" t="s">
        <v>84</v>
      </c>
      <c r="AD166" s="35">
        <v>43374</v>
      </c>
    </row>
    <row r="167" spans="1:30" x14ac:dyDescent="0.3">
      <c r="A167">
        <v>443833</v>
      </c>
      <c r="B167" t="s">
        <v>116</v>
      </c>
      <c r="C167">
        <v>2018</v>
      </c>
      <c r="D167">
        <v>12</v>
      </c>
      <c r="E167" t="s">
        <v>89</v>
      </c>
      <c r="F167" t="s">
        <v>84</v>
      </c>
      <c r="G167" t="s">
        <v>84</v>
      </c>
      <c r="H167" t="s">
        <v>25</v>
      </c>
      <c r="I167" t="s">
        <v>25</v>
      </c>
      <c r="J167" t="s">
        <v>101</v>
      </c>
      <c r="K167" t="s">
        <v>90</v>
      </c>
      <c r="L167" t="s">
        <v>103</v>
      </c>
      <c r="M167">
        <v>1153.4816149200001</v>
      </c>
      <c r="N167">
        <v>0</v>
      </c>
      <c r="O167" t="s">
        <v>80</v>
      </c>
      <c r="P167" s="35">
        <v>44284.51458221065</v>
      </c>
      <c r="Q167">
        <v>4215480</v>
      </c>
      <c r="R167" t="s">
        <v>91</v>
      </c>
      <c r="S167" s="4">
        <v>13.415540869999999</v>
      </c>
      <c r="T167">
        <v>69.013284440000007</v>
      </c>
      <c r="U167">
        <v>69.013284440000007</v>
      </c>
      <c r="V167">
        <v>925.85053779999998</v>
      </c>
      <c r="W167">
        <v>925.85053779999998</v>
      </c>
      <c r="X167">
        <v>0</v>
      </c>
      <c r="Y167">
        <v>5519.9499535200002</v>
      </c>
      <c r="Z167">
        <v>5519.9499535200002</v>
      </c>
      <c r="AA167">
        <v>0</v>
      </c>
      <c r="AB167">
        <v>0</v>
      </c>
      <c r="AC167" t="s">
        <v>84</v>
      </c>
      <c r="AD167" s="35">
        <v>43435</v>
      </c>
    </row>
    <row r="168" spans="1:30" x14ac:dyDescent="0.3">
      <c r="A168">
        <v>119614</v>
      </c>
      <c r="B168" t="s">
        <v>113</v>
      </c>
      <c r="C168">
        <v>2018</v>
      </c>
      <c r="D168">
        <v>9</v>
      </c>
      <c r="E168" t="s">
        <v>85</v>
      </c>
      <c r="F168" t="s">
        <v>84</v>
      </c>
      <c r="G168" t="s">
        <v>84</v>
      </c>
      <c r="H168" t="s">
        <v>25</v>
      </c>
      <c r="I168" t="s">
        <v>25</v>
      </c>
      <c r="J168" t="s">
        <v>101</v>
      </c>
      <c r="K168" t="s">
        <v>86</v>
      </c>
      <c r="L168" t="s">
        <v>103</v>
      </c>
      <c r="M168">
        <v>1439.52704135</v>
      </c>
      <c r="N168">
        <v>0</v>
      </c>
      <c r="O168" t="s">
        <v>80</v>
      </c>
      <c r="P168" s="35">
        <v>44269.851105011578</v>
      </c>
      <c r="Q168">
        <v>1081609</v>
      </c>
      <c r="R168" t="s">
        <v>91</v>
      </c>
      <c r="S168" s="4">
        <v>15.90858214</v>
      </c>
      <c r="T168">
        <v>69.013284440000007</v>
      </c>
      <c r="U168">
        <v>69.013284440000007</v>
      </c>
      <c r="V168">
        <v>1097.90350438</v>
      </c>
      <c r="W168">
        <v>1097.90350438</v>
      </c>
      <c r="X168">
        <v>0</v>
      </c>
      <c r="Y168">
        <v>5519.9499535200002</v>
      </c>
      <c r="Z168">
        <v>5519.9499535200002</v>
      </c>
      <c r="AA168">
        <v>0</v>
      </c>
      <c r="AB168">
        <v>0</v>
      </c>
      <c r="AC168" t="s">
        <v>84</v>
      </c>
      <c r="AD168" s="35">
        <v>43344</v>
      </c>
    </row>
    <row r="169" spans="1:30" x14ac:dyDescent="0.3">
      <c r="A169">
        <v>119662</v>
      </c>
      <c r="B169" t="s">
        <v>113</v>
      </c>
      <c r="C169">
        <v>2018</v>
      </c>
      <c r="D169">
        <v>9</v>
      </c>
      <c r="E169" t="s">
        <v>89</v>
      </c>
      <c r="F169" t="s">
        <v>84</v>
      </c>
      <c r="G169" t="s">
        <v>84</v>
      </c>
      <c r="H169" t="s">
        <v>25</v>
      </c>
      <c r="I169" t="s">
        <v>25</v>
      </c>
      <c r="J169" t="s">
        <v>101</v>
      </c>
      <c r="K169" t="s">
        <v>90</v>
      </c>
      <c r="L169" t="s">
        <v>103</v>
      </c>
      <c r="M169">
        <v>843.05591856000001</v>
      </c>
      <c r="N169">
        <v>0</v>
      </c>
      <c r="O169" t="s">
        <v>80</v>
      </c>
      <c r="P169" s="35">
        <v>44269.851107986113</v>
      </c>
      <c r="Q169">
        <v>1081849</v>
      </c>
      <c r="R169" t="s">
        <v>91</v>
      </c>
      <c r="S169" s="4">
        <v>9.8030732700000005</v>
      </c>
      <c r="T169">
        <v>69.013284440000007</v>
      </c>
      <c r="U169">
        <v>69.013284440000007</v>
      </c>
      <c r="V169">
        <v>676.54228429</v>
      </c>
      <c r="W169">
        <v>676.54228429</v>
      </c>
      <c r="X169">
        <v>0</v>
      </c>
      <c r="Y169">
        <v>5519.9499535200002</v>
      </c>
      <c r="Z169">
        <v>5519.9499535200002</v>
      </c>
      <c r="AA169">
        <v>0</v>
      </c>
      <c r="AB169">
        <v>0</v>
      </c>
      <c r="AC169" t="s">
        <v>84</v>
      </c>
      <c r="AD169" s="35">
        <v>43344</v>
      </c>
    </row>
    <row r="170" spans="1:30" x14ac:dyDescent="0.3">
      <c r="A170">
        <v>443809</v>
      </c>
      <c r="B170" t="s">
        <v>116</v>
      </c>
      <c r="C170">
        <v>2018</v>
      </c>
      <c r="D170">
        <v>12</v>
      </c>
      <c r="E170" t="s">
        <v>87</v>
      </c>
      <c r="F170" t="s">
        <v>84</v>
      </c>
      <c r="G170" t="s">
        <v>84</v>
      </c>
      <c r="H170" t="s">
        <v>25</v>
      </c>
      <c r="I170" t="s">
        <v>25</v>
      </c>
      <c r="J170" t="s">
        <v>101</v>
      </c>
      <c r="K170" t="s">
        <v>88</v>
      </c>
      <c r="L170" t="s">
        <v>103</v>
      </c>
      <c r="M170">
        <v>824.95046656</v>
      </c>
      <c r="N170">
        <v>0</v>
      </c>
      <c r="O170" t="s">
        <v>80</v>
      </c>
      <c r="P170" s="35">
        <v>44284.514580937503</v>
      </c>
      <c r="Q170">
        <v>4215360</v>
      </c>
      <c r="R170" t="s">
        <v>91</v>
      </c>
      <c r="S170" s="4">
        <v>0</v>
      </c>
      <c r="T170">
        <v>69.013284440000007</v>
      </c>
      <c r="U170">
        <v>69.013284440000007</v>
      </c>
      <c r="V170">
        <v>0</v>
      </c>
      <c r="W170">
        <v>0</v>
      </c>
      <c r="X170">
        <v>0</v>
      </c>
      <c r="Y170">
        <v>5519.9499535200002</v>
      </c>
      <c r="Z170">
        <v>5519.9499535200002</v>
      </c>
      <c r="AA170">
        <v>0</v>
      </c>
      <c r="AB170">
        <v>0</v>
      </c>
      <c r="AC170" t="s">
        <v>84</v>
      </c>
      <c r="AD170" s="35">
        <v>43435</v>
      </c>
    </row>
    <row r="171" spans="1:30" x14ac:dyDescent="0.3">
      <c r="A171">
        <v>144856</v>
      </c>
      <c r="B171" t="s">
        <v>115</v>
      </c>
      <c r="C171">
        <v>2018</v>
      </c>
      <c r="D171">
        <v>11</v>
      </c>
      <c r="E171" t="s">
        <v>87</v>
      </c>
      <c r="F171" t="s">
        <v>84</v>
      </c>
      <c r="G171" t="s">
        <v>84</v>
      </c>
      <c r="H171" t="s">
        <v>25</v>
      </c>
      <c r="I171" t="s">
        <v>25</v>
      </c>
      <c r="J171" t="s">
        <v>101</v>
      </c>
      <c r="K171" t="s">
        <v>88</v>
      </c>
      <c r="L171" t="s">
        <v>103</v>
      </c>
      <c r="M171">
        <v>527.43779992999998</v>
      </c>
      <c r="N171">
        <v>0</v>
      </c>
      <c r="O171" t="s">
        <v>80</v>
      </c>
      <c r="P171" s="35">
        <v>44269.854263738423</v>
      </c>
      <c r="Q171">
        <v>1337061</v>
      </c>
      <c r="R171" t="s">
        <v>91</v>
      </c>
      <c r="S171" s="4">
        <v>0</v>
      </c>
      <c r="T171">
        <v>69.013284440000007</v>
      </c>
      <c r="U171">
        <v>69.013284440000007</v>
      </c>
      <c r="V171">
        <v>0</v>
      </c>
      <c r="W171">
        <v>0</v>
      </c>
      <c r="X171">
        <v>0</v>
      </c>
      <c r="Y171">
        <v>5519.9499535200002</v>
      </c>
      <c r="Z171">
        <v>5519.9499535200002</v>
      </c>
      <c r="AA171">
        <v>0</v>
      </c>
      <c r="AB171">
        <v>0</v>
      </c>
      <c r="AC171" t="s">
        <v>84</v>
      </c>
      <c r="AD171" s="35">
        <v>43405</v>
      </c>
    </row>
    <row r="172" spans="1:30" x14ac:dyDescent="0.3">
      <c r="A172">
        <v>443785</v>
      </c>
      <c r="B172" t="s">
        <v>116</v>
      </c>
      <c r="C172">
        <v>2018</v>
      </c>
      <c r="D172">
        <v>12</v>
      </c>
      <c r="E172" t="s">
        <v>85</v>
      </c>
      <c r="F172" t="s">
        <v>84</v>
      </c>
      <c r="G172" t="s">
        <v>84</v>
      </c>
      <c r="H172" t="s">
        <v>25</v>
      </c>
      <c r="I172" t="s">
        <v>25</v>
      </c>
      <c r="J172" t="s">
        <v>101</v>
      </c>
      <c r="K172" t="s">
        <v>86</v>
      </c>
      <c r="L172" t="s">
        <v>103</v>
      </c>
      <c r="M172">
        <v>3041.3129330199999</v>
      </c>
      <c r="N172">
        <v>0</v>
      </c>
      <c r="O172" t="s">
        <v>80</v>
      </c>
      <c r="P172" s="35">
        <v>44284.514579629627</v>
      </c>
      <c r="Q172">
        <v>4215240</v>
      </c>
      <c r="R172" t="s">
        <v>91</v>
      </c>
      <c r="S172" s="4">
        <v>28.29622762</v>
      </c>
      <c r="T172">
        <v>69.013284440000007</v>
      </c>
      <c r="U172">
        <v>69.013284440000007</v>
      </c>
      <c r="V172">
        <v>1952.8156054399999</v>
      </c>
      <c r="W172">
        <v>1952.8156054399999</v>
      </c>
      <c r="X172">
        <v>0</v>
      </c>
      <c r="Y172">
        <v>5519.9499535200002</v>
      </c>
      <c r="Z172">
        <v>5519.9499535200002</v>
      </c>
      <c r="AA172">
        <v>0</v>
      </c>
      <c r="AB172">
        <v>0</v>
      </c>
      <c r="AC172" t="s">
        <v>84</v>
      </c>
      <c r="AD172" s="35">
        <v>43435</v>
      </c>
    </row>
    <row r="173" spans="1:30" x14ac:dyDescent="0.3">
      <c r="A173">
        <v>113076</v>
      </c>
      <c r="B173" t="s">
        <v>140</v>
      </c>
      <c r="C173">
        <v>2018</v>
      </c>
      <c r="D173">
        <v>8</v>
      </c>
      <c r="E173" t="s">
        <v>87</v>
      </c>
      <c r="F173" t="s">
        <v>84</v>
      </c>
      <c r="G173" t="s">
        <v>84</v>
      </c>
      <c r="H173" t="s">
        <v>25</v>
      </c>
      <c r="I173" t="s">
        <v>25</v>
      </c>
      <c r="J173" t="s">
        <v>101</v>
      </c>
      <c r="K173" t="s">
        <v>88</v>
      </c>
      <c r="L173" t="s">
        <v>103</v>
      </c>
      <c r="M173">
        <v>336.78904151</v>
      </c>
      <c r="N173">
        <v>0</v>
      </c>
      <c r="O173" t="s">
        <v>80</v>
      </c>
      <c r="P173" s="35">
        <v>44269.850222337962</v>
      </c>
      <c r="Q173">
        <v>1042162</v>
      </c>
      <c r="R173" t="s">
        <v>81</v>
      </c>
      <c r="S173" s="4">
        <v>69.620198680000001</v>
      </c>
      <c r="T173">
        <v>68.805613410000007</v>
      </c>
      <c r="U173">
        <v>68.805613410000007</v>
      </c>
      <c r="V173">
        <v>4790.2604761299999</v>
      </c>
      <c r="W173">
        <v>4790.2604761299999</v>
      </c>
      <c r="X173">
        <v>0</v>
      </c>
      <c r="Y173">
        <v>5544.1986256</v>
      </c>
      <c r="Z173">
        <v>5544.1986256</v>
      </c>
      <c r="AA173">
        <v>0</v>
      </c>
      <c r="AB173">
        <v>0</v>
      </c>
      <c r="AC173" t="s">
        <v>84</v>
      </c>
      <c r="AD173" s="35">
        <v>43313</v>
      </c>
    </row>
    <row r="174" spans="1:30" x14ac:dyDescent="0.3">
      <c r="A174">
        <v>113100</v>
      </c>
      <c r="B174" t="s">
        <v>140</v>
      </c>
      <c r="C174">
        <v>2018</v>
      </c>
      <c r="D174">
        <v>8</v>
      </c>
      <c r="E174" t="s">
        <v>89</v>
      </c>
      <c r="F174" t="s">
        <v>84</v>
      </c>
      <c r="G174" t="s">
        <v>84</v>
      </c>
      <c r="H174" t="s">
        <v>25</v>
      </c>
      <c r="I174" t="s">
        <v>25</v>
      </c>
      <c r="J174" t="s">
        <v>101</v>
      </c>
      <c r="K174" t="s">
        <v>90</v>
      </c>
      <c r="L174" t="s">
        <v>103</v>
      </c>
      <c r="M174">
        <v>901.42463836000002</v>
      </c>
      <c r="N174">
        <v>0</v>
      </c>
      <c r="O174" t="s">
        <v>80</v>
      </c>
      <c r="P174" s="35">
        <v>44269.850223530091</v>
      </c>
      <c r="Q174">
        <v>1042282</v>
      </c>
      <c r="R174" t="s">
        <v>81</v>
      </c>
      <c r="S174" s="4">
        <v>178.10234102000001</v>
      </c>
      <c r="T174">
        <v>68.805613410000007</v>
      </c>
      <c r="U174">
        <v>68.805613410000007</v>
      </c>
      <c r="V174">
        <v>12254.44082372</v>
      </c>
      <c r="W174">
        <v>12254.44082372</v>
      </c>
      <c r="X174">
        <v>0</v>
      </c>
      <c r="Y174">
        <v>5544.1986256</v>
      </c>
      <c r="Z174">
        <v>5544.1986256</v>
      </c>
      <c r="AA174">
        <v>0</v>
      </c>
      <c r="AB174">
        <v>0</v>
      </c>
      <c r="AC174" t="s">
        <v>84</v>
      </c>
      <c r="AD174" s="35">
        <v>43313</v>
      </c>
    </row>
    <row r="175" spans="1:30" x14ac:dyDescent="0.3">
      <c r="A175">
        <v>113052</v>
      </c>
      <c r="B175" t="s">
        <v>140</v>
      </c>
      <c r="C175">
        <v>2018</v>
      </c>
      <c r="D175">
        <v>8</v>
      </c>
      <c r="E175" t="s">
        <v>85</v>
      </c>
      <c r="F175" t="s">
        <v>84</v>
      </c>
      <c r="G175" t="s">
        <v>84</v>
      </c>
      <c r="H175" t="s">
        <v>25</v>
      </c>
      <c r="I175" t="s">
        <v>25</v>
      </c>
      <c r="J175" t="s">
        <v>101</v>
      </c>
      <c r="K175" t="s">
        <v>86</v>
      </c>
      <c r="L175" t="s">
        <v>103</v>
      </c>
      <c r="M175">
        <v>1702.89201288</v>
      </c>
      <c r="N175">
        <v>0</v>
      </c>
      <c r="O175" t="s">
        <v>80</v>
      </c>
      <c r="P175" s="35">
        <v>44269.85022109955</v>
      </c>
      <c r="Q175">
        <v>1042042</v>
      </c>
      <c r="R175" t="s">
        <v>81</v>
      </c>
      <c r="S175" s="4">
        <v>349.03477247000001</v>
      </c>
      <c r="T175">
        <v>68.805613410000007</v>
      </c>
      <c r="U175">
        <v>68.805613410000007</v>
      </c>
      <c r="V175">
        <v>24015.551621459999</v>
      </c>
      <c r="W175">
        <v>24015.551621459999</v>
      </c>
      <c r="X175">
        <v>0</v>
      </c>
      <c r="Y175">
        <v>5544.1986256</v>
      </c>
      <c r="Z175">
        <v>5544.1986256</v>
      </c>
      <c r="AA175">
        <v>0</v>
      </c>
      <c r="AB175">
        <v>0</v>
      </c>
      <c r="AC175" t="s">
        <v>84</v>
      </c>
      <c r="AD175" s="35">
        <v>43313</v>
      </c>
    </row>
    <row r="176" spans="1:30" x14ac:dyDescent="0.3">
      <c r="A176">
        <v>628657</v>
      </c>
      <c r="B176" t="s">
        <v>141</v>
      </c>
      <c r="C176">
        <v>2017</v>
      </c>
      <c r="D176">
        <v>4</v>
      </c>
      <c r="E176" t="s">
        <v>89</v>
      </c>
      <c r="F176" t="s">
        <v>84</v>
      </c>
      <c r="G176" t="s">
        <v>84</v>
      </c>
      <c r="H176" t="s">
        <v>25</v>
      </c>
      <c r="I176" t="s">
        <v>25</v>
      </c>
      <c r="J176" t="s">
        <v>101</v>
      </c>
      <c r="K176" t="s">
        <v>90</v>
      </c>
      <c r="L176" t="s">
        <v>103</v>
      </c>
      <c r="M176">
        <v>1712.75377718</v>
      </c>
      <c r="N176">
        <v>0</v>
      </c>
      <c r="O176" t="s">
        <v>79</v>
      </c>
      <c r="P176" s="35">
        <v>44334.047875810182</v>
      </c>
      <c r="Q176">
        <v>5584410</v>
      </c>
      <c r="R176" t="s">
        <v>74</v>
      </c>
      <c r="S176" s="4">
        <v>45.221046690000001</v>
      </c>
      <c r="T176">
        <v>70.447066449999994</v>
      </c>
      <c r="U176">
        <v>70.447066449999994</v>
      </c>
      <c r="V176">
        <v>3185.6900810000002</v>
      </c>
      <c r="W176">
        <v>3185.6900810000002</v>
      </c>
      <c r="X176">
        <v>0</v>
      </c>
      <c r="Y176">
        <v>5569.7162687199998</v>
      </c>
      <c r="Z176">
        <v>5569.7162687199998</v>
      </c>
      <c r="AA176">
        <v>0</v>
      </c>
      <c r="AB176">
        <v>0</v>
      </c>
      <c r="AC176" t="s">
        <v>84</v>
      </c>
      <c r="AD176" s="35">
        <v>42826</v>
      </c>
    </row>
    <row r="177" spans="1:30" x14ac:dyDescent="0.3">
      <c r="A177">
        <v>628613</v>
      </c>
      <c r="B177" t="s">
        <v>141</v>
      </c>
      <c r="C177">
        <v>2017</v>
      </c>
      <c r="D177">
        <v>4</v>
      </c>
      <c r="E177" t="s">
        <v>85</v>
      </c>
      <c r="F177" t="s">
        <v>84</v>
      </c>
      <c r="G177" t="s">
        <v>84</v>
      </c>
      <c r="H177" t="s">
        <v>25</v>
      </c>
      <c r="I177" t="s">
        <v>25</v>
      </c>
      <c r="J177" t="s">
        <v>101</v>
      </c>
      <c r="K177" t="s">
        <v>86</v>
      </c>
      <c r="L177" t="s">
        <v>103</v>
      </c>
      <c r="M177">
        <v>4420.2930050699997</v>
      </c>
      <c r="N177">
        <v>0</v>
      </c>
      <c r="O177" t="s">
        <v>79</v>
      </c>
      <c r="P177" s="35">
        <v>44334.04787422454</v>
      </c>
      <c r="Q177">
        <v>5584322</v>
      </c>
      <c r="R177" t="s">
        <v>74</v>
      </c>
      <c r="S177" s="4">
        <v>65.705096170000004</v>
      </c>
      <c r="T177">
        <v>70.447066449999994</v>
      </c>
      <c r="U177">
        <v>70.447066449999994</v>
      </c>
      <c r="V177">
        <v>4628.7312762199999</v>
      </c>
      <c r="W177">
        <v>4628.7312762199999</v>
      </c>
      <c r="X177">
        <v>0</v>
      </c>
      <c r="Y177">
        <v>5569.7162687199998</v>
      </c>
      <c r="Z177">
        <v>5569.7162687199998</v>
      </c>
      <c r="AA177">
        <v>0</v>
      </c>
      <c r="AB177">
        <v>0</v>
      </c>
      <c r="AC177" t="s">
        <v>84</v>
      </c>
      <c r="AD177" s="35">
        <v>42826</v>
      </c>
    </row>
    <row r="178" spans="1:30" x14ac:dyDescent="0.3">
      <c r="A178">
        <v>628635</v>
      </c>
      <c r="B178" t="s">
        <v>141</v>
      </c>
      <c r="C178">
        <v>2017</v>
      </c>
      <c r="D178">
        <v>4</v>
      </c>
      <c r="E178" t="s">
        <v>87</v>
      </c>
      <c r="F178" t="s">
        <v>84</v>
      </c>
      <c r="G178" t="s">
        <v>84</v>
      </c>
      <c r="H178" t="s">
        <v>25</v>
      </c>
      <c r="I178" t="s">
        <v>25</v>
      </c>
      <c r="J178" t="s">
        <v>101</v>
      </c>
      <c r="K178" t="s">
        <v>88</v>
      </c>
      <c r="L178" t="s">
        <v>103</v>
      </c>
      <c r="M178">
        <v>1117.7193056399999</v>
      </c>
      <c r="N178">
        <v>0</v>
      </c>
      <c r="O178" t="s">
        <v>79</v>
      </c>
      <c r="P178" s="35">
        <v>44334.047875034717</v>
      </c>
      <c r="Q178">
        <v>5584366</v>
      </c>
      <c r="R178" t="s">
        <v>74</v>
      </c>
      <c r="S178" s="4">
        <v>29.975360720000001</v>
      </c>
      <c r="T178">
        <v>70.447066449999994</v>
      </c>
      <c r="U178">
        <v>70.447066449999994</v>
      </c>
      <c r="V178">
        <v>2111.67622824</v>
      </c>
      <c r="W178">
        <v>2111.67622824</v>
      </c>
      <c r="X178">
        <v>0</v>
      </c>
      <c r="Y178">
        <v>5569.7162687199998</v>
      </c>
      <c r="Z178">
        <v>5569.7162687199998</v>
      </c>
      <c r="AA178">
        <v>0</v>
      </c>
      <c r="AB178">
        <v>0</v>
      </c>
      <c r="AC178" t="s">
        <v>84</v>
      </c>
      <c r="AD178" s="35">
        <v>42826</v>
      </c>
    </row>
    <row r="179" spans="1:30" x14ac:dyDescent="0.3">
      <c r="A179">
        <v>570927</v>
      </c>
      <c r="B179" t="s">
        <v>142</v>
      </c>
      <c r="C179">
        <v>2017</v>
      </c>
      <c r="D179">
        <v>7</v>
      </c>
      <c r="E179" t="s">
        <v>89</v>
      </c>
      <c r="F179" t="s">
        <v>84</v>
      </c>
      <c r="G179" t="s">
        <v>84</v>
      </c>
      <c r="H179" t="s">
        <v>25</v>
      </c>
      <c r="I179" t="s">
        <v>25</v>
      </c>
      <c r="J179" t="s">
        <v>101</v>
      </c>
      <c r="K179" t="s">
        <v>90</v>
      </c>
      <c r="L179" t="s">
        <v>103</v>
      </c>
      <c r="M179">
        <v>1241.0892522700001</v>
      </c>
      <c r="N179">
        <v>0</v>
      </c>
      <c r="O179" t="s">
        <v>79</v>
      </c>
      <c r="P179" s="35">
        <v>44330.105698263891</v>
      </c>
      <c r="Q179">
        <v>5229297</v>
      </c>
      <c r="R179" t="s">
        <v>74</v>
      </c>
      <c r="S179" s="4">
        <v>32.767906140000001</v>
      </c>
      <c r="T179">
        <v>70.708124760000004</v>
      </c>
      <c r="U179">
        <v>70.708124760000004</v>
      </c>
      <c r="V179">
        <v>2316.9571956300001</v>
      </c>
      <c r="W179">
        <v>2316.9571956300001</v>
      </c>
      <c r="X179">
        <v>0</v>
      </c>
      <c r="Y179">
        <v>5590.3561725400004</v>
      </c>
      <c r="Z179">
        <v>5590.3561725400004</v>
      </c>
      <c r="AA179">
        <v>0</v>
      </c>
      <c r="AB179">
        <v>0</v>
      </c>
      <c r="AC179" t="s">
        <v>84</v>
      </c>
      <c r="AD179" s="35">
        <v>42917</v>
      </c>
    </row>
    <row r="180" spans="1:30" x14ac:dyDescent="0.3">
      <c r="A180">
        <v>570906</v>
      </c>
      <c r="B180" t="s">
        <v>142</v>
      </c>
      <c r="C180">
        <v>2017</v>
      </c>
      <c r="D180">
        <v>7</v>
      </c>
      <c r="E180" t="s">
        <v>87</v>
      </c>
      <c r="F180" t="s">
        <v>84</v>
      </c>
      <c r="G180" t="s">
        <v>84</v>
      </c>
      <c r="H180" t="s">
        <v>25</v>
      </c>
      <c r="I180" t="s">
        <v>25</v>
      </c>
      <c r="J180" t="s">
        <v>101</v>
      </c>
      <c r="K180" t="s">
        <v>88</v>
      </c>
      <c r="L180" t="s">
        <v>103</v>
      </c>
      <c r="M180">
        <v>331.86459323999998</v>
      </c>
      <c r="N180">
        <v>0</v>
      </c>
      <c r="O180" t="s">
        <v>79</v>
      </c>
      <c r="P180" s="35">
        <v>44330.105697719897</v>
      </c>
      <c r="Q180">
        <v>5229255</v>
      </c>
      <c r="R180" t="s">
        <v>74</v>
      </c>
      <c r="S180" s="4">
        <v>8.9000528499999998</v>
      </c>
      <c r="T180">
        <v>70.708124760000004</v>
      </c>
      <c r="U180">
        <v>70.708124760000004</v>
      </c>
      <c r="V180">
        <v>629.30604719999997</v>
      </c>
      <c r="W180">
        <v>629.30604719999997</v>
      </c>
      <c r="X180">
        <v>0</v>
      </c>
      <c r="Y180">
        <v>5590.3561725400004</v>
      </c>
      <c r="Z180">
        <v>5590.3561725400004</v>
      </c>
      <c r="AA180">
        <v>0</v>
      </c>
      <c r="AB180">
        <v>0</v>
      </c>
      <c r="AC180" t="s">
        <v>84</v>
      </c>
      <c r="AD180" s="35">
        <v>42917</v>
      </c>
    </row>
    <row r="181" spans="1:30" x14ac:dyDescent="0.3">
      <c r="A181">
        <v>570885</v>
      </c>
      <c r="B181" t="s">
        <v>142</v>
      </c>
      <c r="C181">
        <v>2017</v>
      </c>
      <c r="D181">
        <v>7</v>
      </c>
      <c r="E181" t="s">
        <v>85</v>
      </c>
      <c r="F181" t="s">
        <v>84</v>
      </c>
      <c r="G181" t="s">
        <v>84</v>
      </c>
      <c r="H181" t="s">
        <v>25</v>
      </c>
      <c r="I181" t="s">
        <v>25</v>
      </c>
      <c r="J181" t="s">
        <v>101</v>
      </c>
      <c r="K181" t="s">
        <v>86</v>
      </c>
      <c r="L181" t="s">
        <v>103</v>
      </c>
      <c r="M181">
        <v>2146.3813947499998</v>
      </c>
      <c r="N181">
        <v>0</v>
      </c>
      <c r="O181" t="s">
        <v>79</v>
      </c>
      <c r="P181" s="35">
        <v>44330.105697106483</v>
      </c>
      <c r="Q181">
        <v>5229213</v>
      </c>
      <c r="R181" t="s">
        <v>74</v>
      </c>
      <c r="S181" s="4">
        <v>31.90471668</v>
      </c>
      <c r="T181">
        <v>70.708124760000004</v>
      </c>
      <c r="U181">
        <v>70.708124760000004</v>
      </c>
      <c r="V181">
        <v>2255.9226871599999</v>
      </c>
      <c r="W181">
        <v>2255.9226871599999</v>
      </c>
      <c r="X181">
        <v>0</v>
      </c>
      <c r="Y181">
        <v>5590.3561725400004</v>
      </c>
      <c r="Z181">
        <v>5590.3561725400004</v>
      </c>
      <c r="AA181">
        <v>0</v>
      </c>
      <c r="AB181">
        <v>0</v>
      </c>
      <c r="AC181" t="s">
        <v>84</v>
      </c>
      <c r="AD181" s="35">
        <v>42917</v>
      </c>
    </row>
    <row r="182" spans="1:30" x14ac:dyDescent="0.3">
      <c r="A182">
        <v>44</v>
      </c>
      <c r="B182" t="s">
        <v>121</v>
      </c>
      <c r="C182">
        <v>2017</v>
      </c>
      <c r="D182">
        <v>9</v>
      </c>
      <c r="E182" t="s">
        <v>89</v>
      </c>
      <c r="F182" t="s">
        <v>84</v>
      </c>
      <c r="G182" t="s">
        <v>84</v>
      </c>
      <c r="H182" t="s">
        <v>25</v>
      </c>
      <c r="I182" t="s">
        <v>25</v>
      </c>
      <c r="J182" t="s">
        <v>101</v>
      </c>
      <c r="K182" t="s">
        <v>90</v>
      </c>
      <c r="L182" t="s">
        <v>103</v>
      </c>
      <c r="M182">
        <v>1160.3236436</v>
      </c>
      <c r="N182">
        <v>0</v>
      </c>
      <c r="O182" t="s">
        <v>79</v>
      </c>
      <c r="P182" s="35">
        <v>44269.837768090278</v>
      </c>
      <c r="Q182">
        <v>87</v>
      </c>
      <c r="R182" t="s">
        <v>82</v>
      </c>
      <c r="S182" s="4">
        <v>1175.4861287199999</v>
      </c>
      <c r="T182">
        <v>70.711379750000006</v>
      </c>
      <c r="U182">
        <v>70.711379750000006</v>
      </c>
      <c r="V182">
        <v>83120.246038230005</v>
      </c>
      <c r="W182">
        <v>83120.246038230005</v>
      </c>
      <c r="X182">
        <v>0</v>
      </c>
      <c r="Y182">
        <v>5614.0154054799996</v>
      </c>
      <c r="Z182">
        <v>5614.0154054799996</v>
      </c>
      <c r="AA182">
        <v>0</v>
      </c>
      <c r="AB182">
        <v>0</v>
      </c>
      <c r="AC182" t="s">
        <v>84</v>
      </c>
      <c r="AD182" s="35">
        <v>42979</v>
      </c>
    </row>
    <row r="183" spans="1:30" x14ac:dyDescent="0.3">
      <c r="A183">
        <v>2</v>
      </c>
      <c r="B183" t="s">
        <v>121</v>
      </c>
      <c r="C183">
        <v>2017</v>
      </c>
      <c r="D183">
        <v>9</v>
      </c>
      <c r="E183" t="s">
        <v>85</v>
      </c>
      <c r="F183" t="s">
        <v>84</v>
      </c>
      <c r="G183" t="s">
        <v>84</v>
      </c>
      <c r="H183" t="s">
        <v>25</v>
      </c>
      <c r="I183" t="s">
        <v>25</v>
      </c>
      <c r="J183" t="s">
        <v>101</v>
      </c>
      <c r="K183" t="s">
        <v>86</v>
      </c>
      <c r="L183" t="s">
        <v>103</v>
      </c>
      <c r="M183">
        <v>1525.35760676</v>
      </c>
      <c r="N183">
        <v>0</v>
      </c>
      <c r="O183" t="s">
        <v>79</v>
      </c>
      <c r="P183" s="35">
        <v>44269.837765891207</v>
      </c>
      <c r="Q183">
        <v>3</v>
      </c>
      <c r="R183" t="s">
        <v>82</v>
      </c>
      <c r="S183" s="4">
        <v>1562.8899138500001</v>
      </c>
      <c r="T183">
        <v>70.711379750000006</v>
      </c>
      <c r="U183">
        <v>70.711379750000006</v>
      </c>
      <c r="V183">
        <v>110514.10220543999</v>
      </c>
      <c r="W183">
        <v>110514.10220543999</v>
      </c>
      <c r="X183">
        <v>0</v>
      </c>
      <c r="Y183">
        <v>5614.0154054799996</v>
      </c>
      <c r="Z183">
        <v>5614.0154054799996</v>
      </c>
      <c r="AA183">
        <v>0</v>
      </c>
      <c r="AB183">
        <v>0</v>
      </c>
      <c r="AC183" t="s">
        <v>84</v>
      </c>
      <c r="AD183" s="35">
        <v>42979</v>
      </c>
    </row>
    <row r="184" spans="1:30" x14ac:dyDescent="0.3">
      <c r="A184">
        <v>23</v>
      </c>
      <c r="B184" t="s">
        <v>121</v>
      </c>
      <c r="C184">
        <v>2017</v>
      </c>
      <c r="D184">
        <v>9</v>
      </c>
      <c r="E184" t="s">
        <v>87</v>
      </c>
      <c r="F184" t="s">
        <v>84</v>
      </c>
      <c r="G184" t="s">
        <v>84</v>
      </c>
      <c r="H184" t="s">
        <v>25</v>
      </c>
      <c r="I184" t="s">
        <v>25</v>
      </c>
      <c r="J184" t="s">
        <v>101</v>
      </c>
      <c r="K184" t="s">
        <v>88</v>
      </c>
      <c r="L184" t="s">
        <v>103</v>
      </c>
      <c r="M184">
        <v>317.51694221999998</v>
      </c>
      <c r="N184">
        <v>0</v>
      </c>
      <c r="O184" t="s">
        <v>79</v>
      </c>
      <c r="P184" s="35">
        <v>44269.837767013887</v>
      </c>
      <c r="Q184">
        <v>45</v>
      </c>
      <c r="R184" t="s">
        <v>82</v>
      </c>
      <c r="S184" s="4">
        <v>321.53406305999999</v>
      </c>
      <c r="T184">
        <v>70.711379750000006</v>
      </c>
      <c r="U184">
        <v>70.711379750000006</v>
      </c>
      <c r="V184">
        <v>22736.117235850001</v>
      </c>
      <c r="W184">
        <v>22736.117235850001</v>
      </c>
      <c r="X184">
        <v>0</v>
      </c>
      <c r="Y184">
        <v>5614.0154054799996</v>
      </c>
      <c r="Z184">
        <v>5614.0154054799996</v>
      </c>
      <c r="AA184">
        <v>0</v>
      </c>
      <c r="AB184">
        <v>0</v>
      </c>
      <c r="AC184" t="s">
        <v>84</v>
      </c>
      <c r="AD184" s="35">
        <v>42979</v>
      </c>
    </row>
    <row r="185" spans="1:30" x14ac:dyDescent="0.3">
      <c r="A185">
        <v>100242</v>
      </c>
      <c r="B185" t="s">
        <v>139</v>
      </c>
      <c r="C185">
        <v>2018</v>
      </c>
      <c r="D185">
        <v>7</v>
      </c>
      <c r="E185" t="s">
        <v>89</v>
      </c>
      <c r="F185" t="s">
        <v>84</v>
      </c>
      <c r="G185" t="s">
        <v>84</v>
      </c>
      <c r="H185" t="s">
        <v>25</v>
      </c>
      <c r="I185" t="s">
        <v>25</v>
      </c>
      <c r="J185" t="s">
        <v>101</v>
      </c>
      <c r="K185" t="s">
        <v>90</v>
      </c>
      <c r="L185" t="s">
        <v>103</v>
      </c>
      <c r="M185">
        <v>953.47078386999999</v>
      </c>
      <c r="N185">
        <v>0</v>
      </c>
      <c r="O185" t="s">
        <v>80</v>
      </c>
      <c r="P185" s="35">
        <v>44269.848710416663</v>
      </c>
      <c r="Q185">
        <v>913752</v>
      </c>
      <c r="R185" t="s">
        <v>27</v>
      </c>
      <c r="S185" s="4">
        <v>426.12866946000003</v>
      </c>
      <c r="T185">
        <v>70.650776500000006</v>
      </c>
      <c r="U185">
        <v>70.650776500000006</v>
      </c>
      <c r="V185">
        <v>30106.32138804</v>
      </c>
      <c r="W185">
        <v>30106.32138804</v>
      </c>
      <c r="X185">
        <v>0</v>
      </c>
      <c r="Y185">
        <v>5616.7200133200004</v>
      </c>
      <c r="Z185">
        <v>5616.7200133200004</v>
      </c>
      <c r="AA185">
        <v>0</v>
      </c>
      <c r="AB185">
        <v>0</v>
      </c>
      <c r="AC185" t="s">
        <v>84</v>
      </c>
      <c r="AD185" s="35">
        <v>43282</v>
      </c>
    </row>
    <row r="186" spans="1:30" x14ac:dyDescent="0.3">
      <c r="A186">
        <v>100194</v>
      </c>
      <c r="B186" t="s">
        <v>139</v>
      </c>
      <c r="C186">
        <v>2018</v>
      </c>
      <c r="D186">
        <v>7</v>
      </c>
      <c r="E186" t="s">
        <v>85</v>
      </c>
      <c r="F186" t="s">
        <v>84</v>
      </c>
      <c r="G186" t="s">
        <v>84</v>
      </c>
      <c r="H186" t="s">
        <v>25</v>
      </c>
      <c r="I186" t="s">
        <v>25</v>
      </c>
      <c r="J186" t="s">
        <v>101</v>
      </c>
      <c r="K186" t="s">
        <v>86</v>
      </c>
      <c r="L186" t="s">
        <v>103</v>
      </c>
      <c r="M186">
        <v>1870.62563673</v>
      </c>
      <c r="N186">
        <v>0</v>
      </c>
      <c r="O186" t="s">
        <v>80</v>
      </c>
      <c r="P186" s="35">
        <v>44269.848707986108</v>
      </c>
      <c r="Q186">
        <v>913512</v>
      </c>
      <c r="R186" t="s">
        <v>27</v>
      </c>
      <c r="S186" s="4">
        <v>863.33721008999999</v>
      </c>
      <c r="T186">
        <v>70.650776500000006</v>
      </c>
      <c r="U186">
        <v>70.650776500000006</v>
      </c>
      <c r="V186">
        <v>60995.444277920004</v>
      </c>
      <c r="W186">
        <v>60995.444277920004</v>
      </c>
      <c r="X186">
        <v>0</v>
      </c>
      <c r="Y186">
        <v>5616.7200133200004</v>
      </c>
      <c r="Z186">
        <v>5616.7200133200004</v>
      </c>
      <c r="AA186">
        <v>0</v>
      </c>
      <c r="AB186">
        <v>0</v>
      </c>
      <c r="AC186" t="s">
        <v>84</v>
      </c>
      <c r="AD186" s="35">
        <v>43282</v>
      </c>
    </row>
    <row r="187" spans="1:30" x14ac:dyDescent="0.3">
      <c r="A187">
        <v>100218</v>
      </c>
      <c r="B187" t="s">
        <v>139</v>
      </c>
      <c r="C187">
        <v>2018</v>
      </c>
      <c r="D187">
        <v>7</v>
      </c>
      <c r="E187" t="s">
        <v>87</v>
      </c>
      <c r="F187" t="s">
        <v>84</v>
      </c>
      <c r="G187" t="s">
        <v>84</v>
      </c>
      <c r="H187" t="s">
        <v>25</v>
      </c>
      <c r="I187" t="s">
        <v>25</v>
      </c>
      <c r="J187" t="s">
        <v>101</v>
      </c>
      <c r="K187" t="s">
        <v>88</v>
      </c>
      <c r="L187" t="s">
        <v>103</v>
      </c>
      <c r="M187">
        <v>347.46938798999997</v>
      </c>
      <c r="N187">
        <v>0</v>
      </c>
      <c r="O187" t="s">
        <v>80</v>
      </c>
      <c r="P187" s="35">
        <v>44269.848709224527</v>
      </c>
      <c r="Q187">
        <v>913632</v>
      </c>
      <c r="R187" t="s">
        <v>27</v>
      </c>
      <c r="S187" s="4">
        <v>143.69052761</v>
      </c>
      <c r="T187">
        <v>70.650776500000006</v>
      </c>
      <c r="U187">
        <v>70.650776500000006</v>
      </c>
      <c r="V187">
        <v>10151.84735192</v>
      </c>
      <c r="W187">
        <v>10151.84735192</v>
      </c>
      <c r="X187">
        <v>0</v>
      </c>
      <c r="Y187">
        <v>5616.7200133200004</v>
      </c>
      <c r="Z187">
        <v>5616.7200133200004</v>
      </c>
      <c r="AA187">
        <v>0</v>
      </c>
      <c r="AB187">
        <v>0</v>
      </c>
      <c r="AC187" t="s">
        <v>84</v>
      </c>
      <c r="AD187" s="35">
        <v>43282</v>
      </c>
    </row>
    <row r="188" spans="1:30" x14ac:dyDescent="0.3">
      <c r="A188">
        <v>560936</v>
      </c>
      <c r="B188" t="s">
        <v>143</v>
      </c>
      <c r="C188">
        <v>2017</v>
      </c>
      <c r="D188">
        <v>6</v>
      </c>
      <c r="E188" t="s">
        <v>87</v>
      </c>
      <c r="F188" t="s">
        <v>84</v>
      </c>
      <c r="G188" t="s">
        <v>84</v>
      </c>
      <c r="H188" t="s">
        <v>25</v>
      </c>
      <c r="I188" t="s">
        <v>25</v>
      </c>
      <c r="J188" t="s">
        <v>101</v>
      </c>
      <c r="K188" t="s">
        <v>88</v>
      </c>
      <c r="L188" t="s">
        <v>103</v>
      </c>
      <c r="M188">
        <v>850.28490937000004</v>
      </c>
      <c r="N188">
        <v>0</v>
      </c>
      <c r="O188" t="s">
        <v>79</v>
      </c>
      <c r="P188" s="35">
        <v>44330.104736226851</v>
      </c>
      <c r="Q188">
        <v>5144551</v>
      </c>
      <c r="R188" t="s">
        <v>74</v>
      </c>
      <c r="S188" s="4">
        <v>22.803217889999999</v>
      </c>
      <c r="T188">
        <v>71.457995929999996</v>
      </c>
      <c r="U188">
        <v>71.457995929999996</v>
      </c>
      <c r="V188">
        <v>1629.47225134</v>
      </c>
      <c r="W188">
        <v>1629.47225134</v>
      </c>
      <c r="X188">
        <v>0</v>
      </c>
      <c r="Y188">
        <v>5649.6428098599999</v>
      </c>
      <c r="Z188">
        <v>5649.6428098599999</v>
      </c>
      <c r="AA188">
        <v>0</v>
      </c>
      <c r="AB188">
        <v>0</v>
      </c>
      <c r="AC188" t="s">
        <v>84</v>
      </c>
      <c r="AD188" s="35">
        <v>42887</v>
      </c>
    </row>
    <row r="189" spans="1:30" x14ac:dyDescent="0.3">
      <c r="A189">
        <v>560915</v>
      </c>
      <c r="B189" t="s">
        <v>143</v>
      </c>
      <c r="C189">
        <v>2017</v>
      </c>
      <c r="D189">
        <v>6</v>
      </c>
      <c r="E189" t="s">
        <v>85</v>
      </c>
      <c r="F189" t="s">
        <v>84</v>
      </c>
      <c r="G189" t="s">
        <v>84</v>
      </c>
      <c r="H189" t="s">
        <v>25</v>
      </c>
      <c r="I189" t="s">
        <v>25</v>
      </c>
      <c r="J189" t="s">
        <v>101</v>
      </c>
      <c r="K189" t="s">
        <v>86</v>
      </c>
      <c r="L189" t="s">
        <v>103</v>
      </c>
      <c r="M189">
        <v>2370.0725542700002</v>
      </c>
      <c r="N189">
        <v>0</v>
      </c>
      <c r="O189" t="s">
        <v>79</v>
      </c>
      <c r="P189" s="35">
        <v>44330.104735567133</v>
      </c>
      <c r="Q189">
        <v>5144509</v>
      </c>
      <c r="R189" t="s">
        <v>74</v>
      </c>
      <c r="S189" s="4">
        <v>35.229756250000001</v>
      </c>
      <c r="T189">
        <v>71.457995929999996</v>
      </c>
      <c r="U189">
        <v>71.457995929999996</v>
      </c>
      <c r="V189">
        <v>2517.4477785200002</v>
      </c>
      <c r="W189">
        <v>2517.4477785200002</v>
      </c>
      <c r="X189">
        <v>0</v>
      </c>
      <c r="Y189">
        <v>5649.6428098599999</v>
      </c>
      <c r="Z189">
        <v>5649.6428098599999</v>
      </c>
      <c r="AA189">
        <v>0</v>
      </c>
      <c r="AB189">
        <v>0</v>
      </c>
      <c r="AC189" t="s">
        <v>84</v>
      </c>
      <c r="AD189" s="35">
        <v>42887</v>
      </c>
    </row>
    <row r="190" spans="1:30" x14ac:dyDescent="0.3">
      <c r="A190">
        <v>560957</v>
      </c>
      <c r="B190" t="s">
        <v>143</v>
      </c>
      <c r="C190">
        <v>2017</v>
      </c>
      <c r="D190">
        <v>6</v>
      </c>
      <c r="E190" t="s">
        <v>89</v>
      </c>
      <c r="F190" t="s">
        <v>84</v>
      </c>
      <c r="G190" t="s">
        <v>84</v>
      </c>
      <c r="H190" t="s">
        <v>25</v>
      </c>
      <c r="I190" t="s">
        <v>25</v>
      </c>
      <c r="J190" t="s">
        <v>101</v>
      </c>
      <c r="K190" t="s">
        <v>90</v>
      </c>
      <c r="L190" t="s">
        <v>103</v>
      </c>
      <c r="M190">
        <v>1321.58655047</v>
      </c>
      <c r="N190">
        <v>0</v>
      </c>
      <c r="O190" t="s">
        <v>79</v>
      </c>
      <c r="P190" s="35">
        <v>44330.104736770831</v>
      </c>
      <c r="Q190">
        <v>5144593</v>
      </c>
      <c r="R190" t="s">
        <v>74</v>
      </c>
      <c r="S190" s="4">
        <v>34.893239119999997</v>
      </c>
      <c r="T190">
        <v>71.457995929999996</v>
      </c>
      <c r="U190">
        <v>71.457995929999996</v>
      </c>
      <c r="V190">
        <v>2493.4009389500002</v>
      </c>
      <c r="W190">
        <v>2493.4009389500002</v>
      </c>
      <c r="X190">
        <v>0</v>
      </c>
      <c r="Y190">
        <v>5649.6428098599999</v>
      </c>
      <c r="Z190">
        <v>5649.6428098599999</v>
      </c>
      <c r="AA190">
        <v>0</v>
      </c>
      <c r="AB190">
        <v>0</v>
      </c>
      <c r="AC190" t="s">
        <v>84</v>
      </c>
      <c r="AD190" s="35">
        <v>42887</v>
      </c>
    </row>
    <row r="191" spans="1:30" x14ac:dyDescent="0.3">
      <c r="A191">
        <v>113100</v>
      </c>
      <c r="B191" t="s">
        <v>140</v>
      </c>
      <c r="C191">
        <v>2018</v>
      </c>
      <c r="D191">
        <v>8</v>
      </c>
      <c r="E191" t="s">
        <v>89</v>
      </c>
      <c r="F191" t="s">
        <v>84</v>
      </c>
      <c r="G191" t="s">
        <v>84</v>
      </c>
      <c r="H191" t="s">
        <v>25</v>
      </c>
      <c r="I191" t="s">
        <v>25</v>
      </c>
      <c r="J191" t="s">
        <v>101</v>
      </c>
      <c r="K191" t="s">
        <v>90</v>
      </c>
      <c r="L191" t="s">
        <v>103</v>
      </c>
      <c r="M191">
        <v>901.42463836000002</v>
      </c>
      <c r="N191">
        <v>0</v>
      </c>
      <c r="O191" t="s">
        <v>80</v>
      </c>
      <c r="P191" s="35">
        <v>44269.850223530091</v>
      </c>
      <c r="Q191">
        <v>1042281</v>
      </c>
      <c r="R191" t="s">
        <v>27</v>
      </c>
      <c r="S191" s="4">
        <v>402.56582880000002</v>
      </c>
      <c r="T191">
        <v>71.066617739999998</v>
      </c>
      <c r="U191">
        <v>71.066617739999998</v>
      </c>
      <c r="V191">
        <v>28608.991871509999</v>
      </c>
      <c r="W191">
        <v>28608.991871509999</v>
      </c>
      <c r="X191">
        <v>0</v>
      </c>
      <c r="Y191">
        <v>5649.7792933000001</v>
      </c>
      <c r="Z191">
        <v>5649.7792933000001</v>
      </c>
      <c r="AA191">
        <v>0</v>
      </c>
      <c r="AB191">
        <v>0</v>
      </c>
      <c r="AC191" t="s">
        <v>84</v>
      </c>
      <c r="AD191" s="35">
        <v>43313</v>
      </c>
    </row>
    <row r="192" spans="1:30" x14ac:dyDescent="0.3">
      <c r="A192">
        <v>113052</v>
      </c>
      <c r="B192" t="s">
        <v>140</v>
      </c>
      <c r="C192">
        <v>2018</v>
      </c>
      <c r="D192">
        <v>8</v>
      </c>
      <c r="E192" t="s">
        <v>85</v>
      </c>
      <c r="F192" t="s">
        <v>84</v>
      </c>
      <c r="G192" t="s">
        <v>84</v>
      </c>
      <c r="H192" t="s">
        <v>25</v>
      </c>
      <c r="I192" t="s">
        <v>25</v>
      </c>
      <c r="J192" t="s">
        <v>101</v>
      </c>
      <c r="K192" t="s">
        <v>86</v>
      </c>
      <c r="L192" t="s">
        <v>103</v>
      </c>
      <c r="M192">
        <v>1702.89201288</v>
      </c>
      <c r="N192">
        <v>0</v>
      </c>
      <c r="O192" t="s">
        <v>80</v>
      </c>
      <c r="P192" s="35">
        <v>44269.85022109955</v>
      </c>
      <c r="Q192">
        <v>1042041</v>
      </c>
      <c r="R192" t="s">
        <v>27</v>
      </c>
      <c r="S192" s="4">
        <v>785.33473286000003</v>
      </c>
      <c r="T192">
        <v>71.066617739999998</v>
      </c>
      <c r="U192">
        <v>71.066617739999998</v>
      </c>
      <c r="V192">
        <v>55811.083259270003</v>
      </c>
      <c r="W192">
        <v>55811.083259270003</v>
      </c>
      <c r="X192">
        <v>0</v>
      </c>
      <c r="Y192">
        <v>5649.7792933000001</v>
      </c>
      <c r="Z192">
        <v>5649.7792933000001</v>
      </c>
      <c r="AA192">
        <v>0</v>
      </c>
      <c r="AB192">
        <v>0</v>
      </c>
      <c r="AC192" t="s">
        <v>84</v>
      </c>
      <c r="AD192" s="35">
        <v>43313</v>
      </c>
    </row>
    <row r="193" spans="1:30" x14ac:dyDescent="0.3">
      <c r="A193">
        <v>113076</v>
      </c>
      <c r="B193" t="s">
        <v>140</v>
      </c>
      <c r="C193">
        <v>2018</v>
      </c>
      <c r="D193">
        <v>8</v>
      </c>
      <c r="E193" t="s">
        <v>87</v>
      </c>
      <c r="F193" t="s">
        <v>84</v>
      </c>
      <c r="G193" t="s">
        <v>84</v>
      </c>
      <c r="H193" t="s">
        <v>25</v>
      </c>
      <c r="I193" t="s">
        <v>25</v>
      </c>
      <c r="J193" t="s">
        <v>101</v>
      </c>
      <c r="K193" t="s">
        <v>88</v>
      </c>
      <c r="L193" t="s">
        <v>103</v>
      </c>
      <c r="M193">
        <v>336.78904151</v>
      </c>
      <c r="N193">
        <v>0</v>
      </c>
      <c r="O193" t="s">
        <v>80</v>
      </c>
      <c r="P193" s="35">
        <v>44269.850222337962</v>
      </c>
      <c r="Q193">
        <v>1042161</v>
      </c>
      <c r="R193" t="s">
        <v>27</v>
      </c>
      <c r="S193" s="4">
        <v>139.16937003000001</v>
      </c>
      <c r="T193">
        <v>71.066617739999998</v>
      </c>
      <c r="U193">
        <v>71.066617739999998</v>
      </c>
      <c r="V193">
        <v>9890.2964212799998</v>
      </c>
      <c r="W193">
        <v>9890.2964212799998</v>
      </c>
      <c r="X193">
        <v>0</v>
      </c>
      <c r="Y193">
        <v>5649.7792933000001</v>
      </c>
      <c r="Z193">
        <v>5649.7792933000001</v>
      </c>
      <c r="AA193">
        <v>0</v>
      </c>
      <c r="AB193">
        <v>0</v>
      </c>
      <c r="AC193" t="s">
        <v>84</v>
      </c>
      <c r="AD193" s="35">
        <v>43313</v>
      </c>
    </row>
    <row r="194" spans="1:30" x14ac:dyDescent="0.3">
      <c r="A194">
        <v>550961</v>
      </c>
      <c r="B194" t="s">
        <v>144</v>
      </c>
      <c r="C194">
        <v>2017</v>
      </c>
      <c r="D194">
        <v>5</v>
      </c>
      <c r="E194" t="s">
        <v>87</v>
      </c>
      <c r="F194" t="s">
        <v>84</v>
      </c>
      <c r="G194" t="s">
        <v>84</v>
      </c>
      <c r="H194" t="s">
        <v>25</v>
      </c>
      <c r="I194" t="s">
        <v>25</v>
      </c>
      <c r="J194" t="s">
        <v>101</v>
      </c>
      <c r="K194" t="s">
        <v>88</v>
      </c>
      <c r="L194" t="s">
        <v>103</v>
      </c>
      <c r="M194">
        <v>999.01457314000004</v>
      </c>
      <c r="N194">
        <v>0</v>
      </c>
      <c r="O194" t="s">
        <v>79</v>
      </c>
      <c r="P194" s="35">
        <v>44330.10375185185</v>
      </c>
      <c r="Q194">
        <v>5059817</v>
      </c>
      <c r="R194" t="s">
        <v>74</v>
      </c>
      <c r="S194" s="4">
        <v>26.791898499999999</v>
      </c>
      <c r="T194">
        <v>72.144482580000002</v>
      </c>
      <c r="U194">
        <v>72.144482580000002</v>
      </c>
      <c r="V194">
        <v>1932.8876546399999</v>
      </c>
      <c r="W194">
        <v>1932.8876546399999</v>
      </c>
      <c r="X194">
        <v>0</v>
      </c>
      <c r="Y194">
        <v>5703.9181125100004</v>
      </c>
      <c r="Z194">
        <v>5703.9181125100004</v>
      </c>
      <c r="AA194">
        <v>0</v>
      </c>
      <c r="AB194">
        <v>0</v>
      </c>
      <c r="AC194" t="s">
        <v>84</v>
      </c>
      <c r="AD194" s="35">
        <v>42856</v>
      </c>
    </row>
    <row r="195" spans="1:30" x14ac:dyDescent="0.3">
      <c r="A195">
        <v>550940</v>
      </c>
      <c r="B195" t="s">
        <v>144</v>
      </c>
      <c r="C195">
        <v>2017</v>
      </c>
      <c r="D195">
        <v>5</v>
      </c>
      <c r="E195" t="s">
        <v>85</v>
      </c>
      <c r="F195" t="s">
        <v>84</v>
      </c>
      <c r="G195" t="s">
        <v>84</v>
      </c>
      <c r="H195" t="s">
        <v>25</v>
      </c>
      <c r="I195" t="s">
        <v>25</v>
      </c>
      <c r="J195" t="s">
        <v>101</v>
      </c>
      <c r="K195" t="s">
        <v>86</v>
      </c>
      <c r="L195" t="s">
        <v>103</v>
      </c>
      <c r="M195">
        <v>2827.3129987100001</v>
      </c>
      <c r="N195">
        <v>0</v>
      </c>
      <c r="O195" t="s">
        <v>79</v>
      </c>
      <c r="P195" s="35">
        <v>44330.103751238428</v>
      </c>
      <c r="Q195">
        <v>5059775</v>
      </c>
      <c r="R195" t="s">
        <v>74</v>
      </c>
      <c r="S195" s="4">
        <v>42.026370710000002</v>
      </c>
      <c r="T195">
        <v>72.144482580000002</v>
      </c>
      <c r="U195">
        <v>72.144482580000002</v>
      </c>
      <c r="V195">
        <v>3031.9707696199998</v>
      </c>
      <c r="W195">
        <v>3031.9707696199998</v>
      </c>
      <c r="X195">
        <v>0</v>
      </c>
      <c r="Y195">
        <v>5703.9181125100004</v>
      </c>
      <c r="Z195">
        <v>5703.9181125100004</v>
      </c>
      <c r="AA195">
        <v>0</v>
      </c>
      <c r="AB195">
        <v>0</v>
      </c>
      <c r="AC195" t="s">
        <v>84</v>
      </c>
      <c r="AD195" s="35">
        <v>42856</v>
      </c>
    </row>
    <row r="196" spans="1:30" x14ac:dyDescent="0.3">
      <c r="A196">
        <v>550982</v>
      </c>
      <c r="B196" t="s">
        <v>144</v>
      </c>
      <c r="C196">
        <v>2017</v>
      </c>
      <c r="D196">
        <v>5</v>
      </c>
      <c r="E196" t="s">
        <v>89</v>
      </c>
      <c r="F196" t="s">
        <v>84</v>
      </c>
      <c r="G196" t="s">
        <v>84</v>
      </c>
      <c r="H196" t="s">
        <v>25</v>
      </c>
      <c r="I196" t="s">
        <v>25</v>
      </c>
      <c r="J196" t="s">
        <v>101</v>
      </c>
      <c r="K196" t="s">
        <v>90</v>
      </c>
      <c r="L196" t="s">
        <v>103</v>
      </c>
      <c r="M196">
        <v>1465.7128444299999</v>
      </c>
      <c r="N196">
        <v>0</v>
      </c>
      <c r="O196" t="s">
        <v>79</v>
      </c>
      <c r="P196" s="35">
        <v>44330.103752581017</v>
      </c>
      <c r="Q196">
        <v>5059859</v>
      </c>
      <c r="R196" t="s">
        <v>74</v>
      </c>
      <c r="S196" s="4">
        <v>38.698539070000002</v>
      </c>
      <c r="T196">
        <v>72.144482580000002</v>
      </c>
      <c r="U196">
        <v>72.144482580000002</v>
      </c>
      <c r="V196">
        <v>2791.8860778899998</v>
      </c>
      <c r="W196">
        <v>2791.8860778899998</v>
      </c>
      <c r="X196">
        <v>0</v>
      </c>
      <c r="Y196">
        <v>5703.9181125100004</v>
      </c>
      <c r="Z196">
        <v>5703.9181125100004</v>
      </c>
      <c r="AA196">
        <v>0</v>
      </c>
      <c r="AB196">
        <v>0</v>
      </c>
      <c r="AC196" t="s">
        <v>84</v>
      </c>
      <c r="AD196" s="35">
        <v>42856</v>
      </c>
    </row>
    <row r="197" spans="1:30" x14ac:dyDescent="0.3">
      <c r="A197">
        <v>9842</v>
      </c>
      <c r="B197" t="s">
        <v>127</v>
      </c>
      <c r="C197">
        <v>2017</v>
      </c>
      <c r="D197">
        <v>10</v>
      </c>
      <c r="E197" t="s">
        <v>89</v>
      </c>
      <c r="F197" t="s">
        <v>84</v>
      </c>
      <c r="G197" t="s">
        <v>84</v>
      </c>
      <c r="H197" t="s">
        <v>25</v>
      </c>
      <c r="I197" t="s">
        <v>25</v>
      </c>
      <c r="J197" t="s">
        <v>101</v>
      </c>
      <c r="K197" t="s">
        <v>90</v>
      </c>
      <c r="L197" t="s">
        <v>103</v>
      </c>
      <c r="M197">
        <v>1325.6322066800001</v>
      </c>
      <c r="N197">
        <v>0</v>
      </c>
      <c r="O197" t="s">
        <v>79</v>
      </c>
      <c r="P197" s="35">
        <v>44269.838788229157</v>
      </c>
      <c r="Q197">
        <v>83968</v>
      </c>
      <c r="R197" t="s">
        <v>82</v>
      </c>
      <c r="S197" s="4">
        <v>1342.95485517</v>
      </c>
      <c r="T197">
        <v>71.987938639999996</v>
      </c>
      <c r="U197">
        <v>71.987938639999996</v>
      </c>
      <c r="V197">
        <v>96676.551706020007</v>
      </c>
      <c r="W197">
        <v>96676.551706019993</v>
      </c>
      <c r="X197">
        <v>0</v>
      </c>
      <c r="Y197">
        <v>5715.3657296399997</v>
      </c>
      <c r="Z197">
        <v>5715.3657296399997</v>
      </c>
      <c r="AA197">
        <v>0</v>
      </c>
      <c r="AB197">
        <v>0</v>
      </c>
      <c r="AC197" t="s">
        <v>84</v>
      </c>
      <c r="AD197" s="35">
        <v>43009</v>
      </c>
    </row>
    <row r="198" spans="1:30" x14ac:dyDescent="0.3">
      <c r="A198">
        <v>9821</v>
      </c>
      <c r="B198" t="s">
        <v>127</v>
      </c>
      <c r="C198">
        <v>2017</v>
      </c>
      <c r="D198">
        <v>10</v>
      </c>
      <c r="E198" t="s">
        <v>87</v>
      </c>
      <c r="F198" t="s">
        <v>84</v>
      </c>
      <c r="G198" t="s">
        <v>84</v>
      </c>
      <c r="H198" t="s">
        <v>25</v>
      </c>
      <c r="I198" t="s">
        <v>25</v>
      </c>
      <c r="J198" t="s">
        <v>101</v>
      </c>
      <c r="K198" t="s">
        <v>88</v>
      </c>
      <c r="L198" t="s">
        <v>103</v>
      </c>
      <c r="M198">
        <v>345.79406583999997</v>
      </c>
      <c r="N198">
        <v>0</v>
      </c>
      <c r="O198" t="s">
        <v>79</v>
      </c>
      <c r="P198" s="35">
        <v>44269.83878726852</v>
      </c>
      <c r="Q198">
        <v>83926</v>
      </c>
      <c r="R198" t="s">
        <v>82</v>
      </c>
      <c r="S198" s="4">
        <v>350.16893963000001</v>
      </c>
      <c r="T198">
        <v>71.987938639999996</v>
      </c>
      <c r="U198">
        <v>71.987938639999996</v>
      </c>
      <c r="V198">
        <v>25207.940138990001</v>
      </c>
      <c r="W198">
        <v>25207.940138990001</v>
      </c>
      <c r="X198">
        <v>0</v>
      </c>
      <c r="Y198">
        <v>5715.3657296399997</v>
      </c>
      <c r="Z198">
        <v>5715.3657296399997</v>
      </c>
      <c r="AA198">
        <v>0</v>
      </c>
      <c r="AB198">
        <v>0</v>
      </c>
      <c r="AC198" t="s">
        <v>84</v>
      </c>
      <c r="AD198" s="35">
        <v>43009</v>
      </c>
    </row>
    <row r="199" spans="1:30" x14ac:dyDescent="0.3">
      <c r="A199">
        <v>9800</v>
      </c>
      <c r="B199" t="s">
        <v>127</v>
      </c>
      <c r="C199">
        <v>2017</v>
      </c>
      <c r="D199">
        <v>10</v>
      </c>
      <c r="E199" t="s">
        <v>85</v>
      </c>
      <c r="F199" t="s">
        <v>84</v>
      </c>
      <c r="G199" t="s">
        <v>84</v>
      </c>
      <c r="H199" t="s">
        <v>25</v>
      </c>
      <c r="I199" t="s">
        <v>25</v>
      </c>
      <c r="J199" t="s">
        <v>101</v>
      </c>
      <c r="K199" t="s">
        <v>86</v>
      </c>
      <c r="L199" t="s">
        <v>103</v>
      </c>
      <c r="M199">
        <v>1690.9131185399999</v>
      </c>
      <c r="N199">
        <v>0</v>
      </c>
      <c r="O199" t="s">
        <v>79</v>
      </c>
      <c r="P199" s="35">
        <v>44269.83878622685</v>
      </c>
      <c r="Q199">
        <v>83884</v>
      </c>
      <c r="R199" t="s">
        <v>82</v>
      </c>
      <c r="S199" s="4">
        <v>1732.51901486</v>
      </c>
      <c r="T199">
        <v>71.987938639999996</v>
      </c>
      <c r="U199">
        <v>71.987938639999996</v>
      </c>
      <c r="V199">
        <v>124720.47252938</v>
      </c>
      <c r="W199">
        <v>124720.47252938</v>
      </c>
      <c r="X199">
        <v>0</v>
      </c>
      <c r="Y199">
        <v>5715.3657296399997</v>
      </c>
      <c r="Z199">
        <v>5715.3657296399997</v>
      </c>
      <c r="AA199">
        <v>0</v>
      </c>
      <c r="AB199">
        <v>0</v>
      </c>
      <c r="AC199" t="s">
        <v>84</v>
      </c>
      <c r="AD199" s="35">
        <v>43009</v>
      </c>
    </row>
    <row r="200" spans="1:30" x14ac:dyDescent="0.3">
      <c r="A200">
        <v>174692</v>
      </c>
      <c r="B200" t="s">
        <v>145</v>
      </c>
      <c r="C200">
        <v>2019</v>
      </c>
      <c r="D200">
        <v>1</v>
      </c>
      <c r="E200" t="s">
        <v>90</v>
      </c>
      <c r="F200" t="s">
        <v>84</v>
      </c>
      <c r="G200" t="s">
        <v>84</v>
      </c>
      <c r="H200" t="s">
        <v>25</v>
      </c>
      <c r="I200" t="s">
        <v>25</v>
      </c>
      <c r="J200" t="s">
        <v>101</v>
      </c>
      <c r="K200" t="s">
        <v>90</v>
      </c>
      <c r="L200" t="s">
        <v>103</v>
      </c>
      <c r="M200">
        <v>1057.08780013</v>
      </c>
      <c r="N200">
        <v>0</v>
      </c>
      <c r="O200" t="s">
        <v>80</v>
      </c>
      <c r="P200" s="35">
        <v>44269.857912731481</v>
      </c>
      <c r="Q200">
        <v>1659736</v>
      </c>
      <c r="R200" t="s">
        <v>81</v>
      </c>
      <c r="S200" s="4">
        <v>107.26597246999999</v>
      </c>
      <c r="T200">
        <v>70.437337639999996</v>
      </c>
      <c r="U200">
        <v>70.437337639999996</v>
      </c>
      <c r="V200">
        <v>7555.5295197799996</v>
      </c>
      <c r="W200">
        <v>7555.5295197799996</v>
      </c>
      <c r="X200">
        <v>0</v>
      </c>
      <c r="Y200">
        <v>5735.8045360699998</v>
      </c>
      <c r="Z200">
        <v>5735.8045360699998</v>
      </c>
      <c r="AA200">
        <v>0</v>
      </c>
      <c r="AB200">
        <v>0</v>
      </c>
      <c r="AC200" t="s">
        <v>84</v>
      </c>
      <c r="AD200" s="35">
        <v>43466</v>
      </c>
    </row>
    <row r="201" spans="1:30" x14ac:dyDescent="0.3">
      <c r="A201">
        <v>257193</v>
      </c>
      <c r="B201" t="s">
        <v>146</v>
      </c>
      <c r="C201">
        <v>2019</v>
      </c>
      <c r="D201">
        <v>7</v>
      </c>
      <c r="E201" t="s">
        <v>88</v>
      </c>
      <c r="F201" t="s">
        <v>84</v>
      </c>
      <c r="G201" t="s">
        <v>84</v>
      </c>
      <c r="H201" t="s">
        <v>25</v>
      </c>
      <c r="I201" t="s">
        <v>25</v>
      </c>
      <c r="J201" t="s">
        <v>101</v>
      </c>
      <c r="K201" t="s">
        <v>88</v>
      </c>
      <c r="L201" t="s">
        <v>103</v>
      </c>
      <c r="M201">
        <v>259.70617061000002</v>
      </c>
      <c r="N201">
        <v>0</v>
      </c>
      <c r="O201" t="s">
        <v>80</v>
      </c>
      <c r="P201" s="35">
        <v>44269.868005127311</v>
      </c>
      <c r="Q201">
        <v>2439666</v>
      </c>
      <c r="R201" t="s">
        <v>81</v>
      </c>
      <c r="S201" s="4">
        <v>26.29917069</v>
      </c>
      <c r="T201">
        <v>70.437337639999996</v>
      </c>
      <c r="U201">
        <v>70.437337639999996</v>
      </c>
      <c r="V201">
        <v>1852.4435653999999</v>
      </c>
      <c r="W201">
        <v>1852.4435653999999</v>
      </c>
      <c r="X201">
        <v>0</v>
      </c>
      <c r="Y201">
        <v>5735.8045360699998</v>
      </c>
      <c r="Z201">
        <v>5735.8045360699998</v>
      </c>
      <c r="AA201">
        <v>0</v>
      </c>
      <c r="AB201">
        <v>0</v>
      </c>
      <c r="AC201" t="s">
        <v>84</v>
      </c>
      <c r="AD201" s="35">
        <v>43647</v>
      </c>
    </row>
    <row r="202" spans="1:30" x14ac:dyDescent="0.3">
      <c r="A202">
        <v>187283</v>
      </c>
      <c r="B202" t="s">
        <v>147</v>
      </c>
      <c r="C202">
        <v>2019</v>
      </c>
      <c r="D202">
        <v>2</v>
      </c>
      <c r="E202" t="s">
        <v>90</v>
      </c>
      <c r="F202" t="s">
        <v>84</v>
      </c>
      <c r="G202" t="s">
        <v>84</v>
      </c>
      <c r="H202" t="s">
        <v>25</v>
      </c>
      <c r="I202" t="s">
        <v>25</v>
      </c>
      <c r="J202" t="s">
        <v>101</v>
      </c>
      <c r="K202" t="s">
        <v>90</v>
      </c>
      <c r="L202" t="s">
        <v>103</v>
      </c>
      <c r="M202">
        <v>1177.9328353799999</v>
      </c>
      <c r="N202">
        <v>0</v>
      </c>
      <c r="O202" t="s">
        <v>80</v>
      </c>
      <c r="P202" s="35">
        <v>44269.859437847219</v>
      </c>
      <c r="Q202">
        <v>1779150</v>
      </c>
      <c r="R202" t="s">
        <v>81</v>
      </c>
      <c r="S202" s="4">
        <v>119.52849241</v>
      </c>
      <c r="T202">
        <v>70.437337639999996</v>
      </c>
      <c r="U202">
        <v>70.437337639999996</v>
      </c>
      <c r="V202">
        <v>8419.2687768199994</v>
      </c>
      <c r="W202">
        <v>8419.2687768199994</v>
      </c>
      <c r="X202">
        <v>0</v>
      </c>
      <c r="Y202">
        <v>5735.8045360699998</v>
      </c>
      <c r="Z202">
        <v>5735.8045360699998</v>
      </c>
      <c r="AA202">
        <v>0</v>
      </c>
      <c r="AB202">
        <v>0</v>
      </c>
      <c r="AC202" t="s">
        <v>84</v>
      </c>
      <c r="AD202" s="35">
        <v>43497</v>
      </c>
    </row>
    <row r="203" spans="1:30" x14ac:dyDescent="0.3">
      <c r="A203">
        <v>187229</v>
      </c>
      <c r="B203" t="s">
        <v>147</v>
      </c>
      <c r="C203">
        <v>2019</v>
      </c>
      <c r="D203">
        <v>2</v>
      </c>
      <c r="E203" t="s">
        <v>86</v>
      </c>
      <c r="F203" t="s">
        <v>84</v>
      </c>
      <c r="G203" t="s">
        <v>84</v>
      </c>
      <c r="H203" t="s">
        <v>25</v>
      </c>
      <c r="I203" t="s">
        <v>25</v>
      </c>
      <c r="J203" t="s">
        <v>101</v>
      </c>
      <c r="K203" t="s">
        <v>86</v>
      </c>
      <c r="L203" t="s">
        <v>103</v>
      </c>
      <c r="M203">
        <v>2097.42093987</v>
      </c>
      <c r="N203">
        <v>0</v>
      </c>
      <c r="O203" t="s">
        <v>80</v>
      </c>
      <c r="P203" s="35">
        <v>44269.859435266189</v>
      </c>
      <c r="Q203">
        <v>1778880</v>
      </c>
      <c r="R203" t="s">
        <v>81</v>
      </c>
      <c r="S203" s="4">
        <v>249.72608044</v>
      </c>
      <c r="T203">
        <v>70.437337639999996</v>
      </c>
      <c r="U203">
        <v>70.437337639999996</v>
      </c>
      <c r="V203">
        <v>17590.040244240001</v>
      </c>
      <c r="W203">
        <v>17590.040244240001</v>
      </c>
      <c r="X203">
        <v>0</v>
      </c>
      <c r="Y203">
        <v>5735.8045360699998</v>
      </c>
      <c r="Z203">
        <v>5735.8045360699998</v>
      </c>
      <c r="AA203">
        <v>0</v>
      </c>
      <c r="AB203">
        <v>0</v>
      </c>
      <c r="AC203" t="s">
        <v>84</v>
      </c>
      <c r="AD203" s="35">
        <v>43497</v>
      </c>
    </row>
    <row r="204" spans="1:30" x14ac:dyDescent="0.3">
      <c r="A204">
        <v>174638</v>
      </c>
      <c r="B204" t="s">
        <v>145</v>
      </c>
      <c r="C204">
        <v>2019</v>
      </c>
      <c r="D204">
        <v>1</v>
      </c>
      <c r="E204" t="s">
        <v>86</v>
      </c>
      <c r="F204" t="s">
        <v>84</v>
      </c>
      <c r="G204" t="s">
        <v>84</v>
      </c>
      <c r="H204" t="s">
        <v>25</v>
      </c>
      <c r="I204" t="s">
        <v>25</v>
      </c>
      <c r="J204" t="s">
        <v>101</v>
      </c>
      <c r="K204" t="s">
        <v>86</v>
      </c>
      <c r="L204" t="s">
        <v>103</v>
      </c>
      <c r="M204">
        <v>2213.9654676300001</v>
      </c>
      <c r="N204">
        <v>0</v>
      </c>
      <c r="O204" t="s">
        <v>80</v>
      </c>
      <c r="P204" s="35">
        <v>44269.857910185186</v>
      </c>
      <c r="Q204">
        <v>1659466</v>
      </c>
      <c r="R204" t="s">
        <v>81</v>
      </c>
      <c r="S204" s="4">
        <v>263.60226884000002</v>
      </c>
      <c r="T204">
        <v>70.437337639999996</v>
      </c>
      <c r="U204">
        <v>70.437337639999996</v>
      </c>
      <c r="V204">
        <v>18567.442011660001</v>
      </c>
      <c r="W204">
        <v>18567.442011660001</v>
      </c>
      <c r="X204">
        <v>0</v>
      </c>
      <c r="Y204">
        <v>5735.8045360699998</v>
      </c>
      <c r="Z204">
        <v>5735.8045360699998</v>
      </c>
      <c r="AA204">
        <v>0</v>
      </c>
      <c r="AB204">
        <v>0</v>
      </c>
      <c r="AC204" t="s">
        <v>84</v>
      </c>
      <c r="AD204" s="35">
        <v>43466</v>
      </c>
    </row>
    <row r="205" spans="1:30" x14ac:dyDescent="0.3">
      <c r="A205">
        <v>314988</v>
      </c>
      <c r="B205" t="s">
        <v>148</v>
      </c>
      <c r="C205">
        <v>2019</v>
      </c>
      <c r="D205">
        <v>12</v>
      </c>
      <c r="E205" t="s">
        <v>86</v>
      </c>
      <c r="F205" t="s">
        <v>84</v>
      </c>
      <c r="G205" t="s">
        <v>84</v>
      </c>
      <c r="H205" t="s">
        <v>25</v>
      </c>
      <c r="I205" t="s">
        <v>25</v>
      </c>
      <c r="J205" t="s">
        <v>101</v>
      </c>
      <c r="K205" t="s">
        <v>86</v>
      </c>
      <c r="L205" t="s">
        <v>103</v>
      </c>
      <c r="M205">
        <v>2155.3283754300001</v>
      </c>
      <c r="N205">
        <v>0</v>
      </c>
      <c r="O205" t="s">
        <v>80</v>
      </c>
      <c r="P205" s="35">
        <v>44269.875250428238</v>
      </c>
      <c r="Q205">
        <v>2979367</v>
      </c>
      <c r="R205" t="s">
        <v>81</v>
      </c>
      <c r="S205" s="4">
        <v>256.62073693999997</v>
      </c>
      <c r="T205">
        <v>70.437337639999996</v>
      </c>
      <c r="U205">
        <v>70.437337639999996</v>
      </c>
      <c r="V205">
        <v>18075.681491840001</v>
      </c>
      <c r="W205">
        <v>18075.681491840001</v>
      </c>
      <c r="X205">
        <v>0</v>
      </c>
      <c r="Y205">
        <v>5735.8045360699998</v>
      </c>
      <c r="Z205">
        <v>5735.8045360699998</v>
      </c>
      <c r="AA205">
        <v>0</v>
      </c>
      <c r="AB205">
        <v>0</v>
      </c>
      <c r="AC205" t="s">
        <v>84</v>
      </c>
      <c r="AD205" s="35">
        <v>43800</v>
      </c>
    </row>
    <row r="206" spans="1:30" x14ac:dyDescent="0.3">
      <c r="A206">
        <v>174665</v>
      </c>
      <c r="B206" t="s">
        <v>145</v>
      </c>
      <c r="C206">
        <v>2019</v>
      </c>
      <c r="D206">
        <v>1</v>
      </c>
      <c r="E206" t="s">
        <v>88</v>
      </c>
      <c r="F206" t="s">
        <v>84</v>
      </c>
      <c r="G206" t="s">
        <v>84</v>
      </c>
      <c r="H206" t="s">
        <v>25</v>
      </c>
      <c r="I206" t="s">
        <v>25</v>
      </c>
      <c r="J206" t="s">
        <v>101</v>
      </c>
      <c r="K206" t="s">
        <v>88</v>
      </c>
      <c r="L206" t="s">
        <v>103</v>
      </c>
      <c r="M206">
        <v>502.14165592000001</v>
      </c>
      <c r="N206">
        <v>0</v>
      </c>
      <c r="O206" t="s">
        <v>80</v>
      </c>
      <c r="P206" s="35">
        <v>44269.857911458334</v>
      </c>
      <c r="Q206">
        <v>1659601</v>
      </c>
      <c r="R206" t="s">
        <v>81</v>
      </c>
      <c r="S206" s="4">
        <v>50.84942375</v>
      </c>
      <c r="T206">
        <v>70.437337639999996</v>
      </c>
      <c r="U206">
        <v>70.437337639999996</v>
      </c>
      <c r="V206">
        <v>3581.69802918</v>
      </c>
      <c r="W206">
        <v>3581.69802918</v>
      </c>
      <c r="X206">
        <v>0</v>
      </c>
      <c r="Y206">
        <v>5735.8045360699998</v>
      </c>
      <c r="Z206">
        <v>5735.8045360699998</v>
      </c>
      <c r="AA206">
        <v>0</v>
      </c>
      <c r="AB206">
        <v>0</v>
      </c>
      <c r="AC206" t="s">
        <v>84</v>
      </c>
      <c r="AD206" s="35">
        <v>43466</v>
      </c>
    </row>
    <row r="207" spans="1:30" x14ac:dyDescent="0.3">
      <c r="A207">
        <v>190928</v>
      </c>
      <c r="B207" t="s">
        <v>149</v>
      </c>
      <c r="C207">
        <v>2019</v>
      </c>
      <c r="D207">
        <v>3</v>
      </c>
      <c r="E207" t="s">
        <v>86</v>
      </c>
      <c r="F207" t="s">
        <v>84</v>
      </c>
      <c r="G207" t="s">
        <v>84</v>
      </c>
      <c r="H207" t="s">
        <v>25</v>
      </c>
      <c r="I207" t="s">
        <v>25</v>
      </c>
      <c r="J207" t="s">
        <v>101</v>
      </c>
      <c r="K207" t="s">
        <v>86</v>
      </c>
      <c r="L207" t="s">
        <v>103</v>
      </c>
      <c r="M207">
        <v>1987.4110310900001</v>
      </c>
      <c r="N207">
        <v>0</v>
      </c>
      <c r="O207" t="s">
        <v>80</v>
      </c>
      <c r="P207" s="35">
        <v>44269.860194062501</v>
      </c>
      <c r="Q207">
        <v>1806286</v>
      </c>
      <c r="R207" t="s">
        <v>81</v>
      </c>
      <c r="S207" s="4">
        <v>236.62792603</v>
      </c>
      <c r="T207">
        <v>70.437337639999996</v>
      </c>
      <c r="U207">
        <v>70.437337639999996</v>
      </c>
      <c r="V207">
        <v>16667.441119880001</v>
      </c>
      <c r="W207">
        <v>16667.441119880001</v>
      </c>
      <c r="X207">
        <v>0</v>
      </c>
      <c r="Y207">
        <v>5735.8045360699998</v>
      </c>
      <c r="Z207">
        <v>5735.8045360699998</v>
      </c>
      <c r="AA207">
        <v>0</v>
      </c>
      <c r="AB207">
        <v>0</v>
      </c>
      <c r="AC207" t="s">
        <v>84</v>
      </c>
      <c r="AD207" s="35">
        <v>43525</v>
      </c>
    </row>
    <row r="208" spans="1:30" x14ac:dyDescent="0.3">
      <c r="A208">
        <v>215992</v>
      </c>
      <c r="B208" t="s">
        <v>150</v>
      </c>
      <c r="C208">
        <v>2019</v>
      </c>
      <c r="D208">
        <v>4</v>
      </c>
      <c r="E208" t="s">
        <v>90</v>
      </c>
      <c r="F208" t="s">
        <v>84</v>
      </c>
      <c r="G208" t="s">
        <v>84</v>
      </c>
      <c r="H208" t="s">
        <v>25</v>
      </c>
      <c r="I208" t="s">
        <v>25</v>
      </c>
      <c r="J208" t="s">
        <v>101</v>
      </c>
      <c r="K208" t="s">
        <v>90</v>
      </c>
      <c r="L208" t="s">
        <v>103</v>
      </c>
      <c r="M208">
        <v>807.94171081000002</v>
      </c>
      <c r="N208">
        <v>0</v>
      </c>
      <c r="O208" t="s">
        <v>80</v>
      </c>
      <c r="P208" s="35">
        <v>44269.862962037027</v>
      </c>
      <c r="Q208">
        <v>2049902</v>
      </c>
      <c r="R208" t="s">
        <v>81</v>
      </c>
      <c r="S208" s="4">
        <v>81.984347279999994</v>
      </c>
      <c r="T208">
        <v>70.437337639999996</v>
      </c>
      <c r="U208">
        <v>70.437337639999996</v>
      </c>
      <c r="V208">
        <v>5774.7591500899998</v>
      </c>
      <c r="W208">
        <v>5774.7591500899998</v>
      </c>
      <c r="X208">
        <v>0</v>
      </c>
      <c r="Y208">
        <v>5735.8045360699998</v>
      </c>
      <c r="Z208">
        <v>5735.8045360699998</v>
      </c>
      <c r="AA208">
        <v>0</v>
      </c>
      <c r="AB208">
        <v>0</v>
      </c>
      <c r="AC208" t="s">
        <v>84</v>
      </c>
      <c r="AD208" s="35">
        <v>43556</v>
      </c>
    </row>
    <row r="209" spans="1:30" x14ac:dyDescent="0.3">
      <c r="A209">
        <v>315042</v>
      </c>
      <c r="B209" t="s">
        <v>148</v>
      </c>
      <c r="C209">
        <v>2019</v>
      </c>
      <c r="D209">
        <v>12</v>
      </c>
      <c r="E209" t="s">
        <v>90</v>
      </c>
      <c r="F209" t="s">
        <v>84</v>
      </c>
      <c r="G209" t="s">
        <v>84</v>
      </c>
      <c r="H209" t="s">
        <v>25</v>
      </c>
      <c r="I209" t="s">
        <v>25</v>
      </c>
      <c r="J209" t="s">
        <v>101</v>
      </c>
      <c r="K209" t="s">
        <v>90</v>
      </c>
      <c r="L209" t="s">
        <v>103</v>
      </c>
      <c r="M209">
        <v>491.15728963999999</v>
      </c>
      <c r="N209">
        <v>0</v>
      </c>
      <c r="O209" t="s">
        <v>80</v>
      </c>
      <c r="P209" s="35">
        <v>44269.875253009261</v>
      </c>
      <c r="Q209">
        <v>2979637</v>
      </c>
      <c r="R209" t="s">
        <v>81</v>
      </c>
      <c r="S209" s="4">
        <v>49.839251099999998</v>
      </c>
      <c r="T209">
        <v>70.437337639999996</v>
      </c>
      <c r="U209">
        <v>70.437337639999996</v>
      </c>
      <c r="V209">
        <v>3510.5441574800002</v>
      </c>
      <c r="W209">
        <v>3510.5441574800002</v>
      </c>
      <c r="X209">
        <v>0</v>
      </c>
      <c r="Y209">
        <v>5735.8045360699998</v>
      </c>
      <c r="Z209">
        <v>5735.8045360699998</v>
      </c>
      <c r="AA209">
        <v>0</v>
      </c>
      <c r="AB209">
        <v>0</v>
      </c>
      <c r="AC209" t="s">
        <v>84</v>
      </c>
      <c r="AD209" s="35">
        <v>43800</v>
      </c>
    </row>
    <row r="210" spans="1:30" x14ac:dyDescent="0.3">
      <c r="A210">
        <v>270939</v>
      </c>
      <c r="B210" t="s">
        <v>151</v>
      </c>
      <c r="C210">
        <v>2019</v>
      </c>
      <c r="D210">
        <v>8</v>
      </c>
      <c r="E210" t="s">
        <v>86</v>
      </c>
      <c r="F210" t="s">
        <v>84</v>
      </c>
      <c r="G210" t="s">
        <v>84</v>
      </c>
      <c r="H210" t="s">
        <v>25</v>
      </c>
      <c r="I210" t="s">
        <v>25</v>
      </c>
      <c r="J210" t="s">
        <v>101</v>
      </c>
      <c r="K210" t="s">
        <v>86</v>
      </c>
      <c r="L210" t="s">
        <v>103</v>
      </c>
      <c r="M210">
        <v>1193.87028252</v>
      </c>
      <c r="N210">
        <v>0</v>
      </c>
      <c r="O210" t="s">
        <v>80</v>
      </c>
      <c r="P210" s="35">
        <v>44269.869630439818</v>
      </c>
      <c r="Q210">
        <v>2569923</v>
      </c>
      <c r="R210" t="s">
        <v>81</v>
      </c>
      <c r="S210" s="4">
        <v>142.14626189000001</v>
      </c>
      <c r="T210">
        <v>70.437337639999996</v>
      </c>
      <c r="U210">
        <v>70.437337639999996</v>
      </c>
      <c r="V210">
        <v>10012.40424218</v>
      </c>
      <c r="W210">
        <v>10012.40424218</v>
      </c>
      <c r="X210">
        <v>0</v>
      </c>
      <c r="Y210">
        <v>5735.8045360699998</v>
      </c>
      <c r="Z210">
        <v>5735.8045360699998</v>
      </c>
      <c r="AA210">
        <v>0</v>
      </c>
      <c r="AB210">
        <v>0</v>
      </c>
      <c r="AC210" t="s">
        <v>84</v>
      </c>
      <c r="AD210" s="35">
        <v>43678</v>
      </c>
    </row>
    <row r="211" spans="1:30" x14ac:dyDescent="0.3">
      <c r="A211">
        <v>190982</v>
      </c>
      <c r="B211" t="s">
        <v>149</v>
      </c>
      <c r="C211">
        <v>2019</v>
      </c>
      <c r="D211">
        <v>3</v>
      </c>
      <c r="E211" t="s">
        <v>90</v>
      </c>
      <c r="F211" t="s">
        <v>84</v>
      </c>
      <c r="G211" t="s">
        <v>84</v>
      </c>
      <c r="H211" t="s">
        <v>25</v>
      </c>
      <c r="I211" t="s">
        <v>25</v>
      </c>
      <c r="J211" t="s">
        <v>101</v>
      </c>
      <c r="K211" t="s">
        <v>90</v>
      </c>
      <c r="L211" t="s">
        <v>103</v>
      </c>
      <c r="M211">
        <v>1048.18988866</v>
      </c>
      <c r="N211">
        <v>0</v>
      </c>
      <c r="O211" t="s">
        <v>80</v>
      </c>
      <c r="P211" s="35">
        <v>44269.860196643524</v>
      </c>
      <c r="Q211">
        <v>1806556</v>
      </c>
      <c r="R211" t="s">
        <v>81</v>
      </c>
      <c r="S211" s="4">
        <v>106.36307384</v>
      </c>
      <c r="T211">
        <v>70.437337639999996</v>
      </c>
      <c r="U211">
        <v>70.437337639999996</v>
      </c>
      <c r="V211">
        <v>7491.9317440799996</v>
      </c>
      <c r="W211">
        <v>7491.9317440799996</v>
      </c>
      <c r="X211">
        <v>0</v>
      </c>
      <c r="Y211">
        <v>5735.8045360699998</v>
      </c>
      <c r="Z211">
        <v>5735.8045360699998</v>
      </c>
      <c r="AA211">
        <v>0</v>
      </c>
      <c r="AB211">
        <v>0</v>
      </c>
      <c r="AC211" t="s">
        <v>84</v>
      </c>
      <c r="AD211" s="35">
        <v>43525</v>
      </c>
    </row>
    <row r="212" spans="1:30" x14ac:dyDescent="0.3">
      <c r="A212">
        <v>187256</v>
      </c>
      <c r="B212" t="s">
        <v>147</v>
      </c>
      <c r="C212">
        <v>2019</v>
      </c>
      <c r="D212">
        <v>2</v>
      </c>
      <c r="E212" t="s">
        <v>88</v>
      </c>
      <c r="F212" t="s">
        <v>84</v>
      </c>
      <c r="G212" t="s">
        <v>84</v>
      </c>
      <c r="H212" t="s">
        <v>25</v>
      </c>
      <c r="I212" t="s">
        <v>25</v>
      </c>
      <c r="J212" t="s">
        <v>101</v>
      </c>
      <c r="K212" t="s">
        <v>88</v>
      </c>
      <c r="L212" t="s">
        <v>103</v>
      </c>
      <c r="M212">
        <v>483.50924042000003</v>
      </c>
      <c r="N212">
        <v>0</v>
      </c>
      <c r="O212" t="s">
        <v>80</v>
      </c>
      <c r="P212" s="35">
        <v>44269.859436574072</v>
      </c>
      <c r="Q212">
        <v>1779015</v>
      </c>
      <c r="R212" t="s">
        <v>81</v>
      </c>
      <c r="S212" s="4">
        <v>48.962610380000001</v>
      </c>
      <c r="T212">
        <v>70.437337639999996</v>
      </c>
      <c r="U212">
        <v>70.437337639999996</v>
      </c>
      <c r="V212">
        <v>3448.7959185999998</v>
      </c>
      <c r="W212">
        <v>3448.7959185999998</v>
      </c>
      <c r="X212">
        <v>0</v>
      </c>
      <c r="Y212">
        <v>5735.8045360699998</v>
      </c>
      <c r="Z212">
        <v>5735.8045360699998</v>
      </c>
      <c r="AA212">
        <v>0</v>
      </c>
      <c r="AB212">
        <v>0</v>
      </c>
      <c r="AC212" t="s">
        <v>84</v>
      </c>
      <c r="AD212" s="35">
        <v>43497</v>
      </c>
    </row>
    <row r="213" spans="1:30" x14ac:dyDescent="0.3">
      <c r="A213">
        <v>215965</v>
      </c>
      <c r="B213" t="s">
        <v>150</v>
      </c>
      <c r="C213">
        <v>2019</v>
      </c>
      <c r="D213">
        <v>4</v>
      </c>
      <c r="E213" t="s">
        <v>88</v>
      </c>
      <c r="F213" t="s">
        <v>84</v>
      </c>
      <c r="G213" t="s">
        <v>84</v>
      </c>
      <c r="H213" t="s">
        <v>25</v>
      </c>
      <c r="I213" t="s">
        <v>25</v>
      </c>
      <c r="J213" t="s">
        <v>101</v>
      </c>
      <c r="K213" t="s">
        <v>88</v>
      </c>
      <c r="L213" t="s">
        <v>103</v>
      </c>
      <c r="M213">
        <v>278.00060418999999</v>
      </c>
      <c r="N213">
        <v>0</v>
      </c>
      <c r="O213" t="s">
        <v>80</v>
      </c>
      <c r="P213" s="35">
        <v>44269.862960763887</v>
      </c>
      <c r="Q213">
        <v>2049767</v>
      </c>
      <c r="R213" t="s">
        <v>81</v>
      </c>
      <c r="S213" s="4">
        <v>28.15175829</v>
      </c>
      <c r="T213">
        <v>70.437337639999996</v>
      </c>
      <c r="U213">
        <v>70.437337639999996</v>
      </c>
      <c r="V213">
        <v>1982.93490374</v>
      </c>
      <c r="W213">
        <v>1982.93490374</v>
      </c>
      <c r="X213">
        <v>0</v>
      </c>
      <c r="Y213">
        <v>5735.8045360699998</v>
      </c>
      <c r="Z213">
        <v>5735.8045360699998</v>
      </c>
      <c r="AA213">
        <v>0</v>
      </c>
      <c r="AB213">
        <v>0</v>
      </c>
      <c r="AC213" t="s">
        <v>84</v>
      </c>
      <c r="AD213" s="35">
        <v>43556</v>
      </c>
    </row>
    <row r="214" spans="1:30" x14ac:dyDescent="0.3">
      <c r="A214">
        <v>190955</v>
      </c>
      <c r="B214" t="s">
        <v>149</v>
      </c>
      <c r="C214">
        <v>2019</v>
      </c>
      <c r="D214">
        <v>3</v>
      </c>
      <c r="E214" t="s">
        <v>88</v>
      </c>
      <c r="F214" t="s">
        <v>84</v>
      </c>
      <c r="G214" t="s">
        <v>84</v>
      </c>
      <c r="H214" t="s">
        <v>25</v>
      </c>
      <c r="I214" t="s">
        <v>25</v>
      </c>
      <c r="J214" t="s">
        <v>101</v>
      </c>
      <c r="K214" t="s">
        <v>88</v>
      </c>
      <c r="L214" t="s">
        <v>103</v>
      </c>
      <c r="M214">
        <v>548.80313799999999</v>
      </c>
      <c r="N214">
        <v>0</v>
      </c>
      <c r="O214" t="s">
        <v>80</v>
      </c>
      <c r="P214" s="35">
        <v>44269.86019540509</v>
      </c>
      <c r="Q214">
        <v>1806421</v>
      </c>
      <c r="R214" t="s">
        <v>81</v>
      </c>
      <c r="S214" s="4">
        <v>55.574603279999998</v>
      </c>
      <c r="T214">
        <v>70.437337639999996</v>
      </c>
      <c r="U214">
        <v>70.437337639999996</v>
      </c>
      <c r="V214">
        <v>3914.52709534</v>
      </c>
      <c r="W214">
        <v>3914.52709534</v>
      </c>
      <c r="X214">
        <v>0</v>
      </c>
      <c r="Y214">
        <v>5735.8045360699998</v>
      </c>
      <c r="Z214">
        <v>5735.8045360699998</v>
      </c>
      <c r="AA214">
        <v>0</v>
      </c>
      <c r="AB214">
        <v>0</v>
      </c>
      <c r="AC214" t="s">
        <v>84</v>
      </c>
      <c r="AD214" s="35">
        <v>43525</v>
      </c>
    </row>
    <row r="215" spans="1:30" x14ac:dyDescent="0.3">
      <c r="A215">
        <v>229684</v>
      </c>
      <c r="B215" t="s">
        <v>152</v>
      </c>
      <c r="C215">
        <v>2019</v>
      </c>
      <c r="D215">
        <v>5</v>
      </c>
      <c r="E215" t="s">
        <v>88</v>
      </c>
      <c r="F215" t="s">
        <v>84</v>
      </c>
      <c r="G215" t="s">
        <v>84</v>
      </c>
      <c r="H215" t="s">
        <v>25</v>
      </c>
      <c r="I215" t="s">
        <v>25</v>
      </c>
      <c r="J215" t="s">
        <v>101</v>
      </c>
      <c r="K215" t="s">
        <v>88</v>
      </c>
      <c r="L215" t="s">
        <v>103</v>
      </c>
      <c r="M215">
        <v>306.35749342000003</v>
      </c>
      <c r="N215">
        <v>0</v>
      </c>
      <c r="O215" t="s">
        <v>80</v>
      </c>
      <c r="P215" s="35">
        <v>44269.864759108787</v>
      </c>
      <c r="Q215">
        <v>2179644</v>
      </c>
      <c r="R215" t="s">
        <v>81</v>
      </c>
      <c r="S215" s="4">
        <v>31.02332144</v>
      </c>
      <c r="T215">
        <v>70.437337639999996</v>
      </c>
      <c r="U215">
        <v>70.437337639999996</v>
      </c>
      <c r="V215">
        <v>2185.2001670700001</v>
      </c>
      <c r="W215">
        <v>2185.2001670700001</v>
      </c>
      <c r="X215">
        <v>0</v>
      </c>
      <c r="Y215">
        <v>5735.8045360699998</v>
      </c>
      <c r="Z215">
        <v>5735.8045360699998</v>
      </c>
      <c r="AA215">
        <v>0</v>
      </c>
      <c r="AB215">
        <v>0</v>
      </c>
      <c r="AC215" t="s">
        <v>84</v>
      </c>
      <c r="AD215" s="35">
        <v>43586</v>
      </c>
    </row>
    <row r="216" spans="1:30" x14ac:dyDescent="0.3">
      <c r="A216">
        <v>243411</v>
      </c>
      <c r="B216" t="s">
        <v>153</v>
      </c>
      <c r="C216">
        <v>2019</v>
      </c>
      <c r="D216">
        <v>6</v>
      </c>
      <c r="E216" t="s">
        <v>86</v>
      </c>
      <c r="F216" t="s">
        <v>84</v>
      </c>
      <c r="G216" t="s">
        <v>84</v>
      </c>
      <c r="H216" t="s">
        <v>25</v>
      </c>
      <c r="I216" t="s">
        <v>25</v>
      </c>
      <c r="J216" t="s">
        <v>101</v>
      </c>
      <c r="K216" t="s">
        <v>86</v>
      </c>
      <c r="L216" t="s">
        <v>103</v>
      </c>
      <c r="M216">
        <v>1258.64819612</v>
      </c>
      <c r="N216">
        <v>0</v>
      </c>
      <c r="O216" t="s">
        <v>80</v>
      </c>
      <c r="P216" s="35">
        <v>44269.866383564811</v>
      </c>
      <c r="Q216">
        <v>2309503</v>
      </c>
      <c r="R216" t="s">
        <v>81</v>
      </c>
      <c r="S216" s="4">
        <v>149.85894089999999</v>
      </c>
      <c r="T216">
        <v>70.437337639999996</v>
      </c>
      <c r="U216">
        <v>70.437337639999996</v>
      </c>
      <c r="V216">
        <v>10555.664817860001</v>
      </c>
      <c r="W216">
        <v>10555.664817860001</v>
      </c>
      <c r="X216">
        <v>0</v>
      </c>
      <c r="Y216">
        <v>5735.8045360699998</v>
      </c>
      <c r="Z216">
        <v>5735.8045360699998</v>
      </c>
      <c r="AA216">
        <v>0</v>
      </c>
      <c r="AB216">
        <v>0</v>
      </c>
      <c r="AC216" t="s">
        <v>84</v>
      </c>
      <c r="AD216" s="35">
        <v>43617</v>
      </c>
    </row>
    <row r="217" spans="1:30" x14ac:dyDescent="0.3">
      <c r="A217">
        <v>229711</v>
      </c>
      <c r="B217" t="s">
        <v>152</v>
      </c>
      <c r="C217">
        <v>2019</v>
      </c>
      <c r="D217">
        <v>5</v>
      </c>
      <c r="E217" t="s">
        <v>90</v>
      </c>
      <c r="F217" t="s">
        <v>84</v>
      </c>
      <c r="G217" t="s">
        <v>84</v>
      </c>
      <c r="H217" t="s">
        <v>25</v>
      </c>
      <c r="I217" t="s">
        <v>25</v>
      </c>
      <c r="J217" t="s">
        <v>101</v>
      </c>
      <c r="K217" t="s">
        <v>90</v>
      </c>
      <c r="L217" t="s">
        <v>103</v>
      </c>
      <c r="M217">
        <v>761.62555524000004</v>
      </c>
      <c r="N217">
        <v>0</v>
      </c>
      <c r="O217" t="s">
        <v>80</v>
      </c>
      <c r="P217" s="35">
        <v>44269.864760335651</v>
      </c>
      <c r="Q217">
        <v>2179779</v>
      </c>
      <c r="R217" t="s">
        <v>81</v>
      </c>
      <c r="S217" s="4">
        <v>77.284503549999997</v>
      </c>
      <c r="T217">
        <v>70.437337639999996</v>
      </c>
      <c r="U217">
        <v>70.437337639999996</v>
      </c>
      <c r="V217">
        <v>5443.7146705799996</v>
      </c>
      <c r="W217">
        <v>5443.7146705799996</v>
      </c>
      <c r="X217">
        <v>0</v>
      </c>
      <c r="Y217">
        <v>5735.8045360699998</v>
      </c>
      <c r="Z217">
        <v>5735.8045360699998</v>
      </c>
      <c r="AA217">
        <v>0</v>
      </c>
      <c r="AB217">
        <v>0</v>
      </c>
      <c r="AC217" t="s">
        <v>84</v>
      </c>
      <c r="AD217" s="35">
        <v>43586</v>
      </c>
    </row>
    <row r="218" spans="1:30" x14ac:dyDescent="0.3">
      <c r="A218">
        <v>273507</v>
      </c>
      <c r="B218" t="s">
        <v>154</v>
      </c>
      <c r="C218">
        <v>2019</v>
      </c>
      <c r="D218">
        <v>9</v>
      </c>
      <c r="E218" t="s">
        <v>90</v>
      </c>
      <c r="F218" t="s">
        <v>84</v>
      </c>
      <c r="G218" t="s">
        <v>84</v>
      </c>
      <c r="H218" t="s">
        <v>25</v>
      </c>
      <c r="I218" t="s">
        <v>25</v>
      </c>
      <c r="J218" t="s">
        <v>101</v>
      </c>
      <c r="K218" t="s">
        <v>90</v>
      </c>
      <c r="L218" t="s">
        <v>103</v>
      </c>
      <c r="M218">
        <v>533.50070271000004</v>
      </c>
      <c r="N218">
        <v>0</v>
      </c>
      <c r="O218" t="s">
        <v>80</v>
      </c>
      <c r="P218" s="35">
        <v>44269.870334027779</v>
      </c>
      <c r="Q218">
        <v>2587012</v>
      </c>
      <c r="R218" t="s">
        <v>81</v>
      </c>
      <c r="S218" s="4">
        <v>54.135968349999999</v>
      </c>
      <c r="T218">
        <v>70.437337639999996</v>
      </c>
      <c r="U218">
        <v>70.437337639999996</v>
      </c>
      <c r="V218">
        <v>3813.1934808199999</v>
      </c>
      <c r="W218">
        <v>3813.1934808199999</v>
      </c>
      <c r="X218">
        <v>0</v>
      </c>
      <c r="Y218">
        <v>5735.8045360699998</v>
      </c>
      <c r="Z218">
        <v>5735.8045360699998</v>
      </c>
      <c r="AA218">
        <v>0</v>
      </c>
      <c r="AB218">
        <v>0</v>
      </c>
      <c r="AC218" t="s">
        <v>84</v>
      </c>
      <c r="AD218" s="35">
        <v>43709</v>
      </c>
    </row>
    <row r="219" spans="1:30" x14ac:dyDescent="0.3">
      <c r="A219">
        <v>243438</v>
      </c>
      <c r="B219" t="s">
        <v>153</v>
      </c>
      <c r="C219">
        <v>2019</v>
      </c>
      <c r="D219">
        <v>6</v>
      </c>
      <c r="E219" t="s">
        <v>88</v>
      </c>
      <c r="F219" t="s">
        <v>84</v>
      </c>
      <c r="G219" t="s">
        <v>84</v>
      </c>
      <c r="H219" t="s">
        <v>25</v>
      </c>
      <c r="I219" t="s">
        <v>25</v>
      </c>
      <c r="J219" t="s">
        <v>101</v>
      </c>
      <c r="K219" t="s">
        <v>88</v>
      </c>
      <c r="L219" t="s">
        <v>103</v>
      </c>
      <c r="M219">
        <v>251.84571108</v>
      </c>
      <c r="N219">
        <v>0</v>
      </c>
      <c r="O219" t="s">
        <v>80</v>
      </c>
      <c r="P219" s="35">
        <v>44269.86638498844</v>
      </c>
      <c r="Q219">
        <v>2309638</v>
      </c>
      <c r="R219" t="s">
        <v>81</v>
      </c>
      <c r="S219" s="4">
        <v>25.503180489999998</v>
      </c>
      <c r="T219">
        <v>70.437337639999996</v>
      </c>
      <c r="U219">
        <v>70.437337639999996</v>
      </c>
      <c r="V219">
        <v>1796.3761348999999</v>
      </c>
      <c r="W219">
        <v>1796.3761348999999</v>
      </c>
      <c r="X219">
        <v>0</v>
      </c>
      <c r="Y219">
        <v>5735.8045360699998</v>
      </c>
      <c r="Z219">
        <v>5735.8045360699998</v>
      </c>
      <c r="AA219">
        <v>0</v>
      </c>
      <c r="AB219">
        <v>0</v>
      </c>
      <c r="AC219" t="s">
        <v>84</v>
      </c>
      <c r="AD219" s="35">
        <v>43617</v>
      </c>
    </row>
    <row r="220" spans="1:30" x14ac:dyDescent="0.3">
      <c r="A220">
        <v>257166</v>
      </c>
      <c r="B220" t="s">
        <v>146</v>
      </c>
      <c r="C220">
        <v>2019</v>
      </c>
      <c r="D220">
        <v>7</v>
      </c>
      <c r="E220" t="s">
        <v>86</v>
      </c>
      <c r="F220" t="s">
        <v>84</v>
      </c>
      <c r="G220" t="s">
        <v>84</v>
      </c>
      <c r="H220" t="s">
        <v>25</v>
      </c>
      <c r="I220" t="s">
        <v>25</v>
      </c>
      <c r="J220" t="s">
        <v>101</v>
      </c>
      <c r="K220" t="s">
        <v>86</v>
      </c>
      <c r="L220" t="s">
        <v>103</v>
      </c>
      <c r="M220">
        <v>1240.59596756</v>
      </c>
      <c r="N220">
        <v>0</v>
      </c>
      <c r="O220" t="s">
        <v>80</v>
      </c>
      <c r="P220" s="35">
        <v>44269.868003854157</v>
      </c>
      <c r="Q220">
        <v>2439531</v>
      </c>
      <c r="R220" t="s">
        <v>81</v>
      </c>
      <c r="S220" s="4">
        <v>147.70958109</v>
      </c>
      <c r="T220">
        <v>70.437337639999996</v>
      </c>
      <c r="U220">
        <v>70.437337639999996</v>
      </c>
      <c r="V220">
        <v>10404.269634910001</v>
      </c>
      <c r="W220">
        <v>10404.269634910001</v>
      </c>
      <c r="X220">
        <v>0</v>
      </c>
      <c r="Y220">
        <v>5735.8045360699998</v>
      </c>
      <c r="Z220">
        <v>5735.8045360699998</v>
      </c>
      <c r="AA220">
        <v>0</v>
      </c>
      <c r="AB220">
        <v>0</v>
      </c>
      <c r="AC220" t="s">
        <v>84</v>
      </c>
      <c r="AD220" s="35">
        <v>43647</v>
      </c>
    </row>
    <row r="221" spans="1:30" x14ac:dyDescent="0.3">
      <c r="A221">
        <v>301116</v>
      </c>
      <c r="B221" t="s">
        <v>155</v>
      </c>
      <c r="C221">
        <v>2019</v>
      </c>
      <c r="D221">
        <v>11</v>
      </c>
      <c r="E221" t="s">
        <v>88</v>
      </c>
      <c r="F221" t="s">
        <v>84</v>
      </c>
      <c r="G221" t="s">
        <v>84</v>
      </c>
      <c r="H221" t="s">
        <v>25</v>
      </c>
      <c r="I221" t="s">
        <v>25</v>
      </c>
      <c r="J221" t="s">
        <v>101</v>
      </c>
      <c r="K221" t="s">
        <v>88</v>
      </c>
      <c r="L221" t="s">
        <v>103</v>
      </c>
      <c r="M221">
        <v>633.19527639</v>
      </c>
      <c r="N221">
        <v>0</v>
      </c>
      <c r="O221" t="s">
        <v>80</v>
      </c>
      <c r="P221" s="35">
        <v>44269.873618055557</v>
      </c>
      <c r="Q221">
        <v>2848291</v>
      </c>
      <c r="R221" t="s">
        <v>81</v>
      </c>
      <c r="S221" s="4">
        <v>64.120581400000006</v>
      </c>
      <c r="T221">
        <v>70.437337639999996</v>
      </c>
      <c r="U221">
        <v>70.437337639999996</v>
      </c>
      <c r="V221">
        <v>4516.4830417399999</v>
      </c>
      <c r="W221">
        <v>4516.4830417399999</v>
      </c>
      <c r="X221">
        <v>0</v>
      </c>
      <c r="Y221">
        <v>5735.8045360699998</v>
      </c>
      <c r="Z221">
        <v>5735.8045360699998</v>
      </c>
      <c r="AA221">
        <v>0</v>
      </c>
      <c r="AB221">
        <v>0</v>
      </c>
      <c r="AC221" t="s">
        <v>84</v>
      </c>
      <c r="AD221" s="35">
        <v>43770</v>
      </c>
    </row>
    <row r="222" spans="1:30" x14ac:dyDescent="0.3">
      <c r="A222">
        <v>215938</v>
      </c>
      <c r="B222" t="s">
        <v>150</v>
      </c>
      <c r="C222">
        <v>2019</v>
      </c>
      <c r="D222">
        <v>4</v>
      </c>
      <c r="E222" t="s">
        <v>86</v>
      </c>
      <c r="F222" t="s">
        <v>84</v>
      </c>
      <c r="G222" t="s">
        <v>84</v>
      </c>
      <c r="H222" t="s">
        <v>25</v>
      </c>
      <c r="I222" t="s">
        <v>25</v>
      </c>
      <c r="J222" t="s">
        <v>101</v>
      </c>
      <c r="K222" t="s">
        <v>86</v>
      </c>
      <c r="L222" t="s">
        <v>103</v>
      </c>
      <c r="M222">
        <v>1388.5089304200001</v>
      </c>
      <c r="N222">
        <v>0</v>
      </c>
      <c r="O222" t="s">
        <v>80</v>
      </c>
      <c r="P222" s="35">
        <v>44269.862959456019</v>
      </c>
      <c r="Q222">
        <v>2049632</v>
      </c>
      <c r="R222" t="s">
        <v>81</v>
      </c>
      <c r="S222" s="4">
        <v>165.3206022</v>
      </c>
      <c r="T222">
        <v>70.437337639999996</v>
      </c>
      <c r="U222">
        <v>70.437337639999996</v>
      </c>
      <c r="V222">
        <v>11644.74307536</v>
      </c>
      <c r="W222">
        <v>11644.74307536</v>
      </c>
      <c r="X222">
        <v>0</v>
      </c>
      <c r="Y222">
        <v>5735.8045360699998</v>
      </c>
      <c r="Z222">
        <v>5735.8045360699998</v>
      </c>
      <c r="AA222">
        <v>0</v>
      </c>
      <c r="AB222">
        <v>0</v>
      </c>
      <c r="AC222" t="s">
        <v>84</v>
      </c>
      <c r="AD222" s="35">
        <v>43556</v>
      </c>
    </row>
    <row r="223" spans="1:30" x14ac:dyDescent="0.3">
      <c r="A223">
        <v>257220</v>
      </c>
      <c r="B223" t="s">
        <v>146</v>
      </c>
      <c r="C223">
        <v>2019</v>
      </c>
      <c r="D223">
        <v>7</v>
      </c>
      <c r="E223" t="s">
        <v>90</v>
      </c>
      <c r="F223" t="s">
        <v>84</v>
      </c>
      <c r="G223" t="s">
        <v>84</v>
      </c>
      <c r="H223" t="s">
        <v>25</v>
      </c>
      <c r="I223" t="s">
        <v>25</v>
      </c>
      <c r="J223" t="s">
        <v>101</v>
      </c>
      <c r="K223" t="s">
        <v>90</v>
      </c>
      <c r="L223" t="s">
        <v>103</v>
      </c>
      <c r="M223">
        <v>665.56227894000006</v>
      </c>
      <c r="N223">
        <v>0</v>
      </c>
      <c r="O223" t="s">
        <v>80</v>
      </c>
      <c r="P223" s="35">
        <v>44269.868006446763</v>
      </c>
      <c r="Q223">
        <v>2439801</v>
      </c>
      <c r="R223" t="s">
        <v>81</v>
      </c>
      <c r="S223" s="4">
        <v>67.536665429999999</v>
      </c>
      <c r="T223">
        <v>70.437337639999996</v>
      </c>
      <c r="U223">
        <v>70.437337639999996</v>
      </c>
      <c r="V223">
        <v>4757.1029058499998</v>
      </c>
      <c r="W223">
        <v>4757.1029058499998</v>
      </c>
      <c r="X223">
        <v>0</v>
      </c>
      <c r="Y223">
        <v>5735.8045360699998</v>
      </c>
      <c r="Z223">
        <v>5735.8045360699998</v>
      </c>
      <c r="AA223">
        <v>0</v>
      </c>
      <c r="AB223">
        <v>0</v>
      </c>
      <c r="AC223" t="s">
        <v>84</v>
      </c>
      <c r="AD223" s="35">
        <v>43647</v>
      </c>
    </row>
    <row r="224" spans="1:30" x14ac:dyDescent="0.3">
      <c r="A224">
        <v>270966</v>
      </c>
      <c r="B224" t="s">
        <v>151</v>
      </c>
      <c r="C224">
        <v>2019</v>
      </c>
      <c r="D224">
        <v>8</v>
      </c>
      <c r="E224" t="s">
        <v>88</v>
      </c>
      <c r="F224" t="s">
        <v>84</v>
      </c>
      <c r="G224" t="s">
        <v>84</v>
      </c>
      <c r="H224" t="s">
        <v>25</v>
      </c>
      <c r="I224" t="s">
        <v>25</v>
      </c>
      <c r="J224" t="s">
        <v>101</v>
      </c>
      <c r="K224" t="s">
        <v>88</v>
      </c>
      <c r="L224" t="s">
        <v>103</v>
      </c>
      <c r="M224">
        <v>293.74292012000001</v>
      </c>
      <c r="N224">
        <v>0</v>
      </c>
      <c r="O224" t="s">
        <v>80</v>
      </c>
      <c r="P224" s="35">
        <v>44269.869631712972</v>
      </c>
      <c r="Q224">
        <v>2570058</v>
      </c>
      <c r="R224" t="s">
        <v>81</v>
      </c>
      <c r="S224" s="4">
        <v>29.745905449999999</v>
      </c>
      <c r="T224">
        <v>70.437337639999996</v>
      </c>
      <c r="U224">
        <v>70.437337639999996</v>
      </c>
      <c r="V224">
        <v>2095.2223853199998</v>
      </c>
      <c r="W224">
        <v>2095.2223853199998</v>
      </c>
      <c r="X224">
        <v>0</v>
      </c>
      <c r="Y224">
        <v>5735.8045360699998</v>
      </c>
      <c r="Z224">
        <v>5735.8045360699998</v>
      </c>
      <c r="AA224">
        <v>0</v>
      </c>
      <c r="AB224">
        <v>0</v>
      </c>
      <c r="AC224" t="s">
        <v>84</v>
      </c>
      <c r="AD224" s="35">
        <v>43678</v>
      </c>
    </row>
    <row r="225" spans="1:30" x14ac:dyDescent="0.3">
      <c r="A225">
        <v>270993</v>
      </c>
      <c r="B225" t="s">
        <v>151</v>
      </c>
      <c r="C225">
        <v>2019</v>
      </c>
      <c r="D225">
        <v>8</v>
      </c>
      <c r="E225" t="s">
        <v>90</v>
      </c>
      <c r="F225" t="s">
        <v>84</v>
      </c>
      <c r="G225" t="s">
        <v>84</v>
      </c>
      <c r="H225" t="s">
        <v>25</v>
      </c>
      <c r="I225" t="s">
        <v>25</v>
      </c>
      <c r="J225" t="s">
        <v>101</v>
      </c>
      <c r="K225" t="s">
        <v>90</v>
      </c>
      <c r="L225" t="s">
        <v>103</v>
      </c>
      <c r="M225">
        <v>553.34695345</v>
      </c>
      <c r="N225">
        <v>0</v>
      </c>
      <c r="O225" t="s">
        <v>80</v>
      </c>
      <c r="P225" s="35">
        <v>44269.869632986112</v>
      </c>
      <c r="Q225">
        <v>2570193</v>
      </c>
      <c r="R225" t="s">
        <v>81</v>
      </c>
      <c r="S225" s="4">
        <v>56.14982887</v>
      </c>
      <c r="T225">
        <v>70.437337639999996</v>
      </c>
      <c r="U225">
        <v>70.437337639999996</v>
      </c>
      <c r="V225">
        <v>3955.0444541900001</v>
      </c>
      <c r="W225">
        <v>3955.0444541900001</v>
      </c>
      <c r="X225">
        <v>0</v>
      </c>
      <c r="Y225">
        <v>5735.8045360699998</v>
      </c>
      <c r="Z225">
        <v>5735.8045360699998</v>
      </c>
      <c r="AA225">
        <v>0</v>
      </c>
      <c r="AB225">
        <v>0</v>
      </c>
      <c r="AC225" t="s">
        <v>84</v>
      </c>
      <c r="AD225" s="35">
        <v>43678</v>
      </c>
    </row>
    <row r="226" spans="1:30" x14ac:dyDescent="0.3">
      <c r="A226">
        <v>315015</v>
      </c>
      <c r="B226" t="s">
        <v>148</v>
      </c>
      <c r="C226">
        <v>2019</v>
      </c>
      <c r="D226">
        <v>12</v>
      </c>
      <c r="E226" t="s">
        <v>88</v>
      </c>
      <c r="F226" t="s">
        <v>84</v>
      </c>
      <c r="G226" t="s">
        <v>84</v>
      </c>
      <c r="H226" t="s">
        <v>25</v>
      </c>
      <c r="I226" t="s">
        <v>25</v>
      </c>
      <c r="J226" t="s">
        <v>101</v>
      </c>
      <c r="K226" t="s">
        <v>88</v>
      </c>
      <c r="L226" t="s">
        <v>103</v>
      </c>
      <c r="M226">
        <v>1168.3792061199999</v>
      </c>
      <c r="N226">
        <v>0</v>
      </c>
      <c r="O226" t="s">
        <v>80</v>
      </c>
      <c r="P226" s="35">
        <v>44269.875251701393</v>
      </c>
      <c r="Q226">
        <v>2979502</v>
      </c>
      <c r="R226" t="s">
        <v>81</v>
      </c>
      <c r="S226" s="4">
        <v>118.31603423</v>
      </c>
      <c r="T226">
        <v>70.437337639999996</v>
      </c>
      <c r="U226">
        <v>70.437337639999996</v>
      </c>
      <c r="V226">
        <v>8333.8664509200007</v>
      </c>
      <c r="W226">
        <v>8333.8664509200007</v>
      </c>
      <c r="X226">
        <v>0</v>
      </c>
      <c r="Y226">
        <v>5735.8045360699998</v>
      </c>
      <c r="Z226">
        <v>5735.8045360699998</v>
      </c>
      <c r="AA226">
        <v>0</v>
      </c>
      <c r="AB226">
        <v>0</v>
      </c>
      <c r="AC226" t="s">
        <v>84</v>
      </c>
      <c r="AD226" s="35">
        <v>43800</v>
      </c>
    </row>
    <row r="227" spans="1:30" x14ac:dyDescent="0.3">
      <c r="A227">
        <v>287325</v>
      </c>
      <c r="B227" t="s">
        <v>156</v>
      </c>
      <c r="C227">
        <v>2019</v>
      </c>
      <c r="D227">
        <v>10</v>
      </c>
      <c r="E227" t="s">
        <v>90</v>
      </c>
      <c r="F227" t="s">
        <v>84</v>
      </c>
      <c r="G227" t="s">
        <v>84</v>
      </c>
      <c r="H227" t="s">
        <v>25</v>
      </c>
      <c r="I227" t="s">
        <v>25</v>
      </c>
      <c r="J227" t="s">
        <v>101</v>
      </c>
      <c r="K227" t="s">
        <v>90</v>
      </c>
      <c r="L227" t="s">
        <v>103</v>
      </c>
      <c r="M227">
        <v>576.31545115999995</v>
      </c>
      <c r="N227">
        <v>0</v>
      </c>
      <c r="O227" t="s">
        <v>80</v>
      </c>
      <c r="P227" s="35">
        <v>44269.87196944443</v>
      </c>
      <c r="Q227">
        <v>2717719</v>
      </c>
      <c r="R227" t="s">
        <v>81</v>
      </c>
      <c r="S227" s="4">
        <v>58.480513459999997</v>
      </c>
      <c r="T227">
        <v>70.437337639999996</v>
      </c>
      <c r="U227">
        <v>70.437337639999996</v>
      </c>
      <c r="V227">
        <v>4119.2116713400001</v>
      </c>
      <c r="W227">
        <v>4119.2116713400001</v>
      </c>
      <c r="X227">
        <v>0</v>
      </c>
      <c r="Y227">
        <v>5735.8045360699998</v>
      </c>
      <c r="Z227">
        <v>5735.8045360699998</v>
      </c>
      <c r="AA227">
        <v>0</v>
      </c>
      <c r="AB227">
        <v>0</v>
      </c>
      <c r="AC227" t="s">
        <v>84</v>
      </c>
      <c r="AD227" s="35">
        <v>43739</v>
      </c>
    </row>
    <row r="228" spans="1:30" x14ac:dyDescent="0.3">
      <c r="A228">
        <v>273480</v>
      </c>
      <c r="B228" t="s">
        <v>154</v>
      </c>
      <c r="C228">
        <v>2019</v>
      </c>
      <c r="D228">
        <v>9</v>
      </c>
      <c r="E228" t="s">
        <v>88</v>
      </c>
      <c r="F228" t="s">
        <v>84</v>
      </c>
      <c r="G228" t="s">
        <v>84</v>
      </c>
      <c r="H228" t="s">
        <v>25</v>
      </c>
      <c r="I228" t="s">
        <v>25</v>
      </c>
      <c r="J228" t="s">
        <v>101</v>
      </c>
      <c r="K228" t="s">
        <v>88</v>
      </c>
      <c r="L228" t="s">
        <v>103</v>
      </c>
      <c r="M228">
        <v>254.44613530000001</v>
      </c>
      <c r="N228">
        <v>0</v>
      </c>
      <c r="O228" t="s">
        <v>80</v>
      </c>
      <c r="P228" s="35">
        <v>44269.870332719911</v>
      </c>
      <c r="Q228">
        <v>2586877</v>
      </c>
      <c r="R228" t="s">
        <v>81</v>
      </c>
      <c r="S228" s="4">
        <v>25.7665127</v>
      </c>
      <c r="T228">
        <v>70.437337639999996</v>
      </c>
      <c r="U228">
        <v>70.437337639999996</v>
      </c>
      <c r="V228">
        <v>1814.92455481</v>
      </c>
      <c r="W228">
        <v>1814.92455481</v>
      </c>
      <c r="X228">
        <v>0</v>
      </c>
      <c r="Y228">
        <v>5735.8045360699998</v>
      </c>
      <c r="Z228">
        <v>5735.8045360699998</v>
      </c>
      <c r="AA228">
        <v>0</v>
      </c>
      <c r="AB228">
        <v>0</v>
      </c>
      <c r="AC228" t="s">
        <v>84</v>
      </c>
      <c r="AD228" s="35">
        <v>43709</v>
      </c>
    </row>
    <row r="229" spans="1:30" x14ac:dyDescent="0.3">
      <c r="A229">
        <v>301143</v>
      </c>
      <c r="B229" t="s">
        <v>155</v>
      </c>
      <c r="C229">
        <v>2019</v>
      </c>
      <c r="D229">
        <v>11</v>
      </c>
      <c r="E229" t="s">
        <v>90</v>
      </c>
      <c r="F229" t="s">
        <v>84</v>
      </c>
      <c r="G229" t="s">
        <v>84</v>
      </c>
      <c r="H229" t="s">
        <v>25</v>
      </c>
      <c r="I229" t="s">
        <v>25</v>
      </c>
      <c r="J229" t="s">
        <v>101</v>
      </c>
      <c r="K229" t="s">
        <v>90</v>
      </c>
      <c r="L229" t="s">
        <v>103</v>
      </c>
      <c r="M229">
        <v>555.24552490999997</v>
      </c>
      <c r="N229">
        <v>0</v>
      </c>
      <c r="O229" t="s">
        <v>80</v>
      </c>
      <c r="P229" s="35">
        <v>44269.873619479164</v>
      </c>
      <c r="Q229">
        <v>2848426</v>
      </c>
      <c r="R229" t="s">
        <v>81</v>
      </c>
      <c r="S229" s="4">
        <v>56.342482789999998</v>
      </c>
      <c r="T229">
        <v>70.437337639999996</v>
      </c>
      <c r="U229">
        <v>70.437337639999996</v>
      </c>
      <c r="V229">
        <v>3968.6144837000002</v>
      </c>
      <c r="W229">
        <v>3968.6144837000002</v>
      </c>
      <c r="X229">
        <v>0</v>
      </c>
      <c r="Y229">
        <v>5735.8045360699998</v>
      </c>
      <c r="Z229">
        <v>5735.8045360699998</v>
      </c>
      <c r="AA229">
        <v>0</v>
      </c>
      <c r="AB229">
        <v>0</v>
      </c>
      <c r="AC229" t="s">
        <v>84</v>
      </c>
      <c r="AD229" s="35">
        <v>43770</v>
      </c>
    </row>
    <row r="230" spans="1:30" x14ac:dyDescent="0.3">
      <c r="A230">
        <v>229657</v>
      </c>
      <c r="B230" t="s">
        <v>152</v>
      </c>
      <c r="C230">
        <v>2019</v>
      </c>
      <c r="D230">
        <v>5</v>
      </c>
      <c r="E230" t="s">
        <v>86</v>
      </c>
      <c r="F230" t="s">
        <v>84</v>
      </c>
      <c r="G230" t="s">
        <v>84</v>
      </c>
      <c r="H230" t="s">
        <v>25</v>
      </c>
      <c r="I230" t="s">
        <v>25</v>
      </c>
      <c r="J230" t="s">
        <v>101</v>
      </c>
      <c r="K230" t="s">
        <v>86</v>
      </c>
      <c r="L230" t="s">
        <v>103</v>
      </c>
      <c r="M230">
        <v>1362.84439969</v>
      </c>
      <c r="N230">
        <v>0</v>
      </c>
      <c r="O230" t="s">
        <v>80</v>
      </c>
      <c r="P230" s="35">
        <v>44269.864757754629</v>
      </c>
      <c r="Q230">
        <v>2179509</v>
      </c>
      <c r="R230" t="s">
        <v>81</v>
      </c>
      <c r="S230" s="4">
        <v>162.26489577000001</v>
      </c>
      <c r="T230">
        <v>70.437337639999996</v>
      </c>
      <c r="U230">
        <v>70.437337639999996</v>
      </c>
      <c r="V230">
        <v>11429.50724938</v>
      </c>
      <c r="W230">
        <v>11429.50724938</v>
      </c>
      <c r="X230">
        <v>0</v>
      </c>
      <c r="Y230">
        <v>5735.8045360699998</v>
      </c>
      <c r="Z230">
        <v>5735.8045360699998</v>
      </c>
      <c r="AA230">
        <v>0</v>
      </c>
      <c r="AB230">
        <v>0</v>
      </c>
      <c r="AC230" t="s">
        <v>84</v>
      </c>
      <c r="AD230" s="35">
        <v>43586</v>
      </c>
    </row>
    <row r="231" spans="1:30" x14ac:dyDescent="0.3">
      <c r="A231">
        <v>287271</v>
      </c>
      <c r="B231" t="s">
        <v>156</v>
      </c>
      <c r="C231">
        <v>2019</v>
      </c>
      <c r="D231">
        <v>10</v>
      </c>
      <c r="E231" t="s">
        <v>86</v>
      </c>
      <c r="F231" t="s">
        <v>84</v>
      </c>
      <c r="G231" t="s">
        <v>84</v>
      </c>
      <c r="H231" t="s">
        <v>25</v>
      </c>
      <c r="I231" t="s">
        <v>25</v>
      </c>
      <c r="J231" t="s">
        <v>101</v>
      </c>
      <c r="K231" t="s">
        <v>86</v>
      </c>
      <c r="L231" t="s">
        <v>103</v>
      </c>
      <c r="M231">
        <v>1469.1859072899999</v>
      </c>
      <c r="N231">
        <v>0</v>
      </c>
      <c r="O231" t="s">
        <v>80</v>
      </c>
      <c r="P231" s="35">
        <v>44269.871966747683</v>
      </c>
      <c r="Q231">
        <v>2717449</v>
      </c>
      <c r="R231" t="s">
        <v>81</v>
      </c>
      <c r="S231" s="4">
        <v>174.92627784000001</v>
      </c>
      <c r="T231">
        <v>70.437337639999996</v>
      </c>
      <c r="U231">
        <v>70.437337639999996</v>
      </c>
      <c r="V231">
        <v>12321.341293150001</v>
      </c>
      <c r="W231">
        <v>12321.341293150001</v>
      </c>
      <c r="X231">
        <v>0</v>
      </c>
      <c r="Y231">
        <v>5735.8045360699998</v>
      </c>
      <c r="Z231">
        <v>5735.8045360699998</v>
      </c>
      <c r="AA231">
        <v>0</v>
      </c>
      <c r="AB231">
        <v>0</v>
      </c>
      <c r="AC231" t="s">
        <v>84</v>
      </c>
      <c r="AD231" s="35">
        <v>43739</v>
      </c>
    </row>
    <row r="232" spans="1:30" x14ac:dyDescent="0.3">
      <c r="A232">
        <v>243465</v>
      </c>
      <c r="B232" t="s">
        <v>153</v>
      </c>
      <c r="C232">
        <v>2019</v>
      </c>
      <c r="D232">
        <v>6</v>
      </c>
      <c r="E232" t="s">
        <v>90</v>
      </c>
      <c r="F232" t="s">
        <v>84</v>
      </c>
      <c r="G232" t="s">
        <v>84</v>
      </c>
      <c r="H232" t="s">
        <v>25</v>
      </c>
      <c r="I232" t="s">
        <v>25</v>
      </c>
      <c r="J232" t="s">
        <v>101</v>
      </c>
      <c r="K232" t="s">
        <v>90</v>
      </c>
      <c r="L232" t="s">
        <v>103</v>
      </c>
      <c r="M232">
        <v>676.21524277000003</v>
      </c>
      <c r="N232">
        <v>0</v>
      </c>
      <c r="O232" t="s">
        <v>80</v>
      </c>
      <c r="P232" s="35">
        <v>44269.866386307869</v>
      </c>
      <c r="Q232">
        <v>2309773</v>
      </c>
      <c r="R232" t="s">
        <v>81</v>
      </c>
      <c r="S232" s="4">
        <v>68.617654659999999</v>
      </c>
      <c r="T232">
        <v>70.437337639999996</v>
      </c>
      <c r="U232">
        <v>70.437337639999996</v>
      </c>
      <c r="V232">
        <v>4833.2449091199996</v>
      </c>
      <c r="W232">
        <v>4833.2449091199996</v>
      </c>
      <c r="X232">
        <v>0</v>
      </c>
      <c r="Y232">
        <v>5735.8045360699998</v>
      </c>
      <c r="Z232">
        <v>5735.8045360699998</v>
      </c>
      <c r="AA232">
        <v>0</v>
      </c>
      <c r="AB232">
        <v>0</v>
      </c>
      <c r="AC232" t="s">
        <v>84</v>
      </c>
      <c r="AD232" s="35">
        <v>43617</v>
      </c>
    </row>
    <row r="233" spans="1:30" x14ac:dyDescent="0.3">
      <c r="A233">
        <v>287298</v>
      </c>
      <c r="B233" t="s">
        <v>156</v>
      </c>
      <c r="C233">
        <v>2019</v>
      </c>
      <c r="D233">
        <v>10</v>
      </c>
      <c r="E233" t="s">
        <v>88</v>
      </c>
      <c r="F233" t="s">
        <v>84</v>
      </c>
      <c r="G233" t="s">
        <v>84</v>
      </c>
      <c r="H233" t="s">
        <v>25</v>
      </c>
      <c r="I233" t="s">
        <v>25</v>
      </c>
      <c r="J233" t="s">
        <v>101</v>
      </c>
      <c r="K233" t="s">
        <v>88</v>
      </c>
      <c r="L233" t="s">
        <v>103</v>
      </c>
      <c r="M233">
        <v>290.75618709000003</v>
      </c>
      <c r="N233">
        <v>0</v>
      </c>
      <c r="O233" t="s">
        <v>80</v>
      </c>
      <c r="P233" s="35">
        <v>44269.871968136576</v>
      </c>
      <c r="Q233">
        <v>2717584</v>
      </c>
      <c r="R233" t="s">
        <v>81</v>
      </c>
      <c r="S233" s="4">
        <v>29.443453640000001</v>
      </c>
      <c r="T233">
        <v>70.437337639999996</v>
      </c>
      <c r="U233">
        <v>70.437337639999996</v>
      </c>
      <c r="V233">
        <v>2073.9184849600001</v>
      </c>
      <c r="W233">
        <v>2073.9184849600001</v>
      </c>
      <c r="X233">
        <v>0</v>
      </c>
      <c r="Y233">
        <v>5735.8045360699998</v>
      </c>
      <c r="Z233">
        <v>5735.8045360699998</v>
      </c>
      <c r="AA233">
        <v>0</v>
      </c>
      <c r="AB233">
        <v>0</v>
      </c>
      <c r="AC233" t="s">
        <v>84</v>
      </c>
      <c r="AD233" s="35">
        <v>43739</v>
      </c>
    </row>
    <row r="234" spans="1:30" x14ac:dyDescent="0.3">
      <c r="A234">
        <v>273453</v>
      </c>
      <c r="B234" t="s">
        <v>154</v>
      </c>
      <c r="C234">
        <v>2019</v>
      </c>
      <c r="D234">
        <v>9</v>
      </c>
      <c r="E234" t="s">
        <v>86</v>
      </c>
      <c r="F234" t="s">
        <v>84</v>
      </c>
      <c r="G234" t="s">
        <v>84</v>
      </c>
      <c r="H234" t="s">
        <v>25</v>
      </c>
      <c r="I234" t="s">
        <v>25</v>
      </c>
      <c r="J234" t="s">
        <v>101</v>
      </c>
      <c r="K234" t="s">
        <v>86</v>
      </c>
      <c r="L234" t="s">
        <v>103</v>
      </c>
      <c r="M234">
        <v>1168.3183385699999</v>
      </c>
      <c r="N234">
        <v>0</v>
      </c>
      <c r="O234" t="s">
        <v>80</v>
      </c>
      <c r="P234" s="35">
        <v>44269.870331331018</v>
      </c>
      <c r="Q234">
        <v>2586742</v>
      </c>
      <c r="R234" t="s">
        <v>81</v>
      </c>
      <c r="S234" s="4">
        <v>139.10396041999999</v>
      </c>
      <c r="T234">
        <v>70.437337639999996</v>
      </c>
      <c r="U234">
        <v>70.437337639999996</v>
      </c>
      <c r="V234">
        <v>9798.1126263200003</v>
      </c>
      <c r="W234">
        <v>9798.1126263200003</v>
      </c>
      <c r="X234">
        <v>0</v>
      </c>
      <c r="Y234">
        <v>5735.8045360699998</v>
      </c>
      <c r="Z234">
        <v>5735.8045360699998</v>
      </c>
      <c r="AA234">
        <v>0</v>
      </c>
      <c r="AB234">
        <v>0</v>
      </c>
      <c r="AC234" t="s">
        <v>84</v>
      </c>
      <c r="AD234" s="35">
        <v>43709</v>
      </c>
    </row>
    <row r="235" spans="1:30" x14ac:dyDescent="0.3">
      <c r="A235">
        <v>301089</v>
      </c>
      <c r="B235" t="s">
        <v>155</v>
      </c>
      <c r="C235">
        <v>2019</v>
      </c>
      <c r="D235">
        <v>11</v>
      </c>
      <c r="E235" t="s">
        <v>86</v>
      </c>
      <c r="F235" t="s">
        <v>84</v>
      </c>
      <c r="G235" t="s">
        <v>84</v>
      </c>
      <c r="H235" t="s">
        <v>25</v>
      </c>
      <c r="I235" t="s">
        <v>25</v>
      </c>
      <c r="J235" t="s">
        <v>101</v>
      </c>
      <c r="K235" t="s">
        <v>86</v>
      </c>
      <c r="L235" t="s">
        <v>103</v>
      </c>
      <c r="M235">
        <v>1777.6837430800001</v>
      </c>
      <c r="N235">
        <v>0</v>
      </c>
      <c r="O235" t="s">
        <v>80</v>
      </c>
      <c r="P235" s="35">
        <v>44269.873616666657</v>
      </c>
      <c r="Q235">
        <v>2848156</v>
      </c>
      <c r="R235" t="s">
        <v>81</v>
      </c>
      <c r="S235" s="4">
        <v>211.65708083999999</v>
      </c>
      <c r="T235">
        <v>70.437337639999996</v>
      </c>
      <c r="U235">
        <v>70.437337639999996</v>
      </c>
      <c r="V235">
        <v>14908.5612659</v>
      </c>
      <c r="W235">
        <v>14908.5612659</v>
      </c>
      <c r="X235">
        <v>0</v>
      </c>
      <c r="Y235">
        <v>5735.8045360699998</v>
      </c>
      <c r="Z235">
        <v>5735.8045360699998</v>
      </c>
      <c r="AA235">
        <v>0</v>
      </c>
      <c r="AB235">
        <v>0</v>
      </c>
      <c r="AC235" t="s">
        <v>84</v>
      </c>
      <c r="AD235" s="35">
        <v>43770</v>
      </c>
    </row>
    <row r="236" spans="1:30" x14ac:dyDescent="0.3">
      <c r="B236" s="1"/>
    </row>
    <row r="237" spans="1:30" x14ac:dyDescent="0.3">
      <c r="B237" s="1"/>
    </row>
    <row r="238" spans="1:30" x14ac:dyDescent="0.3">
      <c r="B238" s="1"/>
    </row>
    <row r="239" spans="1:30" x14ac:dyDescent="0.3">
      <c r="B239" s="1"/>
    </row>
    <row r="240" spans="1:30" x14ac:dyDescent="0.3">
      <c r="B240" s="1"/>
    </row>
    <row r="241" spans="2:2" x14ac:dyDescent="0.3">
      <c r="B241" s="1"/>
    </row>
    <row r="242" spans="2:2" x14ac:dyDescent="0.3">
      <c r="B242" s="1"/>
    </row>
    <row r="243" spans="2:2" x14ac:dyDescent="0.3">
      <c r="B243" s="1"/>
    </row>
    <row r="244" spans="2:2" x14ac:dyDescent="0.3">
      <c r="B244" s="1"/>
    </row>
    <row r="245" spans="2:2" x14ac:dyDescent="0.3">
      <c r="B245" s="1"/>
    </row>
    <row r="246" spans="2:2" x14ac:dyDescent="0.3">
      <c r="B246" s="1"/>
    </row>
    <row r="247" spans="2:2" x14ac:dyDescent="0.3">
      <c r="B247" s="1"/>
    </row>
    <row r="248" spans="2:2" x14ac:dyDescent="0.3">
      <c r="B248" s="1"/>
    </row>
    <row r="249" spans="2:2" x14ac:dyDescent="0.3">
      <c r="B249" s="1"/>
    </row>
    <row r="250" spans="2:2" x14ac:dyDescent="0.3">
      <c r="B250" s="1"/>
    </row>
    <row r="251" spans="2:2" x14ac:dyDescent="0.3">
      <c r="B251" s="1"/>
    </row>
    <row r="252" spans="2:2" x14ac:dyDescent="0.3">
      <c r="B252" s="1"/>
    </row>
    <row r="253" spans="2:2" x14ac:dyDescent="0.3">
      <c r="B253" s="1"/>
    </row>
    <row r="254" spans="2:2" x14ac:dyDescent="0.3">
      <c r="B254" s="1"/>
    </row>
    <row r="255" spans="2:2" x14ac:dyDescent="0.3">
      <c r="B255" s="1"/>
    </row>
    <row r="256" spans="2:2" x14ac:dyDescent="0.3">
      <c r="B256" s="1"/>
    </row>
    <row r="257" spans="2:2" x14ac:dyDescent="0.3">
      <c r="B257" s="1"/>
    </row>
    <row r="258" spans="2:2" x14ac:dyDescent="0.3">
      <c r="B258" s="1"/>
    </row>
    <row r="259" spans="2:2" x14ac:dyDescent="0.3">
      <c r="B259" s="1"/>
    </row>
    <row r="260" spans="2:2" x14ac:dyDescent="0.3">
      <c r="B260" s="1"/>
    </row>
    <row r="261" spans="2:2" x14ac:dyDescent="0.3">
      <c r="B261" s="1"/>
    </row>
    <row r="262" spans="2:2" x14ac:dyDescent="0.3">
      <c r="B262" s="1"/>
    </row>
    <row r="263" spans="2:2" x14ac:dyDescent="0.3">
      <c r="B263" s="1"/>
    </row>
    <row r="264" spans="2:2" x14ac:dyDescent="0.3">
      <c r="B264" s="1"/>
    </row>
    <row r="265" spans="2:2" x14ac:dyDescent="0.3">
      <c r="B265" s="1"/>
    </row>
    <row r="266" spans="2:2" x14ac:dyDescent="0.3">
      <c r="B266" s="1"/>
    </row>
    <row r="267" spans="2:2" x14ac:dyDescent="0.3">
      <c r="B267" s="1"/>
    </row>
    <row r="268" spans="2:2" x14ac:dyDescent="0.3">
      <c r="B268" s="1"/>
    </row>
    <row r="269" spans="2:2" x14ac:dyDescent="0.3">
      <c r="B269" s="1"/>
    </row>
    <row r="270" spans="2:2" x14ac:dyDescent="0.3">
      <c r="B270" s="1"/>
    </row>
    <row r="271" spans="2:2" x14ac:dyDescent="0.3">
      <c r="B271" s="1"/>
    </row>
    <row r="272" spans="2:2" x14ac:dyDescent="0.3">
      <c r="B272" s="1"/>
    </row>
    <row r="273" spans="2:2" x14ac:dyDescent="0.3">
      <c r="B273" s="1"/>
    </row>
    <row r="274" spans="2:2" x14ac:dyDescent="0.3">
      <c r="B274" s="1"/>
    </row>
    <row r="275" spans="2:2" x14ac:dyDescent="0.3">
      <c r="B275" s="1"/>
    </row>
    <row r="276" spans="2:2" x14ac:dyDescent="0.3">
      <c r="B276" s="1"/>
    </row>
    <row r="277" spans="2:2" x14ac:dyDescent="0.3">
      <c r="B277" s="1"/>
    </row>
    <row r="278" spans="2:2" x14ac:dyDescent="0.3">
      <c r="B278" s="1"/>
    </row>
    <row r="279" spans="2:2" x14ac:dyDescent="0.3">
      <c r="B279" s="1"/>
    </row>
    <row r="280" spans="2:2" x14ac:dyDescent="0.3">
      <c r="B280" s="1"/>
    </row>
    <row r="281" spans="2:2" x14ac:dyDescent="0.3">
      <c r="B281" s="1"/>
    </row>
    <row r="282" spans="2:2" x14ac:dyDescent="0.3">
      <c r="B282" s="1"/>
    </row>
    <row r="283" spans="2:2" x14ac:dyDescent="0.3">
      <c r="B283" s="1"/>
    </row>
    <row r="284" spans="2:2" x14ac:dyDescent="0.3">
      <c r="B284" s="1"/>
    </row>
    <row r="285" spans="2:2" x14ac:dyDescent="0.3">
      <c r="B285" s="1"/>
    </row>
    <row r="286" spans="2:2" x14ac:dyDescent="0.3">
      <c r="B286" s="1"/>
    </row>
    <row r="287" spans="2:2" x14ac:dyDescent="0.3">
      <c r="B287" s="1"/>
    </row>
    <row r="288" spans="2:2" x14ac:dyDescent="0.3">
      <c r="B288" s="1"/>
    </row>
    <row r="289" spans="2:2" x14ac:dyDescent="0.3">
      <c r="B289" s="1"/>
    </row>
    <row r="290" spans="2:2" x14ac:dyDescent="0.3">
      <c r="B290" s="1"/>
    </row>
    <row r="291" spans="2:2" x14ac:dyDescent="0.3">
      <c r="B291" s="1"/>
    </row>
    <row r="292" spans="2:2" x14ac:dyDescent="0.3">
      <c r="B292" s="1"/>
    </row>
    <row r="293" spans="2:2" x14ac:dyDescent="0.3">
      <c r="B293" s="1"/>
    </row>
    <row r="294" spans="2:2" x14ac:dyDescent="0.3">
      <c r="B294" s="1"/>
    </row>
    <row r="295" spans="2:2" x14ac:dyDescent="0.3">
      <c r="B295" s="1"/>
    </row>
    <row r="296" spans="2:2" x14ac:dyDescent="0.3">
      <c r="B296" s="1"/>
    </row>
    <row r="297" spans="2:2" x14ac:dyDescent="0.3">
      <c r="B297" s="1"/>
    </row>
    <row r="298" spans="2:2" x14ac:dyDescent="0.3">
      <c r="B298" s="1"/>
    </row>
    <row r="299" spans="2:2" x14ac:dyDescent="0.3">
      <c r="B299" s="1"/>
    </row>
    <row r="300" spans="2:2" x14ac:dyDescent="0.3">
      <c r="B300" s="1"/>
    </row>
    <row r="301" spans="2:2" x14ac:dyDescent="0.3">
      <c r="B301" s="1"/>
    </row>
    <row r="302" spans="2:2" x14ac:dyDescent="0.3">
      <c r="B302" s="1"/>
    </row>
    <row r="303" spans="2:2" x14ac:dyDescent="0.3">
      <c r="B303" s="1"/>
    </row>
    <row r="304" spans="2:2" x14ac:dyDescent="0.3">
      <c r="B304" s="1"/>
    </row>
    <row r="305" spans="2:2" x14ac:dyDescent="0.3">
      <c r="B305" s="1"/>
    </row>
    <row r="306" spans="2:2" x14ac:dyDescent="0.3">
      <c r="B306" s="1"/>
    </row>
    <row r="307" spans="2:2" x14ac:dyDescent="0.3">
      <c r="B307" s="1"/>
    </row>
    <row r="308" spans="2:2" x14ac:dyDescent="0.3">
      <c r="B308" s="1"/>
    </row>
    <row r="309" spans="2:2" x14ac:dyDescent="0.3">
      <c r="B309" s="1"/>
    </row>
    <row r="310" spans="2:2" x14ac:dyDescent="0.3">
      <c r="B310" s="1"/>
    </row>
    <row r="311" spans="2:2" x14ac:dyDescent="0.3">
      <c r="B311" s="1"/>
    </row>
    <row r="312" spans="2:2" x14ac:dyDescent="0.3">
      <c r="B312" s="1"/>
    </row>
    <row r="313" spans="2:2" x14ac:dyDescent="0.3">
      <c r="B313" s="1"/>
    </row>
    <row r="314" spans="2:2" x14ac:dyDescent="0.3">
      <c r="B314" s="1"/>
    </row>
    <row r="315" spans="2:2" x14ac:dyDescent="0.3">
      <c r="B315" s="1"/>
    </row>
    <row r="316" spans="2:2" x14ac:dyDescent="0.3">
      <c r="B316" s="1"/>
    </row>
    <row r="317" spans="2:2" x14ac:dyDescent="0.3">
      <c r="B317" s="1"/>
    </row>
    <row r="318" spans="2:2" x14ac:dyDescent="0.3">
      <c r="B318" s="1"/>
    </row>
    <row r="319" spans="2:2" x14ac:dyDescent="0.3">
      <c r="B319" s="1"/>
    </row>
    <row r="320" spans="2:2" x14ac:dyDescent="0.3">
      <c r="B320" s="1"/>
    </row>
    <row r="321" spans="2:2" x14ac:dyDescent="0.3">
      <c r="B321" s="1"/>
    </row>
    <row r="322" spans="2:2" x14ac:dyDescent="0.3">
      <c r="B322" s="1"/>
    </row>
    <row r="323" spans="2:2" x14ac:dyDescent="0.3">
      <c r="B323" s="1"/>
    </row>
    <row r="324" spans="2:2" x14ac:dyDescent="0.3">
      <c r="B324" s="1"/>
    </row>
    <row r="325" spans="2:2" x14ac:dyDescent="0.3">
      <c r="B325" s="1"/>
    </row>
    <row r="326" spans="2:2" x14ac:dyDescent="0.3">
      <c r="B326" s="1"/>
    </row>
    <row r="327" spans="2:2" x14ac:dyDescent="0.3">
      <c r="B327" s="1"/>
    </row>
    <row r="328" spans="2:2" x14ac:dyDescent="0.3">
      <c r="B328" s="1"/>
    </row>
    <row r="329" spans="2:2" x14ac:dyDescent="0.3">
      <c r="B329" s="1"/>
    </row>
    <row r="330" spans="2:2" x14ac:dyDescent="0.3">
      <c r="B330" s="1"/>
    </row>
    <row r="331" spans="2:2" x14ac:dyDescent="0.3">
      <c r="B331" s="1"/>
    </row>
    <row r="332" spans="2:2" x14ac:dyDescent="0.3">
      <c r="B332" s="1"/>
    </row>
    <row r="333" spans="2:2" x14ac:dyDescent="0.3">
      <c r="B333" s="1"/>
    </row>
    <row r="334" spans="2:2" x14ac:dyDescent="0.3">
      <c r="B334" s="1"/>
    </row>
    <row r="335" spans="2:2" x14ac:dyDescent="0.3">
      <c r="B335" s="1"/>
    </row>
    <row r="336" spans="2:2" x14ac:dyDescent="0.3">
      <c r="B336" s="1"/>
    </row>
    <row r="337" spans="2:2" x14ac:dyDescent="0.3">
      <c r="B337" s="1"/>
    </row>
    <row r="338" spans="2:2" x14ac:dyDescent="0.3">
      <c r="B338" s="1"/>
    </row>
    <row r="339" spans="2:2" x14ac:dyDescent="0.3">
      <c r="B339" s="1"/>
    </row>
    <row r="340" spans="2:2" x14ac:dyDescent="0.3">
      <c r="B340" s="1"/>
    </row>
    <row r="341" spans="2:2" x14ac:dyDescent="0.3">
      <c r="B341" s="1"/>
    </row>
    <row r="342" spans="2:2" x14ac:dyDescent="0.3">
      <c r="B342" s="1"/>
    </row>
    <row r="343" spans="2:2" x14ac:dyDescent="0.3">
      <c r="B343" s="1"/>
    </row>
    <row r="344" spans="2:2" x14ac:dyDescent="0.3">
      <c r="B344" s="1"/>
    </row>
    <row r="345" spans="2:2" x14ac:dyDescent="0.3">
      <c r="B345" s="1"/>
    </row>
    <row r="346" spans="2:2" x14ac:dyDescent="0.3">
      <c r="B346" s="1"/>
    </row>
    <row r="347" spans="2:2" x14ac:dyDescent="0.3">
      <c r="B347" s="1"/>
    </row>
    <row r="348" spans="2:2" x14ac:dyDescent="0.3">
      <c r="B348" s="1"/>
    </row>
    <row r="349" spans="2:2" x14ac:dyDescent="0.3">
      <c r="B349" s="1"/>
    </row>
    <row r="350" spans="2:2" x14ac:dyDescent="0.3">
      <c r="B350" s="1"/>
    </row>
    <row r="351" spans="2:2" x14ac:dyDescent="0.3">
      <c r="B351" s="1"/>
    </row>
    <row r="352" spans="2:2" x14ac:dyDescent="0.3">
      <c r="B352" s="1"/>
    </row>
    <row r="353" spans="2:2" x14ac:dyDescent="0.3">
      <c r="B353" s="1"/>
    </row>
    <row r="354" spans="2:2" x14ac:dyDescent="0.3">
      <c r="B354" s="1"/>
    </row>
    <row r="355" spans="2:2" x14ac:dyDescent="0.3">
      <c r="B355" s="1"/>
    </row>
    <row r="356" spans="2:2" x14ac:dyDescent="0.3">
      <c r="B356" s="1"/>
    </row>
    <row r="357" spans="2:2" x14ac:dyDescent="0.3">
      <c r="B357" s="1"/>
    </row>
    <row r="358" spans="2:2" x14ac:dyDescent="0.3">
      <c r="B358" s="1"/>
    </row>
    <row r="359" spans="2:2" x14ac:dyDescent="0.3">
      <c r="B359" s="1"/>
    </row>
    <row r="360" spans="2:2" x14ac:dyDescent="0.3">
      <c r="B360" s="1"/>
    </row>
    <row r="361" spans="2:2" x14ac:dyDescent="0.3">
      <c r="B361" s="1"/>
    </row>
    <row r="362" spans="2:2" x14ac:dyDescent="0.3">
      <c r="B362" s="1"/>
    </row>
    <row r="363" spans="2:2" x14ac:dyDescent="0.3">
      <c r="B363" s="1"/>
    </row>
    <row r="364" spans="2:2" x14ac:dyDescent="0.3">
      <c r="B364" s="1"/>
    </row>
    <row r="365" spans="2:2" x14ac:dyDescent="0.3">
      <c r="B365" s="1"/>
    </row>
    <row r="366" spans="2:2" x14ac:dyDescent="0.3">
      <c r="B366" s="1"/>
    </row>
    <row r="367" spans="2:2" x14ac:dyDescent="0.3">
      <c r="B367" s="1"/>
    </row>
    <row r="368" spans="2:2" x14ac:dyDescent="0.3">
      <c r="B368" s="1"/>
    </row>
    <row r="369" spans="2:2" x14ac:dyDescent="0.3">
      <c r="B369" s="1"/>
    </row>
    <row r="370" spans="2:2" x14ac:dyDescent="0.3">
      <c r="B370" s="1"/>
    </row>
    <row r="371" spans="2:2" x14ac:dyDescent="0.3">
      <c r="B371" s="1"/>
    </row>
    <row r="372" spans="2:2" x14ac:dyDescent="0.3">
      <c r="B372" s="1"/>
    </row>
    <row r="373" spans="2:2" x14ac:dyDescent="0.3">
      <c r="B373" s="1"/>
    </row>
    <row r="374" spans="2:2" x14ac:dyDescent="0.3">
      <c r="B374" s="1"/>
    </row>
    <row r="375" spans="2:2" x14ac:dyDescent="0.3">
      <c r="B375" s="1"/>
    </row>
    <row r="376" spans="2:2" x14ac:dyDescent="0.3">
      <c r="B376" s="1"/>
    </row>
    <row r="377" spans="2:2" x14ac:dyDescent="0.3">
      <c r="B377" s="1"/>
    </row>
    <row r="378" spans="2:2" x14ac:dyDescent="0.3">
      <c r="B378" s="1"/>
    </row>
    <row r="379" spans="2:2" x14ac:dyDescent="0.3">
      <c r="B379" s="1"/>
    </row>
    <row r="380" spans="2:2" x14ac:dyDescent="0.3">
      <c r="B380" s="1"/>
    </row>
    <row r="381" spans="2:2" x14ac:dyDescent="0.3">
      <c r="B381" s="1"/>
    </row>
    <row r="382" spans="2:2" x14ac:dyDescent="0.3">
      <c r="B382" s="1"/>
    </row>
    <row r="383" spans="2:2" x14ac:dyDescent="0.3">
      <c r="B383" s="1"/>
    </row>
    <row r="384" spans="2:2" x14ac:dyDescent="0.3">
      <c r="B384" s="1"/>
    </row>
    <row r="385" spans="2:2" x14ac:dyDescent="0.3">
      <c r="B385" s="1"/>
    </row>
    <row r="386" spans="2:2" x14ac:dyDescent="0.3">
      <c r="B386" s="1"/>
    </row>
    <row r="387" spans="2:2" x14ac:dyDescent="0.3">
      <c r="B387" s="1"/>
    </row>
    <row r="388" spans="2:2" x14ac:dyDescent="0.3">
      <c r="B388" s="1"/>
    </row>
    <row r="389" spans="2:2" x14ac:dyDescent="0.3">
      <c r="B389" s="1"/>
    </row>
    <row r="390" spans="2:2" x14ac:dyDescent="0.3">
      <c r="B390" s="1"/>
    </row>
    <row r="391" spans="2:2" x14ac:dyDescent="0.3">
      <c r="B391" s="1"/>
    </row>
    <row r="392" spans="2:2" x14ac:dyDescent="0.3">
      <c r="B392" s="1"/>
    </row>
    <row r="393" spans="2:2" x14ac:dyDescent="0.3">
      <c r="B393" s="1"/>
    </row>
    <row r="394" spans="2:2" x14ac:dyDescent="0.3">
      <c r="B394" s="1"/>
    </row>
    <row r="395" spans="2:2" x14ac:dyDescent="0.3">
      <c r="B395" s="1"/>
    </row>
    <row r="396" spans="2:2" x14ac:dyDescent="0.3">
      <c r="B396" s="1"/>
    </row>
    <row r="397" spans="2:2" x14ac:dyDescent="0.3">
      <c r="B397" s="1"/>
    </row>
    <row r="398" spans="2:2" x14ac:dyDescent="0.3">
      <c r="B398" s="1"/>
    </row>
    <row r="399" spans="2:2" x14ac:dyDescent="0.3">
      <c r="B399" s="1"/>
    </row>
    <row r="400" spans="2:2" x14ac:dyDescent="0.3">
      <c r="B400" s="1"/>
    </row>
    <row r="401" spans="2:2" x14ac:dyDescent="0.3">
      <c r="B401" s="1"/>
    </row>
    <row r="402" spans="2:2" x14ac:dyDescent="0.3">
      <c r="B402" s="1"/>
    </row>
    <row r="403" spans="2:2" x14ac:dyDescent="0.3">
      <c r="B403" s="1"/>
    </row>
    <row r="404" spans="2:2" x14ac:dyDescent="0.3">
      <c r="B404" s="1"/>
    </row>
    <row r="405" spans="2:2" x14ac:dyDescent="0.3">
      <c r="B405" s="1"/>
    </row>
    <row r="406" spans="2:2" x14ac:dyDescent="0.3">
      <c r="B406" s="1"/>
    </row>
    <row r="407" spans="2:2" x14ac:dyDescent="0.3">
      <c r="B407" s="1"/>
    </row>
    <row r="408" spans="2:2" x14ac:dyDescent="0.3">
      <c r="B408" s="1"/>
    </row>
    <row r="409" spans="2:2" x14ac:dyDescent="0.3">
      <c r="B409" s="1"/>
    </row>
    <row r="410" spans="2:2" x14ac:dyDescent="0.3">
      <c r="B410" s="1"/>
    </row>
    <row r="411" spans="2:2" x14ac:dyDescent="0.3">
      <c r="B411" s="1"/>
    </row>
    <row r="412" spans="2:2" x14ac:dyDescent="0.3">
      <c r="B412" s="1"/>
    </row>
    <row r="413" spans="2:2" x14ac:dyDescent="0.3">
      <c r="B413" s="1"/>
    </row>
    <row r="414" spans="2:2" x14ac:dyDescent="0.3">
      <c r="B414" s="1"/>
    </row>
    <row r="415" spans="2:2" x14ac:dyDescent="0.3">
      <c r="B415" s="1"/>
    </row>
    <row r="416" spans="2:2" x14ac:dyDescent="0.3">
      <c r="B416" s="1"/>
    </row>
    <row r="417" spans="2:2" x14ac:dyDescent="0.3">
      <c r="B417" s="1"/>
    </row>
    <row r="418" spans="2:2" x14ac:dyDescent="0.3">
      <c r="B418" s="1"/>
    </row>
    <row r="419" spans="2:2" x14ac:dyDescent="0.3">
      <c r="B419" s="1"/>
    </row>
    <row r="420" spans="2:2" x14ac:dyDescent="0.3">
      <c r="B420" s="1"/>
    </row>
    <row r="421" spans="2:2" x14ac:dyDescent="0.3">
      <c r="B421" s="1"/>
    </row>
    <row r="422" spans="2:2" x14ac:dyDescent="0.3">
      <c r="B422" s="1"/>
    </row>
    <row r="423" spans="2:2" x14ac:dyDescent="0.3">
      <c r="B423" s="1"/>
    </row>
    <row r="424" spans="2:2" x14ac:dyDescent="0.3">
      <c r="B424" s="1"/>
    </row>
    <row r="425" spans="2:2" x14ac:dyDescent="0.3">
      <c r="B425" s="1"/>
    </row>
    <row r="426" spans="2:2" x14ac:dyDescent="0.3">
      <c r="B426" s="1"/>
    </row>
    <row r="427" spans="2:2" x14ac:dyDescent="0.3">
      <c r="B427" s="1"/>
    </row>
    <row r="428" spans="2:2" x14ac:dyDescent="0.3">
      <c r="B428" s="1"/>
    </row>
    <row r="429" spans="2:2" x14ac:dyDescent="0.3">
      <c r="B429" s="1"/>
    </row>
    <row r="430" spans="2:2" x14ac:dyDescent="0.3">
      <c r="B430" s="1"/>
    </row>
    <row r="431" spans="2:2" x14ac:dyDescent="0.3">
      <c r="B431" s="1"/>
    </row>
    <row r="432" spans="2:2" x14ac:dyDescent="0.3">
      <c r="B432" s="1"/>
    </row>
    <row r="433" spans="2:2" x14ac:dyDescent="0.3">
      <c r="B433" s="1"/>
    </row>
    <row r="434" spans="2:2" x14ac:dyDescent="0.3">
      <c r="B434" s="1"/>
    </row>
    <row r="435" spans="2:2" x14ac:dyDescent="0.3">
      <c r="B435" s="1"/>
    </row>
    <row r="436" spans="2:2" x14ac:dyDescent="0.3">
      <c r="B436" s="1"/>
    </row>
    <row r="437" spans="2:2" x14ac:dyDescent="0.3">
      <c r="B437" s="1"/>
    </row>
    <row r="438" spans="2:2" x14ac:dyDescent="0.3">
      <c r="B438" s="1"/>
    </row>
    <row r="439" spans="2:2" x14ac:dyDescent="0.3">
      <c r="B439" s="1"/>
    </row>
    <row r="440" spans="2:2" x14ac:dyDescent="0.3">
      <c r="B440" s="1"/>
    </row>
    <row r="441" spans="2:2" x14ac:dyDescent="0.3">
      <c r="B441" s="1"/>
    </row>
    <row r="442" spans="2:2" x14ac:dyDescent="0.3">
      <c r="B442" s="1"/>
    </row>
    <row r="443" spans="2:2" x14ac:dyDescent="0.3">
      <c r="B443" s="1"/>
    </row>
    <row r="444" spans="2:2" x14ac:dyDescent="0.3">
      <c r="B444" s="1"/>
    </row>
    <row r="445" spans="2:2" x14ac:dyDescent="0.3">
      <c r="B445" s="1"/>
    </row>
    <row r="446" spans="2:2" x14ac:dyDescent="0.3">
      <c r="B446" s="1"/>
    </row>
    <row r="447" spans="2:2" x14ac:dyDescent="0.3">
      <c r="B447" s="1"/>
    </row>
    <row r="448" spans="2:2" x14ac:dyDescent="0.3">
      <c r="B448" s="1"/>
    </row>
    <row r="449" spans="2:2" x14ac:dyDescent="0.3">
      <c r="B449" s="1"/>
    </row>
    <row r="450" spans="2:2" x14ac:dyDescent="0.3">
      <c r="B450" s="1"/>
    </row>
    <row r="451" spans="2:2" x14ac:dyDescent="0.3">
      <c r="B451" s="1"/>
    </row>
    <row r="452" spans="2:2" x14ac:dyDescent="0.3">
      <c r="B452" s="1"/>
    </row>
    <row r="453" spans="2:2" x14ac:dyDescent="0.3">
      <c r="B453" s="1"/>
    </row>
    <row r="454" spans="2:2" x14ac:dyDescent="0.3">
      <c r="B454" s="1"/>
    </row>
    <row r="455" spans="2:2" x14ac:dyDescent="0.3">
      <c r="B455" s="1"/>
    </row>
    <row r="456" spans="2:2" x14ac:dyDescent="0.3">
      <c r="B456" s="1"/>
    </row>
    <row r="457" spans="2:2" x14ac:dyDescent="0.3">
      <c r="B457" s="1"/>
    </row>
    <row r="458" spans="2:2" x14ac:dyDescent="0.3">
      <c r="B458" s="1"/>
    </row>
    <row r="459" spans="2:2" x14ac:dyDescent="0.3">
      <c r="B459" s="1"/>
    </row>
    <row r="460" spans="2:2" x14ac:dyDescent="0.3">
      <c r="B460" s="1"/>
    </row>
    <row r="461" spans="2:2" x14ac:dyDescent="0.3">
      <c r="B461" s="1"/>
    </row>
    <row r="462" spans="2:2" x14ac:dyDescent="0.3">
      <c r="B462" s="1"/>
    </row>
    <row r="463" spans="2:2" x14ac:dyDescent="0.3">
      <c r="B463" s="1"/>
    </row>
    <row r="464" spans="2:2" x14ac:dyDescent="0.3">
      <c r="B464" s="1"/>
    </row>
    <row r="465" spans="2:2" x14ac:dyDescent="0.3">
      <c r="B465" s="1"/>
    </row>
    <row r="466" spans="2:2" x14ac:dyDescent="0.3">
      <c r="B466" s="1"/>
    </row>
    <row r="467" spans="2:2" x14ac:dyDescent="0.3">
      <c r="B467" s="1"/>
    </row>
    <row r="468" spans="2:2" x14ac:dyDescent="0.3">
      <c r="B468" s="1"/>
    </row>
    <row r="469" spans="2:2" x14ac:dyDescent="0.3">
      <c r="B469" s="1"/>
    </row>
    <row r="470" spans="2:2" x14ac:dyDescent="0.3">
      <c r="B470" s="1"/>
    </row>
    <row r="471" spans="2:2" x14ac:dyDescent="0.3">
      <c r="B471" s="1"/>
    </row>
    <row r="472" spans="2:2" x14ac:dyDescent="0.3">
      <c r="B472" s="1"/>
    </row>
    <row r="473" spans="2:2" x14ac:dyDescent="0.3">
      <c r="B473" s="1"/>
    </row>
    <row r="474" spans="2:2" x14ac:dyDescent="0.3">
      <c r="B474" s="1"/>
    </row>
    <row r="475" spans="2:2" x14ac:dyDescent="0.3">
      <c r="B475" s="1"/>
    </row>
    <row r="476" spans="2:2" x14ac:dyDescent="0.3">
      <c r="B476" s="1"/>
    </row>
    <row r="477" spans="2:2" x14ac:dyDescent="0.3">
      <c r="B477" s="1"/>
    </row>
    <row r="478" spans="2:2" x14ac:dyDescent="0.3">
      <c r="B478" s="1"/>
    </row>
    <row r="479" spans="2:2" x14ac:dyDescent="0.3">
      <c r="B479" s="1"/>
    </row>
    <row r="480" spans="2:2" x14ac:dyDescent="0.3">
      <c r="B480" s="1"/>
    </row>
    <row r="481" spans="2:2" x14ac:dyDescent="0.3">
      <c r="B481" s="1"/>
    </row>
    <row r="482" spans="2:2" x14ac:dyDescent="0.3">
      <c r="B482" s="1"/>
    </row>
    <row r="483" spans="2:2" x14ac:dyDescent="0.3">
      <c r="B483" s="1"/>
    </row>
    <row r="484" spans="2:2" x14ac:dyDescent="0.3">
      <c r="B484" s="1"/>
    </row>
    <row r="485" spans="2:2" x14ac:dyDescent="0.3">
      <c r="B485" s="1"/>
    </row>
    <row r="486" spans="2:2" x14ac:dyDescent="0.3">
      <c r="B486" s="1"/>
    </row>
    <row r="487" spans="2:2" x14ac:dyDescent="0.3">
      <c r="B487" s="1"/>
    </row>
    <row r="488" spans="2:2" x14ac:dyDescent="0.3">
      <c r="B488" s="1"/>
    </row>
    <row r="489" spans="2:2" x14ac:dyDescent="0.3">
      <c r="B489" s="1"/>
    </row>
    <row r="490" spans="2:2" x14ac:dyDescent="0.3">
      <c r="B490" s="1"/>
    </row>
    <row r="491" spans="2:2" x14ac:dyDescent="0.3">
      <c r="B491" s="1"/>
    </row>
    <row r="492" spans="2:2" x14ac:dyDescent="0.3">
      <c r="B492" s="1"/>
    </row>
    <row r="493" spans="2:2" x14ac:dyDescent="0.3">
      <c r="B493" s="1"/>
    </row>
    <row r="494" spans="2:2" x14ac:dyDescent="0.3">
      <c r="B494" s="1"/>
    </row>
    <row r="495" spans="2:2" x14ac:dyDescent="0.3">
      <c r="B495" s="1"/>
    </row>
    <row r="496" spans="2:2" x14ac:dyDescent="0.3">
      <c r="B496" s="1"/>
    </row>
    <row r="497" spans="2:2" x14ac:dyDescent="0.3">
      <c r="B497" s="1"/>
    </row>
    <row r="498" spans="2:2" x14ac:dyDescent="0.3">
      <c r="B498" s="1"/>
    </row>
    <row r="499" spans="2:2" x14ac:dyDescent="0.3">
      <c r="B499" s="1"/>
    </row>
    <row r="500" spans="2:2" x14ac:dyDescent="0.3">
      <c r="B500" s="1"/>
    </row>
    <row r="501" spans="2:2" x14ac:dyDescent="0.3">
      <c r="B501" s="1"/>
    </row>
    <row r="502" spans="2:2" x14ac:dyDescent="0.3">
      <c r="B502" s="1"/>
    </row>
    <row r="503" spans="2:2" x14ac:dyDescent="0.3">
      <c r="B503" s="1"/>
    </row>
    <row r="504" spans="2:2" x14ac:dyDescent="0.3">
      <c r="B504" s="1"/>
    </row>
    <row r="505" spans="2:2" x14ac:dyDescent="0.3">
      <c r="B505" s="1"/>
    </row>
    <row r="506" spans="2:2" x14ac:dyDescent="0.3">
      <c r="B506" s="1"/>
    </row>
    <row r="507" spans="2:2" x14ac:dyDescent="0.3">
      <c r="B507" s="1"/>
    </row>
    <row r="508" spans="2:2" x14ac:dyDescent="0.3">
      <c r="B508" s="1"/>
    </row>
    <row r="509" spans="2:2" x14ac:dyDescent="0.3">
      <c r="B509" s="1"/>
    </row>
    <row r="510" spans="2:2" x14ac:dyDescent="0.3">
      <c r="B510" s="1"/>
    </row>
    <row r="511" spans="2:2" x14ac:dyDescent="0.3">
      <c r="B511" s="1"/>
    </row>
    <row r="512" spans="2:2" x14ac:dyDescent="0.3">
      <c r="B512" s="1"/>
    </row>
    <row r="513" spans="2:2" x14ac:dyDescent="0.3">
      <c r="B513" s="1"/>
    </row>
    <row r="514" spans="2:2" x14ac:dyDescent="0.3">
      <c r="B514" s="1"/>
    </row>
    <row r="515" spans="2:2" x14ac:dyDescent="0.3">
      <c r="B515" s="1"/>
    </row>
    <row r="516" spans="2:2" x14ac:dyDescent="0.3">
      <c r="B516" s="1"/>
    </row>
    <row r="517" spans="2:2" x14ac:dyDescent="0.3">
      <c r="B517" s="1"/>
    </row>
    <row r="518" spans="2:2" x14ac:dyDescent="0.3">
      <c r="B518" s="1"/>
    </row>
    <row r="519" spans="2:2" x14ac:dyDescent="0.3">
      <c r="B519" s="1"/>
    </row>
    <row r="520" spans="2:2" x14ac:dyDescent="0.3">
      <c r="B520" s="1"/>
    </row>
    <row r="521" spans="2:2" x14ac:dyDescent="0.3">
      <c r="B521" s="1"/>
    </row>
    <row r="522" spans="2:2" x14ac:dyDescent="0.3">
      <c r="B522" s="1"/>
    </row>
    <row r="523" spans="2:2" x14ac:dyDescent="0.3">
      <c r="B523" s="1"/>
    </row>
    <row r="524" spans="2:2" x14ac:dyDescent="0.3">
      <c r="B524" s="1"/>
    </row>
    <row r="525" spans="2:2" x14ac:dyDescent="0.3">
      <c r="B525" s="1"/>
    </row>
    <row r="526" spans="2:2" x14ac:dyDescent="0.3">
      <c r="B526" s="1"/>
    </row>
    <row r="527" spans="2:2" x14ac:dyDescent="0.3">
      <c r="B527" s="1"/>
    </row>
    <row r="528" spans="2:2" x14ac:dyDescent="0.3">
      <c r="B528" s="1"/>
    </row>
    <row r="529" spans="2:2" x14ac:dyDescent="0.3">
      <c r="B529" s="1"/>
    </row>
    <row r="530" spans="2:2" x14ac:dyDescent="0.3">
      <c r="B530" s="1"/>
    </row>
    <row r="531" spans="2:2" x14ac:dyDescent="0.3">
      <c r="B531" s="1"/>
    </row>
    <row r="532" spans="2:2" x14ac:dyDescent="0.3">
      <c r="B532" s="1"/>
    </row>
    <row r="533" spans="2:2" x14ac:dyDescent="0.3">
      <c r="B533" s="1"/>
    </row>
    <row r="534" spans="2:2" x14ac:dyDescent="0.3">
      <c r="B534" s="1"/>
    </row>
    <row r="535" spans="2:2" x14ac:dyDescent="0.3">
      <c r="B535" s="1"/>
    </row>
    <row r="536" spans="2:2" x14ac:dyDescent="0.3">
      <c r="B536" s="1"/>
    </row>
    <row r="537" spans="2:2" x14ac:dyDescent="0.3">
      <c r="B537" s="1"/>
    </row>
    <row r="538" spans="2:2" x14ac:dyDescent="0.3">
      <c r="B538" s="1"/>
    </row>
    <row r="539" spans="2:2" x14ac:dyDescent="0.3">
      <c r="B539" s="1"/>
    </row>
    <row r="540" spans="2:2" x14ac:dyDescent="0.3">
      <c r="B540" s="1"/>
    </row>
    <row r="541" spans="2:2" x14ac:dyDescent="0.3">
      <c r="B541" s="1"/>
    </row>
    <row r="542" spans="2:2" x14ac:dyDescent="0.3">
      <c r="B542" s="1"/>
    </row>
    <row r="543" spans="2:2" x14ac:dyDescent="0.3">
      <c r="B543" s="1"/>
    </row>
    <row r="544" spans="2:2" x14ac:dyDescent="0.3">
      <c r="B544" s="1"/>
    </row>
    <row r="545" spans="2:2" x14ac:dyDescent="0.3">
      <c r="B545" s="1"/>
    </row>
    <row r="546" spans="2:2" x14ac:dyDescent="0.3">
      <c r="B546" s="1"/>
    </row>
    <row r="547" spans="2:2" x14ac:dyDescent="0.3">
      <c r="B547" s="1"/>
    </row>
    <row r="548" spans="2:2" x14ac:dyDescent="0.3">
      <c r="B548" s="1"/>
    </row>
    <row r="549" spans="2:2" x14ac:dyDescent="0.3">
      <c r="B549" s="1"/>
    </row>
    <row r="550" spans="2:2" x14ac:dyDescent="0.3">
      <c r="B550" s="1"/>
    </row>
    <row r="551" spans="2:2" x14ac:dyDescent="0.3">
      <c r="B551" s="1"/>
    </row>
    <row r="552" spans="2:2" x14ac:dyDescent="0.3">
      <c r="B552" s="1"/>
    </row>
    <row r="553" spans="2:2" x14ac:dyDescent="0.3">
      <c r="B553" s="1"/>
    </row>
    <row r="554" spans="2:2" x14ac:dyDescent="0.3">
      <c r="B554" s="1"/>
    </row>
    <row r="555" spans="2:2" x14ac:dyDescent="0.3">
      <c r="B555" s="1"/>
    </row>
    <row r="556" spans="2:2" x14ac:dyDescent="0.3">
      <c r="B556" s="1"/>
    </row>
    <row r="557" spans="2:2" x14ac:dyDescent="0.3">
      <c r="B557" s="1"/>
    </row>
    <row r="558" spans="2:2" x14ac:dyDescent="0.3">
      <c r="B558" s="1"/>
    </row>
    <row r="559" spans="2:2" x14ac:dyDescent="0.3">
      <c r="B559" s="1"/>
    </row>
    <row r="560" spans="2:2" x14ac:dyDescent="0.3">
      <c r="B560" s="1"/>
    </row>
    <row r="561" spans="2:2" x14ac:dyDescent="0.3">
      <c r="B561" s="1"/>
    </row>
    <row r="562" spans="2:2" x14ac:dyDescent="0.3">
      <c r="B562" s="1"/>
    </row>
    <row r="563" spans="2:2" x14ac:dyDescent="0.3">
      <c r="B563" s="1"/>
    </row>
    <row r="564" spans="2:2" x14ac:dyDescent="0.3">
      <c r="B564" s="1"/>
    </row>
    <row r="565" spans="2:2" x14ac:dyDescent="0.3">
      <c r="B565" s="1"/>
    </row>
    <row r="566" spans="2:2" x14ac:dyDescent="0.3">
      <c r="B566" s="1"/>
    </row>
    <row r="567" spans="2:2" x14ac:dyDescent="0.3">
      <c r="B567" s="1"/>
    </row>
    <row r="568" spans="2:2" x14ac:dyDescent="0.3">
      <c r="B568" s="1"/>
    </row>
    <row r="569" spans="2:2" x14ac:dyDescent="0.3">
      <c r="B569" s="1"/>
    </row>
    <row r="570" spans="2:2" x14ac:dyDescent="0.3">
      <c r="B570" s="1"/>
    </row>
    <row r="571" spans="2:2" x14ac:dyDescent="0.3">
      <c r="B571" s="1"/>
    </row>
    <row r="572" spans="2:2" x14ac:dyDescent="0.3">
      <c r="B572" s="1"/>
    </row>
    <row r="573" spans="2:2" x14ac:dyDescent="0.3">
      <c r="B573" s="1"/>
    </row>
    <row r="574" spans="2:2" x14ac:dyDescent="0.3">
      <c r="B574" s="1"/>
    </row>
    <row r="575" spans="2:2" x14ac:dyDescent="0.3">
      <c r="B575" s="1"/>
    </row>
    <row r="576" spans="2:2" x14ac:dyDescent="0.3">
      <c r="B576" s="1"/>
    </row>
    <row r="577" spans="2:2" x14ac:dyDescent="0.3">
      <c r="B577" s="1"/>
    </row>
    <row r="578" spans="2:2" x14ac:dyDescent="0.3">
      <c r="B578" s="1"/>
    </row>
    <row r="579" spans="2:2" x14ac:dyDescent="0.3">
      <c r="B579" s="1"/>
    </row>
    <row r="580" spans="2:2" x14ac:dyDescent="0.3">
      <c r="B580" s="1"/>
    </row>
    <row r="581" spans="2:2" x14ac:dyDescent="0.3">
      <c r="B581" s="1"/>
    </row>
    <row r="582" spans="2:2" x14ac:dyDescent="0.3">
      <c r="B582" s="1"/>
    </row>
    <row r="583" spans="2:2" x14ac:dyDescent="0.3">
      <c r="B583" s="1"/>
    </row>
    <row r="584" spans="2:2" x14ac:dyDescent="0.3">
      <c r="B584" s="1"/>
    </row>
    <row r="585" spans="2:2" x14ac:dyDescent="0.3">
      <c r="B585" s="1"/>
    </row>
    <row r="586" spans="2:2" x14ac:dyDescent="0.3">
      <c r="B586" s="1"/>
    </row>
    <row r="587" spans="2:2" x14ac:dyDescent="0.3">
      <c r="B587" s="1"/>
    </row>
    <row r="588" spans="2:2" x14ac:dyDescent="0.3">
      <c r="B588" s="1"/>
    </row>
    <row r="589" spans="2:2" x14ac:dyDescent="0.3">
      <c r="B589" s="1"/>
    </row>
    <row r="590" spans="2:2" x14ac:dyDescent="0.3">
      <c r="B590" s="1"/>
    </row>
    <row r="591" spans="2:2" x14ac:dyDescent="0.3">
      <c r="B591" s="1"/>
    </row>
    <row r="592" spans="2:2" x14ac:dyDescent="0.3">
      <c r="B592" s="1"/>
    </row>
    <row r="593" spans="2:2" x14ac:dyDescent="0.3">
      <c r="B593" s="1"/>
    </row>
    <row r="594" spans="2:2" x14ac:dyDescent="0.3">
      <c r="B594" s="1"/>
    </row>
    <row r="595" spans="2:2" x14ac:dyDescent="0.3">
      <c r="B595" s="1"/>
    </row>
    <row r="596" spans="2:2" x14ac:dyDescent="0.3">
      <c r="B596" s="1"/>
    </row>
    <row r="597" spans="2:2" x14ac:dyDescent="0.3">
      <c r="B597" s="1"/>
    </row>
    <row r="598" spans="2:2" x14ac:dyDescent="0.3">
      <c r="B598" s="1"/>
    </row>
    <row r="599" spans="2:2" x14ac:dyDescent="0.3">
      <c r="B599" s="1"/>
    </row>
    <row r="600" spans="2:2" x14ac:dyDescent="0.3">
      <c r="B600" s="1"/>
    </row>
    <row r="601" spans="2:2" x14ac:dyDescent="0.3">
      <c r="B601" s="1"/>
    </row>
    <row r="602" spans="2:2" x14ac:dyDescent="0.3">
      <c r="B602" s="1"/>
    </row>
    <row r="603" spans="2:2" x14ac:dyDescent="0.3">
      <c r="B603" s="1"/>
    </row>
    <row r="604" spans="2:2" x14ac:dyDescent="0.3">
      <c r="B604" s="1"/>
    </row>
    <row r="605" spans="2:2" x14ac:dyDescent="0.3">
      <c r="B605" s="1"/>
    </row>
    <row r="606" spans="2:2" x14ac:dyDescent="0.3">
      <c r="B606" s="1"/>
    </row>
    <row r="607" spans="2:2" x14ac:dyDescent="0.3">
      <c r="B607" s="1"/>
    </row>
    <row r="608" spans="2:2" x14ac:dyDescent="0.3">
      <c r="B608" s="1"/>
    </row>
    <row r="609" spans="2:2" x14ac:dyDescent="0.3">
      <c r="B609" s="1"/>
    </row>
    <row r="610" spans="2:2" x14ac:dyDescent="0.3">
      <c r="B610" s="1"/>
    </row>
    <row r="611" spans="2:2" x14ac:dyDescent="0.3">
      <c r="B611" s="1"/>
    </row>
    <row r="612" spans="2:2" x14ac:dyDescent="0.3">
      <c r="B612" s="1"/>
    </row>
    <row r="613" spans="2:2" x14ac:dyDescent="0.3">
      <c r="B613" s="1"/>
    </row>
    <row r="614" spans="2:2" x14ac:dyDescent="0.3">
      <c r="B614" s="1"/>
    </row>
    <row r="615" spans="2:2" x14ac:dyDescent="0.3">
      <c r="B615" s="1"/>
    </row>
    <row r="616" spans="2:2" x14ac:dyDescent="0.3">
      <c r="B616" s="1"/>
    </row>
    <row r="617" spans="2:2" x14ac:dyDescent="0.3">
      <c r="B617" s="1"/>
    </row>
    <row r="618" spans="2:2" x14ac:dyDescent="0.3">
      <c r="B618" s="1"/>
    </row>
    <row r="619" spans="2:2" x14ac:dyDescent="0.3">
      <c r="B619" s="1"/>
    </row>
    <row r="620" spans="2:2" x14ac:dyDescent="0.3">
      <c r="B620" s="1"/>
    </row>
    <row r="621" spans="2:2" x14ac:dyDescent="0.3">
      <c r="B621" s="1"/>
    </row>
    <row r="622" spans="2:2" x14ac:dyDescent="0.3">
      <c r="B622" s="1"/>
    </row>
    <row r="623" spans="2:2" x14ac:dyDescent="0.3">
      <c r="B623" s="1"/>
    </row>
    <row r="624" spans="2:2" x14ac:dyDescent="0.3">
      <c r="B624" s="1"/>
    </row>
    <row r="625" spans="2:2" x14ac:dyDescent="0.3">
      <c r="B625" s="1"/>
    </row>
    <row r="626" spans="2:2" x14ac:dyDescent="0.3">
      <c r="B626" s="1"/>
    </row>
    <row r="627" spans="2:2" x14ac:dyDescent="0.3">
      <c r="B627" s="1"/>
    </row>
    <row r="628" spans="2:2" x14ac:dyDescent="0.3">
      <c r="B628" s="1"/>
    </row>
    <row r="629" spans="2:2" x14ac:dyDescent="0.3">
      <c r="B629" s="1"/>
    </row>
    <row r="630" spans="2:2" x14ac:dyDescent="0.3">
      <c r="B630" s="1"/>
    </row>
    <row r="631" spans="2:2" x14ac:dyDescent="0.3">
      <c r="B631" s="1"/>
    </row>
    <row r="632" spans="2:2" x14ac:dyDescent="0.3">
      <c r="B632" s="1"/>
    </row>
    <row r="633" spans="2:2" x14ac:dyDescent="0.3">
      <c r="B633" s="1"/>
    </row>
    <row r="634" spans="2:2" x14ac:dyDescent="0.3">
      <c r="B634" s="1"/>
    </row>
    <row r="635" spans="2:2" x14ac:dyDescent="0.3">
      <c r="B635" s="1"/>
    </row>
    <row r="636" spans="2:2" x14ac:dyDescent="0.3">
      <c r="B636" s="1"/>
    </row>
    <row r="637" spans="2:2" x14ac:dyDescent="0.3">
      <c r="B637" s="1"/>
    </row>
    <row r="638" spans="2:2" x14ac:dyDescent="0.3">
      <c r="B638" s="1"/>
    </row>
    <row r="639" spans="2:2" x14ac:dyDescent="0.3">
      <c r="B639" s="1"/>
    </row>
    <row r="640" spans="2:2" x14ac:dyDescent="0.3">
      <c r="B640" s="1"/>
    </row>
    <row r="641" spans="2:2" x14ac:dyDescent="0.3">
      <c r="B641" s="1"/>
    </row>
    <row r="642" spans="2:2" x14ac:dyDescent="0.3">
      <c r="B642" s="1"/>
    </row>
    <row r="643" spans="2:2" x14ac:dyDescent="0.3">
      <c r="B643" s="1"/>
    </row>
    <row r="644" spans="2:2" x14ac:dyDescent="0.3">
      <c r="B644" s="1"/>
    </row>
    <row r="645" spans="2:2" x14ac:dyDescent="0.3">
      <c r="B645" s="1"/>
    </row>
    <row r="646" spans="2:2" x14ac:dyDescent="0.3">
      <c r="B646" s="1"/>
    </row>
    <row r="647" spans="2:2" x14ac:dyDescent="0.3">
      <c r="B647" s="1"/>
    </row>
    <row r="648" spans="2:2" x14ac:dyDescent="0.3">
      <c r="B648" s="1"/>
    </row>
    <row r="649" spans="2:2" x14ac:dyDescent="0.3">
      <c r="B649" s="1"/>
    </row>
    <row r="650" spans="2:2" x14ac:dyDescent="0.3">
      <c r="B650" s="1"/>
    </row>
    <row r="651" spans="2:2" x14ac:dyDescent="0.3">
      <c r="B651" s="1"/>
    </row>
    <row r="652" spans="2:2" x14ac:dyDescent="0.3">
      <c r="B652" s="1"/>
    </row>
    <row r="653" spans="2:2" x14ac:dyDescent="0.3">
      <c r="B653" s="1"/>
    </row>
    <row r="654" spans="2:2" x14ac:dyDescent="0.3">
      <c r="B654" s="1"/>
    </row>
    <row r="655" spans="2:2" x14ac:dyDescent="0.3">
      <c r="B655" s="1"/>
    </row>
    <row r="656" spans="2:2" x14ac:dyDescent="0.3">
      <c r="B656" s="1"/>
    </row>
    <row r="657" spans="2:2" x14ac:dyDescent="0.3">
      <c r="B657" s="1"/>
    </row>
    <row r="658" spans="2:2" x14ac:dyDescent="0.3">
      <c r="B658" s="1"/>
    </row>
    <row r="659" spans="2:2" x14ac:dyDescent="0.3">
      <c r="B659" s="1"/>
    </row>
    <row r="660" spans="2:2" x14ac:dyDescent="0.3">
      <c r="B660" s="1"/>
    </row>
    <row r="661" spans="2:2" x14ac:dyDescent="0.3">
      <c r="B661" s="1"/>
    </row>
    <row r="662" spans="2:2" x14ac:dyDescent="0.3">
      <c r="B662" s="1"/>
    </row>
    <row r="663" spans="2:2" x14ac:dyDescent="0.3">
      <c r="B663" s="1"/>
    </row>
    <row r="664" spans="2:2" x14ac:dyDescent="0.3">
      <c r="B664" s="1"/>
    </row>
    <row r="665" spans="2:2" x14ac:dyDescent="0.3">
      <c r="B665" s="1"/>
    </row>
    <row r="666" spans="2:2" x14ac:dyDescent="0.3">
      <c r="B666" s="1"/>
    </row>
    <row r="667" spans="2:2" x14ac:dyDescent="0.3">
      <c r="B667" s="1"/>
    </row>
    <row r="668" spans="2:2" x14ac:dyDescent="0.3">
      <c r="B668" s="1"/>
    </row>
    <row r="669" spans="2:2" x14ac:dyDescent="0.3">
      <c r="B669" s="1"/>
    </row>
    <row r="670" spans="2:2" x14ac:dyDescent="0.3">
      <c r="B670" s="1"/>
    </row>
    <row r="671" spans="2:2" x14ac:dyDescent="0.3">
      <c r="B671" s="1"/>
    </row>
    <row r="672" spans="2:2" x14ac:dyDescent="0.3">
      <c r="B672" s="1"/>
    </row>
    <row r="673" spans="2:2" x14ac:dyDescent="0.3">
      <c r="B673" s="1"/>
    </row>
    <row r="674" spans="2:2" x14ac:dyDescent="0.3">
      <c r="B674" s="1"/>
    </row>
    <row r="675" spans="2:2" x14ac:dyDescent="0.3">
      <c r="B675" s="1"/>
    </row>
    <row r="676" spans="2:2" x14ac:dyDescent="0.3">
      <c r="B676" s="1"/>
    </row>
    <row r="677" spans="2:2" x14ac:dyDescent="0.3">
      <c r="B677" s="1"/>
    </row>
    <row r="678" spans="2:2" x14ac:dyDescent="0.3">
      <c r="B678" s="1"/>
    </row>
    <row r="679" spans="2:2" x14ac:dyDescent="0.3">
      <c r="B679" s="1"/>
    </row>
    <row r="680" spans="2:2" x14ac:dyDescent="0.3">
      <c r="B680" s="1"/>
    </row>
    <row r="681" spans="2:2" x14ac:dyDescent="0.3">
      <c r="B681" s="1"/>
    </row>
    <row r="682" spans="2:2" x14ac:dyDescent="0.3">
      <c r="B682" s="1"/>
    </row>
    <row r="683" spans="2:2" x14ac:dyDescent="0.3">
      <c r="B683" s="1"/>
    </row>
    <row r="684" spans="2:2" x14ac:dyDescent="0.3">
      <c r="B684" s="1"/>
    </row>
    <row r="685" spans="2:2" x14ac:dyDescent="0.3">
      <c r="B685" s="1"/>
    </row>
    <row r="686" spans="2:2" x14ac:dyDescent="0.3">
      <c r="B686" s="1"/>
    </row>
    <row r="687" spans="2:2" x14ac:dyDescent="0.3">
      <c r="B687" s="1"/>
    </row>
    <row r="688" spans="2:2" x14ac:dyDescent="0.3">
      <c r="B688" s="1"/>
    </row>
    <row r="689" spans="2:2" x14ac:dyDescent="0.3">
      <c r="B689" s="1"/>
    </row>
    <row r="690" spans="2:2" x14ac:dyDescent="0.3">
      <c r="B690" s="1"/>
    </row>
    <row r="691" spans="2:2" x14ac:dyDescent="0.3">
      <c r="B691" s="1"/>
    </row>
    <row r="692" spans="2:2" x14ac:dyDescent="0.3">
      <c r="B692" s="1"/>
    </row>
    <row r="693" spans="2:2" x14ac:dyDescent="0.3">
      <c r="B693" s="1"/>
    </row>
    <row r="694" spans="2:2" x14ac:dyDescent="0.3">
      <c r="B694" s="1"/>
    </row>
    <row r="695" spans="2:2" x14ac:dyDescent="0.3">
      <c r="B695" s="1"/>
    </row>
    <row r="696" spans="2:2" x14ac:dyDescent="0.3">
      <c r="B696" s="1"/>
    </row>
    <row r="697" spans="2:2" x14ac:dyDescent="0.3">
      <c r="B697" s="1"/>
    </row>
    <row r="698" spans="2:2" x14ac:dyDescent="0.3">
      <c r="B698" s="1"/>
    </row>
    <row r="699" spans="2:2" x14ac:dyDescent="0.3">
      <c r="B699" s="1"/>
    </row>
    <row r="700" spans="2:2" x14ac:dyDescent="0.3">
      <c r="B700" s="1"/>
    </row>
    <row r="701" spans="2:2" x14ac:dyDescent="0.3">
      <c r="B701" s="1"/>
    </row>
    <row r="702" spans="2:2" x14ac:dyDescent="0.3">
      <c r="B702" s="1"/>
    </row>
    <row r="703" spans="2:2" x14ac:dyDescent="0.3">
      <c r="B703" s="1"/>
    </row>
    <row r="704" spans="2:2" x14ac:dyDescent="0.3">
      <c r="B704" s="1"/>
    </row>
    <row r="705" spans="2:2" x14ac:dyDescent="0.3">
      <c r="B705" s="1"/>
    </row>
    <row r="706" spans="2:2" x14ac:dyDescent="0.3">
      <c r="B706" s="1"/>
    </row>
    <row r="707" spans="2:2" x14ac:dyDescent="0.3">
      <c r="B707" s="1"/>
    </row>
    <row r="708" spans="2:2" x14ac:dyDescent="0.3">
      <c r="B708" s="1"/>
    </row>
    <row r="709" spans="2:2" x14ac:dyDescent="0.3">
      <c r="B709" s="1"/>
    </row>
    <row r="710" spans="2:2" x14ac:dyDescent="0.3">
      <c r="B710" s="1"/>
    </row>
    <row r="711" spans="2:2" x14ac:dyDescent="0.3">
      <c r="B711" s="1"/>
    </row>
    <row r="712" spans="2:2" x14ac:dyDescent="0.3">
      <c r="B712" s="1"/>
    </row>
    <row r="713" spans="2:2" x14ac:dyDescent="0.3">
      <c r="B713" s="1"/>
    </row>
    <row r="714" spans="2:2" x14ac:dyDescent="0.3">
      <c r="B714" s="1"/>
    </row>
    <row r="715" spans="2:2" x14ac:dyDescent="0.3">
      <c r="B715" s="1"/>
    </row>
    <row r="716" spans="2:2" x14ac:dyDescent="0.3">
      <c r="B716" s="1"/>
    </row>
    <row r="717" spans="2:2" x14ac:dyDescent="0.3">
      <c r="B717" s="1"/>
    </row>
    <row r="718" spans="2:2" x14ac:dyDescent="0.3">
      <c r="B718" s="1"/>
    </row>
    <row r="719" spans="2:2" x14ac:dyDescent="0.3">
      <c r="B719" s="1"/>
    </row>
    <row r="720" spans="2:2" x14ac:dyDescent="0.3">
      <c r="B720" s="1"/>
    </row>
    <row r="721" spans="2:2" x14ac:dyDescent="0.3">
      <c r="B721" s="1"/>
    </row>
    <row r="722" spans="2:2" x14ac:dyDescent="0.3">
      <c r="B722" s="1"/>
    </row>
    <row r="723" spans="2:2" x14ac:dyDescent="0.3">
      <c r="B723" s="1"/>
    </row>
    <row r="724" spans="2:2" x14ac:dyDescent="0.3">
      <c r="B724" s="1"/>
    </row>
    <row r="725" spans="2:2" x14ac:dyDescent="0.3">
      <c r="B725" s="1"/>
    </row>
    <row r="726" spans="2:2" x14ac:dyDescent="0.3">
      <c r="B726" s="1"/>
    </row>
    <row r="727" spans="2:2" x14ac:dyDescent="0.3">
      <c r="B727" s="1"/>
    </row>
    <row r="728" spans="2:2" x14ac:dyDescent="0.3">
      <c r="B728" s="1"/>
    </row>
    <row r="729" spans="2:2" x14ac:dyDescent="0.3">
      <c r="B729" s="1"/>
    </row>
    <row r="730" spans="2:2" x14ac:dyDescent="0.3">
      <c r="B730" s="1"/>
    </row>
    <row r="731" spans="2:2" x14ac:dyDescent="0.3">
      <c r="B731" s="1"/>
    </row>
    <row r="732" spans="2:2" x14ac:dyDescent="0.3">
      <c r="B732" s="1"/>
    </row>
    <row r="733" spans="2:2" x14ac:dyDescent="0.3">
      <c r="B733" s="1"/>
    </row>
    <row r="734" spans="2:2" x14ac:dyDescent="0.3">
      <c r="B734" s="1"/>
    </row>
    <row r="735" spans="2:2" x14ac:dyDescent="0.3">
      <c r="B735" s="1"/>
    </row>
    <row r="736" spans="2:2" x14ac:dyDescent="0.3">
      <c r="B736" s="1"/>
    </row>
    <row r="737" spans="2:2" x14ac:dyDescent="0.3">
      <c r="B737" s="1"/>
    </row>
    <row r="738" spans="2:2" x14ac:dyDescent="0.3">
      <c r="B738" s="1"/>
    </row>
    <row r="739" spans="2:2" x14ac:dyDescent="0.3">
      <c r="B739" s="1"/>
    </row>
    <row r="740" spans="2:2" x14ac:dyDescent="0.3">
      <c r="B740" s="1"/>
    </row>
    <row r="741" spans="2:2" x14ac:dyDescent="0.3">
      <c r="B741" s="1"/>
    </row>
    <row r="742" spans="2:2" x14ac:dyDescent="0.3">
      <c r="B742" s="1"/>
    </row>
    <row r="743" spans="2:2" x14ac:dyDescent="0.3">
      <c r="B743" s="1"/>
    </row>
    <row r="744" spans="2:2" x14ac:dyDescent="0.3">
      <c r="B744" s="1"/>
    </row>
    <row r="745" spans="2:2" x14ac:dyDescent="0.3">
      <c r="B745" s="1"/>
    </row>
    <row r="746" spans="2:2" x14ac:dyDescent="0.3">
      <c r="B746" s="1"/>
    </row>
    <row r="747" spans="2:2" x14ac:dyDescent="0.3">
      <c r="B747" s="1"/>
    </row>
    <row r="748" spans="2:2" x14ac:dyDescent="0.3">
      <c r="B748" s="1"/>
    </row>
    <row r="749" spans="2:2" x14ac:dyDescent="0.3">
      <c r="B749" s="1"/>
    </row>
    <row r="750" spans="2:2" x14ac:dyDescent="0.3">
      <c r="B750" s="1"/>
    </row>
    <row r="751" spans="2:2" x14ac:dyDescent="0.3">
      <c r="B751" s="1"/>
    </row>
    <row r="752" spans="2:2" x14ac:dyDescent="0.3">
      <c r="B752" s="1"/>
    </row>
    <row r="753" spans="2:2" x14ac:dyDescent="0.3">
      <c r="B753" s="1"/>
    </row>
    <row r="754" spans="2:2" x14ac:dyDescent="0.3">
      <c r="B754" s="1"/>
    </row>
    <row r="755" spans="2:2" x14ac:dyDescent="0.3">
      <c r="B755" s="1"/>
    </row>
    <row r="756" spans="2:2" x14ac:dyDescent="0.3">
      <c r="B756" s="1"/>
    </row>
    <row r="757" spans="2:2" x14ac:dyDescent="0.3">
      <c r="B757" s="1"/>
    </row>
    <row r="758" spans="2:2" x14ac:dyDescent="0.3">
      <c r="B758" s="1"/>
    </row>
    <row r="759" spans="2:2" x14ac:dyDescent="0.3">
      <c r="B759" s="1"/>
    </row>
    <row r="760" spans="2:2" x14ac:dyDescent="0.3">
      <c r="B760" s="1"/>
    </row>
    <row r="761" spans="2:2" x14ac:dyDescent="0.3">
      <c r="B761" s="1"/>
    </row>
    <row r="762" spans="2:2" x14ac:dyDescent="0.3">
      <c r="B762" s="1"/>
    </row>
    <row r="763" spans="2:2" x14ac:dyDescent="0.3">
      <c r="B763" s="1"/>
    </row>
    <row r="764" spans="2:2" x14ac:dyDescent="0.3">
      <c r="B764" s="1"/>
    </row>
    <row r="765" spans="2:2" x14ac:dyDescent="0.3">
      <c r="B765" s="1"/>
    </row>
    <row r="766" spans="2:2" x14ac:dyDescent="0.3">
      <c r="B766" s="1"/>
    </row>
    <row r="767" spans="2:2" x14ac:dyDescent="0.3">
      <c r="B767" s="1"/>
    </row>
    <row r="768" spans="2:2" x14ac:dyDescent="0.3">
      <c r="B768" s="1"/>
    </row>
    <row r="769" spans="2:2" x14ac:dyDescent="0.3">
      <c r="B769" s="1"/>
    </row>
    <row r="770" spans="2:2" x14ac:dyDescent="0.3">
      <c r="B770" s="1"/>
    </row>
    <row r="771" spans="2:2" x14ac:dyDescent="0.3">
      <c r="B771" s="1"/>
    </row>
    <row r="772" spans="2:2" x14ac:dyDescent="0.3">
      <c r="B772" s="1"/>
    </row>
    <row r="773" spans="2:2" x14ac:dyDescent="0.3">
      <c r="B773" s="1"/>
    </row>
    <row r="774" spans="2:2" x14ac:dyDescent="0.3">
      <c r="B774" s="1"/>
    </row>
    <row r="775" spans="2:2" x14ac:dyDescent="0.3">
      <c r="B775" s="1"/>
    </row>
    <row r="776" spans="2:2" x14ac:dyDescent="0.3">
      <c r="B776" s="1"/>
    </row>
    <row r="777" spans="2:2" x14ac:dyDescent="0.3">
      <c r="B777" s="1"/>
    </row>
    <row r="778" spans="2:2" x14ac:dyDescent="0.3">
      <c r="B778" s="1"/>
    </row>
    <row r="779" spans="2:2" x14ac:dyDescent="0.3">
      <c r="B779" s="1"/>
    </row>
    <row r="780" spans="2:2" x14ac:dyDescent="0.3">
      <c r="B780" s="1"/>
    </row>
    <row r="781" spans="2:2" x14ac:dyDescent="0.3">
      <c r="B781" s="1"/>
    </row>
    <row r="782" spans="2:2" x14ac:dyDescent="0.3">
      <c r="B782" s="1"/>
    </row>
    <row r="783" spans="2:2" x14ac:dyDescent="0.3">
      <c r="B783" s="1"/>
    </row>
    <row r="784" spans="2:2" x14ac:dyDescent="0.3">
      <c r="B784" s="1"/>
    </row>
    <row r="785" spans="2:2" x14ac:dyDescent="0.3">
      <c r="B785" s="1"/>
    </row>
    <row r="786" spans="2:2" x14ac:dyDescent="0.3">
      <c r="B786" s="1"/>
    </row>
    <row r="787" spans="2:2" x14ac:dyDescent="0.3">
      <c r="B787" s="1"/>
    </row>
    <row r="788" spans="2:2" x14ac:dyDescent="0.3">
      <c r="B788" s="1"/>
    </row>
    <row r="789" spans="2:2" x14ac:dyDescent="0.3">
      <c r="B789" s="1"/>
    </row>
    <row r="790" spans="2:2" x14ac:dyDescent="0.3">
      <c r="B790" s="1"/>
    </row>
    <row r="791" spans="2:2" x14ac:dyDescent="0.3">
      <c r="B791" s="1"/>
    </row>
    <row r="792" spans="2:2" x14ac:dyDescent="0.3">
      <c r="B792" s="1"/>
    </row>
    <row r="793" spans="2:2" x14ac:dyDescent="0.3">
      <c r="B793" s="1"/>
    </row>
    <row r="794" spans="2:2" x14ac:dyDescent="0.3">
      <c r="B794" s="1"/>
    </row>
    <row r="795" spans="2:2" x14ac:dyDescent="0.3">
      <c r="B795" s="1"/>
    </row>
    <row r="796" spans="2:2" x14ac:dyDescent="0.3">
      <c r="B796" s="1"/>
    </row>
    <row r="797" spans="2:2" x14ac:dyDescent="0.3">
      <c r="B797" s="1"/>
    </row>
    <row r="798" spans="2:2" x14ac:dyDescent="0.3">
      <c r="B798" s="1"/>
    </row>
    <row r="799" spans="2:2" x14ac:dyDescent="0.3">
      <c r="B799" s="1"/>
    </row>
    <row r="800" spans="2:2" x14ac:dyDescent="0.3">
      <c r="B800" s="1"/>
    </row>
    <row r="801" spans="2:2" x14ac:dyDescent="0.3">
      <c r="B801" s="1"/>
    </row>
    <row r="802" spans="2:2" x14ac:dyDescent="0.3">
      <c r="B802" s="1"/>
    </row>
    <row r="803" spans="2:2" x14ac:dyDescent="0.3">
      <c r="B803" s="1"/>
    </row>
    <row r="804" spans="2:2" x14ac:dyDescent="0.3">
      <c r="B804" s="1"/>
    </row>
    <row r="805" spans="2:2" x14ac:dyDescent="0.3">
      <c r="B805" s="1"/>
    </row>
    <row r="806" spans="2:2" x14ac:dyDescent="0.3">
      <c r="B806" s="1"/>
    </row>
    <row r="807" spans="2:2" x14ac:dyDescent="0.3">
      <c r="B807" s="1"/>
    </row>
    <row r="808" spans="2:2" x14ac:dyDescent="0.3">
      <c r="B808" s="1"/>
    </row>
    <row r="809" spans="2:2" x14ac:dyDescent="0.3">
      <c r="B809" s="1"/>
    </row>
    <row r="810" spans="2:2" x14ac:dyDescent="0.3">
      <c r="B810" s="1"/>
    </row>
    <row r="811" spans="2:2" x14ac:dyDescent="0.3">
      <c r="B811" s="1"/>
    </row>
    <row r="812" spans="2:2" x14ac:dyDescent="0.3">
      <c r="B812" s="1"/>
    </row>
    <row r="813" spans="2:2" x14ac:dyDescent="0.3">
      <c r="B813" s="1"/>
    </row>
    <row r="814" spans="2:2" x14ac:dyDescent="0.3">
      <c r="B814" s="1"/>
    </row>
    <row r="815" spans="2:2" x14ac:dyDescent="0.3">
      <c r="B815" s="1"/>
    </row>
    <row r="816" spans="2:2" x14ac:dyDescent="0.3">
      <c r="B816" s="1"/>
    </row>
    <row r="817" spans="2:2" x14ac:dyDescent="0.3">
      <c r="B817" s="1"/>
    </row>
    <row r="818" spans="2:2" x14ac:dyDescent="0.3">
      <c r="B818" s="1"/>
    </row>
    <row r="819" spans="2:2" x14ac:dyDescent="0.3">
      <c r="B819" s="1"/>
    </row>
    <row r="820" spans="2:2" x14ac:dyDescent="0.3">
      <c r="B820" s="1"/>
    </row>
    <row r="821" spans="2:2" x14ac:dyDescent="0.3">
      <c r="B821" s="1"/>
    </row>
    <row r="822" spans="2:2" x14ac:dyDescent="0.3">
      <c r="B822" s="1"/>
    </row>
    <row r="823" spans="2:2" x14ac:dyDescent="0.3">
      <c r="B823" s="1"/>
    </row>
    <row r="824" spans="2:2" x14ac:dyDescent="0.3">
      <c r="B824" s="1"/>
    </row>
    <row r="825" spans="2:2" x14ac:dyDescent="0.3">
      <c r="B825" s="1"/>
    </row>
    <row r="826" spans="2:2" x14ac:dyDescent="0.3">
      <c r="B826" s="1"/>
    </row>
    <row r="827" spans="2:2" x14ac:dyDescent="0.3">
      <c r="B827" s="1"/>
    </row>
    <row r="828" spans="2:2" x14ac:dyDescent="0.3">
      <c r="B828" s="1"/>
    </row>
    <row r="829" spans="2:2" x14ac:dyDescent="0.3">
      <c r="B829" s="1"/>
    </row>
    <row r="830" spans="2:2" x14ac:dyDescent="0.3">
      <c r="B830" s="1"/>
    </row>
    <row r="831" spans="2:2" x14ac:dyDescent="0.3">
      <c r="B831" s="1"/>
    </row>
    <row r="832" spans="2:2" x14ac:dyDescent="0.3">
      <c r="B832" s="1"/>
    </row>
    <row r="833" spans="2:2" x14ac:dyDescent="0.3">
      <c r="B833" s="1"/>
    </row>
    <row r="834" spans="2:2" x14ac:dyDescent="0.3">
      <c r="B834" s="1"/>
    </row>
    <row r="835" spans="2:2" x14ac:dyDescent="0.3">
      <c r="B835" s="1"/>
    </row>
    <row r="836" spans="2:2" x14ac:dyDescent="0.3">
      <c r="B836" s="1"/>
    </row>
    <row r="837" spans="2:2" x14ac:dyDescent="0.3">
      <c r="B837" s="1"/>
    </row>
    <row r="838" spans="2:2" x14ac:dyDescent="0.3">
      <c r="B838" s="1"/>
    </row>
    <row r="839" spans="2:2" x14ac:dyDescent="0.3">
      <c r="B839" s="1"/>
    </row>
    <row r="840" spans="2:2" x14ac:dyDescent="0.3">
      <c r="B840" s="1"/>
    </row>
    <row r="841" spans="2:2" x14ac:dyDescent="0.3">
      <c r="B841" s="1"/>
    </row>
    <row r="842" spans="2:2" x14ac:dyDescent="0.3">
      <c r="B842" s="1"/>
    </row>
    <row r="843" spans="2:2" x14ac:dyDescent="0.3">
      <c r="B843" s="1"/>
    </row>
    <row r="844" spans="2:2" x14ac:dyDescent="0.3">
      <c r="B844" s="1"/>
    </row>
    <row r="845" spans="2:2" x14ac:dyDescent="0.3">
      <c r="B845" s="1"/>
    </row>
    <row r="846" spans="2:2" x14ac:dyDescent="0.3">
      <c r="B846" s="1"/>
    </row>
    <row r="847" spans="2:2" x14ac:dyDescent="0.3">
      <c r="B847" s="1"/>
    </row>
    <row r="848" spans="2:2" x14ac:dyDescent="0.3">
      <c r="B848" s="1"/>
    </row>
    <row r="849" spans="2:2" x14ac:dyDescent="0.3">
      <c r="B849" s="1"/>
    </row>
    <row r="850" spans="2:2" x14ac:dyDescent="0.3">
      <c r="B850" s="1"/>
    </row>
    <row r="851" spans="2:2" x14ac:dyDescent="0.3">
      <c r="B851" s="1"/>
    </row>
    <row r="852" spans="2:2" x14ac:dyDescent="0.3">
      <c r="B852" s="1"/>
    </row>
    <row r="853" spans="2:2" x14ac:dyDescent="0.3">
      <c r="B853" s="1"/>
    </row>
    <row r="854" spans="2:2" x14ac:dyDescent="0.3">
      <c r="B854" s="1"/>
    </row>
    <row r="855" spans="2:2" x14ac:dyDescent="0.3">
      <c r="B855" s="1"/>
    </row>
    <row r="856" spans="2:2" x14ac:dyDescent="0.3">
      <c r="B856" s="1"/>
    </row>
    <row r="857" spans="2:2" x14ac:dyDescent="0.3">
      <c r="B857" s="1"/>
    </row>
    <row r="858" spans="2:2" x14ac:dyDescent="0.3">
      <c r="B858" s="1"/>
    </row>
    <row r="859" spans="2:2" x14ac:dyDescent="0.3">
      <c r="B859" s="1"/>
    </row>
    <row r="860" spans="2:2" x14ac:dyDescent="0.3">
      <c r="B860" s="1"/>
    </row>
    <row r="861" spans="2:2" x14ac:dyDescent="0.3">
      <c r="B861" s="1"/>
    </row>
    <row r="862" spans="2:2" x14ac:dyDescent="0.3">
      <c r="B862" s="1"/>
    </row>
    <row r="863" spans="2:2" x14ac:dyDescent="0.3">
      <c r="B863" s="1"/>
    </row>
    <row r="864" spans="2:2" x14ac:dyDescent="0.3">
      <c r="B864" s="1"/>
    </row>
    <row r="865" spans="2:2" x14ac:dyDescent="0.3">
      <c r="B865" s="1"/>
    </row>
    <row r="866" spans="2:2" x14ac:dyDescent="0.3">
      <c r="B866" s="1"/>
    </row>
    <row r="867" spans="2:2" x14ac:dyDescent="0.3">
      <c r="B867" s="1"/>
    </row>
    <row r="868" spans="2:2" x14ac:dyDescent="0.3">
      <c r="B868" s="1"/>
    </row>
    <row r="869" spans="2:2" x14ac:dyDescent="0.3">
      <c r="B869" s="1"/>
    </row>
    <row r="870" spans="2:2" x14ac:dyDescent="0.3">
      <c r="B870" s="1"/>
    </row>
    <row r="871" spans="2:2" x14ac:dyDescent="0.3">
      <c r="B871" s="1"/>
    </row>
    <row r="872" spans="2:2" x14ac:dyDescent="0.3">
      <c r="B872" s="1"/>
    </row>
    <row r="873" spans="2:2" x14ac:dyDescent="0.3">
      <c r="B873" s="1"/>
    </row>
    <row r="874" spans="2:2" x14ac:dyDescent="0.3">
      <c r="B874" s="1"/>
    </row>
    <row r="875" spans="2:2" x14ac:dyDescent="0.3">
      <c r="B875" s="1"/>
    </row>
    <row r="876" spans="2:2" x14ac:dyDescent="0.3">
      <c r="B876" s="1"/>
    </row>
    <row r="877" spans="2:2" x14ac:dyDescent="0.3">
      <c r="B877" s="1"/>
    </row>
    <row r="878" spans="2:2" x14ac:dyDescent="0.3">
      <c r="B878" s="1"/>
    </row>
    <row r="879" spans="2:2" x14ac:dyDescent="0.3">
      <c r="B879" s="1"/>
    </row>
    <row r="880" spans="2:2" x14ac:dyDescent="0.3">
      <c r="B880" s="1"/>
    </row>
    <row r="881" spans="2:2" x14ac:dyDescent="0.3">
      <c r="B881" s="1"/>
    </row>
    <row r="882" spans="2:2" x14ac:dyDescent="0.3">
      <c r="B882" s="1"/>
    </row>
    <row r="883" spans="2:2" x14ac:dyDescent="0.3">
      <c r="B883" s="1"/>
    </row>
    <row r="884" spans="2:2" x14ac:dyDescent="0.3">
      <c r="B884" s="1"/>
    </row>
    <row r="885" spans="2:2" x14ac:dyDescent="0.3">
      <c r="B885" s="1"/>
    </row>
    <row r="886" spans="2:2" x14ac:dyDescent="0.3">
      <c r="B886" s="1"/>
    </row>
    <row r="887" spans="2:2" x14ac:dyDescent="0.3">
      <c r="B887" s="1"/>
    </row>
    <row r="888" spans="2:2" x14ac:dyDescent="0.3">
      <c r="B888" s="1"/>
    </row>
    <row r="889" spans="2:2" x14ac:dyDescent="0.3">
      <c r="B889" s="1"/>
    </row>
    <row r="890" spans="2:2" x14ac:dyDescent="0.3">
      <c r="B890" s="1"/>
    </row>
    <row r="891" spans="2:2" x14ac:dyDescent="0.3">
      <c r="B891" s="1"/>
    </row>
    <row r="892" spans="2:2" x14ac:dyDescent="0.3">
      <c r="B892" s="1"/>
    </row>
    <row r="893" spans="2:2" x14ac:dyDescent="0.3">
      <c r="B893" s="1"/>
    </row>
    <row r="894" spans="2:2" x14ac:dyDescent="0.3">
      <c r="B894" s="1"/>
    </row>
    <row r="895" spans="2:2" x14ac:dyDescent="0.3">
      <c r="B895" s="1"/>
    </row>
    <row r="896" spans="2:2" x14ac:dyDescent="0.3">
      <c r="B896" s="1"/>
    </row>
    <row r="897" spans="2:2" x14ac:dyDescent="0.3">
      <c r="B897" s="1"/>
    </row>
    <row r="898" spans="2:2" x14ac:dyDescent="0.3">
      <c r="B898" s="1"/>
    </row>
    <row r="899" spans="2:2" x14ac:dyDescent="0.3">
      <c r="B899" s="1"/>
    </row>
    <row r="900" spans="2:2" x14ac:dyDescent="0.3">
      <c r="B900" s="1"/>
    </row>
    <row r="901" spans="2:2" x14ac:dyDescent="0.3">
      <c r="B901" s="1"/>
    </row>
    <row r="902" spans="2:2" x14ac:dyDescent="0.3">
      <c r="B902" s="1"/>
    </row>
    <row r="903" spans="2:2" x14ac:dyDescent="0.3">
      <c r="B903" s="1"/>
    </row>
    <row r="904" spans="2:2" x14ac:dyDescent="0.3">
      <c r="B904" s="1"/>
    </row>
    <row r="905" spans="2:2" x14ac:dyDescent="0.3">
      <c r="B905" s="1"/>
    </row>
    <row r="906" spans="2:2" x14ac:dyDescent="0.3">
      <c r="B906" s="1"/>
    </row>
    <row r="907" spans="2:2" x14ac:dyDescent="0.3">
      <c r="B907" s="1"/>
    </row>
    <row r="908" spans="2:2" x14ac:dyDescent="0.3">
      <c r="B908" s="1"/>
    </row>
    <row r="909" spans="2:2" x14ac:dyDescent="0.3">
      <c r="B909" s="1"/>
    </row>
    <row r="910" spans="2:2" x14ac:dyDescent="0.3">
      <c r="B910" s="1"/>
    </row>
    <row r="911" spans="2:2" x14ac:dyDescent="0.3">
      <c r="B911" s="1"/>
    </row>
    <row r="912" spans="2:2" x14ac:dyDescent="0.3">
      <c r="B912" s="1"/>
    </row>
    <row r="913" spans="2:2" x14ac:dyDescent="0.3">
      <c r="B913" s="1"/>
    </row>
    <row r="914" spans="2:2" x14ac:dyDescent="0.3">
      <c r="B914" s="1"/>
    </row>
    <row r="915" spans="2:2" x14ac:dyDescent="0.3">
      <c r="B915" s="1"/>
    </row>
    <row r="916" spans="2:2" x14ac:dyDescent="0.3">
      <c r="B916" s="1"/>
    </row>
    <row r="917" spans="2:2" x14ac:dyDescent="0.3">
      <c r="B917" s="1"/>
    </row>
    <row r="918" spans="2:2" x14ac:dyDescent="0.3">
      <c r="B918" s="1"/>
    </row>
    <row r="919" spans="2:2" x14ac:dyDescent="0.3">
      <c r="B919" s="1"/>
    </row>
    <row r="920" spans="2:2" x14ac:dyDescent="0.3">
      <c r="B920" s="1"/>
    </row>
    <row r="921" spans="2:2" x14ac:dyDescent="0.3">
      <c r="B921" s="1"/>
    </row>
    <row r="922" spans="2:2" x14ac:dyDescent="0.3">
      <c r="B922" s="1"/>
    </row>
    <row r="923" spans="2:2" x14ac:dyDescent="0.3">
      <c r="B923" s="1"/>
    </row>
    <row r="924" spans="2:2" x14ac:dyDescent="0.3">
      <c r="B924" s="1"/>
    </row>
    <row r="925" spans="2:2" x14ac:dyDescent="0.3">
      <c r="B925" s="1"/>
    </row>
    <row r="926" spans="2:2" x14ac:dyDescent="0.3">
      <c r="B926" s="1"/>
    </row>
    <row r="927" spans="2:2" x14ac:dyDescent="0.3">
      <c r="B927" s="1"/>
    </row>
    <row r="928" spans="2:2" x14ac:dyDescent="0.3">
      <c r="B928" s="1"/>
    </row>
    <row r="929" spans="2:2" x14ac:dyDescent="0.3">
      <c r="B929" s="1"/>
    </row>
    <row r="930" spans="2:2" x14ac:dyDescent="0.3">
      <c r="B930" s="1"/>
    </row>
    <row r="931" spans="2:2" x14ac:dyDescent="0.3">
      <c r="B931" s="1"/>
    </row>
    <row r="932" spans="2:2" x14ac:dyDescent="0.3">
      <c r="B932" s="1"/>
    </row>
    <row r="933" spans="2:2" x14ac:dyDescent="0.3">
      <c r="B933" s="1"/>
    </row>
    <row r="934" spans="2:2" x14ac:dyDescent="0.3">
      <c r="B934" s="1"/>
    </row>
    <row r="935" spans="2:2" x14ac:dyDescent="0.3">
      <c r="B935" s="1"/>
    </row>
    <row r="936" spans="2:2" x14ac:dyDescent="0.3">
      <c r="B936" s="1"/>
    </row>
    <row r="937" spans="2:2" x14ac:dyDescent="0.3">
      <c r="B937" s="1"/>
    </row>
    <row r="938" spans="2:2" x14ac:dyDescent="0.3">
      <c r="B938" s="1"/>
    </row>
    <row r="939" spans="2:2" x14ac:dyDescent="0.3">
      <c r="B939" s="1"/>
    </row>
    <row r="940" spans="2:2" x14ac:dyDescent="0.3">
      <c r="B940" s="1"/>
    </row>
    <row r="941" spans="2:2" x14ac:dyDescent="0.3">
      <c r="B941" s="1"/>
    </row>
    <row r="942" spans="2:2" x14ac:dyDescent="0.3">
      <c r="B942" s="1"/>
    </row>
    <row r="943" spans="2:2" x14ac:dyDescent="0.3">
      <c r="B943" s="1"/>
    </row>
    <row r="944" spans="2:2" x14ac:dyDescent="0.3">
      <c r="B944" s="1"/>
    </row>
    <row r="945" spans="2:2" x14ac:dyDescent="0.3">
      <c r="B945" s="1"/>
    </row>
    <row r="946" spans="2:2" x14ac:dyDescent="0.3">
      <c r="B946" s="1"/>
    </row>
    <row r="947" spans="2:2" x14ac:dyDescent="0.3">
      <c r="B947" s="1"/>
    </row>
    <row r="948" spans="2:2" x14ac:dyDescent="0.3">
      <c r="B948" s="1"/>
    </row>
    <row r="949" spans="2:2" x14ac:dyDescent="0.3">
      <c r="B949" s="1"/>
    </row>
    <row r="950" spans="2:2" x14ac:dyDescent="0.3">
      <c r="B950" s="1"/>
    </row>
    <row r="951" spans="2:2" x14ac:dyDescent="0.3">
      <c r="B951" s="1"/>
    </row>
    <row r="952" spans="2:2" x14ac:dyDescent="0.3">
      <c r="B952" s="1"/>
    </row>
    <row r="953" spans="2:2" x14ac:dyDescent="0.3">
      <c r="B953" s="1"/>
    </row>
    <row r="954" spans="2:2" x14ac:dyDescent="0.3">
      <c r="B954" s="1"/>
    </row>
    <row r="955" spans="2:2" x14ac:dyDescent="0.3">
      <c r="B955" s="1"/>
    </row>
    <row r="956" spans="2:2" x14ac:dyDescent="0.3">
      <c r="B956" s="1"/>
    </row>
    <row r="957" spans="2:2" x14ac:dyDescent="0.3">
      <c r="B957" s="1"/>
    </row>
    <row r="958" spans="2:2" x14ac:dyDescent="0.3">
      <c r="B958" s="1"/>
    </row>
    <row r="959" spans="2:2" x14ac:dyDescent="0.3">
      <c r="B959" s="1"/>
    </row>
    <row r="960" spans="2:2" x14ac:dyDescent="0.3">
      <c r="B960" s="1"/>
    </row>
    <row r="961" spans="2:2" x14ac:dyDescent="0.3">
      <c r="B961" s="1"/>
    </row>
    <row r="962" spans="2:2" x14ac:dyDescent="0.3">
      <c r="B962" s="1"/>
    </row>
    <row r="963" spans="2:2" x14ac:dyDescent="0.3">
      <c r="B963" s="1"/>
    </row>
    <row r="964" spans="2:2" x14ac:dyDescent="0.3">
      <c r="B964" s="1"/>
    </row>
    <row r="965" spans="2:2" x14ac:dyDescent="0.3">
      <c r="B965" s="1"/>
    </row>
    <row r="966" spans="2:2" x14ac:dyDescent="0.3">
      <c r="B966" s="1"/>
    </row>
    <row r="967" spans="2:2" x14ac:dyDescent="0.3">
      <c r="B967" s="1"/>
    </row>
    <row r="968" spans="2:2" x14ac:dyDescent="0.3">
      <c r="B968" s="1"/>
    </row>
    <row r="969" spans="2:2" x14ac:dyDescent="0.3">
      <c r="B969" s="1"/>
    </row>
    <row r="970" spans="2:2" x14ac:dyDescent="0.3">
      <c r="B970" s="1"/>
    </row>
    <row r="971" spans="2:2" x14ac:dyDescent="0.3">
      <c r="B971" s="1"/>
    </row>
    <row r="972" spans="2:2" x14ac:dyDescent="0.3">
      <c r="B972" s="1"/>
    </row>
    <row r="973" spans="2:2" x14ac:dyDescent="0.3">
      <c r="B973" s="1"/>
    </row>
    <row r="974" spans="2:2" x14ac:dyDescent="0.3">
      <c r="B974" s="1"/>
    </row>
    <row r="975" spans="2:2" x14ac:dyDescent="0.3">
      <c r="B975" s="1"/>
    </row>
    <row r="976" spans="2:2" x14ac:dyDescent="0.3">
      <c r="B976" s="1"/>
    </row>
    <row r="977" spans="2:2" x14ac:dyDescent="0.3">
      <c r="B977" s="1"/>
    </row>
    <row r="978" spans="2:2" x14ac:dyDescent="0.3">
      <c r="B978" s="1"/>
    </row>
    <row r="979" spans="2:2" x14ac:dyDescent="0.3">
      <c r="B979" s="1"/>
    </row>
    <row r="980" spans="2:2" x14ac:dyDescent="0.3">
      <c r="B980" s="1"/>
    </row>
    <row r="981" spans="2:2" x14ac:dyDescent="0.3">
      <c r="B981" s="1"/>
    </row>
    <row r="982" spans="2:2" x14ac:dyDescent="0.3">
      <c r="B982" s="1"/>
    </row>
    <row r="983" spans="2:2" x14ac:dyDescent="0.3">
      <c r="B983" s="1"/>
    </row>
    <row r="984" spans="2:2" x14ac:dyDescent="0.3">
      <c r="B984" s="1"/>
    </row>
    <row r="985" spans="2:2" x14ac:dyDescent="0.3">
      <c r="B985" s="1"/>
    </row>
    <row r="986" spans="2:2" x14ac:dyDescent="0.3">
      <c r="B986" s="1"/>
    </row>
    <row r="987" spans="2:2" x14ac:dyDescent="0.3">
      <c r="B987" s="1"/>
    </row>
    <row r="988" spans="2:2" x14ac:dyDescent="0.3">
      <c r="B988" s="1"/>
    </row>
    <row r="989" spans="2:2" x14ac:dyDescent="0.3">
      <c r="B989" s="1"/>
    </row>
    <row r="990" spans="2:2" x14ac:dyDescent="0.3">
      <c r="B990" s="1"/>
    </row>
    <row r="991" spans="2:2" x14ac:dyDescent="0.3">
      <c r="B991" s="1"/>
    </row>
    <row r="992" spans="2:2" x14ac:dyDescent="0.3">
      <c r="B992" s="1"/>
    </row>
    <row r="993" spans="2:2" x14ac:dyDescent="0.3">
      <c r="B993" s="1"/>
    </row>
    <row r="994" spans="2:2" x14ac:dyDescent="0.3">
      <c r="B994" s="1"/>
    </row>
    <row r="995" spans="2:2" x14ac:dyDescent="0.3">
      <c r="B995" s="1"/>
    </row>
    <row r="996" spans="2:2" x14ac:dyDescent="0.3">
      <c r="B996" s="1"/>
    </row>
    <row r="997" spans="2:2" x14ac:dyDescent="0.3">
      <c r="B997" s="1"/>
    </row>
    <row r="998" spans="2:2" x14ac:dyDescent="0.3">
      <c r="B998" s="1"/>
    </row>
    <row r="999" spans="2:2" x14ac:dyDescent="0.3">
      <c r="B999" s="1"/>
    </row>
    <row r="1000" spans="2:2" x14ac:dyDescent="0.3">
      <c r="B1000" s="1"/>
    </row>
    <row r="1001" spans="2:2" x14ac:dyDescent="0.3">
      <c r="B1001" s="1"/>
    </row>
    <row r="1002" spans="2:2" x14ac:dyDescent="0.3">
      <c r="B1002" s="1"/>
    </row>
    <row r="1003" spans="2:2" x14ac:dyDescent="0.3">
      <c r="B1003" s="1"/>
    </row>
    <row r="1004" spans="2:2" x14ac:dyDescent="0.3">
      <c r="B1004" s="1"/>
    </row>
    <row r="1005" spans="2:2" x14ac:dyDescent="0.3">
      <c r="B1005" s="1"/>
    </row>
    <row r="1006" spans="2:2" x14ac:dyDescent="0.3">
      <c r="B1006" s="1"/>
    </row>
    <row r="1007" spans="2:2" x14ac:dyDescent="0.3">
      <c r="B1007" s="1"/>
    </row>
    <row r="1008" spans="2:2" x14ac:dyDescent="0.3">
      <c r="B1008" s="1"/>
    </row>
    <row r="1009" spans="2:2" x14ac:dyDescent="0.3">
      <c r="B1009" s="1"/>
    </row>
    <row r="1010" spans="2:2" x14ac:dyDescent="0.3">
      <c r="B1010" s="1"/>
    </row>
    <row r="1011" spans="2:2" x14ac:dyDescent="0.3">
      <c r="B1011" s="1"/>
    </row>
    <row r="1012" spans="2:2" x14ac:dyDescent="0.3">
      <c r="B1012" s="1"/>
    </row>
    <row r="1013" spans="2:2" x14ac:dyDescent="0.3">
      <c r="B1013" s="1"/>
    </row>
    <row r="1014" spans="2:2" x14ac:dyDescent="0.3">
      <c r="B1014" s="1"/>
    </row>
    <row r="1015" spans="2:2" x14ac:dyDescent="0.3">
      <c r="B1015" s="1"/>
    </row>
    <row r="1016" spans="2:2" x14ac:dyDescent="0.3">
      <c r="B1016" s="1"/>
    </row>
    <row r="1017" spans="2:2" x14ac:dyDescent="0.3">
      <c r="B1017" s="1"/>
    </row>
    <row r="1018" spans="2:2" x14ac:dyDescent="0.3">
      <c r="B1018" s="1"/>
    </row>
    <row r="1019" spans="2:2" x14ac:dyDescent="0.3">
      <c r="B1019" s="1"/>
    </row>
    <row r="1020" spans="2:2" x14ac:dyDescent="0.3">
      <c r="B1020" s="1"/>
    </row>
    <row r="1021" spans="2:2" x14ac:dyDescent="0.3">
      <c r="B1021" s="1"/>
    </row>
    <row r="1022" spans="2:2" x14ac:dyDescent="0.3">
      <c r="B1022" s="1"/>
    </row>
    <row r="1023" spans="2:2" x14ac:dyDescent="0.3">
      <c r="B1023" s="1"/>
    </row>
    <row r="1024" spans="2:2" x14ac:dyDescent="0.3">
      <c r="B1024" s="1"/>
    </row>
    <row r="1025" spans="2:2" x14ac:dyDescent="0.3">
      <c r="B1025" s="1"/>
    </row>
    <row r="1026" spans="2:2" x14ac:dyDescent="0.3">
      <c r="B1026" s="1"/>
    </row>
    <row r="1027" spans="2:2" x14ac:dyDescent="0.3">
      <c r="B1027" s="1"/>
    </row>
    <row r="1028" spans="2:2" x14ac:dyDescent="0.3">
      <c r="B1028" s="1"/>
    </row>
    <row r="1029" spans="2:2" x14ac:dyDescent="0.3">
      <c r="B1029" s="1"/>
    </row>
    <row r="1030" spans="2:2" x14ac:dyDescent="0.3">
      <c r="B1030" s="1"/>
    </row>
    <row r="1031" spans="2:2" x14ac:dyDescent="0.3">
      <c r="B1031" s="1"/>
    </row>
    <row r="1032" spans="2:2" x14ac:dyDescent="0.3">
      <c r="B1032" s="1"/>
    </row>
    <row r="1033" spans="2:2" x14ac:dyDescent="0.3">
      <c r="B1033" s="1"/>
    </row>
    <row r="1034" spans="2:2" x14ac:dyDescent="0.3">
      <c r="B1034" s="1"/>
    </row>
    <row r="1035" spans="2:2" x14ac:dyDescent="0.3">
      <c r="B1035" s="1"/>
    </row>
    <row r="1036" spans="2:2" x14ac:dyDescent="0.3">
      <c r="B1036" s="1"/>
    </row>
    <row r="1037" spans="2:2" x14ac:dyDescent="0.3">
      <c r="B1037" s="1"/>
    </row>
    <row r="1038" spans="2:2" x14ac:dyDescent="0.3">
      <c r="B1038" s="1"/>
    </row>
    <row r="1039" spans="2:2" x14ac:dyDescent="0.3">
      <c r="B1039" s="1"/>
    </row>
    <row r="1040" spans="2:2" x14ac:dyDescent="0.3">
      <c r="B1040" s="1"/>
    </row>
    <row r="1041" spans="2:2" x14ac:dyDescent="0.3">
      <c r="B1041" s="1"/>
    </row>
    <row r="1042" spans="2:2" x14ac:dyDescent="0.3">
      <c r="B1042" s="1"/>
    </row>
    <row r="1043" spans="2:2" x14ac:dyDescent="0.3">
      <c r="B1043" s="1"/>
    </row>
    <row r="1044" spans="2:2" x14ac:dyDescent="0.3">
      <c r="B1044" s="1"/>
    </row>
    <row r="1045" spans="2:2" x14ac:dyDescent="0.3">
      <c r="B1045" s="1"/>
    </row>
    <row r="1046" spans="2:2" x14ac:dyDescent="0.3">
      <c r="B1046" s="1"/>
    </row>
    <row r="1047" spans="2:2" x14ac:dyDescent="0.3">
      <c r="B1047" s="1"/>
    </row>
    <row r="1048" spans="2:2" x14ac:dyDescent="0.3">
      <c r="B1048" s="1"/>
    </row>
    <row r="1049" spans="2:2" x14ac:dyDescent="0.3">
      <c r="B1049" s="1"/>
    </row>
    <row r="1050" spans="2:2" x14ac:dyDescent="0.3">
      <c r="B1050" s="1"/>
    </row>
    <row r="1051" spans="2:2" x14ac:dyDescent="0.3">
      <c r="B1051" s="1"/>
    </row>
    <row r="1052" spans="2:2" x14ac:dyDescent="0.3">
      <c r="B1052" s="1"/>
    </row>
    <row r="1053" spans="2:2" x14ac:dyDescent="0.3">
      <c r="B1053" s="1"/>
    </row>
    <row r="1054" spans="2:2" x14ac:dyDescent="0.3">
      <c r="B1054" s="1"/>
    </row>
    <row r="1055" spans="2:2" x14ac:dyDescent="0.3">
      <c r="B1055" s="1"/>
    </row>
    <row r="1056" spans="2:2" x14ac:dyDescent="0.3">
      <c r="B1056" s="1"/>
    </row>
    <row r="1057" spans="2:2" x14ac:dyDescent="0.3">
      <c r="B1057" s="1"/>
    </row>
    <row r="1058" spans="2:2" x14ac:dyDescent="0.3">
      <c r="B1058" s="1"/>
    </row>
    <row r="1059" spans="2:2" x14ac:dyDescent="0.3">
      <c r="B1059" s="1"/>
    </row>
    <row r="1060" spans="2:2" x14ac:dyDescent="0.3">
      <c r="B1060" s="1"/>
    </row>
    <row r="1061" spans="2:2" x14ac:dyDescent="0.3">
      <c r="B1061" s="1"/>
    </row>
    <row r="1062" spans="2:2" x14ac:dyDescent="0.3">
      <c r="B1062" s="1"/>
    </row>
    <row r="1063" spans="2:2" x14ac:dyDescent="0.3">
      <c r="B1063" s="1"/>
    </row>
    <row r="1064" spans="2:2" x14ac:dyDescent="0.3">
      <c r="B1064" s="1"/>
    </row>
    <row r="1065" spans="2:2" x14ac:dyDescent="0.3">
      <c r="B1065" s="1"/>
    </row>
    <row r="1066" spans="2:2" x14ac:dyDescent="0.3">
      <c r="B1066" s="1"/>
    </row>
    <row r="1067" spans="2:2" x14ac:dyDescent="0.3">
      <c r="B1067" s="1"/>
    </row>
    <row r="1068" spans="2:2" x14ac:dyDescent="0.3">
      <c r="B1068" s="1"/>
    </row>
    <row r="1069" spans="2:2" x14ac:dyDescent="0.3">
      <c r="B1069" s="1"/>
    </row>
    <row r="1070" spans="2:2" x14ac:dyDescent="0.3">
      <c r="B1070" s="1"/>
    </row>
    <row r="1071" spans="2:2" x14ac:dyDescent="0.3">
      <c r="B1071" s="1"/>
    </row>
    <row r="1072" spans="2:2" x14ac:dyDescent="0.3">
      <c r="B1072" s="1"/>
    </row>
    <row r="1073" spans="2:2" x14ac:dyDescent="0.3">
      <c r="B1073" s="1"/>
    </row>
    <row r="1074" spans="2:2" x14ac:dyDescent="0.3">
      <c r="B1074" s="1"/>
    </row>
    <row r="1075" spans="2:2" x14ac:dyDescent="0.3">
      <c r="B1075" s="1"/>
    </row>
    <row r="1076" spans="2:2" x14ac:dyDescent="0.3">
      <c r="B1076" s="1"/>
    </row>
    <row r="1077" spans="2:2" x14ac:dyDescent="0.3">
      <c r="B1077" s="1"/>
    </row>
    <row r="1078" spans="2:2" x14ac:dyDescent="0.3">
      <c r="B1078" s="1"/>
    </row>
    <row r="1079" spans="2:2" x14ac:dyDescent="0.3">
      <c r="B1079" s="1"/>
    </row>
    <row r="1080" spans="2:2" x14ac:dyDescent="0.3">
      <c r="B1080" s="1"/>
    </row>
    <row r="1081" spans="2:2" x14ac:dyDescent="0.3">
      <c r="B1081" s="1"/>
    </row>
    <row r="1082" spans="2:2" x14ac:dyDescent="0.3">
      <c r="B1082" s="1"/>
    </row>
    <row r="1083" spans="2:2" x14ac:dyDescent="0.3">
      <c r="B1083" s="1"/>
    </row>
    <row r="1084" spans="2:2" x14ac:dyDescent="0.3">
      <c r="B1084" s="1"/>
    </row>
    <row r="1085" spans="2:2" x14ac:dyDescent="0.3">
      <c r="B1085" s="1"/>
    </row>
    <row r="1086" spans="2:2" x14ac:dyDescent="0.3">
      <c r="B1086" s="1"/>
    </row>
    <row r="1087" spans="2:2" x14ac:dyDescent="0.3">
      <c r="B1087" s="1"/>
    </row>
    <row r="1088" spans="2:2" x14ac:dyDescent="0.3">
      <c r="B1088" s="1"/>
    </row>
    <row r="1089" spans="2:2" x14ac:dyDescent="0.3">
      <c r="B1089" s="1"/>
    </row>
    <row r="1090" spans="2:2" x14ac:dyDescent="0.3">
      <c r="B1090" s="1"/>
    </row>
    <row r="1091" spans="2:2" x14ac:dyDescent="0.3">
      <c r="B1091" s="1"/>
    </row>
    <row r="1092" spans="2:2" x14ac:dyDescent="0.3">
      <c r="B1092" s="1"/>
    </row>
    <row r="1093" spans="2:2" x14ac:dyDescent="0.3">
      <c r="B1093" s="1"/>
    </row>
    <row r="1094" spans="2:2" x14ac:dyDescent="0.3">
      <c r="B1094" s="1"/>
    </row>
    <row r="1095" spans="2:2" x14ac:dyDescent="0.3">
      <c r="B1095" s="1"/>
    </row>
    <row r="1096" spans="2:2" x14ac:dyDescent="0.3">
      <c r="B1096" s="1"/>
    </row>
    <row r="1097" spans="2:2" x14ac:dyDescent="0.3">
      <c r="B1097" s="1"/>
    </row>
    <row r="1098" spans="2:2" x14ac:dyDescent="0.3">
      <c r="B1098" s="1"/>
    </row>
    <row r="1099" spans="2:2" x14ac:dyDescent="0.3">
      <c r="B1099" s="1"/>
    </row>
    <row r="1100" spans="2:2" x14ac:dyDescent="0.3">
      <c r="B1100" s="1"/>
    </row>
    <row r="1101" spans="2:2" x14ac:dyDescent="0.3">
      <c r="B1101" s="1"/>
    </row>
    <row r="1102" spans="2:2" x14ac:dyDescent="0.3">
      <c r="B1102" s="1"/>
    </row>
    <row r="1103" spans="2:2" x14ac:dyDescent="0.3">
      <c r="B1103" s="1"/>
    </row>
    <row r="1104" spans="2:2" x14ac:dyDescent="0.3">
      <c r="B1104" s="1"/>
    </row>
    <row r="1105" spans="2:2" x14ac:dyDescent="0.3">
      <c r="B1105" s="1"/>
    </row>
    <row r="1106" spans="2:2" x14ac:dyDescent="0.3">
      <c r="B1106" s="1"/>
    </row>
    <row r="1107" spans="2:2" x14ac:dyDescent="0.3">
      <c r="B1107" s="1"/>
    </row>
    <row r="1108" spans="2:2" x14ac:dyDescent="0.3">
      <c r="B1108" s="1"/>
    </row>
    <row r="1109" spans="2:2" x14ac:dyDescent="0.3">
      <c r="B1109" s="1"/>
    </row>
    <row r="1110" spans="2:2" x14ac:dyDescent="0.3">
      <c r="B1110" s="1"/>
    </row>
    <row r="1111" spans="2:2" x14ac:dyDescent="0.3">
      <c r="B1111" s="1"/>
    </row>
    <row r="1112" spans="2:2" x14ac:dyDescent="0.3">
      <c r="B1112" s="1"/>
    </row>
    <row r="1113" spans="2:2" x14ac:dyDescent="0.3">
      <c r="B1113" s="1"/>
    </row>
    <row r="1114" spans="2:2" x14ac:dyDescent="0.3">
      <c r="B1114" s="1"/>
    </row>
    <row r="1115" spans="2:2" x14ac:dyDescent="0.3">
      <c r="B1115" s="1"/>
    </row>
    <row r="1116" spans="2:2" x14ac:dyDescent="0.3">
      <c r="B1116" s="1"/>
    </row>
    <row r="1117" spans="2:2" x14ac:dyDescent="0.3">
      <c r="B1117" s="1"/>
    </row>
    <row r="1118" spans="2:2" x14ac:dyDescent="0.3">
      <c r="B1118" s="1"/>
    </row>
    <row r="1119" spans="2:2" x14ac:dyDescent="0.3">
      <c r="B1119" s="1"/>
    </row>
    <row r="1120" spans="2:2" x14ac:dyDescent="0.3">
      <c r="B1120" s="1"/>
    </row>
    <row r="1121" spans="2:2" x14ac:dyDescent="0.3">
      <c r="B1121" s="1"/>
    </row>
    <row r="1122" spans="2:2" x14ac:dyDescent="0.3">
      <c r="B1122" s="1"/>
    </row>
    <row r="1123" spans="2:2" x14ac:dyDescent="0.3">
      <c r="B1123" s="1"/>
    </row>
    <row r="1124" spans="2:2" x14ac:dyDescent="0.3">
      <c r="B1124" s="1"/>
    </row>
    <row r="1125" spans="2:2" x14ac:dyDescent="0.3">
      <c r="B1125" s="1"/>
    </row>
    <row r="1126" spans="2:2" x14ac:dyDescent="0.3">
      <c r="B1126" s="1"/>
    </row>
    <row r="1127" spans="2:2" x14ac:dyDescent="0.3">
      <c r="B1127" s="1"/>
    </row>
    <row r="1128" spans="2:2" x14ac:dyDescent="0.3">
      <c r="B1128" s="1"/>
    </row>
    <row r="1129" spans="2:2" x14ac:dyDescent="0.3">
      <c r="B1129" s="1"/>
    </row>
    <row r="1130" spans="2:2" x14ac:dyDescent="0.3">
      <c r="B1130" s="1"/>
    </row>
    <row r="1131" spans="2:2" x14ac:dyDescent="0.3">
      <c r="B1131" s="1"/>
    </row>
    <row r="1132" spans="2:2" x14ac:dyDescent="0.3">
      <c r="B1132" s="1"/>
    </row>
    <row r="1133" spans="2:2" x14ac:dyDescent="0.3">
      <c r="B1133" s="1"/>
    </row>
    <row r="1134" spans="2:2" x14ac:dyDescent="0.3">
      <c r="B1134" s="1"/>
    </row>
    <row r="1135" spans="2:2" x14ac:dyDescent="0.3">
      <c r="B1135" s="1"/>
    </row>
    <row r="1136" spans="2:2" x14ac:dyDescent="0.3">
      <c r="B1136" s="1"/>
    </row>
    <row r="1137" spans="2:2" x14ac:dyDescent="0.3">
      <c r="B1137" s="1"/>
    </row>
    <row r="1138" spans="2:2" x14ac:dyDescent="0.3">
      <c r="B1138" s="1"/>
    </row>
    <row r="1139" spans="2:2" x14ac:dyDescent="0.3">
      <c r="B1139" s="1"/>
    </row>
    <row r="1140" spans="2:2" x14ac:dyDescent="0.3">
      <c r="B1140" s="1"/>
    </row>
    <row r="1141" spans="2:2" x14ac:dyDescent="0.3">
      <c r="B1141" s="1"/>
    </row>
    <row r="1142" spans="2:2" x14ac:dyDescent="0.3">
      <c r="B1142" s="1"/>
    </row>
    <row r="1143" spans="2:2" x14ac:dyDescent="0.3">
      <c r="B1143" s="1"/>
    </row>
    <row r="1144" spans="2:2" x14ac:dyDescent="0.3">
      <c r="B1144" s="1"/>
    </row>
    <row r="1145" spans="2:2" x14ac:dyDescent="0.3">
      <c r="B1145" s="1"/>
    </row>
    <row r="1146" spans="2:2" x14ac:dyDescent="0.3">
      <c r="B1146" s="1"/>
    </row>
    <row r="1147" spans="2:2" x14ac:dyDescent="0.3">
      <c r="B1147" s="1"/>
    </row>
    <row r="1148" spans="2:2" x14ac:dyDescent="0.3">
      <c r="B1148" s="1"/>
    </row>
    <row r="1149" spans="2:2" x14ac:dyDescent="0.3">
      <c r="B1149" s="1"/>
    </row>
    <row r="1150" spans="2:2" x14ac:dyDescent="0.3">
      <c r="B1150" s="1"/>
    </row>
    <row r="1151" spans="2:2" x14ac:dyDescent="0.3">
      <c r="B1151" s="1"/>
    </row>
    <row r="1152" spans="2:2" x14ac:dyDescent="0.3">
      <c r="B1152" s="1"/>
    </row>
    <row r="1153" spans="2:2" x14ac:dyDescent="0.3">
      <c r="B1153" s="1"/>
    </row>
    <row r="1154" spans="2:2" x14ac:dyDescent="0.3">
      <c r="B1154" s="1"/>
    </row>
    <row r="1155" spans="2:2" x14ac:dyDescent="0.3">
      <c r="B1155" s="1"/>
    </row>
    <row r="1156" spans="2:2" x14ac:dyDescent="0.3">
      <c r="B1156" s="1"/>
    </row>
    <row r="1157" spans="2:2" x14ac:dyDescent="0.3">
      <c r="B1157" s="1"/>
    </row>
    <row r="1158" spans="2:2" x14ac:dyDescent="0.3">
      <c r="B1158" s="1"/>
    </row>
    <row r="1159" spans="2:2" x14ac:dyDescent="0.3">
      <c r="B1159" s="1"/>
    </row>
    <row r="1160" spans="2:2" x14ac:dyDescent="0.3">
      <c r="B1160" s="1"/>
    </row>
    <row r="1161" spans="2:2" x14ac:dyDescent="0.3">
      <c r="B1161" s="1"/>
    </row>
    <row r="1162" spans="2:2" x14ac:dyDescent="0.3">
      <c r="B1162" s="1"/>
    </row>
    <row r="1163" spans="2:2" x14ac:dyDescent="0.3">
      <c r="B1163" s="1"/>
    </row>
    <row r="1164" spans="2:2" x14ac:dyDescent="0.3">
      <c r="B1164" s="1"/>
    </row>
    <row r="1165" spans="2:2" x14ac:dyDescent="0.3">
      <c r="B1165" s="1"/>
    </row>
    <row r="1166" spans="2:2" x14ac:dyDescent="0.3">
      <c r="B1166" s="1"/>
    </row>
    <row r="1167" spans="2:2" x14ac:dyDescent="0.3">
      <c r="B1167" s="1"/>
    </row>
    <row r="1168" spans="2:2" x14ac:dyDescent="0.3">
      <c r="B1168" s="1"/>
    </row>
    <row r="1169" spans="2:2" x14ac:dyDescent="0.3">
      <c r="B1169" s="1"/>
    </row>
    <row r="1170" spans="2:2" x14ac:dyDescent="0.3">
      <c r="B1170" s="1"/>
    </row>
    <row r="1171" spans="2:2" x14ac:dyDescent="0.3">
      <c r="B1171" s="1"/>
    </row>
    <row r="1172" spans="2:2" x14ac:dyDescent="0.3">
      <c r="B1172" s="1"/>
    </row>
    <row r="1173" spans="2:2" x14ac:dyDescent="0.3">
      <c r="B1173" s="1"/>
    </row>
    <row r="1174" spans="2:2" x14ac:dyDescent="0.3">
      <c r="B1174" s="1"/>
    </row>
    <row r="1175" spans="2:2" x14ac:dyDescent="0.3">
      <c r="B1175" s="1"/>
    </row>
    <row r="1176" spans="2:2" x14ac:dyDescent="0.3">
      <c r="B1176" s="1"/>
    </row>
    <row r="1177" spans="2:2" x14ac:dyDescent="0.3">
      <c r="B1177" s="1"/>
    </row>
    <row r="1178" spans="2:2" x14ac:dyDescent="0.3">
      <c r="B1178" s="1"/>
    </row>
    <row r="1179" spans="2:2" x14ac:dyDescent="0.3">
      <c r="B1179" s="1"/>
    </row>
    <row r="1180" spans="2:2" x14ac:dyDescent="0.3">
      <c r="B1180" s="1"/>
    </row>
    <row r="1181" spans="2:2" x14ac:dyDescent="0.3">
      <c r="B1181" s="1"/>
    </row>
    <row r="1182" spans="2:2" x14ac:dyDescent="0.3">
      <c r="B1182" s="1"/>
    </row>
    <row r="1183" spans="2:2" x14ac:dyDescent="0.3">
      <c r="B1183" s="1"/>
    </row>
    <row r="1184" spans="2:2" x14ac:dyDescent="0.3">
      <c r="B1184" s="1"/>
    </row>
    <row r="1185" spans="2:2" x14ac:dyDescent="0.3">
      <c r="B1185" s="1"/>
    </row>
    <row r="1186" spans="2:2" x14ac:dyDescent="0.3">
      <c r="B1186" s="1"/>
    </row>
    <row r="1187" spans="2:2" x14ac:dyDescent="0.3">
      <c r="B1187" s="1"/>
    </row>
    <row r="1188" spans="2:2" x14ac:dyDescent="0.3">
      <c r="B1188" s="1"/>
    </row>
    <row r="1189" spans="2:2" x14ac:dyDescent="0.3">
      <c r="B1189" s="1"/>
    </row>
    <row r="1190" spans="2:2" x14ac:dyDescent="0.3">
      <c r="B1190" s="1"/>
    </row>
    <row r="1191" spans="2:2" x14ac:dyDescent="0.3">
      <c r="B1191" s="1"/>
    </row>
    <row r="1192" spans="2:2" x14ac:dyDescent="0.3">
      <c r="B1192" s="1"/>
    </row>
    <row r="1193" spans="2:2" x14ac:dyDescent="0.3">
      <c r="B1193" s="1"/>
    </row>
    <row r="1194" spans="2:2" x14ac:dyDescent="0.3">
      <c r="B1194" s="1"/>
    </row>
    <row r="1195" spans="2:2" x14ac:dyDescent="0.3">
      <c r="B1195" s="1"/>
    </row>
    <row r="1196" spans="2:2" x14ac:dyDescent="0.3">
      <c r="B1196" s="1"/>
    </row>
    <row r="1197" spans="2:2" x14ac:dyDescent="0.3">
      <c r="B1197" s="1"/>
    </row>
    <row r="1198" spans="2:2" x14ac:dyDescent="0.3">
      <c r="B1198" s="1"/>
    </row>
    <row r="1199" spans="2:2" x14ac:dyDescent="0.3">
      <c r="B1199" s="1"/>
    </row>
    <row r="1200" spans="2:2" x14ac:dyDescent="0.3">
      <c r="B1200" s="1"/>
    </row>
    <row r="1201" spans="2:2" x14ac:dyDescent="0.3">
      <c r="B1201" s="1"/>
    </row>
    <row r="1202" spans="2:2" x14ac:dyDescent="0.3">
      <c r="B1202" s="1"/>
    </row>
    <row r="1203" spans="2:2" x14ac:dyDescent="0.3">
      <c r="B1203" s="1"/>
    </row>
    <row r="1204" spans="2:2" x14ac:dyDescent="0.3">
      <c r="B1204" s="1"/>
    </row>
    <row r="1205" spans="2:2" x14ac:dyDescent="0.3">
      <c r="B1205" s="1"/>
    </row>
    <row r="1206" spans="2:2" x14ac:dyDescent="0.3">
      <c r="B1206" s="1"/>
    </row>
    <row r="1207" spans="2:2" x14ac:dyDescent="0.3">
      <c r="B1207" s="1"/>
    </row>
    <row r="1208" spans="2:2" x14ac:dyDescent="0.3">
      <c r="B1208" s="1"/>
    </row>
    <row r="1209" spans="2:2" x14ac:dyDescent="0.3">
      <c r="B1209" s="1"/>
    </row>
    <row r="1210" spans="2:2" x14ac:dyDescent="0.3">
      <c r="B1210" s="1"/>
    </row>
    <row r="1211" spans="2:2" x14ac:dyDescent="0.3">
      <c r="B1211" s="1"/>
    </row>
    <row r="1212" spans="2:2" x14ac:dyDescent="0.3">
      <c r="B1212" s="1"/>
    </row>
    <row r="1213" spans="2:2" x14ac:dyDescent="0.3">
      <c r="B1213" s="1"/>
    </row>
    <row r="1214" spans="2:2" x14ac:dyDescent="0.3">
      <c r="B1214" s="1"/>
    </row>
    <row r="1215" spans="2:2" x14ac:dyDescent="0.3">
      <c r="B1215" s="1"/>
    </row>
    <row r="1216" spans="2:2" x14ac:dyDescent="0.3">
      <c r="B1216" s="1"/>
    </row>
    <row r="1217" spans="2:2" x14ac:dyDescent="0.3">
      <c r="B1217" s="1"/>
    </row>
    <row r="1218" spans="2:2" x14ac:dyDescent="0.3">
      <c r="B1218" s="1"/>
    </row>
    <row r="1219" spans="2:2" x14ac:dyDescent="0.3">
      <c r="B1219" s="1"/>
    </row>
    <row r="1220" spans="2:2" x14ac:dyDescent="0.3">
      <c r="B1220" s="1"/>
    </row>
    <row r="1221" spans="2:2" x14ac:dyDescent="0.3">
      <c r="B1221" s="1"/>
    </row>
    <row r="1222" spans="2:2" x14ac:dyDescent="0.3">
      <c r="B1222" s="1"/>
    </row>
    <row r="1223" spans="2:2" x14ac:dyDescent="0.3">
      <c r="B1223" s="1"/>
    </row>
    <row r="1224" spans="2:2" x14ac:dyDescent="0.3">
      <c r="B1224" s="1"/>
    </row>
    <row r="1225" spans="2:2" x14ac:dyDescent="0.3">
      <c r="B1225" s="1"/>
    </row>
    <row r="1226" spans="2:2" x14ac:dyDescent="0.3">
      <c r="B1226" s="1"/>
    </row>
    <row r="1227" spans="2:2" x14ac:dyDescent="0.3">
      <c r="B1227" s="1"/>
    </row>
    <row r="1228" spans="2:2" x14ac:dyDescent="0.3">
      <c r="B1228" s="1"/>
    </row>
    <row r="1229" spans="2:2" x14ac:dyDescent="0.3">
      <c r="B1229" s="1"/>
    </row>
    <row r="1230" spans="2:2" x14ac:dyDescent="0.3">
      <c r="B1230" s="1"/>
    </row>
    <row r="1231" spans="2:2" x14ac:dyDescent="0.3">
      <c r="B1231" s="1"/>
    </row>
    <row r="1232" spans="2:2" x14ac:dyDescent="0.3">
      <c r="B1232" s="1"/>
    </row>
    <row r="1233" spans="2:2" x14ac:dyDescent="0.3">
      <c r="B1233" s="1"/>
    </row>
    <row r="1234" spans="2:2" x14ac:dyDescent="0.3">
      <c r="B1234" s="1"/>
    </row>
    <row r="1235" spans="2:2" x14ac:dyDescent="0.3">
      <c r="B1235" s="1"/>
    </row>
    <row r="1236" spans="2:2" x14ac:dyDescent="0.3">
      <c r="B1236" s="1"/>
    </row>
    <row r="1237" spans="2:2" x14ac:dyDescent="0.3">
      <c r="B1237" s="1"/>
    </row>
    <row r="1238" spans="2:2" x14ac:dyDescent="0.3">
      <c r="B1238" s="1"/>
    </row>
    <row r="1239" spans="2:2" x14ac:dyDescent="0.3">
      <c r="B1239" s="1"/>
    </row>
    <row r="1240" spans="2:2" x14ac:dyDescent="0.3">
      <c r="B1240" s="1"/>
    </row>
    <row r="1241" spans="2:2" x14ac:dyDescent="0.3">
      <c r="B1241" s="1"/>
    </row>
    <row r="1242" spans="2:2" x14ac:dyDescent="0.3">
      <c r="B1242" s="1"/>
    </row>
    <row r="1243" spans="2:2" x14ac:dyDescent="0.3">
      <c r="B1243" s="1"/>
    </row>
    <row r="1244" spans="2:2" x14ac:dyDescent="0.3">
      <c r="B1244" s="1"/>
    </row>
    <row r="1245" spans="2:2" x14ac:dyDescent="0.3">
      <c r="B1245" s="1"/>
    </row>
    <row r="1246" spans="2:2" x14ac:dyDescent="0.3">
      <c r="B1246" s="1"/>
    </row>
    <row r="1247" spans="2:2" x14ac:dyDescent="0.3">
      <c r="B1247" s="1"/>
    </row>
    <row r="1248" spans="2:2" x14ac:dyDescent="0.3">
      <c r="B1248" s="1"/>
    </row>
    <row r="1249" spans="2:2" x14ac:dyDescent="0.3">
      <c r="B1249" s="1"/>
    </row>
    <row r="1250" spans="2:2" x14ac:dyDescent="0.3">
      <c r="B1250" s="1"/>
    </row>
    <row r="1251" spans="2:2" x14ac:dyDescent="0.3">
      <c r="B1251" s="1"/>
    </row>
    <row r="1252" spans="2:2" x14ac:dyDescent="0.3">
      <c r="B1252" s="1"/>
    </row>
    <row r="1253" spans="2:2" x14ac:dyDescent="0.3">
      <c r="B1253" s="1"/>
    </row>
    <row r="1254" spans="2:2" x14ac:dyDescent="0.3">
      <c r="B1254" s="1"/>
    </row>
    <row r="1255" spans="2:2" x14ac:dyDescent="0.3">
      <c r="B1255" s="1"/>
    </row>
    <row r="1256" spans="2:2" x14ac:dyDescent="0.3">
      <c r="B1256" s="1"/>
    </row>
    <row r="1257" spans="2:2" x14ac:dyDescent="0.3">
      <c r="B1257" s="1"/>
    </row>
    <row r="1258" spans="2:2" x14ac:dyDescent="0.3">
      <c r="B1258" s="1"/>
    </row>
    <row r="1259" spans="2:2" x14ac:dyDescent="0.3">
      <c r="B1259" s="1"/>
    </row>
    <row r="1260" spans="2:2" x14ac:dyDescent="0.3">
      <c r="B1260" s="1"/>
    </row>
    <row r="1261" spans="2:2" x14ac:dyDescent="0.3">
      <c r="B1261" s="1"/>
    </row>
    <row r="1262" spans="2:2" x14ac:dyDescent="0.3">
      <c r="B1262" s="1"/>
    </row>
    <row r="1263" spans="2:2" x14ac:dyDescent="0.3">
      <c r="B1263" s="1"/>
    </row>
    <row r="1264" spans="2:2" x14ac:dyDescent="0.3">
      <c r="B1264" s="1"/>
    </row>
    <row r="1265" spans="2:2" x14ac:dyDescent="0.3">
      <c r="B1265" s="1"/>
    </row>
    <row r="1266" spans="2:2" x14ac:dyDescent="0.3">
      <c r="B1266" s="1"/>
    </row>
    <row r="1267" spans="2:2" x14ac:dyDescent="0.3">
      <c r="B1267" s="1"/>
    </row>
    <row r="1268" spans="2:2" x14ac:dyDescent="0.3">
      <c r="B1268" s="1"/>
    </row>
    <row r="1269" spans="2:2" x14ac:dyDescent="0.3">
      <c r="B1269" s="1"/>
    </row>
    <row r="1270" spans="2:2" x14ac:dyDescent="0.3">
      <c r="B1270" s="1"/>
    </row>
    <row r="1271" spans="2:2" x14ac:dyDescent="0.3">
      <c r="B1271" s="1"/>
    </row>
    <row r="1272" spans="2:2" x14ac:dyDescent="0.3">
      <c r="B1272" s="1"/>
    </row>
    <row r="1273" spans="2:2" x14ac:dyDescent="0.3">
      <c r="B1273" s="1"/>
    </row>
    <row r="1274" spans="2:2" x14ac:dyDescent="0.3">
      <c r="B1274" s="1"/>
    </row>
    <row r="1275" spans="2:2" x14ac:dyDescent="0.3">
      <c r="B1275" s="1"/>
    </row>
    <row r="1276" spans="2:2" x14ac:dyDescent="0.3">
      <c r="B1276" s="1"/>
    </row>
    <row r="1277" spans="2:2" x14ac:dyDescent="0.3">
      <c r="B1277" s="1"/>
    </row>
    <row r="1278" spans="2:2" x14ac:dyDescent="0.3">
      <c r="B1278" s="1"/>
    </row>
    <row r="1279" spans="2:2" x14ac:dyDescent="0.3">
      <c r="B1279" s="1"/>
    </row>
    <row r="1280" spans="2:2" x14ac:dyDescent="0.3">
      <c r="B1280" s="1"/>
    </row>
    <row r="1281" spans="2:2" x14ac:dyDescent="0.3">
      <c r="B1281" s="1"/>
    </row>
    <row r="1282" spans="2:2" x14ac:dyDescent="0.3">
      <c r="B1282" s="1"/>
    </row>
    <row r="1283" spans="2:2" x14ac:dyDescent="0.3">
      <c r="B1283" s="1"/>
    </row>
    <row r="1284" spans="2:2" x14ac:dyDescent="0.3">
      <c r="B1284" s="1"/>
    </row>
    <row r="1285" spans="2:2" x14ac:dyDescent="0.3">
      <c r="B1285" s="1"/>
    </row>
    <row r="1286" spans="2:2" x14ac:dyDescent="0.3">
      <c r="B1286" s="1"/>
    </row>
    <row r="1287" spans="2:2" x14ac:dyDescent="0.3">
      <c r="B1287" s="1"/>
    </row>
    <row r="1288" spans="2:2" x14ac:dyDescent="0.3">
      <c r="B1288" s="1"/>
    </row>
    <row r="1289" spans="2:2" x14ac:dyDescent="0.3">
      <c r="B1289" s="1"/>
    </row>
    <row r="1290" spans="2:2" x14ac:dyDescent="0.3">
      <c r="B1290" s="1"/>
    </row>
    <row r="1291" spans="2:2" x14ac:dyDescent="0.3">
      <c r="B1291" s="1"/>
    </row>
    <row r="1292" spans="2:2" x14ac:dyDescent="0.3">
      <c r="B1292" s="1"/>
    </row>
    <row r="1293" spans="2:2" x14ac:dyDescent="0.3">
      <c r="B1293" s="1"/>
    </row>
    <row r="1294" spans="2:2" x14ac:dyDescent="0.3">
      <c r="B1294" s="1"/>
    </row>
    <row r="1295" spans="2:2" x14ac:dyDescent="0.3">
      <c r="B1295" s="1"/>
    </row>
    <row r="1296" spans="2:2" x14ac:dyDescent="0.3">
      <c r="B1296" s="1"/>
    </row>
    <row r="1297" spans="2:2" x14ac:dyDescent="0.3">
      <c r="B1297" s="1"/>
    </row>
    <row r="1298" spans="2:2" x14ac:dyDescent="0.3">
      <c r="B1298" s="1"/>
    </row>
    <row r="1299" spans="2:2" x14ac:dyDescent="0.3">
      <c r="B1299" s="1"/>
    </row>
    <row r="1300" spans="2:2" x14ac:dyDescent="0.3">
      <c r="B1300" s="1"/>
    </row>
    <row r="1301" spans="2:2" x14ac:dyDescent="0.3">
      <c r="B1301" s="1"/>
    </row>
    <row r="1302" spans="2:2" x14ac:dyDescent="0.3">
      <c r="B1302" s="1"/>
    </row>
    <row r="1303" spans="2:2" x14ac:dyDescent="0.3">
      <c r="B1303" s="1"/>
    </row>
    <row r="1304" spans="2:2" x14ac:dyDescent="0.3">
      <c r="B1304" s="1"/>
    </row>
    <row r="1305" spans="2:2" x14ac:dyDescent="0.3">
      <c r="B1305" s="1"/>
    </row>
    <row r="1306" spans="2:2" x14ac:dyDescent="0.3">
      <c r="B1306" s="1"/>
    </row>
    <row r="1307" spans="2:2" x14ac:dyDescent="0.3">
      <c r="B1307" s="1"/>
    </row>
    <row r="1308" spans="2:2" x14ac:dyDescent="0.3">
      <c r="B1308" s="1"/>
    </row>
    <row r="1309" spans="2:2" x14ac:dyDescent="0.3">
      <c r="B1309" s="1"/>
    </row>
    <row r="1310" spans="2:2" x14ac:dyDescent="0.3">
      <c r="B1310" s="1"/>
    </row>
    <row r="1311" spans="2:2" x14ac:dyDescent="0.3">
      <c r="B1311" s="1"/>
    </row>
    <row r="1312" spans="2:2" x14ac:dyDescent="0.3">
      <c r="B1312" s="1"/>
    </row>
    <row r="1313" spans="2:2" x14ac:dyDescent="0.3">
      <c r="B1313" s="1"/>
    </row>
    <row r="1314" spans="2:2" x14ac:dyDescent="0.3">
      <c r="B1314" s="1"/>
    </row>
    <row r="1315" spans="2:2" x14ac:dyDescent="0.3">
      <c r="B1315" s="1"/>
    </row>
    <row r="1316" spans="2:2" x14ac:dyDescent="0.3">
      <c r="B1316" s="1"/>
    </row>
    <row r="1317" spans="2:2" x14ac:dyDescent="0.3">
      <c r="B1317" s="1"/>
    </row>
    <row r="1318" spans="2:2" x14ac:dyDescent="0.3">
      <c r="B1318" s="1"/>
    </row>
    <row r="1319" spans="2:2" x14ac:dyDescent="0.3">
      <c r="B1319" s="1"/>
    </row>
    <row r="1320" spans="2:2" x14ac:dyDescent="0.3">
      <c r="B1320" s="1"/>
    </row>
    <row r="1321" spans="2:2" x14ac:dyDescent="0.3">
      <c r="B1321" s="1"/>
    </row>
    <row r="1322" spans="2:2" x14ac:dyDescent="0.3">
      <c r="B1322" s="1"/>
    </row>
    <row r="1323" spans="2:2" x14ac:dyDescent="0.3">
      <c r="B1323" s="1"/>
    </row>
    <row r="1324" spans="2:2" x14ac:dyDescent="0.3">
      <c r="B1324" s="1"/>
    </row>
    <row r="1325" spans="2:2" x14ac:dyDescent="0.3">
      <c r="B1325" s="1"/>
    </row>
    <row r="1326" spans="2:2" x14ac:dyDescent="0.3">
      <c r="B1326" s="1"/>
    </row>
    <row r="1327" spans="2:2" x14ac:dyDescent="0.3">
      <c r="B1327" s="1"/>
    </row>
    <row r="1328" spans="2:2" x14ac:dyDescent="0.3">
      <c r="B1328" s="1"/>
    </row>
    <row r="1329" spans="2:2" x14ac:dyDescent="0.3">
      <c r="B1329" s="1"/>
    </row>
    <row r="1330" spans="2:2" x14ac:dyDescent="0.3">
      <c r="B1330" s="1"/>
    </row>
    <row r="1331" spans="2:2" x14ac:dyDescent="0.3">
      <c r="B1331" s="1"/>
    </row>
    <row r="1332" spans="2:2" x14ac:dyDescent="0.3">
      <c r="B1332" s="1"/>
    </row>
    <row r="1333" spans="2:2" x14ac:dyDescent="0.3">
      <c r="B1333" s="1"/>
    </row>
    <row r="1334" spans="2:2" x14ac:dyDescent="0.3">
      <c r="B1334" s="1"/>
    </row>
    <row r="1335" spans="2:2" x14ac:dyDescent="0.3">
      <c r="B1335" s="1"/>
    </row>
    <row r="1336" spans="2:2" x14ac:dyDescent="0.3">
      <c r="B1336" s="1"/>
    </row>
    <row r="1337" spans="2:2" x14ac:dyDescent="0.3">
      <c r="B1337" s="1"/>
    </row>
    <row r="1338" spans="2:2" x14ac:dyDescent="0.3">
      <c r="B1338" s="1"/>
    </row>
    <row r="1339" spans="2:2" x14ac:dyDescent="0.3">
      <c r="B1339" s="1"/>
    </row>
    <row r="1340" spans="2:2" x14ac:dyDescent="0.3">
      <c r="B1340" s="1"/>
    </row>
    <row r="1341" spans="2:2" x14ac:dyDescent="0.3">
      <c r="B1341" s="1"/>
    </row>
    <row r="1342" spans="2:2" x14ac:dyDescent="0.3">
      <c r="B1342" s="1"/>
    </row>
    <row r="1343" spans="2:2" x14ac:dyDescent="0.3">
      <c r="B1343" s="1"/>
    </row>
    <row r="1344" spans="2:2" x14ac:dyDescent="0.3">
      <c r="B1344" s="1"/>
    </row>
    <row r="1345" spans="2:2" x14ac:dyDescent="0.3">
      <c r="B1345" s="1"/>
    </row>
    <row r="1346" spans="2:2" x14ac:dyDescent="0.3">
      <c r="B1346" s="1"/>
    </row>
    <row r="1347" spans="2:2" x14ac:dyDescent="0.3">
      <c r="B1347" s="1"/>
    </row>
    <row r="1348" spans="2:2" x14ac:dyDescent="0.3">
      <c r="B1348" s="1"/>
    </row>
    <row r="1349" spans="2:2" x14ac:dyDescent="0.3">
      <c r="B1349" s="1"/>
    </row>
    <row r="1350" spans="2:2" x14ac:dyDescent="0.3">
      <c r="B1350" s="1"/>
    </row>
    <row r="1351" spans="2:2" x14ac:dyDescent="0.3">
      <c r="B1351" s="1"/>
    </row>
    <row r="1352" spans="2:2" x14ac:dyDescent="0.3">
      <c r="B1352" s="1"/>
    </row>
    <row r="1353" spans="2:2" x14ac:dyDescent="0.3">
      <c r="B1353" s="1"/>
    </row>
    <row r="1354" spans="2:2" x14ac:dyDescent="0.3">
      <c r="B1354" s="1"/>
    </row>
    <row r="1355" spans="2:2" x14ac:dyDescent="0.3">
      <c r="B1355" s="1"/>
    </row>
    <row r="1356" spans="2:2" x14ac:dyDescent="0.3">
      <c r="B1356" s="1"/>
    </row>
    <row r="1357" spans="2:2" x14ac:dyDescent="0.3">
      <c r="B1357" s="1"/>
    </row>
    <row r="1358" spans="2:2" x14ac:dyDescent="0.3">
      <c r="B1358" s="1"/>
    </row>
    <row r="1359" spans="2:2" x14ac:dyDescent="0.3">
      <c r="B1359" s="1"/>
    </row>
    <row r="1360" spans="2:2" x14ac:dyDescent="0.3">
      <c r="B1360" s="1"/>
    </row>
    <row r="1361" spans="2:2" x14ac:dyDescent="0.3">
      <c r="B1361" s="1"/>
    </row>
    <row r="1362" spans="2:2" x14ac:dyDescent="0.3">
      <c r="B1362" s="1"/>
    </row>
    <row r="1363" spans="2:2" x14ac:dyDescent="0.3">
      <c r="B1363" s="1"/>
    </row>
    <row r="1364" spans="2:2" x14ac:dyDescent="0.3">
      <c r="B1364" s="1"/>
    </row>
    <row r="1365" spans="2:2" x14ac:dyDescent="0.3">
      <c r="B1365" s="1"/>
    </row>
    <row r="1366" spans="2:2" x14ac:dyDescent="0.3">
      <c r="B1366" s="1"/>
    </row>
    <row r="1367" spans="2:2" x14ac:dyDescent="0.3">
      <c r="B1367" s="1"/>
    </row>
    <row r="1368" spans="2:2" x14ac:dyDescent="0.3">
      <c r="B1368" s="1"/>
    </row>
    <row r="1369" spans="2:2" x14ac:dyDescent="0.3">
      <c r="B1369" s="1"/>
    </row>
    <row r="1370" spans="2:2" x14ac:dyDescent="0.3">
      <c r="B1370" s="1"/>
    </row>
    <row r="1371" spans="2:2" x14ac:dyDescent="0.3">
      <c r="B1371" s="1"/>
    </row>
    <row r="1372" spans="2:2" x14ac:dyDescent="0.3">
      <c r="B1372" s="1"/>
    </row>
    <row r="1373" spans="2:2" x14ac:dyDescent="0.3">
      <c r="B1373" s="1"/>
    </row>
    <row r="1374" spans="2:2" x14ac:dyDescent="0.3">
      <c r="B1374" s="1"/>
    </row>
    <row r="1375" spans="2:2" x14ac:dyDescent="0.3">
      <c r="B1375" s="1"/>
    </row>
    <row r="1376" spans="2:2" x14ac:dyDescent="0.3">
      <c r="B1376" s="1"/>
    </row>
    <row r="1377" spans="2:2" x14ac:dyDescent="0.3">
      <c r="B1377" s="1"/>
    </row>
    <row r="1378" spans="2:2" x14ac:dyDescent="0.3">
      <c r="B1378" s="1"/>
    </row>
    <row r="1379" spans="2:2" x14ac:dyDescent="0.3">
      <c r="B1379" s="1"/>
    </row>
    <row r="1380" spans="2:2" x14ac:dyDescent="0.3">
      <c r="B1380" s="1"/>
    </row>
    <row r="1381" spans="2:2" x14ac:dyDescent="0.3">
      <c r="B1381" s="1"/>
    </row>
    <row r="1382" spans="2:2" x14ac:dyDescent="0.3">
      <c r="B1382" s="1"/>
    </row>
    <row r="1383" spans="2:2" x14ac:dyDescent="0.3">
      <c r="B1383" s="1"/>
    </row>
    <row r="1384" spans="2:2" x14ac:dyDescent="0.3">
      <c r="B1384" s="1"/>
    </row>
    <row r="1385" spans="2:2" x14ac:dyDescent="0.3">
      <c r="B1385" s="1"/>
    </row>
    <row r="1386" spans="2:2" x14ac:dyDescent="0.3">
      <c r="B1386" s="1"/>
    </row>
    <row r="1387" spans="2:2" x14ac:dyDescent="0.3">
      <c r="B1387" s="1"/>
    </row>
    <row r="1388" spans="2:2" x14ac:dyDescent="0.3">
      <c r="B1388" s="1"/>
    </row>
    <row r="1389" spans="2:2" x14ac:dyDescent="0.3">
      <c r="B1389" s="1"/>
    </row>
    <row r="1390" spans="2:2" x14ac:dyDescent="0.3">
      <c r="B1390" s="1"/>
    </row>
    <row r="1391" spans="2:2" x14ac:dyDescent="0.3">
      <c r="B1391" s="1"/>
    </row>
    <row r="1392" spans="2:2" x14ac:dyDescent="0.3">
      <c r="B1392" s="1"/>
    </row>
    <row r="1393" spans="2:2" x14ac:dyDescent="0.3">
      <c r="B1393" s="1"/>
    </row>
    <row r="1394" spans="2:2" x14ac:dyDescent="0.3">
      <c r="B1394" s="1"/>
    </row>
    <row r="1395" spans="2:2" x14ac:dyDescent="0.3">
      <c r="B1395" s="1"/>
    </row>
    <row r="1396" spans="2:2" x14ac:dyDescent="0.3">
      <c r="B1396" s="1"/>
    </row>
    <row r="1397" spans="2:2" x14ac:dyDescent="0.3">
      <c r="B1397" s="1"/>
    </row>
    <row r="1398" spans="2:2" x14ac:dyDescent="0.3">
      <c r="B1398" s="1"/>
    </row>
    <row r="1399" spans="2:2" x14ac:dyDescent="0.3">
      <c r="B1399" s="1"/>
    </row>
    <row r="1400" spans="2:2" x14ac:dyDescent="0.3">
      <c r="B1400" s="1"/>
    </row>
    <row r="1401" spans="2:2" x14ac:dyDescent="0.3">
      <c r="B1401" s="1"/>
    </row>
    <row r="1402" spans="2:2" x14ac:dyDescent="0.3">
      <c r="B1402" s="1"/>
    </row>
    <row r="1403" spans="2:2" x14ac:dyDescent="0.3">
      <c r="B1403" s="1"/>
    </row>
    <row r="1404" spans="2:2" x14ac:dyDescent="0.3">
      <c r="B1404" s="1"/>
    </row>
    <row r="1405" spans="2:2" x14ac:dyDescent="0.3">
      <c r="B1405" s="1"/>
    </row>
    <row r="1406" spans="2:2" x14ac:dyDescent="0.3">
      <c r="B1406" s="1"/>
    </row>
    <row r="1407" spans="2:2" x14ac:dyDescent="0.3">
      <c r="B1407" s="1"/>
    </row>
    <row r="1408" spans="2:2" x14ac:dyDescent="0.3">
      <c r="B1408" s="1"/>
    </row>
    <row r="1409" spans="2:2" x14ac:dyDescent="0.3">
      <c r="B1409" s="1"/>
    </row>
    <row r="1410" spans="2:2" x14ac:dyDescent="0.3">
      <c r="B1410" s="1"/>
    </row>
    <row r="1411" spans="2:2" x14ac:dyDescent="0.3">
      <c r="B1411" s="1"/>
    </row>
    <row r="1412" spans="2:2" x14ac:dyDescent="0.3">
      <c r="B1412" s="1"/>
    </row>
    <row r="1413" spans="2:2" x14ac:dyDescent="0.3">
      <c r="B1413" s="1"/>
    </row>
    <row r="1414" spans="2:2" x14ac:dyDescent="0.3">
      <c r="B1414" s="1"/>
    </row>
    <row r="1415" spans="2:2" x14ac:dyDescent="0.3">
      <c r="B1415" s="1"/>
    </row>
    <row r="1416" spans="2:2" x14ac:dyDescent="0.3">
      <c r="B1416" s="1"/>
    </row>
    <row r="1417" spans="2:2" x14ac:dyDescent="0.3">
      <c r="B1417" s="1"/>
    </row>
    <row r="1418" spans="2:2" x14ac:dyDescent="0.3">
      <c r="B1418" s="1"/>
    </row>
    <row r="1419" spans="2:2" x14ac:dyDescent="0.3">
      <c r="B1419" s="1"/>
    </row>
    <row r="1420" spans="2:2" x14ac:dyDescent="0.3">
      <c r="B1420" s="1"/>
    </row>
    <row r="1421" spans="2:2" x14ac:dyDescent="0.3">
      <c r="B1421" s="1"/>
    </row>
    <row r="1422" spans="2:2" x14ac:dyDescent="0.3">
      <c r="B1422" s="1"/>
    </row>
    <row r="1423" spans="2:2" x14ac:dyDescent="0.3">
      <c r="B1423" s="1"/>
    </row>
    <row r="1424" spans="2:2" x14ac:dyDescent="0.3">
      <c r="B1424" s="1"/>
    </row>
    <row r="1425" spans="2:2" x14ac:dyDescent="0.3">
      <c r="B1425" s="1"/>
    </row>
    <row r="1426" spans="2:2" x14ac:dyDescent="0.3">
      <c r="B1426" s="1"/>
    </row>
    <row r="1427" spans="2:2" x14ac:dyDescent="0.3">
      <c r="B1427" s="1"/>
    </row>
    <row r="1428" spans="2:2" x14ac:dyDescent="0.3">
      <c r="B1428" s="1"/>
    </row>
    <row r="1429" spans="2:2" x14ac:dyDescent="0.3">
      <c r="B1429" s="1"/>
    </row>
    <row r="1430" spans="2:2" x14ac:dyDescent="0.3">
      <c r="B1430" s="1"/>
    </row>
    <row r="1431" spans="2:2" x14ac:dyDescent="0.3">
      <c r="B1431" s="1"/>
    </row>
    <row r="1432" spans="2:2" x14ac:dyDescent="0.3">
      <c r="B1432" s="1"/>
    </row>
    <row r="1433" spans="2:2" x14ac:dyDescent="0.3">
      <c r="B1433" s="1"/>
    </row>
    <row r="1434" spans="2:2" x14ac:dyDescent="0.3">
      <c r="B1434" s="1"/>
    </row>
    <row r="1435" spans="2:2" x14ac:dyDescent="0.3">
      <c r="B1435" s="1"/>
    </row>
    <row r="1436" spans="2:2" x14ac:dyDescent="0.3">
      <c r="B1436" s="1"/>
    </row>
    <row r="1437" spans="2:2" x14ac:dyDescent="0.3">
      <c r="B1437" s="1"/>
    </row>
    <row r="1438" spans="2:2" x14ac:dyDescent="0.3">
      <c r="B1438" s="1"/>
    </row>
    <row r="1439" spans="2:2" x14ac:dyDescent="0.3">
      <c r="B1439" s="1"/>
    </row>
    <row r="1440" spans="2:2" x14ac:dyDescent="0.3">
      <c r="B1440" s="1"/>
    </row>
    <row r="1441" spans="2:2" x14ac:dyDescent="0.3">
      <c r="B1441" s="1"/>
    </row>
    <row r="1442" spans="2:2" x14ac:dyDescent="0.3">
      <c r="B1442" s="1"/>
    </row>
    <row r="1443" spans="2:2" x14ac:dyDescent="0.3">
      <c r="B1443" s="1"/>
    </row>
    <row r="1444" spans="2:2" x14ac:dyDescent="0.3">
      <c r="B1444" s="1"/>
    </row>
    <row r="1445" spans="2:2" x14ac:dyDescent="0.3">
      <c r="B1445" s="1"/>
    </row>
    <row r="1446" spans="2:2" x14ac:dyDescent="0.3">
      <c r="B1446" s="1"/>
    </row>
    <row r="1447" spans="2:2" x14ac:dyDescent="0.3">
      <c r="B1447" s="1"/>
    </row>
    <row r="1448" spans="2:2" x14ac:dyDescent="0.3">
      <c r="B1448" s="1"/>
    </row>
    <row r="1449" spans="2:2" x14ac:dyDescent="0.3">
      <c r="B1449" s="1"/>
    </row>
    <row r="1450" spans="2:2" x14ac:dyDescent="0.3">
      <c r="B1450" s="1"/>
    </row>
    <row r="1451" spans="2:2" x14ac:dyDescent="0.3">
      <c r="B1451" s="1"/>
    </row>
    <row r="1452" spans="2:2" x14ac:dyDescent="0.3">
      <c r="B1452" s="1"/>
    </row>
    <row r="1453" spans="2:2" x14ac:dyDescent="0.3">
      <c r="B1453" s="1"/>
    </row>
    <row r="1454" spans="2:2" x14ac:dyDescent="0.3">
      <c r="B1454" s="1"/>
    </row>
    <row r="1455" spans="2:2" x14ac:dyDescent="0.3">
      <c r="B1455" s="1"/>
    </row>
    <row r="1456" spans="2:2" x14ac:dyDescent="0.3">
      <c r="B1456" s="1"/>
    </row>
    <row r="1457" spans="2:2" x14ac:dyDescent="0.3">
      <c r="B1457" s="1"/>
    </row>
    <row r="1458" spans="2:2" x14ac:dyDescent="0.3">
      <c r="B1458" s="1"/>
    </row>
    <row r="1459" spans="2:2" x14ac:dyDescent="0.3">
      <c r="B1459" s="1"/>
    </row>
    <row r="1460" spans="2:2" x14ac:dyDescent="0.3">
      <c r="B1460" s="1"/>
    </row>
    <row r="1461" spans="2:2" x14ac:dyDescent="0.3">
      <c r="B1461" s="1"/>
    </row>
    <row r="1462" spans="2:2" x14ac:dyDescent="0.3">
      <c r="B1462" s="1"/>
    </row>
    <row r="1463" spans="2:2" x14ac:dyDescent="0.3">
      <c r="B1463" s="1"/>
    </row>
    <row r="1464" spans="2:2" x14ac:dyDescent="0.3">
      <c r="B1464" s="1"/>
    </row>
    <row r="1465" spans="2:2" x14ac:dyDescent="0.3">
      <c r="B1465" s="1"/>
    </row>
    <row r="1466" spans="2:2" x14ac:dyDescent="0.3">
      <c r="B1466" s="1"/>
    </row>
    <row r="1467" spans="2:2" x14ac:dyDescent="0.3">
      <c r="B1467" s="1"/>
    </row>
    <row r="1468" spans="2:2" x14ac:dyDescent="0.3">
      <c r="B1468" s="1"/>
    </row>
    <row r="1469" spans="2:2" x14ac:dyDescent="0.3">
      <c r="B1469" s="1"/>
    </row>
    <row r="1470" spans="2:2" x14ac:dyDescent="0.3">
      <c r="B1470" s="1"/>
    </row>
    <row r="1471" spans="2:2" x14ac:dyDescent="0.3">
      <c r="B1471" s="1"/>
    </row>
    <row r="1472" spans="2:2" x14ac:dyDescent="0.3">
      <c r="B1472" s="1"/>
    </row>
    <row r="1473" spans="2:2" x14ac:dyDescent="0.3">
      <c r="B1473" s="1"/>
    </row>
    <row r="1474" spans="2:2" x14ac:dyDescent="0.3">
      <c r="B1474" s="1"/>
    </row>
    <row r="1475" spans="2:2" x14ac:dyDescent="0.3">
      <c r="B1475" s="1"/>
    </row>
    <row r="1476" spans="2:2" x14ac:dyDescent="0.3">
      <c r="B1476" s="1"/>
    </row>
    <row r="1477" spans="2:2" x14ac:dyDescent="0.3">
      <c r="B1477" s="1"/>
    </row>
    <row r="1478" spans="2:2" x14ac:dyDescent="0.3">
      <c r="B1478" s="1"/>
    </row>
    <row r="1479" spans="2:2" x14ac:dyDescent="0.3">
      <c r="B1479" s="1"/>
    </row>
    <row r="1480" spans="2:2" x14ac:dyDescent="0.3">
      <c r="B1480" s="1"/>
    </row>
    <row r="1481" spans="2:2" x14ac:dyDescent="0.3">
      <c r="B1481" s="1"/>
    </row>
    <row r="1482" spans="2:2" x14ac:dyDescent="0.3">
      <c r="B1482" s="1"/>
    </row>
    <row r="1483" spans="2:2" x14ac:dyDescent="0.3">
      <c r="B1483" s="1"/>
    </row>
    <row r="1484" spans="2:2" x14ac:dyDescent="0.3">
      <c r="B1484" s="1"/>
    </row>
    <row r="1485" spans="2:2" x14ac:dyDescent="0.3">
      <c r="B1485" s="1"/>
    </row>
    <row r="1486" spans="2:2" x14ac:dyDescent="0.3">
      <c r="B1486" s="1"/>
    </row>
    <row r="1487" spans="2:2" x14ac:dyDescent="0.3">
      <c r="B1487" s="1"/>
    </row>
    <row r="1488" spans="2:2" x14ac:dyDescent="0.3">
      <c r="B1488" s="1"/>
    </row>
    <row r="1489" spans="2:2" x14ac:dyDescent="0.3">
      <c r="B1489" s="1"/>
    </row>
    <row r="1490" spans="2:2" x14ac:dyDescent="0.3">
      <c r="B1490" s="1"/>
    </row>
    <row r="1491" spans="2:2" x14ac:dyDescent="0.3">
      <c r="B1491" s="1"/>
    </row>
    <row r="1492" spans="2:2" x14ac:dyDescent="0.3">
      <c r="B1492" s="1"/>
    </row>
    <row r="1493" spans="2:2" x14ac:dyDescent="0.3">
      <c r="B1493" s="1"/>
    </row>
    <row r="1494" spans="2:2" x14ac:dyDescent="0.3">
      <c r="B1494" s="1"/>
    </row>
    <row r="1495" spans="2:2" x14ac:dyDescent="0.3">
      <c r="B1495" s="1"/>
    </row>
    <row r="1496" spans="2:2" x14ac:dyDescent="0.3">
      <c r="B1496" s="1"/>
    </row>
    <row r="1497" spans="2:2" x14ac:dyDescent="0.3">
      <c r="B1497" s="1"/>
    </row>
    <row r="1498" spans="2:2" x14ac:dyDescent="0.3">
      <c r="B1498" s="1"/>
    </row>
    <row r="1499" spans="2:2" x14ac:dyDescent="0.3">
      <c r="B1499" s="1"/>
    </row>
    <row r="1500" spans="2:2" x14ac:dyDescent="0.3">
      <c r="B1500" s="1"/>
    </row>
    <row r="1501" spans="2:2" x14ac:dyDescent="0.3">
      <c r="B1501" s="1"/>
    </row>
    <row r="1502" spans="2:2" x14ac:dyDescent="0.3">
      <c r="B1502" s="1"/>
    </row>
    <row r="1503" spans="2:2" x14ac:dyDescent="0.3">
      <c r="B1503" s="1"/>
    </row>
    <row r="1504" spans="2:2" x14ac:dyDescent="0.3">
      <c r="B1504" s="1"/>
    </row>
    <row r="1505" spans="2:2" x14ac:dyDescent="0.3">
      <c r="B1505" s="1"/>
    </row>
    <row r="1506" spans="2:2" x14ac:dyDescent="0.3">
      <c r="B1506" s="1"/>
    </row>
    <row r="1507" spans="2:2" x14ac:dyDescent="0.3">
      <c r="B1507" s="1"/>
    </row>
    <row r="1508" spans="2:2" x14ac:dyDescent="0.3">
      <c r="B1508" s="1"/>
    </row>
    <row r="1509" spans="2:2" x14ac:dyDescent="0.3">
      <c r="B1509" s="1"/>
    </row>
    <row r="1510" spans="2:2" x14ac:dyDescent="0.3">
      <c r="B1510" s="1"/>
    </row>
    <row r="1511" spans="2:2" x14ac:dyDescent="0.3">
      <c r="B1511" s="1"/>
    </row>
    <row r="1512" spans="2:2" x14ac:dyDescent="0.3">
      <c r="B1512" s="1"/>
    </row>
    <row r="1513" spans="2:2" x14ac:dyDescent="0.3">
      <c r="B1513" s="1"/>
    </row>
    <row r="1514" spans="2:2" x14ac:dyDescent="0.3">
      <c r="B1514" s="1"/>
    </row>
    <row r="1515" spans="2:2" x14ac:dyDescent="0.3">
      <c r="B1515" s="1"/>
    </row>
    <row r="1516" spans="2:2" x14ac:dyDescent="0.3">
      <c r="B1516" s="1"/>
    </row>
    <row r="1517" spans="2:2" x14ac:dyDescent="0.3">
      <c r="B1517" s="1"/>
    </row>
    <row r="1518" spans="2:2" x14ac:dyDescent="0.3">
      <c r="B1518" s="1"/>
    </row>
    <row r="1519" spans="2:2" x14ac:dyDescent="0.3">
      <c r="B1519" s="1"/>
    </row>
    <row r="1520" spans="2:2" x14ac:dyDescent="0.3">
      <c r="B1520" s="1"/>
    </row>
    <row r="1521" spans="2:2" x14ac:dyDescent="0.3">
      <c r="B1521" s="1"/>
    </row>
    <row r="1522" spans="2:2" x14ac:dyDescent="0.3">
      <c r="B1522" s="1"/>
    </row>
    <row r="1523" spans="2:2" x14ac:dyDescent="0.3">
      <c r="B1523" s="1"/>
    </row>
    <row r="1524" spans="2:2" x14ac:dyDescent="0.3">
      <c r="B1524" s="1"/>
    </row>
    <row r="1525" spans="2:2" x14ac:dyDescent="0.3">
      <c r="B1525" s="1"/>
    </row>
    <row r="1526" spans="2:2" x14ac:dyDescent="0.3">
      <c r="B1526" s="1"/>
    </row>
    <row r="1527" spans="2:2" x14ac:dyDescent="0.3">
      <c r="B1527" s="1"/>
    </row>
    <row r="1528" spans="2:2" x14ac:dyDescent="0.3">
      <c r="B1528" s="1"/>
    </row>
    <row r="1529" spans="2:2" x14ac:dyDescent="0.3">
      <c r="B1529" s="1"/>
    </row>
    <row r="1530" spans="2:2" x14ac:dyDescent="0.3">
      <c r="B1530" s="1"/>
    </row>
    <row r="1531" spans="2:2" x14ac:dyDescent="0.3">
      <c r="B1531" s="1"/>
    </row>
    <row r="1532" spans="2:2" x14ac:dyDescent="0.3">
      <c r="B1532" s="1"/>
    </row>
    <row r="1533" spans="2:2" x14ac:dyDescent="0.3">
      <c r="B1533" s="1"/>
    </row>
    <row r="1534" spans="2:2" x14ac:dyDescent="0.3">
      <c r="B1534" s="1"/>
    </row>
    <row r="1535" spans="2:2" x14ac:dyDescent="0.3">
      <c r="B1535" s="1"/>
    </row>
    <row r="1536" spans="2:2" x14ac:dyDescent="0.3">
      <c r="B1536" s="1"/>
    </row>
    <row r="1537" spans="2:2" x14ac:dyDescent="0.3">
      <c r="B1537" s="1"/>
    </row>
    <row r="1538" spans="2:2" x14ac:dyDescent="0.3">
      <c r="B1538" s="1"/>
    </row>
    <row r="1539" spans="2:2" x14ac:dyDescent="0.3">
      <c r="B1539" s="1"/>
    </row>
    <row r="1540" spans="2:2" x14ac:dyDescent="0.3">
      <c r="B1540" s="1"/>
    </row>
    <row r="1541" spans="2:2" x14ac:dyDescent="0.3">
      <c r="B1541" s="1"/>
    </row>
    <row r="1542" spans="2:2" x14ac:dyDescent="0.3">
      <c r="B1542" s="1"/>
    </row>
    <row r="1543" spans="2:2" x14ac:dyDescent="0.3">
      <c r="B1543" s="1"/>
    </row>
    <row r="1544" spans="2:2" x14ac:dyDescent="0.3">
      <c r="B1544" s="1"/>
    </row>
    <row r="1545" spans="2:2" x14ac:dyDescent="0.3">
      <c r="B1545" s="1"/>
    </row>
    <row r="1546" spans="2:2" x14ac:dyDescent="0.3">
      <c r="B1546" s="1"/>
    </row>
    <row r="1547" spans="2:2" x14ac:dyDescent="0.3">
      <c r="B1547" s="1"/>
    </row>
    <row r="1548" spans="2:2" x14ac:dyDescent="0.3">
      <c r="B1548" s="1"/>
    </row>
    <row r="1549" spans="2:2" x14ac:dyDescent="0.3">
      <c r="B1549" s="1"/>
    </row>
    <row r="1550" spans="2:2" x14ac:dyDescent="0.3">
      <c r="B1550" s="1"/>
    </row>
    <row r="1551" spans="2:2" x14ac:dyDescent="0.3">
      <c r="B1551" s="1"/>
    </row>
    <row r="1552" spans="2:2" x14ac:dyDescent="0.3">
      <c r="B1552" s="1"/>
    </row>
    <row r="1553" spans="2:2" x14ac:dyDescent="0.3">
      <c r="B1553" s="1"/>
    </row>
    <row r="1554" spans="2:2" x14ac:dyDescent="0.3">
      <c r="B1554" s="1"/>
    </row>
    <row r="1555" spans="2:2" x14ac:dyDescent="0.3">
      <c r="B1555" s="1"/>
    </row>
    <row r="1556" spans="2:2" x14ac:dyDescent="0.3">
      <c r="B1556" s="1"/>
    </row>
    <row r="1557" spans="2:2" x14ac:dyDescent="0.3">
      <c r="B1557" s="1"/>
    </row>
    <row r="1558" spans="2:2" x14ac:dyDescent="0.3">
      <c r="B1558" s="1"/>
    </row>
    <row r="1559" spans="2:2" x14ac:dyDescent="0.3">
      <c r="B1559" s="1"/>
    </row>
    <row r="1560" spans="2:2" x14ac:dyDescent="0.3">
      <c r="B1560" s="1"/>
    </row>
    <row r="1561" spans="2:2" x14ac:dyDescent="0.3">
      <c r="B1561" s="1"/>
    </row>
    <row r="1562" spans="2:2" x14ac:dyDescent="0.3">
      <c r="B1562" s="1"/>
    </row>
    <row r="1563" spans="2:2" x14ac:dyDescent="0.3">
      <c r="B1563" s="1"/>
    </row>
    <row r="1564" spans="2:2" x14ac:dyDescent="0.3">
      <c r="B1564" s="1"/>
    </row>
    <row r="1565" spans="2:2" x14ac:dyDescent="0.3">
      <c r="B1565" s="1"/>
    </row>
    <row r="1566" spans="2:2" x14ac:dyDescent="0.3">
      <c r="B1566" s="1"/>
    </row>
    <row r="1567" spans="2:2" x14ac:dyDescent="0.3">
      <c r="B1567" s="1"/>
    </row>
    <row r="1568" spans="2:2" x14ac:dyDescent="0.3">
      <c r="B1568" s="1"/>
    </row>
    <row r="1569" spans="2:2" x14ac:dyDescent="0.3">
      <c r="B1569" s="1"/>
    </row>
    <row r="1570" spans="2:2" x14ac:dyDescent="0.3">
      <c r="B1570" s="1"/>
    </row>
    <row r="1571" spans="2:2" x14ac:dyDescent="0.3">
      <c r="B1571" s="1"/>
    </row>
    <row r="1572" spans="2:2" x14ac:dyDescent="0.3">
      <c r="B1572" s="1"/>
    </row>
    <row r="1573" spans="2:2" x14ac:dyDescent="0.3">
      <c r="B1573" s="1"/>
    </row>
    <row r="1574" spans="2:2" x14ac:dyDescent="0.3">
      <c r="B1574" s="1"/>
    </row>
    <row r="1575" spans="2:2" x14ac:dyDescent="0.3">
      <c r="B1575" s="1"/>
    </row>
    <row r="1576" spans="2:2" x14ac:dyDescent="0.3">
      <c r="B1576" s="1"/>
    </row>
    <row r="1577" spans="2:2" x14ac:dyDescent="0.3">
      <c r="B1577" s="1"/>
    </row>
    <row r="1578" spans="2:2" x14ac:dyDescent="0.3">
      <c r="B1578" s="1"/>
    </row>
    <row r="1579" spans="2:2" x14ac:dyDescent="0.3">
      <c r="B1579" s="1"/>
    </row>
    <row r="1580" spans="2:2" x14ac:dyDescent="0.3">
      <c r="B1580" s="1"/>
    </row>
    <row r="1581" spans="2:2" x14ac:dyDescent="0.3">
      <c r="B1581" s="1"/>
    </row>
    <row r="1582" spans="2:2" x14ac:dyDescent="0.3">
      <c r="B1582" s="1"/>
    </row>
    <row r="1583" spans="2:2" x14ac:dyDescent="0.3">
      <c r="B1583" s="1"/>
    </row>
    <row r="1584" spans="2:2" x14ac:dyDescent="0.3">
      <c r="B1584" s="1"/>
    </row>
    <row r="1585" spans="2:2" x14ac:dyDescent="0.3">
      <c r="B1585" s="1"/>
    </row>
    <row r="1586" spans="2:2" x14ac:dyDescent="0.3">
      <c r="B1586" s="1"/>
    </row>
    <row r="1587" spans="2:2" x14ac:dyDescent="0.3">
      <c r="B1587" s="1"/>
    </row>
    <row r="1588" spans="2:2" x14ac:dyDescent="0.3">
      <c r="B1588" s="1"/>
    </row>
    <row r="1589" spans="2:2" x14ac:dyDescent="0.3">
      <c r="B1589" s="1"/>
    </row>
    <row r="1590" spans="2:2" x14ac:dyDescent="0.3">
      <c r="B1590" s="1"/>
    </row>
    <row r="1591" spans="2:2" x14ac:dyDescent="0.3">
      <c r="B1591" s="1"/>
    </row>
    <row r="1592" spans="2:2" x14ac:dyDescent="0.3">
      <c r="B1592" s="1"/>
    </row>
    <row r="1593" spans="2:2" x14ac:dyDescent="0.3">
      <c r="B1593" s="1"/>
    </row>
    <row r="1594" spans="2:2" x14ac:dyDescent="0.3">
      <c r="B1594" s="1"/>
    </row>
    <row r="1595" spans="2:2" x14ac:dyDescent="0.3">
      <c r="B1595" s="1"/>
    </row>
    <row r="1596" spans="2:2" x14ac:dyDescent="0.3">
      <c r="B1596" s="1"/>
    </row>
    <row r="1597" spans="2:2" x14ac:dyDescent="0.3">
      <c r="B1597" s="1"/>
    </row>
    <row r="1598" spans="2:2" x14ac:dyDescent="0.3">
      <c r="B1598" s="1"/>
    </row>
    <row r="1599" spans="2:2" x14ac:dyDescent="0.3">
      <c r="B1599" s="1"/>
    </row>
    <row r="1600" spans="2:2" x14ac:dyDescent="0.3">
      <c r="B1600" s="1"/>
    </row>
    <row r="1601" spans="2:2" x14ac:dyDescent="0.3">
      <c r="B1601" s="1"/>
    </row>
    <row r="1602" spans="2:2" x14ac:dyDescent="0.3">
      <c r="B1602" s="1"/>
    </row>
    <row r="1603" spans="2:2" x14ac:dyDescent="0.3">
      <c r="B1603" s="1"/>
    </row>
    <row r="1604" spans="2:2" x14ac:dyDescent="0.3">
      <c r="B1604" s="1"/>
    </row>
    <row r="1605" spans="2:2" x14ac:dyDescent="0.3">
      <c r="B1605" s="1"/>
    </row>
    <row r="1606" spans="2:2" x14ac:dyDescent="0.3">
      <c r="B1606" s="1"/>
    </row>
    <row r="1607" spans="2:2" x14ac:dyDescent="0.3">
      <c r="B1607" s="1"/>
    </row>
    <row r="1608" spans="2:2" x14ac:dyDescent="0.3">
      <c r="B1608" s="1"/>
    </row>
    <row r="1609" spans="2:2" x14ac:dyDescent="0.3">
      <c r="B1609" s="1"/>
    </row>
    <row r="1610" spans="2:2" x14ac:dyDescent="0.3">
      <c r="B1610" s="1"/>
    </row>
    <row r="1611" spans="2:2" x14ac:dyDescent="0.3">
      <c r="B1611" s="1"/>
    </row>
    <row r="1612" spans="2:2" x14ac:dyDescent="0.3">
      <c r="B1612" s="1"/>
    </row>
    <row r="1613" spans="2:2" x14ac:dyDescent="0.3">
      <c r="B1613" s="1"/>
    </row>
    <row r="1614" spans="2:2" x14ac:dyDescent="0.3">
      <c r="B1614" s="1"/>
    </row>
    <row r="1615" spans="2:2" x14ac:dyDescent="0.3">
      <c r="B1615" s="1"/>
    </row>
    <row r="1616" spans="2:2" x14ac:dyDescent="0.3">
      <c r="B1616" s="1"/>
    </row>
    <row r="1617" spans="2:2" x14ac:dyDescent="0.3">
      <c r="B1617" s="1"/>
    </row>
    <row r="1618" spans="2:2" x14ac:dyDescent="0.3">
      <c r="B1618" s="1"/>
    </row>
    <row r="1619" spans="2:2" x14ac:dyDescent="0.3">
      <c r="B1619" s="1"/>
    </row>
    <row r="1620" spans="2:2" x14ac:dyDescent="0.3">
      <c r="B1620" s="1"/>
    </row>
    <row r="1621" spans="2:2" x14ac:dyDescent="0.3">
      <c r="B1621" s="1"/>
    </row>
    <row r="1622" spans="2:2" x14ac:dyDescent="0.3">
      <c r="B1622" s="1"/>
    </row>
    <row r="1623" spans="2:2" x14ac:dyDescent="0.3">
      <c r="B1623" s="1"/>
    </row>
    <row r="1624" spans="2:2" x14ac:dyDescent="0.3">
      <c r="B1624" s="1"/>
    </row>
    <row r="1625" spans="2:2" x14ac:dyDescent="0.3">
      <c r="B1625" s="1"/>
    </row>
    <row r="1626" spans="2:2" x14ac:dyDescent="0.3">
      <c r="B1626" s="1"/>
    </row>
    <row r="1627" spans="2:2" x14ac:dyDescent="0.3">
      <c r="B1627" s="1"/>
    </row>
    <row r="1628" spans="2:2" x14ac:dyDescent="0.3">
      <c r="B1628" s="1"/>
    </row>
    <row r="1629" spans="2:2" x14ac:dyDescent="0.3">
      <c r="B1629" s="1"/>
    </row>
    <row r="1630" spans="2:2" x14ac:dyDescent="0.3">
      <c r="B1630" s="1"/>
    </row>
    <row r="1631" spans="2:2" x14ac:dyDescent="0.3">
      <c r="B1631" s="1"/>
    </row>
    <row r="1632" spans="2:2" x14ac:dyDescent="0.3">
      <c r="B1632" s="1"/>
    </row>
    <row r="1633" spans="2:2" x14ac:dyDescent="0.3">
      <c r="B1633" s="1"/>
    </row>
    <row r="1634" spans="2:2" x14ac:dyDescent="0.3">
      <c r="B1634" s="1"/>
    </row>
    <row r="1635" spans="2:2" x14ac:dyDescent="0.3">
      <c r="B1635" s="1"/>
    </row>
    <row r="1636" spans="2:2" x14ac:dyDescent="0.3">
      <c r="B1636" s="1"/>
    </row>
    <row r="1637" spans="2:2" x14ac:dyDescent="0.3">
      <c r="B1637" s="1"/>
    </row>
    <row r="1638" spans="2:2" x14ac:dyDescent="0.3">
      <c r="B1638" s="1"/>
    </row>
    <row r="1639" spans="2:2" x14ac:dyDescent="0.3">
      <c r="B1639" s="1"/>
    </row>
    <row r="1640" spans="2:2" x14ac:dyDescent="0.3">
      <c r="B1640" s="1"/>
    </row>
    <row r="1641" spans="2:2" x14ac:dyDescent="0.3">
      <c r="B1641" s="1"/>
    </row>
    <row r="1642" spans="2:2" x14ac:dyDescent="0.3">
      <c r="B1642" s="1"/>
    </row>
    <row r="1643" spans="2:2" x14ac:dyDescent="0.3">
      <c r="B1643" s="1"/>
    </row>
    <row r="1644" spans="2:2" x14ac:dyDescent="0.3">
      <c r="B1644" s="1"/>
    </row>
    <row r="1645" spans="2:2" x14ac:dyDescent="0.3">
      <c r="B1645" s="1"/>
    </row>
    <row r="1646" spans="2:2" x14ac:dyDescent="0.3">
      <c r="B1646" s="1"/>
    </row>
    <row r="1647" spans="2:2" x14ac:dyDescent="0.3">
      <c r="B1647" s="1"/>
    </row>
    <row r="1648" spans="2:2" x14ac:dyDescent="0.3">
      <c r="B1648" s="1"/>
    </row>
    <row r="1649" spans="2:2" x14ac:dyDescent="0.3">
      <c r="B1649" s="1"/>
    </row>
    <row r="1650" spans="2:2" x14ac:dyDescent="0.3">
      <c r="B1650" s="1"/>
    </row>
    <row r="1651" spans="2:2" x14ac:dyDescent="0.3">
      <c r="B1651" s="1"/>
    </row>
    <row r="1652" spans="2:2" x14ac:dyDescent="0.3">
      <c r="B1652" s="1"/>
    </row>
    <row r="1653" spans="2:2" x14ac:dyDescent="0.3">
      <c r="B1653" s="1"/>
    </row>
    <row r="1654" spans="2:2" x14ac:dyDescent="0.3">
      <c r="B1654" s="1"/>
    </row>
    <row r="1655" spans="2:2" x14ac:dyDescent="0.3">
      <c r="B1655" s="1"/>
    </row>
    <row r="1656" spans="2:2" x14ac:dyDescent="0.3">
      <c r="B1656" s="1"/>
    </row>
    <row r="1657" spans="2:2" x14ac:dyDescent="0.3">
      <c r="B1657" s="1"/>
    </row>
    <row r="1658" spans="2:2" x14ac:dyDescent="0.3">
      <c r="B1658" s="1"/>
    </row>
    <row r="1659" spans="2:2" x14ac:dyDescent="0.3">
      <c r="B1659" s="1"/>
    </row>
    <row r="1660" spans="2:2" x14ac:dyDescent="0.3">
      <c r="B1660" s="1"/>
    </row>
    <row r="1661" spans="2:2" x14ac:dyDescent="0.3">
      <c r="B1661" s="1"/>
    </row>
    <row r="1662" spans="2:2" x14ac:dyDescent="0.3">
      <c r="B1662" s="1"/>
    </row>
    <row r="1663" spans="2:2" x14ac:dyDescent="0.3">
      <c r="B1663" s="1"/>
    </row>
    <row r="1664" spans="2:2" x14ac:dyDescent="0.3">
      <c r="B1664" s="1"/>
    </row>
    <row r="1665" spans="2:2" x14ac:dyDescent="0.3">
      <c r="B1665" s="1"/>
    </row>
    <row r="1666" spans="2:2" x14ac:dyDescent="0.3">
      <c r="B1666" s="1"/>
    </row>
    <row r="1667" spans="2:2" x14ac:dyDescent="0.3">
      <c r="B1667" s="1"/>
    </row>
    <row r="1668" spans="2:2" x14ac:dyDescent="0.3">
      <c r="B1668" s="1"/>
    </row>
    <row r="1669" spans="2:2" x14ac:dyDescent="0.3">
      <c r="B1669" s="1"/>
    </row>
    <row r="1670" spans="2:2" x14ac:dyDescent="0.3">
      <c r="B1670" s="1"/>
    </row>
    <row r="1671" spans="2:2" x14ac:dyDescent="0.3">
      <c r="B1671" s="1"/>
    </row>
    <row r="1672" spans="2:2" x14ac:dyDescent="0.3">
      <c r="B1672" s="1"/>
    </row>
    <row r="1673" spans="2:2" x14ac:dyDescent="0.3">
      <c r="B1673" s="1"/>
    </row>
    <row r="1674" spans="2:2" x14ac:dyDescent="0.3">
      <c r="B1674" s="1"/>
    </row>
    <row r="1675" spans="2:2" x14ac:dyDescent="0.3">
      <c r="B1675" s="1"/>
    </row>
    <row r="1676" spans="2:2" x14ac:dyDescent="0.3">
      <c r="B1676" s="1"/>
    </row>
    <row r="1677" spans="2:2" x14ac:dyDescent="0.3">
      <c r="B1677" s="1"/>
    </row>
    <row r="1678" spans="2:2" x14ac:dyDescent="0.3">
      <c r="B1678" s="1"/>
    </row>
    <row r="1679" spans="2:2" x14ac:dyDescent="0.3">
      <c r="B1679" s="1"/>
    </row>
    <row r="1680" spans="2:2" x14ac:dyDescent="0.3">
      <c r="B1680" s="1"/>
    </row>
    <row r="1681" spans="2:2" x14ac:dyDescent="0.3">
      <c r="B1681" s="1"/>
    </row>
    <row r="1682" spans="2:2" x14ac:dyDescent="0.3">
      <c r="B1682" s="1"/>
    </row>
    <row r="1683" spans="2:2" x14ac:dyDescent="0.3">
      <c r="B1683" s="1"/>
    </row>
    <row r="1684" spans="2:2" x14ac:dyDescent="0.3">
      <c r="B1684" s="1"/>
    </row>
    <row r="1685" spans="2:2" x14ac:dyDescent="0.3">
      <c r="B1685" s="1"/>
    </row>
    <row r="1686" spans="2:2" x14ac:dyDescent="0.3">
      <c r="B1686" s="1"/>
    </row>
    <row r="1687" spans="2:2" x14ac:dyDescent="0.3">
      <c r="B1687" s="1"/>
    </row>
    <row r="1688" spans="2:2" x14ac:dyDescent="0.3">
      <c r="B1688" s="1"/>
    </row>
    <row r="1689" spans="2:2" x14ac:dyDescent="0.3">
      <c r="B1689" s="1"/>
    </row>
    <row r="1690" spans="2:2" x14ac:dyDescent="0.3">
      <c r="B1690" s="1"/>
    </row>
    <row r="1691" spans="2:2" x14ac:dyDescent="0.3">
      <c r="B1691" s="1"/>
    </row>
    <row r="1692" spans="2:2" x14ac:dyDescent="0.3">
      <c r="B1692" s="1"/>
    </row>
    <row r="1693" spans="2:2" x14ac:dyDescent="0.3">
      <c r="B1693" s="1"/>
    </row>
    <row r="1694" spans="2:2" x14ac:dyDescent="0.3">
      <c r="B1694" s="1"/>
    </row>
    <row r="1695" spans="2:2" x14ac:dyDescent="0.3">
      <c r="B1695" s="1"/>
    </row>
    <row r="1696" spans="2:2" x14ac:dyDescent="0.3">
      <c r="B1696" s="1"/>
    </row>
    <row r="1697" spans="2:2" x14ac:dyDescent="0.3">
      <c r="B1697" s="1"/>
    </row>
    <row r="1698" spans="2:2" x14ac:dyDescent="0.3">
      <c r="B1698" s="1"/>
    </row>
    <row r="1699" spans="2:2" x14ac:dyDescent="0.3">
      <c r="B1699" s="1"/>
    </row>
    <row r="1700" spans="2:2" x14ac:dyDescent="0.3">
      <c r="B1700" s="1"/>
    </row>
    <row r="1701" spans="2:2" x14ac:dyDescent="0.3">
      <c r="B1701" s="1"/>
    </row>
    <row r="1702" spans="2:2" x14ac:dyDescent="0.3">
      <c r="B1702" s="1"/>
    </row>
    <row r="1703" spans="2:2" x14ac:dyDescent="0.3">
      <c r="B1703" s="1"/>
    </row>
    <row r="1704" spans="2:2" x14ac:dyDescent="0.3">
      <c r="B1704" s="1"/>
    </row>
    <row r="1705" spans="2:2" x14ac:dyDescent="0.3">
      <c r="B1705" s="1"/>
    </row>
    <row r="1706" spans="2:2" x14ac:dyDescent="0.3">
      <c r="B1706" s="1"/>
    </row>
    <row r="1707" spans="2:2" x14ac:dyDescent="0.3">
      <c r="B1707" s="1"/>
    </row>
    <row r="1708" spans="2:2" x14ac:dyDescent="0.3">
      <c r="B1708" s="1"/>
    </row>
    <row r="1709" spans="2:2" x14ac:dyDescent="0.3">
      <c r="B1709" s="1"/>
    </row>
    <row r="1710" spans="2:2" x14ac:dyDescent="0.3">
      <c r="B1710" s="1"/>
    </row>
    <row r="1711" spans="2:2" x14ac:dyDescent="0.3">
      <c r="B1711" s="1"/>
    </row>
    <row r="1712" spans="2:2" x14ac:dyDescent="0.3">
      <c r="B1712" s="1"/>
    </row>
    <row r="1713" spans="2:2" x14ac:dyDescent="0.3">
      <c r="B1713" s="1"/>
    </row>
    <row r="1714" spans="2:2" x14ac:dyDescent="0.3">
      <c r="B1714" s="1"/>
    </row>
    <row r="1715" spans="2:2" x14ac:dyDescent="0.3">
      <c r="B1715" s="1"/>
    </row>
    <row r="1716" spans="2:2" x14ac:dyDescent="0.3">
      <c r="B1716" s="1"/>
    </row>
    <row r="1717" spans="2:2" x14ac:dyDescent="0.3">
      <c r="B1717" s="1"/>
    </row>
    <row r="1718" spans="2:2" x14ac:dyDescent="0.3">
      <c r="B1718" s="1"/>
    </row>
    <row r="1719" spans="2:2" x14ac:dyDescent="0.3">
      <c r="B1719" s="1"/>
    </row>
    <row r="1720" spans="2:2" x14ac:dyDescent="0.3">
      <c r="B1720" s="1"/>
    </row>
    <row r="1721" spans="2:2" x14ac:dyDescent="0.3">
      <c r="B1721" s="1"/>
    </row>
    <row r="1722" spans="2:2" x14ac:dyDescent="0.3">
      <c r="B1722" s="1"/>
    </row>
    <row r="1723" spans="2:2" x14ac:dyDescent="0.3">
      <c r="B1723" s="1"/>
    </row>
    <row r="1724" spans="2:2" x14ac:dyDescent="0.3">
      <c r="B1724" s="1"/>
    </row>
    <row r="1725" spans="2:2" x14ac:dyDescent="0.3">
      <c r="B1725" s="1"/>
    </row>
    <row r="1726" spans="2:2" x14ac:dyDescent="0.3">
      <c r="B1726" s="1"/>
    </row>
    <row r="1727" spans="2:2" x14ac:dyDescent="0.3">
      <c r="B1727" s="1"/>
    </row>
    <row r="1728" spans="2:2" x14ac:dyDescent="0.3">
      <c r="B1728" s="1"/>
    </row>
    <row r="1729" spans="2:2" x14ac:dyDescent="0.3">
      <c r="B1729" s="1"/>
    </row>
    <row r="1730" spans="2:2" x14ac:dyDescent="0.3">
      <c r="B1730" s="1"/>
    </row>
    <row r="1731" spans="2:2" x14ac:dyDescent="0.3">
      <c r="B1731" s="1"/>
    </row>
    <row r="1732" spans="2:2" x14ac:dyDescent="0.3">
      <c r="B1732" s="1"/>
    </row>
    <row r="1733" spans="2:2" x14ac:dyDescent="0.3">
      <c r="B1733" s="1"/>
    </row>
    <row r="1734" spans="2:2" x14ac:dyDescent="0.3">
      <c r="B1734" s="1"/>
    </row>
    <row r="1735" spans="2:2" x14ac:dyDescent="0.3">
      <c r="B1735" s="1"/>
    </row>
    <row r="1736" spans="2:2" x14ac:dyDescent="0.3">
      <c r="B1736" s="1"/>
    </row>
    <row r="1737" spans="2:2" x14ac:dyDescent="0.3">
      <c r="B1737" s="1"/>
    </row>
    <row r="1738" spans="2:2" x14ac:dyDescent="0.3">
      <c r="B1738" s="1"/>
    </row>
    <row r="1739" spans="2:2" x14ac:dyDescent="0.3">
      <c r="B1739" s="1"/>
    </row>
    <row r="1740" spans="2:2" x14ac:dyDescent="0.3">
      <c r="B1740" s="1"/>
    </row>
    <row r="1741" spans="2:2" x14ac:dyDescent="0.3">
      <c r="B1741" s="1"/>
    </row>
    <row r="1742" spans="2:2" x14ac:dyDescent="0.3">
      <c r="B1742" s="1"/>
    </row>
    <row r="1743" spans="2:2" x14ac:dyDescent="0.3">
      <c r="B1743" s="1"/>
    </row>
    <row r="1744" spans="2:2" x14ac:dyDescent="0.3">
      <c r="B1744" s="1"/>
    </row>
    <row r="1745" spans="2:2" x14ac:dyDescent="0.3">
      <c r="B1745" s="1"/>
    </row>
    <row r="1746" spans="2:2" x14ac:dyDescent="0.3">
      <c r="B1746" s="1"/>
    </row>
    <row r="1747" spans="2:2" x14ac:dyDescent="0.3">
      <c r="B1747" s="1"/>
    </row>
    <row r="1748" spans="2:2" x14ac:dyDescent="0.3">
      <c r="B1748" s="1"/>
    </row>
    <row r="1749" spans="2:2" x14ac:dyDescent="0.3">
      <c r="B1749" s="1"/>
    </row>
    <row r="1750" spans="2:2" x14ac:dyDescent="0.3">
      <c r="B1750" s="1"/>
    </row>
    <row r="1751" spans="2:2" x14ac:dyDescent="0.3">
      <c r="B1751" s="1"/>
    </row>
    <row r="1752" spans="2:2" x14ac:dyDescent="0.3">
      <c r="B1752" s="1"/>
    </row>
    <row r="1753" spans="2:2" x14ac:dyDescent="0.3">
      <c r="B1753" s="1"/>
    </row>
    <row r="1754" spans="2:2" x14ac:dyDescent="0.3">
      <c r="B1754" s="1"/>
    </row>
    <row r="1755" spans="2:2" x14ac:dyDescent="0.3">
      <c r="B1755" s="1"/>
    </row>
    <row r="1756" spans="2:2" x14ac:dyDescent="0.3">
      <c r="B1756" s="1"/>
    </row>
    <row r="1757" spans="2:2" x14ac:dyDescent="0.3">
      <c r="B1757" s="1"/>
    </row>
    <row r="1758" spans="2:2" x14ac:dyDescent="0.3">
      <c r="B1758" s="1"/>
    </row>
    <row r="1759" spans="2:2" x14ac:dyDescent="0.3">
      <c r="B1759" s="1"/>
    </row>
    <row r="1760" spans="2:2" x14ac:dyDescent="0.3">
      <c r="B1760" s="1"/>
    </row>
    <row r="1761" spans="2:2" x14ac:dyDescent="0.3">
      <c r="B1761" s="1"/>
    </row>
    <row r="1762" spans="2:2" x14ac:dyDescent="0.3">
      <c r="B1762" s="1"/>
    </row>
    <row r="1763" spans="2:2" x14ac:dyDescent="0.3">
      <c r="B1763" s="1"/>
    </row>
    <row r="1764" spans="2:2" x14ac:dyDescent="0.3">
      <c r="B1764" s="1"/>
    </row>
    <row r="1765" spans="2:2" x14ac:dyDescent="0.3">
      <c r="B1765" s="1"/>
    </row>
    <row r="1766" spans="2:2" x14ac:dyDescent="0.3">
      <c r="B1766" s="1"/>
    </row>
    <row r="1767" spans="2:2" x14ac:dyDescent="0.3">
      <c r="B1767" s="1"/>
    </row>
    <row r="1768" spans="2:2" x14ac:dyDescent="0.3">
      <c r="B1768" s="1"/>
    </row>
    <row r="1769" spans="2:2" x14ac:dyDescent="0.3">
      <c r="B1769" s="1"/>
    </row>
    <row r="1770" spans="2:2" x14ac:dyDescent="0.3">
      <c r="B1770" s="1"/>
    </row>
    <row r="1771" spans="2:2" x14ac:dyDescent="0.3">
      <c r="B1771" s="1"/>
    </row>
    <row r="1772" spans="2:2" x14ac:dyDescent="0.3">
      <c r="B1772" s="1"/>
    </row>
    <row r="1773" spans="2:2" x14ac:dyDescent="0.3">
      <c r="B1773" s="1"/>
    </row>
    <row r="1774" spans="2:2" x14ac:dyDescent="0.3">
      <c r="B1774" s="1"/>
    </row>
    <row r="1775" spans="2:2" x14ac:dyDescent="0.3">
      <c r="B1775" s="1"/>
    </row>
    <row r="1776" spans="2:2" x14ac:dyDescent="0.3">
      <c r="B1776" s="1"/>
    </row>
    <row r="1777" spans="2:2" x14ac:dyDescent="0.3">
      <c r="B1777" s="1"/>
    </row>
    <row r="1778" spans="2:2" x14ac:dyDescent="0.3">
      <c r="B1778" s="1"/>
    </row>
    <row r="1779" spans="2:2" x14ac:dyDescent="0.3">
      <c r="B1779" s="1"/>
    </row>
    <row r="1780" spans="2:2" x14ac:dyDescent="0.3">
      <c r="B1780" s="1"/>
    </row>
    <row r="1781" spans="2:2" x14ac:dyDescent="0.3">
      <c r="B1781" s="1"/>
    </row>
    <row r="1782" spans="2:2" x14ac:dyDescent="0.3">
      <c r="B1782" s="1"/>
    </row>
    <row r="1783" spans="2:2" x14ac:dyDescent="0.3">
      <c r="B1783" s="1"/>
    </row>
    <row r="1784" spans="2:2" x14ac:dyDescent="0.3">
      <c r="B1784" s="1"/>
    </row>
    <row r="1785" spans="2:2" x14ac:dyDescent="0.3">
      <c r="B1785" s="1"/>
    </row>
    <row r="1786" spans="2:2" x14ac:dyDescent="0.3">
      <c r="B1786" s="1"/>
    </row>
    <row r="1787" spans="2:2" x14ac:dyDescent="0.3">
      <c r="B1787" s="1"/>
    </row>
    <row r="1788" spans="2:2" x14ac:dyDescent="0.3">
      <c r="B1788" s="1"/>
    </row>
    <row r="1789" spans="2:2" x14ac:dyDescent="0.3">
      <c r="B1789" s="1"/>
    </row>
    <row r="1790" spans="2:2" x14ac:dyDescent="0.3">
      <c r="B1790" s="1"/>
    </row>
    <row r="1791" spans="2:2" x14ac:dyDescent="0.3">
      <c r="B1791" s="1"/>
    </row>
    <row r="1792" spans="2:2" x14ac:dyDescent="0.3">
      <c r="B1792" s="1"/>
    </row>
    <row r="1793" spans="2:2" x14ac:dyDescent="0.3">
      <c r="B1793" s="1"/>
    </row>
    <row r="1794" spans="2:2" x14ac:dyDescent="0.3">
      <c r="B1794" s="1"/>
    </row>
    <row r="1795" spans="2:2" x14ac:dyDescent="0.3">
      <c r="B1795" s="1"/>
    </row>
    <row r="1796" spans="2:2" x14ac:dyDescent="0.3">
      <c r="B1796" s="1"/>
    </row>
    <row r="1797" spans="2:2" x14ac:dyDescent="0.3">
      <c r="B1797" s="1"/>
    </row>
    <row r="1798" spans="2:2" x14ac:dyDescent="0.3">
      <c r="B1798" s="1"/>
    </row>
    <row r="1799" spans="2:2" x14ac:dyDescent="0.3">
      <c r="B1799" s="1"/>
    </row>
    <row r="1800" spans="2:2" x14ac:dyDescent="0.3">
      <c r="B1800" s="1"/>
    </row>
    <row r="1801" spans="2:2" x14ac:dyDescent="0.3">
      <c r="B1801" s="1"/>
    </row>
    <row r="1802" spans="2:2" x14ac:dyDescent="0.3">
      <c r="B1802" s="1"/>
    </row>
    <row r="1803" spans="2:2" x14ac:dyDescent="0.3">
      <c r="B1803" s="1"/>
    </row>
    <row r="1804" spans="2:2" x14ac:dyDescent="0.3">
      <c r="B1804" s="1"/>
    </row>
    <row r="1805" spans="2:2" x14ac:dyDescent="0.3">
      <c r="B1805" s="1"/>
    </row>
    <row r="1806" spans="2:2" x14ac:dyDescent="0.3">
      <c r="B1806" s="1"/>
    </row>
    <row r="1807" spans="2:2" x14ac:dyDescent="0.3">
      <c r="B1807" s="1"/>
    </row>
    <row r="1808" spans="2:2" x14ac:dyDescent="0.3">
      <c r="B1808" s="1"/>
    </row>
    <row r="1809" spans="2:2" x14ac:dyDescent="0.3">
      <c r="B1809" s="1"/>
    </row>
    <row r="1810" spans="2:2" x14ac:dyDescent="0.3">
      <c r="B1810" s="1"/>
    </row>
    <row r="1811" spans="2:2" x14ac:dyDescent="0.3">
      <c r="B1811" s="1"/>
    </row>
    <row r="1812" spans="2:2" x14ac:dyDescent="0.3">
      <c r="B1812" s="1"/>
    </row>
    <row r="1813" spans="2:2" x14ac:dyDescent="0.3">
      <c r="B1813" s="1"/>
    </row>
    <row r="1814" spans="2:2" x14ac:dyDescent="0.3">
      <c r="B1814" s="1"/>
    </row>
    <row r="1815" spans="2:2" x14ac:dyDescent="0.3">
      <c r="B1815" s="1"/>
    </row>
    <row r="1816" spans="2:2" x14ac:dyDescent="0.3">
      <c r="B1816" s="1"/>
    </row>
    <row r="1817" spans="2:2" x14ac:dyDescent="0.3">
      <c r="B1817" s="1"/>
    </row>
    <row r="1818" spans="2:2" x14ac:dyDescent="0.3">
      <c r="B1818" s="1"/>
    </row>
    <row r="1819" spans="2:2" x14ac:dyDescent="0.3">
      <c r="B1819" s="1"/>
    </row>
    <row r="1820" spans="2:2" x14ac:dyDescent="0.3">
      <c r="B1820" s="1"/>
    </row>
    <row r="1821" spans="2:2" x14ac:dyDescent="0.3">
      <c r="B1821" s="1"/>
    </row>
    <row r="1822" spans="2:2" x14ac:dyDescent="0.3">
      <c r="B1822" s="1"/>
    </row>
    <row r="1823" spans="2:2" x14ac:dyDescent="0.3">
      <c r="B1823" s="1"/>
    </row>
    <row r="1824" spans="2:2" x14ac:dyDescent="0.3">
      <c r="B1824" s="1"/>
    </row>
    <row r="1825" spans="2:2" x14ac:dyDescent="0.3">
      <c r="B1825" s="1"/>
    </row>
    <row r="1826" spans="2:2" x14ac:dyDescent="0.3">
      <c r="B1826" s="1"/>
    </row>
    <row r="1827" spans="2:2" x14ac:dyDescent="0.3">
      <c r="B1827" s="1"/>
    </row>
    <row r="1828" spans="2:2" x14ac:dyDescent="0.3">
      <c r="B1828" s="1"/>
    </row>
    <row r="1829" spans="2:2" x14ac:dyDescent="0.3">
      <c r="B1829" s="1"/>
    </row>
    <row r="1830" spans="2:2" x14ac:dyDescent="0.3">
      <c r="B1830" s="1"/>
    </row>
    <row r="1831" spans="2:2" x14ac:dyDescent="0.3">
      <c r="B1831" s="1"/>
    </row>
    <row r="1832" spans="2:2" x14ac:dyDescent="0.3">
      <c r="B1832" s="1"/>
    </row>
    <row r="1833" spans="2:2" x14ac:dyDescent="0.3">
      <c r="B1833" s="1"/>
    </row>
    <row r="1834" spans="2:2" x14ac:dyDescent="0.3">
      <c r="B1834" s="1"/>
    </row>
    <row r="1835" spans="2:2" x14ac:dyDescent="0.3">
      <c r="B1835" s="1"/>
    </row>
    <row r="1836" spans="2:2" x14ac:dyDescent="0.3">
      <c r="B1836" s="1"/>
    </row>
    <row r="1837" spans="2:2" x14ac:dyDescent="0.3">
      <c r="B1837" s="1"/>
    </row>
    <row r="1838" spans="2:2" x14ac:dyDescent="0.3">
      <c r="B1838" s="1"/>
    </row>
    <row r="1839" spans="2:2" x14ac:dyDescent="0.3">
      <c r="B1839" s="1"/>
    </row>
    <row r="1840" spans="2:2" x14ac:dyDescent="0.3">
      <c r="B1840" s="1"/>
    </row>
    <row r="1841" spans="2:2" x14ac:dyDescent="0.3">
      <c r="B1841" s="1"/>
    </row>
    <row r="1842" spans="2:2" x14ac:dyDescent="0.3">
      <c r="B1842" s="1"/>
    </row>
    <row r="1843" spans="2:2" x14ac:dyDescent="0.3">
      <c r="B1843" s="1"/>
    </row>
    <row r="1844" spans="2:2" x14ac:dyDescent="0.3">
      <c r="B1844" s="1"/>
    </row>
    <row r="1845" spans="2:2" x14ac:dyDescent="0.3">
      <c r="B1845" s="1"/>
    </row>
    <row r="1846" spans="2:2" x14ac:dyDescent="0.3">
      <c r="B1846" s="1"/>
    </row>
    <row r="1847" spans="2:2" x14ac:dyDescent="0.3">
      <c r="B1847" s="1"/>
    </row>
    <row r="1848" spans="2:2" x14ac:dyDescent="0.3">
      <c r="B1848" s="1"/>
    </row>
    <row r="1849" spans="2:2" x14ac:dyDescent="0.3">
      <c r="B1849" s="1"/>
    </row>
    <row r="1850" spans="2:2" x14ac:dyDescent="0.3">
      <c r="B1850" s="1"/>
    </row>
    <row r="1851" spans="2:2" x14ac:dyDescent="0.3">
      <c r="B1851" s="1"/>
    </row>
    <row r="1852" spans="2:2" x14ac:dyDescent="0.3">
      <c r="B1852" s="1"/>
    </row>
    <row r="1853" spans="2:2" x14ac:dyDescent="0.3">
      <c r="B1853" s="1"/>
    </row>
    <row r="1854" spans="2:2" x14ac:dyDescent="0.3">
      <c r="B1854" s="1"/>
    </row>
    <row r="1855" spans="2:2" x14ac:dyDescent="0.3">
      <c r="B1855" s="1"/>
    </row>
    <row r="1856" spans="2:2" x14ac:dyDescent="0.3">
      <c r="B1856" s="1"/>
    </row>
    <row r="1857" spans="2:2" x14ac:dyDescent="0.3">
      <c r="B1857" s="1"/>
    </row>
    <row r="1858" spans="2:2" x14ac:dyDescent="0.3">
      <c r="B1858" s="1"/>
    </row>
    <row r="1859" spans="2:2" x14ac:dyDescent="0.3">
      <c r="B1859" s="1"/>
    </row>
    <row r="1860" spans="2:2" x14ac:dyDescent="0.3">
      <c r="B1860" s="1"/>
    </row>
    <row r="1861" spans="2:2" x14ac:dyDescent="0.3">
      <c r="B1861" s="1"/>
    </row>
    <row r="1862" spans="2:2" x14ac:dyDescent="0.3">
      <c r="B1862" s="1"/>
    </row>
    <row r="1863" spans="2:2" x14ac:dyDescent="0.3">
      <c r="B1863" s="1"/>
    </row>
    <row r="1864" spans="2:2" x14ac:dyDescent="0.3">
      <c r="B1864" s="1"/>
    </row>
    <row r="1865" spans="2:2" x14ac:dyDescent="0.3">
      <c r="B1865" s="1"/>
    </row>
    <row r="1866" spans="2:2" x14ac:dyDescent="0.3">
      <c r="B1866" s="1"/>
    </row>
    <row r="1867" spans="2:2" x14ac:dyDescent="0.3">
      <c r="B1867" s="1"/>
    </row>
    <row r="1868" spans="2:2" x14ac:dyDescent="0.3">
      <c r="B1868" s="1"/>
    </row>
    <row r="1869" spans="2:2" x14ac:dyDescent="0.3">
      <c r="B1869" s="1"/>
    </row>
    <row r="1870" spans="2:2" x14ac:dyDescent="0.3">
      <c r="B1870" s="1"/>
    </row>
    <row r="1871" spans="2:2" x14ac:dyDescent="0.3">
      <c r="B1871" s="1"/>
    </row>
    <row r="1872" spans="2:2" x14ac:dyDescent="0.3">
      <c r="B1872" s="1"/>
    </row>
    <row r="1873" spans="2:2" x14ac:dyDescent="0.3">
      <c r="B1873" s="1"/>
    </row>
    <row r="1874" spans="2:2" x14ac:dyDescent="0.3">
      <c r="B1874" s="1"/>
    </row>
    <row r="1875" spans="2:2" x14ac:dyDescent="0.3">
      <c r="B1875" s="1"/>
    </row>
    <row r="1876" spans="2:2" x14ac:dyDescent="0.3">
      <c r="B1876" s="1"/>
    </row>
    <row r="1877" spans="2:2" x14ac:dyDescent="0.3">
      <c r="B1877" s="1"/>
    </row>
    <row r="1878" spans="2:2" x14ac:dyDescent="0.3">
      <c r="B1878" s="1"/>
    </row>
    <row r="1879" spans="2:2" x14ac:dyDescent="0.3">
      <c r="B1879" s="1"/>
    </row>
    <row r="1880" spans="2:2" x14ac:dyDescent="0.3">
      <c r="B1880" s="1"/>
    </row>
    <row r="1881" spans="2:2" x14ac:dyDescent="0.3">
      <c r="B1881" s="1"/>
    </row>
    <row r="1882" spans="2:2" x14ac:dyDescent="0.3">
      <c r="B1882" s="1"/>
    </row>
    <row r="1883" spans="2:2" x14ac:dyDescent="0.3">
      <c r="B1883" s="1"/>
    </row>
    <row r="1884" spans="2:2" x14ac:dyDescent="0.3">
      <c r="B1884" s="1"/>
    </row>
    <row r="1885" spans="2:2" x14ac:dyDescent="0.3">
      <c r="B1885" s="1"/>
    </row>
    <row r="1886" spans="2:2" x14ac:dyDescent="0.3">
      <c r="B1886" s="1"/>
    </row>
    <row r="1887" spans="2:2" x14ac:dyDescent="0.3">
      <c r="B1887" s="1"/>
    </row>
    <row r="1888" spans="2:2" x14ac:dyDescent="0.3">
      <c r="B1888" s="1"/>
    </row>
    <row r="1889" spans="2:2" x14ac:dyDescent="0.3">
      <c r="B1889" s="1"/>
    </row>
    <row r="1890" spans="2:2" x14ac:dyDescent="0.3">
      <c r="B1890" s="1"/>
    </row>
    <row r="1891" spans="2:2" x14ac:dyDescent="0.3">
      <c r="B1891" s="1"/>
    </row>
    <row r="1892" spans="2:2" x14ac:dyDescent="0.3">
      <c r="B1892" s="1"/>
    </row>
    <row r="1893" spans="2:2" x14ac:dyDescent="0.3">
      <c r="B1893" s="1"/>
    </row>
    <row r="1894" spans="2:2" x14ac:dyDescent="0.3">
      <c r="B1894" s="1"/>
    </row>
    <row r="1895" spans="2:2" x14ac:dyDescent="0.3">
      <c r="B1895" s="1"/>
    </row>
    <row r="1896" spans="2:2" x14ac:dyDescent="0.3">
      <c r="B1896" s="1"/>
    </row>
    <row r="1897" spans="2:2" x14ac:dyDescent="0.3">
      <c r="B1897" s="1"/>
    </row>
    <row r="1898" spans="2:2" x14ac:dyDescent="0.3">
      <c r="B1898" s="1"/>
    </row>
    <row r="1899" spans="2:2" x14ac:dyDescent="0.3">
      <c r="B1899" s="1"/>
    </row>
    <row r="1900" spans="2:2" x14ac:dyDescent="0.3">
      <c r="B1900" s="1"/>
    </row>
    <row r="1901" spans="2:2" x14ac:dyDescent="0.3">
      <c r="B1901" s="1"/>
    </row>
    <row r="1902" spans="2:2" x14ac:dyDescent="0.3">
      <c r="B1902" s="1"/>
    </row>
    <row r="1903" spans="2:2" x14ac:dyDescent="0.3">
      <c r="B1903" s="1"/>
    </row>
    <row r="1904" spans="2:2" x14ac:dyDescent="0.3">
      <c r="B1904" s="1"/>
    </row>
    <row r="1905" spans="2:2" x14ac:dyDescent="0.3">
      <c r="B1905" s="1"/>
    </row>
    <row r="1906" spans="2:2" x14ac:dyDescent="0.3">
      <c r="B1906" s="1"/>
    </row>
    <row r="1907" spans="2:2" x14ac:dyDescent="0.3">
      <c r="B1907" s="1"/>
    </row>
    <row r="1908" spans="2:2" x14ac:dyDescent="0.3">
      <c r="B1908" s="1"/>
    </row>
    <row r="1909" spans="2:2" x14ac:dyDescent="0.3">
      <c r="B1909" s="1"/>
    </row>
    <row r="1910" spans="2:2" x14ac:dyDescent="0.3">
      <c r="B1910" s="1"/>
    </row>
    <row r="1911" spans="2:2" x14ac:dyDescent="0.3">
      <c r="B1911" s="1"/>
    </row>
    <row r="1912" spans="2:2" x14ac:dyDescent="0.3">
      <c r="B1912" s="1"/>
    </row>
    <row r="1913" spans="2:2" x14ac:dyDescent="0.3">
      <c r="B1913" s="1"/>
    </row>
    <row r="1914" spans="2:2" x14ac:dyDescent="0.3">
      <c r="B1914" s="1"/>
    </row>
    <row r="1915" spans="2:2" x14ac:dyDescent="0.3">
      <c r="B1915" s="1"/>
    </row>
    <row r="1916" spans="2:2" x14ac:dyDescent="0.3">
      <c r="B1916" s="1"/>
    </row>
    <row r="1917" spans="2:2" x14ac:dyDescent="0.3">
      <c r="B1917" s="1"/>
    </row>
    <row r="1918" spans="2:2" x14ac:dyDescent="0.3">
      <c r="B1918" s="1"/>
    </row>
    <row r="1919" spans="2:2" x14ac:dyDescent="0.3">
      <c r="B1919" s="1"/>
    </row>
    <row r="1920" spans="2:2" x14ac:dyDescent="0.3">
      <c r="B1920" s="1"/>
    </row>
    <row r="1921" spans="2:2" x14ac:dyDescent="0.3">
      <c r="B1921" s="1"/>
    </row>
    <row r="1922" spans="2:2" x14ac:dyDescent="0.3">
      <c r="B1922" s="1"/>
    </row>
    <row r="1923" spans="2:2" x14ac:dyDescent="0.3">
      <c r="B1923" s="1"/>
    </row>
    <row r="1924" spans="2:2" x14ac:dyDescent="0.3">
      <c r="B1924" s="1"/>
    </row>
    <row r="1925" spans="2:2" x14ac:dyDescent="0.3">
      <c r="B1925" s="1"/>
    </row>
    <row r="1926" spans="2:2" x14ac:dyDescent="0.3">
      <c r="B1926" s="1"/>
    </row>
    <row r="1927" spans="2:2" x14ac:dyDescent="0.3">
      <c r="B1927" s="1"/>
    </row>
    <row r="1928" spans="2:2" x14ac:dyDescent="0.3">
      <c r="B1928" s="1"/>
    </row>
    <row r="1929" spans="2:2" x14ac:dyDescent="0.3">
      <c r="B1929" s="1"/>
    </row>
    <row r="1930" spans="2:2" x14ac:dyDescent="0.3">
      <c r="B1930" s="1"/>
    </row>
    <row r="1931" spans="2:2" x14ac:dyDescent="0.3">
      <c r="B1931" s="1"/>
    </row>
    <row r="1932" spans="2:2" x14ac:dyDescent="0.3">
      <c r="B1932" s="1"/>
    </row>
    <row r="1933" spans="2:2" x14ac:dyDescent="0.3">
      <c r="B1933" s="1"/>
    </row>
    <row r="1934" spans="2:2" x14ac:dyDescent="0.3">
      <c r="B1934" s="1"/>
    </row>
    <row r="1935" spans="2:2" x14ac:dyDescent="0.3">
      <c r="B1935" s="1"/>
    </row>
    <row r="1936" spans="2:2" x14ac:dyDescent="0.3">
      <c r="B1936" s="1"/>
    </row>
    <row r="1937" spans="2:2" x14ac:dyDescent="0.3">
      <c r="B1937" s="1"/>
    </row>
    <row r="1938" spans="2:2" x14ac:dyDescent="0.3">
      <c r="B1938" s="1"/>
    </row>
    <row r="1939" spans="2:2" x14ac:dyDescent="0.3">
      <c r="B1939" s="1"/>
    </row>
    <row r="1940" spans="2:2" x14ac:dyDescent="0.3">
      <c r="B1940" s="1"/>
    </row>
    <row r="1941" spans="2:2" x14ac:dyDescent="0.3">
      <c r="B1941" s="1"/>
    </row>
    <row r="1942" spans="2:2" x14ac:dyDescent="0.3">
      <c r="B1942" s="1"/>
    </row>
    <row r="1943" spans="2:2" x14ac:dyDescent="0.3">
      <c r="B1943" s="1"/>
    </row>
    <row r="1944" spans="2:2" x14ac:dyDescent="0.3">
      <c r="B1944" s="1"/>
    </row>
    <row r="1945" spans="2:2" x14ac:dyDescent="0.3">
      <c r="B1945" s="1"/>
    </row>
    <row r="1946" spans="2:2" x14ac:dyDescent="0.3">
      <c r="B1946" s="1"/>
    </row>
    <row r="1947" spans="2:2" x14ac:dyDescent="0.3">
      <c r="B1947" s="1"/>
    </row>
    <row r="1948" spans="2:2" x14ac:dyDescent="0.3">
      <c r="B1948" s="1"/>
    </row>
    <row r="1949" spans="2:2" x14ac:dyDescent="0.3">
      <c r="B1949" s="1"/>
    </row>
    <row r="1950" spans="2:2" x14ac:dyDescent="0.3">
      <c r="B1950" s="1"/>
    </row>
    <row r="1951" spans="2:2" x14ac:dyDescent="0.3">
      <c r="B1951" s="1"/>
    </row>
    <row r="1952" spans="2:2" x14ac:dyDescent="0.3">
      <c r="B1952" s="1"/>
    </row>
    <row r="1953" spans="2:2" x14ac:dyDescent="0.3">
      <c r="B1953" s="1"/>
    </row>
    <row r="1954" spans="2:2" x14ac:dyDescent="0.3">
      <c r="B1954" s="1"/>
    </row>
    <row r="1955" spans="2:2" x14ac:dyDescent="0.3">
      <c r="B1955" s="1"/>
    </row>
    <row r="1956" spans="2:2" x14ac:dyDescent="0.3">
      <c r="B1956" s="1"/>
    </row>
    <row r="1957" spans="2:2" x14ac:dyDescent="0.3">
      <c r="B1957" s="1"/>
    </row>
    <row r="1958" spans="2:2" x14ac:dyDescent="0.3">
      <c r="B1958" s="1"/>
    </row>
    <row r="1959" spans="2:2" x14ac:dyDescent="0.3">
      <c r="B1959" s="1"/>
    </row>
    <row r="1960" spans="2:2" x14ac:dyDescent="0.3">
      <c r="B1960" s="1"/>
    </row>
    <row r="1961" spans="2:2" x14ac:dyDescent="0.3">
      <c r="B1961" s="1"/>
    </row>
    <row r="1962" spans="2:2" x14ac:dyDescent="0.3">
      <c r="B1962" s="1"/>
    </row>
    <row r="1963" spans="2:2" x14ac:dyDescent="0.3">
      <c r="B1963" s="1"/>
    </row>
    <row r="1964" spans="2:2" x14ac:dyDescent="0.3">
      <c r="B1964" s="1"/>
    </row>
    <row r="1965" spans="2:2" x14ac:dyDescent="0.3">
      <c r="B1965" s="1"/>
    </row>
    <row r="1966" spans="2:2" x14ac:dyDescent="0.3">
      <c r="B1966" s="1"/>
    </row>
    <row r="1967" spans="2:2" x14ac:dyDescent="0.3">
      <c r="B1967" s="1"/>
    </row>
    <row r="1968" spans="2:2" x14ac:dyDescent="0.3">
      <c r="B1968" s="1"/>
    </row>
    <row r="1969" spans="2:2" x14ac:dyDescent="0.3">
      <c r="B1969" s="1"/>
    </row>
    <row r="1970" spans="2:2" x14ac:dyDescent="0.3">
      <c r="B1970" s="1"/>
    </row>
    <row r="1971" spans="2:2" x14ac:dyDescent="0.3">
      <c r="B1971" s="1"/>
    </row>
    <row r="1972" spans="2:2" x14ac:dyDescent="0.3">
      <c r="B1972" s="1"/>
    </row>
    <row r="1973" spans="2:2" x14ac:dyDescent="0.3">
      <c r="B1973" s="1"/>
    </row>
    <row r="1974" spans="2:2" x14ac:dyDescent="0.3">
      <c r="B1974" s="1"/>
    </row>
    <row r="1975" spans="2:2" x14ac:dyDescent="0.3">
      <c r="B1975" s="1"/>
    </row>
    <row r="1976" spans="2:2" x14ac:dyDescent="0.3">
      <c r="B1976" s="1"/>
    </row>
    <row r="1977" spans="2:2" x14ac:dyDescent="0.3">
      <c r="B1977" s="1"/>
    </row>
    <row r="1978" spans="2:2" x14ac:dyDescent="0.3">
      <c r="B1978" s="1"/>
    </row>
    <row r="1979" spans="2:2" x14ac:dyDescent="0.3">
      <c r="B1979" s="1"/>
    </row>
    <row r="1980" spans="2:2" x14ac:dyDescent="0.3">
      <c r="B1980" s="1"/>
    </row>
    <row r="1981" spans="2:2" x14ac:dyDescent="0.3">
      <c r="B1981" s="1"/>
    </row>
    <row r="1982" spans="2:2" x14ac:dyDescent="0.3">
      <c r="B1982" s="1"/>
    </row>
    <row r="1983" spans="2:2" x14ac:dyDescent="0.3">
      <c r="B1983" s="1"/>
    </row>
    <row r="1984" spans="2:2" x14ac:dyDescent="0.3">
      <c r="B1984" s="1"/>
    </row>
    <row r="1985" spans="2:2" x14ac:dyDescent="0.3">
      <c r="B1985" s="1"/>
    </row>
    <row r="1986" spans="2:2" x14ac:dyDescent="0.3">
      <c r="B1986" s="1"/>
    </row>
    <row r="1987" spans="2:2" x14ac:dyDescent="0.3">
      <c r="B1987" s="1"/>
    </row>
    <row r="1988" spans="2:2" x14ac:dyDescent="0.3">
      <c r="B1988" s="1"/>
    </row>
    <row r="1989" spans="2:2" x14ac:dyDescent="0.3">
      <c r="B1989" s="1"/>
    </row>
    <row r="1990" spans="2:2" x14ac:dyDescent="0.3">
      <c r="B1990" s="1"/>
    </row>
    <row r="1991" spans="2:2" x14ac:dyDescent="0.3">
      <c r="B1991" s="1"/>
    </row>
    <row r="1992" spans="2:2" x14ac:dyDescent="0.3">
      <c r="B1992" s="1"/>
    </row>
    <row r="1993" spans="2:2" x14ac:dyDescent="0.3">
      <c r="B1993" s="1"/>
    </row>
    <row r="1994" spans="2:2" x14ac:dyDescent="0.3">
      <c r="B1994" s="1"/>
    </row>
    <row r="1995" spans="2:2" x14ac:dyDescent="0.3">
      <c r="B1995" s="1"/>
    </row>
    <row r="1996" spans="2:2" x14ac:dyDescent="0.3">
      <c r="B1996" s="1"/>
    </row>
    <row r="1997" spans="2:2" x14ac:dyDescent="0.3">
      <c r="B1997" s="1"/>
    </row>
    <row r="1998" spans="2:2" x14ac:dyDescent="0.3">
      <c r="B1998" s="1"/>
    </row>
    <row r="1999" spans="2:2" x14ac:dyDescent="0.3">
      <c r="B1999" s="1"/>
    </row>
    <row r="2000" spans="2:2" x14ac:dyDescent="0.3">
      <c r="B2000" s="1"/>
    </row>
    <row r="2001" spans="2:2" x14ac:dyDescent="0.3">
      <c r="B2001" s="1"/>
    </row>
    <row r="2002" spans="2:2" x14ac:dyDescent="0.3">
      <c r="B2002" s="1"/>
    </row>
    <row r="2003" spans="2:2" x14ac:dyDescent="0.3">
      <c r="B2003" s="1"/>
    </row>
    <row r="2004" spans="2:2" x14ac:dyDescent="0.3">
      <c r="B2004" s="1"/>
    </row>
    <row r="2005" spans="2:2" x14ac:dyDescent="0.3">
      <c r="B2005" s="1"/>
    </row>
    <row r="2006" spans="2:2" x14ac:dyDescent="0.3">
      <c r="B2006" s="1"/>
    </row>
    <row r="2007" spans="2:2" x14ac:dyDescent="0.3">
      <c r="B2007" s="1"/>
    </row>
    <row r="2008" spans="2:2" x14ac:dyDescent="0.3">
      <c r="B2008" s="1"/>
    </row>
    <row r="2009" spans="2:2" x14ac:dyDescent="0.3">
      <c r="B2009" s="1"/>
    </row>
    <row r="2010" spans="2:2" x14ac:dyDescent="0.3">
      <c r="B2010" s="1"/>
    </row>
    <row r="2011" spans="2:2" x14ac:dyDescent="0.3">
      <c r="B2011" s="1"/>
    </row>
    <row r="2012" spans="2:2" x14ac:dyDescent="0.3">
      <c r="B2012" s="1"/>
    </row>
    <row r="2013" spans="2:2" x14ac:dyDescent="0.3">
      <c r="B2013" s="1"/>
    </row>
    <row r="2014" spans="2:2" x14ac:dyDescent="0.3">
      <c r="B2014" s="1"/>
    </row>
    <row r="2015" spans="2:2" x14ac:dyDescent="0.3">
      <c r="B2015" s="1"/>
    </row>
    <row r="2016" spans="2:2" x14ac:dyDescent="0.3">
      <c r="B2016" s="1"/>
    </row>
    <row r="2017" spans="2:2" x14ac:dyDescent="0.3">
      <c r="B2017" s="1"/>
    </row>
    <row r="2018" spans="2:2" x14ac:dyDescent="0.3">
      <c r="B2018" s="1"/>
    </row>
    <row r="2019" spans="2:2" x14ac:dyDescent="0.3">
      <c r="B2019" s="1"/>
    </row>
    <row r="2020" spans="2:2" x14ac:dyDescent="0.3">
      <c r="B2020" s="1"/>
    </row>
    <row r="2021" spans="2:2" x14ac:dyDescent="0.3">
      <c r="B2021" s="1"/>
    </row>
    <row r="2022" spans="2:2" x14ac:dyDescent="0.3">
      <c r="B2022" s="1"/>
    </row>
    <row r="2023" spans="2:2" x14ac:dyDescent="0.3">
      <c r="B2023" s="1"/>
    </row>
    <row r="2024" spans="2:2" x14ac:dyDescent="0.3">
      <c r="B2024" s="1"/>
    </row>
    <row r="2025" spans="2:2" x14ac:dyDescent="0.3">
      <c r="B2025" s="1"/>
    </row>
    <row r="2026" spans="2:2" x14ac:dyDescent="0.3">
      <c r="B2026" s="1"/>
    </row>
    <row r="2027" spans="2:2" x14ac:dyDescent="0.3">
      <c r="B2027" s="1"/>
    </row>
    <row r="2028" spans="2:2" x14ac:dyDescent="0.3">
      <c r="B2028" s="1"/>
    </row>
    <row r="2029" spans="2:2" x14ac:dyDescent="0.3">
      <c r="B2029" s="1"/>
    </row>
    <row r="2030" spans="2:2" x14ac:dyDescent="0.3">
      <c r="B2030" s="1"/>
    </row>
    <row r="2031" spans="2:2" x14ac:dyDescent="0.3">
      <c r="B2031" s="1"/>
    </row>
    <row r="2032" spans="2:2" x14ac:dyDescent="0.3">
      <c r="B2032" s="1"/>
    </row>
    <row r="2033" spans="2:2" x14ac:dyDescent="0.3">
      <c r="B2033" s="1"/>
    </row>
    <row r="2034" spans="2:2" x14ac:dyDescent="0.3">
      <c r="B2034" s="1"/>
    </row>
    <row r="2035" spans="2:2" x14ac:dyDescent="0.3">
      <c r="B2035" s="1"/>
    </row>
    <row r="2036" spans="2:2" x14ac:dyDescent="0.3">
      <c r="B2036" s="1"/>
    </row>
    <row r="2037" spans="2:2" x14ac:dyDescent="0.3">
      <c r="B2037" s="1"/>
    </row>
    <row r="2038" spans="2:2" x14ac:dyDescent="0.3">
      <c r="B2038" s="1"/>
    </row>
    <row r="2039" spans="2:2" x14ac:dyDescent="0.3">
      <c r="B2039" s="1"/>
    </row>
    <row r="2040" spans="2:2" x14ac:dyDescent="0.3">
      <c r="B2040" s="1"/>
    </row>
    <row r="2041" spans="2:2" x14ac:dyDescent="0.3">
      <c r="B2041" s="1"/>
    </row>
    <row r="2042" spans="2:2" x14ac:dyDescent="0.3">
      <c r="B2042" s="1"/>
    </row>
    <row r="2043" spans="2:2" x14ac:dyDescent="0.3">
      <c r="B2043" s="1"/>
    </row>
    <row r="2044" spans="2:2" x14ac:dyDescent="0.3">
      <c r="B2044" s="1"/>
    </row>
    <row r="2045" spans="2:2" x14ac:dyDescent="0.3">
      <c r="B2045" s="1"/>
    </row>
    <row r="2046" spans="2:2" x14ac:dyDescent="0.3">
      <c r="B2046" s="1"/>
    </row>
    <row r="2047" spans="2:2" x14ac:dyDescent="0.3">
      <c r="B2047" s="1"/>
    </row>
    <row r="2048" spans="2:2" x14ac:dyDescent="0.3">
      <c r="B2048" s="1"/>
    </row>
    <row r="2049" spans="2:2" x14ac:dyDescent="0.3">
      <c r="B2049" s="1"/>
    </row>
    <row r="2050" spans="2:2" x14ac:dyDescent="0.3">
      <c r="B2050" s="1"/>
    </row>
    <row r="2051" spans="2:2" x14ac:dyDescent="0.3">
      <c r="B2051" s="1"/>
    </row>
    <row r="2052" spans="2:2" x14ac:dyDescent="0.3">
      <c r="B2052" s="1"/>
    </row>
    <row r="2053" spans="2:2" x14ac:dyDescent="0.3">
      <c r="B2053" s="1"/>
    </row>
    <row r="2054" spans="2:2" x14ac:dyDescent="0.3">
      <c r="B2054" s="1"/>
    </row>
    <row r="2055" spans="2:2" x14ac:dyDescent="0.3">
      <c r="B2055" s="1"/>
    </row>
    <row r="2056" spans="2:2" x14ac:dyDescent="0.3">
      <c r="B2056" s="1"/>
    </row>
    <row r="2057" spans="2:2" x14ac:dyDescent="0.3">
      <c r="B2057" s="1"/>
    </row>
    <row r="2058" spans="2:2" x14ac:dyDescent="0.3">
      <c r="B2058" s="1"/>
    </row>
    <row r="2059" spans="2:2" x14ac:dyDescent="0.3">
      <c r="B2059" s="1"/>
    </row>
    <row r="2060" spans="2:2" x14ac:dyDescent="0.3">
      <c r="B2060" s="1"/>
    </row>
    <row r="2061" spans="2:2" x14ac:dyDescent="0.3">
      <c r="B2061" s="1"/>
    </row>
    <row r="2062" spans="2:2" x14ac:dyDescent="0.3">
      <c r="B2062" s="1"/>
    </row>
    <row r="2063" spans="2:2" x14ac:dyDescent="0.3">
      <c r="B2063" s="1"/>
    </row>
    <row r="2064" spans="2:2" x14ac:dyDescent="0.3">
      <c r="B2064" s="1"/>
    </row>
    <row r="2065" spans="2:2" x14ac:dyDescent="0.3">
      <c r="B2065" s="1"/>
    </row>
    <row r="2066" spans="2:2" x14ac:dyDescent="0.3">
      <c r="B2066" s="1"/>
    </row>
    <row r="2067" spans="2:2" x14ac:dyDescent="0.3">
      <c r="B2067" s="1"/>
    </row>
    <row r="2068" spans="2:2" x14ac:dyDescent="0.3">
      <c r="B2068" s="1"/>
    </row>
    <row r="2069" spans="2:2" x14ac:dyDescent="0.3">
      <c r="B2069" s="1"/>
    </row>
    <row r="2070" spans="2:2" x14ac:dyDescent="0.3">
      <c r="B2070" s="1"/>
    </row>
    <row r="2071" spans="2:2" x14ac:dyDescent="0.3">
      <c r="B2071" s="1"/>
    </row>
    <row r="2072" spans="2:2" x14ac:dyDescent="0.3">
      <c r="B2072" s="1"/>
    </row>
    <row r="2073" spans="2:2" x14ac:dyDescent="0.3">
      <c r="B2073" s="1"/>
    </row>
    <row r="2074" spans="2:2" x14ac:dyDescent="0.3">
      <c r="B2074" s="1"/>
    </row>
    <row r="2075" spans="2:2" x14ac:dyDescent="0.3">
      <c r="B2075" s="1"/>
    </row>
    <row r="2076" spans="2:2" x14ac:dyDescent="0.3">
      <c r="B2076" s="1"/>
    </row>
    <row r="2077" spans="2:2" x14ac:dyDescent="0.3">
      <c r="B2077" s="1"/>
    </row>
    <row r="2078" spans="2:2" x14ac:dyDescent="0.3">
      <c r="B2078" s="1"/>
    </row>
    <row r="2079" spans="2:2" x14ac:dyDescent="0.3">
      <c r="B2079" s="1"/>
    </row>
    <row r="2080" spans="2:2" x14ac:dyDescent="0.3">
      <c r="B2080" s="1"/>
    </row>
    <row r="2081" spans="2:2" x14ac:dyDescent="0.3">
      <c r="B2081" s="1"/>
    </row>
    <row r="2082" spans="2:2" x14ac:dyDescent="0.3">
      <c r="B2082" s="1"/>
    </row>
    <row r="2083" spans="2:2" x14ac:dyDescent="0.3">
      <c r="B2083" s="1"/>
    </row>
    <row r="2084" spans="2:2" x14ac:dyDescent="0.3">
      <c r="B2084" s="1"/>
    </row>
    <row r="2085" spans="2:2" x14ac:dyDescent="0.3">
      <c r="B2085" s="1"/>
    </row>
    <row r="2086" spans="2:2" x14ac:dyDescent="0.3">
      <c r="B2086" s="1"/>
    </row>
    <row r="2087" spans="2:2" x14ac:dyDescent="0.3">
      <c r="B2087" s="1"/>
    </row>
    <row r="2088" spans="2:2" x14ac:dyDescent="0.3">
      <c r="B2088" s="1"/>
    </row>
    <row r="2089" spans="2:2" x14ac:dyDescent="0.3">
      <c r="B2089" s="1"/>
    </row>
    <row r="2090" spans="2:2" x14ac:dyDescent="0.3">
      <c r="B2090" s="1"/>
    </row>
    <row r="2091" spans="2:2" x14ac:dyDescent="0.3">
      <c r="B2091" s="1"/>
    </row>
    <row r="2092" spans="2:2" x14ac:dyDescent="0.3">
      <c r="B2092" s="1"/>
    </row>
    <row r="2093" spans="2:2" x14ac:dyDescent="0.3">
      <c r="B2093" s="1"/>
    </row>
    <row r="2094" spans="2:2" x14ac:dyDescent="0.3">
      <c r="B2094" s="1"/>
    </row>
    <row r="2095" spans="2:2" x14ac:dyDescent="0.3">
      <c r="B2095" s="1"/>
    </row>
    <row r="2096" spans="2:2" x14ac:dyDescent="0.3">
      <c r="B2096" s="1"/>
    </row>
    <row r="2097" spans="2:2" x14ac:dyDescent="0.3">
      <c r="B2097" s="1"/>
    </row>
    <row r="2098" spans="2:2" x14ac:dyDescent="0.3">
      <c r="B2098" s="1"/>
    </row>
    <row r="2099" spans="2:2" x14ac:dyDescent="0.3">
      <c r="B2099" s="1"/>
    </row>
    <row r="2100" spans="2:2" x14ac:dyDescent="0.3">
      <c r="B2100" s="1"/>
    </row>
    <row r="2101" spans="2:2" x14ac:dyDescent="0.3">
      <c r="B2101" s="1"/>
    </row>
    <row r="2102" spans="2:2" x14ac:dyDescent="0.3">
      <c r="B2102" s="1"/>
    </row>
    <row r="2103" spans="2:2" x14ac:dyDescent="0.3">
      <c r="B2103" s="1"/>
    </row>
    <row r="2104" spans="2:2" x14ac:dyDescent="0.3">
      <c r="B2104" s="1"/>
    </row>
    <row r="2105" spans="2:2" x14ac:dyDescent="0.3">
      <c r="B2105" s="1"/>
    </row>
    <row r="2106" spans="2:2" x14ac:dyDescent="0.3">
      <c r="B2106" s="1"/>
    </row>
    <row r="2107" spans="2:2" x14ac:dyDescent="0.3">
      <c r="B2107" s="1"/>
    </row>
    <row r="2108" spans="2:2" x14ac:dyDescent="0.3">
      <c r="B2108" s="1"/>
    </row>
    <row r="2109" spans="2:2" x14ac:dyDescent="0.3">
      <c r="B2109" s="1"/>
    </row>
    <row r="2110" spans="2:2" x14ac:dyDescent="0.3">
      <c r="B2110" s="1"/>
    </row>
    <row r="2111" spans="2:2" x14ac:dyDescent="0.3">
      <c r="B2111" s="1"/>
    </row>
    <row r="2112" spans="2:2" x14ac:dyDescent="0.3">
      <c r="B2112" s="1"/>
    </row>
    <row r="2113" spans="2:2" x14ac:dyDescent="0.3">
      <c r="B2113" s="1"/>
    </row>
    <row r="2114" spans="2:2" x14ac:dyDescent="0.3">
      <c r="B2114" s="1"/>
    </row>
    <row r="2115" spans="2:2" x14ac:dyDescent="0.3">
      <c r="B2115" s="1"/>
    </row>
    <row r="2116" spans="2:2" x14ac:dyDescent="0.3">
      <c r="B2116" s="1"/>
    </row>
    <row r="2117" spans="2:2" x14ac:dyDescent="0.3">
      <c r="B2117" s="1"/>
    </row>
    <row r="2118" spans="2:2" x14ac:dyDescent="0.3">
      <c r="B2118" s="1"/>
    </row>
    <row r="2119" spans="2:2" x14ac:dyDescent="0.3">
      <c r="B2119" s="1"/>
    </row>
    <row r="2120" spans="2:2" x14ac:dyDescent="0.3">
      <c r="B2120" s="1"/>
    </row>
    <row r="2121" spans="2:2" x14ac:dyDescent="0.3">
      <c r="B2121" s="1"/>
    </row>
    <row r="2122" spans="2:2" x14ac:dyDescent="0.3">
      <c r="B2122" s="1"/>
    </row>
    <row r="2123" spans="2:2" x14ac:dyDescent="0.3">
      <c r="B2123" s="1"/>
    </row>
    <row r="2124" spans="2:2" x14ac:dyDescent="0.3">
      <c r="B2124" s="1"/>
    </row>
    <row r="2125" spans="2:2" x14ac:dyDescent="0.3">
      <c r="B2125" s="1"/>
    </row>
    <row r="2126" spans="2:2" x14ac:dyDescent="0.3">
      <c r="B2126" s="1"/>
    </row>
    <row r="2127" spans="2:2" x14ac:dyDescent="0.3">
      <c r="B2127" s="1"/>
    </row>
    <row r="2128" spans="2:2" x14ac:dyDescent="0.3">
      <c r="B2128" s="1"/>
    </row>
    <row r="2129" spans="2:2" x14ac:dyDescent="0.3">
      <c r="B2129" s="1"/>
    </row>
    <row r="2130" spans="2:2" x14ac:dyDescent="0.3">
      <c r="B2130" s="1"/>
    </row>
    <row r="2131" spans="2:2" x14ac:dyDescent="0.3">
      <c r="B2131" s="1"/>
    </row>
    <row r="2132" spans="2:2" x14ac:dyDescent="0.3">
      <c r="B2132" s="1"/>
    </row>
    <row r="2133" spans="2:2" x14ac:dyDescent="0.3">
      <c r="B2133" s="1"/>
    </row>
    <row r="2134" spans="2:2" x14ac:dyDescent="0.3">
      <c r="B2134" s="1"/>
    </row>
    <row r="2135" spans="2:2" x14ac:dyDescent="0.3">
      <c r="B2135" s="1"/>
    </row>
    <row r="2136" spans="2:2" x14ac:dyDescent="0.3">
      <c r="B2136" s="1"/>
    </row>
    <row r="2137" spans="2:2" x14ac:dyDescent="0.3">
      <c r="B2137" s="1"/>
    </row>
    <row r="2138" spans="2:2" x14ac:dyDescent="0.3">
      <c r="B2138" s="1"/>
    </row>
    <row r="2139" spans="2:2" x14ac:dyDescent="0.3">
      <c r="B2139" s="1"/>
    </row>
    <row r="2140" spans="2:2" x14ac:dyDescent="0.3">
      <c r="B2140" s="1"/>
    </row>
    <row r="2141" spans="2:2" x14ac:dyDescent="0.3">
      <c r="B2141" s="1"/>
    </row>
    <row r="2142" spans="2:2" x14ac:dyDescent="0.3">
      <c r="B2142" s="1"/>
    </row>
    <row r="2143" spans="2:2" x14ac:dyDescent="0.3">
      <c r="B2143" s="1"/>
    </row>
    <row r="2144" spans="2:2" x14ac:dyDescent="0.3">
      <c r="B2144" s="1"/>
    </row>
    <row r="2145" spans="2:2" x14ac:dyDescent="0.3">
      <c r="B2145" s="1"/>
    </row>
    <row r="2146" spans="2:2" x14ac:dyDescent="0.3">
      <c r="B2146" s="1"/>
    </row>
    <row r="2147" spans="2:2" x14ac:dyDescent="0.3">
      <c r="B2147" s="1"/>
    </row>
    <row r="2148" spans="2:2" x14ac:dyDescent="0.3">
      <c r="B2148" s="1"/>
    </row>
    <row r="2149" spans="2:2" x14ac:dyDescent="0.3">
      <c r="B2149" s="1"/>
    </row>
    <row r="2150" spans="2:2" x14ac:dyDescent="0.3">
      <c r="B2150" s="1"/>
    </row>
    <row r="2151" spans="2:2" x14ac:dyDescent="0.3">
      <c r="B2151" s="1"/>
    </row>
    <row r="2152" spans="2:2" x14ac:dyDescent="0.3">
      <c r="B2152" s="1"/>
    </row>
    <row r="2153" spans="2:2" x14ac:dyDescent="0.3">
      <c r="B2153" s="1"/>
    </row>
    <row r="2154" spans="2:2" x14ac:dyDescent="0.3">
      <c r="B2154" s="1"/>
    </row>
    <row r="2155" spans="2:2" x14ac:dyDescent="0.3">
      <c r="B2155" s="1"/>
    </row>
    <row r="2156" spans="2:2" x14ac:dyDescent="0.3">
      <c r="B2156" s="1"/>
    </row>
    <row r="2157" spans="2:2" x14ac:dyDescent="0.3">
      <c r="B2157" s="1"/>
    </row>
    <row r="2158" spans="2:2" x14ac:dyDescent="0.3">
      <c r="B2158" s="1"/>
    </row>
    <row r="2159" spans="2:2" x14ac:dyDescent="0.3">
      <c r="B2159" s="1"/>
    </row>
    <row r="2160" spans="2:2" x14ac:dyDescent="0.3">
      <c r="B2160" s="1"/>
    </row>
    <row r="2161" spans="2:2" x14ac:dyDescent="0.3">
      <c r="B2161" s="1"/>
    </row>
    <row r="2162" spans="2:2" x14ac:dyDescent="0.3">
      <c r="B2162" s="1"/>
    </row>
    <row r="2163" spans="2:2" x14ac:dyDescent="0.3">
      <c r="B2163" s="1"/>
    </row>
    <row r="2164" spans="2:2" x14ac:dyDescent="0.3">
      <c r="B2164" s="1"/>
    </row>
    <row r="2165" spans="2:2" x14ac:dyDescent="0.3">
      <c r="B2165" s="1"/>
    </row>
    <row r="2166" spans="2:2" x14ac:dyDescent="0.3">
      <c r="B2166" s="1"/>
    </row>
    <row r="2167" spans="2:2" x14ac:dyDescent="0.3">
      <c r="B2167" s="1"/>
    </row>
    <row r="2168" spans="2:2" x14ac:dyDescent="0.3">
      <c r="B2168" s="1"/>
    </row>
    <row r="2169" spans="2:2" x14ac:dyDescent="0.3">
      <c r="B2169" s="1"/>
    </row>
    <row r="2170" spans="2:2" x14ac:dyDescent="0.3">
      <c r="B2170" s="1"/>
    </row>
    <row r="2171" spans="2:2" x14ac:dyDescent="0.3">
      <c r="B2171" s="1"/>
    </row>
    <row r="2172" spans="2:2" x14ac:dyDescent="0.3">
      <c r="B2172" s="1"/>
    </row>
    <row r="2173" spans="2:2" x14ac:dyDescent="0.3">
      <c r="B2173" s="1"/>
    </row>
    <row r="2174" spans="2:2" x14ac:dyDescent="0.3">
      <c r="B2174" s="1"/>
    </row>
    <row r="2175" spans="2:2" x14ac:dyDescent="0.3">
      <c r="B2175" s="1"/>
    </row>
    <row r="2176" spans="2:2" x14ac:dyDescent="0.3">
      <c r="B2176" s="1"/>
    </row>
    <row r="2177" spans="2:2" x14ac:dyDescent="0.3">
      <c r="B2177" s="1"/>
    </row>
    <row r="2178" spans="2:2" x14ac:dyDescent="0.3">
      <c r="B2178" s="1"/>
    </row>
    <row r="2179" spans="2:2" x14ac:dyDescent="0.3">
      <c r="B2179" s="1"/>
    </row>
    <row r="2180" spans="2:2" x14ac:dyDescent="0.3">
      <c r="B2180" s="1"/>
    </row>
    <row r="2181" spans="2:2" x14ac:dyDescent="0.3">
      <c r="B2181" s="1"/>
    </row>
    <row r="2182" spans="2:2" x14ac:dyDescent="0.3">
      <c r="B2182" s="1"/>
    </row>
    <row r="2183" spans="2:2" x14ac:dyDescent="0.3">
      <c r="B2183" s="1"/>
    </row>
    <row r="2184" spans="2:2" x14ac:dyDescent="0.3">
      <c r="B2184" s="1"/>
    </row>
    <row r="2185" spans="2:2" x14ac:dyDescent="0.3">
      <c r="B2185" s="1"/>
    </row>
    <row r="2186" spans="2:2" x14ac:dyDescent="0.3">
      <c r="B2186" s="1"/>
    </row>
    <row r="2187" spans="2:2" x14ac:dyDescent="0.3">
      <c r="B2187" s="1"/>
    </row>
    <row r="2188" spans="2:2" x14ac:dyDescent="0.3">
      <c r="B2188" s="1"/>
    </row>
    <row r="2189" spans="2:2" x14ac:dyDescent="0.3">
      <c r="B2189" s="1"/>
    </row>
    <row r="2190" spans="2:2" x14ac:dyDescent="0.3">
      <c r="B2190" s="1"/>
    </row>
    <row r="2191" spans="2:2" x14ac:dyDescent="0.3">
      <c r="B2191" s="1"/>
    </row>
    <row r="2192" spans="2:2" x14ac:dyDescent="0.3">
      <c r="B2192" s="1"/>
    </row>
    <row r="2193" spans="2:2" x14ac:dyDescent="0.3">
      <c r="B2193" s="1"/>
    </row>
    <row r="2194" spans="2:2" x14ac:dyDescent="0.3">
      <c r="B2194" s="1"/>
    </row>
    <row r="2195" spans="2:2" x14ac:dyDescent="0.3">
      <c r="B2195" s="1"/>
    </row>
    <row r="2196" spans="2:2" x14ac:dyDescent="0.3">
      <c r="B2196" s="1"/>
    </row>
    <row r="2197" spans="2:2" x14ac:dyDescent="0.3">
      <c r="B2197" s="1"/>
    </row>
    <row r="2198" spans="2:2" x14ac:dyDescent="0.3">
      <c r="B2198" s="1"/>
    </row>
    <row r="2199" spans="2:2" x14ac:dyDescent="0.3">
      <c r="B2199" s="1"/>
    </row>
    <row r="2200" spans="2:2" x14ac:dyDescent="0.3">
      <c r="B2200" s="1"/>
    </row>
    <row r="2201" spans="2:2" x14ac:dyDescent="0.3">
      <c r="B2201" s="1"/>
    </row>
    <row r="2202" spans="2:2" x14ac:dyDescent="0.3">
      <c r="B2202" s="1"/>
    </row>
    <row r="2203" spans="2:2" x14ac:dyDescent="0.3">
      <c r="B2203" s="1"/>
    </row>
    <row r="2204" spans="2:2" x14ac:dyDescent="0.3">
      <c r="B2204" s="1"/>
    </row>
    <row r="2205" spans="2:2" x14ac:dyDescent="0.3">
      <c r="B2205" s="1"/>
    </row>
    <row r="2206" spans="2:2" x14ac:dyDescent="0.3">
      <c r="B2206" s="1"/>
    </row>
    <row r="2207" spans="2:2" x14ac:dyDescent="0.3">
      <c r="B2207" s="1"/>
    </row>
    <row r="2208" spans="2:2" x14ac:dyDescent="0.3">
      <c r="B2208" s="1"/>
    </row>
    <row r="2209" spans="2:2" x14ac:dyDescent="0.3">
      <c r="B2209" s="1"/>
    </row>
    <row r="2210" spans="2:2" x14ac:dyDescent="0.3">
      <c r="B2210" s="1"/>
    </row>
    <row r="2211" spans="2:2" x14ac:dyDescent="0.3">
      <c r="B2211" s="1"/>
    </row>
    <row r="2212" spans="2:2" x14ac:dyDescent="0.3">
      <c r="B2212" s="1"/>
    </row>
    <row r="2213" spans="2:2" x14ac:dyDescent="0.3">
      <c r="B2213" s="1"/>
    </row>
    <row r="2214" spans="2:2" x14ac:dyDescent="0.3">
      <c r="B2214" s="1"/>
    </row>
    <row r="2215" spans="2:2" x14ac:dyDescent="0.3">
      <c r="B2215" s="1"/>
    </row>
    <row r="2216" spans="2:2" x14ac:dyDescent="0.3">
      <c r="B2216" s="1"/>
    </row>
    <row r="2217" spans="2:2" x14ac:dyDescent="0.3">
      <c r="B2217" s="1"/>
    </row>
    <row r="2218" spans="2:2" x14ac:dyDescent="0.3">
      <c r="B2218" s="1"/>
    </row>
    <row r="2219" spans="2:2" x14ac:dyDescent="0.3">
      <c r="B2219" s="1"/>
    </row>
    <row r="2220" spans="2:2" x14ac:dyDescent="0.3">
      <c r="B2220" s="1"/>
    </row>
    <row r="2221" spans="2:2" x14ac:dyDescent="0.3">
      <c r="B2221" s="1"/>
    </row>
    <row r="2222" spans="2:2" x14ac:dyDescent="0.3">
      <c r="B2222" s="1"/>
    </row>
    <row r="2223" spans="2:2" x14ac:dyDescent="0.3">
      <c r="B2223" s="1"/>
    </row>
    <row r="2224" spans="2:2" x14ac:dyDescent="0.3">
      <c r="B2224" s="1"/>
    </row>
    <row r="2225" spans="2:2" x14ac:dyDescent="0.3">
      <c r="B2225" s="1"/>
    </row>
    <row r="2226" spans="2:2" x14ac:dyDescent="0.3">
      <c r="B2226" s="1"/>
    </row>
    <row r="2227" spans="2:2" x14ac:dyDescent="0.3">
      <c r="B2227" s="1"/>
    </row>
    <row r="2228" spans="2:2" x14ac:dyDescent="0.3">
      <c r="B2228" s="1"/>
    </row>
    <row r="2229" spans="2:2" x14ac:dyDescent="0.3">
      <c r="B2229" s="1"/>
    </row>
    <row r="2230" spans="2:2" x14ac:dyDescent="0.3">
      <c r="B2230" s="1"/>
    </row>
    <row r="2231" spans="2:2" x14ac:dyDescent="0.3">
      <c r="B2231" s="1"/>
    </row>
    <row r="2232" spans="2:2" x14ac:dyDescent="0.3">
      <c r="B2232" s="1"/>
    </row>
    <row r="2233" spans="2:2" x14ac:dyDescent="0.3">
      <c r="B2233" s="1"/>
    </row>
    <row r="2234" spans="2:2" x14ac:dyDescent="0.3">
      <c r="B2234" s="1"/>
    </row>
    <row r="2235" spans="2:2" x14ac:dyDescent="0.3">
      <c r="B2235" s="1"/>
    </row>
    <row r="2236" spans="2:2" x14ac:dyDescent="0.3">
      <c r="B2236" s="1"/>
    </row>
    <row r="2237" spans="2:2" x14ac:dyDescent="0.3">
      <c r="B2237" s="1"/>
    </row>
    <row r="2238" spans="2:2" x14ac:dyDescent="0.3">
      <c r="B2238" s="1"/>
    </row>
    <row r="2239" spans="2:2" x14ac:dyDescent="0.3">
      <c r="B2239" s="1"/>
    </row>
    <row r="2240" spans="2:2" x14ac:dyDescent="0.3">
      <c r="B2240" s="1"/>
    </row>
    <row r="2241" spans="2:2" x14ac:dyDescent="0.3">
      <c r="B2241" s="1"/>
    </row>
    <row r="2242" spans="2:2" x14ac:dyDescent="0.3">
      <c r="B2242" s="1"/>
    </row>
    <row r="2243" spans="2:2" x14ac:dyDescent="0.3">
      <c r="B2243" s="1"/>
    </row>
    <row r="2244" spans="2:2" x14ac:dyDescent="0.3">
      <c r="B2244" s="1"/>
    </row>
    <row r="2245" spans="2:2" x14ac:dyDescent="0.3">
      <c r="B2245" s="1"/>
    </row>
    <row r="2246" spans="2:2" x14ac:dyDescent="0.3">
      <c r="B2246" s="1"/>
    </row>
    <row r="2247" spans="2:2" x14ac:dyDescent="0.3">
      <c r="B2247" s="1"/>
    </row>
    <row r="2248" spans="2:2" x14ac:dyDescent="0.3">
      <c r="B2248" s="1"/>
    </row>
    <row r="2249" spans="2:2" x14ac:dyDescent="0.3">
      <c r="B2249" s="1"/>
    </row>
    <row r="2250" spans="2:2" x14ac:dyDescent="0.3">
      <c r="B2250" s="1"/>
    </row>
    <row r="2251" spans="2:2" x14ac:dyDescent="0.3">
      <c r="B2251" s="1"/>
    </row>
    <row r="2252" spans="2:2" x14ac:dyDescent="0.3">
      <c r="B2252" s="1"/>
    </row>
    <row r="2253" spans="2:2" x14ac:dyDescent="0.3">
      <c r="B2253" s="1"/>
    </row>
    <row r="2254" spans="2:2" x14ac:dyDescent="0.3">
      <c r="B2254" s="1"/>
    </row>
    <row r="2255" spans="2:2" x14ac:dyDescent="0.3">
      <c r="B2255" s="1"/>
    </row>
    <row r="2256" spans="2:2" x14ac:dyDescent="0.3">
      <c r="B2256" s="1"/>
    </row>
    <row r="2257" spans="2:2" x14ac:dyDescent="0.3">
      <c r="B2257" s="1"/>
    </row>
    <row r="2258" spans="2:2" x14ac:dyDescent="0.3">
      <c r="B2258" s="1"/>
    </row>
    <row r="2259" spans="2:2" x14ac:dyDescent="0.3">
      <c r="B2259" s="1"/>
    </row>
    <row r="2260" spans="2:2" x14ac:dyDescent="0.3">
      <c r="B2260" s="1"/>
    </row>
    <row r="2261" spans="2:2" x14ac:dyDescent="0.3">
      <c r="B2261" s="1"/>
    </row>
    <row r="2262" spans="2:2" x14ac:dyDescent="0.3">
      <c r="B2262" s="1"/>
    </row>
    <row r="2263" spans="2:2" x14ac:dyDescent="0.3">
      <c r="B2263" s="1"/>
    </row>
    <row r="2264" spans="2:2" x14ac:dyDescent="0.3">
      <c r="B2264" s="1"/>
    </row>
    <row r="2265" spans="2:2" x14ac:dyDescent="0.3">
      <c r="B2265" s="1"/>
    </row>
    <row r="2266" spans="2:2" x14ac:dyDescent="0.3">
      <c r="B2266" s="1"/>
    </row>
    <row r="2267" spans="2:2" x14ac:dyDescent="0.3">
      <c r="B2267" s="1"/>
    </row>
    <row r="2268" spans="2:2" x14ac:dyDescent="0.3">
      <c r="B2268" s="1"/>
    </row>
    <row r="2269" spans="2:2" x14ac:dyDescent="0.3">
      <c r="B2269" s="1"/>
    </row>
    <row r="2270" spans="2:2" x14ac:dyDescent="0.3">
      <c r="B2270" s="1"/>
    </row>
    <row r="2271" spans="2:2" x14ac:dyDescent="0.3">
      <c r="B2271" s="1"/>
    </row>
    <row r="2272" spans="2:2" x14ac:dyDescent="0.3">
      <c r="B2272" s="1"/>
    </row>
    <row r="2273" spans="2:2" x14ac:dyDescent="0.3">
      <c r="B2273" s="1"/>
    </row>
    <row r="2274" spans="2:2" x14ac:dyDescent="0.3">
      <c r="B2274" s="1"/>
    </row>
    <row r="2275" spans="2:2" x14ac:dyDescent="0.3">
      <c r="B2275" s="1"/>
    </row>
    <row r="2276" spans="2:2" x14ac:dyDescent="0.3">
      <c r="B2276" s="1"/>
    </row>
    <row r="2277" spans="2:2" x14ac:dyDescent="0.3">
      <c r="B2277" s="1"/>
    </row>
    <row r="2278" spans="2:2" x14ac:dyDescent="0.3">
      <c r="B2278" s="1"/>
    </row>
    <row r="2279" spans="2:2" x14ac:dyDescent="0.3">
      <c r="B2279" s="1"/>
    </row>
    <row r="2280" spans="2:2" x14ac:dyDescent="0.3">
      <c r="B2280" s="1"/>
    </row>
    <row r="2281" spans="2:2" x14ac:dyDescent="0.3">
      <c r="B2281" s="1"/>
    </row>
    <row r="2282" spans="2:2" x14ac:dyDescent="0.3">
      <c r="B2282" s="1"/>
    </row>
    <row r="2283" spans="2:2" x14ac:dyDescent="0.3">
      <c r="B2283" s="1"/>
    </row>
    <row r="2284" spans="2:2" x14ac:dyDescent="0.3">
      <c r="B2284" s="1"/>
    </row>
    <row r="2285" spans="2:2" x14ac:dyDescent="0.3">
      <c r="B2285" s="1"/>
    </row>
    <row r="2286" spans="2:2" x14ac:dyDescent="0.3">
      <c r="B2286" s="1"/>
    </row>
    <row r="2287" spans="2:2" x14ac:dyDescent="0.3">
      <c r="B2287" s="1"/>
    </row>
    <row r="2288" spans="2:2" x14ac:dyDescent="0.3">
      <c r="B2288" s="1"/>
    </row>
    <row r="2289" spans="2:2" x14ac:dyDescent="0.3">
      <c r="B2289" s="1"/>
    </row>
    <row r="2290" spans="2:2" x14ac:dyDescent="0.3">
      <c r="B2290" s="1"/>
    </row>
    <row r="2291" spans="2:2" x14ac:dyDescent="0.3">
      <c r="B2291" s="1"/>
    </row>
    <row r="2292" spans="2:2" x14ac:dyDescent="0.3">
      <c r="B2292" s="1"/>
    </row>
    <row r="2293" spans="2:2" x14ac:dyDescent="0.3">
      <c r="B2293" s="1"/>
    </row>
    <row r="2294" spans="2:2" x14ac:dyDescent="0.3">
      <c r="B2294" s="1"/>
    </row>
    <row r="2295" spans="2:2" x14ac:dyDescent="0.3">
      <c r="B2295" s="1"/>
    </row>
    <row r="2296" spans="2:2" x14ac:dyDescent="0.3">
      <c r="B2296" s="1"/>
    </row>
    <row r="2297" spans="2:2" x14ac:dyDescent="0.3">
      <c r="B2297" s="1"/>
    </row>
    <row r="2298" spans="2:2" x14ac:dyDescent="0.3">
      <c r="B2298" s="1"/>
    </row>
    <row r="2299" spans="2:2" x14ac:dyDescent="0.3">
      <c r="B2299" s="1"/>
    </row>
    <row r="2300" spans="2:2" x14ac:dyDescent="0.3">
      <c r="B2300" s="1"/>
    </row>
    <row r="2301" spans="2:2" x14ac:dyDescent="0.3">
      <c r="B2301" s="1"/>
    </row>
    <row r="2302" spans="2:2" x14ac:dyDescent="0.3">
      <c r="B2302" s="1"/>
    </row>
    <row r="2303" spans="2:2" x14ac:dyDescent="0.3">
      <c r="B2303" s="1"/>
    </row>
    <row r="2304" spans="2:2" x14ac:dyDescent="0.3">
      <c r="B2304" s="1"/>
    </row>
    <row r="2305" spans="2:2" x14ac:dyDescent="0.3">
      <c r="B2305" s="1"/>
    </row>
    <row r="2306" spans="2:2" x14ac:dyDescent="0.3">
      <c r="B2306" s="1"/>
    </row>
    <row r="2307" spans="2:2" x14ac:dyDescent="0.3">
      <c r="B2307" s="1"/>
    </row>
    <row r="2308" spans="2:2" x14ac:dyDescent="0.3">
      <c r="B2308" s="1"/>
    </row>
    <row r="2309" spans="2:2" x14ac:dyDescent="0.3">
      <c r="B2309" s="1"/>
    </row>
    <row r="2310" spans="2:2" x14ac:dyDescent="0.3">
      <c r="B2310" s="1"/>
    </row>
    <row r="2311" spans="2:2" x14ac:dyDescent="0.3">
      <c r="B2311" s="1"/>
    </row>
    <row r="2312" spans="2:2" x14ac:dyDescent="0.3">
      <c r="B2312" s="1"/>
    </row>
    <row r="2313" spans="2:2" x14ac:dyDescent="0.3">
      <c r="B2313" s="1"/>
    </row>
    <row r="2314" spans="2:2" x14ac:dyDescent="0.3">
      <c r="B2314" s="1"/>
    </row>
    <row r="2315" spans="2:2" x14ac:dyDescent="0.3">
      <c r="B2315" s="1"/>
    </row>
    <row r="2316" spans="2:2" x14ac:dyDescent="0.3">
      <c r="B2316" s="1"/>
    </row>
    <row r="2317" spans="2:2" x14ac:dyDescent="0.3">
      <c r="B2317" s="1"/>
    </row>
    <row r="2318" spans="2:2" x14ac:dyDescent="0.3">
      <c r="B2318" s="1"/>
    </row>
    <row r="2319" spans="2:2" x14ac:dyDescent="0.3">
      <c r="B2319" s="1"/>
    </row>
    <row r="2320" spans="2:2" x14ac:dyDescent="0.3">
      <c r="B2320" s="1"/>
    </row>
    <row r="2321" spans="2:2" x14ac:dyDescent="0.3">
      <c r="B2321" s="1"/>
    </row>
    <row r="2322" spans="2:2" x14ac:dyDescent="0.3">
      <c r="B2322" s="1"/>
    </row>
    <row r="2323" spans="2:2" x14ac:dyDescent="0.3">
      <c r="B2323" s="1"/>
    </row>
    <row r="2324" spans="2:2" x14ac:dyDescent="0.3">
      <c r="B2324" s="1"/>
    </row>
    <row r="2325" spans="2:2" x14ac:dyDescent="0.3">
      <c r="B2325" s="1"/>
    </row>
    <row r="2326" spans="2:2" x14ac:dyDescent="0.3">
      <c r="B2326" s="1"/>
    </row>
    <row r="2327" spans="2:2" x14ac:dyDescent="0.3">
      <c r="B2327" s="1"/>
    </row>
    <row r="2328" spans="2:2" x14ac:dyDescent="0.3">
      <c r="B2328" s="1"/>
    </row>
    <row r="2329" spans="2:2" x14ac:dyDescent="0.3">
      <c r="B2329" s="1"/>
    </row>
    <row r="2330" spans="2:2" x14ac:dyDescent="0.3">
      <c r="B2330" s="1"/>
    </row>
    <row r="2331" spans="2:2" x14ac:dyDescent="0.3">
      <c r="B2331" s="1"/>
    </row>
    <row r="2332" spans="2:2" x14ac:dyDescent="0.3">
      <c r="B2332" s="1"/>
    </row>
    <row r="2333" spans="2:2" x14ac:dyDescent="0.3">
      <c r="B2333" s="1"/>
    </row>
    <row r="2334" spans="2:2" x14ac:dyDescent="0.3">
      <c r="B2334" s="1"/>
    </row>
    <row r="2335" spans="2:2" x14ac:dyDescent="0.3">
      <c r="B2335" s="1"/>
    </row>
    <row r="2336" spans="2:2" x14ac:dyDescent="0.3">
      <c r="B2336" s="1"/>
    </row>
    <row r="2337" spans="2:2" x14ac:dyDescent="0.3">
      <c r="B2337" s="1"/>
    </row>
    <row r="2338" spans="2:2" x14ac:dyDescent="0.3">
      <c r="B2338" s="1"/>
    </row>
    <row r="2339" spans="2:2" x14ac:dyDescent="0.3">
      <c r="B2339" s="1"/>
    </row>
    <row r="2340" spans="2:2" x14ac:dyDescent="0.3">
      <c r="B2340" s="1"/>
    </row>
    <row r="2341" spans="2:2" x14ac:dyDescent="0.3">
      <c r="B2341" s="1"/>
    </row>
    <row r="2342" spans="2:2" x14ac:dyDescent="0.3">
      <c r="B2342" s="1"/>
    </row>
    <row r="2343" spans="2:2" x14ac:dyDescent="0.3">
      <c r="B2343" s="1"/>
    </row>
    <row r="2344" spans="2:2" x14ac:dyDescent="0.3">
      <c r="B2344" s="1"/>
    </row>
    <row r="2345" spans="2:2" x14ac:dyDescent="0.3">
      <c r="B2345" s="1"/>
    </row>
    <row r="2346" spans="2:2" x14ac:dyDescent="0.3">
      <c r="B2346" s="1"/>
    </row>
    <row r="2347" spans="2:2" x14ac:dyDescent="0.3">
      <c r="B2347" s="1"/>
    </row>
    <row r="2348" spans="2:2" x14ac:dyDescent="0.3">
      <c r="B2348" s="1"/>
    </row>
    <row r="2349" spans="2:2" x14ac:dyDescent="0.3">
      <c r="B2349" s="1"/>
    </row>
    <row r="2350" spans="2:2" x14ac:dyDescent="0.3">
      <c r="B2350" s="1"/>
    </row>
    <row r="2351" spans="2:2" x14ac:dyDescent="0.3">
      <c r="B2351" s="1"/>
    </row>
    <row r="2352" spans="2:2" x14ac:dyDescent="0.3">
      <c r="B2352" s="1"/>
    </row>
    <row r="2353" spans="2:2" x14ac:dyDescent="0.3">
      <c r="B2353" s="1"/>
    </row>
    <row r="2354" spans="2:2" x14ac:dyDescent="0.3">
      <c r="B2354" s="1"/>
    </row>
    <row r="2355" spans="2:2" x14ac:dyDescent="0.3">
      <c r="B2355" s="1"/>
    </row>
    <row r="2356" spans="2:2" x14ac:dyDescent="0.3">
      <c r="B2356" s="1"/>
    </row>
    <row r="2357" spans="2:2" x14ac:dyDescent="0.3">
      <c r="B2357" s="1"/>
    </row>
    <row r="2358" spans="2:2" x14ac:dyDescent="0.3">
      <c r="B2358" s="1"/>
    </row>
    <row r="2359" spans="2:2" x14ac:dyDescent="0.3">
      <c r="B2359" s="1"/>
    </row>
    <row r="2360" spans="2:2" x14ac:dyDescent="0.3">
      <c r="B2360" s="1"/>
    </row>
    <row r="2361" spans="2:2" x14ac:dyDescent="0.3">
      <c r="B2361" s="1"/>
    </row>
    <row r="2362" spans="2:2" x14ac:dyDescent="0.3">
      <c r="B2362" s="1"/>
    </row>
    <row r="2363" spans="2:2" x14ac:dyDescent="0.3">
      <c r="B2363" s="1"/>
    </row>
    <row r="2364" spans="2:2" x14ac:dyDescent="0.3">
      <c r="B2364" s="1"/>
    </row>
    <row r="2365" spans="2:2" x14ac:dyDescent="0.3">
      <c r="B2365" s="1"/>
    </row>
    <row r="2366" spans="2:2" x14ac:dyDescent="0.3">
      <c r="B2366" s="1"/>
    </row>
    <row r="2367" spans="2:2" x14ac:dyDescent="0.3">
      <c r="B2367" s="1"/>
    </row>
    <row r="2368" spans="2:2" x14ac:dyDescent="0.3">
      <c r="B2368" s="1"/>
    </row>
    <row r="2369" spans="2:2" x14ac:dyDescent="0.3">
      <c r="B2369" s="1"/>
    </row>
    <row r="2370" spans="2:2" x14ac:dyDescent="0.3">
      <c r="B2370" s="1"/>
    </row>
    <row r="2371" spans="2:2" x14ac:dyDescent="0.3">
      <c r="B2371" s="1"/>
    </row>
    <row r="2372" spans="2:2" x14ac:dyDescent="0.3">
      <c r="B2372" s="1"/>
    </row>
    <row r="2373" spans="2:2" x14ac:dyDescent="0.3">
      <c r="B2373" s="1"/>
    </row>
    <row r="2374" spans="2:2" x14ac:dyDescent="0.3">
      <c r="B2374" s="1"/>
    </row>
    <row r="2375" spans="2:2" x14ac:dyDescent="0.3">
      <c r="B2375" s="1"/>
    </row>
    <row r="2376" spans="2:2" x14ac:dyDescent="0.3">
      <c r="B2376" s="1"/>
    </row>
    <row r="2377" spans="2:2" x14ac:dyDescent="0.3">
      <c r="B2377" s="1"/>
    </row>
    <row r="2378" spans="2:2" x14ac:dyDescent="0.3">
      <c r="B2378" s="1"/>
    </row>
    <row r="2379" spans="2:2" x14ac:dyDescent="0.3">
      <c r="B2379" s="1"/>
    </row>
    <row r="2380" spans="2:2" x14ac:dyDescent="0.3">
      <c r="B2380" s="1"/>
    </row>
    <row r="2381" spans="2:2" x14ac:dyDescent="0.3">
      <c r="B2381" s="1"/>
    </row>
    <row r="2382" spans="2:2" x14ac:dyDescent="0.3">
      <c r="B2382" s="1"/>
    </row>
    <row r="2383" spans="2:2" x14ac:dyDescent="0.3">
      <c r="B2383" s="1"/>
    </row>
    <row r="2384" spans="2:2" x14ac:dyDescent="0.3">
      <c r="B2384" s="1"/>
    </row>
    <row r="2385" spans="2:2" x14ac:dyDescent="0.3">
      <c r="B2385" s="1"/>
    </row>
    <row r="2386" spans="2:2" x14ac:dyDescent="0.3">
      <c r="B2386" s="1"/>
    </row>
    <row r="2387" spans="2:2" x14ac:dyDescent="0.3">
      <c r="B2387" s="1"/>
    </row>
    <row r="2388" spans="2:2" x14ac:dyDescent="0.3">
      <c r="B2388" s="1"/>
    </row>
    <row r="2389" spans="2:2" x14ac:dyDescent="0.3">
      <c r="B2389" s="1"/>
    </row>
    <row r="2390" spans="2:2" x14ac:dyDescent="0.3">
      <c r="B2390" s="1"/>
    </row>
    <row r="2391" spans="2:2" x14ac:dyDescent="0.3">
      <c r="B2391" s="1"/>
    </row>
    <row r="2392" spans="2:2" x14ac:dyDescent="0.3">
      <c r="B2392" s="1"/>
    </row>
    <row r="2393" spans="2:2" x14ac:dyDescent="0.3">
      <c r="B2393" s="1"/>
    </row>
    <row r="2394" spans="2:2" x14ac:dyDescent="0.3">
      <c r="B2394" s="1"/>
    </row>
    <row r="2395" spans="2:2" x14ac:dyDescent="0.3">
      <c r="B2395" s="1"/>
    </row>
    <row r="2396" spans="2:2" x14ac:dyDescent="0.3">
      <c r="B2396" s="1"/>
    </row>
    <row r="2397" spans="2:2" x14ac:dyDescent="0.3">
      <c r="B2397" s="1"/>
    </row>
    <row r="2398" spans="2:2" x14ac:dyDescent="0.3">
      <c r="B2398" s="1"/>
    </row>
    <row r="2399" spans="2:2" x14ac:dyDescent="0.3">
      <c r="B2399" s="1"/>
    </row>
    <row r="2400" spans="2:2" x14ac:dyDescent="0.3">
      <c r="B2400" s="1"/>
    </row>
    <row r="2401" spans="2:2" x14ac:dyDescent="0.3">
      <c r="B2401" s="1"/>
    </row>
    <row r="2402" spans="2:2" x14ac:dyDescent="0.3">
      <c r="B2402" s="1"/>
    </row>
    <row r="2403" spans="2:2" x14ac:dyDescent="0.3">
      <c r="B2403" s="1"/>
    </row>
    <row r="2404" spans="2:2" x14ac:dyDescent="0.3">
      <c r="B2404" s="1"/>
    </row>
    <row r="2405" spans="2:2" x14ac:dyDescent="0.3">
      <c r="B2405" s="1"/>
    </row>
    <row r="2406" spans="2:2" x14ac:dyDescent="0.3">
      <c r="B2406" s="1"/>
    </row>
    <row r="2407" spans="2:2" x14ac:dyDescent="0.3">
      <c r="B2407" s="1"/>
    </row>
    <row r="2408" spans="2:2" x14ac:dyDescent="0.3">
      <c r="B2408" s="1"/>
    </row>
    <row r="2409" spans="2:2" x14ac:dyDescent="0.3">
      <c r="B2409" s="1"/>
    </row>
    <row r="2410" spans="2:2" x14ac:dyDescent="0.3">
      <c r="B2410" s="1"/>
    </row>
    <row r="2411" spans="2:2" x14ac:dyDescent="0.3">
      <c r="B2411" s="1"/>
    </row>
    <row r="2412" spans="2:2" x14ac:dyDescent="0.3">
      <c r="B2412" s="1"/>
    </row>
    <row r="2413" spans="2:2" x14ac:dyDescent="0.3">
      <c r="B2413" s="1"/>
    </row>
    <row r="2414" spans="2:2" x14ac:dyDescent="0.3">
      <c r="B2414" s="1"/>
    </row>
    <row r="2415" spans="2:2" x14ac:dyDescent="0.3">
      <c r="B2415" s="1"/>
    </row>
    <row r="2416" spans="2:2" x14ac:dyDescent="0.3">
      <c r="B2416" s="1"/>
    </row>
    <row r="2417" spans="2:2" x14ac:dyDescent="0.3">
      <c r="B2417" s="1"/>
    </row>
    <row r="2418" spans="2:2" x14ac:dyDescent="0.3">
      <c r="B2418" s="1"/>
    </row>
    <row r="2419" spans="2:2" x14ac:dyDescent="0.3">
      <c r="B2419" s="1"/>
    </row>
    <row r="2420" spans="2:2" x14ac:dyDescent="0.3">
      <c r="B2420" s="1"/>
    </row>
    <row r="2421" spans="2:2" x14ac:dyDescent="0.3">
      <c r="B2421" s="1"/>
    </row>
    <row r="2422" spans="2:2" x14ac:dyDescent="0.3">
      <c r="B2422" s="1"/>
    </row>
    <row r="2423" spans="2:2" x14ac:dyDescent="0.3">
      <c r="B2423" s="1"/>
    </row>
    <row r="2424" spans="2:2" x14ac:dyDescent="0.3">
      <c r="B2424" s="1"/>
    </row>
    <row r="2425" spans="2:2" x14ac:dyDescent="0.3">
      <c r="B2425" s="1"/>
    </row>
    <row r="2426" spans="2:2" x14ac:dyDescent="0.3">
      <c r="B2426" s="1"/>
    </row>
    <row r="2427" spans="2:2" x14ac:dyDescent="0.3">
      <c r="B2427" s="1"/>
    </row>
    <row r="2428" spans="2:2" x14ac:dyDescent="0.3">
      <c r="B2428" s="1"/>
    </row>
    <row r="2429" spans="2:2" x14ac:dyDescent="0.3">
      <c r="B2429" s="1"/>
    </row>
    <row r="2430" spans="2:2" x14ac:dyDescent="0.3">
      <c r="B2430" s="1"/>
    </row>
    <row r="2431" spans="2:2" x14ac:dyDescent="0.3">
      <c r="B2431" s="1"/>
    </row>
    <row r="2432" spans="2:2" x14ac:dyDescent="0.3">
      <c r="B2432" s="1"/>
    </row>
    <row r="2433" spans="2:2" x14ac:dyDescent="0.3">
      <c r="B2433" s="1"/>
    </row>
    <row r="2434" spans="2:2" x14ac:dyDescent="0.3">
      <c r="B2434" s="1"/>
    </row>
    <row r="2435" spans="2:2" x14ac:dyDescent="0.3">
      <c r="B2435" s="1"/>
    </row>
    <row r="2436" spans="2:2" x14ac:dyDescent="0.3">
      <c r="B2436" s="1"/>
    </row>
    <row r="2437" spans="2:2" x14ac:dyDescent="0.3">
      <c r="B2437" s="1"/>
    </row>
    <row r="2438" spans="2:2" x14ac:dyDescent="0.3">
      <c r="B2438" s="1"/>
    </row>
    <row r="2439" spans="2:2" x14ac:dyDescent="0.3">
      <c r="B2439" s="1"/>
    </row>
    <row r="2440" spans="2:2" x14ac:dyDescent="0.3">
      <c r="B2440" s="1"/>
    </row>
    <row r="2441" spans="2:2" x14ac:dyDescent="0.3">
      <c r="B2441" s="1"/>
    </row>
    <row r="2442" spans="2:2" x14ac:dyDescent="0.3">
      <c r="B2442" s="1"/>
    </row>
    <row r="2443" spans="2:2" x14ac:dyDescent="0.3">
      <c r="B2443" s="1"/>
    </row>
    <row r="2444" spans="2:2" x14ac:dyDescent="0.3">
      <c r="B2444" s="1"/>
    </row>
    <row r="2445" spans="2:2" x14ac:dyDescent="0.3">
      <c r="B2445" s="1"/>
    </row>
    <row r="2446" spans="2:2" x14ac:dyDescent="0.3">
      <c r="B2446" s="1"/>
    </row>
    <row r="2447" spans="2:2" x14ac:dyDescent="0.3">
      <c r="B2447" s="1"/>
    </row>
    <row r="2448" spans="2:2" x14ac:dyDescent="0.3">
      <c r="B2448" s="1"/>
    </row>
    <row r="2449" spans="2:2" x14ac:dyDescent="0.3">
      <c r="B2449" s="1"/>
    </row>
    <row r="2450" spans="2:2" x14ac:dyDescent="0.3">
      <c r="B2450" s="1"/>
    </row>
    <row r="2451" spans="2:2" x14ac:dyDescent="0.3">
      <c r="B2451" s="1"/>
    </row>
    <row r="2452" spans="2:2" x14ac:dyDescent="0.3">
      <c r="B2452" s="1"/>
    </row>
    <row r="2453" spans="2:2" x14ac:dyDescent="0.3">
      <c r="B2453" s="1"/>
    </row>
    <row r="2454" spans="2:2" x14ac:dyDescent="0.3">
      <c r="B2454" s="1"/>
    </row>
    <row r="2455" spans="2:2" x14ac:dyDescent="0.3">
      <c r="B2455" s="1"/>
    </row>
    <row r="2456" spans="2:2" x14ac:dyDescent="0.3">
      <c r="B2456" s="1"/>
    </row>
    <row r="2457" spans="2:2" x14ac:dyDescent="0.3">
      <c r="B2457" s="1"/>
    </row>
    <row r="2458" spans="2:2" x14ac:dyDescent="0.3">
      <c r="B2458" s="1"/>
    </row>
    <row r="2459" spans="2:2" x14ac:dyDescent="0.3">
      <c r="B2459" s="1"/>
    </row>
    <row r="2460" spans="2:2" x14ac:dyDescent="0.3">
      <c r="B2460" s="1"/>
    </row>
    <row r="2461" spans="2:2" x14ac:dyDescent="0.3">
      <c r="B2461" s="1"/>
    </row>
    <row r="2462" spans="2:2" x14ac:dyDescent="0.3">
      <c r="B2462" s="1"/>
    </row>
    <row r="2463" spans="2:2" x14ac:dyDescent="0.3">
      <c r="B2463" s="1"/>
    </row>
    <row r="2464" spans="2:2" x14ac:dyDescent="0.3">
      <c r="B2464" s="1"/>
    </row>
    <row r="2465" spans="2:2" x14ac:dyDescent="0.3">
      <c r="B2465" s="1"/>
    </row>
    <row r="2466" spans="2:2" x14ac:dyDescent="0.3">
      <c r="B2466" s="1"/>
    </row>
    <row r="2467" spans="2:2" x14ac:dyDescent="0.3">
      <c r="B2467" s="1"/>
    </row>
    <row r="2468" spans="2:2" x14ac:dyDescent="0.3">
      <c r="B2468" s="1"/>
    </row>
    <row r="2469" spans="2:2" x14ac:dyDescent="0.3">
      <c r="B2469" s="1"/>
    </row>
    <row r="2470" spans="2:2" x14ac:dyDescent="0.3">
      <c r="B2470" s="1"/>
    </row>
    <row r="2471" spans="2:2" x14ac:dyDescent="0.3">
      <c r="B2471" s="1"/>
    </row>
    <row r="2472" spans="2:2" x14ac:dyDescent="0.3">
      <c r="B2472" s="1"/>
    </row>
    <row r="2473" spans="2:2" x14ac:dyDescent="0.3">
      <c r="B2473" s="1"/>
    </row>
    <row r="2474" spans="2:2" x14ac:dyDescent="0.3">
      <c r="B2474" s="1"/>
    </row>
    <row r="2475" spans="2:2" x14ac:dyDescent="0.3">
      <c r="B2475" s="1"/>
    </row>
    <row r="2476" spans="2:2" x14ac:dyDescent="0.3">
      <c r="B2476" s="1"/>
    </row>
    <row r="2477" spans="2:2" x14ac:dyDescent="0.3">
      <c r="B2477" s="1"/>
    </row>
    <row r="2478" spans="2:2" x14ac:dyDescent="0.3">
      <c r="B2478" s="1"/>
    </row>
    <row r="2479" spans="2:2" x14ac:dyDescent="0.3">
      <c r="B2479" s="1"/>
    </row>
    <row r="2480" spans="2:2" x14ac:dyDescent="0.3">
      <c r="B2480" s="1"/>
    </row>
    <row r="2481" spans="2:2" x14ac:dyDescent="0.3">
      <c r="B2481" s="1"/>
    </row>
    <row r="2482" spans="2:2" x14ac:dyDescent="0.3">
      <c r="B2482" s="1"/>
    </row>
    <row r="2483" spans="2:2" x14ac:dyDescent="0.3">
      <c r="B2483" s="1"/>
    </row>
    <row r="2484" spans="2:2" x14ac:dyDescent="0.3">
      <c r="B2484" s="1"/>
    </row>
    <row r="2485" spans="2:2" x14ac:dyDescent="0.3">
      <c r="B2485" s="1"/>
    </row>
    <row r="2486" spans="2:2" x14ac:dyDescent="0.3">
      <c r="B2486" s="1"/>
    </row>
    <row r="2487" spans="2:2" x14ac:dyDescent="0.3">
      <c r="B2487" s="1"/>
    </row>
    <row r="2488" spans="2:2" x14ac:dyDescent="0.3">
      <c r="B2488" s="1"/>
    </row>
    <row r="2489" spans="2:2" x14ac:dyDescent="0.3">
      <c r="B2489" s="1"/>
    </row>
    <row r="2490" spans="2:2" x14ac:dyDescent="0.3">
      <c r="B2490" s="1"/>
    </row>
    <row r="2491" spans="2:2" x14ac:dyDescent="0.3">
      <c r="B2491" s="1"/>
    </row>
    <row r="2492" spans="2:2" x14ac:dyDescent="0.3">
      <c r="B2492" s="1"/>
    </row>
    <row r="2493" spans="2:2" x14ac:dyDescent="0.3">
      <c r="B2493" s="1"/>
    </row>
    <row r="2494" spans="2:2" x14ac:dyDescent="0.3">
      <c r="B2494" s="1"/>
    </row>
    <row r="2495" spans="2:2" x14ac:dyDescent="0.3">
      <c r="B2495" s="1"/>
    </row>
    <row r="2496" spans="2:2" x14ac:dyDescent="0.3">
      <c r="B2496" s="1"/>
    </row>
    <row r="2497" spans="2:2" x14ac:dyDescent="0.3">
      <c r="B2497" s="1"/>
    </row>
    <row r="2498" spans="2:2" x14ac:dyDescent="0.3">
      <c r="B2498" s="1"/>
    </row>
    <row r="2499" spans="2:2" x14ac:dyDescent="0.3">
      <c r="B2499" s="1"/>
    </row>
    <row r="2500" spans="2:2" x14ac:dyDescent="0.3">
      <c r="B2500" s="1"/>
    </row>
    <row r="2501" spans="2:2" x14ac:dyDescent="0.3">
      <c r="B2501" s="1"/>
    </row>
    <row r="2502" spans="2:2" x14ac:dyDescent="0.3">
      <c r="B2502" s="1"/>
    </row>
    <row r="2503" spans="2:2" x14ac:dyDescent="0.3">
      <c r="B2503" s="1"/>
    </row>
    <row r="2504" spans="2:2" x14ac:dyDescent="0.3">
      <c r="B2504" s="1"/>
    </row>
    <row r="2505" spans="2:2" x14ac:dyDescent="0.3">
      <c r="B2505" s="1"/>
    </row>
    <row r="2506" spans="2:2" x14ac:dyDescent="0.3">
      <c r="B2506" s="1"/>
    </row>
    <row r="2507" spans="2:2" x14ac:dyDescent="0.3">
      <c r="B2507" s="1"/>
    </row>
    <row r="2508" spans="2:2" x14ac:dyDescent="0.3">
      <c r="B2508" s="1"/>
    </row>
    <row r="2509" spans="2:2" x14ac:dyDescent="0.3">
      <c r="B2509" s="1"/>
    </row>
    <row r="2510" spans="2:2" x14ac:dyDescent="0.3">
      <c r="B2510" s="1"/>
    </row>
    <row r="2511" spans="2:2" x14ac:dyDescent="0.3">
      <c r="B2511" s="1"/>
    </row>
    <row r="2512" spans="2:2" x14ac:dyDescent="0.3">
      <c r="B2512" s="1"/>
    </row>
    <row r="2513" spans="2:2" x14ac:dyDescent="0.3">
      <c r="B2513" s="1"/>
    </row>
    <row r="2514" spans="2:2" x14ac:dyDescent="0.3">
      <c r="B2514" s="1"/>
    </row>
    <row r="2515" spans="2:2" x14ac:dyDescent="0.3">
      <c r="B2515" s="1"/>
    </row>
    <row r="2516" spans="2:2" x14ac:dyDescent="0.3">
      <c r="B2516" s="1"/>
    </row>
    <row r="2517" spans="2:2" x14ac:dyDescent="0.3">
      <c r="B2517" s="1"/>
    </row>
    <row r="2518" spans="2:2" x14ac:dyDescent="0.3">
      <c r="B2518" s="1"/>
    </row>
    <row r="2519" spans="2:2" x14ac:dyDescent="0.3">
      <c r="B2519" s="1"/>
    </row>
    <row r="2520" spans="2:2" x14ac:dyDescent="0.3">
      <c r="B2520" s="1"/>
    </row>
    <row r="2521" spans="2:2" x14ac:dyDescent="0.3">
      <c r="B2521" s="1"/>
    </row>
    <row r="2522" spans="2:2" x14ac:dyDescent="0.3">
      <c r="B2522" s="1"/>
    </row>
    <row r="2523" spans="2:2" x14ac:dyDescent="0.3">
      <c r="B2523" s="1"/>
    </row>
    <row r="2524" spans="2:2" x14ac:dyDescent="0.3">
      <c r="B2524" s="1"/>
    </row>
    <row r="2525" spans="2:2" x14ac:dyDescent="0.3">
      <c r="B2525" s="1"/>
    </row>
    <row r="2526" spans="2:2" x14ac:dyDescent="0.3">
      <c r="B2526" s="1"/>
    </row>
    <row r="2527" spans="2:2" x14ac:dyDescent="0.3">
      <c r="B2527" s="1"/>
    </row>
    <row r="2528" spans="2:2" x14ac:dyDescent="0.3">
      <c r="B2528" s="1"/>
    </row>
    <row r="2529" spans="2:2" x14ac:dyDescent="0.3">
      <c r="B2529" s="1"/>
    </row>
    <row r="2530" spans="2:2" x14ac:dyDescent="0.3">
      <c r="B2530" s="1"/>
    </row>
    <row r="2531" spans="2:2" x14ac:dyDescent="0.3">
      <c r="B2531" s="1"/>
    </row>
    <row r="2532" spans="2:2" x14ac:dyDescent="0.3">
      <c r="B2532" s="1"/>
    </row>
    <row r="2533" spans="2:2" x14ac:dyDescent="0.3">
      <c r="B2533" s="1"/>
    </row>
    <row r="2534" spans="2:2" x14ac:dyDescent="0.3">
      <c r="B2534" s="1"/>
    </row>
    <row r="2535" spans="2:2" x14ac:dyDescent="0.3">
      <c r="B2535" s="1"/>
    </row>
    <row r="2536" spans="2:2" x14ac:dyDescent="0.3">
      <c r="B2536" s="1"/>
    </row>
    <row r="2537" spans="2:2" x14ac:dyDescent="0.3">
      <c r="B2537" s="1"/>
    </row>
    <row r="2538" spans="2:2" x14ac:dyDescent="0.3">
      <c r="B2538" s="1"/>
    </row>
    <row r="2539" spans="2:2" x14ac:dyDescent="0.3">
      <c r="B2539" s="1"/>
    </row>
    <row r="2540" spans="2:2" x14ac:dyDescent="0.3">
      <c r="B2540" s="1"/>
    </row>
    <row r="2541" spans="2:2" x14ac:dyDescent="0.3">
      <c r="B2541" s="1"/>
    </row>
    <row r="2542" spans="2:2" x14ac:dyDescent="0.3">
      <c r="B2542" s="1"/>
    </row>
    <row r="2543" spans="2:2" x14ac:dyDescent="0.3">
      <c r="B2543" s="1"/>
    </row>
    <row r="2544" spans="2:2" x14ac:dyDescent="0.3">
      <c r="B2544" s="1"/>
    </row>
    <row r="2545" spans="2:2" x14ac:dyDescent="0.3">
      <c r="B2545" s="1"/>
    </row>
    <row r="2546" spans="2:2" x14ac:dyDescent="0.3">
      <c r="B2546" s="1"/>
    </row>
    <row r="2547" spans="2:2" x14ac:dyDescent="0.3">
      <c r="B2547" s="1"/>
    </row>
    <row r="2548" spans="2:2" x14ac:dyDescent="0.3">
      <c r="B2548" s="1"/>
    </row>
    <row r="2549" spans="2:2" x14ac:dyDescent="0.3">
      <c r="B2549" s="1"/>
    </row>
    <row r="2550" spans="2:2" x14ac:dyDescent="0.3">
      <c r="B2550" s="1"/>
    </row>
    <row r="2551" spans="2:2" x14ac:dyDescent="0.3">
      <c r="B2551" s="1"/>
    </row>
    <row r="2552" spans="2:2" x14ac:dyDescent="0.3">
      <c r="B2552" s="1"/>
    </row>
    <row r="2553" spans="2:2" x14ac:dyDescent="0.3">
      <c r="B2553" s="1"/>
    </row>
    <row r="2554" spans="2:2" x14ac:dyDescent="0.3">
      <c r="B2554" s="1"/>
    </row>
    <row r="2555" spans="2:2" x14ac:dyDescent="0.3">
      <c r="B2555" s="1"/>
    </row>
    <row r="2556" spans="2:2" x14ac:dyDescent="0.3">
      <c r="B2556" s="1"/>
    </row>
    <row r="2557" spans="2:2" x14ac:dyDescent="0.3">
      <c r="B2557" s="1"/>
    </row>
    <row r="2558" spans="2:2" x14ac:dyDescent="0.3">
      <c r="B2558" s="1"/>
    </row>
    <row r="2559" spans="2:2" x14ac:dyDescent="0.3">
      <c r="B2559" s="1"/>
    </row>
    <row r="2560" spans="2:2" x14ac:dyDescent="0.3">
      <c r="B2560" s="1"/>
    </row>
    <row r="2561" spans="2:2" x14ac:dyDescent="0.3">
      <c r="B2561" s="1"/>
    </row>
    <row r="2562" spans="2:2" x14ac:dyDescent="0.3">
      <c r="B2562" s="1"/>
    </row>
    <row r="2563" spans="2:2" x14ac:dyDescent="0.3">
      <c r="B2563" s="1"/>
    </row>
    <row r="2564" spans="2:2" x14ac:dyDescent="0.3">
      <c r="B2564" s="1"/>
    </row>
    <row r="2565" spans="2:2" x14ac:dyDescent="0.3">
      <c r="B2565" s="1"/>
    </row>
    <row r="2566" spans="2:2" x14ac:dyDescent="0.3">
      <c r="B2566" s="1"/>
    </row>
    <row r="2567" spans="2:2" x14ac:dyDescent="0.3">
      <c r="B2567" s="1"/>
    </row>
    <row r="2568" spans="2:2" x14ac:dyDescent="0.3">
      <c r="B2568" s="1"/>
    </row>
    <row r="2569" spans="2:2" x14ac:dyDescent="0.3">
      <c r="B2569" s="1"/>
    </row>
    <row r="2570" spans="2:2" x14ac:dyDescent="0.3">
      <c r="B2570" s="1"/>
    </row>
    <row r="2571" spans="2:2" x14ac:dyDescent="0.3">
      <c r="B2571" s="1"/>
    </row>
    <row r="2572" spans="2:2" x14ac:dyDescent="0.3">
      <c r="B2572" s="1"/>
    </row>
    <row r="2573" spans="2:2" x14ac:dyDescent="0.3">
      <c r="B2573" s="1"/>
    </row>
    <row r="2574" spans="2:2" x14ac:dyDescent="0.3">
      <c r="B2574" s="1"/>
    </row>
    <row r="2575" spans="2:2" x14ac:dyDescent="0.3">
      <c r="B2575" s="1"/>
    </row>
    <row r="2576" spans="2:2" x14ac:dyDescent="0.3">
      <c r="B2576" s="1"/>
    </row>
    <row r="2577" spans="2:2" x14ac:dyDescent="0.3">
      <c r="B2577" s="1"/>
    </row>
    <row r="2578" spans="2:2" x14ac:dyDescent="0.3">
      <c r="B2578" s="1"/>
    </row>
    <row r="2579" spans="2:2" x14ac:dyDescent="0.3">
      <c r="B2579" s="1"/>
    </row>
    <row r="2580" spans="2:2" x14ac:dyDescent="0.3">
      <c r="B2580" s="1"/>
    </row>
    <row r="2581" spans="2:2" x14ac:dyDescent="0.3">
      <c r="B2581" s="1"/>
    </row>
    <row r="2582" spans="2:2" x14ac:dyDescent="0.3">
      <c r="B2582" s="1"/>
    </row>
    <row r="2583" spans="2:2" x14ac:dyDescent="0.3">
      <c r="B2583" s="1"/>
    </row>
    <row r="2584" spans="2:2" x14ac:dyDescent="0.3">
      <c r="B2584" s="1"/>
    </row>
    <row r="2585" spans="2:2" x14ac:dyDescent="0.3">
      <c r="B2585" s="1"/>
    </row>
    <row r="2586" spans="2:2" x14ac:dyDescent="0.3">
      <c r="B2586" s="1"/>
    </row>
    <row r="2587" spans="2:2" x14ac:dyDescent="0.3">
      <c r="B2587" s="1"/>
    </row>
    <row r="2588" spans="2:2" x14ac:dyDescent="0.3">
      <c r="B2588" s="1"/>
    </row>
    <row r="2589" spans="2:2" x14ac:dyDescent="0.3">
      <c r="B2589" s="1"/>
    </row>
    <row r="2590" spans="2:2" x14ac:dyDescent="0.3">
      <c r="B2590" s="1"/>
    </row>
    <row r="2591" spans="2:2" x14ac:dyDescent="0.3">
      <c r="B2591" s="1"/>
    </row>
    <row r="2592" spans="2:2" x14ac:dyDescent="0.3">
      <c r="B2592" s="1"/>
    </row>
    <row r="2593" spans="2:2" x14ac:dyDescent="0.3">
      <c r="B2593" s="1"/>
    </row>
    <row r="2594" spans="2:2" x14ac:dyDescent="0.3">
      <c r="B2594" s="1"/>
    </row>
    <row r="2595" spans="2:2" x14ac:dyDescent="0.3">
      <c r="B2595" s="1"/>
    </row>
    <row r="2596" spans="2:2" x14ac:dyDescent="0.3">
      <c r="B2596" s="1"/>
    </row>
    <row r="2597" spans="2:2" x14ac:dyDescent="0.3">
      <c r="B2597" s="1"/>
    </row>
    <row r="2598" spans="2:2" x14ac:dyDescent="0.3">
      <c r="B2598" s="1"/>
    </row>
    <row r="2599" spans="2:2" x14ac:dyDescent="0.3">
      <c r="B2599" s="1"/>
    </row>
    <row r="2600" spans="2:2" x14ac:dyDescent="0.3">
      <c r="B2600" s="1"/>
    </row>
    <row r="2601" spans="2:2" x14ac:dyDescent="0.3">
      <c r="B2601" s="1"/>
    </row>
    <row r="2602" spans="2:2" x14ac:dyDescent="0.3">
      <c r="B2602" s="1"/>
    </row>
    <row r="2603" spans="2:2" x14ac:dyDescent="0.3">
      <c r="B2603" s="1"/>
    </row>
    <row r="2604" spans="2:2" x14ac:dyDescent="0.3">
      <c r="B2604" s="1"/>
    </row>
    <row r="2605" spans="2:2" x14ac:dyDescent="0.3">
      <c r="B2605" s="1"/>
    </row>
    <row r="2606" spans="2:2" x14ac:dyDescent="0.3">
      <c r="B2606" s="1"/>
    </row>
    <row r="2607" spans="2:2" x14ac:dyDescent="0.3">
      <c r="B2607" s="1"/>
    </row>
    <row r="2608" spans="2:2" x14ac:dyDescent="0.3">
      <c r="B2608" s="1"/>
    </row>
    <row r="2609" spans="2:2" x14ac:dyDescent="0.3">
      <c r="B2609" s="1"/>
    </row>
    <row r="2610" spans="2:2" x14ac:dyDescent="0.3">
      <c r="B2610" s="1"/>
    </row>
    <row r="2611" spans="2:2" x14ac:dyDescent="0.3">
      <c r="B2611" s="1"/>
    </row>
    <row r="2612" spans="2:2" x14ac:dyDescent="0.3">
      <c r="B2612" s="1"/>
    </row>
    <row r="2613" spans="2:2" x14ac:dyDescent="0.3">
      <c r="B2613" s="1"/>
    </row>
    <row r="2614" spans="2:2" x14ac:dyDescent="0.3">
      <c r="B2614" s="1"/>
    </row>
    <row r="2615" spans="2:2" x14ac:dyDescent="0.3">
      <c r="B2615" s="1"/>
    </row>
    <row r="2616" spans="2:2" x14ac:dyDescent="0.3">
      <c r="B2616" s="1"/>
    </row>
    <row r="2617" spans="2:2" x14ac:dyDescent="0.3">
      <c r="B2617" s="1"/>
    </row>
    <row r="2618" spans="2:2" x14ac:dyDescent="0.3">
      <c r="B2618" s="1"/>
    </row>
    <row r="2619" spans="2:2" x14ac:dyDescent="0.3">
      <c r="B2619" s="1"/>
    </row>
    <row r="2620" spans="2:2" x14ac:dyDescent="0.3">
      <c r="B2620" s="1"/>
    </row>
    <row r="2621" spans="2:2" x14ac:dyDescent="0.3">
      <c r="B2621" s="1"/>
    </row>
    <row r="2622" spans="2:2" x14ac:dyDescent="0.3">
      <c r="B2622" s="1"/>
    </row>
    <row r="2623" spans="2:2" x14ac:dyDescent="0.3">
      <c r="B2623" s="1"/>
    </row>
    <row r="2624" spans="2:2" x14ac:dyDescent="0.3">
      <c r="B2624" s="1"/>
    </row>
    <row r="2625" spans="2:2" x14ac:dyDescent="0.3">
      <c r="B2625" s="1"/>
    </row>
    <row r="2626" spans="2:2" x14ac:dyDescent="0.3">
      <c r="B2626" s="1"/>
    </row>
    <row r="2627" spans="2:2" x14ac:dyDescent="0.3">
      <c r="B2627" s="1"/>
    </row>
    <row r="2628" spans="2:2" x14ac:dyDescent="0.3">
      <c r="B2628" s="1"/>
    </row>
    <row r="2629" spans="2:2" x14ac:dyDescent="0.3">
      <c r="B2629" s="1"/>
    </row>
    <row r="2630" spans="2:2" x14ac:dyDescent="0.3">
      <c r="B2630" s="1"/>
    </row>
    <row r="2631" spans="2:2" x14ac:dyDescent="0.3">
      <c r="B2631" s="1"/>
    </row>
    <row r="2632" spans="2:2" x14ac:dyDescent="0.3">
      <c r="B2632" s="1"/>
    </row>
    <row r="2633" spans="2:2" x14ac:dyDescent="0.3">
      <c r="B2633" s="1"/>
    </row>
    <row r="2634" spans="2:2" x14ac:dyDescent="0.3">
      <c r="B2634" s="1"/>
    </row>
    <row r="2635" spans="2:2" x14ac:dyDescent="0.3">
      <c r="B2635" s="1"/>
    </row>
    <row r="2636" spans="2:2" x14ac:dyDescent="0.3">
      <c r="B2636" s="1"/>
    </row>
    <row r="2637" spans="2:2" x14ac:dyDescent="0.3">
      <c r="B2637" s="1"/>
    </row>
    <row r="2638" spans="2:2" x14ac:dyDescent="0.3">
      <c r="B2638" s="1"/>
    </row>
    <row r="2639" spans="2:2" x14ac:dyDescent="0.3">
      <c r="B2639" s="1"/>
    </row>
    <row r="2640" spans="2:2" x14ac:dyDescent="0.3">
      <c r="B2640" s="1"/>
    </row>
    <row r="2641" spans="2:2" x14ac:dyDescent="0.3">
      <c r="B2641" s="1"/>
    </row>
    <row r="2642" spans="2:2" x14ac:dyDescent="0.3">
      <c r="B2642" s="1"/>
    </row>
    <row r="2643" spans="2:2" x14ac:dyDescent="0.3">
      <c r="B2643" s="1"/>
    </row>
    <row r="2644" spans="2:2" x14ac:dyDescent="0.3">
      <c r="B2644" s="1"/>
    </row>
    <row r="2645" spans="2:2" x14ac:dyDescent="0.3">
      <c r="B2645" s="1"/>
    </row>
    <row r="2646" spans="2:2" x14ac:dyDescent="0.3">
      <c r="B2646" s="1"/>
    </row>
    <row r="2647" spans="2:2" x14ac:dyDescent="0.3">
      <c r="B2647" s="1"/>
    </row>
    <row r="2648" spans="2:2" x14ac:dyDescent="0.3">
      <c r="B2648" s="1"/>
    </row>
    <row r="2649" spans="2:2" x14ac:dyDescent="0.3">
      <c r="B2649" s="1"/>
    </row>
    <row r="2650" spans="2:2" x14ac:dyDescent="0.3">
      <c r="B2650" s="1"/>
    </row>
    <row r="2651" spans="2:2" x14ac:dyDescent="0.3">
      <c r="B2651" s="1"/>
    </row>
    <row r="2652" spans="2:2" x14ac:dyDescent="0.3">
      <c r="B2652" s="1"/>
    </row>
    <row r="2653" spans="2:2" x14ac:dyDescent="0.3">
      <c r="B2653" s="1"/>
    </row>
    <row r="2654" spans="2:2" x14ac:dyDescent="0.3">
      <c r="B2654" s="1"/>
    </row>
    <row r="2655" spans="2:2" x14ac:dyDescent="0.3">
      <c r="B2655" s="1"/>
    </row>
    <row r="2656" spans="2:2" x14ac:dyDescent="0.3">
      <c r="B2656" s="1"/>
    </row>
    <row r="2657" spans="2:2" x14ac:dyDescent="0.3">
      <c r="B2657" s="1"/>
    </row>
    <row r="2658" spans="2:2" x14ac:dyDescent="0.3">
      <c r="B2658" s="1"/>
    </row>
    <row r="2659" spans="2:2" x14ac:dyDescent="0.3">
      <c r="B2659" s="1"/>
    </row>
    <row r="2660" spans="2:2" x14ac:dyDescent="0.3">
      <c r="B2660" s="1"/>
    </row>
    <row r="2661" spans="2:2" x14ac:dyDescent="0.3">
      <c r="B2661" s="1"/>
    </row>
    <row r="2662" spans="2:2" x14ac:dyDescent="0.3">
      <c r="B2662" s="1"/>
    </row>
    <row r="2663" spans="2:2" x14ac:dyDescent="0.3">
      <c r="B2663" s="1"/>
    </row>
    <row r="2664" spans="2:2" x14ac:dyDescent="0.3">
      <c r="B2664" s="1"/>
    </row>
    <row r="2665" spans="2:2" x14ac:dyDescent="0.3">
      <c r="B2665" s="1"/>
    </row>
    <row r="2666" spans="2:2" x14ac:dyDescent="0.3">
      <c r="B2666" s="1"/>
    </row>
    <row r="2667" spans="2:2" x14ac:dyDescent="0.3">
      <c r="B2667" s="1"/>
    </row>
    <row r="2668" spans="2:2" x14ac:dyDescent="0.3">
      <c r="B2668" s="1"/>
    </row>
    <row r="2669" spans="2:2" x14ac:dyDescent="0.3">
      <c r="B2669" s="1"/>
    </row>
    <row r="2670" spans="2:2" x14ac:dyDescent="0.3">
      <c r="B2670" s="1"/>
    </row>
    <row r="2671" spans="2:2" x14ac:dyDescent="0.3">
      <c r="B2671" s="1"/>
    </row>
    <row r="2672" spans="2:2" x14ac:dyDescent="0.3">
      <c r="B2672" s="1"/>
    </row>
    <row r="2673" spans="2:2" x14ac:dyDescent="0.3">
      <c r="B2673" s="1"/>
    </row>
    <row r="2674" spans="2:2" x14ac:dyDescent="0.3">
      <c r="B2674" s="1"/>
    </row>
    <row r="2675" spans="2:2" x14ac:dyDescent="0.3">
      <c r="B2675" s="1"/>
    </row>
    <row r="2676" spans="2:2" x14ac:dyDescent="0.3">
      <c r="B2676" s="1"/>
    </row>
    <row r="2677" spans="2:2" x14ac:dyDescent="0.3">
      <c r="B2677" s="1"/>
    </row>
    <row r="2678" spans="2:2" x14ac:dyDescent="0.3">
      <c r="B2678" s="1"/>
    </row>
    <row r="2679" spans="2:2" x14ac:dyDescent="0.3">
      <c r="B2679" s="1"/>
    </row>
    <row r="2680" spans="2:2" x14ac:dyDescent="0.3">
      <c r="B2680" s="1"/>
    </row>
    <row r="2681" spans="2:2" x14ac:dyDescent="0.3">
      <c r="B2681" s="1"/>
    </row>
    <row r="2682" spans="2:2" x14ac:dyDescent="0.3">
      <c r="B2682" s="1"/>
    </row>
    <row r="2683" spans="2:2" x14ac:dyDescent="0.3">
      <c r="B2683" s="1"/>
    </row>
    <row r="2684" spans="2:2" x14ac:dyDescent="0.3">
      <c r="B2684" s="1"/>
    </row>
    <row r="2685" spans="2:2" x14ac:dyDescent="0.3">
      <c r="B2685" s="1"/>
    </row>
    <row r="2686" spans="2:2" x14ac:dyDescent="0.3">
      <c r="B2686" s="1"/>
    </row>
    <row r="2687" spans="2:2" x14ac:dyDescent="0.3">
      <c r="B2687" s="1"/>
    </row>
    <row r="2688" spans="2:2" x14ac:dyDescent="0.3">
      <c r="B2688" s="1"/>
    </row>
    <row r="2689" spans="2:2" x14ac:dyDescent="0.3">
      <c r="B2689" s="1"/>
    </row>
    <row r="2690" spans="2:2" x14ac:dyDescent="0.3">
      <c r="B2690" s="1"/>
    </row>
    <row r="2691" spans="2:2" x14ac:dyDescent="0.3">
      <c r="B2691" s="1"/>
    </row>
    <row r="2692" spans="2:2" x14ac:dyDescent="0.3">
      <c r="B2692" s="1"/>
    </row>
    <row r="2693" spans="2:2" x14ac:dyDescent="0.3">
      <c r="B2693" s="1"/>
    </row>
    <row r="2694" spans="2:2" x14ac:dyDescent="0.3">
      <c r="B2694" s="1"/>
    </row>
    <row r="2695" spans="2:2" x14ac:dyDescent="0.3">
      <c r="B2695" s="1"/>
    </row>
    <row r="2696" spans="2:2" x14ac:dyDescent="0.3">
      <c r="B2696" s="1"/>
    </row>
    <row r="2697" spans="2:2" x14ac:dyDescent="0.3">
      <c r="B2697" s="1"/>
    </row>
    <row r="2698" spans="2:2" x14ac:dyDescent="0.3">
      <c r="B2698" s="1"/>
    </row>
    <row r="2699" spans="2:2" x14ac:dyDescent="0.3">
      <c r="B2699" s="1"/>
    </row>
    <row r="2700" spans="2:2" x14ac:dyDescent="0.3">
      <c r="B2700" s="1"/>
    </row>
    <row r="2701" spans="2:2" x14ac:dyDescent="0.3">
      <c r="B2701" s="1"/>
    </row>
    <row r="2702" spans="2:2" x14ac:dyDescent="0.3">
      <c r="B2702" s="1"/>
    </row>
    <row r="2703" spans="2:2" x14ac:dyDescent="0.3">
      <c r="B2703" s="1"/>
    </row>
    <row r="2704" spans="2:2" x14ac:dyDescent="0.3">
      <c r="B2704" s="1"/>
    </row>
    <row r="2705" spans="2:2" x14ac:dyDescent="0.3">
      <c r="B2705" s="1"/>
    </row>
    <row r="2706" spans="2:2" x14ac:dyDescent="0.3">
      <c r="B2706" s="1"/>
    </row>
    <row r="2707" spans="2:2" x14ac:dyDescent="0.3">
      <c r="B2707" s="1"/>
    </row>
    <row r="2708" spans="2:2" x14ac:dyDescent="0.3">
      <c r="B2708" s="1"/>
    </row>
    <row r="2709" spans="2:2" x14ac:dyDescent="0.3">
      <c r="B2709" s="1"/>
    </row>
    <row r="2710" spans="2:2" x14ac:dyDescent="0.3">
      <c r="B2710" s="1"/>
    </row>
    <row r="2711" spans="2:2" x14ac:dyDescent="0.3">
      <c r="B2711" s="1"/>
    </row>
    <row r="2712" spans="2:2" x14ac:dyDescent="0.3">
      <c r="B2712" s="1"/>
    </row>
    <row r="2713" spans="2:2" x14ac:dyDescent="0.3">
      <c r="B2713" s="1"/>
    </row>
    <row r="2714" spans="2:2" x14ac:dyDescent="0.3">
      <c r="B2714" s="1"/>
    </row>
    <row r="2715" spans="2:2" x14ac:dyDescent="0.3">
      <c r="B2715" s="1"/>
    </row>
    <row r="2716" spans="2:2" x14ac:dyDescent="0.3">
      <c r="B2716" s="1"/>
    </row>
    <row r="2717" spans="2:2" x14ac:dyDescent="0.3">
      <c r="B2717" s="1"/>
    </row>
    <row r="2718" spans="2:2" x14ac:dyDescent="0.3">
      <c r="B2718" s="1"/>
    </row>
    <row r="2719" spans="2:2" x14ac:dyDescent="0.3">
      <c r="B2719" s="1"/>
    </row>
    <row r="2720" spans="2:2" x14ac:dyDescent="0.3">
      <c r="B2720" s="1"/>
    </row>
    <row r="2721" spans="2:2" x14ac:dyDescent="0.3">
      <c r="B2721" s="1"/>
    </row>
    <row r="2722" spans="2:2" x14ac:dyDescent="0.3">
      <c r="B2722" s="1"/>
    </row>
    <row r="2723" spans="2:2" x14ac:dyDescent="0.3">
      <c r="B2723" s="1"/>
    </row>
    <row r="2724" spans="2:2" x14ac:dyDescent="0.3">
      <c r="B2724" s="1"/>
    </row>
    <row r="2725" spans="2:2" x14ac:dyDescent="0.3">
      <c r="B2725" s="1"/>
    </row>
    <row r="2726" spans="2:2" x14ac:dyDescent="0.3">
      <c r="B2726" s="1"/>
    </row>
    <row r="2727" spans="2:2" x14ac:dyDescent="0.3">
      <c r="B2727" s="1"/>
    </row>
    <row r="2728" spans="2:2" x14ac:dyDescent="0.3">
      <c r="B2728" s="1"/>
    </row>
    <row r="2729" spans="2:2" x14ac:dyDescent="0.3">
      <c r="B2729" s="1"/>
    </row>
    <row r="2730" spans="2:2" x14ac:dyDescent="0.3">
      <c r="B2730" s="1"/>
    </row>
    <row r="2731" spans="2:2" x14ac:dyDescent="0.3">
      <c r="B2731" s="1"/>
    </row>
    <row r="2732" spans="2:2" x14ac:dyDescent="0.3">
      <c r="B2732" s="1"/>
    </row>
    <row r="2733" spans="2:2" x14ac:dyDescent="0.3">
      <c r="B2733" s="1"/>
    </row>
    <row r="2734" spans="2:2" x14ac:dyDescent="0.3">
      <c r="B2734" s="1"/>
    </row>
    <row r="2735" spans="2:2" x14ac:dyDescent="0.3">
      <c r="B2735" s="1"/>
    </row>
    <row r="2736" spans="2:2" x14ac:dyDescent="0.3">
      <c r="B2736" s="1"/>
    </row>
    <row r="2737" spans="2:2" x14ac:dyDescent="0.3">
      <c r="B2737" s="1"/>
    </row>
    <row r="2738" spans="2:2" x14ac:dyDescent="0.3">
      <c r="B2738" s="1"/>
    </row>
    <row r="2739" spans="2:2" x14ac:dyDescent="0.3">
      <c r="B2739" s="1"/>
    </row>
    <row r="2740" spans="2:2" x14ac:dyDescent="0.3">
      <c r="B2740" s="1"/>
    </row>
    <row r="2741" spans="2:2" x14ac:dyDescent="0.3">
      <c r="B2741" s="1"/>
    </row>
    <row r="2742" spans="2:2" x14ac:dyDescent="0.3">
      <c r="B2742" s="1"/>
    </row>
    <row r="2743" spans="2:2" x14ac:dyDescent="0.3">
      <c r="B2743" s="1"/>
    </row>
    <row r="2744" spans="2:2" x14ac:dyDescent="0.3">
      <c r="B2744" s="1"/>
    </row>
    <row r="2745" spans="2:2" x14ac:dyDescent="0.3">
      <c r="B2745" s="1"/>
    </row>
    <row r="2746" spans="2:2" x14ac:dyDescent="0.3">
      <c r="B2746" s="1"/>
    </row>
    <row r="2747" spans="2:2" x14ac:dyDescent="0.3">
      <c r="B2747" s="1"/>
    </row>
    <row r="2748" spans="2:2" x14ac:dyDescent="0.3">
      <c r="B2748" s="1"/>
    </row>
    <row r="2749" spans="2:2" x14ac:dyDescent="0.3">
      <c r="B2749" s="1"/>
    </row>
    <row r="2750" spans="2:2" x14ac:dyDescent="0.3">
      <c r="B2750" s="1"/>
    </row>
    <row r="2751" spans="2:2" x14ac:dyDescent="0.3">
      <c r="B2751" s="1"/>
    </row>
    <row r="2752" spans="2:2" x14ac:dyDescent="0.3">
      <c r="B2752" s="1"/>
    </row>
    <row r="2753" spans="2:2" x14ac:dyDescent="0.3">
      <c r="B2753" s="1"/>
    </row>
    <row r="2754" spans="2:2" x14ac:dyDescent="0.3">
      <c r="B2754" s="1"/>
    </row>
    <row r="2755" spans="2:2" x14ac:dyDescent="0.3">
      <c r="B2755" s="1"/>
    </row>
    <row r="2756" spans="2:2" x14ac:dyDescent="0.3">
      <c r="B2756" s="1"/>
    </row>
    <row r="2757" spans="2:2" x14ac:dyDescent="0.3">
      <c r="B2757" s="1"/>
    </row>
    <row r="2758" spans="2:2" x14ac:dyDescent="0.3">
      <c r="B2758" s="1"/>
    </row>
    <row r="2759" spans="2:2" x14ac:dyDescent="0.3">
      <c r="B2759" s="1"/>
    </row>
    <row r="2760" spans="2:2" x14ac:dyDescent="0.3">
      <c r="B2760" s="1"/>
    </row>
    <row r="2761" spans="2:2" x14ac:dyDescent="0.3">
      <c r="B2761" s="1"/>
    </row>
    <row r="2762" spans="2:2" x14ac:dyDescent="0.3">
      <c r="B2762" s="1"/>
    </row>
    <row r="2763" spans="2:2" x14ac:dyDescent="0.3">
      <c r="B2763" s="1"/>
    </row>
    <row r="2764" spans="2:2" x14ac:dyDescent="0.3">
      <c r="B2764" s="1"/>
    </row>
    <row r="2765" spans="2:2" x14ac:dyDescent="0.3">
      <c r="B2765" s="1"/>
    </row>
    <row r="2766" spans="2:2" x14ac:dyDescent="0.3">
      <c r="B2766" s="1"/>
    </row>
    <row r="2767" spans="2:2" x14ac:dyDescent="0.3">
      <c r="B2767" s="1"/>
    </row>
    <row r="2768" spans="2:2" x14ac:dyDescent="0.3">
      <c r="B2768" s="1"/>
    </row>
    <row r="2769" spans="2:2" x14ac:dyDescent="0.3">
      <c r="B2769" s="1"/>
    </row>
    <row r="2770" spans="2:2" x14ac:dyDescent="0.3">
      <c r="B2770" s="1"/>
    </row>
    <row r="2771" spans="2:2" x14ac:dyDescent="0.3">
      <c r="B2771" s="1"/>
    </row>
    <row r="2772" spans="2:2" x14ac:dyDescent="0.3">
      <c r="B2772" s="1"/>
    </row>
    <row r="2773" spans="2:2" x14ac:dyDescent="0.3">
      <c r="B2773" s="1"/>
    </row>
    <row r="2774" spans="2:2" x14ac:dyDescent="0.3">
      <c r="B2774" s="1"/>
    </row>
    <row r="2775" spans="2:2" x14ac:dyDescent="0.3">
      <c r="B2775" s="1"/>
    </row>
    <row r="2776" spans="2:2" x14ac:dyDescent="0.3">
      <c r="B2776" s="1"/>
    </row>
    <row r="2777" spans="2:2" x14ac:dyDescent="0.3">
      <c r="B2777" s="1"/>
    </row>
    <row r="2778" spans="2:2" x14ac:dyDescent="0.3">
      <c r="B2778" s="1"/>
    </row>
    <row r="2779" spans="2:2" x14ac:dyDescent="0.3">
      <c r="B2779" s="1"/>
    </row>
    <row r="2780" spans="2:2" x14ac:dyDescent="0.3">
      <c r="B2780" s="1"/>
    </row>
    <row r="2781" spans="2:2" x14ac:dyDescent="0.3">
      <c r="B2781" s="1"/>
    </row>
    <row r="2782" spans="2:2" x14ac:dyDescent="0.3">
      <c r="B2782" s="1"/>
    </row>
    <row r="2783" spans="2:2" x14ac:dyDescent="0.3">
      <c r="B2783" s="1"/>
    </row>
    <row r="2784" spans="2:2" x14ac:dyDescent="0.3">
      <c r="B2784" s="1"/>
    </row>
    <row r="2785" spans="2:2" x14ac:dyDescent="0.3">
      <c r="B2785" s="1"/>
    </row>
    <row r="2786" spans="2:2" x14ac:dyDescent="0.3">
      <c r="B2786" s="1"/>
    </row>
    <row r="2787" spans="2:2" x14ac:dyDescent="0.3">
      <c r="B2787" s="1"/>
    </row>
    <row r="2788" spans="2:2" x14ac:dyDescent="0.3">
      <c r="B2788" s="1"/>
    </row>
    <row r="2789" spans="2:2" x14ac:dyDescent="0.3">
      <c r="B2789" s="1"/>
    </row>
    <row r="2790" spans="2:2" x14ac:dyDescent="0.3">
      <c r="B2790" s="1"/>
    </row>
    <row r="2791" spans="2:2" x14ac:dyDescent="0.3">
      <c r="B2791" s="1"/>
    </row>
    <row r="2792" spans="2:2" x14ac:dyDescent="0.3">
      <c r="B2792" s="1"/>
    </row>
    <row r="2793" spans="2:2" x14ac:dyDescent="0.3">
      <c r="B2793" s="1"/>
    </row>
    <row r="2794" spans="2:2" x14ac:dyDescent="0.3">
      <c r="B2794" s="1"/>
    </row>
    <row r="2795" spans="2:2" x14ac:dyDescent="0.3">
      <c r="B2795" s="1"/>
    </row>
    <row r="2796" spans="2:2" x14ac:dyDescent="0.3">
      <c r="B2796" s="1"/>
    </row>
    <row r="2797" spans="2:2" x14ac:dyDescent="0.3">
      <c r="B2797" s="1"/>
    </row>
    <row r="2798" spans="2:2" x14ac:dyDescent="0.3">
      <c r="B2798" s="1"/>
    </row>
    <row r="2799" spans="2:2" x14ac:dyDescent="0.3">
      <c r="B2799" s="1"/>
    </row>
    <row r="2800" spans="2:2" x14ac:dyDescent="0.3">
      <c r="B2800" s="1"/>
    </row>
    <row r="2801" spans="2:2" x14ac:dyDescent="0.3">
      <c r="B2801" s="1"/>
    </row>
    <row r="2802" spans="2:2" x14ac:dyDescent="0.3">
      <c r="B2802" s="1"/>
    </row>
    <row r="2803" spans="2:2" x14ac:dyDescent="0.3">
      <c r="B2803" s="1"/>
    </row>
    <row r="2804" spans="2:2" x14ac:dyDescent="0.3">
      <c r="B2804" s="1"/>
    </row>
    <row r="2805" spans="2:2" x14ac:dyDescent="0.3">
      <c r="B2805" s="1"/>
    </row>
    <row r="2806" spans="2:2" x14ac:dyDescent="0.3">
      <c r="B2806" s="1"/>
    </row>
    <row r="2807" spans="2:2" x14ac:dyDescent="0.3">
      <c r="B2807" s="1"/>
    </row>
    <row r="2808" spans="2:2" x14ac:dyDescent="0.3">
      <c r="B2808" s="1"/>
    </row>
    <row r="2809" spans="2:2" x14ac:dyDescent="0.3">
      <c r="B2809" s="1"/>
    </row>
    <row r="2810" spans="2:2" x14ac:dyDescent="0.3">
      <c r="B2810" s="1"/>
    </row>
    <row r="2811" spans="2:2" x14ac:dyDescent="0.3">
      <c r="B2811" s="1"/>
    </row>
    <row r="2812" spans="2:2" x14ac:dyDescent="0.3">
      <c r="B2812" s="1"/>
    </row>
    <row r="2813" spans="2:2" x14ac:dyDescent="0.3">
      <c r="B2813" s="1"/>
    </row>
    <row r="2814" spans="2:2" x14ac:dyDescent="0.3">
      <c r="B2814" s="1"/>
    </row>
    <row r="2815" spans="2:2" x14ac:dyDescent="0.3">
      <c r="B2815" s="1"/>
    </row>
    <row r="2816" spans="2:2" x14ac:dyDescent="0.3">
      <c r="B2816" s="1"/>
    </row>
    <row r="2817" spans="2:2" x14ac:dyDescent="0.3">
      <c r="B2817" s="1"/>
    </row>
    <row r="2818" spans="2:2" x14ac:dyDescent="0.3">
      <c r="B2818" s="1"/>
    </row>
    <row r="2819" spans="2:2" x14ac:dyDescent="0.3">
      <c r="B2819" s="1"/>
    </row>
    <row r="2820" spans="2:2" x14ac:dyDescent="0.3">
      <c r="B2820" s="1"/>
    </row>
    <row r="2821" spans="2:2" x14ac:dyDescent="0.3">
      <c r="B2821" s="1"/>
    </row>
    <row r="2822" spans="2:2" x14ac:dyDescent="0.3">
      <c r="B2822" s="1"/>
    </row>
    <row r="2823" spans="2:2" x14ac:dyDescent="0.3">
      <c r="B2823" s="1"/>
    </row>
    <row r="2824" spans="2:2" x14ac:dyDescent="0.3">
      <c r="B2824" s="1"/>
    </row>
    <row r="2825" spans="2:2" x14ac:dyDescent="0.3">
      <c r="B2825" s="1"/>
    </row>
    <row r="2826" spans="2:2" x14ac:dyDescent="0.3">
      <c r="B2826" s="1"/>
    </row>
    <row r="2827" spans="2:2" x14ac:dyDescent="0.3">
      <c r="B2827" s="1"/>
    </row>
    <row r="2828" spans="2:2" x14ac:dyDescent="0.3">
      <c r="B2828" s="1"/>
    </row>
    <row r="2829" spans="2:2" x14ac:dyDescent="0.3">
      <c r="B2829" s="1"/>
    </row>
    <row r="2830" spans="2:2" x14ac:dyDescent="0.3">
      <c r="B2830" s="1"/>
    </row>
    <row r="2831" spans="2:2" x14ac:dyDescent="0.3">
      <c r="B2831" s="1"/>
    </row>
    <row r="2832" spans="2:2" x14ac:dyDescent="0.3">
      <c r="B2832" s="1"/>
    </row>
    <row r="2833" spans="2:2" x14ac:dyDescent="0.3">
      <c r="B2833" s="1"/>
    </row>
    <row r="2834" spans="2:2" x14ac:dyDescent="0.3">
      <c r="B2834" s="1"/>
    </row>
    <row r="2835" spans="2:2" x14ac:dyDescent="0.3">
      <c r="B2835" s="1"/>
    </row>
    <row r="2836" spans="2:2" x14ac:dyDescent="0.3">
      <c r="B2836" s="1"/>
    </row>
    <row r="2837" spans="2:2" x14ac:dyDescent="0.3">
      <c r="B2837" s="1"/>
    </row>
    <row r="2838" spans="2:2" x14ac:dyDescent="0.3">
      <c r="B2838" s="1"/>
    </row>
    <row r="2839" spans="2:2" x14ac:dyDescent="0.3">
      <c r="B2839" s="1"/>
    </row>
    <row r="2840" spans="2:2" x14ac:dyDescent="0.3">
      <c r="B2840" s="1"/>
    </row>
    <row r="2841" spans="2:2" x14ac:dyDescent="0.3">
      <c r="B2841" s="1"/>
    </row>
    <row r="2842" spans="2:2" x14ac:dyDescent="0.3">
      <c r="B2842" s="1"/>
    </row>
    <row r="2843" spans="2:2" x14ac:dyDescent="0.3">
      <c r="B2843" s="1"/>
    </row>
    <row r="2844" spans="2:2" x14ac:dyDescent="0.3">
      <c r="B2844" s="1"/>
    </row>
    <row r="2845" spans="2:2" x14ac:dyDescent="0.3">
      <c r="B2845" s="1"/>
    </row>
    <row r="2846" spans="2:2" x14ac:dyDescent="0.3">
      <c r="B2846" s="1"/>
    </row>
    <row r="2847" spans="2:2" x14ac:dyDescent="0.3">
      <c r="B2847" s="1"/>
    </row>
    <row r="2848" spans="2:2" x14ac:dyDescent="0.3">
      <c r="B2848" s="1"/>
    </row>
    <row r="2849" spans="2:2" x14ac:dyDescent="0.3">
      <c r="B2849" s="1"/>
    </row>
    <row r="2850" spans="2:2" x14ac:dyDescent="0.3">
      <c r="B2850" s="1"/>
    </row>
    <row r="2851" spans="2:2" x14ac:dyDescent="0.3">
      <c r="B2851" s="1"/>
    </row>
    <row r="2852" spans="2:2" x14ac:dyDescent="0.3">
      <c r="B2852" s="1"/>
    </row>
    <row r="2853" spans="2:2" x14ac:dyDescent="0.3">
      <c r="B2853" s="1"/>
    </row>
    <row r="2854" spans="2:2" x14ac:dyDescent="0.3">
      <c r="B2854" s="1"/>
    </row>
    <row r="2855" spans="2:2" x14ac:dyDescent="0.3">
      <c r="B2855" s="1"/>
    </row>
    <row r="2856" spans="2:2" x14ac:dyDescent="0.3">
      <c r="B2856" s="1"/>
    </row>
    <row r="2857" spans="2:2" x14ac:dyDescent="0.3">
      <c r="B2857" s="1"/>
    </row>
    <row r="2858" spans="2:2" x14ac:dyDescent="0.3">
      <c r="B2858" s="1"/>
    </row>
    <row r="2859" spans="2:2" x14ac:dyDescent="0.3">
      <c r="B2859" s="1"/>
    </row>
    <row r="2860" spans="2:2" x14ac:dyDescent="0.3">
      <c r="B2860" s="1"/>
    </row>
    <row r="2861" spans="2:2" x14ac:dyDescent="0.3">
      <c r="B2861" s="1"/>
    </row>
    <row r="2862" spans="2:2" x14ac:dyDescent="0.3">
      <c r="B2862" s="1"/>
    </row>
    <row r="2863" spans="2:2" x14ac:dyDescent="0.3">
      <c r="B2863" s="1"/>
    </row>
    <row r="2864" spans="2:2" x14ac:dyDescent="0.3">
      <c r="B2864" s="1"/>
    </row>
    <row r="2865" spans="2:2" x14ac:dyDescent="0.3">
      <c r="B2865" s="1"/>
    </row>
    <row r="2866" spans="2:2" x14ac:dyDescent="0.3">
      <c r="B2866" s="1"/>
    </row>
    <row r="2867" spans="2:2" x14ac:dyDescent="0.3">
      <c r="B2867" s="1"/>
    </row>
    <row r="2868" spans="2:2" x14ac:dyDescent="0.3">
      <c r="B2868" s="1"/>
    </row>
    <row r="2869" spans="2:2" x14ac:dyDescent="0.3">
      <c r="B2869" s="1"/>
    </row>
    <row r="2870" spans="2:2" x14ac:dyDescent="0.3">
      <c r="B2870" s="1"/>
    </row>
    <row r="2871" spans="2:2" x14ac:dyDescent="0.3">
      <c r="B2871" s="1"/>
    </row>
    <row r="2872" spans="2:2" x14ac:dyDescent="0.3">
      <c r="B2872" s="1"/>
    </row>
    <row r="2873" spans="2:2" x14ac:dyDescent="0.3">
      <c r="B2873" s="1"/>
    </row>
    <row r="2874" spans="2:2" x14ac:dyDescent="0.3">
      <c r="B2874" s="1"/>
    </row>
    <row r="2875" spans="2:2" x14ac:dyDescent="0.3">
      <c r="B2875" s="1"/>
    </row>
    <row r="2876" spans="2:2" x14ac:dyDescent="0.3">
      <c r="B2876" s="1"/>
    </row>
    <row r="2877" spans="2:2" x14ac:dyDescent="0.3">
      <c r="B2877" s="1"/>
    </row>
    <row r="2878" spans="2:2" x14ac:dyDescent="0.3">
      <c r="B2878" s="1"/>
    </row>
    <row r="2879" spans="2:2" x14ac:dyDescent="0.3">
      <c r="B2879" s="1"/>
    </row>
    <row r="2880" spans="2:2" x14ac:dyDescent="0.3">
      <c r="B2880" s="1"/>
    </row>
    <row r="2881" spans="2:2" x14ac:dyDescent="0.3">
      <c r="B2881" s="1"/>
    </row>
    <row r="2882" spans="2:2" x14ac:dyDescent="0.3">
      <c r="B2882" s="1"/>
    </row>
    <row r="2883" spans="2:2" x14ac:dyDescent="0.3">
      <c r="B2883" s="1"/>
    </row>
    <row r="2884" spans="2:2" x14ac:dyDescent="0.3">
      <c r="B2884" s="1"/>
    </row>
    <row r="2885" spans="2:2" x14ac:dyDescent="0.3">
      <c r="B2885" s="1"/>
    </row>
    <row r="2886" spans="2:2" x14ac:dyDescent="0.3">
      <c r="B2886" s="1"/>
    </row>
    <row r="2887" spans="2:2" x14ac:dyDescent="0.3">
      <c r="B2887" s="1"/>
    </row>
    <row r="2888" spans="2:2" x14ac:dyDescent="0.3">
      <c r="B2888" s="1"/>
    </row>
    <row r="2889" spans="2:2" x14ac:dyDescent="0.3">
      <c r="B2889" s="1"/>
    </row>
    <row r="2890" spans="2:2" x14ac:dyDescent="0.3">
      <c r="B2890" s="1"/>
    </row>
    <row r="2891" spans="2:2" x14ac:dyDescent="0.3">
      <c r="B2891" s="1"/>
    </row>
    <row r="2892" spans="2:2" x14ac:dyDescent="0.3">
      <c r="B2892" s="1"/>
    </row>
    <row r="2893" spans="2:2" x14ac:dyDescent="0.3">
      <c r="B2893" s="1"/>
    </row>
    <row r="2894" spans="2:2" x14ac:dyDescent="0.3">
      <c r="B2894" s="1"/>
    </row>
    <row r="2895" spans="2:2" x14ac:dyDescent="0.3">
      <c r="B2895" s="1"/>
    </row>
    <row r="2896" spans="2:2" x14ac:dyDescent="0.3">
      <c r="B2896" s="1"/>
    </row>
    <row r="2897" spans="2:2" x14ac:dyDescent="0.3">
      <c r="B2897" s="1"/>
    </row>
    <row r="2898" spans="2:2" x14ac:dyDescent="0.3">
      <c r="B2898" s="1"/>
    </row>
    <row r="2899" spans="2:2" x14ac:dyDescent="0.3">
      <c r="B2899" s="1"/>
    </row>
    <row r="2900" spans="2:2" x14ac:dyDescent="0.3">
      <c r="B2900" s="1"/>
    </row>
    <row r="2901" spans="2:2" x14ac:dyDescent="0.3">
      <c r="B2901" s="1"/>
    </row>
    <row r="2902" spans="2:2" x14ac:dyDescent="0.3">
      <c r="B2902" s="1"/>
    </row>
    <row r="2903" spans="2:2" x14ac:dyDescent="0.3">
      <c r="B2903" s="1"/>
    </row>
    <row r="2904" spans="2:2" x14ac:dyDescent="0.3">
      <c r="B2904" s="1"/>
    </row>
    <row r="2905" spans="2:2" x14ac:dyDescent="0.3">
      <c r="B2905" s="1"/>
    </row>
    <row r="2906" spans="2:2" x14ac:dyDescent="0.3">
      <c r="B2906" s="1"/>
    </row>
    <row r="2907" spans="2:2" x14ac:dyDescent="0.3">
      <c r="B2907" s="1"/>
    </row>
    <row r="2908" spans="2:2" x14ac:dyDescent="0.3">
      <c r="B2908" s="1"/>
    </row>
    <row r="2909" spans="2:2" x14ac:dyDescent="0.3">
      <c r="B2909" s="1"/>
    </row>
    <row r="2910" spans="2:2" x14ac:dyDescent="0.3">
      <c r="B2910" s="1"/>
    </row>
    <row r="2911" spans="2:2" x14ac:dyDescent="0.3">
      <c r="B2911" s="1"/>
    </row>
    <row r="2912" spans="2:2" x14ac:dyDescent="0.3">
      <c r="B2912" s="1"/>
    </row>
    <row r="2913" spans="2:2" x14ac:dyDescent="0.3">
      <c r="B2913" s="1"/>
    </row>
    <row r="2914" spans="2:2" x14ac:dyDescent="0.3">
      <c r="B2914" s="1"/>
    </row>
    <row r="2915" spans="2:2" x14ac:dyDescent="0.3">
      <c r="B2915" s="1"/>
    </row>
    <row r="2916" spans="2:2" x14ac:dyDescent="0.3">
      <c r="B2916" s="1"/>
    </row>
    <row r="2917" spans="2:2" x14ac:dyDescent="0.3">
      <c r="B2917" s="1"/>
    </row>
    <row r="2918" spans="2:2" x14ac:dyDescent="0.3">
      <c r="B2918" s="1"/>
    </row>
    <row r="2919" spans="2:2" x14ac:dyDescent="0.3">
      <c r="B2919" s="1"/>
    </row>
    <row r="2920" spans="2:2" x14ac:dyDescent="0.3">
      <c r="B2920" s="1"/>
    </row>
    <row r="2921" spans="2:2" x14ac:dyDescent="0.3">
      <c r="B2921" s="1"/>
    </row>
    <row r="2922" spans="2:2" x14ac:dyDescent="0.3">
      <c r="B2922" s="1"/>
    </row>
    <row r="2923" spans="2:2" x14ac:dyDescent="0.3">
      <c r="B2923" s="1"/>
    </row>
    <row r="2924" spans="2:2" x14ac:dyDescent="0.3">
      <c r="B2924" s="1"/>
    </row>
    <row r="2925" spans="2:2" x14ac:dyDescent="0.3">
      <c r="B2925" s="1"/>
    </row>
    <row r="2926" spans="2:2" x14ac:dyDescent="0.3">
      <c r="B2926" s="1"/>
    </row>
    <row r="2927" spans="2:2" x14ac:dyDescent="0.3">
      <c r="B2927" s="1"/>
    </row>
    <row r="2928" spans="2:2" x14ac:dyDescent="0.3">
      <c r="B2928" s="1"/>
    </row>
    <row r="2929" spans="2:2" x14ac:dyDescent="0.3">
      <c r="B2929" s="1"/>
    </row>
    <row r="2930" spans="2:2" x14ac:dyDescent="0.3">
      <c r="B2930" s="1"/>
    </row>
    <row r="2931" spans="2:2" x14ac:dyDescent="0.3">
      <c r="B2931" s="1"/>
    </row>
    <row r="2932" spans="2:2" x14ac:dyDescent="0.3">
      <c r="B2932" s="1"/>
    </row>
    <row r="2933" spans="2:2" x14ac:dyDescent="0.3">
      <c r="B2933" s="1"/>
    </row>
    <row r="2934" spans="2:2" x14ac:dyDescent="0.3">
      <c r="B2934" s="1"/>
    </row>
    <row r="2935" spans="2:2" x14ac:dyDescent="0.3">
      <c r="B2935" s="1"/>
    </row>
    <row r="2936" spans="2:2" x14ac:dyDescent="0.3">
      <c r="B2936" s="1"/>
    </row>
    <row r="2937" spans="2:2" x14ac:dyDescent="0.3">
      <c r="B2937" s="1"/>
    </row>
    <row r="2938" spans="2:2" x14ac:dyDescent="0.3">
      <c r="B2938" s="1"/>
    </row>
    <row r="2939" spans="2:2" x14ac:dyDescent="0.3">
      <c r="B2939" s="1"/>
    </row>
    <row r="2940" spans="2:2" x14ac:dyDescent="0.3">
      <c r="B2940" s="1"/>
    </row>
    <row r="2941" spans="2:2" x14ac:dyDescent="0.3">
      <c r="B2941" s="1"/>
    </row>
    <row r="2942" spans="2:2" x14ac:dyDescent="0.3">
      <c r="B2942" s="1"/>
    </row>
    <row r="2943" spans="2:2" x14ac:dyDescent="0.3">
      <c r="B2943" s="1"/>
    </row>
    <row r="2944" spans="2:2" x14ac:dyDescent="0.3">
      <c r="B2944" s="1"/>
    </row>
    <row r="2945" spans="2:2" x14ac:dyDescent="0.3">
      <c r="B2945" s="1"/>
    </row>
    <row r="2946" spans="2:2" x14ac:dyDescent="0.3">
      <c r="B2946" s="1"/>
    </row>
    <row r="2947" spans="2:2" x14ac:dyDescent="0.3">
      <c r="B2947" s="1"/>
    </row>
    <row r="2948" spans="2:2" x14ac:dyDescent="0.3">
      <c r="B2948" s="1"/>
    </row>
    <row r="2949" spans="2:2" x14ac:dyDescent="0.3">
      <c r="B2949" s="1"/>
    </row>
    <row r="2950" spans="2:2" x14ac:dyDescent="0.3">
      <c r="B2950" s="1"/>
    </row>
    <row r="2951" spans="2:2" x14ac:dyDescent="0.3">
      <c r="B2951" s="1"/>
    </row>
    <row r="2952" spans="2:2" x14ac:dyDescent="0.3">
      <c r="B2952" s="1"/>
    </row>
    <row r="2953" spans="2:2" x14ac:dyDescent="0.3">
      <c r="B2953" s="1"/>
    </row>
    <row r="2954" spans="2:2" x14ac:dyDescent="0.3">
      <c r="B2954" s="1"/>
    </row>
    <row r="2955" spans="2:2" x14ac:dyDescent="0.3">
      <c r="B2955" s="1"/>
    </row>
    <row r="2956" spans="2:2" x14ac:dyDescent="0.3">
      <c r="B2956" s="1"/>
    </row>
    <row r="2957" spans="2:2" x14ac:dyDescent="0.3">
      <c r="B2957" s="1"/>
    </row>
    <row r="2958" spans="2:2" x14ac:dyDescent="0.3">
      <c r="B2958" s="1"/>
    </row>
    <row r="2959" spans="2:2" x14ac:dyDescent="0.3">
      <c r="B2959" s="1"/>
    </row>
    <row r="2960" spans="2:2" x14ac:dyDescent="0.3">
      <c r="B2960" s="1"/>
    </row>
    <row r="2961" spans="2:2" x14ac:dyDescent="0.3">
      <c r="B2961" s="1"/>
    </row>
    <row r="2962" spans="2:2" x14ac:dyDescent="0.3">
      <c r="B2962" s="1"/>
    </row>
    <row r="2963" spans="2:2" x14ac:dyDescent="0.3">
      <c r="B2963" s="1"/>
    </row>
    <row r="2964" spans="2:2" x14ac:dyDescent="0.3">
      <c r="B2964" s="1"/>
    </row>
    <row r="2965" spans="2:2" x14ac:dyDescent="0.3">
      <c r="B2965" s="1"/>
    </row>
    <row r="2966" spans="2:2" x14ac:dyDescent="0.3">
      <c r="B2966" s="1"/>
    </row>
    <row r="2967" spans="2:2" x14ac:dyDescent="0.3">
      <c r="B2967" s="1"/>
    </row>
    <row r="2968" spans="2:2" x14ac:dyDescent="0.3">
      <c r="B2968" s="1"/>
    </row>
    <row r="2969" spans="2:2" x14ac:dyDescent="0.3">
      <c r="B2969" s="1"/>
    </row>
    <row r="2970" spans="2:2" x14ac:dyDescent="0.3">
      <c r="B2970" s="1"/>
    </row>
    <row r="2971" spans="2:2" x14ac:dyDescent="0.3">
      <c r="B2971" s="1"/>
    </row>
    <row r="2972" spans="2:2" x14ac:dyDescent="0.3">
      <c r="B2972" s="1"/>
    </row>
    <row r="2973" spans="2:2" x14ac:dyDescent="0.3">
      <c r="B2973" s="1"/>
    </row>
    <row r="2974" spans="2:2" x14ac:dyDescent="0.3">
      <c r="B2974" s="1"/>
    </row>
    <row r="2975" spans="2:2" x14ac:dyDescent="0.3">
      <c r="B2975" s="1"/>
    </row>
    <row r="2976" spans="2:2" x14ac:dyDescent="0.3">
      <c r="B2976" s="1"/>
    </row>
    <row r="2977" spans="2:2" x14ac:dyDescent="0.3">
      <c r="B2977" s="1"/>
    </row>
    <row r="2978" spans="2:2" x14ac:dyDescent="0.3">
      <c r="B2978" s="1"/>
    </row>
    <row r="2979" spans="2:2" x14ac:dyDescent="0.3">
      <c r="B2979" s="1"/>
    </row>
    <row r="2980" spans="2:2" x14ac:dyDescent="0.3">
      <c r="B2980" s="1"/>
    </row>
    <row r="2981" spans="2:2" x14ac:dyDescent="0.3">
      <c r="B2981" s="1"/>
    </row>
    <row r="2982" spans="2:2" x14ac:dyDescent="0.3">
      <c r="B2982" s="1"/>
    </row>
    <row r="2983" spans="2:2" x14ac:dyDescent="0.3">
      <c r="B2983" s="1"/>
    </row>
    <row r="2984" spans="2:2" x14ac:dyDescent="0.3">
      <c r="B2984" s="1"/>
    </row>
    <row r="2985" spans="2:2" x14ac:dyDescent="0.3">
      <c r="B2985" s="1"/>
    </row>
    <row r="2986" spans="2:2" x14ac:dyDescent="0.3">
      <c r="B2986" s="1"/>
    </row>
    <row r="2987" spans="2:2" x14ac:dyDescent="0.3">
      <c r="B2987" s="1"/>
    </row>
    <row r="2988" spans="2:2" x14ac:dyDescent="0.3">
      <c r="B2988" s="1"/>
    </row>
    <row r="2989" spans="2:2" x14ac:dyDescent="0.3">
      <c r="B2989" s="1"/>
    </row>
    <row r="2990" spans="2:2" x14ac:dyDescent="0.3">
      <c r="B2990" s="1"/>
    </row>
    <row r="2991" spans="2:2" x14ac:dyDescent="0.3">
      <c r="B2991" s="1"/>
    </row>
    <row r="2992" spans="2:2" x14ac:dyDescent="0.3">
      <c r="B2992" s="1"/>
    </row>
    <row r="2993" spans="2:2" x14ac:dyDescent="0.3">
      <c r="B2993" s="1"/>
    </row>
    <row r="2994" spans="2:2" x14ac:dyDescent="0.3">
      <c r="B2994" s="1"/>
    </row>
    <row r="2995" spans="2:2" x14ac:dyDescent="0.3">
      <c r="B2995" s="1"/>
    </row>
    <row r="2996" spans="2:2" x14ac:dyDescent="0.3">
      <c r="B2996" s="1"/>
    </row>
    <row r="2997" spans="2:2" x14ac:dyDescent="0.3">
      <c r="B2997" s="1"/>
    </row>
    <row r="2998" spans="2:2" x14ac:dyDescent="0.3">
      <c r="B2998" s="1"/>
    </row>
    <row r="2999" spans="2:2" x14ac:dyDescent="0.3">
      <c r="B2999" s="1"/>
    </row>
    <row r="3000" spans="2:2" x14ac:dyDescent="0.3">
      <c r="B3000" s="1"/>
    </row>
    <row r="3001" spans="2:2" x14ac:dyDescent="0.3">
      <c r="B3001" s="1"/>
    </row>
    <row r="3002" spans="2:2" x14ac:dyDescent="0.3">
      <c r="B3002" s="1"/>
    </row>
    <row r="3003" spans="2:2" x14ac:dyDescent="0.3">
      <c r="B3003" s="1"/>
    </row>
    <row r="3004" spans="2:2" x14ac:dyDescent="0.3">
      <c r="B3004" s="1"/>
    </row>
    <row r="3005" spans="2:2" x14ac:dyDescent="0.3">
      <c r="B3005" s="1"/>
    </row>
    <row r="3006" spans="2:2" x14ac:dyDescent="0.3">
      <c r="B3006" s="1"/>
    </row>
    <row r="3007" spans="2:2" x14ac:dyDescent="0.3">
      <c r="B3007" s="1"/>
    </row>
    <row r="3008" spans="2:2" x14ac:dyDescent="0.3">
      <c r="B3008" s="1"/>
    </row>
    <row r="3009" spans="2:2" x14ac:dyDescent="0.3">
      <c r="B3009" s="1"/>
    </row>
    <row r="3010" spans="2:2" x14ac:dyDescent="0.3">
      <c r="B3010" s="1"/>
    </row>
    <row r="3011" spans="2:2" x14ac:dyDescent="0.3">
      <c r="B3011" s="1"/>
    </row>
    <row r="3012" spans="2:2" x14ac:dyDescent="0.3">
      <c r="B3012" s="1"/>
    </row>
    <row r="3013" spans="2:2" x14ac:dyDescent="0.3">
      <c r="B3013" s="1"/>
    </row>
    <row r="3014" spans="2:2" x14ac:dyDescent="0.3">
      <c r="B3014" s="1"/>
    </row>
    <row r="3015" spans="2:2" x14ac:dyDescent="0.3">
      <c r="B3015" s="1"/>
    </row>
    <row r="3016" spans="2:2" x14ac:dyDescent="0.3">
      <c r="B3016" s="1"/>
    </row>
    <row r="3017" spans="2:2" x14ac:dyDescent="0.3">
      <c r="B3017" s="1"/>
    </row>
    <row r="3018" spans="2:2" x14ac:dyDescent="0.3">
      <c r="B3018" s="1"/>
    </row>
    <row r="3019" spans="2:2" x14ac:dyDescent="0.3">
      <c r="B3019" s="1"/>
    </row>
    <row r="3020" spans="2:2" x14ac:dyDescent="0.3">
      <c r="B3020" s="1"/>
    </row>
    <row r="3021" spans="2:2" x14ac:dyDescent="0.3">
      <c r="B3021" s="1"/>
    </row>
    <row r="3022" spans="2:2" x14ac:dyDescent="0.3">
      <c r="B3022" s="1"/>
    </row>
    <row r="3023" spans="2:2" x14ac:dyDescent="0.3">
      <c r="B3023" s="1"/>
    </row>
    <row r="3024" spans="2:2" x14ac:dyDescent="0.3">
      <c r="B3024" s="1"/>
    </row>
    <row r="3025" spans="2:2" x14ac:dyDescent="0.3">
      <c r="B3025" s="1"/>
    </row>
    <row r="3026" spans="2:2" x14ac:dyDescent="0.3">
      <c r="B3026" s="1"/>
    </row>
    <row r="3027" spans="2:2" x14ac:dyDescent="0.3">
      <c r="B3027" s="1"/>
    </row>
    <row r="3028" spans="2:2" x14ac:dyDescent="0.3">
      <c r="B3028" s="1"/>
    </row>
    <row r="3029" spans="2:2" x14ac:dyDescent="0.3">
      <c r="B3029" s="1"/>
    </row>
    <row r="3030" spans="2:2" x14ac:dyDescent="0.3">
      <c r="B3030" s="1"/>
    </row>
    <row r="3031" spans="2:2" x14ac:dyDescent="0.3">
      <c r="B3031" s="1"/>
    </row>
    <row r="3032" spans="2:2" x14ac:dyDescent="0.3">
      <c r="B3032" s="1"/>
    </row>
    <row r="3033" spans="2:2" x14ac:dyDescent="0.3">
      <c r="B3033" s="1"/>
    </row>
    <row r="3034" spans="2:2" x14ac:dyDescent="0.3">
      <c r="B3034" s="1"/>
    </row>
    <row r="3035" spans="2:2" x14ac:dyDescent="0.3">
      <c r="B3035" s="1"/>
    </row>
    <row r="3036" spans="2:2" x14ac:dyDescent="0.3">
      <c r="B3036" s="1"/>
    </row>
    <row r="3037" spans="2:2" x14ac:dyDescent="0.3">
      <c r="B3037" s="1"/>
    </row>
    <row r="3038" spans="2:2" x14ac:dyDescent="0.3">
      <c r="B3038" s="1"/>
    </row>
    <row r="3039" spans="2:2" x14ac:dyDescent="0.3">
      <c r="B3039" s="1"/>
    </row>
    <row r="3040" spans="2:2" x14ac:dyDescent="0.3">
      <c r="B3040" s="1"/>
    </row>
    <row r="3041" spans="2:2" x14ac:dyDescent="0.3">
      <c r="B3041" s="1"/>
    </row>
    <row r="3042" spans="2:2" x14ac:dyDescent="0.3">
      <c r="B3042" s="1"/>
    </row>
    <row r="3043" spans="2:2" x14ac:dyDescent="0.3">
      <c r="B3043" s="1"/>
    </row>
    <row r="3044" spans="2:2" x14ac:dyDescent="0.3">
      <c r="B3044" s="1"/>
    </row>
    <row r="3045" spans="2:2" x14ac:dyDescent="0.3">
      <c r="B3045" s="1"/>
    </row>
    <row r="3046" spans="2:2" x14ac:dyDescent="0.3">
      <c r="B3046" s="1"/>
    </row>
    <row r="3047" spans="2:2" x14ac:dyDescent="0.3">
      <c r="B3047" s="1"/>
    </row>
    <row r="3048" spans="2:2" x14ac:dyDescent="0.3">
      <c r="B3048" s="1"/>
    </row>
    <row r="3049" spans="2:2" x14ac:dyDescent="0.3">
      <c r="B3049" s="1"/>
    </row>
    <row r="3050" spans="2:2" x14ac:dyDescent="0.3">
      <c r="B3050" s="1"/>
    </row>
    <row r="3051" spans="2:2" x14ac:dyDescent="0.3">
      <c r="B3051" s="1"/>
    </row>
    <row r="3052" spans="2:2" x14ac:dyDescent="0.3">
      <c r="B3052" s="1"/>
    </row>
    <row r="3053" spans="2:2" x14ac:dyDescent="0.3">
      <c r="B3053" s="1"/>
    </row>
    <row r="3054" spans="2:2" x14ac:dyDescent="0.3">
      <c r="B3054" s="1"/>
    </row>
    <row r="3055" spans="2:2" x14ac:dyDescent="0.3">
      <c r="B3055" s="1"/>
    </row>
    <row r="3056" spans="2:2" x14ac:dyDescent="0.3">
      <c r="B3056" s="1"/>
    </row>
    <row r="3057" spans="2:2" x14ac:dyDescent="0.3">
      <c r="B3057" s="1"/>
    </row>
    <row r="3058" spans="2:2" x14ac:dyDescent="0.3">
      <c r="B3058" s="1"/>
    </row>
    <row r="3059" spans="2:2" x14ac:dyDescent="0.3">
      <c r="B3059" s="1"/>
    </row>
    <row r="3060" spans="2:2" x14ac:dyDescent="0.3">
      <c r="B3060" s="1"/>
    </row>
    <row r="3061" spans="2:2" x14ac:dyDescent="0.3">
      <c r="B3061" s="1"/>
    </row>
    <row r="3062" spans="2:2" x14ac:dyDescent="0.3">
      <c r="B3062" s="1"/>
    </row>
    <row r="3063" spans="2:2" x14ac:dyDescent="0.3">
      <c r="B3063" s="1"/>
    </row>
    <row r="3064" spans="2:2" x14ac:dyDescent="0.3">
      <c r="B3064" s="1"/>
    </row>
    <row r="3065" spans="2:2" x14ac:dyDescent="0.3">
      <c r="B3065" s="1"/>
    </row>
    <row r="3066" spans="2:2" x14ac:dyDescent="0.3">
      <c r="B3066" s="1"/>
    </row>
    <row r="3067" spans="2:2" x14ac:dyDescent="0.3">
      <c r="B3067" s="1"/>
    </row>
    <row r="3068" spans="2:2" x14ac:dyDescent="0.3">
      <c r="B3068" s="1"/>
    </row>
    <row r="3069" spans="2:2" x14ac:dyDescent="0.3">
      <c r="B3069" s="1"/>
    </row>
    <row r="3070" spans="2:2" x14ac:dyDescent="0.3">
      <c r="B3070" s="1"/>
    </row>
    <row r="3071" spans="2:2" x14ac:dyDescent="0.3">
      <c r="B3071" s="1"/>
    </row>
    <row r="3072" spans="2:2" x14ac:dyDescent="0.3">
      <c r="B3072" s="1"/>
    </row>
    <row r="3073" spans="2:2" x14ac:dyDescent="0.3">
      <c r="B3073" s="1"/>
    </row>
    <row r="3074" spans="2:2" x14ac:dyDescent="0.3">
      <c r="B3074" s="1"/>
    </row>
    <row r="3075" spans="2:2" x14ac:dyDescent="0.3">
      <c r="B3075" s="1"/>
    </row>
    <row r="3076" spans="2:2" x14ac:dyDescent="0.3">
      <c r="B3076" s="1"/>
    </row>
    <row r="3077" spans="2:2" x14ac:dyDescent="0.3">
      <c r="B3077" s="1"/>
    </row>
    <row r="3078" spans="2:2" x14ac:dyDescent="0.3">
      <c r="B3078" s="1"/>
    </row>
    <row r="3079" spans="2:2" x14ac:dyDescent="0.3">
      <c r="B3079" s="1"/>
    </row>
    <row r="3080" spans="2:2" x14ac:dyDescent="0.3">
      <c r="B3080" s="1"/>
    </row>
    <row r="3081" spans="2:2" x14ac:dyDescent="0.3">
      <c r="B3081" s="1"/>
    </row>
    <row r="3082" spans="2:2" x14ac:dyDescent="0.3">
      <c r="B3082" s="1"/>
    </row>
    <row r="3083" spans="2:2" x14ac:dyDescent="0.3">
      <c r="B3083" s="1"/>
    </row>
    <row r="3084" spans="2:2" x14ac:dyDescent="0.3">
      <c r="B3084" s="1"/>
    </row>
    <row r="3085" spans="2:2" x14ac:dyDescent="0.3">
      <c r="B3085" s="1"/>
    </row>
    <row r="3086" spans="2:2" x14ac:dyDescent="0.3">
      <c r="B3086" s="1"/>
    </row>
    <row r="3087" spans="2:2" x14ac:dyDescent="0.3">
      <c r="B3087" s="1"/>
    </row>
    <row r="3088" spans="2:2" x14ac:dyDescent="0.3">
      <c r="B3088" s="1"/>
    </row>
    <row r="3089" spans="2:2" x14ac:dyDescent="0.3">
      <c r="B3089" s="1"/>
    </row>
    <row r="3090" spans="2:2" x14ac:dyDescent="0.3">
      <c r="B3090" s="1"/>
    </row>
    <row r="3091" spans="2:2" x14ac:dyDescent="0.3">
      <c r="B3091" s="1"/>
    </row>
    <row r="3092" spans="2:2" x14ac:dyDescent="0.3">
      <c r="B3092" s="1"/>
    </row>
    <row r="3093" spans="2:2" x14ac:dyDescent="0.3">
      <c r="B3093" s="1"/>
    </row>
    <row r="3094" spans="2:2" x14ac:dyDescent="0.3">
      <c r="B3094" s="1"/>
    </row>
    <row r="3095" spans="2:2" x14ac:dyDescent="0.3">
      <c r="B3095" s="1"/>
    </row>
    <row r="3096" spans="2:2" x14ac:dyDescent="0.3">
      <c r="B3096" s="1"/>
    </row>
    <row r="3097" spans="2:2" x14ac:dyDescent="0.3">
      <c r="B3097" s="1"/>
    </row>
    <row r="3098" spans="2:2" x14ac:dyDescent="0.3">
      <c r="B3098" s="1"/>
    </row>
    <row r="3099" spans="2:2" x14ac:dyDescent="0.3">
      <c r="B3099" s="1"/>
    </row>
    <row r="3100" spans="2:2" x14ac:dyDescent="0.3">
      <c r="B3100" s="1"/>
    </row>
    <row r="3101" spans="2:2" x14ac:dyDescent="0.3">
      <c r="B3101" s="1"/>
    </row>
    <row r="3102" spans="2:2" x14ac:dyDescent="0.3">
      <c r="B3102" s="1"/>
    </row>
    <row r="3103" spans="2:2" x14ac:dyDescent="0.3">
      <c r="B3103" s="1"/>
    </row>
    <row r="3104" spans="2:2" x14ac:dyDescent="0.3">
      <c r="B3104" s="1"/>
    </row>
    <row r="3105" spans="2:2" x14ac:dyDescent="0.3">
      <c r="B3105" s="1"/>
    </row>
    <row r="3106" spans="2:2" x14ac:dyDescent="0.3">
      <c r="B3106" s="1"/>
    </row>
    <row r="3107" spans="2:2" x14ac:dyDescent="0.3">
      <c r="B3107" s="1"/>
    </row>
    <row r="3108" spans="2:2" x14ac:dyDescent="0.3">
      <c r="B3108" s="1"/>
    </row>
    <row r="3109" spans="2:2" x14ac:dyDescent="0.3">
      <c r="B3109" s="1"/>
    </row>
    <row r="3110" spans="2:2" x14ac:dyDescent="0.3">
      <c r="B3110" s="1"/>
    </row>
    <row r="3111" spans="2:2" x14ac:dyDescent="0.3">
      <c r="B3111" s="1"/>
    </row>
    <row r="3112" spans="2:2" x14ac:dyDescent="0.3">
      <c r="B3112" s="1"/>
    </row>
    <row r="3113" spans="2:2" x14ac:dyDescent="0.3">
      <c r="B3113" s="1"/>
    </row>
    <row r="3114" spans="2:2" x14ac:dyDescent="0.3">
      <c r="B3114" s="1"/>
    </row>
    <row r="3115" spans="2:2" x14ac:dyDescent="0.3">
      <c r="B3115" s="1"/>
    </row>
    <row r="3116" spans="2:2" x14ac:dyDescent="0.3">
      <c r="B3116" s="1"/>
    </row>
    <row r="3117" spans="2:2" x14ac:dyDescent="0.3">
      <c r="B3117" s="1"/>
    </row>
    <row r="3118" spans="2:2" x14ac:dyDescent="0.3">
      <c r="B3118" s="1"/>
    </row>
    <row r="3119" spans="2:2" x14ac:dyDescent="0.3">
      <c r="B3119" s="1"/>
    </row>
    <row r="3120" spans="2:2" x14ac:dyDescent="0.3">
      <c r="B3120" s="1"/>
    </row>
    <row r="3121" spans="2:2" x14ac:dyDescent="0.3">
      <c r="B3121" s="1"/>
    </row>
    <row r="3122" spans="2:2" x14ac:dyDescent="0.3">
      <c r="B3122" s="1"/>
    </row>
    <row r="3123" spans="2:2" x14ac:dyDescent="0.3">
      <c r="B3123" s="1"/>
    </row>
    <row r="3124" spans="2:2" x14ac:dyDescent="0.3">
      <c r="B3124" s="1"/>
    </row>
    <row r="3125" spans="2:2" x14ac:dyDescent="0.3">
      <c r="B3125" s="1"/>
    </row>
    <row r="3126" spans="2:2" x14ac:dyDescent="0.3">
      <c r="B3126" s="1"/>
    </row>
    <row r="3127" spans="2:2" x14ac:dyDescent="0.3">
      <c r="B3127" s="1"/>
    </row>
    <row r="3128" spans="2:2" x14ac:dyDescent="0.3">
      <c r="B3128" s="1"/>
    </row>
    <row r="3129" spans="2:2" x14ac:dyDescent="0.3">
      <c r="B3129" s="1"/>
    </row>
    <row r="3130" spans="2:2" x14ac:dyDescent="0.3">
      <c r="B3130" s="1"/>
    </row>
    <row r="3131" spans="2:2" x14ac:dyDescent="0.3">
      <c r="B3131" s="1"/>
    </row>
    <row r="3132" spans="2:2" x14ac:dyDescent="0.3">
      <c r="B3132" s="1"/>
    </row>
    <row r="3133" spans="2:2" x14ac:dyDescent="0.3">
      <c r="B3133" s="1"/>
    </row>
    <row r="3134" spans="2:2" x14ac:dyDescent="0.3">
      <c r="B3134" s="1"/>
    </row>
    <row r="3135" spans="2:2" x14ac:dyDescent="0.3">
      <c r="B3135" s="1"/>
    </row>
    <row r="3136" spans="2:2" x14ac:dyDescent="0.3">
      <c r="B3136" s="1"/>
    </row>
    <row r="3137" spans="2:2" x14ac:dyDescent="0.3">
      <c r="B3137" s="1"/>
    </row>
    <row r="3138" spans="2:2" x14ac:dyDescent="0.3">
      <c r="B3138" s="1"/>
    </row>
    <row r="3139" spans="2:2" x14ac:dyDescent="0.3">
      <c r="B3139" s="1"/>
    </row>
    <row r="3140" spans="2:2" x14ac:dyDescent="0.3">
      <c r="B3140" s="1"/>
    </row>
    <row r="3141" spans="2:2" x14ac:dyDescent="0.3">
      <c r="B3141" s="1"/>
    </row>
    <row r="3142" spans="2:2" x14ac:dyDescent="0.3">
      <c r="B3142" s="1"/>
    </row>
    <row r="3143" spans="2:2" x14ac:dyDescent="0.3">
      <c r="B3143" s="1"/>
    </row>
    <row r="3144" spans="2:2" x14ac:dyDescent="0.3">
      <c r="B3144" s="1"/>
    </row>
    <row r="3145" spans="2:2" x14ac:dyDescent="0.3">
      <c r="B3145" s="1"/>
    </row>
    <row r="3146" spans="2:2" x14ac:dyDescent="0.3">
      <c r="B3146" s="1"/>
    </row>
    <row r="3147" spans="2:2" x14ac:dyDescent="0.3">
      <c r="B3147" s="1"/>
    </row>
    <row r="3148" spans="2:2" x14ac:dyDescent="0.3">
      <c r="B3148" s="1"/>
    </row>
    <row r="3149" spans="2:2" x14ac:dyDescent="0.3">
      <c r="B3149" s="1"/>
    </row>
    <row r="3150" spans="2:2" x14ac:dyDescent="0.3">
      <c r="B3150" s="1"/>
    </row>
    <row r="3151" spans="2:2" x14ac:dyDescent="0.3">
      <c r="B3151" s="1"/>
    </row>
    <row r="3152" spans="2:2" x14ac:dyDescent="0.3">
      <c r="B3152" s="1"/>
    </row>
    <row r="3153" spans="2:2" x14ac:dyDescent="0.3">
      <c r="B3153" s="1"/>
    </row>
    <row r="3154" spans="2:2" x14ac:dyDescent="0.3">
      <c r="B3154" s="1"/>
    </row>
    <row r="3155" spans="2:2" x14ac:dyDescent="0.3">
      <c r="B3155" s="1"/>
    </row>
    <row r="3156" spans="2:2" x14ac:dyDescent="0.3">
      <c r="B3156" s="1"/>
    </row>
    <row r="3157" spans="2:2" x14ac:dyDescent="0.3">
      <c r="B3157" s="1"/>
    </row>
    <row r="3158" spans="2:2" x14ac:dyDescent="0.3">
      <c r="B3158" s="1"/>
    </row>
    <row r="3159" spans="2:2" x14ac:dyDescent="0.3">
      <c r="B3159" s="1"/>
    </row>
    <row r="3160" spans="2:2" x14ac:dyDescent="0.3">
      <c r="B3160" s="1"/>
    </row>
    <row r="3161" spans="2:2" x14ac:dyDescent="0.3">
      <c r="B3161" s="1"/>
    </row>
    <row r="3162" spans="2:2" x14ac:dyDescent="0.3">
      <c r="B3162" s="1"/>
    </row>
    <row r="3163" spans="2:2" x14ac:dyDescent="0.3">
      <c r="B3163" s="1"/>
    </row>
    <row r="3164" spans="2:2" x14ac:dyDescent="0.3">
      <c r="B3164" s="1"/>
    </row>
    <row r="3165" spans="2:2" x14ac:dyDescent="0.3">
      <c r="B3165" s="1"/>
    </row>
    <row r="3166" spans="2:2" x14ac:dyDescent="0.3">
      <c r="B3166" s="1"/>
    </row>
    <row r="3167" spans="2:2" x14ac:dyDescent="0.3">
      <c r="B3167" s="1"/>
    </row>
    <row r="3168" spans="2:2" x14ac:dyDescent="0.3">
      <c r="B3168" s="1"/>
    </row>
    <row r="3169" spans="2:2" x14ac:dyDescent="0.3">
      <c r="B3169" s="1"/>
    </row>
    <row r="3170" spans="2:2" x14ac:dyDescent="0.3">
      <c r="B3170" s="1"/>
    </row>
    <row r="3171" spans="2:2" x14ac:dyDescent="0.3">
      <c r="B3171" s="1"/>
    </row>
    <row r="3172" spans="2:2" x14ac:dyDescent="0.3">
      <c r="B3172" s="1"/>
    </row>
    <row r="3173" spans="2:2" x14ac:dyDescent="0.3">
      <c r="B3173" s="1"/>
    </row>
    <row r="3174" spans="2:2" x14ac:dyDescent="0.3">
      <c r="B3174" s="1"/>
    </row>
    <row r="3175" spans="2:2" x14ac:dyDescent="0.3">
      <c r="B3175" s="1"/>
    </row>
    <row r="3176" spans="2:2" x14ac:dyDescent="0.3">
      <c r="B3176" s="1"/>
    </row>
    <row r="3177" spans="2:2" x14ac:dyDescent="0.3">
      <c r="B3177" s="1"/>
    </row>
    <row r="3178" spans="2:2" x14ac:dyDescent="0.3">
      <c r="B3178" s="1"/>
    </row>
    <row r="3179" spans="2:2" x14ac:dyDescent="0.3">
      <c r="B3179" s="1"/>
    </row>
    <row r="3180" spans="2:2" x14ac:dyDescent="0.3">
      <c r="B3180" s="1"/>
    </row>
    <row r="3181" spans="2:2" x14ac:dyDescent="0.3">
      <c r="B3181" s="1"/>
    </row>
    <row r="3182" spans="2:2" x14ac:dyDescent="0.3">
      <c r="B3182" s="1"/>
    </row>
    <row r="3183" spans="2:2" x14ac:dyDescent="0.3">
      <c r="B3183" s="1"/>
    </row>
    <row r="3184" spans="2:2" x14ac:dyDescent="0.3">
      <c r="B3184" s="1"/>
    </row>
    <row r="3185" spans="2:2" x14ac:dyDescent="0.3">
      <c r="B3185" s="1"/>
    </row>
    <row r="3186" spans="2:2" x14ac:dyDescent="0.3">
      <c r="B3186" s="1"/>
    </row>
    <row r="3187" spans="2:2" x14ac:dyDescent="0.3">
      <c r="B3187" s="1"/>
    </row>
    <row r="3188" spans="2:2" x14ac:dyDescent="0.3">
      <c r="B3188" s="1"/>
    </row>
    <row r="3189" spans="2:2" x14ac:dyDescent="0.3">
      <c r="B3189" s="1"/>
    </row>
    <row r="3190" spans="2:2" x14ac:dyDescent="0.3">
      <c r="B3190" s="1"/>
    </row>
    <row r="3191" spans="2:2" x14ac:dyDescent="0.3">
      <c r="B3191" s="1"/>
    </row>
    <row r="3192" spans="2:2" x14ac:dyDescent="0.3">
      <c r="B3192" s="1"/>
    </row>
    <row r="3193" spans="2:2" x14ac:dyDescent="0.3">
      <c r="B3193" s="1"/>
    </row>
    <row r="3194" spans="2:2" x14ac:dyDescent="0.3">
      <c r="B3194" s="1"/>
    </row>
    <row r="3195" spans="2:2" x14ac:dyDescent="0.3">
      <c r="B3195" s="1"/>
    </row>
    <row r="3196" spans="2:2" x14ac:dyDescent="0.3">
      <c r="B3196" s="1"/>
    </row>
    <row r="3197" spans="2:2" x14ac:dyDescent="0.3">
      <c r="B3197" s="1"/>
    </row>
    <row r="3198" spans="2:2" x14ac:dyDescent="0.3">
      <c r="B3198" s="1"/>
    </row>
    <row r="3199" spans="2:2" x14ac:dyDescent="0.3">
      <c r="B3199" s="1"/>
    </row>
    <row r="3200" spans="2:2" x14ac:dyDescent="0.3">
      <c r="B3200" s="1"/>
    </row>
    <row r="3201" spans="2:2" x14ac:dyDescent="0.3">
      <c r="B3201" s="1"/>
    </row>
    <row r="3202" spans="2:2" x14ac:dyDescent="0.3">
      <c r="B3202" s="1"/>
    </row>
    <row r="3203" spans="2:2" x14ac:dyDescent="0.3">
      <c r="B3203" s="1"/>
    </row>
    <row r="3204" spans="2:2" x14ac:dyDescent="0.3">
      <c r="B3204" s="1"/>
    </row>
    <row r="3205" spans="2:2" x14ac:dyDescent="0.3">
      <c r="B3205" s="1"/>
    </row>
    <row r="3206" spans="2:2" x14ac:dyDescent="0.3">
      <c r="B3206" s="1"/>
    </row>
    <row r="3207" spans="2:2" x14ac:dyDescent="0.3">
      <c r="B3207" s="1"/>
    </row>
    <row r="3208" spans="2:2" x14ac:dyDescent="0.3">
      <c r="B3208" s="1"/>
    </row>
    <row r="3209" spans="2:2" x14ac:dyDescent="0.3">
      <c r="B3209" s="1"/>
    </row>
    <row r="3210" spans="2:2" x14ac:dyDescent="0.3">
      <c r="B3210" s="1"/>
    </row>
    <row r="3211" spans="2:2" x14ac:dyDescent="0.3">
      <c r="B3211" s="1"/>
    </row>
    <row r="3212" spans="2:2" x14ac:dyDescent="0.3">
      <c r="B3212" s="1"/>
    </row>
    <row r="3213" spans="2:2" x14ac:dyDescent="0.3">
      <c r="B3213" s="1"/>
    </row>
    <row r="3214" spans="2:2" x14ac:dyDescent="0.3">
      <c r="B3214" s="1"/>
    </row>
    <row r="3215" spans="2:2" x14ac:dyDescent="0.3">
      <c r="B3215" s="1"/>
    </row>
    <row r="3216" spans="2:2" x14ac:dyDescent="0.3">
      <c r="B3216" s="1"/>
    </row>
    <row r="3217" spans="2:2" x14ac:dyDescent="0.3">
      <c r="B3217" s="1"/>
    </row>
    <row r="3218" spans="2:2" x14ac:dyDescent="0.3">
      <c r="B3218" s="1"/>
    </row>
    <row r="3219" spans="2:2" x14ac:dyDescent="0.3">
      <c r="B3219" s="1"/>
    </row>
    <row r="3220" spans="2:2" x14ac:dyDescent="0.3">
      <c r="B3220" s="1"/>
    </row>
    <row r="3221" spans="2:2" x14ac:dyDescent="0.3">
      <c r="B3221" s="1"/>
    </row>
    <row r="3222" spans="2:2" x14ac:dyDescent="0.3">
      <c r="B3222" s="1"/>
    </row>
    <row r="3223" spans="2:2" x14ac:dyDescent="0.3">
      <c r="B3223" s="1"/>
    </row>
    <row r="3224" spans="2:2" x14ac:dyDescent="0.3">
      <c r="B3224" s="1"/>
    </row>
    <row r="3225" spans="2:2" x14ac:dyDescent="0.3">
      <c r="B3225" s="1"/>
    </row>
    <row r="3226" spans="2:2" x14ac:dyDescent="0.3">
      <c r="B3226" s="1"/>
    </row>
    <row r="3227" spans="2:2" x14ac:dyDescent="0.3">
      <c r="B3227" s="1"/>
    </row>
    <row r="3228" spans="2:2" x14ac:dyDescent="0.3">
      <c r="B3228" s="1"/>
    </row>
    <row r="3229" spans="2:2" x14ac:dyDescent="0.3">
      <c r="B3229" s="1"/>
    </row>
    <row r="3230" spans="2:2" x14ac:dyDescent="0.3">
      <c r="B3230" s="1"/>
    </row>
    <row r="3231" spans="2:2" x14ac:dyDescent="0.3">
      <c r="B3231" s="1"/>
    </row>
    <row r="3232" spans="2:2" x14ac:dyDescent="0.3">
      <c r="B3232" s="1"/>
    </row>
    <row r="3233" spans="2:2" x14ac:dyDescent="0.3">
      <c r="B3233" s="1"/>
    </row>
    <row r="3234" spans="2:2" x14ac:dyDescent="0.3">
      <c r="B3234" s="1"/>
    </row>
    <row r="3235" spans="2:2" x14ac:dyDescent="0.3">
      <c r="B3235" s="1"/>
    </row>
    <row r="3236" spans="2:2" x14ac:dyDescent="0.3">
      <c r="B3236" s="1"/>
    </row>
    <row r="3237" spans="2:2" x14ac:dyDescent="0.3">
      <c r="B3237" s="1"/>
    </row>
    <row r="3238" spans="2:2" x14ac:dyDescent="0.3">
      <c r="B3238" s="1"/>
    </row>
    <row r="3239" spans="2:2" x14ac:dyDescent="0.3">
      <c r="B3239" s="1"/>
    </row>
    <row r="3240" spans="2:2" x14ac:dyDescent="0.3">
      <c r="B3240" s="1"/>
    </row>
    <row r="3241" spans="2:2" x14ac:dyDescent="0.3">
      <c r="B3241" s="1"/>
    </row>
    <row r="3242" spans="2:2" x14ac:dyDescent="0.3">
      <c r="B3242" s="1"/>
    </row>
    <row r="3243" spans="2:2" x14ac:dyDescent="0.3">
      <c r="B3243" s="1"/>
    </row>
    <row r="3244" spans="2:2" x14ac:dyDescent="0.3">
      <c r="B3244" s="1"/>
    </row>
    <row r="3245" spans="2:2" x14ac:dyDescent="0.3">
      <c r="B3245" s="1"/>
    </row>
    <row r="3246" spans="2:2" x14ac:dyDescent="0.3">
      <c r="B3246" s="1"/>
    </row>
    <row r="3247" spans="2:2" x14ac:dyDescent="0.3">
      <c r="B3247" s="1"/>
    </row>
    <row r="3248" spans="2:2" x14ac:dyDescent="0.3">
      <c r="B3248" s="1"/>
    </row>
    <row r="3249" spans="2:2" x14ac:dyDescent="0.3">
      <c r="B3249" s="1"/>
    </row>
    <row r="3250" spans="2:2" x14ac:dyDescent="0.3">
      <c r="B3250" s="1"/>
    </row>
    <row r="3251" spans="2:2" x14ac:dyDescent="0.3">
      <c r="B3251" s="1"/>
    </row>
    <row r="3252" spans="2:2" x14ac:dyDescent="0.3">
      <c r="B3252" s="1"/>
    </row>
    <row r="3253" spans="2:2" x14ac:dyDescent="0.3">
      <c r="B3253" s="1"/>
    </row>
    <row r="3254" spans="2:2" x14ac:dyDescent="0.3">
      <c r="B3254" s="1"/>
    </row>
    <row r="3255" spans="2:2" x14ac:dyDescent="0.3">
      <c r="B3255" s="1"/>
    </row>
    <row r="3256" spans="2:2" x14ac:dyDescent="0.3">
      <c r="B3256" s="1"/>
    </row>
    <row r="3257" spans="2:2" x14ac:dyDescent="0.3">
      <c r="B3257" s="1"/>
    </row>
    <row r="3258" spans="2:2" x14ac:dyDescent="0.3">
      <c r="B3258" s="1"/>
    </row>
    <row r="3259" spans="2:2" x14ac:dyDescent="0.3">
      <c r="B3259" s="1"/>
    </row>
    <row r="3260" spans="2:2" x14ac:dyDescent="0.3">
      <c r="B3260" s="1"/>
    </row>
    <row r="3261" spans="2:2" x14ac:dyDescent="0.3">
      <c r="B3261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35"/>
  <sheetViews>
    <sheetView workbookViewId="0">
      <selection activeCell="B2" sqref="B2"/>
    </sheetView>
  </sheetViews>
  <sheetFormatPr baseColWidth="10" defaultRowHeight="14.4" x14ac:dyDescent="0.3"/>
  <cols>
    <col min="1" max="1" width="10.44140625" bestFit="1" customWidth="1"/>
    <col min="2" max="2" width="14.88671875" bestFit="1" customWidth="1"/>
    <col min="3" max="3" width="5.6640625" bestFit="1" customWidth="1"/>
    <col min="4" max="4" width="4.88671875" bestFit="1" customWidth="1"/>
    <col min="5" max="5" width="7.109375" bestFit="1" customWidth="1"/>
    <col min="6" max="6" width="3.44140625" bestFit="1" customWidth="1"/>
    <col min="7" max="7" width="24.6640625" bestFit="1" customWidth="1"/>
    <col min="8" max="8" width="3.5546875" bestFit="1" customWidth="1"/>
    <col min="9" max="9" width="17.88671875" bestFit="1" customWidth="1"/>
    <col min="10" max="10" width="14.88671875" bestFit="1" customWidth="1"/>
    <col min="11" max="11" width="11.6640625" bestFit="1" customWidth="1"/>
    <col min="12" max="12" width="8.6640625" bestFit="1" customWidth="1"/>
    <col min="13" max="14" width="12.6640625" bestFit="1" customWidth="1"/>
    <col min="15" max="15" width="8" bestFit="1" customWidth="1"/>
    <col min="16" max="16" width="12" bestFit="1" customWidth="1"/>
    <col min="17" max="17" width="7.33203125" bestFit="1" customWidth="1"/>
    <col min="18" max="18" width="9.88671875" bestFit="1" customWidth="1"/>
    <col min="19" max="19" width="7.5546875" bestFit="1" customWidth="1"/>
    <col min="20" max="20" width="13.109375" bestFit="1" customWidth="1"/>
    <col min="21" max="21" width="21.33203125" bestFit="1" customWidth="1"/>
    <col min="22" max="22" width="12" bestFit="1" customWidth="1"/>
    <col min="23" max="23" width="20" bestFit="1" customWidth="1"/>
    <col min="24" max="24" width="8.6640625" bestFit="1" customWidth="1"/>
    <col min="25" max="25" width="14.33203125" bestFit="1" customWidth="1"/>
    <col min="26" max="26" width="22.44140625" bestFit="1" customWidth="1"/>
    <col min="27" max="27" width="13.109375" bestFit="1" customWidth="1"/>
    <col min="28" max="28" width="21.33203125" bestFit="1" customWidth="1"/>
    <col min="29" max="29" width="20.33203125" bestFit="1" customWidth="1"/>
    <col min="30" max="30" width="6.109375" bestFit="1" customWidth="1"/>
  </cols>
  <sheetData>
    <row r="1" spans="1:30" x14ac:dyDescent="0.3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4" t="s">
        <v>14</v>
      </c>
      <c r="P1" s="34" t="s">
        <v>15</v>
      </c>
      <c r="Q1" s="34" t="s">
        <v>16</v>
      </c>
      <c r="R1" s="34" t="s">
        <v>17</v>
      </c>
      <c r="S1" s="34" t="s">
        <v>18</v>
      </c>
      <c r="T1" s="34" t="s">
        <v>19</v>
      </c>
      <c r="U1" s="34" t="s">
        <v>75</v>
      </c>
      <c r="V1" s="34" t="s">
        <v>20</v>
      </c>
      <c r="W1" s="34" t="s">
        <v>76</v>
      </c>
      <c r="X1" s="34" t="s">
        <v>21</v>
      </c>
      <c r="Y1" s="34" t="s">
        <v>22</v>
      </c>
      <c r="Z1" s="34" t="s">
        <v>77</v>
      </c>
      <c r="AA1" s="34" t="s">
        <v>23</v>
      </c>
      <c r="AB1" s="34" t="s">
        <v>78</v>
      </c>
      <c r="AC1" s="34" t="s">
        <v>24</v>
      </c>
      <c r="AD1" s="34" t="s">
        <v>71</v>
      </c>
    </row>
    <row r="2" spans="1:30" x14ac:dyDescent="0.3">
      <c r="B2" s="40">
        <v>42370</v>
      </c>
      <c r="P2" s="35"/>
      <c r="AD2" s="35"/>
    </row>
    <row r="3" spans="1:30" x14ac:dyDescent="0.3">
      <c r="B3" s="40">
        <v>42401</v>
      </c>
      <c r="P3" s="35"/>
      <c r="AD3" s="35"/>
    </row>
    <row r="4" spans="1:30" x14ac:dyDescent="0.3">
      <c r="B4" s="40">
        <v>42430</v>
      </c>
      <c r="P4" s="35"/>
      <c r="AD4" s="35"/>
    </row>
    <row r="5" spans="1:30" x14ac:dyDescent="0.3">
      <c r="B5" s="40">
        <v>42461</v>
      </c>
      <c r="P5" s="35"/>
      <c r="AD5" s="35"/>
    </row>
    <row r="6" spans="1:30" x14ac:dyDescent="0.3">
      <c r="B6" s="40">
        <v>42491</v>
      </c>
      <c r="P6" s="35"/>
      <c r="AD6" s="35"/>
    </row>
    <row r="7" spans="1:30" x14ac:dyDescent="0.3">
      <c r="B7" s="40">
        <v>42522</v>
      </c>
      <c r="P7" s="35"/>
      <c r="AD7" s="35"/>
    </row>
    <row r="8" spans="1:30" x14ac:dyDescent="0.3">
      <c r="B8" s="40">
        <v>42552</v>
      </c>
      <c r="P8" s="35"/>
      <c r="AD8" s="35"/>
    </row>
    <row r="9" spans="1:30" x14ac:dyDescent="0.3">
      <c r="B9" s="40">
        <v>42583</v>
      </c>
      <c r="P9" s="35"/>
      <c r="AD9" s="35"/>
    </row>
    <row r="10" spans="1:30" x14ac:dyDescent="0.3">
      <c r="B10" s="40">
        <v>42614</v>
      </c>
      <c r="P10" s="35"/>
      <c r="AD10" s="35"/>
    </row>
    <row r="11" spans="1:30" x14ac:dyDescent="0.3">
      <c r="B11" s="40">
        <v>42644</v>
      </c>
      <c r="P11" s="35"/>
      <c r="AD11" s="35"/>
    </row>
    <row r="12" spans="1:30" x14ac:dyDescent="0.3">
      <c r="B12" s="40">
        <v>42675</v>
      </c>
      <c r="P12" s="35"/>
      <c r="AD12" s="35"/>
    </row>
    <row r="13" spans="1:30" x14ac:dyDescent="0.3">
      <c r="B13" s="40">
        <v>42705</v>
      </c>
      <c r="P13" s="35"/>
      <c r="AD13" s="35"/>
    </row>
    <row r="14" spans="1:30" x14ac:dyDescent="0.3">
      <c r="B14" s="40">
        <v>42736</v>
      </c>
      <c r="P14" s="35"/>
      <c r="AD14" s="35"/>
    </row>
    <row r="15" spans="1:30" x14ac:dyDescent="0.3">
      <c r="B15" s="40">
        <v>42767</v>
      </c>
      <c r="P15" s="35"/>
      <c r="AD15" s="35"/>
    </row>
    <row r="16" spans="1:30" x14ac:dyDescent="0.3">
      <c r="B16" s="40">
        <v>42795</v>
      </c>
      <c r="P16" s="35"/>
      <c r="AD16" s="35"/>
    </row>
    <row r="17" spans="2:30" x14ac:dyDescent="0.3">
      <c r="B17" s="40">
        <v>42826</v>
      </c>
      <c r="P17" s="35"/>
      <c r="AD17" s="35"/>
    </row>
    <row r="18" spans="2:30" x14ac:dyDescent="0.3">
      <c r="B18" s="40">
        <v>42856</v>
      </c>
      <c r="P18" s="35"/>
      <c r="AD18" s="35"/>
    </row>
    <row r="19" spans="2:30" x14ac:dyDescent="0.3">
      <c r="B19" s="40">
        <v>42887</v>
      </c>
      <c r="P19" s="35"/>
      <c r="AD19" s="35"/>
    </row>
    <row r="20" spans="2:30" x14ac:dyDescent="0.3">
      <c r="B20" s="40">
        <v>42917</v>
      </c>
      <c r="P20" s="35"/>
      <c r="AD20" s="35"/>
    </row>
    <row r="21" spans="2:30" x14ac:dyDescent="0.3">
      <c r="B21" s="40">
        <v>42948</v>
      </c>
      <c r="P21" s="35"/>
      <c r="AD21" s="35"/>
    </row>
    <row r="22" spans="2:30" x14ac:dyDescent="0.3">
      <c r="B22" s="40">
        <v>42979</v>
      </c>
      <c r="P22" s="35"/>
      <c r="AD22" s="35"/>
    </row>
    <row r="23" spans="2:30" x14ac:dyDescent="0.3">
      <c r="B23" s="40">
        <v>43009</v>
      </c>
      <c r="P23" s="35"/>
      <c r="AD23" s="35"/>
    </row>
    <row r="24" spans="2:30" x14ac:dyDescent="0.3">
      <c r="B24" s="40">
        <v>43040</v>
      </c>
      <c r="P24" s="35"/>
      <c r="AD24" s="35"/>
    </row>
    <row r="25" spans="2:30" x14ac:dyDescent="0.3">
      <c r="B25" s="40">
        <v>43070</v>
      </c>
      <c r="P25" s="35"/>
      <c r="AD25" s="35"/>
    </row>
    <row r="26" spans="2:30" x14ac:dyDescent="0.3">
      <c r="B26" s="40">
        <v>43101</v>
      </c>
      <c r="P26" s="35"/>
      <c r="AD26" s="35"/>
    </row>
    <row r="27" spans="2:30" x14ac:dyDescent="0.3">
      <c r="B27" s="40">
        <v>43132</v>
      </c>
      <c r="P27" s="35"/>
      <c r="AD27" s="35"/>
    </row>
    <row r="28" spans="2:30" x14ac:dyDescent="0.3">
      <c r="B28" s="40">
        <v>43160</v>
      </c>
      <c r="P28" s="35"/>
      <c r="AD28" s="35"/>
    </row>
    <row r="29" spans="2:30" x14ac:dyDescent="0.3">
      <c r="B29" s="40">
        <v>43191</v>
      </c>
      <c r="P29" s="35"/>
      <c r="AD29" s="35"/>
    </row>
    <row r="30" spans="2:30" x14ac:dyDescent="0.3">
      <c r="B30" s="40">
        <v>43221</v>
      </c>
      <c r="P30" s="35"/>
      <c r="AD30" s="35"/>
    </row>
    <row r="31" spans="2:30" x14ac:dyDescent="0.3">
      <c r="B31" s="40">
        <v>43252</v>
      </c>
      <c r="P31" s="35"/>
      <c r="AD31" s="35"/>
    </row>
    <row r="32" spans="2:30" x14ac:dyDescent="0.3">
      <c r="B32" s="40">
        <v>43282</v>
      </c>
      <c r="P32" s="35"/>
      <c r="AD32" s="35"/>
    </row>
    <row r="33" spans="2:30" x14ac:dyDescent="0.3">
      <c r="B33" s="40">
        <v>43313</v>
      </c>
      <c r="P33" s="35"/>
      <c r="AD33" s="35"/>
    </row>
    <row r="34" spans="2:30" x14ac:dyDescent="0.3">
      <c r="B34" s="40">
        <v>43344</v>
      </c>
      <c r="P34" s="35"/>
      <c r="AD34" s="35"/>
    </row>
    <row r="35" spans="2:30" x14ac:dyDescent="0.3">
      <c r="B35" s="40">
        <v>43374</v>
      </c>
      <c r="P35" s="35"/>
      <c r="AD35" s="35"/>
    </row>
    <row r="36" spans="2:30" x14ac:dyDescent="0.3">
      <c r="B36" s="40">
        <v>43405</v>
      </c>
      <c r="P36" s="35"/>
      <c r="AD36" s="35"/>
    </row>
    <row r="37" spans="2:30" x14ac:dyDescent="0.3">
      <c r="B37" s="40">
        <v>43435</v>
      </c>
      <c r="P37" s="35"/>
      <c r="AD37" s="35"/>
    </row>
    <row r="38" spans="2:30" x14ac:dyDescent="0.3">
      <c r="B38" s="40">
        <v>43466</v>
      </c>
      <c r="P38" s="35"/>
      <c r="AD38" s="35"/>
    </row>
    <row r="39" spans="2:30" x14ac:dyDescent="0.3">
      <c r="B39" s="40">
        <v>43497</v>
      </c>
      <c r="P39" s="35"/>
      <c r="AD39" s="35"/>
    </row>
    <row r="40" spans="2:30" x14ac:dyDescent="0.3">
      <c r="B40" s="40">
        <v>43525</v>
      </c>
      <c r="P40" s="35"/>
      <c r="AD40" s="35"/>
    </row>
    <row r="41" spans="2:30" x14ac:dyDescent="0.3">
      <c r="B41" s="40">
        <v>43556</v>
      </c>
      <c r="P41" s="35"/>
      <c r="AD41" s="35"/>
    </row>
    <row r="42" spans="2:30" x14ac:dyDescent="0.3">
      <c r="B42" s="40">
        <v>43586</v>
      </c>
      <c r="P42" s="35"/>
      <c r="AD42" s="35"/>
    </row>
    <row r="43" spans="2:30" x14ac:dyDescent="0.3">
      <c r="B43" s="40">
        <v>43617</v>
      </c>
      <c r="P43" s="35"/>
      <c r="AD43" s="35"/>
    </row>
    <row r="44" spans="2:30" x14ac:dyDescent="0.3">
      <c r="B44" s="40">
        <v>43647</v>
      </c>
      <c r="P44" s="35"/>
      <c r="AD44" s="35"/>
    </row>
    <row r="45" spans="2:30" x14ac:dyDescent="0.3">
      <c r="B45" s="40">
        <v>43678</v>
      </c>
      <c r="P45" s="35"/>
      <c r="AD45" s="35"/>
    </row>
    <row r="46" spans="2:30" x14ac:dyDescent="0.3">
      <c r="B46" s="40">
        <v>43709</v>
      </c>
      <c r="P46" s="35"/>
      <c r="AD46" s="35"/>
    </row>
    <row r="47" spans="2:30" x14ac:dyDescent="0.3">
      <c r="B47" s="40">
        <v>43739</v>
      </c>
      <c r="P47" s="35"/>
      <c r="AD47" s="35"/>
    </row>
    <row r="48" spans="2:30" x14ac:dyDescent="0.3">
      <c r="B48" s="40">
        <v>43770</v>
      </c>
      <c r="P48" s="35"/>
      <c r="AD48" s="35"/>
    </row>
    <row r="49" spans="2:30" x14ac:dyDescent="0.3">
      <c r="B49" s="40">
        <v>43800</v>
      </c>
      <c r="P49" s="35"/>
      <c r="AD49" s="35"/>
    </row>
    <row r="50" spans="2:30" x14ac:dyDescent="0.3">
      <c r="B50" s="40">
        <v>43831</v>
      </c>
      <c r="P50" s="35"/>
      <c r="AD50" s="35"/>
    </row>
    <row r="51" spans="2:30" x14ac:dyDescent="0.3">
      <c r="B51" s="40">
        <v>43862</v>
      </c>
      <c r="P51" s="35"/>
      <c r="AD51" s="35"/>
    </row>
    <row r="52" spans="2:30" x14ac:dyDescent="0.3">
      <c r="B52" s="40">
        <v>43891</v>
      </c>
      <c r="P52" s="35"/>
      <c r="AD52" s="35"/>
    </row>
    <row r="53" spans="2:30" x14ac:dyDescent="0.3">
      <c r="B53" s="40">
        <v>43922</v>
      </c>
      <c r="P53" s="35"/>
      <c r="AD53" s="35"/>
    </row>
    <row r="54" spans="2:30" x14ac:dyDescent="0.3">
      <c r="B54" s="40">
        <v>43952</v>
      </c>
      <c r="P54" s="35"/>
      <c r="AD54" s="35"/>
    </row>
    <row r="55" spans="2:30" x14ac:dyDescent="0.3">
      <c r="B55" s="40">
        <v>43983</v>
      </c>
      <c r="P55" s="35"/>
      <c r="AD55" s="35"/>
    </row>
    <row r="56" spans="2:30" x14ac:dyDescent="0.3">
      <c r="B56" s="40">
        <v>44013</v>
      </c>
      <c r="P56" s="35"/>
      <c r="AD56" s="35"/>
    </row>
    <row r="57" spans="2:30" x14ac:dyDescent="0.3">
      <c r="B57" s="40">
        <v>44044</v>
      </c>
      <c r="P57" s="35"/>
      <c r="AD57" s="35"/>
    </row>
    <row r="58" spans="2:30" x14ac:dyDescent="0.3">
      <c r="B58" s="40">
        <v>44075</v>
      </c>
      <c r="P58" s="35"/>
      <c r="AD58" s="35"/>
    </row>
    <row r="59" spans="2:30" x14ac:dyDescent="0.3">
      <c r="B59" s="40">
        <v>44105</v>
      </c>
      <c r="P59" s="35"/>
      <c r="AD59" s="35"/>
    </row>
    <row r="60" spans="2:30" x14ac:dyDescent="0.3">
      <c r="B60" s="40">
        <v>44136</v>
      </c>
      <c r="P60" s="35"/>
      <c r="AD60" s="35"/>
    </row>
    <row r="61" spans="2:30" x14ac:dyDescent="0.3">
      <c r="B61" s="40">
        <v>44166</v>
      </c>
      <c r="P61" s="35"/>
      <c r="AD61" s="35"/>
    </row>
    <row r="62" spans="2:30" x14ac:dyDescent="0.3">
      <c r="B62" s="40">
        <v>44197</v>
      </c>
      <c r="P62" s="35"/>
      <c r="AD62" s="35"/>
    </row>
    <row r="63" spans="2:30" x14ac:dyDescent="0.3">
      <c r="B63" s="40">
        <v>44228</v>
      </c>
      <c r="P63" s="35"/>
      <c r="AD63" s="35"/>
    </row>
    <row r="64" spans="2:30" x14ac:dyDescent="0.3">
      <c r="B64" s="40">
        <v>44256</v>
      </c>
      <c r="P64" s="35"/>
      <c r="AD64" s="35"/>
    </row>
    <row r="65" spans="2:30" x14ac:dyDescent="0.3">
      <c r="B65" s="40">
        <v>44287</v>
      </c>
      <c r="P65" s="35"/>
      <c r="AD65" s="35"/>
    </row>
    <row r="66" spans="2:30" x14ac:dyDescent="0.3">
      <c r="B66" s="40">
        <v>44317</v>
      </c>
      <c r="P66" s="35"/>
      <c r="AD66" s="35"/>
    </row>
    <row r="67" spans="2:30" x14ac:dyDescent="0.3">
      <c r="B67" s="40">
        <v>44348</v>
      </c>
      <c r="P67" s="35"/>
      <c r="AD67" s="35"/>
    </row>
    <row r="68" spans="2:30" x14ac:dyDescent="0.3">
      <c r="B68" s="40">
        <v>44378</v>
      </c>
      <c r="P68" s="35"/>
      <c r="AD68" s="35"/>
    </row>
    <row r="69" spans="2:30" x14ac:dyDescent="0.3">
      <c r="B69" s="40">
        <v>44409</v>
      </c>
      <c r="P69" s="35"/>
      <c r="AD69" s="35"/>
    </row>
    <row r="70" spans="2:30" x14ac:dyDescent="0.3">
      <c r="B70" s="40">
        <v>44440</v>
      </c>
      <c r="P70" s="35"/>
      <c r="AD70" s="35"/>
    </row>
    <row r="71" spans="2:30" x14ac:dyDescent="0.3">
      <c r="B71" s="40">
        <v>44470</v>
      </c>
      <c r="P71" s="35"/>
      <c r="AD71" s="35"/>
    </row>
    <row r="72" spans="2:30" x14ac:dyDescent="0.3">
      <c r="B72" s="40">
        <v>44501</v>
      </c>
      <c r="P72" s="35"/>
      <c r="AD72" s="35"/>
    </row>
    <row r="73" spans="2:30" x14ac:dyDescent="0.3">
      <c r="B73" s="40">
        <v>44531</v>
      </c>
      <c r="P73" s="35"/>
      <c r="AD73" s="35"/>
    </row>
    <row r="74" spans="2:30" x14ac:dyDescent="0.3">
      <c r="B74" s="40">
        <v>44562</v>
      </c>
      <c r="P74" s="35"/>
      <c r="AD74" s="35"/>
    </row>
    <row r="75" spans="2:30" x14ac:dyDescent="0.3">
      <c r="B75" s="40">
        <v>44593</v>
      </c>
      <c r="P75" s="35"/>
      <c r="AD75" s="35"/>
    </row>
    <row r="76" spans="2:30" x14ac:dyDescent="0.3">
      <c r="B76" s="40">
        <v>44621</v>
      </c>
      <c r="P76" s="35"/>
      <c r="AD76" s="35"/>
    </row>
    <row r="77" spans="2:30" x14ac:dyDescent="0.3">
      <c r="B77" s="40">
        <v>44652</v>
      </c>
      <c r="P77" s="35"/>
      <c r="AD77" s="35"/>
    </row>
    <row r="78" spans="2:30" x14ac:dyDescent="0.3">
      <c r="B78" s="40">
        <v>44682</v>
      </c>
      <c r="P78" s="35"/>
      <c r="AD78" s="35"/>
    </row>
    <row r="79" spans="2:30" x14ac:dyDescent="0.3">
      <c r="B79" s="40">
        <v>44713</v>
      </c>
      <c r="P79" s="35"/>
      <c r="AD79" s="35"/>
    </row>
    <row r="80" spans="2:30" x14ac:dyDescent="0.3">
      <c r="B80" s="40">
        <v>44743</v>
      </c>
      <c r="P80" s="35"/>
      <c r="AD80" s="35"/>
    </row>
    <row r="81" spans="2:30" x14ac:dyDescent="0.3">
      <c r="B81" s="40">
        <v>44774</v>
      </c>
      <c r="P81" s="35"/>
      <c r="AD81" s="35"/>
    </row>
    <row r="82" spans="2:30" x14ac:dyDescent="0.3">
      <c r="B82" s="40">
        <v>44805</v>
      </c>
      <c r="P82" s="35"/>
      <c r="AD82" s="35"/>
    </row>
    <row r="83" spans="2:30" x14ac:dyDescent="0.3">
      <c r="B83" s="40">
        <v>44835</v>
      </c>
      <c r="P83" s="35"/>
      <c r="AD83" s="35"/>
    </row>
    <row r="84" spans="2:30" x14ac:dyDescent="0.3">
      <c r="B84" s="40">
        <v>44866</v>
      </c>
      <c r="P84" s="35"/>
      <c r="AD84" s="35"/>
    </row>
    <row r="85" spans="2:30" x14ac:dyDescent="0.3">
      <c r="B85" s="40">
        <v>44896</v>
      </c>
      <c r="P85" s="35"/>
      <c r="AD85" s="35"/>
    </row>
    <row r="86" spans="2:30" x14ac:dyDescent="0.3">
      <c r="B86" s="40">
        <v>44927</v>
      </c>
      <c r="P86" s="35"/>
      <c r="AD86" s="35"/>
    </row>
    <row r="87" spans="2:30" x14ac:dyDescent="0.3">
      <c r="B87" s="40">
        <v>44958</v>
      </c>
      <c r="P87" s="35"/>
      <c r="AD87" s="35"/>
    </row>
    <row r="88" spans="2:30" x14ac:dyDescent="0.3">
      <c r="B88" s="40">
        <v>44986</v>
      </c>
      <c r="P88" s="35"/>
      <c r="AD88" s="35"/>
    </row>
    <row r="89" spans="2:30" x14ac:dyDescent="0.3">
      <c r="B89" s="40">
        <v>45017</v>
      </c>
      <c r="P89" s="35"/>
      <c r="AD89" s="35"/>
    </row>
    <row r="90" spans="2:30" x14ac:dyDescent="0.3">
      <c r="B90" s="40">
        <v>45047</v>
      </c>
      <c r="P90" s="35"/>
      <c r="AD90" s="35"/>
    </row>
    <row r="91" spans="2:30" x14ac:dyDescent="0.3">
      <c r="B91" s="40">
        <v>45078</v>
      </c>
      <c r="P91" s="35"/>
      <c r="AD91" s="35"/>
    </row>
    <row r="92" spans="2:30" x14ac:dyDescent="0.3">
      <c r="B92" s="40">
        <v>45108</v>
      </c>
      <c r="P92" s="35"/>
      <c r="AD92" s="35"/>
    </row>
    <row r="93" spans="2:30" x14ac:dyDescent="0.3">
      <c r="B93" s="40">
        <v>45139</v>
      </c>
      <c r="P93" s="35"/>
      <c r="AD93" s="35"/>
    </row>
    <row r="94" spans="2:30" x14ac:dyDescent="0.3">
      <c r="B94" s="40">
        <v>45170</v>
      </c>
      <c r="P94" s="35"/>
      <c r="AD94" s="35"/>
    </row>
    <row r="95" spans="2:30" x14ac:dyDescent="0.3">
      <c r="B95" s="40">
        <v>45200</v>
      </c>
      <c r="P95" s="35"/>
      <c r="AD95" s="35"/>
    </row>
    <row r="96" spans="2:30" x14ac:dyDescent="0.3">
      <c r="B96" s="40">
        <v>45231</v>
      </c>
      <c r="P96" s="35"/>
      <c r="AD96" s="35"/>
    </row>
    <row r="97" spans="2:30" x14ac:dyDescent="0.3">
      <c r="B97" s="40">
        <v>45261</v>
      </c>
      <c r="P97" s="35"/>
      <c r="AD97" s="35"/>
    </row>
    <row r="98" spans="2:30" x14ac:dyDescent="0.3">
      <c r="B98" s="40">
        <v>45292</v>
      </c>
      <c r="P98" s="35"/>
      <c r="AD98" s="35"/>
    </row>
    <row r="99" spans="2:30" x14ac:dyDescent="0.3">
      <c r="B99" s="40">
        <v>45323</v>
      </c>
      <c r="P99" s="35"/>
      <c r="AD99" s="35"/>
    </row>
    <row r="100" spans="2:30" x14ac:dyDescent="0.3">
      <c r="B100" s="40">
        <v>45352</v>
      </c>
      <c r="P100" s="35"/>
      <c r="AD100" s="35"/>
    </row>
    <row r="101" spans="2:30" x14ac:dyDescent="0.3">
      <c r="B101" s="40">
        <v>45383</v>
      </c>
      <c r="P101" s="35"/>
      <c r="AD101" s="35"/>
    </row>
    <row r="102" spans="2:30" x14ac:dyDescent="0.3">
      <c r="B102" s="40">
        <v>45413</v>
      </c>
      <c r="P102" s="35"/>
      <c r="AD102" s="35"/>
    </row>
    <row r="103" spans="2:30" x14ac:dyDescent="0.3">
      <c r="B103" s="40">
        <v>45444</v>
      </c>
      <c r="P103" s="35"/>
      <c r="AD103" s="35"/>
    </row>
    <row r="104" spans="2:30" x14ac:dyDescent="0.3">
      <c r="B104" s="40">
        <v>45474</v>
      </c>
      <c r="P104" s="35"/>
      <c r="AD104" s="35"/>
    </row>
    <row r="105" spans="2:30" x14ac:dyDescent="0.3">
      <c r="B105" s="40">
        <v>45505</v>
      </c>
      <c r="P105" s="35"/>
      <c r="AD105" s="35"/>
    </row>
    <row r="106" spans="2:30" x14ac:dyDescent="0.3">
      <c r="B106" s="40">
        <v>45536</v>
      </c>
      <c r="P106" s="35"/>
      <c r="AD106" s="35"/>
    </row>
    <row r="107" spans="2:30" x14ac:dyDescent="0.3">
      <c r="B107" s="40">
        <v>45566</v>
      </c>
      <c r="P107" s="35"/>
      <c r="AD107" s="35"/>
    </row>
    <row r="108" spans="2:30" x14ac:dyDescent="0.3">
      <c r="B108" s="40">
        <v>45597</v>
      </c>
      <c r="P108" s="35"/>
      <c r="AD108" s="35"/>
    </row>
    <row r="109" spans="2:30" x14ac:dyDescent="0.3">
      <c r="B109" s="40">
        <v>45627</v>
      </c>
      <c r="P109" s="35"/>
      <c r="AD109" s="35"/>
    </row>
    <row r="110" spans="2:30" x14ac:dyDescent="0.3">
      <c r="B110" s="40">
        <v>45658</v>
      </c>
      <c r="P110" s="35"/>
      <c r="AD110" s="35"/>
    </row>
    <row r="111" spans="2:30" x14ac:dyDescent="0.3">
      <c r="B111" s="40">
        <v>45689</v>
      </c>
      <c r="P111" s="35"/>
      <c r="AD111" s="35"/>
    </row>
    <row r="112" spans="2:30" x14ac:dyDescent="0.3">
      <c r="B112" s="40">
        <v>45717</v>
      </c>
      <c r="P112" s="35"/>
      <c r="AD112" s="35"/>
    </row>
    <row r="113" spans="2:30" x14ac:dyDescent="0.3">
      <c r="B113" s="40">
        <v>45748</v>
      </c>
      <c r="P113" s="35"/>
      <c r="AD113" s="35"/>
    </row>
    <row r="114" spans="2:30" x14ac:dyDescent="0.3">
      <c r="B114" s="40">
        <v>45778</v>
      </c>
      <c r="P114" s="35"/>
      <c r="AD114" s="35"/>
    </row>
    <row r="115" spans="2:30" x14ac:dyDescent="0.3">
      <c r="B115" s="40">
        <v>45809</v>
      </c>
      <c r="P115" s="35"/>
      <c r="AD115" s="35"/>
    </row>
    <row r="116" spans="2:30" x14ac:dyDescent="0.3">
      <c r="B116" s="40">
        <v>45839</v>
      </c>
      <c r="P116" s="35"/>
      <c r="AD116" s="35"/>
    </row>
    <row r="117" spans="2:30" x14ac:dyDescent="0.3">
      <c r="B117" s="40">
        <v>45870</v>
      </c>
      <c r="P117" s="35"/>
      <c r="AD117" s="35"/>
    </row>
    <row r="118" spans="2:30" x14ac:dyDescent="0.3">
      <c r="B118" s="40">
        <v>45901</v>
      </c>
      <c r="P118" s="35"/>
      <c r="AD118" s="35"/>
    </row>
    <row r="119" spans="2:30" x14ac:dyDescent="0.3">
      <c r="B119" s="40">
        <v>45931</v>
      </c>
      <c r="P119" s="35"/>
      <c r="AD119" s="35"/>
    </row>
    <row r="120" spans="2:30" x14ac:dyDescent="0.3">
      <c r="B120" s="40">
        <v>45962</v>
      </c>
      <c r="P120" s="35"/>
      <c r="AD120" s="35"/>
    </row>
    <row r="121" spans="2:30" x14ac:dyDescent="0.3">
      <c r="B121" s="40">
        <v>45992</v>
      </c>
      <c r="P121" s="35"/>
      <c r="AD121" s="35"/>
    </row>
    <row r="122" spans="2:30" x14ac:dyDescent="0.3">
      <c r="B122" s="40">
        <v>46023</v>
      </c>
      <c r="P122" s="35"/>
      <c r="AD122" s="35"/>
    </row>
    <row r="123" spans="2:30" x14ac:dyDescent="0.3">
      <c r="B123" s="40">
        <v>46054</v>
      </c>
      <c r="P123" s="35"/>
      <c r="AD123" s="35"/>
    </row>
    <row r="124" spans="2:30" x14ac:dyDescent="0.3">
      <c r="B124" s="40">
        <v>46082</v>
      </c>
      <c r="P124" s="35"/>
      <c r="AD124" s="35"/>
    </row>
    <row r="125" spans="2:30" x14ac:dyDescent="0.3">
      <c r="B125" s="40">
        <v>46113</v>
      </c>
      <c r="P125" s="35"/>
      <c r="AD125" s="35"/>
    </row>
    <row r="126" spans="2:30" x14ac:dyDescent="0.3">
      <c r="B126" s="40">
        <v>46143</v>
      </c>
      <c r="P126" s="35"/>
      <c r="AD126" s="35"/>
    </row>
    <row r="127" spans="2:30" x14ac:dyDescent="0.3">
      <c r="B127" s="40">
        <v>46174</v>
      </c>
      <c r="P127" s="35"/>
      <c r="AD127" s="35"/>
    </row>
    <row r="128" spans="2:30" x14ac:dyDescent="0.3">
      <c r="B128" s="40">
        <v>46204</v>
      </c>
      <c r="P128" s="35"/>
      <c r="AD128" s="35"/>
    </row>
    <row r="129" spans="2:30" x14ac:dyDescent="0.3">
      <c r="B129" s="40">
        <v>46235</v>
      </c>
      <c r="P129" s="35"/>
      <c r="AD129" s="35"/>
    </row>
    <row r="130" spans="2:30" x14ac:dyDescent="0.3">
      <c r="B130" s="40">
        <v>46266</v>
      </c>
      <c r="P130" s="35"/>
      <c r="AD130" s="35"/>
    </row>
    <row r="131" spans="2:30" x14ac:dyDescent="0.3">
      <c r="B131" s="40">
        <v>46296</v>
      </c>
      <c r="P131" s="35"/>
      <c r="AD131" s="35"/>
    </row>
    <row r="132" spans="2:30" x14ac:dyDescent="0.3">
      <c r="B132" s="40">
        <v>46327</v>
      </c>
      <c r="P132" s="35"/>
      <c r="AD132" s="35"/>
    </row>
    <row r="133" spans="2:30" x14ac:dyDescent="0.3">
      <c r="B133" s="40">
        <v>46357</v>
      </c>
      <c r="P133" s="35"/>
      <c r="AD133" s="35"/>
    </row>
    <row r="134" spans="2:30" x14ac:dyDescent="0.3">
      <c r="B134" s="40">
        <v>46388</v>
      </c>
      <c r="P134" s="35"/>
      <c r="AD134" s="35"/>
    </row>
    <row r="135" spans="2:30" x14ac:dyDescent="0.3">
      <c r="B135" s="40">
        <v>46419</v>
      </c>
      <c r="P135" s="35"/>
      <c r="AD135" s="35"/>
    </row>
    <row r="136" spans="2:30" x14ac:dyDescent="0.3">
      <c r="B136" s="40">
        <v>46447</v>
      </c>
      <c r="P136" s="35"/>
      <c r="AD136" s="35"/>
    </row>
    <row r="137" spans="2:30" x14ac:dyDescent="0.3">
      <c r="B137" s="40">
        <v>46478</v>
      </c>
      <c r="P137" s="35"/>
      <c r="AD137" s="35"/>
    </row>
    <row r="138" spans="2:30" x14ac:dyDescent="0.3">
      <c r="B138" s="40">
        <v>46508</v>
      </c>
      <c r="P138" s="35"/>
      <c r="AD138" s="35"/>
    </row>
    <row r="139" spans="2:30" x14ac:dyDescent="0.3">
      <c r="B139" s="40">
        <v>46539</v>
      </c>
      <c r="P139" s="35"/>
      <c r="AD139" s="35"/>
    </row>
    <row r="140" spans="2:30" x14ac:dyDescent="0.3">
      <c r="B140" s="40">
        <v>46569</v>
      </c>
      <c r="P140" s="35"/>
      <c r="AD140" s="35"/>
    </row>
    <row r="141" spans="2:30" x14ac:dyDescent="0.3">
      <c r="B141" s="40">
        <v>46600</v>
      </c>
      <c r="P141" s="35"/>
      <c r="AD141" s="35"/>
    </row>
    <row r="142" spans="2:30" x14ac:dyDescent="0.3">
      <c r="B142" s="40">
        <v>46631</v>
      </c>
      <c r="P142" s="35"/>
      <c r="AD142" s="35"/>
    </row>
    <row r="143" spans="2:30" x14ac:dyDescent="0.3">
      <c r="B143" s="40">
        <v>46661</v>
      </c>
      <c r="P143" s="35"/>
      <c r="AD143" s="35"/>
    </row>
    <row r="144" spans="2:30" x14ac:dyDescent="0.3">
      <c r="B144" s="40">
        <v>46692</v>
      </c>
      <c r="P144" s="35"/>
      <c r="AD144" s="35"/>
    </row>
    <row r="145" spans="2:30" x14ac:dyDescent="0.3">
      <c r="B145" s="40">
        <v>46722</v>
      </c>
      <c r="P145" s="35"/>
      <c r="AD145" s="35"/>
    </row>
    <row r="146" spans="2:30" x14ac:dyDescent="0.3">
      <c r="B146" s="40">
        <v>46753</v>
      </c>
      <c r="P146" s="35"/>
      <c r="AD146" s="35"/>
    </row>
    <row r="147" spans="2:30" x14ac:dyDescent="0.3">
      <c r="B147" s="40">
        <v>46784</v>
      </c>
      <c r="P147" s="35"/>
      <c r="AD147" s="35"/>
    </row>
    <row r="148" spans="2:30" x14ac:dyDescent="0.3">
      <c r="B148" s="40">
        <v>46813</v>
      </c>
      <c r="P148" s="35"/>
      <c r="AD148" s="35"/>
    </row>
    <row r="149" spans="2:30" x14ac:dyDescent="0.3">
      <c r="B149" s="40">
        <v>46844</v>
      </c>
      <c r="P149" s="35"/>
      <c r="AD149" s="35"/>
    </row>
    <row r="150" spans="2:30" x14ac:dyDescent="0.3">
      <c r="B150" s="40">
        <v>46874</v>
      </c>
      <c r="P150" s="35"/>
      <c r="AD150" s="35"/>
    </row>
    <row r="151" spans="2:30" x14ac:dyDescent="0.3">
      <c r="B151" s="40">
        <v>46905</v>
      </c>
      <c r="P151" s="35"/>
      <c r="AD151" s="35"/>
    </row>
    <row r="152" spans="2:30" x14ac:dyDescent="0.3">
      <c r="B152" s="40">
        <v>46935</v>
      </c>
      <c r="P152" s="35"/>
      <c r="AD152" s="35"/>
    </row>
    <row r="153" spans="2:30" x14ac:dyDescent="0.3">
      <c r="B153" s="40">
        <v>46966</v>
      </c>
      <c r="P153" s="35"/>
      <c r="AD153" s="35"/>
    </row>
    <row r="154" spans="2:30" x14ac:dyDescent="0.3">
      <c r="B154" s="40">
        <v>46997</v>
      </c>
      <c r="P154" s="35"/>
      <c r="AD154" s="35"/>
    </row>
    <row r="155" spans="2:30" x14ac:dyDescent="0.3">
      <c r="B155" s="40">
        <v>47027</v>
      </c>
      <c r="P155" s="35"/>
      <c r="AD155" s="35"/>
    </row>
    <row r="156" spans="2:30" x14ac:dyDescent="0.3">
      <c r="B156" s="40">
        <v>47058</v>
      </c>
      <c r="P156" s="35"/>
      <c r="AD156" s="35"/>
    </row>
    <row r="157" spans="2:30" x14ac:dyDescent="0.3">
      <c r="B157" s="40">
        <v>47088</v>
      </c>
      <c r="P157" s="35"/>
      <c r="AD157" s="35"/>
    </row>
    <row r="158" spans="2:30" x14ac:dyDescent="0.3">
      <c r="B158" s="40">
        <v>47119</v>
      </c>
      <c r="P158" s="35"/>
      <c r="AD158" s="35"/>
    </row>
    <row r="159" spans="2:30" x14ac:dyDescent="0.3">
      <c r="B159" s="40">
        <v>47150</v>
      </c>
      <c r="P159" s="35"/>
      <c r="AD159" s="35"/>
    </row>
    <row r="160" spans="2:30" x14ac:dyDescent="0.3">
      <c r="B160" s="40">
        <v>47178</v>
      </c>
      <c r="P160" s="35"/>
      <c r="AD160" s="35"/>
    </row>
    <row r="161" spans="2:30" x14ac:dyDescent="0.3">
      <c r="B161" s="40">
        <v>47209</v>
      </c>
      <c r="P161" s="35"/>
      <c r="AD161" s="35"/>
    </row>
    <row r="162" spans="2:30" x14ac:dyDescent="0.3">
      <c r="B162" s="40">
        <v>47239</v>
      </c>
      <c r="P162" s="35"/>
      <c r="AD162" s="35"/>
    </row>
    <row r="163" spans="2:30" x14ac:dyDescent="0.3">
      <c r="B163" s="40">
        <v>47270</v>
      </c>
      <c r="P163" s="35"/>
      <c r="AD163" s="35"/>
    </row>
    <row r="164" spans="2:30" x14ac:dyDescent="0.3">
      <c r="B164" s="40">
        <v>47300</v>
      </c>
      <c r="P164" s="35"/>
      <c r="AD164" s="35"/>
    </row>
    <row r="165" spans="2:30" x14ac:dyDescent="0.3">
      <c r="B165" s="40">
        <v>47331</v>
      </c>
      <c r="P165" s="35"/>
      <c r="AD165" s="35"/>
    </row>
    <row r="166" spans="2:30" x14ac:dyDescent="0.3">
      <c r="B166" s="40">
        <v>47362</v>
      </c>
      <c r="P166" s="35"/>
      <c r="AD166" s="35"/>
    </row>
    <row r="167" spans="2:30" x14ac:dyDescent="0.3">
      <c r="B167" s="40">
        <v>47392</v>
      </c>
      <c r="P167" s="35"/>
      <c r="AD167" s="35"/>
    </row>
    <row r="168" spans="2:30" x14ac:dyDescent="0.3">
      <c r="B168" s="40">
        <v>47423</v>
      </c>
      <c r="P168" s="35"/>
      <c r="AD168" s="35"/>
    </row>
    <row r="169" spans="2:30" x14ac:dyDescent="0.3">
      <c r="B169" s="40">
        <v>47453</v>
      </c>
      <c r="P169" s="35"/>
      <c r="AD169" s="35"/>
    </row>
    <row r="170" spans="2:30" x14ac:dyDescent="0.3">
      <c r="B170" s="40">
        <v>47484</v>
      </c>
      <c r="P170" s="35"/>
      <c r="AD170" s="35"/>
    </row>
    <row r="171" spans="2:30" x14ac:dyDescent="0.3">
      <c r="B171" s="40">
        <v>47515</v>
      </c>
      <c r="P171" s="35"/>
      <c r="AD171" s="35"/>
    </row>
    <row r="172" spans="2:30" x14ac:dyDescent="0.3">
      <c r="B172" s="40">
        <v>47543</v>
      </c>
      <c r="P172" s="35"/>
      <c r="AD172" s="35"/>
    </row>
    <row r="173" spans="2:30" x14ac:dyDescent="0.3">
      <c r="B173" s="40">
        <v>47574</v>
      </c>
      <c r="P173" s="35"/>
      <c r="AD173" s="35"/>
    </row>
    <row r="174" spans="2:30" x14ac:dyDescent="0.3">
      <c r="B174" s="40">
        <v>47604</v>
      </c>
      <c r="P174" s="35"/>
      <c r="AD174" s="35"/>
    </row>
    <row r="175" spans="2:30" x14ac:dyDescent="0.3">
      <c r="B175" s="40">
        <v>47635</v>
      </c>
      <c r="P175" s="35"/>
      <c r="AD175" s="35"/>
    </row>
    <row r="176" spans="2:30" x14ac:dyDescent="0.3">
      <c r="B176" s="40">
        <v>47665</v>
      </c>
      <c r="P176" s="35"/>
      <c r="AD176" s="35"/>
    </row>
    <row r="177" spans="2:30" x14ac:dyDescent="0.3">
      <c r="B177" s="40">
        <v>47696</v>
      </c>
      <c r="P177" s="35"/>
      <c r="AD177" s="35"/>
    </row>
    <row r="178" spans="2:30" x14ac:dyDescent="0.3">
      <c r="B178" s="40">
        <v>47727</v>
      </c>
      <c r="P178" s="35"/>
      <c r="AD178" s="35"/>
    </row>
    <row r="179" spans="2:30" x14ac:dyDescent="0.3">
      <c r="B179" s="40">
        <v>47757</v>
      </c>
      <c r="P179" s="35"/>
      <c r="AD179" s="35"/>
    </row>
    <row r="180" spans="2:30" x14ac:dyDescent="0.3">
      <c r="B180" s="40">
        <v>47788</v>
      </c>
      <c r="P180" s="35"/>
      <c r="AD180" s="35"/>
    </row>
    <row r="181" spans="2:30" x14ac:dyDescent="0.3">
      <c r="B181" s="40">
        <v>47818</v>
      </c>
      <c r="P181" s="35"/>
      <c r="AD181" s="35"/>
    </row>
    <row r="182" spans="2:30" x14ac:dyDescent="0.3">
      <c r="B182" s="40">
        <v>47849</v>
      </c>
      <c r="P182" s="35"/>
      <c r="AD182" s="35"/>
    </row>
    <row r="183" spans="2:30" x14ac:dyDescent="0.3">
      <c r="B183" s="40">
        <v>47880</v>
      </c>
      <c r="P183" s="35"/>
      <c r="AD183" s="35"/>
    </row>
    <row r="184" spans="2:30" x14ac:dyDescent="0.3">
      <c r="B184" s="40">
        <v>47908</v>
      </c>
      <c r="P184" s="35"/>
      <c r="AD184" s="35"/>
    </row>
    <row r="185" spans="2:30" x14ac:dyDescent="0.3">
      <c r="B185" s="40">
        <v>47939</v>
      </c>
      <c r="P185" s="35"/>
      <c r="AD185" s="35"/>
    </row>
    <row r="186" spans="2:30" x14ac:dyDescent="0.3">
      <c r="B186" s="40">
        <v>47969</v>
      </c>
      <c r="P186" s="35"/>
      <c r="AD186" s="35"/>
    </row>
    <row r="187" spans="2:30" x14ac:dyDescent="0.3">
      <c r="B187" s="40">
        <v>48000</v>
      </c>
      <c r="P187" s="35"/>
      <c r="AD187" s="35"/>
    </row>
    <row r="188" spans="2:30" x14ac:dyDescent="0.3">
      <c r="B188" s="40">
        <v>48030</v>
      </c>
      <c r="P188" s="35"/>
      <c r="AD188" s="35"/>
    </row>
    <row r="189" spans="2:30" x14ac:dyDescent="0.3">
      <c r="B189" s="40">
        <v>48061</v>
      </c>
      <c r="P189" s="35"/>
      <c r="AD189" s="35"/>
    </row>
    <row r="190" spans="2:30" x14ac:dyDescent="0.3">
      <c r="B190" s="40">
        <v>48092</v>
      </c>
      <c r="P190" s="35"/>
      <c r="AD190" s="35"/>
    </row>
    <row r="191" spans="2:30" x14ac:dyDescent="0.3">
      <c r="B191" s="40">
        <v>48122</v>
      </c>
      <c r="P191" s="35"/>
      <c r="AD191" s="35"/>
    </row>
    <row r="192" spans="2:30" x14ac:dyDescent="0.3">
      <c r="B192" s="40">
        <v>48153</v>
      </c>
      <c r="P192" s="35"/>
      <c r="AD192" s="35"/>
    </row>
    <row r="193" spans="2:30" x14ac:dyDescent="0.3">
      <c r="B193" s="40">
        <v>48183</v>
      </c>
      <c r="P193" s="35"/>
      <c r="AD193" s="35"/>
    </row>
    <row r="194" spans="2:30" x14ac:dyDescent="0.3">
      <c r="B194" s="40">
        <v>48214</v>
      </c>
      <c r="P194" s="35"/>
      <c r="AD194" s="35"/>
    </row>
    <row r="195" spans="2:30" x14ac:dyDescent="0.3">
      <c r="B195" s="40">
        <v>48245</v>
      </c>
      <c r="P195" s="35"/>
      <c r="AD195" s="35"/>
    </row>
    <row r="196" spans="2:30" x14ac:dyDescent="0.3">
      <c r="B196" s="40">
        <v>48274</v>
      </c>
      <c r="P196" s="35"/>
      <c r="AD196" s="35"/>
    </row>
    <row r="197" spans="2:30" x14ac:dyDescent="0.3">
      <c r="B197" s="40">
        <v>48305</v>
      </c>
      <c r="P197" s="35"/>
      <c r="AD197" s="35"/>
    </row>
    <row r="198" spans="2:30" x14ac:dyDescent="0.3">
      <c r="B198" s="40">
        <v>48335</v>
      </c>
      <c r="P198" s="35"/>
      <c r="AD198" s="35"/>
    </row>
    <row r="199" spans="2:30" x14ac:dyDescent="0.3">
      <c r="B199" s="40">
        <v>48366</v>
      </c>
      <c r="P199" s="35"/>
      <c r="AD199" s="35"/>
    </row>
    <row r="200" spans="2:30" x14ac:dyDescent="0.3">
      <c r="B200" s="40">
        <v>48396</v>
      </c>
      <c r="P200" s="35"/>
      <c r="AD200" s="35"/>
    </row>
    <row r="201" spans="2:30" x14ac:dyDescent="0.3">
      <c r="B201" s="40">
        <v>48427</v>
      </c>
      <c r="P201" s="35"/>
      <c r="AD201" s="35"/>
    </row>
    <row r="202" spans="2:30" x14ac:dyDescent="0.3">
      <c r="B202" s="40">
        <v>48458</v>
      </c>
      <c r="P202" s="35"/>
      <c r="AD202" s="35"/>
    </row>
    <row r="203" spans="2:30" x14ac:dyDescent="0.3">
      <c r="B203" s="40">
        <v>48488</v>
      </c>
      <c r="P203" s="35"/>
      <c r="AD203" s="35"/>
    </row>
    <row r="204" spans="2:30" x14ac:dyDescent="0.3">
      <c r="B204" s="40">
        <v>48519</v>
      </c>
      <c r="P204" s="35"/>
      <c r="AD204" s="35"/>
    </row>
    <row r="205" spans="2:30" x14ac:dyDescent="0.3">
      <c r="B205" s="40">
        <v>48549</v>
      </c>
      <c r="P205" s="35"/>
      <c r="AD205" s="35"/>
    </row>
    <row r="206" spans="2:30" x14ac:dyDescent="0.3">
      <c r="B206" s="40">
        <v>48580</v>
      </c>
      <c r="P206" s="35"/>
      <c r="AD206" s="35"/>
    </row>
    <row r="207" spans="2:30" x14ac:dyDescent="0.3">
      <c r="B207" s="40">
        <v>48611</v>
      </c>
      <c r="P207" s="35"/>
      <c r="AD207" s="35"/>
    </row>
    <row r="208" spans="2:30" x14ac:dyDescent="0.3">
      <c r="B208" s="40">
        <v>48639</v>
      </c>
      <c r="P208" s="35"/>
      <c r="AD208" s="35"/>
    </row>
    <row r="209" spans="2:30" x14ac:dyDescent="0.3">
      <c r="B209" s="40">
        <v>48670</v>
      </c>
      <c r="P209" s="35"/>
      <c r="AD209" s="35"/>
    </row>
    <row r="210" spans="2:30" x14ac:dyDescent="0.3">
      <c r="B210" s="40">
        <v>48700</v>
      </c>
      <c r="P210" s="35"/>
      <c r="AD210" s="35"/>
    </row>
    <row r="211" spans="2:30" x14ac:dyDescent="0.3">
      <c r="B211" s="40">
        <v>48731</v>
      </c>
      <c r="P211" s="35"/>
      <c r="AD211" s="35"/>
    </row>
    <row r="212" spans="2:30" x14ac:dyDescent="0.3">
      <c r="B212" s="40">
        <v>48761</v>
      </c>
      <c r="P212" s="35"/>
      <c r="AD212" s="35"/>
    </row>
    <row r="213" spans="2:30" x14ac:dyDescent="0.3">
      <c r="B213" s="40">
        <v>48792</v>
      </c>
      <c r="P213" s="35"/>
      <c r="AD213" s="35"/>
    </row>
    <row r="214" spans="2:30" x14ac:dyDescent="0.3">
      <c r="B214" s="40">
        <v>48823</v>
      </c>
      <c r="P214" s="35"/>
      <c r="AD214" s="35"/>
    </row>
    <row r="215" spans="2:30" x14ac:dyDescent="0.3">
      <c r="B215" s="40">
        <v>48853</v>
      </c>
      <c r="P215" s="35"/>
      <c r="AD215" s="35"/>
    </row>
    <row r="216" spans="2:30" x14ac:dyDescent="0.3">
      <c r="B216" s="40">
        <v>48884</v>
      </c>
      <c r="P216" s="35"/>
      <c r="AD216" s="35"/>
    </row>
    <row r="217" spans="2:30" x14ac:dyDescent="0.3">
      <c r="B217" s="40">
        <v>48914</v>
      </c>
      <c r="P217" s="35"/>
      <c r="AD217" s="35"/>
    </row>
    <row r="218" spans="2:30" x14ac:dyDescent="0.3">
      <c r="B218" s="40">
        <v>48945</v>
      </c>
      <c r="P218" s="35"/>
      <c r="AD218" s="35"/>
    </row>
    <row r="219" spans="2:30" x14ac:dyDescent="0.3">
      <c r="B219" s="40">
        <v>48976</v>
      </c>
      <c r="P219" s="35"/>
      <c r="AD219" s="35"/>
    </row>
    <row r="220" spans="2:30" x14ac:dyDescent="0.3">
      <c r="B220" s="40">
        <v>49004</v>
      </c>
      <c r="P220" s="35"/>
      <c r="AD220" s="35"/>
    </row>
    <row r="221" spans="2:30" x14ac:dyDescent="0.3">
      <c r="B221" s="40">
        <v>49035</v>
      </c>
      <c r="P221" s="35"/>
      <c r="AD221" s="35"/>
    </row>
    <row r="222" spans="2:30" x14ac:dyDescent="0.3">
      <c r="B222" s="40">
        <v>49065</v>
      </c>
      <c r="P222" s="35"/>
      <c r="AD222" s="35"/>
    </row>
    <row r="223" spans="2:30" x14ac:dyDescent="0.3">
      <c r="B223" s="40">
        <v>49096</v>
      </c>
      <c r="P223" s="35"/>
      <c r="AD223" s="35"/>
    </row>
    <row r="224" spans="2:30" x14ac:dyDescent="0.3">
      <c r="B224" s="40">
        <v>49126</v>
      </c>
      <c r="P224" s="35"/>
      <c r="AD224" s="35"/>
    </row>
    <row r="225" spans="2:30" x14ac:dyDescent="0.3">
      <c r="B225" s="40">
        <v>49157</v>
      </c>
      <c r="P225" s="35"/>
      <c r="AD225" s="35"/>
    </row>
    <row r="226" spans="2:30" x14ac:dyDescent="0.3">
      <c r="B226" s="40">
        <v>49188</v>
      </c>
      <c r="P226" s="35"/>
      <c r="AD226" s="35"/>
    </row>
    <row r="227" spans="2:30" x14ac:dyDescent="0.3">
      <c r="B227" s="40">
        <v>49218</v>
      </c>
      <c r="P227" s="35"/>
      <c r="AD227" s="35"/>
    </row>
    <row r="228" spans="2:30" x14ac:dyDescent="0.3">
      <c r="B228" s="40">
        <v>49249</v>
      </c>
      <c r="P228" s="35"/>
      <c r="AD228" s="35"/>
    </row>
    <row r="229" spans="2:30" x14ac:dyDescent="0.3">
      <c r="B229" s="40">
        <v>49279</v>
      </c>
      <c r="P229" s="35"/>
      <c r="AD229" s="35"/>
    </row>
    <row r="230" spans="2:30" x14ac:dyDescent="0.3">
      <c r="B230" s="40">
        <v>49310</v>
      </c>
      <c r="P230" s="35"/>
      <c r="AD230" s="35"/>
    </row>
    <row r="231" spans="2:30" x14ac:dyDescent="0.3">
      <c r="B231" s="40">
        <v>49341</v>
      </c>
      <c r="P231" s="35"/>
      <c r="AD231" s="35"/>
    </row>
    <row r="232" spans="2:30" x14ac:dyDescent="0.3">
      <c r="B232" s="40">
        <v>49369</v>
      </c>
      <c r="P232" s="35"/>
      <c r="AD232" s="35"/>
    </row>
    <row r="233" spans="2:30" x14ac:dyDescent="0.3">
      <c r="B233" s="40">
        <v>49400</v>
      </c>
      <c r="P233" s="35"/>
      <c r="AD233" s="35"/>
    </row>
    <row r="234" spans="2:30" x14ac:dyDescent="0.3">
      <c r="B234" s="40">
        <v>49430</v>
      </c>
      <c r="P234" s="35"/>
      <c r="AD234" s="35"/>
    </row>
    <row r="235" spans="2:30" x14ac:dyDescent="0.3">
      <c r="B235" s="40">
        <v>49461</v>
      </c>
      <c r="P235" s="35"/>
      <c r="AD235" s="3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B14" sqref="B14"/>
    </sheetView>
  </sheetViews>
  <sheetFormatPr baseColWidth="10" defaultColWidth="11.5546875" defaultRowHeight="11.4" customHeight="1" x14ac:dyDescent="0.25"/>
  <cols>
    <col min="1" max="1" width="17.33203125" style="41" customWidth="1"/>
    <col min="2" max="2" width="14.44140625" style="42" customWidth="1"/>
    <col min="3" max="3" width="22.33203125" style="42" customWidth="1"/>
    <col min="4" max="4" width="9.33203125" style="42" bestFit="1" customWidth="1"/>
    <col min="5" max="5" width="11.5546875" style="42" customWidth="1"/>
    <col min="6" max="6" width="9.6640625" style="42" bestFit="1" customWidth="1"/>
    <col min="7" max="7" width="63.6640625" style="41" bestFit="1" customWidth="1"/>
    <col min="8" max="16384" width="11.5546875" style="41"/>
  </cols>
  <sheetData>
    <row r="1" spans="1:7" ht="12" x14ac:dyDescent="0.25">
      <c r="A1" s="43" t="s">
        <v>302</v>
      </c>
      <c r="B1" s="44" t="s">
        <v>303</v>
      </c>
      <c r="C1" s="44" t="s">
        <v>304</v>
      </c>
      <c r="D1" s="44" t="s">
        <v>305</v>
      </c>
      <c r="E1" s="44" t="s">
        <v>306</v>
      </c>
      <c r="F1" s="44" t="s">
        <v>307</v>
      </c>
      <c r="G1" s="44" t="s">
        <v>308</v>
      </c>
    </row>
    <row r="2" spans="1:7" ht="12" x14ac:dyDescent="0.25">
      <c r="A2" s="41" t="s">
        <v>331</v>
      </c>
      <c r="B2" s="45">
        <v>42588</v>
      </c>
      <c r="C2" s="42" t="s">
        <v>332</v>
      </c>
      <c r="D2" s="45">
        <v>42566</v>
      </c>
      <c r="E2" s="45">
        <v>42594</v>
      </c>
      <c r="F2" s="47">
        <v>5.4600000000000003E-2</v>
      </c>
      <c r="G2" s="41" t="s">
        <v>333</v>
      </c>
    </row>
    <row r="3" spans="1:7" ht="12" x14ac:dyDescent="0.25">
      <c r="A3" s="41" t="s">
        <v>334</v>
      </c>
      <c r="B3" s="45">
        <v>42614</v>
      </c>
      <c r="C3" s="42" t="s">
        <v>335</v>
      </c>
      <c r="D3" s="45">
        <v>42595</v>
      </c>
      <c r="E3" s="45">
        <v>42627</v>
      </c>
      <c r="F3" s="47">
        <v>5.4199999999999998E-2</v>
      </c>
      <c r="G3" s="41" t="s">
        <v>336</v>
      </c>
    </row>
    <row r="4" spans="1:7" ht="12" x14ac:dyDescent="0.25">
      <c r="A4" s="41" t="s">
        <v>337</v>
      </c>
      <c r="B4" s="45">
        <v>43018</v>
      </c>
      <c r="C4" s="42" t="s">
        <v>338</v>
      </c>
      <c r="D4" s="45">
        <v>42993</v>
      </c>
      <c r="E4" s="45">
        <v>43021</v>
      </c>
      <c r="F4" s="47">
        <v>4.1599999999999998E-2</v>
      </c>
      <c r="G4" s="41" t="s">
        <v>339</v>
      </c>
    </row>
    <row r="5" spans="1:7" ht="12" x14ac:dyDescent="0.25">
      <c r="A5" s="41" t="s">
        <v>340</v>
      </c>
      <c r="B5" s="45">
        <v>43018</v>
      </c>
      <c r="C5" s="42" t="s">
        <v>338</v>
      </c>
      <c r="D5" s="45">
        <v>42993</v>
      </c>
      <c r="E5" s="45">
        <v>43021</v>
      </c>
      <c r="F5" s="47">
        <v>4.1599999999999998E-2</v>
      </c>
      <c r="G5" s="41" t="s">
        <v>339</v>
      </c>
    </row>
    <row r="6" spans="1:7" ht="12" x14ac:dyDescent="0.25">
      <c r="A6" s="41" t="s">
        <v>341</v>
      </c>
      <c r="B6" s="45">
        <v>43183</v>
      </c>
      <c r="C6" s="42" t="s">
        <v>342</v>
      </c>
      <c r="D6" s="45">
        <v>43174</v>
      </c>
      <c r="E6" s="45">
        <v>43203</v>
      </c>
      <c r="F6" s="47">
        <v>4.2000000000000003E-2</v>
      </c>
      <c r="G6" s="41" t="s">
        <v>343</v>
      </c>
    </row>
    <row r="7" spans="1:7" ht="12" x14ac:dyDescent="0.25">
      <c r="A7" s="41" t="s">
        <v>344</v>
      </c>
      <c r="B7" s="45">
        <v>43371</v>
      </c>
      <c r="C7" s="42" t="s">
        <v>309</v>
      </c>
      <c r="D7" s="45">
        <v>43358</v>
      </c>
      <c r="E7" s="45">
        <v>43385</v>
      </c>
      <c r="F7" s="46">
        <v>4.3799999999999999E-2</v>
      </c>
      <c r="G7" s="41" t="s">
        <v>310</v>
      </c>
    </row>
    <row r="8" spans="1:7" ht="12" x14ac:dyDescent="0.25">
      <c r="A8" s="41" t="s">
        <v>345</v>
      </c>
      <c r="B8" s="45">
        <v>43591</v>
      </c>
      <c r="C8" s="42" t="s">
        <v>311</v>
      </c>
      <c r="D8" s="45">
        <v>43570</v>
      </c>
      <c r="E8" s="45">
        <v>43599</v>
      </c>
      <c r="F8" s="46">
        <v>4.4600000000000001E-2</v>
      </c>
      <c r="G8" s="41" t="s">
        <v>312</v>
      </c>
    </row>
    <row r="9" spans="1:7" ht="12" x14ac:dyDescent="0.25">
      <c r="A9" s="41" t="s">
        <v>346</v>
      </c>
      <c r="B9" s="45">
        <v>44137</v>
      </c>
      <c r="C9" s="42" t="s">
        <v>313</v>
      </c>
      <c r="D9" s="45">
        <v>44119</v>
      </c>
      <c r="E9" s="45">
        <v>44148</v>
      </c>
      <c r="F9" s="47">
        <v>3.61E-2</v>
      </c>
      <c r="G9" s="41" t="s">
        <v>314</v>
      </c>
    </row>
    <row r="10" spans="1:7" ht="12" x14ac:dyDescent="0.25">
      <c r="A10" s="41" t="s">
        <v>347</v>
      </c>
      <c r="B10" s="45">
        <v>44275</v>
      </c>
      <c r="C10" s="42" t="s">
        <v>315</v>
      </c>
      <c r="D10" s="45">
        <v>44270</v>
      </c>
      <c r="E10" s="45">
        <v>44300</v>
      </c>
      <c r="F10" s="47">
        <v>3.9100000000000003E-2</v>
      </c>
      <c r="G10" s="41" t="s">
        <v>316</v>
      </c>
    </row>
    <row r="11" spans="1:7" ht="11.4" customHeight="1" x14ac:dyDescent="0.25">
      <c r="A11" s="41" t="s">
        <v>348</v>
      </c>
      <c r="B11" s="45">
        <v>44336</v>
      </c>
      <c r="C11" s="42" t="s">
        <v>317</v>
      </c>
      <c r="D11" s="45">
        <v>44330</v>
      </c>
      <c r="F11" s="47">
        <v>3.2800000000000003E-2</v>
      </c>
      <c r="G11" s="41" t="s">
        <v>318</v>
      </c>
    </row>
    <row r="13" spans="1:7" ht="11.4" customHeight="1" x14ac:dyDescent="0.25">
      <c r="A13" s="41" t="s">
        <v>300</v>
      </c>
    </row>
    <row r="14" spans="1:7" ht="12" x14ac:dyDescent="0.25">
      <c r="A14" s="41" t="s">
        <v>301</v>
      </c>
    </row>
    <row r="15" spans="1:7" ht="12" x14ac:dyDescent="0.25"/>
    <row r="16" spans="1:7" ht="12" x14ac:dyDescent="0.25"/>
    <row r="17" ht="12" x14ac:dyDescent="0.25"/>
    <row r="18" ht="12" x14ac:dyDescent="0.25"/>
    <row r="19" ht="12" x14ac:dyDescent="0.25"/>
    <row r="20" ht="12" x14ac:dyDescent="0.25"/>
    <row r="21" ht="12" x14ac:dyDescent="0.25"/>
    <row r="22" ht="12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README</vt:lpstr>
      <vt:lpstr>MAPA_DATA</vt:lpstr>
      <vt:lpstr>Reliquidacion</vt:lpstr>
      <vt:lpstr>FACT_EMITIDA</vt:lpstr>
      <vt:lpstr>SIGGE_E</vt:lpstr>
      <vt:lpstr>SIGGE_P</vt:lpstr>
      <vt:lpstr>EFACT_CNE</vt:lpstr>
      <vt:lpstr>SIN_DATA</vt:lpstr>
      <vt:lpstr>INTERESES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Alejandro Cardenas</cp:lastModifiedBy>
  <dcterms:created xsi:type="dcterms:W3CDTF">2021-05-19T15:58:11Z</dcterms:created>
  <dcterms:modified xsi:type="dcterms:W3CDTF">2021-06-18T14:05:56Z</dcterms:modified>
</cp:coreProperties>
</file>