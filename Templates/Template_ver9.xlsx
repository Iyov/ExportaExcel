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F148CCE7-B35D-4EBC-A4EC-3C7FB63375A0}" xr6:coauthVersionLast="47" xr6:coauthVersionMax="47" xr10:uidLastSave="{00000000-0000-0000-0000-000000000000}"/>
  <bookViews>
    <workbookView xWindow="-120" yWindow="-120" windowWidth="29040" windowHeight="15840" tabRatio="793" activeTab="8" xr2:uid="{00000000-000D-0000-FFFF-FFFF00000000}"/>
  </bookViews>
  <sheets>
    <sheet name="Reliquidacion" sheetId="7" r:id="rId1"/>
    <sheet name="MAPA_DATA" sheetId="12" r:id="rId2"/>
    <sheet name="FACT_EMITIDA" sheetId="2" r:id="rId3"/>
    <sheet name="SIGGE_E" sheetId="14" r:id="rId4"/>
    <sheet name="SIGGE_P" sheetId="15" r:id="rId5"/>
    <sheet name="FACT_EST_EFACT" sheetId="6" r:id="rId6"/>
    <sheet name="FACT_EST_CEN" sheetId="11" r:id="rId7"/>
    <sheet name="EFACT_CNE" sheetId="1" r:id="rId8"/>
    <sheet name="EFACT_EST_CEN" sheetId="13" r:id="rId9"/>
    <sheet name="SIN_DATA" sheetId="16" r:id="rId10"/>
    <sheet name="INTERESES" sheetId="17" r:id="rId11"/>
  </sheets>
  <externalReferences>
    <externalReference r:id="rId12"/>
  </externalReferences>
  <definedNames>
    <definedName name="_xlnm._FilterDatabase" localSheetId="7" hidden="1">EFACT_CNE!$A$1:$Y$415</definedName>
    <definedName name="_xlnm._FilterDatabase" localSheetId="2" hidden="1">FACT_EMITIDA!$A$1:$U$604</definedName>
    <definedName name="_xlnm._FilterDatabase" localSheetId="5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7" l="1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9" i="7"/>
  <c r="I67" i="12"/>
  <c r="H67" i="12"/>
  <c r="G67" i="12"/>
  <c r="F67" i="12"/>
  <c r="E67" i="12"/>
  <c r="I66" i="12"/>
  <c r="H66" i="12"/>
  <c r="G66" i="12"/>
  <c r="F66" i="12"/>
  <c r="E66" i="12"/>
  <c r="I65" i="12"/>
  <c r="H65" i="12"/>
  <c r="G65" i="12"/>
  <c r="F65" i="12"/>
  <c r="E65" i="12"/>
  <c r="I64" i="12"/>
  <c r="H64" i="12"/>
  <c r="G64" i="12"/>
  <c r="F64" i="12"/>
  <c r="E64" i="12"/>
  <c r="I63" i="12"/>
  <c r="H63" i="12"/>
  <c r="G63" i="12"/>
  <c r="F63" i="12"/>
  <c r="E63" i="12"/>
  <c r="I62" i="12"/>
  <c r="H62" i="12"/>
  <c r="G62" i="12"/>
  <c r="F62" i="12"/>
  <c r="E62" i="12"/>
  <c r="I61" i="12"/>
  <c r="H61" i="12"/>
  <c r="G61" i="12"/>
  <c r="F61" i="12"/>
  <c r="E61" i="12"/>
  <c r="I60" i="12"/>
  <c r="H60" i="12"/>
  <c r="G60" i="12"/>
  <c r="F60" i="12"/>
  <c r="E60" i="12"/>
  <c r="I59" i="12"/>
  <c r="H59" i="12"/>
  <c r="G59" i="12"/>
  <c r="F59" i="12"/>
  <c r="E59" i="12"/>
  <c r="I58" i="12"/>
  <c r="H58" i="12"/>
  <c r="G58" i="12"/>
  <c r="F58" i="12"/>
  <c r="E58" i="12"/>
  <c r="I57" i="12"/>
  <c r="H57" i="12"/>
  <c r="G57" i="12"/>
  <c r="F57" i="12"/>
  <c r="E57" i="12"/>
  <c r="I56" i="12"/>
  <c r="H56" i="12"/>
  <c r="G56" i="12"/>
  <c r="F56" i="12"/>
  <c r="E56" i="12"/>
  <c r="I55" i="12"/>
  <c r="H55" i="12"/>
  <c r="G55" i="12"/>
  <c r="F55" i="12"/>
  <c r="E55" i="12"/>
  <c r="I54" i="12"/>
  <c r="H54" i="12"/>
  <c r="G54" i="12"/>
  <c r="F54" i="12"/>
  <c r="E54" i="12"/>
  <c r="I53" i="12"/>
  <c r="H53" i="12"/>
  <c r="G53" i="12"/>
  <c r="F53" i="12"/>
  <c r="E53" i="12"/>
  <c r="I52" i="12"/>
  <c r="H52" i="12"/>
  <c r="G52" i="12"/>
  <c r="F52" i="12"/>
  <c r="E52" i="12"/>
  <c r="I51" i="12"/>
  <c r="H51" i="12"/>
  <c r="G51" i="12"/>
  <c r="F51" i="12"/>
  <c r="E51" i="12"/>
  <c r="I50" i="12"/>
  <c r="H50" i="12"/>
  <c r="G50" i="12"/>
  <c r="F50" i="12"/>
  <c r="E50" i="12"/>
  <c r="I49" i="12"/>
  <c r="H49" i="12"/>
  <c r="G49" i="12"/>
  <c r="F49" i="12"/>
  <c r="E49" i="12"/>
  <c r="I48" i="12"/>
  <c r="H48" i="12"/>
  <c r="G48" i="12"/>
  <c r="F48" i="12"/>
  <c r="E48" i="12"/>
  <c r="I47" i="12"/>
  <c r="H47" i="12"/>
  <c r="G47" i="12"/>
  <c r="F47" i="12"/>
  <c r="E47" i="12"/>
  <c r="I46" i="12"/>
  <c r="H46" i="12"/>
  <c r="G46" i="12"/>
  <c r="F46" i="12"/>
  <c r="E46" i="12"/>
  <c r="I45" i="12"/>
  <c r="H45" i="12"/>
  <c r="G45" i="12"/>
  <c r="F45" i="12"/>
  <c r="E45" i="12"/>
  <c r="I44" i="12"/>
  <c r="H44" i="12"/>
  <c r="G44" i="12"/>
  <c r="F44" i="12"/>
  <c r="E44" i="12"/>
  <c r="I43" i="12"/>
  <c r="H43" i="12"/>
  <c r="G43" i="12"/>
  <c r="F43" i="12"/>
  <c r="E43" i="12"/>
  <c r="I42" i="12"/>
  <c r="H42" i="12"/>
  <c r="G42" i="12"/>
  <c r="F42" i="12"/>
  <c r="E42" i="12"/>
  <c r="I41" i="12"/>
  <c r="H41" i="12"/>
  <c r="G41" i="12"/>
  <c r="F41" i="12"/>
  <c r="E41" i="12"/>
  <c r="I40" i="12"/>
  <c r="H40" i="12"/>
  <c r="G40" i="12"/>
  <c r="F40" i="12"/>
  <c r="E40" i="12"/>
  <c r="I39" i="12"/>
  <c r="H39" i="12"/>
  <c r="G39" i="12"/>
  <c r="F39" i="12"/>
  <c r="E39" i="12"/>
  <c r="I38" i="12"/>
  <c r="H38" i="12"/>
  <c r="G38" i="12"/>
  <c r="F38" i="12"/>
  <c r="E38" i="12"/>
  <c r="I37" i="12"/>
  <c r="H37" i="12"/>
  <c r="G37" i="12"/>
  <c r="F37" i="12"/>
  <c r="E37" i="12"/>
  <c r="I36" i="12"/>
  <c r="H36" i="12"/>
  <c r="G36" i="12"/>
  <c r="F36" i="12"/>
  <c r="E36" i="12"/>
  <c r="I35" i="12"/>
  <c r="H35" i="12"/>
  <c r="G35" i="12"/>
  <c r="F35" i="12"/>
  <c r="E35" i="12"/>
  <c r="I34" i="12"/>
  <c r="H34" i="12"/>
  <c r="G34" i="12"/>
  <c r="F34" i="12"/>
  <c r="E34" i="12"/>
  <c r="I33" i="12"/>
  <c r="H33" i="12"/>
  <c r="G33" i="12"/>
  <c r="F33" i="12"/>
  <c r="E33" i="12"/>
  <c r="I32" i="12"/>
  <c r="H32" i="12"/>
  <c r="G32" i="12"/>
  <c r="F32" i="12"/>
  <c r="E32" i="12"/>
  <c r="I31" i="12"/>
  <c r="H31" i="12"/>
  <c r="G31" i="12"/>
  <c r="F31" i="12"/>
  <c r="E31" i="12"/>
  <c r="I30" i="12"/>
  <c r="H30" i="12"/>
  <c r="G30" i="12"/>
  <c r="F30" i="12"/>
  <c r="E30" i="12"/>
  <c r="I29" i="12"/>
  <c r="H29" i="12"/>
  <c r="G29" i="12"/>
  <c r="F29" i="12"/>
  <c r="E29" i="12"/>
  <c r="I28" i="12"/>
  <c r="H28" i="12"/>
  <c r="G28" i="12"/>
  <c r="F28" i="12"/>
  <c r="E28" i="12"/>
  <c r="I27" i="12"/>
  <c r="H27" i="12"/>
  <c r="G27" i="12"/>
  <c r="F27" i="12"/>
  <c r="E27" i="12"/>
  <c r="I26" i="12"/>
  <c r="H26" i="12"/>
  <c r="G26" i="12"/>
  <c r="F26" i="12"/>
  <c r="E26" i="12"/>
  <c r="I25" i="12"/>
  <c r="H25" i="12"/>
  <c r="G25" i="12"/>
  <c r="F25" i="12"/>
  <c r="E25" i="12"/>
  <c r="I24" i="12"/>
  <c r="H24" i="12"/>
  <c r="G24" i="12"/>
  <c r="F24" i="12"/>
  <c r="E24" i="12"/>
  <c r="I23" i="12"/>
  <c r="H23" i="12"/>
  <c r="G23" i="12"/>
  <c r="F23" i="12"/>
  <c r="E23" i="12"/>
  <c r="I22" i="12"/>
  <c r="H22" i="12"/>
  <c r="G22" i="12"/>
  <c r="F22" i="12"/>
  <c r="E22" i="12"/>
  <c r="I21" i="12"/>
  <c r="H21" i="12"/>
  <c r="G21" i="12"/>
  <c r="F21" i="12"/>
  <c r="E21" i="12"/>
  <c r="I20" i="12"/>
  <c r="H20" i="12"/>
  <c r="G20" i="12"/>
  <c r="F20" i="12"/>
  <c r="E20" i="12"/>
  <c r="I19" i="12"/>
  <c r="H19" i="12"/>
  <c r="G19" i="12"/>
  <c r="F19" i="12"/>
  <c r="E19" i="12"/>
  <c r="I18" i="12"/>
  <c r="H18" i="12"/>
  <c r="G18" i="12"/>
  <c r="F18" i="12"/>
  <c r="E18" i="12"/>
  <c r="I17" i="12"/>
  <c r="H17" i="12"/>
  <c r="G17" i="12"/>
  <c r="F17" i="12"/>
  <c r="E17" i="12"/>
  <c r="I16" i="12"/>
  <c r="H16" i="12"/>
  <c r="G16" i="12"/>
  <c r="F16" i="12"/>
  <c r="E16" i="12"/>
  <c r="I15" i="12"/>
  <c r="H15" i="12"/>
  <c r="G15" i="12"/>
  <c r="F15" i="12"/>
  <c r="E15" i="12"/>
  <c r="I14" i="12"/>
  <c r="H14" i="12"/>
  <c r="G14" i="12"/>
  <c r="F14" i="12"/>
  <c r="E14" i="12"/>
  <c r="I13" i="12"/>
  <c r="H13" i="12"/>
  <c r="G13" i="12"/>
  <c r="F13" i="12"/>
  <c r="E13" i="12"/>
  <c r="I12" i="12"/>
  <c r="H12" i="12"/>
  <c r="G12" i="12"/>
  <c r="F12" i="12"/>
  <c r="E12" i="12"/>
  <c r="I11" i="12"/>
  <c r="H11" i="12"/>
  <c r="G11" i="12"/>
  <c r="F11" i="12"/>
  <c r="E11" i="12"/>
  <c r="Y65" i="7"/>
  <c r="X65" i="7"/>
  <c r="Y64" i="7"/>
  <c r="X64" i="7"/>
  <c r="Y63" i="7"/>
  <c r="X63" i="7"/>
  <c r="Y62" i="7"/>
  <c r="X62" i="7"/>
  <c r="Y61" i="7"/>
  <c r="X61" i="7"/>
  <c r="Y60" i="7"/>
  <c r="X60" i="7"/>
  <c r="Y59" i="7"/>
  <c r="X59" i="7"/>
  <c r="Y58" i="7"/>
  <c r="X58" i="7"/>
  <c r="Y57" i="7"/>
  <c r="X57" i="7"/>
  <c r="Y56" i="7"/>
  <c r="X56" i="7"/>
  <c r="Y55" i="7"/>
  <c r="X55" i="7"/>
  <c r="Y54" i="7"/>
  <c r="X54" i="7"/>
  <c r="Y53" i="7"/>
  <c r="X53" i="7"/>
  <c r="Y52" i="7"/>
  <c r="X52" i="7"/>
  <c r="Y51" i="7"/>
  <c r="X51" i="7"/>
  <c r="Y50" i="7"/>
  <c r="X50" i="7"/>
  <c r="Y49" i="7"/>
  <c r="X49" i="7"/>
  <c r="Y48" i="7"/>
  <c r="X48" i="7"/>
  <c r="Y47" i="7"/>
  <c r="X47" i="7"/>
  <c r="Y46" i="7"/>
  <c r="X46" i="7"/>
  <c r="Y45" i="7"/>
  <c r="X45" i="7"/>
  <c r="Y44" i="7"/>
  <c r="X44" i="7"/>
  <c r="Y43" i="7"/>
  <c r="X43" i="7"/>
  <c r="Y42" i="7"/>
  <c r="X42" i="7"/>
  <c r="Y41" i="7"/>
  <c r="X41" i="7"/>
  <c r="Y40" i="7"/>
  <c r="X40" i="7"/>
  <c r="Y39" i="7"/>
  <c r="X39" i="7"/>
  <c r="Y38" i="7"/>
  <c r="X38" i="7"/>
  <c r="Y37" i="7"/>
  <c r="X37" i="7"/>
  <c r="Y36" i="7"/>
  <c r="X36" i="7"/>
  <c r="Y35" i="7"/>
  <c r="X35" i="7"/>
  <c r="AB34" i="7"/>
  <c r="AA34" i="7"/>
  <c r="AA35" i="7" s="1"/>
  <c r="Y34" i="7"/>
  <c r="AC34" i="7" s="1"/>
  <c r="X34" i="7"/>
  <c r="AB33" i="7"/>
  <c r="Y33" i="7"/>
  <c r="X33" i="7"/>
  <c r="X32" i="7"/>
  <c r="X31" i="7"/>
  <c r="X30" i="7"/>
  <c r="X29" i="7"/>
  <c r="X28" i="7"/>
  <c r="X27" i="7"/>
  <c r="X26" i="7"/>
  <c r="X25" i="7"/>
  <c r="X24" i="7"/>
  <c r="X23" i="7"/>
  <c r="AB22" i="7"/>
  <c r="Y22" i="7"/>
  <c r="X22" i="7"/>
  <c r="AB21" i="7"/>
  <c r="Y21" i="7"/>
  <c r="X21" i="7"/>
  <c r="AB20" i="7"/>
  <c r="Y20" i="7"/>
  <c r="X20" i="7"/>
  <c r="AB19" i="7"/>
  <c r="Y19" i="7"/>
  <c r="X19" i="7"/>
  <c r="AB18" i="7"/>
  <c r="Y18" i="7"/>
  <c r="AC18" i="7" s="1"/>
  <c r="X18" i="7"/>
  <c r="AB17" i="7"/>
  <c r="Y17" i="7"/>
  <c r="X17" i="7"/>
  <c r="AB16" i="7"/>
  <c r="Y16" i="7"/>
  <c r="AC16" i="7" s="1"/>
  <c r="X16" i="7"/>
  <c r="AB15" i="7"/>
  <c r="AC15" i="7" s="1"/>
  <c r="Y15" i="7"/>
  <c r="X15" i="7"/>
  <c r="AB14" i="7"/>
  <c r="Y14" i="7"/>
  <c r="X14" i="7"/>
  <c r="AB13" i="7"/>
  <c r="Y13" i="7"/>
  <c r="X13" i="7"/>
  <c r="AB12" i="7"/>
  <c r="Y12" i="7"/>
  <c r="X12" i="7"/>
  <c r="AB11" i="7"/>
  <c r="Y11" i="7"/>
  <c r="X11" i="7"/>
  <c r="AC10" i="7"/>
  <c r="AB10" i="7"/>
  <c r="Y10" i="7"/>
  <c r="X10" i="7"/>
  <c r="AB9" i="7"/>
  <c r="Y9" i="7"/>
  <c r="X9" i="7"/>
  <c r="V9" i="7"/>
  <c r="AC12" i="7" l="1"/>
  <c r="AC14" i="7"/>
  <c r="AC20" i="7"/>
  <c r="AC22" i="7"/>
  <c r="AC33" i="7"/>
  <c r="AC9" i="7"/>
  <c r="AD9" i="7" s="1"/>
  <c r="AE9" i="7" s="1"/>
  <c r="AC11" i="7"/>
  <c r="AC13" i="7"/>
  <c r="AC17" i="7"/>
  <c r="AC19" i="7"/>
  <c r="AC21" i="7"/>
  <c r="AB35" i="7"/>
  <c r="AC35" i="7" s="1"/>
  <c r="AA36" i="7"/>
  <c r="AB36" i="7" l="1"/>
  <c r="AC36" i="7" s="1"/>
  <c r="AA37" i="7"/>
  <c r="AB37" i="7" l="1"/>
  <c r="AC37" i="7" s="1"/>
  <c r="AA38" i="7"/>
  <c r="AB38" i="7" l="1"/>
  <c r="AC38" i="7" s="1"/>
  <c r="AA39" i="7"/>
  <c r="AB39" i="7" l="1"/>
  <c r="AC39" i="7" s="1"/>
  <c r="AA40" i="7"/>
  <c r="AB40" i="7" l="1"/>
  <c r="AC40" i="7" s="1"/>
  <c r="AA41" i="7"/>
  <c r="AB41" i="7" l="1"/>
  <c r="AC41" i="7" s="1"/>
  <c r="AA42" i="7"/>
  <c r="AB42" i="7" l="1"/>
  <c r="AC42" i="7" s="1"/>
  <c r="AA43" i="7"/>
  <c r="AB43" i="7" l="1"/>
  <c r="AC43" i="7" s="1"/>
  <c r="AA44" i="7"/>
  <c r="AB44" i="7" l="1"/>
  <c r="AC44" i="7" s="1"/>
  <c r="AA45" i="7"/>
  <c r="AB45" i="7" l="1"/>
  <c r="AC45" i="7" s="1"/>
  <c r="AA46" i="7"/>
  <c r="AB46" i="7" l="1"/>
  <c r="AC46" i="7" s="1"/>
  <c r="AA47" i="7"/>
  <c r="AB47" i="7" l="1"/>
  <c r="AC47" i="7" s="1"/>
  <c r="AA48" i="7"/>
  <c r="AB48" i="7" l="1"/>
  <c r="AC48" i="7" s="1"/>
  <c r="AA49" i="7"/>
  <c r="AB49" i="7" l="1"/>
  <c r="AC49" i="7" s="1"/>
  <c r="AA50" i="7"/>
  <c r="AB50" i="7" l="1"/>
  <c r="AC50" i="7" s="1"/>
  <c r="AA51" i="7"/>
  <c r="AB51" i="7" l="1"/>
  <c r="AC51" i="7" s="1"/>
  <c r="AA52" i="7"/>
  <c r="AB52" i="7" l="1"/>
  <c r="AC52" i="7" s="1"/>
  <c r="AA53" i="7"/>
  <c r="AB53" i="7" l="1"/>
  <c r="AC53" i="7" s="1"/>
  <c r="AA54" i="7"/>
  <c r="AB54" i="7" l="1"/>
  <c r="AC54" i="7" s="1"/>
  <c r="AA55" i="7"/>
  <c r="AB55" i="7" l="1"/>
  <c r="AC55" i="7" s="1"/>
  <c r="AA56" i="7"/>
  <c r="AB56" i="7" l="1"/>
  <c r="AC56" i="7" s="1"/>
  <c r="AA57" i="7"/>
  <c r="AB57" i="7" l="1"/>
  <c r="AC57" i="7" s="1"/>
  <c r="AA58" i="7"/>
  <c r="AB58" i="7" l="1"/>
  <c r="AC58" i="7" s="1"/>
  <c r="AA59" i="7"/>
  <c r="AB59" i="7" l="1"/>
  <c r="AC59" i="7" s="1"/>
  <c r="AA63" i="7"/>
  <c r="AB63" i="7" s="1"/>
  <c r="AC63" i="7" s="1"/>
  <c r="AA60" i="7"/>
  <c r="AB60" i="7" l="1"/>
  <c r="AC60" i="7" s="1"/>
  <c r="AA64" i="7"/>
  <c r="AB64" i="7" s="1"/>
  <c r="AC64" i="7" s="1"/>
  <c r="AA62" i="7"/>
  <c r="AB62" i="7" s="1"/>
  <c r="AC62" i="7" s="1"/>
  <c r="AA61" i="7"/>
  <c r="AB61" i="7" l="1"/>
  <c r="AC61" i="7" s="1"/>
  <c r="AA65" i="7"/>
  <c r="AB65" i="7" s="1"/>
  <c r="AC65" i="7" s="1"/>
  <c r="L65" i="7" l="1"/>
  <c r="L63" i="7"/>
  <c r="L62" i="7"/>
  <c r="L61" i="7"/>
  <c r="L58" i="7"/>
  <c r="L57" i="7"/>
  <c r="L55" i="7"/>
  <c r="L54" i="7"/>
  <c r="L53" i="7"/>
  <c r="L50" i="7"/>
  <c r="L49" i="7"/>
  <c r="L47" i="7"/>
  <c r="L46" i="7"/>
  <c r="L45" i="7"/>
  <c r="L42" i="7"/>
  <c r="L41" i="7"/>
  <c r="L39" i="7"/>
  <c r="L38" i="7"/>
  <c r="L37" i="7"/>
  <c r="L35" i="7"/>
  <c r="L34" i="7"/>
  <c r="L33" i="7"/>
  <c r="L31" i="7"/>
  <c r="L30" i="7"/>
  <c r="L29" i="7"/>
  <c r="L27" i="7"/>
  <c r="L26" i="7"/>
  <c r="L25" i="7"/>
  <c r="L23" i="7"/>
  <c r="L22" i="7"/>
  <c r="L21" i="7"/>
  <c r="L19" i="7"/>
  <c r="L18" i="7"/>
  <c r="L17" i="7"/>
  <c r="L15" i="7"/>
  <c r="L14" i="7"/>
  <c r="L13" i="7"/>
  <c r="L11" i="7"/>
  <c r="L10" i="7"/>
  <c r="L9" i="7"/>
  <c r="S10" i="7"/>
  <c r="S9" i="7"/>
  <c r="Q10" i="7"/>
  <c r="Q9" i="7"/>
  <c r="N9" i="7"/>
  <c r="J10" i="7"/>
  <c r="H10" i="7"/>
  <c r="E10" i="7"/>
  <c r="J9" i="7"/>
  <c r="H9" i="7"/>
  <c r="E9" i="7"/>
  <c r="A10" i="7"/>
  <c r="V10" i="7" s="1"/>
  <c r="AD10" i="7" s="1"/>
  <c r="AE10" i="7" s="1"/>
  <c r="P19" i="7" l="1"/>
  <c r="R19" i="7"/>
  <c r="M19" i="7"/>
  <c r="O19" i="7"/>
  <c r="O38" i="7"/>
  <c r="R38" i="7"/>
  <c r="P38" i="7"/>
  <c r="M38" i="7"/>
  <c r="I60" i="7"/>
  <c r="G60" i="7"/>
  <c r="F60" i="7"/>
  <c r="D60" i="7"/>
  <c r="R13" i="7"/>
  <c r="P13" i="7"/>
  <c r="O13" i="7"/>
  <c r="M13" i="7"/>
  <c r="I20" i="7"/>
  <c r="G20" i="7"/>
  <c r="F20" i="7"/>
  <c r="D20" i="7"/>
  <c r="P26" i="7"/>
  <c r="R26" i="7"/>
  <c r="M26" i="7"/>
  <c r="O26" i="7"/>
  <c r="I33" i="7"/>
  <c r="G33" i="7"/>
  <c r="F33" i="7"/>
  <c r="D33" i="7"/>
  <c r="R39" i="7"/>
  <c r="P39" i="7"/>
  <c r="O39" i="7"/>
  <c r="M39" i="7"/>
  <c r="P46" i="7"/>
  <c r="R46" i="7"/>
  <c r="O46" i="7"/>
  <c r="M46" i="7"/>
  <c r="R53" i="7"/>
  <c r="P53" i="7"/>
  <c r="O53" i="7"/>
  <c r="M53" i="7"/>
  <c r="I61" i="7"/>
  <c r="G61" i="7"/>
  <c r="F61" i="7"/>
  <c r="D61" i="7"/>
  <c r="R14" i="7"/>
  <c r="P14" i="7"/>
  <c r="M14" i="7"/>
  <c r="O14" i="7"/>
  <c r="I21" i="7"/>
  <c r="F21" i="7"/>
  <c r="G21" i="7"/>
  <c r="D21" i="7"/>
  <c r="R27" i="7"/>
  <c r="P27" i="7"/>
  <c r="M27" i="7"/>
  <c r="O27" i="7"/>
  <c r="R33" i="7"/>
  <c r="O33" i="7"/>
  <c r="P33" i="7"/>
  <c r="M33" i="7"/>
  <c r="I40" i="7"/>
  <c r="G40" i="7"/>
  <c r="F40" i="7"/>
  <c r="D40" i="7"/>
  <c r="O47" i="7"/>
  <c r="R47" i="7"/>
  <c r="P47" i="7"/>
  <c r="M47" i="7"/>
  <c r="R54" i="7"/>
  <c r="P54" i="7"/>
  <c r="O54" i="7"/>
  <c r="M54" i="7"/>
  <c r="P61" i="7"/>
  <c r="R61" i="7"/>
  <c r="O61" i="7"/>
  <c r="M61" i="7"/>
  <c r="R55" i="7"/>
  <c r="P55" i="7"/>
  <c r="O55" i="7"/>
  <c r="M55" i="7"/>
  <c r="P62" i="7"/>
  <c r="R62" i="7"/>
  <c r="O62" i="7"/>
  <c r="M62" i="7"/>
  <c r="I32" i="7"/>
  <c r="G32" i="7"/>
  <c r="F32" i="7"/>
  <c r="D32" i="7"/>
  <c r="R45" i="7"/>
  <c r="P45" i="7"/>
  <c r="O45" i="7"/>
  <c r="M45" i="7"/>
  <c r="I9" i="7"/>
  <c r="F9" i="7"/>
  <c r="G9" i="7"/>
  <c r="D9" i="7"/>
  <c r="R21" i="7"/>
  <c r="P21" i="7"/>
  <c r="O21" i="7"/>
  <c r="M21" i="7"/>
  <c r="R34" i="7"/>
  <c r="P34" i="7"/>
  <c r="O34" i="7"/>
  <c r="M34" i="7"/>
  <c r="I41" i="7"/>
  <c r="G41" i="7"/>
  <c r="F41" i="7"/>
  <c r="D41" i="7"/>
  <c r="R9" i="7"/>
  <c r="P9" i="7"/>
  <c r="O9" i="7"/>
  <c r="M9" i="7"/>
  <c r="P22" i="7"/>
  <c r="R22" i="7"/>
  <c r="M22" i="7"/>
  <c r="O22" i="7"/>
  <c r="R35" i="7"/>
  <c r="P35" i="7"/>
  <c r="O35" i="7"/>
  <c r="M35" i="7"/>
  <c r="I49" i="7"/>
  <c r="G49" i="7"/>
  <c r="F49" i="7"/>
  <c r="D49" i="7"/>
  <c r="R63" i="7"/>
  <c r="P63" i="7"/>
  <c r="O63" i="7"/>
  <c r="M63" i="7"/>
  <c r="R10" i="7"/>
  <c r="P10" i="7"/>
  <c r="M10" i="7"/>
  <c r="O10" i="7"/>
  <c r="I17" i="7"/>
  <c r="G17" i="7"/>
  <c r="D17" i="7"/>
  <c r="F17" i="7"/>
  <c r="R23" i="7"/>
  <c r="P23" i="7"/>
  <c r="O23" i="7"/>
  <c r="M23" i="7"/>
  <c r="P29" i="7"/>
  <c r="R29" i="7"/>
  <c r="M29" i="7"/>
  <c r="O29" i="7"/>
  <c r="I36" i="7"/>
  <c r="G36" i="7"/>
  <c r="F36" i="7"/>
  <c r="D36" i="7"/>
  <c r="R42" i="7"/>
  <c r="P42" i="7"/>
  <c r="O42" i="7"/>
  <c r="M42" i="7"/>
  <c r="R49" i="7"/>
  <c r="P49" i="7"/>
  <c r="O49" i="7"/>
  <c r="M49" i="7"/>
  <c r="I57" i="7"/>
  <c r="G57" i="7"/>
  <c r="F57" i="7"/>
  <c r="D57" i="7"/>
  <c r="I64" i="7"/>
  <c r="G64" i="7"/>
  <c r="F64" i="7"/>
  <c r="D64" i="7"/>
  <c r="I13" i="7"/>
  <c r="G13" i="7"/>
  <c r="D13" i="7"/>
  <c r="F13" i="7"/>
  <c r="R25" i="7"/>
  <c r="P25" i="7"/>
  <c r="M25" i="7"/>
  <c r="O25" i="7"/>
  <c r="I53" i="7"/>
  <c r="G53" i="7"/>
  <c r="F53" i="7"/>
  <c r="D53" i="7"/>
  <c r="R15" i="7"/>
  <c r="P15" i="7"/>
  <c r="M15" i="7"/>
  <c r="O15" i="7"/>
  <c r="I28" i="7"/>
  <c r="G28" i="7"/>
  <c r="F28" i="7"/>
  <c r="D28" i="7"/>
  <c r="I48" i="7"/>
  <c r="G48" i="7"/>
  <c r="F48" i="7"/>
  <c r="D48" i="7"/>
  <c r="I16" i="7"/>
  <c r="D16" i="7"/>
  <c r="G16" i="7"/>
  <c r="F16" i="7"/>
  <c r="I29" i="7"/>
  <c r="G29" i="7"/>
  <c r="F29" i="7"/>
  <c r="D29" i="7"/>
  <c r="O41" i="7"/>
  <c r="R41" i="7"/>
  <c r="P41" i="7"/>
  <c r="M41" i="7"/>
  <c r="I56" i="7"/>
  <c r="G56" i="7"/>
  <c r="F56" i="7"/>
  <c r="D56" i="7"/>
  <c r="R11" i="7"/>
  <c r="P11" i="7"/>
  <c r="O11" i="7"/>
  <c r="M11" i="7"/>
  <c r="R17" i="7"/>
  <c r="P17" i="7"/>
  <c r="M17" i="7"/>
  <c r="O17" i="7"/>
  <c r="I24" i="7"/>
  <c r="G24" i="7"/>
  <c r="F24" i="7"/>
  <c r="D24" i="7"/>
  <c r="R30" i="7"/>
  <c r="P30" i="7"/>
  <c r="O30" i="7"/>
  <c r="M30" i="7"/>
  <c r="I37" i="7"/>
  <c r="G37" i="7"/>
  <c r="F37" i="7"/>
  <c r="D37" i="7"/>
  <c r="I44" i="7"/>
  <c r="G44" i="7"/>
  <c r="F44" i="7"/>
  <c r="D44" i="7"/>
  <c r="P50" i="7"/>
  <c r="O50" i="7"/>
  <c r="R50" i="7"/>
  <c r="M50" i="7"/>
  <c r="R57" i="7"/>
  <c r="P57" i="7"/>
  <c r="O57" i="7"/>
  <c r="M57" i="7"/>
  <c r="I65" i="7"/>
  <c r="G65" i="7"/>
  <c r="F65" i="7"/>
  <c r="D65" i="7"/>
  <c r="I12" i="7"/>
  <c r="F12" i="7"/>
  <c r="G12" i="7"/>
  <c r="D12" i="7"/>
  <c r="P18" i="7"/>
  <c r="R18" i="7"/>
  <c r="M18" i="7"/>
  <c r="O18" i="7"/>
  <c r="I25" i="7"/>
  <c r="D25" i="7"/>
  <c r="G25" i="7"/>
  <c r="F25" i="7"/>
  <c r="P31" i="7"/>
  <c r="R31" i="7"/>
  <c r="O31" i="7"/>
  <c r="M31" i="7"/>
  <c r="R37" i="7"/>
  <c r="P37" i="7"/>
  <c r="O37" i="7"/>
  <c r="M37" i="7"/>
  <c r="I45" i="7"/>
  <c r="G45" i="7"/>
  <c r="F45" i="7"/>
  <c r="D45" i="7"/>
  <c r="I52" i="7"/>
  <c r="G52" i="7"/>
  <c r="F52" i="7"/>
  <c r="D52" i="7"/>
  <c r="P58" i="7"/>
  <c r="R58" i="7"/>
  <c r="O58" i="7"/>
  <c r="M58" i="7"/>
  <c r="M65" i="7"/>
  <c r="P65" i="7"/>
  <c r="R65" i="7"/>
  <c r="O65" i="7"/>
  <c r="N10" i="7"/>
  <c r="L12" i="7"/>
  <c r="L20" i="7"/>
  <c r="L28" i="7"/>
  <c r="L36" i="7"/>
  <c r="L44" i="7"/>
  <c r="L52" i="7"/>
  <c r="L60" i="7"/>
  <c r="L43" i="7"/>
  <c r="L51" i="7"/>
  <c r="L59" i="7"/>
  <c r="L16" i="7"/>
  <c r="L24" i="7"/>
  <c r="L32" i="7"/>
  <c r="L40" i="7"/>
  <c r="L48" i="7"/>
  <c r="L56" i="7"/>
  <c r="L64" i="7"/>
  <c r="A11" i="7"/>
  <c r="P56" i="7" l="1"/>
  <c r="O56" i="7"/>
  <c r="R56" i="7"/>
  <c r="M56" i="7"/>
  <c r="I19" i="7"/>
  <c r="G19" i="7"/>
  <c r="F19" i="7"/>
  <c r="D19" i="7"/>
  <c r="I23" i="7"/>
  <c r="G23" i="7"/>
  <c r="F23" i="7"/>
  <c r="D23" i="7"/>
  <c r="P12" i="7"/>
  <c r="R12" i="7"/>
  <c r="O12" i="7"/>
  <c r="M12" i="7"/>
  <c r="I14" i="7"/>
  <c r="G14" i="7"/>
  <c r="F14" i="7"/>
  <c r="D14" i="7"/>
  <c r="I51" i="7"/>
  <c r="G51" i="7"/>
  <c r="F51" i="7"/>
  <c r="D51" i="7"/>
  <c r="I55" i="7"/>
  <c r="G55" i="7"/>
  <c r="F55" i="7"/>
  <c r="D55" i="7"/>
  <c r="I10" i="7"/>
  <c r="D10" i="7"/>
  <c r="G10" i="7"/>
  <c r="F10" i="7"/>
  <c r="I43" i="7"/>
  <c r="G43" i="7"/>
  <c r="F43" i="7"/>
  <c r="D43" i="7"/>
  <c r="R40" i="7"/>
  <c r="P40" i="7"/>
  <c r="O40" i="7"/>
  <c r="M40" i="7"/>
  <c r="P59" i="7"/>
  <c r="R59" i="7"/>
  <c r="O59" i="7"/>
  <c r="M59" i="7"/>
  <c r="I18" i="7"/>
  <c r="F18" i="7"/>
  <c r="G18" i="7"/>
  <c r="D18" i="7"/>
  <c r="I35" i="7"/>
  <c r="G35" i="7"/>
  <c r="F35" i="7"/>
  <c r="D35" i="7"/>
  <c r="I54" i="7"/>
  <c r="G54" i="7"/>
  <c r="F54" i="7"/>
  <c r="D54" i="7"/>
  <c r="P24" i="7"/>
  <c r="R24" i="7"/>
  <c r="O24" i="7"/>
  <c r="M24" i="7"/>
  <c r="I22" i="7"/>
  <c r="G22" i="7"/>
  <c r="F22" i="7"/>
  <c r="D22" i="7"/>
  <c r="I42" i="7"/>
  <c r="G42" i="7"/>
  <c r="F42" i="7"/>
  <c r="D42" i="7"/>
  <c r="P48" i="7"/>
  <c r="O48" i="7"/>
  <c r="R48" i="7"/>
  <c r="M48" i="7"/>
  <c r="I34" i="7"/>
  <c r="G34" i="7"/>
  <c r="F34" i="7"/>
  <c r="D34" i="7"/>
  <c r="I62" i="7"/>
  <c r="G62" i="7"/>
  <c r="F62" i="7"/>
  <c r="D62" i="7"/>
  <c r="I39" i="7"/>
  <c r="G39" i="7"/>
  <c r="F39" i="7"/>
  <c r="D39" i="7"/>
  <c r="I58" i="7"/>
  <c r="G58" i="7"/>
  <c r="F58" i="7"/>
  <c r="D58" i="7"/>
  <c r="R60" i="7"/>
  <c r="P60" i="7"/>
  <c r="O60" i="7"/>
  <c r="M60" i="7"/>
  <c r="R28" i="7"/>
  <c r="P28" i="7"/>
  <c r="O28" i="7"/>
  <c r="M28" i="7"/>
  <c r="I46" i="7"/>
  <c r="G46" i="7"/>
  <c r="F46" i="7"/>
  <c r="D46" i="7"/>
  <c r="R43" i="7"/>
  <c r="P43" i="7"/>
  <c r="O43" i="7"/>
  <c r="M43" i="7"/>
  <c r="P44" i="7"/>
  <c r="O44" i="7"/>
  <c r="R44" i="7"/>
  <c r="M44" i="7"/>
  <c r="R16" i="7"/>
  <c r="P16" i="7"/>
  <c r="O16" i="7"/>
  <c r="M16" i="7"/>
  <c r="I11" i="7"/>
  <c r="G11" i="7"/>
  <c r="F11" i="7"/>
  <c r="D11" i="7"/>
  <c r="I47" i="7"/>
  <c r="G47" i="7"/>
  <c r="F47" i="7"/>
  <c r="D47" i="7"/>
  <c r="I26" i="7"/>
  <c r="F26" i="7"/>
  <c r="G26" i="7"/>
  <c r="D26" i="7"/>
  <c r="P64" i="7"/>
  <c r="R64" i="7"/>
  <c r="O64" i="7"/>
  <c r="M64" i="7"/>
  <c r="R51" i="7"/>
  <c r="P51" i="7"/>
  <c r="O51" i="7"/>
  <c r="M51" i="7"/>
  <c r="I27" i="7"/>
  <c r="G27" i="7"/>
  <c r="D27" i="7"/>
  <c r="F27" i="7"/>
  <c r="I38" i="7"/>
  <c r="G38" i="7"/>
  <c r="F38" i="7"/>
  <c r="D38" i="7"/>
  <c r="I15" i="7"/>
  <c r="F15" i="7"/>
  <c r="G15" i="7"/>
  <c r="D15" i="7"/>
  <c r="R36" i="7"/>
  <c r="P36" i="7"/>
  <c r="O36" i="7"/>
  <c r="M36" i="7"/>
  <c r="R32" i="7"/>
  <c r="P32" i="7"/>
  <c r="O32" i="7"/>
  <c r="M32" i="7"/>
  <c r="I59" i="7"/>
  <c r="G59" i="7"/>
  <c r="F59" i="7"/>
  <c r="D59" i="7"/>
  <c r="I63" i="7"/>
  <c r="G63" i="7"/>
  <c r="F63" i="7"/>
  <c r="D63" i="7"/>
  <c r="I31" i="7"/>
  <c r="G31" i="7"/>
  <c r="F31" i="7"/>
  <c r="D31" i="7"/>
  <c r="I50" i="7"/>
  <c r="G50" i="7"/>
  <c r="F50" i="7"/>
  <c r="D50" i="7"/>
  <c r="R52" i="7"/>
  <c r="P52" i="7"/>
  <c r="O52" i="7"/>
  <c r="M52" i="7"/>
  <c r="R20" i="7"/>
  <c r="P20" i="7"/>
  <c r="O20" i="7"/>
  <c r="M20" i="7"/>
  <c r="I30" i="7"/>
  <c r="F30" i="7"/>
  <c r="G30" i="7"/>
  <c r="D30" i="7"/>
  <c r="V11" i="7"/>
  <c r="S11" i="7"/>
  <c r="E11" i="7"/>
  <c r="Q11" i="7"/>
  <c r="N11" i="7"/>
  <c r="J11" i="7"/>
  <c r="H11" i="7"/>
  <c r="A12" i="7"/>
  <c r="AD11" i="7" l="1"/>
  <c r="AE11" i="7" s="1"/>
  <c r="V12" i="7"/>
  <c r="S12" i="7"/>
  <c r="E12" i="7"/>
  <c r="Q12" i="7"/>
  <c r="H12" i="7"/>
  <c r="N12" i="7"/>
  <c r="J12" i="7"/>
  <c r="A13" i="7"/>
  <c r="C34" i="12"/>
  <c r="C46" i="12" s="1"/>
  <c r="C58" i="12" s="1"/>
  <c r="B34" i="12"/>
  <c r="B46" i="12" s="1"/>
  <c r="B58" i="12" s="1"/>
  <c r="C33" i="12"/>
  <c r="C45" i="12" s="1"/>
  <c r="C57" i="12" s="1"/>
  <c r="B33" i="12"/>
  <c r="B45" i="12" s="1"/>
  <c r="B57" i="12" s="1"/>
  <c r="C32" i="12"/>
  <c r="C44" i="12" s="1"/>
  <c r="C56" i="12" s="1"/>
  <c r="B32" i="12"/>
  <c r="B44" i="12" s="1"/>
  <c r="B56" i="12" s="1"/>
  <c r="C31" i="12"/>
  <c r="C43" i="12" s="1"/>
  <c r="C55" i="12" s="1"/>
  <c r="C67" i="12" s="1"/>
  <c r="B31" i="12"/>
  <c r="B43" i="12" s="1"/>
  <c r="B55" i="12" s="1"/>
  <c r="B67" i="12" s="1"/>
  <c r="C30" i="12"/>
  <c r="C42" i="12" s="1"/>
  <c r="C54" i="12" s="1"/>
  <c r="C66" i="12" s="1"/>
  <c r="B30" i="12"/>
  <c r="B42" i="12" s="1"/>
  <c r="B54" i="12" s="1"/>
  <c r="B66" i="12" s="1"/>
  <c r="C29" i="12"/>
  <c r="C41" i="12" s="1"/>
  <c r="C53" i="12" s="1"/>
  <c r="C65" i="12" s="1"/>
  <c r="B29" i="12"/>
  <c r="B41" i="12" s="1"/>
  <c r="B53" i="12" s="1"/>
  <c r="B65" i="12" s="1"/>
  <c r="C28" i="12"/>
  <c r="C40" i="12" s="1"/>
  <c r="C52" i="12" s="1"/>
  <c r="C64" i="12" s="1"/>
  <c r="B28" i="12"/>
  <c r="B40" i="12" s="1"/>
  <c r="B52" i="12" s="1"/>
  <c r="B64" i="12" s="1"/>
  <c r="C27" i="12"/>
  <c r="C39" i="12" s="1"/>
  <c r="C51" i="12" s="1"/>
  <c r="C63" i="12" s="1"/>
  <c r="B27" i="12"/>
  <c r="B39" i="12" s="1"/>
  <c r="B51" i="12" s="1"/>
  <c r="B63" i="12" s="1"/>
  <c r="C26" i="12"/>
  <c r="C38" i="12" s="1"/>
  <c r="C50" i="12" s="1"/>
  <c r="C62" i="12" s="1"/>
  <c r="B26" i="12"/>
  <c r="B38" i="12" s="1"/>
  <c r="B50" i="12" s="1"/>
  <c r="B62" i="12" s="1"/>
  <c r="C25" i="12"/>
  <c r="C37" i="12" s="1"/>
  <c r="C49" i="12" s="1"/>
  <c r="C61" i="12" s="1"/>
  <c r="B25" i="12"/>
  <c r="B37" i="12" s="1"/>
  <c r="B49" i="12" s="1"/>
  <c r="B61" i="12" s="1"/>
  <c r="C24" i="12"/>
  <c r="C36" i="12" s="1"/>
  <c r="C48" i="12" s="1"/>
  <c r="C60" i="12" s="1"/>
  <c r="B24" i="12"/>
  <c r="B36" i="12" s="1"/>
  <c r="B48" i="12" s="1"/>
  <c r="B60" i="12" s="1"/>
  <c r="C23" i="12"/>
  <c r="C35" i="12" s="1"/>
  <c r="C47" i="12" s="1"/>
  <c r="C59" i="12" s="1"/>
  <c r="B23" i="12"/>
  <c r="B35" i="12" s="1"/>
  <c r="B47" i="12" s="1"/>
  <c r="B59" i="12" s="1"/>
  <c r="AD12" i="7" l="1"/>
  <c r="AE12" i="7" s="1"/>
  <c r="V13" i="7"/>
  <c r="S13" i="7"/>
  <c r="J13" i="7"/>
  <c r="H13" i="7"/>
  <c r="E13" i="7"/>
  <c r="N13" i="7"/>
  <c r="Q13" i="7"/>
  <c r="A14" i="7"/>
  <c r="AD13" i="7" l="1"/>
  <c r="AE13" i="7" s="1"/>
  <c r="V14" i="7"/>
  <c r="Q14" i="7"/>
  <c r="N14" i="7"/>
  <c r="S14" i="7"/>
  <c r="J14" i="7"/>
  <c r="H14" i="7"/>
  <c r="E14" i="7"/>
  <c r="A15" i="7"/>
  <c r="AD14" i="7" l="1"/>
  <c r="AE14" i="7" s="1"/>
  <c r="V15" i="7"/>
  <c r="AD15" i="7" s="1"/>
  <c r="AE15" i="7" s="1"/>
  <c r="S15" i="7"/>
  <c r="Q15" i="7"/>
  <c r="N15" i="7"/>
  <c r="J15" i="7"/>
  <c r="H15" i="7"/>
  <c r="E15" i="7"/>
  <c r="A16" i="7"/>
  <c r="V16" i="7" l="1"/>
  <c r="AD16" i="7" s="1"/>
  <c r="AE16" i="7" s="1"/>
  <c r="S16" i="7"/>
  <c r="N16" i="7"/>
  <c r="J16" i="7"/>
  <c r="H16" i="7"/>
  <c r="E16" i="7"/>
  <c r="Q16" i="7"/>
  <c r="A17" i="7"/>
  <c r="V17" i="7" l="1"/>
  <c r="AD17" i="7" s="1"/>
  <c r="AE17" i="7" s="1"/>
  <c r="Q17" i="7"/>
  <c r="S17" i="7"/>
  <c r="N17" i="7"/>
  <c r="J17" i="7"/>
  <c r="H17" i="7"/>
  <c r="E17" i="7"/>
  <c r="A18" i="7"/>
  <c r="V18" i="7" l="1"/>
  <c r="AD18" i="7" s="1"/>
  <c r="AE18" i="7" s="1"/>
  <c r="Q18" i="7"/>
  <c r="N18" i="7"/>
  <c r="S18" i="7"/>
  <c r="J18" i="7"/>
  <c r="E18" i="7"/>
  <c r="H18" i="7"/>
  <c r="A19" i="7"/>
  <c r="V19" i="7" l="1"/>
  <c r="S19" i="7"/>
  <c r="J19" i="7"/>
  <c r="Q19" i="7"/>
  <c r="H19" i="7"/>
  <c r="E19" i="7"/>
  <c r="N19" i="7"/>
  <c r="A20" i="7"/>
  <c r="V20" i="7" l="1"/>
  <c r="N20" i="7"/>
  <c r="J20" i="7"/>
  <c r="Q20" i="7"/>
  <c r="E20" i="7"/>
  <c r="S20" i="7"/>
  <c r="H20" i="7"/>
  <c r="AE19" i="7"/>
  <c r="AD19" i="7"/>
  <c r="A21" i="7"/>
  <c r="V21" i="7" l="1"/>
  <c r="J21" i="7"/>
  <c r="H21" i="7"/>
  <c r="E21" i="7"/>
  <c r="S21" i="7"/>
  <c r="N21" i="7"/>
  <c r="Q21" i="7"/>
  <c r="AE20" i="7"/>
  <c r="AD20" i="7"/>
  <c r="A22" i="7"/>
  <c r="V22" i="7" l="1"/>
  <c r="Q22" i="7"/>
  <c r="N22" i="7"/>
  <c r="J22" i="7"/>
  <c r="H22" i="7"/>
  <c r="E22" i="7"/>
  <c r="S22" i="7"/>
  <c r="AE21" i="7"/>
  <c r="AD21" i="7"/>
  <c r="A23" i="7"/>
  <c r="V23" i="7" l="1"/>
  <c r="S23" i="7"/>
  <c r="N23" i="7"/>
  <c r="E23" i="7"/>
  <c r="J23" i="7"/>
  <c r="H23" i="7"/>
  <c r="Q23" i="7"/>
  <c r="AD22" i="7"/>
  <c r="AE22" i="7" s="1"/>
  <c r="A24" i="7"/>
  <c r="V24" i="7" l="1"/>
  <c r="S24" i="7"/>
  <c r="N24" i="7"/>
  <c r="J24" i="7"/>
  <c r="H24" i="7"/>
  <c r="E24" i="7"/>
  <c r="Q24" i="7"/>
  <c r="A25" i="7"/>
  <c r="V25" i="7" l="1"/>
  <c r="S25" i="7"/>
  <c r="Q25" i="7"/>
  <c r="N25" i="7"/>
  <c r="H25" i="7"/>
  <c r="E25" i="7"/>
  <c r="J25" i="7"/>
  <c r="A26" i="7"/>
  <c r="V26" i="7" l="1"/>
  <c r="Q26" i="7"/>
  <c r="S26" i="7"/>
  <c r="N26" i="7"/>
  <c r="J26" i="7"/>
  <c r="E26" i="7"/>
  <c r="H26" i="7"/>
  <c r="A27" i="7"/>
  <c r="V27" i="7" l="1"/>
  <c r="S27" i="7"/>
  <c r="H27" i="7"/>
  <c r="Q27" i="7"/>
  <c r="N27" i="7"/>
  <c r="E27" i="7"/>
  <c r="J27" i="7"/>
  <c r="A28" i="7"/>
  <c r="V28" i="7" l="1"/>
  <c r="H28" i="7"/>
  <c r="Q28" i="7"/>
  <c r="S28" i="7"/>
  <c r="J28" i="7"/>
  <c r="E28" i="7"/>
  <c r="N28" i="7"/>
  <c r="A29" i="7"/>
  <c r="V29" i="7" l="1"/>
  <c r="J29" i="7"/>
  <c r="H29" i="7"/>
  <c r="E29" i="7"/>
  <c r="Q29" i="7"/>
  <c r="S29" i="7"/>
  <c r="N29" i="7"/>
  <c r="A30" i="7"/>
  <c r="V30" i="7" l="1"/>
  <c r="Q30" i="7"/>
  <c r="N30" i="7"/>
  <c r="J30" i="7"/>
  <c r="H30" i="7"/>
  <c r="E30" i="7"/>
  <c r="S30" i="7"/>
  <c r="A31" i="7"/>
  <c r="V31" i="7" l="1"/>
  <c r="S31" i="7"/>
  <c r="N31" i="7"/>
  <c r="J31" i="7"/>
  <c r="H31" i="7"/>
  <c r="E31" i="7"/>
  <c r="Q31" i="7"/>
  <c r="A32" i="7"/>
  <c r="V32" i="7" l="1"/>
  <c r="N32" i="7"/>
  <c r="J32" i="7"/>
  <c r="H32" i="7"/>
  <c r="E32" i="7"/>
  <c r="Q32" i="7"/>
  <c r="S32" i="7"/>
  <c r="A33" i="7"/>
  <c r="V33" i="7" l="1"/>
  <c r="Q33" i="7"/>
  <c r="N33" i="7"/>
  <c r="J33" i="7"/>
  <c r="H33" i="7"/>
  <c r="E33" i="7"/>
  <c r="S33" i="7"/>
  <c r="A34" i="7"/>
  <c r="V34" i="7" l="1"/>
  <c r="S34" i="7"/>
  <c r="Q34" i="7"/>
  <c r="N34" i="7"/>
  <c r="J34" i="7"/>
  <c r="E34" i="7"/>
  <c r="H34" i="7"/>
  <c r="AE33" i="7"/>
  <c r="AE66" i="7" s="1"/>
  <c r="AD33" i="7"/>
  <c r="A35" i="7"/>
  <c r="V35" i="7" l="1"/>
  <c r="S35" i="7"/>
  <c r="Q35" i="7"/>
  <c r="J35" i="7"/>
  <c r="N35" i="7"/>
  <c r="H35" i="7"/>
  <c r="E35" i="7"/>
  <c r="AD34" i="7"/>
  <c r="AE34" i="7" s="1"/>
  <c r="A36" i="7"/>
  <c r="V36" i="7" l="1"/>
  <c r="AD36" i="7" s="1"/>
  <c r="AE36" i="7" s="1"/>
  <c r="N36" i="7"/>
  <c r="S36" i="7"/>
  <c r="Q36" i="7"/>
  <c r="H36" i="7"/>
  <c r="E36" i="7"/>
  <c r="J36" i="7"/>
  <c r="AD35" i="7"/>
  <c r="AE35" i="7" s="1"/>
  <c r="A37" i="7"/>
  <c r="V37" i="7" l="1"/>
  <c r="AD37" i="7" s="1"/>
  <c r="AE37" i="7" s="1"/>
  <c r="J37" i="7"/>
  <c r="H37" i="7"/>
  <c r="E37" i="7"/>
  <c r="S37" i="7"/>
  <c r="Q37" i="7"/>
  <c r="N37" i="7"/>
  <c r="A38" i="7"/>
  <c r="V38" i="7" l="1"/>
  <c r="AD38" i="7" s="1"/>
  <c r="AE38" i="7" s="1"/>
  <c r="Q38" i="7"/>
  <c r="N38" i="7"/>
  <c r="J38" i="7"/>
  <c r="H38" i="7"/>
  <c r="E38" i="7"/>
  <c r="S38" i="7"/>
  <c r="A39" i="7"/>
  <c r="V39" i="7" l="1"/>
  <c r="AD39" i="7" s="1"/>
  <c r="AE39" i="7" s="1"/>
  <c r="S39" i="7"/>
  <c r="N39" i="7"/>
  <c r="E39" i="7"/>
  <c r="J39" i="7"/>
  <c r="H39" i="7"/>
  <c r="Q39" i="7"/>
  <c r="A40" i="7"/>
  <c r="V40" i="7" l="1"/>
  <c r="AD40" i="7" s="1"/>
  <c r="AE40" i="7" s="1"/>
  <c r="N40" i="7"/>
  <c r="J40" i="7"/>
  <c r="H40" i="7"/>
  <c r="E40" i="7"/>
  <c r="S40" i="7"/>
  <c r="Q40" i="7"/>
  <c r="A41" i="7"/>
  <c r="V41" i="7" l="1"/>
  <c r="AD41" i="7" s="1"/>
  <c r="AE41" i="7" s="1"/>
  <c r="N41" i="7"/>
  <c r="E41" i="7"/>
  <c r="J41" i="7"/>
  <c r="H41" i="7"/>
  <c r="S41" i="7"/>
  <c r="Q41" i="7"/>
  <c r="A42" i="7"/>
  <c r="V42" i="7" l="1"/>
  <c r="AD42" i="7" s="1"/>
  <c r="AE42" i="7" s="1"/>
  <c r="S42" i="7"/>
  <c r="E42" i="7"/>
  <c r="N42" i="7"/>
  <c r="J42" i="7"/>
  <c r="H42" i="7"/>
  <c r="Q42" i="7"/>
  <c r="A43" i="7"/>
  <c r="V43" i="7" l="1"/>
  <c r="AD43" i="7" s="1"/>
  <c r="AE43" i="7" s="1"/>
  <c r="S43" i="7"/>
  <c r="H43" i="7"/>
  <c r="E43" i="7"/>
  <c r="N43" i="7"/>
  <c r="Q43" i="7"/>
  <c r="J43" i="7"/>
  <c r="A44" i="7"/>
  <c r="V44" i="7" l="1"/>
  <c r="AD44" i="7" s="1"/>
  <c r="AE44" i="7" s="1"/>
  <c r="Q44" i="7"/>
  <c r="J44" i="7"/>
  <c r="N44" i="7"/>
  <c r="S44" i="7"/>
  <c r="H44" i="7"/>
  <c r="E44" i="7"/>
  <c r="A45" i="7"/>
  <c r="V45" i="7" l="1"/>
  <c r="AD45" i="7" s="1"/>
  <c r="AE45" i="7" s="1"/>
  <c r="S45" i="7"/>
  <c r="J45" i="7"/>
  <c r="H45" i="7"/>
  <c r="E45" i="7"/>
  <c r="Q45" i="7"/>
  <c r="N45" i="7"/>
  <c r="A46" i="7"/>
  <c r="V46" i="7" l="1"/>
  <c r="AD46" i="7" s="1"/>
  <c r="AE46" i="7" s="1"/>
  <c r="Q46" i="7"/>
  <c r="N46" i="7"/>
  <c r="S46" i="7"/>
  <c r="J46" i="7"/>
  <c r="H46" i="7"/>
  <c r="E46" i="7"/>
  <c r="A47" i="7"/>
  <c r="V47" i="7" l="1"/>
  <c r="AD47" i="7" s="1"/>
  <c r="AE47" i="7" s="1"/>
  <c r="S47" i="7"/>
  <c r="N47" i="7"/>
  <c r="J47" i="7"/>
  <c r="Q47" i="7"/>
  <c r="H47" i="7"/>
  <c r="E47" i="7"/>
  <c r="A48" i="7"/>
  <c r="V48" i="7" l="1"/>
  <c r="AD48" i="7" s="1"/>
  <c r="AE48" i="7" s="1"/>
  <c r="S48" i="7"/>
  <c r="N48" i="7"/>
  <c r="Q48" i="7"/>
  <c r="J48" i="7"/>
  <c r="H48" i="7"/>
  <c r="E48" i="7"/>
  <c r="A49" i="7"/>
  <c r="V49" i="7" l="1"/>
  <c r="AD49" i="7" s="1"/>
  <c r="AE49" i="7" s="1"/>
  <c r="S49" i="7"/>
  <c r="N49" i="7"/>
  <c r="Q49" i="7"/>
  <c r="J49" i="7"/>
  <c r="H49" i="7"/>
  <c r="E49" i="7"/>
  <c r="A50" i="7"/>
  <c r="V50" i="7" l="1"/>
  <c r="AD50" i="7" s="1"/>
  <c r="AE50" i="7" s="1"/>
  <c r="N50" i="7"/>
  <c r="S50" i="7"/>
  <c r="Q50" i="7"/>
  <c r="J50" i="7"/>
  <c r="E50" i="7"/>
  <c r="H50" i="7"/>
  <c r="A51" i="7"/>
  <c r="V51" i="7" l="1"/>
  <c r="AD51" i="7" s="1"/>
  <c r="AE51" i="7" s="1"/>
  <c r="S51" i="7"/>
  <c r="Q51" i="7"/>
  <c r="E51" i="7"/>
  <c r="H51" i="7"/>
  <c r="J51" i="7"/>
  <c r="N51" i="7"/>
  <c r="A52" i="7"/>
  <c r="V52" i="7" l="1"/>
  <c r="AD52" i="7" s="1"/>
  <c r="AE52" i="7" s="1"/>
  <c r="E52" i="7"/>
  <c r="J52" i="7"/>
  <c r="S52" i="7"/>
  <c r="H52" i="7"/>
  <c r="N52" i="7"/>
  <c r="Q52" i="7"/>
  <c r="A53" i="7"/>
  <c r="V53" i="7" l="1"/>
  <c r="AD53" i="7" s="1"/>
  <c r="AE53" i="7" s="1"/>
  <c r="Q53" i="7"/>
  <c r="J53" i="7"/>
  <c r="H53" i="7"/>
  <c r="E53" i="7"/>
  <c r="S53" i="7"/>
  <c r="N53" i="7"/>
  <c r="A54" i="7"/>
  <c r="V54" i="7" l="1"/>
  <c r="AD54" i="7" s="1"/>
  <c r="AE54" i="7" s="1"/>
  <c r="Q54" i="7"/>
  <c r="N54" i="7"/>
  <c r="J54" i="7"/>
  <c r="H54" i="7"/>
  <c r="E54" i="7"/>
  <c r="S54" i="7"/>
  <c r="A55" i="7"/>
  <c r="V55" i="7" l="1"/>
  <c r="AD55" i="7" s="1"/>
  <c r="AE55" i="7" s="1"/>
  <c r="S55" i="7"/>
  <c r="Q55" i="7"/>
  <c r="N55" i="7"/>
  <c r="H55" i="7"/>
  <c r="E55" i="7"/>
  <c r="J55" i="7"/>
  <c r="A56" i="7"/>
  <c r="V56" i="7" l="1"/>
  <c r="AD56" i="7" s="1"/>
  <c r="AE56" i="7" s="1"/>
  <c r="S56" i="7"/>
  <c r="N56" i="7"/>
  <c r="Q56" i="7"/>
  <c r="J56" i="7"/>
  <c r="H56" i="7"/>
  <c r="E56" i="7"/>
  <c r="A57" i="7"/>
  <c r="V57" i="7" l="1"/>
  <c r="AD57" i="7" s="1"/>
  <c r="AE57" i="7" s="1"/>
  <c r="S57" i="7"/>
  <c r="Q57" i="7"/>
  <c r="N57" i="7"/>
  <c r="H57" i="7"/>
  <c r="E57" i="7"/>
  <c r="J57" i="7"/>
  <c r="A58" i="7"/>
  <c r="V58" i="7" l="1"/>
  <c r="AD58" i="7" s="1"/>
  <c r="AE58" i="7" s="1"/>
  <c r="S58" i="7"/>
  <c r="Q58" i="7"/>
  <c r="N58" i="7"/>
  <c r="J58" i="7"/>
  <c r="E58" i="7"/>
  <c r="H58" i="7"/>
  <c r="A59" i="7"/>
  <c r="V59" i="7" l="1"/>
  <c r="AD59" i="7" s="1"/>
  <c r="AE59" i="7" s="1"/>
  <c r="J59" i="7"/>
  <c r="E59" i="7"/>
  <c r="S59" i="7"/>
  <c r="N59" i="7"/>
  <c r="Q59" i="7"/>
  <c r="H59" i="7"/>
  <c r="A60" i="7"/>
  <c r="V60" i="7" l="1"/>
  <c r="AD60" i="7" s="1"/>
  <c r="AE60" i="7" s="1"/>
  <c r="N60" i="7"/>
  <c r="E60" i="7"/>
  <c r="J60" i="7"/>
  <c r="S60" i="7"/>
  <c r="Q60" i="7"/>
  <c r="H60" i="7"/>
  <c r="A61" i="7"/>
  <c r="V61" i="7" l="1"/>
  <c r="AD61" i="7" s="1"/>
  <c r="AE61" i="7" s="1"/>
  <c r="J61" i="7"/>
  <c r="H61" i="7"/>
  <c r="E61" i="7"/>
  <c r="N61" i="7"/>
  <c r="Q61" i="7"/>
  <c r="S61" i="7"/>
  <c r="A62" i="7"/>
  <c r="V62" i="7" l="1"/>
  <c r="AD62" i="7" s="1"/>
  <c r="AE62" i="7" s="1"/>
  <c r="Q62" i="7"/>
  <c r="N62" i="7"/>
  <c r="J62" i="7"/>
  <c r="H62" i="7"/>
  <c r="E62" i="7"/>
  <c r="S62" i="7"/>
  <c r="A63" i="7"/>
  <c r="V63" i="7" l="1"/>
  <c r="AD63" i="7" s="1"/>
  <c r="AE63" i="7" s="1"/>
  <c r="S63" i="7"/>
  <c r="Q63" i="7"/>
  <c r="N63" i="7"/>
  <c r="J63" i="7"/>
  <c r="H63" i="7"/>
  <c r="E63" i="7"/>
  <c r="A64" i="7"/>
  <c r="V64" i="7" l="1"/>
  <c r="AD64" i="7" s="1"/>
  <c r="AE64" i="7" s="1"/>
  <c r="S64" i="7"/>
  <c r="Q64" i="7"/>
  <c r="N64" i="7"/>
  <c r="J64" i="7"/>
  <c r="H64" i="7"/>
  <c r="E64" i="7"/>
  <c r="A65" i="7"/>
  <c r="V65" i="7" l="1"/>
  <c r="AD65" i="7" s="1"/>
  <c r="AE65" i="7" s="1"/>
  <c r="S65" i="7"/>
  <c r="Q65" i="7"/>
  <c r="N65" i="7"/>
  <c r="J65" i="7"/>
  <c r="H65" i="7"/>
  <c r="E65" i="7"/>
</calcChain>
</file>

<file path=xl/sharedStrings.xml><?xml version="1.0" encoding="utf-8"?>
<sst xmlns="http://schemas.openxmlformats.org/spreadsheetml/2006/main" count="42348" uniqueCount="460">
  <si>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</si>
  <si>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</si>
  <si>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</si>
  <si>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</si>
  <si>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</si>
  <si>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</si>
  <si>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</si>
  <si>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</si>
  <si>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</si>
  <si>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</si>
  <si>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</si>
  <si>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</si>
  <si>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</si>
  <si>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</si>
  <si>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</si>
  <si>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</si>
  <si>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</si>
  <si>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</si>
  <si>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</si>
  <si>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</si>
  <si>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</si>
  <si>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</si>
  <si>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</si>
  <si>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</si>
  <si>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</si>
  <si>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</si>
  <si>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</si>
  <si>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</si>
  <si>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</si>
  <si>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</si>
  <si>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</si>
  <si>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</si>
  <si>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</si>
  <si>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</si>
  <si>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</si>
  <si>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</si>
  <si>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</si>
  <si>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</si>
  <si>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</si>
  <si>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</si>
  <si>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</si>
  <si>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</si>
  <si>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</si>
  <si>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</si>
  <si>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</si>
  <si>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</si>
  <si>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</si>
  <si>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</si>
  <si>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</si>
  <si>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</si>
  <si>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</si>
  <si>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</si>
  <si>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</si>
  <si>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</si>
  <si>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</si>
  <si>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</si>
  <si>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</si>
  <si>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</si>
  <si>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</si>
  <si>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</si>
  <si>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</si>
  <si>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</si>
  <si>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</si>
  <si>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</si>
  <si>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</si>
  <si>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</si>
  <si>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</si>
  <si>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</si>
  <si>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</si>
  <si>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</si>
  <si>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</si>
  <si>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</si>
  <si>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</si>
  <si>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</si>
  <si>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</si>
  <si>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</si>
  <si>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PNP 7T/2018</t>
  </si>
  <si>
    <t>PNP 20T/2019</t>
  </si>
  <si>
    <t>PNP 6T/2020</t>
  </si>
  <si>
    <t>PNP 16T/2021</t>
  </si>
  <si>
    <t>Montos a favor</t>
  </si>
  <si>
    <t>Montos en contra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</si>
  <si>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</si>
  <si>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</si>
  <si>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</si>
  <si>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</si>
  <si>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</si>
  <si>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</si>
  <si>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</si>
  <si>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</si>
  <si>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</si>
  <si>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</si>
  <si>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</si>
  <si>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</si>
  <si>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</si>
  <si>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</si>
  <si>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</si>
  <si>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</si>
  <si>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</si>
  <si>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</si>
  <si>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</si>
  <si>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</si>
  <si>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</si>
  <si>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</si>
  <si>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</si>
  <si>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</si>
  <si>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</si>
  <si>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</si>
  <si>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</si>
  <si>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</si>
  <si>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</si>
  <si>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</si>
  <si>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</si>
  <si>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</si>
  <si>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</si>
  <si>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</si>
  <si>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</si>
  <si>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</si>
  <si>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</si>
  <si>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</si>
  <si>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</si>
  <si>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</si>
  <si>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</si>
  <si>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</si>
  <si>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</si>
  <si>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</si>
  <si>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</si>
  <si>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</si>
  <si>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</si>
  <si>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</si>
  <si>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</si>
  <si>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</si>
  <si>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</si>
  <si>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</si>
  <si>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</si>
  <si>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</si>
  <si>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</si>
  <si>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</si>
  <si>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</si>
  <si>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</si>
  <si>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</si>
  <si>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</si>
  <si>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</si>
  <si>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</si>
  <si>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</si>
  <si>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</si>
  <si>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</si>
  <si>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</si>
  <si>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</si>
  <si>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</si>
  <si>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</si>
  <si>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</si>
  <si>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</si>
  <si>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</si>
  <si>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</si>
  <si>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</si>
  <si>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</si>
  <si>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</si>
  <si>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</si>
  <si>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</si>
  <si>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</si>
  <si>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</si>
  <si>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</si>
  <si>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</si>
  <si>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</si>
  <si>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</si>
  <si>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</si>
  <si>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</si>
  <si>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</si>
  <si>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</si>
  <si>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</si>
  <si>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</si>
  <si>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</si>
  <si>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</si>
  <si>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</si>
  <si>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</si>
  <si>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</si>
  <si>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</si>
  <si>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</si>
  <si>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</si>
  <si>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</si>
  <si>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</si>
  <si>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</si>
  <si>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</si>
  <si>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</si>
  <si>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</si>
  <si>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</si>
  <si>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</si>
  <si>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</si>
  <si>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</si>
  <si>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</si>
  <si>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</si>
  <si>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</si>
  <si>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</si>
  <si>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</si>
  <si>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</si>
  <si>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</si>
  <si>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</si>
  <si>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</si>
  <si>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</si>
  <si>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</si>
  <si>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</si>
  <si>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</si>
  <si>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</si>
  <si>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</si>
  <si>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</si>
  <si>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</si>
  <si>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</si>
  <si>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</si>
  <si>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</si>
  <si>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</si>
  <si>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</si>
  <si>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</si>
  <si>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</si>
  <si>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</si>
  <si>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</si>
  <si>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</si>
  <si>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</si>
  <si>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</si>
  <si>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</si>
  <si>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</si>
  <si>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</si>
  <si>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</si>
  <si>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</si>
  <si>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</si>
  <si>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</si>
  <si>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</si>
  <si>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</si>
  <si>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</si>
  <si>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</si>
  <si>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</si>
  <si>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</si>
  <si>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</si>
  <si>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</si>
  <si>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</si>
  <si>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</si>
  <si>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</si>
  <si>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</si>
  <si>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</si>
  <si>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</si>
  <si>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</si>
  <si>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</si>
  <si>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</si>
  <si>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</si>
  <si>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</si>
  <si>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</si>
  <si>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</si>
  <si>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</si>
  <si>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</si>
  <si>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</si>
  <si>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</si>
  <si>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</si>
  <si>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</si>
  <si>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</si>
  <si>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</si>
  <si>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</si>
  <si>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</si>
  <si>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</si>
  <si>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</si>
  <si>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</si>
  <si>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</si>
  <si>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</si>
  <si>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</si>
  <si>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</si>
  <si>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</si>
  <si>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</si>
  <si>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</si>
  <si>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</si>
  <si>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</si>
  <si>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</si>
  <si>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</si>
  <si>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</si>
  <si>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</si>
  <si>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</si>
  <si>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</si>
  <si>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</si>
  <si>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</si>
  <si>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</si>
  <si>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</si>
  <si>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</si>
  <si>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</si>
  <si>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</si>
  <si>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</si>
  <si>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</si>
  <si>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</si>
  <si>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</si>
  <si>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</si>
  <si>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</si>
  <si>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</si>
  <si>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</si>
  <si>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</si>
  <si>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</si>
  <si>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</si>
  <si>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</si>
  <si>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</si>
  <si>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</si>
  <si>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</si>
  <si>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</si>
  <si>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</si>
  <si>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</si>
  <si>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</si>
  <si>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</si>
  <si>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</si>
  <si>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</si>
  <si>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</si>
  <si>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</si>
  <si>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</si>
  <si>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</si>
  <si>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</si>
  <si>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</si>
  <si>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</si>
  <si>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</si>
  <si>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</si>
  <si>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</si>
  <si>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</si>
  <si>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</si>
  <si>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</si>
  <si>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</si>
  <si>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</si>
  <si>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</si>
  <si>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</si>
  <si>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</si>
  <si>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</si>
  <si>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</si>
  <si>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</si>
  <si>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</si>
  <si>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</si>
  <si>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</si>
  <si>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</si>
  <si>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</si>
  <si>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</si>
  <si>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</si>
  <si>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</si>
  <si>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</si>
  <si>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</si>
  <si>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</si>
  <si>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</si>
  <si>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</si>
  <si>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</si>
  <si>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</si>
  <si>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</si>
  <si>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</si>
  <si>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</si>
  <si>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</si>
  <si>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</si>
  <si>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</si>
  <si>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</si>
  <si>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</si>
  <si>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</si>
  <si>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</si>
  <si>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</si>
  <si>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</si>
  <si>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</si>
  <si>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</si>
  <si>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</si>
  <si>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</si>
  <si>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</si>
  <si>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</si>
  <si>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</si>
  <si>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</si>
  <si>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</si>
  <si>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</si>
  <si>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</si>
  <si>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</si>
  <si>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</si>
  <si>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</si>
  <si>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</si>
  <si>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</si>
  <si>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</si>
  <si>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</si>
  <si>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</si>
  <si>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</si>
  <si>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</si>
  <si>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</si>
  <si>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</si>
  <si>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</si>
  <si>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</si>
  <si>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</si>
  <si>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</si>
  <si>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</si>
  <si>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</si>
  <si>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</si>
  <si>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</si>
  <si>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</si>
  <si>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</si>
  <si>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</si>
  <si>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</si>
  <si>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</si>
  <si>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</si>
  <si>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</si>
  <si>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</si>
  <si>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</si>
  <si>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</si>
  <si>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</si>
  <si>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</si>
  <si>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</si>
  <si>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</si>
  <si>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</si>
  <si>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</si>
  <si>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</si>
  <si>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</si>
  <si>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</si>
  <si>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</si>
  <si>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</si>
  <si>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</si>
  <si>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</si>
  <si>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</si>
  <si>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</si>
  <si>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</si>
  <si>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</si>
  <si>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</si>
  <si>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</si>
  <si>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</si>
  <si>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</si>
  <si>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</si>
  <si>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</si>
  <si>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</si>
  <si>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</si>
  <si>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</si>
  <si>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</si>
  <si>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</si>
  <si>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</si>
  <si>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</si>
  <si>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</si>
  <si>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</si>
  <si>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</si>
  <si>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</si>
  <si>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</si>
  <si>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</si>
  <si>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</si>
  <si>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</si>
  <si>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</si>
  <si>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</si>
  <si>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</si>
  <si>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</si>
  <si>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</si>
  <si>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</si>
  <si>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</si>
  <si>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</si>
  <si>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8T/11-07-2016</t>
  </si>
  <si>
    <t>12T/20-12-2016</t>
  </si>
  <si>
    <t>3T/15-05-2017</t>
  </si>
  <si>
    <t>12T/28-11-2017</t>
  </si>
  <si>
    <t>7T/18-05-2018</t>
  </si>
  <si>
    <t>20T/13-12-2018</t>
  </si>
  <si>
    <t>6T/08-05-2020</t>
  </si>
  <si>
    <t>16T/02-11-2020</t>
  </si>
  <si>
    <t>19T/30-12-2020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</si>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</sst>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2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9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8" xfId="0" applyFill="1" applyBorder="1"/>
    <xf numFmtId="165" fontId="0" fillId="0" borderId="19" xfId="0" applyNumberFormat="1" applyBorder="1"/>
    <xf numFmtId="0" fontId="1" fillId="3" borderId="30" xfId="0" applyFont="1" applyFill="1" applyBorder="1"/>
    <xf numFmtId="165" fontId="1" fillId="3" borderId="29" xfId="0" applyNumberFormat="1" applyFont="1" applyFill="1" applyBorder="1"/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2" borderId="12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5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2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50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5" fontId="0" fillId="0" borderId="50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50" xfId="0" applyBorder="1" applyAlignment="1">
      <alignment horizontal="center"/>
    </xf>
    <xf numFmtId="0" fontId="69" fillId="0" borderId="0" xfId="0" applyFont="1"/>
    <xf numFmtId="0" fontId="69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8" xfId="0" applyFont="1" applyBorder="1" applyAlignment="1">
      <alignment horizontal="left"/>
    </xf>
    <xf numFmtId="0" fontId="71" fillId="0" borderId="18" xfId="0" applyFont="1" applyBorder="1" applyAlignment="1">
      <alignment horizontal="center"/>
    </xf>
    <xf numFmtId="0" fontId="71" fillId="0" borderId="0" xfId="0" applyFont="1" applyBorder="1" applyAlignment="1">
      <alignment horizontal="left"/>
    </xf>
    <xf numFmtId="0" fontId="71" fillId="0" borderId="0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4" fontId="70" fillId="0" borderId="0" xfId="0" applyNumberFormat="1" applyFont="1" applyFill="1" applyAlignment="1">
      <alignment horizontal="center"/>
    </xf>
    <xf numFmtId="10" fontId="70" fillId="0" borderId="0" xfId="0" applyNumberFormat="1" applyFont="1" applyFill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7" xfId="0" applyFont="1" applyFill="1" applyBorder="1" applyAlignment="1">
      <alignment vertical="center" wrapText="1"/>
    </xf>
    <xf numFmtId="17" fontId="0" fillId="0" borderId="50" xfId="0" applyNumberFormat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3" fillId="71" borderId="48" xfId="0" applyFont="1" applyFill="1" applyBorder="1" applyAlignment="1">
      <alignment horizontal="center"/>
    </xf>
    <xf numFmtId="0" fontId="3" fillId="71" borderId="49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ardenas\Desktop\MEIR\08%20LAP\17%20Reliq%20PPAs%20Regulados\Template\20210609%20Template_rev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iquidacion"/>
      <sheetName val="Hoja1"/>
      <sheetName val="MAPA DATA"/>
      <sheetName val="FACT_EST_CEN"/>
      <sheetName val="FACT_EST_EFACT"/>
      <sheetName val="FACT_EMITIDA"/>
      <sheetName val="SIGGE_E"/>
      <sheetName val="SIGGE_P"/>
      <sheetName val="EFACT_CNE"/>
      <sheetName val="EFACT_EST_CEN"/>
      <sheetName val="INTER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Interés ResEx 703 (06-nov.2018), Artículo 13</v>
          </cell>
        </row>
        <row r="2">
          <cell r="A2" t="str">
            <v>Operaciones no reajustables en moneda nacional de menos de 90 días, superiores al equivalente de 5.000 unidades de fomento</v>
          </cell>
        </row>
        <row r="5">
          <cell r="A5" t="str">
            <v>Decreto</v>
          </cell>
          <cell r="B5" t="str">
            <v>Fecha Publicación</v>
          </cell>
        </row>
        <row r="10">
          <cell r="A10" t="str">
            <v>PNP 7T/2018</v>
          </cell>
          <cell r="B10">
            <v>43371</v>
          </cell>
        </row>
        <row r="11">
          <cell r="A11" t="str">
            <v>PNP 20T/2019</v>
          </cell>
          <cell r="B11">
            <v>43591</v>
          </cell>
        </row>
        <row r="12">
          <cell r="A12" t="str">
            <v>PNP 6T/2020</v>
          </cell>
          <cell r="B12">
            <v>44137</v>
          </cell>
        </row>
        <row r="13">
          <cell r="A13" t="str">
            <v>PNP 16T/2021</v>
          </cell>
          <cell r="B13">
            <v>44275</v>
          </cell>
        </row>
        <row r="14">
          <cell r="A14" t="str">
            <v>PNP 19T/2021</v>
          </cell>
          <cell r="B14">
            <v>44336</v>
          </cell>
        </row>
        <row r="18">
          <cell r="A18" t="str">
            <v>8T/11-07-2016</v>
          </cell>
        </row>
        <row r="19">
          <cell r="A19" t="str">
            <v>12T/20-12-2016</v>
          </cell>
        </row>
        <row r="20">
          <cell r="A20" t="str">
            <v>3T/15-05-2017</v>
          </cell>
        </row>
        <row r="21">
          <cell r="A21" t="str">
            <v>12T/28-11-2017</v>
          </cell>
        </row>
        <row r="22">
          <cell r="A22" t="str">
            <v>7T/18-05-2018</v>
          </cell>
        </row>
        <row r="23">
          <cell r="A23" t="str">
            <v>20T/13-12-2018</v>
          </cell>
        </row>
        <row r="24">
          <cell r="A24" t="str">
            <v>6T/08-05-2020</v>
          </cell>
        </row>
        <row r="25">
          <cell r="A25" t="str">
            <v>16T/02-11-2020</v>
          </cell>
        </row>
        <row r="26">
          <cell r="A26" t="str">
            <v>19T/30-12-2020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zoomScaleNormal="100" workbookViewId="0">
      <selection activeCell="A9" sqref="A9"/>
    </sheetView>
  </sheetViews>
  <sheetFormatPr baseColWidth="10" defaultRowHeight="15" x14ac:dyDescent="0.25"/>
  <cols>
    <col min="1" max="1" width="12.28515625" style="63" bestFit="1" customWidth="1"/>
    <col min="2" max="2" width="19" style="5" bestFit="1" customWidth="1"/>
    <col min="3" max="3" width="168.5703125" style="5" customWidth="1"/>
    <col min="4" max="4" width="54.140625" customWidth="1"/>
    <col min="5" max="5" width="11.140625" customWidth="1"/>
    <col min="6" max="6" width="53.5703125" customWidth="1"/>
    <col min="7" max="7" width="53.85546875" customWidth="1"/>
    <col min="8" max="8" width="10.7109375" bestFit="1" customWidth="1"/>
    <col min="9" max="9" width="54.5703125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13.42578125" bestFit="1" customWidth="1"/>
    <col min="15" max="15" width="55.5703125" customWidth="1"/>
    <col min="16" max="16" width="55" bestFit="1" customWidth="1"/>
    <col min="17" max="17" width="12.85546875" bestFit="1" customWidth="1"/>
    <col min="18" max="18" width="59.285156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5.28515625" style="5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64</v>
      </c>
      <c r="B2" s="39" t="s">
        <v>105</v>
      </c>
      <c r="W2"/>
      <c r="X2"/>
      <c r="Y2"/>
    </row>
    <row r="3" spans="1:31" x14ac:dyDescent="0.25">
      <c r="A3" s="7" t="s">
        <v>65</v>
      </c>
      <c r="B3" s="40" t="s">
        <v>106</v>
      </c>
      <c r="W3"/>
      <c r="X3"/>
      <c r="Y3"/>
    </row>
    <row r="4" spans="1:31" x14ac:dyDescent="0.25">
      <c r="A4" s="7" t="s">
        <v>47</v>
      </c>
      <c r="B4" s="8" t="s">
        <v>69</v>
      </c>
      <c r="W4"/>
      <c r="X4"/>
      <c r="Y4"/>
    </row>
    <row r="5" spans="1:31" x14ac:dyDescent="0.25">
      <c r="A5" s="9" t="s">
        <v>44</v>
      </c>
      <c r="B5" s="41" t="s">
        <v>107</v>
      </c>
      <c r="W5"/>
      <c r="X5"/>
      <c r="Y5"/>
    </row>
    <row r="7" spans="1:31" ht="14.45" customHeight="1" x14ac:dyDescent="0.25">
      <c r="C7" s="82" t="s">
        <v>413</v>
      </c>
      <c r="D7" s="82"/>
      <c r="E7" s="82"/>
      <c r="F7" s="82"/>
      <c r="G7" s="82"/>
      <c r="H7" s="82"/>
      <c r="I7" s="82"/>
      <c r="J7" s="83"/>
      <c r="L7" s="84" t="s">
        <v>414</v>
      </c>
      <c r="M7" s="84"/>
      <c r="N7" s="84"/>
      <c r="O7" s="84"/>
      <c r="P7" s="84"/>
      <c r="Q7" s="84"/>
      <c r="R7" s="84"/>
      <c r="S7" s="84"/>
      <c r="U7" s="85" t="s">
        <v>416</v>
      </c>
      <c r="V7" s="86"/>
      <c r="W7" s="86"/>
      <c r="X7" s="86"/>
      <c r="Y7" s="86"/>
      <c r="Z7" s="86"/>
      <c r="AA7" s="86"/>
      <c r="AB7" s="86"/>
      <c r="AC7" s="86"/>
      <c r="AD7" s="86"/>
      <c r="AE7" s="87"/>
    </row>
    <row r="8" spans="1:31" s="3" customFormat="1" ht="30" x14ac:dyDescent="0.25">
      <c r="A8" s="42" t="s">
        <v>418</v>
      </c>
      <c r="B8" s="42" t="s">
        <v>417</v>
      </c>
      <c r="C8" s="42" t="s">
        <v>415</v>
      </c>
      <c r="D8" s="26" t="s">
        <v>66</v>
      </c>
      <c r="E8" s="26" t="s">
        <v>68</v>
      </c>
      <c r="F8" s="27" t="s">
        <v>72</v>
      </c>
      <c r="G8" s="26" t="s">
        <v>70</v>
      </c>
      <c r="H8" s="26" t="s">
        <v>71</v>
      </c>
      <c r="I8" s="27" t="s">
        <v>73</v>
      </c>
      <c r="J8" s="28" t="s">
        <v>67</v>
      </c>
      <c r="L8" s="42" t="s">
        <v>415</v>
      </c>
      <c r="M8" s="26" t="s">
        <v>66</v>
      </c>
      <c r="N8" s="26" t="s">
        <v>68</v>
      </c>
      <c r="O8" s="27" t="s">
        <v>72</v>
      </c>
      <c r="P8" s="26" t="s">
        <v>70</v>
      </c>
      <c r="Q8" s="26" t="s">
        <v>71</v>
      </c>
      <c r="R8" s="27" t="s">
        <v>73</v>
      </c>
      <c r="S8" s="28" t="s">
        <v>67</v>
      </c>
      <c r="U8" s="20" t="s">
        <v>3</v>
      </c>
      <c r="V8" s="78" t="s">
        <v>448</v>
      </c>
      <c r="W8" s="19" t="s">
        <v>449</v>
      </c>
      <c r="X8" s="20" t="s">
        <v>450</v>
      </c>
      <c r="Y8" s="19" t="s">
        <v>451</v>
      </c>
      <c r="Z8" s="20" t="s">
        <v>452</v>
      </c>
      <c r="AA8" s="19" t="s">
        <v>453</v>
      </c>
      <c r="AB8" s="20" t="s">
        <v>454</v>
      </c>
      <c r="AC8" s="20" t="s">
        <v>455</v>
      </c>
      <c r="AD8" s="19" t="s">
        <v>456</v>
      </c>
      <c r="AE8" s="18" t="s">
        <v>457</v>
      </c>
    </row>
    <row r="9" spans="1:31" x14ac:dyDescent="0.25">
      <c r="A9" s="64">
        <v>9</v>
      </c>
      <c r="B9" s="59">
        <v>42370</v>
      </c>
      <c r="C9" s="32" t="str">
        <f>CONCATENATE("IF(VLOOKUP(B9,MAPA_DATA!D:G,2,0)=1,'FACT_EMITIDA',IF(VLOOKUP(B",A9,",MAPA_DATA!D:G,3,0)=1,'FACT_EST_EFACT',(IF(VLOOKUP(B",A9,",MAPA_DATA!D:G,4,0)=1,'FACT_EST_CEN','SIN_DATA')))")</f>
        <v>IF(VLOOKUP(B9,MAPA_DATA!D:G,2,0)=1,'FACT_EMITIDA',IF(VLOOKUP(B9,MAPA_DATA!D:G,3,0)=1,'FACT_EST_EFACT',(IF(VLOOKUP(B9,MAPA_DATA!D:G,4,0)=1,'FACT_EST_CEN','SIN_DATA')))</v>
      </c>
      <c r="D9" s="11" t="str">
        <f t="shared" ref="D9:D40" si="0">CONCATENATE("SUMIF(",IF(C9="FACT_EMITIDA","SIGGE_E",C9),"!B:B,Reliquidacion!B",A9,",",IF(C9="FACT_EMITIDA","SIGGE_E",C9),"!F:F)")</f>
        <v>SUMIF(IF(VLOOKUP(B9,MAPA_DATA!D:G,2,0)=1,'FACT_EMITIDA',IF(VLOOKUP(B9,MAPA_DATA!D:G,3,0)=1,'FACT_EST_EFACT',(IF(VLOOKUP(B9,MAPA_DATA!D:G,4,0)=1,'FACT_EST_CEN','SIN_DATA')))!B:B,Reliquidacion!B9,IF(VLOOKUP(B9,MAPA_DATA!D:G,2,0)=1,'FACT_EMITIDA',IF(VLOOKUP(B9,MAPA_DATA!D:G,3,0)=1,'FACT_EST_EFACT',(IF(VLOOKUP(B9,MAPA_DATA!D:G,4,0)=1,'FACT_EST_CEN','SIN_DATA')))!F:F)</v>
      </c>
      <c r="E9" s="12" t="str">
        <f>CONCATENATE("(F",A9,"/D",A9,")")</f>
        <v>(F9/D9)</v>
      </c>
      <c r="F9" s="11" t="str">
        <f t="shared" ref="F9:F40" si="1">CONCATENATE("SUMIF(",IF(C9="FACT_EMITIDA","SIGGE_E",C9),"!B:B,Reliquidacion!B",A9,",",IF(C9="FACT_EMITIDA","SIGGE_E",C9),"!H:H)")</f>
        <v>SUMIF(IF(VLOOKUP(B9,MAPA_DATA!D:G,2,0)=1,'FACT_EMITIDA',IF(VLOOKUP(B9,MAPA_DATA!D:G,3,0)=1,'FACT_EST_EFACT',(IF(VLOOKUP(B9,MAPA_DATA!D:G,4,0)=1,'FACT_EST_CEN','SIN_DATA')))!B:B,Reliquidacion!B9,IF(VLOOKUP(B9,MAPA_DATA!D:G,2,0)=1,'FACT_EMITIDA',IF(VLOOKUP(B9,MAPA_DATA!D:G,3,0)=1,'FACT_EST_EFACT',(IF(VLOOKUP(B9,MAPA_DATA!D:G,4,0)=1,'FACT_EST_CEN','SIN_DATA')))!H:H)</v>
      </c>
      <c r="G9" s="13" t="str">
        <f t="shared" ref="G9:G40" si="2">CONCATENATE("SUMIF(",IF(C9="FACT_EMITIDA","SIGGE_P",C9),"!B:B,Reliquidacion!B",A9,",",IF(C9="FACT_EMITIDA","SIGGE_P",C9),"!F:F)")</f>
        <v>SUMIF(IF(VLOOKUP(B9,MAPA_DATA!D:G,2,0)=1,'FACT_EMITIDA',IF(VLOOKUP(B9,MAPA_DATA!D:G,3,0)=1,'FACT_EST_EFACT',(IF(VLOOKUP(B9,MAPA_DATA!D:G,4,0)=1,'FACT_EST_CEN','SIN_DATA')))!B:B,Reliquidacion!B9,IF(VLOOKUP(B9,MAPA_DATA!D:G,2,0)=1,'FACT_EMITIDA',IF(VLOOKUP(B9,MAPA_DATA!D:G,3,0)=1,'FACT_EST_EFACT',(IF(VLOOKUP(B9,MAPA_DATA!D:G,4,0)=1,'FACT_EST_CEN','SIN_DATA')))!F:F)</v>
      </c>
      <c r="H9" s="12" t="str">
        <f>CONCATENATE("(I",A9,"/G",A9,")")</f>
        <v>(I9/G9)</v>
      </c>
      <c r="I9" s="11" t="str">
        <f t="shared" ref="I9:I40" si="3">CONCATENATE("SUMIF(",IF(C9="FACT_EMITIDA","SIGGE_P",C9),"!B:B,Reliquidacion!B",A9,",",IF(C9="FACT_EMITIDA","SIGGE_P",C9),"!H:H)")</f>
        <v>SUMIF(IF(VLOOKUP(B9,MAPA_DATA!D:G,2,0)=1,'FACT_EMITIDA',IF(VLOOKUP(B9,MAPA_DATA!D:G,3,0)=1,'FACT_EST_EFACT',(IF(VLOOKUP(B9,MAPA_DATA!D:G,4,0)=1,'FACT_EST_CEN','SIN_DATA')))!B:B,Reliquidacion!B9,IF(VLOOKUP(B9,MAPA_DATA!D:G,2,0)=1,'FACT_EMITIDA',IF(VLOOKUP(B9,MAPA_DATA!D:G,3,0)=1,'FACT_EST_EFACT',(IF(VLOOKUP(B9,MAPA_DATA!D:G,4,0)=1,'FACT_EST_CEN','SIN_DATA')))!H:H)</v>
      </c>
      <c r="J9" s="11" t="str">
        <f>CONCATENATE("(F",A9,"+I",A9,")")</f>
        <v>(F9+I9)</v>
      </c>
      <c r="L9" s="60" t="str">
        <f>IF(VLOOKUP(B9,MAPA_DATA!D:I,5,0)=1,"EFACT_CNE",IF(VLOOKUP(B9,MAPA_DATA!D:I,6,0)=1,"EFACT_EST_CNE","SIN_DATA"))</f>
        <v>SIN_DATA</v>
      </c>
      <c r="M9" s="11" t="str">
        <f t="shared" ref="M9:M40" si="4">CONCATENATE("SUMIF(",L9,"!B:B;Reliquidacion!B",A9,";",L9,"!S:S)")</f>
        <v>SUMIF(SIN_DATA!B:B;Reliquidacion!B9;SIN_DATA!S:S)</v>
      </c>
      <c r="N9" s="12" t="str">
        <f>CONCATENATE("(O",A9,"/M",A9,")")</f>
        <v>(O9/M9)</v>
      </c>
      <c r="O9" s="11" t="str">
        <f t="shared" ref="O9:O40" si="5">CONCATENATE("SUMIF(",L9,"!B:B;Reliquidacion!B",A9,";",L9,"!W:W)")</f>
        <v>SUMIF(SIN_DATA!B:B;Reliquidacion!B9;SIN_DATA!W:W)</v>
      </c>
      <c r="P9" s="13" t="str">
        <f t="shared" ref="P9:P40" si="6">CONCATENATE("SUMIF(",L9,"!B:B;Reliquidacion!B",A9,";",L9,"!X:X)")</f>
        <v>SUMIF(SIN_DATA!B:B;Reliquidacion!B9;SIN_DATA!X:X)</v>
      </c>
      <c r="Q9" s="12" t="str">
        <f>CONCATENATE("(R",A9,"/P",A9,")")</f>
        <v>(R9/P9)</v>
      </c>
      <c r="R9" s="11" t="str">
        <f t="shared" ref="R9:R40" si="7">CONCATENATE("SUMIF(",L9,"!B:B;Reliquidacion!B",A9,";",L9,"!AB:AB)")</f>
        <v>SUMIF(SIN_DATA!B:B;Reliquidacion!B9;SIN_DATA!AB:AB)</v>
      </c>
      <c r="S9" s="11" t="str">
        <f>CONCATENATE("(O",A9,"+R",A9,")")</f>
        <v>(O9+R9)</v>
      </c>
      <c r="U9" s="79">
        <v>42370</v>
      </c>
      <c r="V9" s="31" t="str">
        <f>CONCATENATE("=(S",A9,"-J",A9,")")</f>
        <v>=(S9-J9)</v>
      </c>
      <c r="W9" s="65" t="s">
        <v>439</v>
      </c>
      <c r="X9" s="33">
        <f>VLOOKUP(W9,[1]INTERESES!A:B,2,0)</f>
        <v>0</v>
      </c>
      <c r="Y9" s="34" t="e">
        <f>VLOOKUP(W9,#REF!,6,0)</f>
        <v>#REF!</v>
      </c>
      <c r="Z9" s="35">
        <v>43156</v>
      </c>
      <c r="AA9" s="36">
        <v>44377</v>
      </c>
      <c r="AB9" s="37">
        <f>AA9-Z9</f>
        <v>1221</v>
      </c>
      <c r="AC9" s="38" t="e">
        <f>+(1+Y9)^(AB9/360)-1</f>
        <v>#REF!</v>
      </c>
      <c r="AD9" s="31" t="e">
        <f>AC9*V9</f>
        <v>#REF!</v>
      </c>
      <c r="AE9" s="31" t="e">
        <f>+V9+AD9</f>
        <v>#VALUE!</v>
      </c>
    </row>
    <row r="10" spans="1:31" x14ac:dyDescent="0.25">
      <c r="A10" s="64">
        <f>A9+1</f>
        <v>10</v>
      </c>
      <c r="B10" s="59">
        <v>42401</v>
      </c>
      <c r="C10" s="81" t="str">
        <f t="shared" ref="C10:C65" si="8">CONCATENATE("IF(VLOOKUP(B9,MAPA_DATA!D:G,2,0)=1,'FACT_EMITIDA',IF(VLOOKUP(B",A10,",MAPA_DATA!D:G,3,0)=1,'FACT_EST_EFACT',(IF(VLOOKUP(B",A10,",MAPA_DATA!D:G,4,0)=1,'FACT_EST_CEN','SIN_DATA')))")</f>
        <v>IF(VLOOKUP(B9,MAPA_DATA!D:G,2,0)=1,'FACT_EMITIDA',IF(VLOOKUP(B10,MAPA_DATA!D:G,3,0)=1,'FACT_EST_EFACT',(IF(VLOOKUP(B10,MAPA_DATA!D:G,4,0)=1,'FACT_EST_CEN','SIN_DATA')))</v>
      </c>
      <c r="D10" s="11" t="str">
        <f t="shared" si="0"/>
        <v>SUMIF(IF(VLOOKUP(B9,MAPA_DATA!D:G,2,0)=1,'FACT_EMITIDA',IF(VLOOKUP(B10,MAPA_DATA!D:G,3,0)=1,'FACT_EST_EFACT',(IF(VLOOKUP(B10,MAPA_DATA!D:G,4,0)=1,'FACT_EST_CEN','SIN_DATA')))!B:B,Reliquidacion!B10,IF(VLOOKUP(B9,MAPA_DATA!D:G,2,0)=1,'FACT_EMITIDA',IF(VLOOKUP(B10,MAPA_DATA!D:G,3,0)=1,'FACT_EST_EFACT',(IF(VLOOKUP(B10,MAPA_DATA!D:G,4,0)=1,'FACT_EST_CEN','SIN_DATA')))!F:F)</v>
      </c>
      <c r="E10" s="12" t="str">
        <f t="shared" ref="E10:E65" si="9">CONCATENATE("(F",A10,"/D",A10,")")</f>
        <v>(F10/D10)</v>
      </c>
      <c r="F10" s="11" t="str">
        <f t="shared" si="1"/>
        <v>SUMIF(IF(VLOOKUP(B9,MAPA_DATA!D:G,2,0)=1,'FACT_EMITIDA',IF(VLOOKUP(B10,MAPA_DATA!D:G,3,0)=1,'FACT_EST_EFACT',(IF(VLOOKUP(B10,MAPA_DATA!D:G,4,0)=1,'FACT_EST_CEN','SIN_DATA')))!B:B,Reliquidacion!B10,IF(VLOOKUP(B9,MAPA_DATA!D:G,2,0)=1,'FACT_EMITIDA',IF(VLOOKUP(B10,MAPA_DATA!D:G,3,0)=1,'FACT_EST_EFACT',(IF(VLOOKUP(B10,MAPA_DATA!D:G,4,0)=1,'FACT_EST_CEN','SIN_DATA')))!H:H)</v>
      </c>
      <c r="G10" s="13" t="str">
        <f t="shared" si="2"/>
        <v>SUMIF(IF(VLOOKUP(B9,MAPA_DATA!D:G,2,0)=1,'FACT_EMITIDA',IF(VLOOKUP(B10,MAPA_DATA!D:G,3,0)=1,'FACT_EST_EFACT',(IF(VLOOKUP(B10,MAPA_DATA!D:G,4,0)=1,'FACT_EST_CEN','SIN_DATA')))!B:B,Reliquidacion!B10,IF(VLOOKUP(B9,MAPA_DATA!D:G,2,0)=1,'FACT_EMITIDA',IF(VLOOKUP(B10,MAPA_DATA!D:G,3,0)=1,'FACT_EST_EFACT',(IF(VLOOKUP(B10,MAPA_DATA!D:G,4,0)=1,'FACT_EST_CEN','SIN_DATA')))!F:F)</v>
      </c>
      <c r="H10" s="12" t="str">
        <f t="shared" ref="H10:H65" si="10">CONCATENATE("(I",A10,"/G",A10,")")</f>
        <v>(I10/G10)</v>
      </c>
      <c r="I10" s="11" t="str">
        <f t="shared" si="3"/>
        <v>SUMIF(IF(VLOOKUP(B9,MAPA_DATA!D:G,2,0)=1,'FACT_EMITIDA',IF(VLOOKUP(B10,MAPA_DATA!D:G,3,0)=1,'FACT_EST_EFACT',(IF(VLOOKUP(B10,MAPA_DATA!D:G,4,0)=1,'FACT_EST_CEN','SIN_DATA')))!B:B,Reliquidacion!B10,IF(VLOOKUP(B9,MAPA_DATA!D:G,2,0)=1,'FACT_EMITIDA',IF(VLOOKUP(B10,MAPA_DATA!D:G,3,0)=1,'FACT_EST_EFACT',(IF(VLOOKUP(B10,MAPA_DATA!D:G,4,0)=1,'FACT_EST_CEN','SIN_DATA')))!H:H)</v>
      </c>
      <c r="J10" s="11" t="str">
        <f t="shared" ref="J10:J65" si="11">CONCATENATE("(F",A10,"+I",A10,")")</f>
        <v>(F10+I10)</v>
      </c>
      <c r="L10" s="60" t="str">
        <f>IF(VLOOKUP(B10,MAPA_DATA!D:I,5,0)=1,"EFACT_CNE",IF(VLOOKUP(B10,MAPA_DATA!D:I,6,0)=1,"EFACT_EST_CNE","SIN_DATA"))</f>
        <v>SIN_DATA</v>
      </c>
      <c r="M10" s="11" t="str">
        <f t="shared" si="4"/>
        <v>SUMIF(SIN_DATA!B:B;Reliquidacion!B10;SIN_DATA!S:S)</v>
      </c>
      <c r="N10" s="12" t="str">
        <f t="shared" ref="N10:N65" si="12">CONCATENATE("(O",A10,"/M",A10,")")</f>
        <v>(O10/M10)</v>
      </c>
      <c r="O10" s="11" t="str">
        <f t="shared" si="5"/>
        <v>SUMIF(SIN_DATA!B:B;Reliquidacion!B10;SIN_DATA!W:W)</v>
      </c>
      <c r="P10" s="13" t="str">
        <f t="shared" si="6"/>
        <v>SUMIF(SIN_DATA!B:B;Reliquidacion!B10;SIN_DATA!X:X)</v>
      </c>
      <c r="Q10" s="12" t="str">
        <f t="shared" ref="Q10:Q65" si="13">CONCATENATE("(R",A10,"/P",A10,")")</f>
        <v>(R10/P10)</v>
      </c>
      <c r="R10" s="11" t="str">
        <f t="shared" si="7"/>
        <v>SUMIF(SIN_DATA!B:B;Reliquidacion!B10;SIN_DATA!AB:AB)</v>
      </c>
      <c r="S10" s="11" t="str">
        <f t="shared" ref="S10:S65" si="14">CONCATENATE("(O",A10,"+R",A10,")")</f>
        <v>(O10+R10)</v>
      </c>
      <c r="U10" s="79">
        <v>42401</v>
      </c>
      <c r="V10" s="31" t="str">
        <f t="shared" ref="V10:V65" si="15">CONCATENATE("=(S",A10,"-J",A10,")")</f>
        <v>=(S10-J10)</v>
      </c>
      <c r="W10" s="65" t="s">
        <v>439</v>
      </c>
      <c r="X10" s="33">
        <f>VLOOKUP(W10,[1]INTERESES!A:B,2,0)</f>
        <v>0</v>
      </c>
      <c r="Y10" s="34" t="e">
        <f>VLOOKUP(W10,#REF!,6,0)</f>
        <v>#REF!</v>
      </c>
      <c r="Z10" s="35">
        <v>43156</v>
      </c>
      <c r="AA10" s="36">
        <v>44377</v>
      </c>
      <c r="AB10" s="37">
        <f t="shared" ref="AB10:AB22" si="16">AA10-Z10</f>
        <v>1221</v>
      </c>
      <c r="AC10" s="38" t="e">
        <f t="shared" ref="AC10:AC22" si="17">+(1+Y10)^(AB10/360)-1</f>
        <v>#REF!</v>
      </c>
      <c r="AD10" s="31" t="e">
        <f t="shared" ref="AD10:AD22" si="18">AC10*V10</f>
        <v>#REF!</v>
      </c>
      <c r="AE10" s="31" t="e">
        <f t="shared" ref="AE10:AE22" si="19">+V10+AD10</f>
        <v>#VALUE!</v>
      </c>
    </row>
    <row r="11" spans="1:31" x14ac:dyDescent="0.25">
      <c r="A11" s="64">
        <f t="shared" ref="A11:A64" si="20">A10+1</f>
        <v>11</v>
      </c>
      <c r="B11" s="59">
        <v>42430</v>
      </c>
      <c r="C11" s="81" t="str">
        <f t="shared" si="8"/>
        <v>IF(VLOOKUP(B9,MAPA_DATA!D:G,2,0)=1,'FACT_EMITIDA',IF(VLOOKUP(B11,MAPA_DATA!D:G,3,0)=1,'FACT_EST_EFACT',(IF(VLOOKUP(B11,MAPA_DATA!D:G,4,0)=1,'FACT_EST_CEN','SIN_DATA')))</v>
      </c>
      <c r="D11" s="11" t="str">
        <f t="shared" si="0"/>
        <v>SUMIF(IF(VLOOKUP(B9,MAPA_DATA!D:G,2,0)=1,'FACT_EMITIDA',IF(VLOOKUP(B11,MAPA_DATA!D:G,3,0)=1,'FACT_EST_EFACT',(IF(VLOOKUP(B11,MAPA_DATA!D:G,4,0)=1,'FACT_EST_CEN','SIN_DATA')))!B:B,Reliquidacion!B11,IF(VLOOKUP(B9,MAPA_DATA!D:G,2,0)=1,'FACT_EMITIDA',IF(VLOOKUP(B11,MAPA_DATA!D:G,3,0)=1,'FACT_EST_EFACT',(IF(VLOOKUP(B11,MAPA_DATA!D:G,4,0)=1,'FACT_EST_CEN','SIN_DATA')))!F:F)</v>
      </c>
      <c r="E11" s="12" t="str">
        <f t="shared" si="9"/>
        <v>(F11/D11)</v>
      </c>
      <c r="F11" s="11" t="str">
        <f t="shared" si="1"/>
        <v>SUMIF(IF(VLOOKUP(B9,MAPA_DATA!D:G,2,0)=1,'FACT_EMITIDA',IF(VLOOKUP(B11,MAPA_DATA!D:G,3,0)=1,'FACT_EST_EFACT',(IF(VLOOKUP(B11,MAPA_DATA!D:G,4,0)=1,'FACT_EST_CEN','SIN_DATA')))!B:B,Reliquidacion!B11,IF(VLOOKUP(B9,MAPA_DATA!D:G,2,0)=1,'FACT_EMITIDA',IF(VLOOKUP(B11,MAPA_DATA!D:G,3,0)=1,'FACT_EST_EFACT',(IF(VLOOKUP(B11,MAPA_DATA!D:G,4,0)=1,'FACT_EST_CEN','SIN_DATA')))!H:H)</v>
      </c>
      <c r="G11" s="13" t="str">
        <f t="shared" si="2"/>
        <v>SUMIF(IF(VLOOKUP(B9,MAPA_DATA!D:G,2,0)=1,'FACT_EMITIDA',IF(VLOOKUP(B11,MAPA_DATA!D:G,3,0)=1,'FACT_EST_EFACT',(IF(VLOOKUP(B11,MAPA_DATA!D:G,4,0)=1,'FACT_EST_CEN','SIN_DATA')))!B:B,Reliquidacion!B11,IF(VLOOKUP(B9,MAPA_DATA!D:G,2,0)=1,'FACT_EMITIDA',IF(VLOOKUP(B11,MAPA_DATA!D:G,3,0)=1,'FACT_EST_EFACT',(IF(VLOOKUP(B11,MAPA_DATA!D:G,4,0)=1,'FACT_EST_CEN','SIN_DATA')))!F:F)</v>
      </c>
      <c r="H11" s="12" t="str">
        <f t="shared" si="10"/>
        <v>(I11/G11)</v>
      </c>
      <c r="I11" s="11" t="str">
        <f t="shared" si="3"/>
        <v>SUMIF(IF(VLOOKUP(B9,MAPA_DATA!D:G,2,0)=1,'FACT_EMITIDA',IF(VLOOKUP(B11,MAPA_DATA!D:G,3,0)=1,'FACT_EST_EFACT',(IF(VLOOKUP(B11,MAPA_DATA!D:G,4,0)=1,'FACT_EST_CEN','SIN_DATA')))!B:B,Reliquidacion!B11,IF(VLOOKUP(B9,MAPA_DATA!D:G,2,0)=1,'FACT_EMITIDA',IF(VLOOKUP(B11,MAPA_DATA!D:G,3,0)=1,'FACT_EST_EFACT',(IF(VLOOKUP(B11,MAPA_DATA!D:G,4,0)=1,'FACT_EST_CEN','SIN_DATA')))!H:H)</v>
      </c>
      <c r="J11" s="11" t="str">
        <f t="shared" si="11"/>
        <v>(F11+I11)</v>
      </c>
      <c r="L11" s="60" t="str">
        <f>IF(VLOOKUP(B11,MAPA_DATA!D:I,5,0)=1,"EFACT_CNE",IF(VLOOKUP(B11,MAPA_DATA!D:I,6,0)=1,"EFACT_EST_CNE","SIN_DATA"))</f>
        <v>SIN_DATA</v>
      </c>
      <c r="M11" s="11" t="str">
        <f t="shared" si="4"/>
        <v>SUMIF(SIN_DATA!B:B;Reliquidacion!B11;SIN_DATA!S:S)</v>
      </c>
      <c r="N11" s="12" t="str">
        <f t="shared" si="12"/>
        <v>(O11/M11)</v>
      </c>
      <c r="O11" s="11" t="str">
        <f t="shared" si="5"/>
        <v>SUMIF(SIN_DATA!B:B;Reliquidacion!B11;SIN_DATA!W:W)</v>
      </c>
      <c r="P11" s="13" t="str">
        <f t="shared" si="6"/>
        <v>SUMIF(SIN_DATA!B:B;Reliquidacion!B11;SIN_DATA!X:X)</v>
      </c>
      <c r="Q11" s="12" t="str">
        <f t="shared" si="13"/>
        <v>(R11/P11)</v>
      </c>
      <c r="R11" s="11" t="str">
        <f t="shared" si="7"/>
        <v>SUMIF(SIN_DATA!B:B;Reliquidacion!B11;SIN_DATA!AB:AB)</v>
      </c>
      <c r="S11" s="11" t="str">
        <f t="shared" si="14"/>
        <v>(O11+R11)</v>
      </c>
      <c r="U11" s="79">
        <v>42430</v>
      </c>
      <c r="V11" s="31" t="str">
        <f t="shared" si="15"/>
        <v>=(S11-J11)</v>
      </c>
      <c r="W11" s="80" t="s">
        <v>440</v>
      </c>
      <c r="X11" s="33">
        <f>VLOOKUP(W11,[1]INTERESES!A:B,2,0)</f>
        <v>0</v>
      </c>
      <c r="Y11" s="34" t="e">
        <f>VLOOKUP(W11,#REF!,6,0)</f>
        <v>#REF!</v>
      </c>
      <c r="Z11" s="35">
        <v>43156</v>
      </c>
      <c r="AA11" s="36">
        <v>44377</v>
      </c>
      <c r="AB11" s="37">
        <f t="shared" si="16"/>
        <v>1221</v>
      </c>
      <c r="AC11" s="38" t="e">
        <f t="shared" si="17"/>
        <v>#REF!</v>
      </c>
      <c r="AD11" s="31" t="e">
        <f t="shared" si="18"/>
        <v>#REF!</v>
      </c>
      <c r="AE11" s="31" t="e">
        <f t="shared" si="19"/>
        <v>#VALUE!</v>
      </c>
    </row>
    <row r="12" spans="1:31" x14ac:dyDescent="0.25">
      <c r="A12" s="64">
        <f t="shared" si="20"/>
        <v>12</v>
      </c>
      <c r="B12" s="59">
        <v>42461</v>
      </c>
      <c r="C12" s="81" t="str">
        <f t="shared" si="8"/>
        <v>IF(VLOOKUP(B9,MAPA_DATA!D:G,2,0)=1,'FACT_EMITIDA',IF(VLOOKUP(B12,MAPA_DATA!D:G,3,0)=1,'FACT_EST_EFACT',(IF(VLOOKUP(B12,MAPA_DATA!D:G,4,0)=1,'FACT_EST_CEN','SIN_DATA')))</v>
      </c>
      <c r="D12" s="11" t="str">
        <f t="shared" si="0"/>
        <v>SUMIF(IF(VLOOKUP(B9,MAPA_DATA!D:G,2,0)=1,'FACT_EMITIDA',IF(VLOOKUP(B12,MAPA_DATA!D:G,3,0)=1,'FACT_EST_EFACT',(IF(VLOOKUP(B12,MAPA_DATA!D:G,4,0)=1,'FACT_EST_CEN','SIN_DATA')))!B:B,Reliquidacion!B12,IF(VLOOKUP(B9,MAPA_DATA!D:G,2,0)=1,'FACT_EMITIDA',IF(VLOOKUP(B12,MAPA_DATA!D:G,3,0)=1,'FACT_EST_EFACT',(IF(VLOOKUP(B12,MAPA_DATA!D:G,4,0)=1,'FACT_EST_CEN','SIN_DATA')))!F:F)</v>
      </c>
      <c r="E12" s="12" t="str">
        <f t="shared" si="9"/>
        <v>(F12/D12)</v>
      </c>
      <c r="F12" s="11" t="str">
        <f t="shared" si="1"/>
        <v>SUMIF(IF(VLOOKUP(B9,MAPA_DATA!D:G,2,0)=1,'FACT_EMITIDA',IF(VLOOKUP(B12,MAPA_DATA!D:G,3,0)=1,'FACT_EST_EFACT',(IF(VLOOKUP(B12,MAPA_DATA!D:G,4,0)=1,'FACT_EST_CEN','SIN_DATA')))!B:B,Reliquidacion!B12,IF(VLOOKUP(B9,MAPA_DATA!D:G,2,0)=1,'FACT_EMITIDA',IF(VLOOKUP(B12,MAPA_DATA!D:G,3,0)=1,'FACT_EST_EFACT',(IF(VLOOKUP(B12,MAPA_DATA!D:G,4,0)=1,'FACT_EST_CEN','SIN_DATA')))!H:H)</v>
      </c>
      <c r="G12" s="13" t="str">
        <f t="shared" si="2"/>
        <v>SUMIF(IF(VLOOKUP(B9,MAPA_DATA!D:G,2,0)=1,'FACT_EMITIDA',IF(VLOOKUP(B12,MAPA_DATA!D:G,3,0)=1,'FACT_EST_EFACT',(IF(VLOOKUP(B12,MAPA_DATA!D:G,4,0)=1,'FACT_EST_CEN','SIN_DATA')))!B:B,Reliquidacion!B12,IF(VLOOKUP(B9,MAPA_DATA!D:G,2,0)=1,'FACT_EMITIDA',IF(VLOOKUP(B12,MAPA_DATA!D:G,3,0)=1,'FACT_EST_EFACT',(IF(VLOOKUP(B12,MAPA_DATA!D:G,4,0)=1,'FACT_EST_CEN','SIN_DATA')))!F:F)</v>
      </c>
      <c r="H12" s="12" t="str">
        <f t="shared" si="10"/>
        <v>(I12/G12)</v>
      </c>
      <c r="I12" s="11" t="str">
        <f t="shared" si="3"/>
        <v>SUMIF(IF(VLOOKUP(B9,MAPA_DATA!D:G,2,0)=1,'FACT_EMITIDA',IF(VLOOKUP(B12,MAPA_DATA!D:G,3,0)=1,'FACT_EST_EFACT',(IF(VLOOKUP(B12,MAPA_DATA!D:G,4,0)=1,'FACT_EST_CEN','SIN_DATA')))!B:B,Reliquidacion!B12,IF(VLOOKUP(B9,MAPA_DATA!D:G,2,0)=1,'FACT_EMITIDA',IF(VLOOKUP(B12,MAPA_DATA!D:G,3,0)=1,'FACT_EST_EFACT',(IF(VLOOKUP(B12,MAPA_DATA!D:G,4,0)=1,'FACT_EST_CEN','SIN_DATA')))!H:H)</v>
      </c>
      <c r="J12" s="11" t="str">
        <f t="shared" si="11"/>
        <v>(F12+I12)</v>
      </c>
      <c r="L12" s="60" t="str">
        <f>IF(VLOOKUP(B12,MAPA_DATA!D:I,5,0)=1,"EFACT_CNE",IF(VLOOKUP(B12,MAPA_DATA!D:I,6,0)=1,"EFACT_EST_CNE","SIN_DATA"))</f>
        <v>SIN_DATA</v>
      </c>
      <c r="M12" s="11" t="str">
        <f t="shared" si="4"/>
        <v>SUMIF(SIN_DATA!B:B;Reliquidacion!B12;SIN_DATA!S:S)</v>
      </c>
      <c r="N12" s="12" t="str">
        <f t="shared" si="12"/>
        <v>(O12/M12)</v>
      </c>
      <c r="O12" s="11" t="str">
        <f t="shared" si="5"/>
        <v>SUMIF(SIN_DATA!B:B;Reliquidacion!B12;SIN_DATA!W:W)</v>
      </c>
      <c r="P12" s="13" t="str">
        <f t="shared" si="6"/>
        <v>SUMIF(SIN_DATA!B:B;Reliquidacion!B12;SIN_DATA!X:X)</v>
      </c>
      <c r="Q12" s="12" t="str">
        <f t="shared" si="13"/>
        <v>(R12/P12)</v>
      </c>
      <c r="R12" s="11" t="str">
        <f t="shared" si="7"/>
        <v>SUMIF(SIN_DATA!B:B;Reliquidacion!B12;SIN_DATA!AB:AB)</v>
      </c>
      <c r="S12" s="11" t="str">
        <f t="shared" si="14"/>
        <v>(O12+R12)</v>
      </c>
      <c r="U12" s="79">
        <v>42461</v>
      </c>
      <c r="V12" s="31" t="str">
        <f t="shared" si="15"/>
        <v>=(S12-J12)</v>
      </c>
      <c r="W12" s="80" t="s">
        <v>440</v>
      </c>
      <c r="X12" s="33">
        <f>VLOOKUP(W12,[1]INTERESES!A:B,2,0)</f>
        <v>0</v>
      </c>
      <c r="Y12" s="34" t="e">
        <f>VLOOKUP(W12,#REF!,6,0)</f>
        <v>#REF!</v>
      </c>
      <c r="Z12" s="35">
        <v>43156</v>
      </c>
      <c r="AA12" s="36">
        <v>44377</v>
      </c>
      <c r="AB12" s="37">
        <f t="shared" si="16"/>
        <v>1221</v>
      </c>
      <c r="AC12" s="38" t="e">
        <f t="shared" si="17"/>
        <v>#REF!</v>
      </c>
      <c r="AD12" s="31" t="e">
        <f t="shared" si="18"/>
        <v>#REF!</v>
      </c>
      <c r="AE12" s="31" t="e">
        <f t="shared" si="19"/>
        <v>#VALUE!</v>
      </c>
    </row>
    <row r="13" spans="1:31" x14ac:dyDescent="0.25">
      <c r="A13" s="64">
        <f t="shared" si="20"/>
        <v>13</v>
      </c>
      <c r="B13" s="59">
        <v>42491</v>
      </c>
      <c r="C13" s="81" t="str">
        <f t="shared" si="8"/>
        <v>IF(VLOOKUP(B9,MAPA_DATA!D:G,2,0)=1,'FACT_EMITIDA',IF(VLOOKUP(B13,MAPA_DATA!D:G,3,0)=1,'FACT_EST_EFACT',(IF(VLOOKUP(B13,MAPA_DATA!D:G,4,0)=1,'FACT_EST_CEN','SIN_DATA')))</v>
      </c>
      <c r="D13" s="11" t="str">
        <f t="shared" si="0"/>
        <v>SUMIF(IF(VLOOKUP(B9,MAPA_DATA!D:G,2,0)=1,'FACT_EMITIDA',IF(VLOOKUP(B13,MAPA_DATA!D:G,3,0)=1,'FACT_EST_EFACT',(IF(VLOOKUP(B13,MAPA_DATA!D:G,4,0)=1,'FACT_EST_CEN','SIN_DATA')))!B:B,Reliquidacion!B13,IF(VLOOKUP(B9,MAPA_DATA!D:G,2,0)=1,'FACT_EMITIDA',IF(VLOOKUP(B13,MAPA_DATA!D:G,3,0)=1,'FACT_EST_EFACT',(IF(VLOOKUP(B13,MAPA_DATA!D:G,4,0)=1,'FACT_EST_CEN','SIN_DATA')))!F:F)</v>
      </c>
      <c r="E13" s="12" t="str">
        <f t="shared" si="9"/>
        <v>(F13/D13)</v>
      </c>
      <c r="F13" s="11" t="str">
        <f t="shared" si="1"/>
        <v>SUMIF(IF(VLOOKUP(B9,MAPA_DATA!D:G,2,0)=1,'FACT_EMITIDA',IF(VLOOKUP(B13,MAPA_DATA!D:G,3,0)=1,'FACT_EST_EFACT',(IF(VLOOKUP(B13,MAPA_DATA!D:G,4,0)=1,'FACT_EST_CEN','SIN_DATA')))!B:B,Reliquidacion!B13,IF(VLOOKUP(B9,MAPA_DATA!D:G,2,0)=1,'FACT_EMITIDA',IF(VLOOKUP(B13,MAPA_DATA!D:G,3,0)=1,'FACT_EST_EFACT',(IF(VLOOKUP(B13,MAPA_DATA!D:G,4,0)=1,'FACT_EST_CEN','SIN_DATA')))!H:H)</v>
      </c>
      <c r="G13" s="13" t="str">
        <f t="shared" si="2"/>
        <v>SUMIF(IF(VLOOKUP(B9,MAPA_DATA!D:G,2,0)=1,'FACT_EMITIDA',IF(VLOOKUP(B13,MAPA_DATA!D:G,3,0)=1,'FACT_EST_EFACT',(IF(VLOOKUP(B13,MAPA_DATA!D:G,4,0)=1,'FACT_EST_CEN','SIN_DATA')))!B:B,Reliquidacion!B13,IF(VLOOKUP(B9,MAPA_DATA!D:G,2,0)=1,'FACT_EMITIDA',IF(VLOOKUP(B13,MAPA_DATA!D:G,3,0)=1,'FACT_EST_EFACT',(IF(VLOOKUP(B13,MAPA_DATA!D:G,4,0)=1,'FACT_EST_CEN','SIN_DATA')))!F:F)</v>
      </c>
      <c r="H13" s="12" t="str">
        <f t="shared" si="10"/>
        <v>(I13/G13)</v>
      </c>
      <c r="I13" s="11" t="str">
        <f t="shared" si="3"/>
        <v>SUMIF(IF(VLOOKUP(B9,MAPA_DATA!D:G,2,0)=1,'FACT_EMITIDA',IF(VLOOKUP(B13,MAPA_DATA!D:G,3,0)=1,'FACT_EST_EFACT',(IF(VLOOKUP(B13,MAPA_DATA!D:G,4,0)=1,'FACT_EST_CEN','SIN_DATA')))!B:B,Reliquidacion!B13,IF(VLOOKUP(B9,MAPA_DATA!D:G,2,0)=1,'FACT_EMITIDA',IF(VLOOKUP(B13,MAPA_DATA!D:G,3,0)=1,'FACT_EST_EFACT',(IF(VLOOKUP(B13,MAPA_DATA!D:G,4,0)=1,'FACT_EST_CEN','SIN_DATA')))!H:H)</v>
      </c>
      <c r="J13" s="11" t="str">
        <f t="shared" si="11"/>
        <v>(F13+I13)</v>
      </c>
      <c r="L13" s="60" t="str">
        <f>IF(VLOOKUP(B13,MAPA_DATA!D:I,5,0)=1,"EFACT_CNE",IF(VLOOKUP(B13,MAPA_DATA!D:I,6,0)=1,"EFACT_EST_CNE","SIN_DATA"))</f>
        <v>SIN_DATA</v>
      </c>
      <c r="M13" s="11" t="str">
        <f t="shared" si="4"/>
        <v>SUMIF(SIN_DATA!B:B;Reliquidacion!B13;SIN_DATA!S:S)</v>
      </c>
      <c r="N13" s="12" t="str">
        <f t="shared" si="12"/>
        <v>(O13/M13)</v>
      </c>
      <c r="O13" s="11" t="str">
        <f t="shared" si="5"/>
        <v>SUMIF(SIN_DATA!B:B;Reliquidacion!B13;SIN_DATA!W:W)</v>
      </c>
      <c r="P13" s="13" t="str">
        <f t="shared" si="6"/>
        <v>SUMIF(SIN_DATA!B:B;Reliquidacion!B13;SIN_DATA!X:X)</v>
      </c>
      <c r="Q13" s="12" t="str">
        <f t="shared" si="13"/>
        <v>(R13/P13)</v>
      </c>
      <c r="R13" s="11" t="str">
        <f t="shared" si="7"/>
        <v>SUMIF(SIN_DATA!B:B;Reliquidacion!B13;SIN_DATA!AB:AB)</v>
      </c>
      <c r="S13" s="11" t="str">
        <f t="shared" si="14"/>
        <v>(O13+R13)</v>
      </c>
      <c r="U13" s="79">
        <v>42491</v>
      </c>
      <c r="V13" s="31" t="str">
        <f t="shared" si="15"/>
        <v>=(S13-J13)</v>
      </c>
      <c r="W13" s="65" t="s">
        <v>441</v>
      </c>
      <c r="X13" s="33">
        <f>VLOOKUP(W13,[1]INTERESES!A:B,2,0)</f>
        <v>0</v>
      </c>
      <c r="Y13" s="34" t="e">
        <f>VLOOKUP(W13,#REF!,6,0)</f>
        <v>#REF!</v>
      </c>
      <c r="Z13" s="35">
        <v>43156</v>
      </c>
      <c r="AA13" s="36">
        <v>44377</v>
      </c>
      <c r="AB13" s="37">
        <f t="shared" si="16"/>
        <v>1221</v>
      </c>
      <c r="AC13" s="38" t="e">
        <f t="shared" si="17"/>
        <v>#REF!</v>
      </c>
      <c r="AD13" s="31" t="e">
        <f t="shared" si="18"/>
        <v>#REF!</v>
      </c>
      <c r="AE13" s="31" t="e">
        <f t="shared" si="19"/>
        <v>#VALUE!</v>
      </c>
    </row>
    <row r="14" spans="1:31" x14ac:dyDescent="0.25">
      <c r="A14" s="64">
        <f t="shared" si="20"/>
        <v>14</v>
      </c>
      <c r="B14" s="59">
        <v>42522</v>
      </c>
      <c r="C14" s="81" t="str">
        <f t="shared" si="8"/>
        <v>IF(VLOOKUP(B9,MAPA_DATA!D:G,2,0)=1,'FACT_EMITIDA',IF(VLOOKUP(B14,MAPA_DATA!D:G,3,0)=1,'FACT_EST_EFACT',(IF(VLOOKUP(B14,MAPA_DATA!D:G,4,0)=1,'FACT_EST_CEN','SIN_DATA')))</v>
      </c>
      <c r="D14" s="11" t="str">
        <f t="shared" si="0"/>
        <v>SUMIF(IF(VLOOKUP(B9,MAPA_DATA!D:G,2,0)=1,'FACT_EMITIDA',IF(VLOOKUP(B14,MAPA_DATA!D:G,3,0)=1,'FACT_EST_EFACT',(IF(VLOOKUP(B14,MAPA_DATA!D:G,4,0)=1,'FACT_EST_CEN','SIN_DATA')))!B:B,Reliquidacion!B14,IF(VLOOKUP(B9,MAPA_DATA!D:G,2,0)=1,'FACT_EMITIDA',IF(VLOOKUP(B14,MAPA_DATA!D:G,3,0)=1,'FACT_EST_EFACT',(IF(VLOOKUP(B14,MAPA_DATA!D:G,4,0)=1,'FACT_EST_CEN','SIN_DATA')))!F:F)</v>
      </c>
      <c r="E14" s="12" t="str">
        <f t="shared" si="9"/>
        <v>(F14/D14)</v>
      </c>
      <c r="F14" s="11" t="str">
        <f t="shared" si="1"/>
        <v>SUMIF(IF(VLOOKUP(B9,MAPA_DATA!D:G,2,0)=1,'FACT_EMITIDA',IF(VLOOKUP(B14,MAPA_DATA!D:G,3,0)=1,'FACT_EST_EFACT',(IF(VLOOKUP(B14,MAPA_DATA!D:G,4,0)=1,'FACT_EST_CEN','SIN_DATA')))!B:B,Reliquidacion!B14,IF(VLOOKUP(B9,MAPA_DATA!D:G,2,0)=1,'FACT_EMITIDA',IF(VLOOKUP(B14,MAPA_DATA!D:G,3,0)=1,'FACT_EST_EFACT',(IF(VLOOKUP(B14,MAPA_DATA!D:G,4,0)=1,'FACT_EST_CEN','SIN_DATA')))!H:H)</v>
      </c>
      <c r="G14" s="13" t="str">
        <f t="shared" si="2"/>
        <v>SUMIF(IF(VLOOKUP(B9,MAPA_DATA!D:G,2,0)=1,'FACT_EMITIDA',IF(VLOOKUP(B14,MAPA_DATA!D:G,3,0)=1,'FACT_EST_EFACT',(IF(VLOOKUP(B14,MAPA_DATA!D:G,4,0)=1,'FACT_EST_CEN','SIN_DATA')))!B:B,Reliquidacion!B14,IF(VLOOKUP(B9,MAPA_DATA!D:G,2,0)=1,'FACT_EMITIDA',IF(VLOOKUP(B14,MAPA_DATA!D:G,3,0)=1,'FACT_EST_EFACT',(IF(VLOOKUP(B14,MAPA_DATA!D:G,4,0)=1,'FACT_EST_CEN','SIN_DATA')))!F:F)</v>
      </c>
      <c r="H14" s="12" t="str">
        <f t="shared" si="10"/>
        <v>(I14/G14)</v>
      </c>
      <c r="I14" s="11" t="str">
        <f t="shared" si="3"/>
        <v>SUMIF(IF(VLOOKUP(B9,MAPA_DATA!D:G,2,0)=1,'FACT_EMITIDA',IF(VLOOKUP(B14,MAPA_DATA!D:G,3,0)=1,'FACT_EST_EFACT',(IF(VLOOKUP(B14,MAPA_DATA!D:G,4,0)=1,'FACT_EST_CEN','SIN_DATA')))!B:B,Reliquidacion!B14,IF(VLOOKUP(B9,MAPA_DATA!D:G,2,0)=1,'FACT_EMITIDA',IF(VLOOKUP(B14,MAPA_DATA!D:G,3,0)=1,'FACT_EST_EFACT',(IF(VLOOKUP(B14,MAPA_DATA!D:G,4,0)=1,'FACT_EST_CEN','SIN_DATA')))!H:H)</v>
      </c>
      <c r="J14" s="11" t="str">
        <f t="shared" si="11"/>
        <v>(F14+I14)</v>
      </c>
      <c r="L14" s="60" t="str">
        <f>IF(VLOOKUP(B14,MAPA_DATA!D:I,5,0)=1,"EFACT_CNE",IF(VLOOKUP(B14,MAPA_DATA!D:I,6,0)=1,"EFACT_EST_CNE","SIN_DATA"))</f>
        <v>SIN_DATA</v>
      </c>
      <c r="M14" s="11" t="str">
        <f t="shared" si="4"/>
        <v>SUMIF(SIN_DATA!B:B;Reliquidacion!B14;SIN_DATA!S:S)</v>
      </c>
      <c r="N14" s="12" t="str">
        <f t="shared" si="12"/>
        <v>(O14/M14)</v>
      </c>
      <c r="O14" s="11" t="str">
        <f t="shared" si="5"/>
        <v>SUMIF(SIN_DATA!B:B;Reliquidacion!B14;SIN_DATA!W:W)</v>
      </c>
      <c r="P14" s="13" t="str">
        <f t="shared" si="6"/>
        <v>SUMIF(SIN_DATA!B:B;Reliquidacion!B14;SIN_DATA!X:X)</v>
      </c>
      <c r="Q14" s="12" t="str">
        <f t="shared" si="13"/>
        <v>(R14/P14)</v>
      </c>
      <c r="R14" s="11" t="str">
        <f t="shared" si="7"/>
        <v>SUMIF(SIN_DATA!B:B;Reliquidacion!B14;SIN_DATA!AB:AB)</v>
      </c>
      <c r="S14" s="11" t="str">
        <f t="shared" si="14"/>
        <v>(O14+R14)</v>
      </c>
      <c r="U14" s="79">
        <v>42522</v>
      </c>
      <c r="V14" s="31" t="str">
        <f t="shared" si="15"/>
        <v>=(S14-J14)</v>
      </c>
      <c r="W14" s="65" t="s">
        <v>441</v>
      </c>
      <c r="X14" s="33">
        <f>VLOOKUP(W14,[1]INTERESES!A:B,2,0)</f>
        <v>0</v>
      </c>
      <c r="Y14" s="34" t="e">
        <f>VLOOKUP(W14,#REF!,6,0)</f>
        <v>#REF!</v>
      </c>
      <c r="Z14" s="35">
        <v>43156</v>
      </c>
      <c r="AA14" s="36">
        <v>44377</v>
      </c>
      <c r="AB14" s="37">
        <f t="shared" si="16"/>
        <v>1221</v>
      </c>
      <c r="AC14" s="38" t="e">
        <f t="shared" si="17"/>
        <v>#REF!</v>
      </c>
      <c r="AD14" s="31" t="e">
        <f t="shared" si="18"/>
        <v>#REF!</v>
      </c>
      <c r="AE14" s="31" t="e">
        <f t="shared" si="19"/>
        <v>#VALUE!</v>
      </c>
    </row>
    <row r="15" spans="1:31" x14ac:dyDescent="0.25">
      <c r="A15" s="64">
        <f t="shared" si="20"/>
        <v>15</v>
      </c>
      <c r="B15" s="59">
        <v>42552</v>
      </c>
      <c r="C15" s="81" t="str">
        <f t="shared" si="8"/>
        <v>IF(VLOOKUP(B9,MAPA_DATA!D:G,2,0)=1,'FACT_EMITIDA',IF(VLOOKUP(B15,MAPA_DATA!D:G,3,0)=1,'FACT_EST_EFACT',(IF(VLOOKUP(B15,MAPA_DATA!D:G,4,0)=1,'FACT_EST_CEN','SIN_DATA')))</v>
      </c>
      <c r="D15" s="11" t="str">
        <f t="shared" si="0"/>
        <v>SUMIF(IF(VLOOKUP(B9,MAPA_DATA!D:G,2,0)=1,'FACT_EMITIDA',IF(VLOOKUP(B15,MAPA_DATA!D:G,3,0)=1,'FACT_EST_EFACT',(IF(VLOOKUP(B15,MAPA_DATA!D:G,4,0)=1,'FACT_EST_CEN','SIN_DATA')))!B:B,Reliquidacion!B15,IF(VLOOKUP(B9,MAPA_DATA!D:G,2,0)=1,'FACT_EMITIDA',IF(VLOOKUP(B15,MAPA_DATA!D:G,3,0)=1,'FACT_EST_EFACT',(IF(VLOOKUP(B15,MAPA_DATA!D:G,4,0)=1,'FACT_EST_CEN','SIN_DATA')))!F:F)</v>
      </c>
      <c r="E15" s="12" t="str">
        <f t="shared" si="9"/>
        <v>(F15/D15)</v>
      </c>
      <c r="F15" s="11" t="str">
        <f t="shared" si="1"/>
        <v>SUMIF(IF(VLOOKUP(B9,MAPA_DATA!D:G,2,0)=1,'FACT_EMITIDA',IF(VLOOKUP(B15,MAPA_DATA!D:G,3,0)=1,'FACT_EST_EFACT',(IF(VLOOKUP(B15,MAPA_DATA!D:G,4,0)=1,'FACT_EST_CEN','SIN_DATA')))!B:B,Reliquidacion!B15,IF(VLOOKUP(B9,MAPA_DATA!D:G,2,0)=1,'FACT_EMITIDA',IF(VLOOKUP(B15,MAPA_DATA!D:G,3,0)=1,'FACT_EST_EFACT',(IF(VLOOKUP(B15,MAPA_DATA!D:G,4,0)=1,'FACT_EST_CEN','SIN_DATA')))!H:H)</v>
      </c>
      <c r="G15" s="13" t="str">
        <f t="shared" si="2"/>
        <v>SUMIF(IF(VLOOKUP(B9,MAPA_DATA!D:G,2,0)=1,'FACT_EMITIDA',IF(VLOOKUP(B15,MAPA_DATA!D:G,3,0)=1,'FACT_EST_EFACT',(IF(VLOOKUP(B15,MAPA_DATA!D:G,4,0)=1,'FACT_EST_CEN','SIN_DATA')))!B:B,Reliquidacion!B15,IF(VLOOKUP(B9,MAPA_DATA!D:G,2,0)=1,'FACT_EMITIDA',IF(VLOOKUP(B15,MAPA_DATA!D:G,3,0)=1,'FACT_EST_EFACT',(IF(VLOOKUP(B15,MAPA_DATA!D:G,4,0)=1,'FACT_EST_CEN','SIN_DATA')))!F:F)</v>
      </c>
      <c r="H15" s="12" t="str">
        <f t="shared" si="10"/>
        <v>(I15/G15)</v>
      </c>
      <c r="I15" s="11" t="str">
        <f t="shared" si="3"/>
        <v>SUMIF(IF(VLOOKUP(B9,MAPA_DATA!D:G,2,0)=1,'FACT_EMITIDA',IF(VLOOKUP(B15,MAPA_DATA!D:G,3,0)=1,'FACT_EST_EFACT',(IF(VLOOKUP(B15,MAPA_DATA!D:G,4,0)=1,'FACT_EST_CEN','SIN_DATA')))!B:B,Reliquidacion!B15,IF(VLOOKUP(B9,MAPA_DATA!D:G,2,0)=1,'FACT_EMITIDA',IF(VLOOKUP(B15,MAPA_DATA!D:G,3,0)=1,'FACT_EST_EFACT',(IF(VLOOKUP(B15,MAPA_DATA!D:G,4,0)=1,'FACT_EST_CEN','SIN_DATA')))!H:H)</v>
      </c>
      <c r="J15" s="11" t="str">
        <f t="shared" si="11"/>
        <v>(F15+I15)</v>
      </c>
      <c r="L15" s="60" t="str">
        <f>IF(VLOOKUP(B15,MAPA_DATA!D:I,5,0)=1,"EFACT_CNE",IF(VLOOKUP(B15,MAPA_DATA!D:I,6,0)=1,"EFACT_EST_CNE","SIN_DATA"))</f>
        <v>SIN_DATA</v>
      </c>
      <c r="M15" s="11" t="str">
        <f t="shared" si="4"/>
        <v>SUMIF(SIN_DATA!B:B;Reliquidacion!B15;SIN_DATA!S:S)</v>
      </c>
      <c r="N15" s="12" t="str">
        <f t="shared" si="12"/>
        <v>(O15/M15)</v>
      </c>
      <c r="O15" s="11" t="str">
        <f t="shared" si="5"/>
        <v>SUMIF(SIN_DATA!B:B;Reliquidacion!B15;SIN_DATA!W:W)</v>
      </c>
      <c r="P15" s="13" t="str">
        <f t="shared" si="6"/>
        <v>SUMIF(SIN_DATA!B:B;Reliquidacion!B15;SIN_DATA!X:X)</v>
      </c>
      <c r="Q15" s="12" t="str">
        <f t="shared" si="13"/>
        <v>(R15/P15)</v>
      </c>
      <c r="R15" s="11" t="str">
        <f t="shared" si="7"/>
        <v>SUMIF(SIN_DATA!B:B;Reliquidacion!B15;SIN_DATA!AB:AB)</v>
      </c>
      <c r="S15" s="11" t="str">
        <f t="shared" si="14"/>
        <v>(O15+R15)</v>
      </c>
      <c r="U15" s="79">
        <v>42552</v>
      </c>
      <c r="V15" s="31" t="str">
        <f t="shared" si="15"/>
        <v>=(S15-J15)</v>
      </c>
      <c r="W15" s="65" t="s">
        <v>441</v>
      </c>
      <c r="X15" s="33">
        <f>VLOOKUP(W15,[1]INTERESES!A:B,2,0)</f>
        <v>0</v>
      </c>
      <c r="Y15" s="34" t="e">
        <f>VLOOKUP(W15,#REF!,6,0)</f>
        <v>#REF!</v>
      </c>
      <c r="Z15" s="35">
        <v>43156</v>
      </c>
      <c r="AA15" s="36">
        <v>44377</v>
      </c>
      <c r="AB15" s="37">
        <f t="shared" si="16"/>
        <v>1221</v>
      </c>
      <c r="AC15" s="38" t="e">
        <f t="shared" si="17"/>
        <v>#REF!</v>
      </c>
      <c r="AD15" s="31" t="e">
        <f t="shared" si="18"/>
        <v>#REF!</v>
      </c>
      <c r="AE15" s="31" t="e">
        <f t="shared" si="19"/>
        <v>#VALUE!</v>
      </c>
    </row>
    <row r="16" spans="1:31" x14ac:dyDescent="0.25">
      <c r="A16" s="64">
        <f t="shared" si="20"/>
        <v>16</v>
      </c>
      <c r="B16" s="59">
        <v>42583</v>
      </c>
      <c r="C16" s="81" t="str">
        <f t="shared" si="8"/>
        <v>IF(VLOOKUP(B9,MAPA_DATA!D:G,2,0)=1,'FACT_EMITIDA',IF(VLOOKUP(B16,MAPA_DATA!D:G,3,0)=1,'FACT_EST_EFACT',(IF(VLOOKUP(B16,MAPA_DATA!D:G,4,0)=1,'FACT_EST_CEN','SIN_DATA')))</v>
      </c>
      <c r="D16" s="11" t="str">
        <f t="shared" si="0"/>
        <v>SUMIF(IF(VLOOKUP(B9,MAPA_DATA!D:G,2,0)=1,'FACT_EMITIDA',IF(VLOOKUP(B16,MAPA_DATA!D:G,3,0)=1,'FACT_EST_EFACT',(IF(VLOOKUP(B16,MAPA_DATA!D:G,4,0)=1,'FACT_EST_CEN','SIN_DATA')))!B:B,Reliquidacion!B16,IF(VLOOKUP(B9,MAPA_DATA!D:G,2,0)=1,'FACT_EMITIDA',IF(VLOOKUP(B16,MAPA_DATA!D:G,3,0)=1,'FACT_EST_EFACT',(IF(VLOOKUP(B16,MAPA_DATA!D:G,4,0)=1,'FACT_EST_CEN','SIN_DATA')))!F:F)</v>
      </c>
      <c r="E16" s="12" t="str">
        <f t="shared" si="9"/>
        <v>(F16/D16)</v>
      </c>
      <c r="F16" s="11" t="str">
        <f t="shared" si="1"/>
        <v>SUMIF(IF(VLOOKUP(B9,MAPA_DATA!D:G,2,0)=1,'FACT_EMITIDA',IF(VLOOKUP(B16,MAPA_DATA!D:G,3,0)=1,'FACT_EST_EFACT',(IF(VLOOKUP(B16,MAPA_DATA!D:G,4,0)=1,'FACT_EST_CEN','SIN_DATA')))!B:B,Reliquidacion!B16,IF(VLOOKUP(B9,MAPA_DATA!D:G,2,0)=1,'FACT_EMITIDA',IF(VLOOKUP(B16,MAPA_DATA!D:G,3,0)=1,'FACT_EST_EFACT',(IF(VLOOKUP(B16,MAPA_DATA!D:G,4,0)=1,'FACT_EST_CEN','SIN_DATA')))!H:H)</v>
      </c>
      <c r="G16" s="13" t="str">
        <f t="shared" si="2"/>
        <v>SUMIF(IF(VLOOKUP(B9,MAPA_DATA!D:G,2,0)=1,'FACT_EMITIDA',IF(VLOOKUP(B16,MAPA_DATA!D:G,3,0)=1,'FACT_EST_EFACT',(IF(VLOOKUP(B16,MAPA_DATA!D:G,4,0)=1,'FACT_EST_CEN','SIN_DATA')))!B:B,Reliquidacion!B16,IF(VLOOKUP(B9,MAPA_DATA!D:G,2,0)=1,'FACT_EMITIDA',IF(VLOOKUP(B16,MAPA_DATA!D:G,3,0)=1,'FACT_EST_EFACT',(IF(VLOOKUP(B16,MAPA_DATA!D:G,4,0)=1,'FACT_EST_CEN','SIN_DATA')))!F:F)</v>
      </c>
      <c r="H16" s="12" t="str">
        <f t="shared" si="10"/>
        <v>(I16/G16)</v>
      </c>
      <c r="I16" s="11" t="str">
        <f t="shared" si="3"/>
        <v>SUMIF(IF(VLOOKUP(B9,MAPA_DATA!D:G,2,0)=1,'FACT_EMITIDA',IF(VLOOKUP(B16,MAPA_DATA!D:G,3,0)=1,'FACT_EST_EFACT',(IF(VLOOKUP(B16,MAPA_DATA!D:G,4,0)=1,'FACT_EST_CEN','SIN_DATA')))!B:B,Reliquidacion!B16,IF(VLOOKUP(B9,MAPA_DATA!D:G,2,0)=1,'FACT_EMITIDA',IF(VLOOKUP(B16,MAPA_DATA!D:G,3,0)=1,'FACT_EST_EFACT',(IF(VLOOKUP(B16,MAPA_DATA!D:G,4,0)=1,'FACT_EST_CEN','SIN_DATA')))!H:H)</v>
      </c>
      <c r="J16" s="11" t="str">
        <f t="shared" si="11"/>
        <v>(F16+I16)</v>
      </c>
      <c r="L16" s="60" t="str">
        <f>IF(VLOOKUP(B16,MAPA_DATA!D:I,5,0)=1,"EFACT_CNE",IF(VLOOKUP(B16,MAPA_DATA!D:I,6,0)=1,"EFACT_EST_CNE","SIN_DATA"))</f>
        <v>SIN_DATA</v>
      </c>
      <c r="M16" s="11" t="str">
        <f t="shared" si="4"/>
        <v>SUMIF(SIN_DATA!B:B;Reliquidacion!B16;SIN_DATA!S:S)</v>
      </c>
      <c r="N16" s="12" t="str">
        <f t="shared" si="12"/>
        <v>(O16/M16)</v>
      </c>
      <c r="O16" s="11" t="str">
        <f t="shared" si="5"/>
        <v>SUMIF(SIN_DATA!B:B;Reliquidacion!B16;SIN_DATA!W:W)</v>
      </c>
      <c r="P16" s="13" t="str">
        <f t="shared" si="6"/>
        <v>SUMIF(SIN_DATA!B:B;Reliquidacion!B16;SIN_DATA!X:X)</v>
      </c>
      <c r="Q16" s="12" t="str">
        <f t="shared" si="13"/>
        <v>(R16/P16)</v>
      </c>
      <c r="R16" s="11" t="str">
        <f t="shared" si="7"/>
        <v>SUMIF(SIN_DATA!B:B;Reliquidacion!B16;SIN_DATA!AB:AB)</v>
      </c>
      <c r="S16" s="11" t="str">
        <f t="shared" si="14"/>
        <v>(O16+R16)</v>
      </c>
      <c r="U16" s="79">
        <v>42583</v>
      </c>
      <c r="V16" s="31" t="str">
        <f t="shared" si="15"/>
        <v>=(S16-J16)</v>
      </c>
      <c r="W16" s="65" t="s">
        <v>441</v>
      </c>
      <c r="X16" s="33">
        <f>VLOOKUP(W16,[1]INTERESES!A:B,2,0)</f>
        <v>0</v>
      </c>
      <c r="Y16" s="34" t="e">
        <f>VLOOKUP(W16,#REF!,6,0)</f>
        <v>#REF!</v>
      </c>
      <c r="Z16" s="35">
        <v>43156</v>
      </c>
      <c r="AA16" s="36">
        <v>44377</v>
      </c>
      <c r="AB16" s="37">
        <f t="shared" si="16"/>
        <v>1221</v>
      </c>
      <c r="AC16" s="38" t="e">
        <f t="shared" si="17"/>
        <v>#REF!</v>
      </c>
      <c r="AD16" s="31" t="e">
        <f t="shared" si="18"/>
        <v>#REF!</v>
      </c>
      <c r="AE16" s="31" t="e">
        <f t="shared" si="19"/>
        <v>#VALUE!</v>
      </c>
    </row>
    <row r="17" spans="1:31" x14ac:dyDescent="0.25">
      <c r="A17" s="64">
        <f t="shared" si="20"/>
        <v>17</v>
      </c>
      <c r="B17" s="59">
        <v>42614</v>
      </c>
      <c r="C17" s="81" t="str">
        <f t="shared" si="8"/>
        <v>IF(VLOOKUP(B9,MAPA_DATA!D:G,2,0)=1,'FACT_EMITIDA',IF(VLOOKUP(B17,MAPA_DATA!D:G,3,0)=1,'FACT_EST_EFACT',(IF(VLOOKUP(B17,MAPA_DATA!D:G,4,0)=1,'FACT_EST_CEN','SIN_DATA')))</v>
      </c>
      <c r="D17" s="11" t="str">
        <f t="shared" si="0"/>
        <v>SUMIF(IF(VLOOKUP(B9,MAPA_DATA!D:G,2,0)=1,'FACT_EMITIDA',IF(VLOOKUP(B17,MAPA_DATA!D:G,3,0)=1,'FACT_EST_EFACT',(IF(VLOOKUP(B17,MAPA_DATA!D:G,4,0)=1,'FACT_EST_CEN','SIN_DATA')))!B:B,Reliquidacion!B17,IF(VLOOKUP(B9,MAPA_DATA!D:G,2,0)=1,'FACT_EMITIDA',IF(VLOOKUP(B17,MAPA_DATA!D:G,3,0)=1,'FACT_EST_EFACT',(IF(VLOOKUP(B17,MAPA_DATA!D:G,4,0)=1,'FACT_EST_CEN','SIN_DATA')))!F:F)</v>
      </c>
      <c r="E17" s="12" t="str">
        <f t="shared" si="9"/>
        <v>(F17/D17)</v>
      </c>
      <c r="F17" s="11" t="str">
        <f t="shared" si="1"/>
        <v>SUMIF(IF(VLOOKUP(B9,MAPA_DATA!D:G,2,0)=1,'FACT_EMITIDA',IF(VLOOKUP(B17,MAPA_DATA!D:G,3,0)=1,'FACT_EST_EFACT',(IF(VLOOKUP(B17,MAPA_DATA!D:G,4,0)=1,'FACT_EST_CEN','SIN_DATA')))!B:B,Reliquidacion!B17,IF(VLOOKUP(B9,MAPA_DATA!D:G,2,0)=1,'FACT_EMITIDA',IF(VLOOKUP(B17,MAPA_DATA!D:G,3,0)=1,'FACT_EST_EFACT',(IF(VLOOKUP(B17,MAPA_DATA!D:G,4,0)=1,'FACT_EST_CEN','SIN_DATA')))!H:H)</v>
      </c>
      <c r="G17" s="13" t="str">
        <f t="shared" si="2"/>
        <v>SUMIF(IF(VLOOKUP(B9,MAPA_DATA!D:G,2,0)=1,'FACT_EMITIDA',IF(VLOOKUP(B17,MAPA_DATA!D:G,3,0)=1,'FACT_EST_EFACT',(IF(VLOOKUP(B17,MAPA_DATA!D:G,4,0)=1,'FACT_EST_CEN','SIN_DATA')))!B:B,Reliquidacion!B17,IF(VLOOKUP(B9,MAPA_DATA!D:G,2,0)=1,'FACT_EMITIDA',IF(VLOOKUP(B17,MAPA_DATA!D:G,3,0)=1,'FACT_EST_EFACT',(IF(VLOOKUP(B17,MAPA_DATA!D:G,4,0)=1,'FACT_EST_CEN','SIN_DATA')))!F:F)</v>
      </c>
      <c r="H17" s="12" t="str">
        <f t="shared" si="10"/>
        <v>(I17/G17)</v>
      </c>
      <c r="I17" s="11" t="str">
        <f t="shared" si="3"/>
        <v>SUMIF(IF(VLOOKUP(B9,MAPA_DATA!D:G,2,0)=1,'FACT_EMITIDA',IF(VLOOKUP(B17,MAPA_DATA!D:G,3,0)=1,'FACT_EST_EFACT',(IF(VLOOKUP(B17,MAPA_DATA!D:G,4,0)=1,'FACT_EST_CEN','SIN_DATA')))!B:B,Reliquidacion!B17,IF(VLOOKUP(B9,MAPA_DATA!D:G,2,0)=1,'FACT_EMITIDA',IF(VLOOKUP(B17,MAPA_DATA!D:G,3,0)=1,'FACT_EST_EFACT',(IF(VLOOKUP(B17,MAPA_DATA!D:G,4,0)=1,'FACT_EST_CEN','SIN_DATA')))!H:H)</v>
      </c>
      <c r="J17" s="11" t="str">
        <f t="shared" si="11"/>
        <v>(F17+I17)</v>
      </c>
      <c r="L17" s="60" t="str">
        <f>IF(VLOOKUP(B17,MAPA_DATA!D:I,5,0)=1,"EFACT_CNE",IF(VLOOKUP(B17,MAPA_DATA!D:I,6,0)=1,"EFACT_EST_CNE","SIN_DATA"))</f>
        <v>SIN_DATA</v>
      </c>
      <c r="M17" s="11" t="str">
        <f t="shared" si="4"/>
        <v>SUMIF(SIN_DATA!B:B;Reliquidacion!B17;SIN_DATA!S:S)</v>
      </c>
      <c r="N17" s="12" t="str">
        <f t="shared" si="12"/>
        <v>(O17/M17)</v>
      </c>
      <c r="O17" s="11" t="str">
        <f t="shared" si="5"/>
        <v>SUMIF(SIN_DATA!B:B;Reliquidacion!B17;SIN_DATA!W:W)</v>
      </c>
      <c r="P17" s="13" t="str">
        <f t="shared" si="6"/>
        <v>SUMIF(SIN_DATA!B:B;Reliquidacion!B17;SIN_DATA!X:X)</v>
      </c>
      <c r="Q17" s="12" t="str">
        <f t="shared" si="13"/>
        <v>(R17/P17)</v>
      </c>
      <c r="R17" s="11" t="str">
        <f t="shared" si="7"/>
        <v>SUMIF(SIN_DATA!B:B;Reliquidacion!B17;SIN_DATA!AB:AB)</v>
      </c>
      <c r="S17" s="11" t="str">
        <f t="shared" si="14"/>
        <v>(O17+R17)</v>
      </c>
      <c r="U17" s="79">
        <v>42614</v>
      </c>
      <c r="V17" s="31" t="str">
        <f t="shared" si="15"/>
        <v>=(S17-J17)</v>
      </c>
      <c r="W17" s="65" t="s">
        <v>441</v>
      </c>
      <c r="X17" s="33">
        <f>VLOOKUP(W17,[1]INTERESES!A:B,2,0)</f>
        <v>0</v>
      </c>
      <c r="Y17" s="34" t="e">
        <f>VLOOKUP(W17,#REF!,6,0)</f>
        <v>#REF!</v>
      </c>
      <c r="Z17" s="35">
        <v>43156</v>
      </c>
      <c r="AA17" s="36">
        <v>44377</v>
      </c>
      <c r="AB17" s="37">
        <f t="shared" si="16"/>
        <v>1221</v>
      </c>
      <c r="AC17" s="38" t="e">
        <f t="shared" si="17"/>
        <v>#REF!</v>
      </c>
      <c r="AD17" s="31" t="e">
        <f t="shared" si="18"/>
        <v>#REF!</v>
      </c>
      <c r="AE17" s="31" t="e">
        <f t="shared" si="19"/>
        <v>#VALUE!</v>
      </c>
    </row>
    <row r="18" spans="1:31" x14ac:dyDescent="0.25">
      <c r="A18" s="64">
        <f t="shared" si="20"/>
        <v>18</v>
      </c>
      <c r="B18" s="59">
        <v>42644</v>
      </c>
      <c r="C18" s="81" t="str">
        <f t="shared" si="8"/>
        <v>IF(VLOOKUP(B9,MAPA_DATA!D:G,2,0)=1,'FACT_EMITIDA',IF(VLOOKUP(B18,MAPA_DATA!D:G,3,0)=1,'FACT_EST_EFACT',(IF(VLOOKUP(B18,MAPA_DATA!D:G,4,0)=1,'FACT_EST_CEN','SIN_DATA')))</v>
      </c>
      <c r="D18" s="11" t="str">
        <f t="shared" si="0"/>
        <v>SUMIF(IF(VLOOKUP(B9,MAPA_DATA!D:G,2,0)=1,'FACT_EMITIDA',IF(VLOOKUP(B18,MAPA_DATA!D:G,3,0)=1,'FACT_EST_EFACT',(IF(VLOOKUP(B18,MAPA_DATA!D:G,4,0)=1,'FACT_EST_CEN','SIN_DATA')))!B:B,Reliquidacion!B18,IF(VLOOKUP(B9,MAPA_DATA!D:G,2,0)=1,'FACT_EMITIDA',IF(VLOOKUP(B18,MAPA_DATA!D:G,3,0)=1,'FACT_EST_EFACT',(IF(VLOOKUP(B18,MAPA_DATA!D:G,4,0)=1,'FACT_EST_CEN','SIN_DATA')))!F:F)</v>
      </c>
      <c r="E18" s="12" t="str">
        <f t="shared" si="9"/>
        <v>(F18/D18)</v>
      </c>
      <c r="F18" s="11" t="str">
        <f t="shared" si="1"/>
        <v>SUMIF(IF(VLOOKUP(B9,MAPA_DATA!D:G,2,0)=1,'FACT_EMITIDA',IF(VLOOKUP(B18,MAPA_DATA!D:G,3,0)=1,'FACT_EST_EFACT',(IF(VLOOKUP(B18,MAPA_DATA!D:G,4,0)=1,'FACT_EST_CEN','SIN_DATA')))!B:B,Reliquidacion!B18,IF(VLOOKUP(B9,MAPA_DATA!D:G,2,0)=1,'FACT_EMITIDA',IF(VLOOKUP(B18,MAPA_DATA!D:G,3,0)=1,'FACT_EST_EFACT',(IF(VLOOKUP(B18,MAPA_DATA!D:G,4,0)=1,'FACT_EST_CEN','SIN_DATA')))!H:H)</v>
      </c>
      <c r="G18" s="13" t="str">
        <f t="shared" si="2"/>
        <v>SUMIF(IF(VLOOKUP(B9,MAPA_DATA!D:G,2,0)=1,'FACT_EMITIDA',IF(VLOOKUP(B18,MAPA_DATA!D:G,3,0)=1,'FACT_EST_EFACT',(IF(VLOOKUP(B18,MAPA_DATA!D:G,4,0)=1,'FACT_EST_CEN','SIN_DATA')))!B:B,Reliquidacion!B18,IF(VLOOKUP(B9,MAPA_DATA!D:G,2,0)=1,'FACT_EMITIDA',IF(VLOOKUP(B18,MAPA_DATA!D:G,3,0)=1,'FACT_EST_EFACT',(IF(VLOOKUP(B18,MAPA_DATA!D:G,4,0)=1,'FACT_EST_CEN','SIN_DATA')))!F:F)</v>
      </c>
      <c r="H18" s="12" t="str">
        <f t="shared" si="10"/>
        <v>(I18/G18)</v>
      </c>
      <c r="I18" s="11" t="str">
        <f t="shared" si="3"/>
        <v>SUMIF(IF(VLOOKUP(B9,MAPA_DATA!D:G,2,0)=1,'FACT_EMITIDA',IF(VLOOKUP(B18,MAPA_DATA!D:G,3,0)=1,'FACT_EST_EFACT',(IF(VLOOKUP(B18,MAPA_DATA!D:G,4,0)=1,'FACT_EST_CEN','SIN_DATA')))!B:B,Reliquidacion!B18,IF(VLOOKUP(B9,MAPA_DATA!D:G,2,0)=1,'FACT_EMITIDA',IF(VLOOKUP(B18,MAPA_DATA!D:G,3,0)=1,'FACT_EST_EFACT',(IF(VLOOKUP(B18,MAPA_DATA!D:G,4,0)=1,'FACT_EST_CEN','SIN_DATA')))!H:H)</v>
      </c>
      <c r="J18" s="11" t="str">
        <f t="shared" si="11"/>
        <v>(F18+I18)</v>
      </c>
      <c r="L18" s="60" t="str">
        <f>IF(VLOOKUP(B18,MAPA_DATA!D:I,5,0)=1,"EFACT_CNE",IF(VLOOKUP(B18,MAPA_DATA!D:I,6,0)=1,"EFACT_EST_CNE","SIN_DATA"))</f>
        <v>SIN_DATA</v>
      </c>
      <c r="M18" s="11" t="str">
        <f t="shared" si="4"/>
        <v>SUMIF(SIN_DATA!B:B;Reliquidacion!B18;SIN_DATA!S:S)</v>
      </c>
      <c r="N18" s="12" t="str">
        <f t="shared" si="12"/>
        <v>(O18/M18)</v>
      </c>
      <c r="O18" s="11" t="str">
        <f t="shared" si="5"/>
        <v>SUMIF(SIN_DATA!B:B;Reliquidacion!B18;SIN_DATA!W:W)</v>
      </c>
      <c r="P18" s="13" t="str">
        <f t="shared" si="6"/>
        <v>SUMIF(SIN_DATA!B:B;Reliquidacion!B18;SIN_DATA!X:X)</v>
      </c>
      <c r="Q18" s="12" t="str">
        <f t="shared" si="13"/>
        <v>(R18/P18)</v>
      </c>
      <c r="R18" s="11" t="str">
        <f t="shared" si="7"/>
        <v>SUMIF(SIN_DATA!B:B;Reliquidacion!B18;SIN_DATA!AB:AB)</v>
      </c>
      <c r="S18" s="11" t="str">
        <f t="shared" si="14"/>
        <v>(O18+R18)</v>
      </c>
      <c r="U18" s="79">
        <v>42644</v>
      </c>
      <c r="V18" s="31" t="str">
        <f t="shared" si="15"/>
        <v>=(S18-J18)</v>
      </c>
      <c r="W18" s="65" t="s">
        <v>441</v>
      </c>
      <c r="X18" s="33">
        <f>VLOOKUP(W18,[1]INTERESES!A:B,2,0)</f>
        <v>0</v>
      </c>
      <c r="Y18" s="34" t="e">
        <f>VLOOKUP(W18,#REF!,6,0)</f>
        <v>#REF!</v>
      </c>
      <c r="Z18" s="35">
        <v>43156</v>
      </c>
      <c r="AA18" s="36">
        <v>44377</v>
      </c>
      <c r="AB18" s="37">
        <f t="shared" si="16"/>
        <v>1221</v>
      </c>
      <c r="AC18" s="38" t="e">
        <f t="shared" si="17"/>
        <v>#REF!</v>
      </c>
      <c r="AD18" s="31" t="e">
        <f t="shared" si="18"/>
        <v>#REF!</v>
      </c>
      <c r="AE18" s="31" t="e">
        <f t="shared" si="19"/>
        <v>#VALUE!</v>
      </c>
    </row>
    <row r="19" spans="1:31" x14ac:dyDescent="0.25">
      <c r="A19" s="64">
        <f t="shared" si="20"/>
        <v>19</v>
      </c>
      <c r="B19" s="59">
        <v>42675</v>
      </c>
      <c r="C19" s="81" t="str">
        <f t="shared" si="8"/>
        <v>IF(VLOOKUP(B9,MAPA_DATA!D:G,2,0)=1,'FACT_EMITIDA',IF(VLOOKUP(B19,MAPA_DATA!D:G,3,0)=1,'FACT_EST_EFACT',(IF(VLOOKUP(B19,MAPA_DATA!D:G,4,0)=1,'FACT_EST_CEN','SIN_DATA')))</v>
      </c>
      <c r="D19" s="11" t="str">
        <f t="shared" si="0"/>
        <v>SUMIF(IF(VLOOKUP(B9,MAPA_DATA!D:G,2,0)=1,'FACT_EMITIDA',IF(VLOOKUP(B19,MAPA_DATA!D:G,3,0)=1,'FACT_EST_EFACT',(IF(VLOOKUP(B19,MAPA_DATA!D:G,4,0)=1,'FACT_EST_CEN','SIN_DATA')))!B:B,Reliquidacion!B19,IF(VLOOKUP(B9,MAPA_DATA!D:G,2,0)=1,'FACT_EMITIDA',IF(VLOOKUP(B19,MAPA_DATA!D:G,3,0)=1,'FACT_EST_EFACT',(IF(VLOOKUP(B19,MAPA_DATA!D:G,4,0)=1,'FACT_EST_CEN','SIN_DATA')))!F:F)</v>
      </c>
      <c r="E19" s="12" t="str">
        <f t="shared" si="9"/>
        <v>(F19/D19)</v>
      </c>
      <c r="F19" s="11" t="str">
        <f t="shared" si="1"/>
        <v>SUMIF(IF(VLOOKUP(B9,MAPA_DATA!D:G,2,0)=1,'FACT_EMITIDA',IF(VLOOKUP(B19,MAPA_DATA!D:G,3,0)=1,'FACT_EST_EFACT',(IF(VLOOKUP(B19,MAPA_DATA!D:G,4,0)=1,'FACT_EST_CEN','SIN_DATA')))!B:B,Reliquidacion!B19,IF(VLOOKUP(B9,MAPA_DATA!D:G,2,0)=1,'FACT_EMITIDA',IF(VLOOKUP(B19,MAPA_DATA!D:G,3,0)=1,'FACT_EST_EFACT',(IF(VLOOKUP(B19,MAPA_DATA!D:G,4,0)=1,'FACT_EST_CEN','SIN_DATA')))!H:H)</v>
      </c>
      <c r="G19" s="13" t="str">
        <f t="shared" si="2"/>
        <v>SUMIF(IF(VLOOKUP(B9,MAPA_DATA!D:G,2,0)=1,'FACT_EMITIDA',IF(VLOOKUP(B19,MAPA_DATA!D:G,3,0)=1,'FACT_EST_EFACT',(IF(VLOOKUP(B19,MAPA_DATA!D:G,4,0)=1,'FACT_EST_CEN','SIN_DATA')))!B:B,Reliquidacion!B19,IF(VLOOKUP(B9,MAPA_DATA!D:G,2,0)=1,'FACT_EMITIDA',IF(VLOOKUP(B19,MAPA_DATA!D:G,3,0)=1,'FACT_EST_EFACT',(IF(VLOOKUP(B19,MAPA_DATA!D:G,4,0)=1,'FACT_EST_CEN','SIN_DATA')))!F:F)</v>
      </c>
      <c r="H19" s="12" t="str">
        <f t="shared" si="10"/>
        <v>(I19/G19)</v>
      </c>
      <c r="I19" s="11" t="str">
        <f t="shared" si="3"/>
        <v>SUMIF(IF(VLOOKUP(B9,MAPA_DATA!D:G,2,0)=1,'FACT_EMITIDA',IF(VLOOKUP(B19,MAPA_DATA!D:G,3,0)=1,'FACT_EST_EFACT',(IF(VLOOKUP(B19,MAPA_DATA!D:G,4,0)=1,'FACT_EST_CEN','SIN_DATA')))!B:B,Reliquidacion!B19,IF(VLOOKUP(B9,MAPA_DATA!D:G,2,0)=1,'FACT_EMITIDA',IF(VLOOKUP(B19,MAPA_DATA!D:G,3,0)=1,'FACT_EST_EFACT',(IF(VLOOKUP(B19,MAPA_DATA!D:G,4,0)=1,'FACT_EST_CEN','SIN_DATA')))!H:H)</v>
      </c>
      <c r="J19" s="11" t="str">
        <f t="shared" si="11"/>
        <v>(F19+I19)</v>
      </c>
      <c r="L19" s="60" t="str">
        <f>IF(VLOOKUP(B19,MAPA_DATA!D:I,5,0)=1,"EFACT_CNE",IF(VLOOKUP(B19,MAPA_DATA!D:I,6,0)=1,"EFACT_EST_CNE","SIN_DATA"))</f>
        <v>SIN_DATA</v>
      </c>
      <c r="M19" s="11" t="str">
        <f t="shared" si="4"/>
        <v>SUMIF(SIN_DATA!B:B;Reliquidacion!B19;SIN_DATA!S:S)</v>
      </c>
      <c r="N19" s="12" t="str">
        <f t="shared" si="12"/>
        <v>(O19/M19)</v>
      </c>
      <c r="O19" s="11" t="str">
        <f t="shared" si="5"/>
        <v>SUMIF(SIN_DATA!B:B;Reliquidacion!B19;SIN_DATA!W:W)</v>
      </c>
      <c r="P19" s="13" t="str">
        <f t="shared" si="6"/>
        <v>SUMIF(SIN_DATA!B:B;Reliquidacion!B19;SIN_DATA!X:X)</v>
      </c>
      <c r="Q19" s="12" t="str">
        <f t="shared" si="13"/>
        <v>(R19/P19)</v>
      </c>
      <c r="R19" s="11" t="str">
        <f t="shared" si="7"/>
        <v>SUMIF(SIN_DATA!B:B;Reliquidacion!B19;SIN_DATA!AB:AB)</v>
      </c>
      <c r="S19" s="11" t="str">
        <f t="shared" si="14"/>
        <v>(O19+R19)</v>
      </c>
      <c r="U19" s="79">
        <v>42675</v>
      </c>
      <c r="V19" s="31" t="str">
        <f t="shared" si="15"/>
        <v>=(S19-J19)</v>
      </c>
      <c r="W19" s="65" t="s">
        <v>441</v>
      </c>
      <c r="X19" s="33">
        <f>VLOOKUP(W19,[1]INTERESES!A:B,2,0)</f>
        <v>0</v>
      </c>
      <c r="Y19" s="34" t="e">
        <f>VLOOKUP(W19,#REF!,6,0)</f>
        <v>#REF!</v>
      </c>
      <c r="Z19" s="35">
        <v>43156</v>
      </c>
      <c r="AA19" s="36">
        <v>44377</v>
      </c>
      <c r="AB19" s="37">
        <f t="shared" si="16"/>
        <v>1221</v>
      </c>
      <c r="AC19" s="38" t="e">
        <f t="shared" si="17"/>
        <v>#REF!</v>
      </c>
      <c r="AD19" s="31" t="e">
        <f t="shared" si="18"/>
        <v>#REF!</v>
      </c>
      <c r="AE19" s="31" t="e">
        <f t="shared" si="19"/>
        <v>#VALUE!</v>
      </c>
    </row>
    <row r="20" spans="1:31" x14ac:dyDescent="0.25">
      <c r="A20" s="64">
        <f t="shared" si="20"/>
        <v>20</v>
      </c>
      <c r="B20" s="59">
        <v>42705</v>
      </c>
      <c r="C20" s="81" t="str">
        <f t="shared" si="8"/>
        <v>IF(VLOOKUP(B9,MAPA_DATA!D:G,2,0)=1,'FACT_EMITIDA',IF(VLOOKUP(B20,MAPA_DATA!D:G,3,0)=1,'FACT_EST_EFACT',(IF(VLOOKUP(B20,MAPA_DATA!D:G,4,0)=1,'FACT_EST_CEN','SIN_DATA')))</v>
      </c>
      <c r="D20" s="11" t="str">
        <f t="shared" si="0"/>
        <v>SUMIF(IF(VLOOKUP(B9,MAPA_DATA!D:G,2,0)=1,'FACT_EMITIDA',IF(VLOOKUP(B20,MAPA_DATA!D:G,3,0)=1,'FACT_EST_EFACT',(IF(VLOOKUP(B20,MAPA_DATA!D:G,4,0)=1,'FACT_EST_CEN','SIN_DATA')))!B:B,Reliquidacion!B20,IF(VLOOKUP(B9,MAPA_DATA!D:G,2,0)=1,'FACT_EMITIDA',IF(VLOOKUP(B20,MAPA_DATA!D:G,3,0)=1,'FACT_EST_EFACT',(IF(VLOOKUP(B20,MAPA_DATA!D:G,4,0)=1,'FACT_EST_CEN','SIN_DATA')))!F:F)</v>
      </c>
      <c r="E20" s="12" t="str">
        <f t="shared" si="9"/>
        <v>(F20/D20)</v>
      </c>
      <c r="F20" s="11" t="str">
        <f t="shared" si="1"/>
        <v>SUMIF(IF(VLOOKUP(B9,MAPA_DATA!D:G,2,0)=1,'FACT_EMITIDA',IF(VLOOKUP(B20,MAPA_DATA!D:G,3,0)=1,'FACT_EST_EFACT',(IF(VLOOKUP(B20,MAPA_DATA!D:G,4,0)=1,'FACT_EST_CEN','SIN_DATA')))!B:B,Reliquidacion!B20,IF(VLOOKUP(B9,MAPA_DATA!D:G,2,0)=1,'FACT_EMITIDA',IF(VLOOKUP(B20,MAPA_DATA!D:G,3,0)=1,'FACT_EST_EFACT',(IF(VLOOKUP(B20,MAPA_DATA!D:G,4,0)=1,'FACT_EST_CEN','SIN_DATA')))!H:H)</v>
      </c>
      <c r="G20" s="13" t="str">
        <f t="shared" si="2"/>
        <v>SUMIF(IF(VLOOKUP(B9,MAPA_DATA!D:G,2,0)=1,'FACT_EMITIDA',IF(VLOOKUP(B20,MAPA_DATA!D:G,3,0)=1,'FACT_EST_EFACT',(IF(VLOOKUP(B20,MAPA_DATA!D:G,4,0)=1,'FACT_EST_CEN','SIN_DATA')))!B:B,Reliquidacion!B20,IF(VLOOKUP(B9,MAPA_DATA!D:G,2,0)=1,'FACT_EMITIDA',IF(VLOOKUP(B20,MAPA_DATA!D:G,3,0)=1,'FACT_EST_EFACT',(IF(VLOOKUP(B20,MAPA_DATA!D:G,4,0)=1,'FACT_EST_CEN','SIN_DATA')))!F:F)</v>
      </c>
      <c r="H20" s="12" t="str">
        <f t="shared" si="10"/>
        <v>(I20/G20)</v>
      </c>
      <c r="I20" s="11" t="str">
        <f t="shared" si="3"/>
        <v>SUMIF(IF(VLOOKUP(B9,MAPA_DATA!D:G,2,0)=1,'FACT_EMITIDA',IF(VLOOKUP(B20,MAPA_DATA!D:G,3,0)=1,'FACT_EST_EFACT',(IF(VLOOKUP(B20,MAPA_DATA!D:G,4,0)=1,'FACT_EST_CEN','SIN_DATA')))!B:B,Reliquidacion!B20,IF(VLOOKUP(B9,MAPA_DATA!D:G,2,0)=1,'FACT_EMITIDA',IF(VLOOKUP(B20,MAPA_DATA!D:G,3,0)=1,'FACT_EST_EFACT',(IF(VLOOKUP(B20,MAPA_DATA!D:G,4,0)=1,'FACT_EST_CEN','SIN_DATA')))!H:H)</v>
      </c>
      <c r="J20" s="11" t="str">
        <f t="shared" si="11"/>
        <v>(F20+I20)</v>
      </c>
      <c r="L20" s="60" t="str">
        <f>IF(VLOOKUP(B20,MAPA_DATA!D:I,5,0)=1,"EFACT_CNE",IF(VLOOKUP(B20,MAPA_DATA!D:I,6,0)=1,"EFACT_EST_CNE","SIN_DATA"))</f>
        <v>SIN_DATA</v>
      </c>
      <c r="M20" s="11" t="str">
        <f t="shared" si="4"/>
        <v>SUMIF(SIN_DATA!B:B;Reliquidacion!B20;SIN_DATA!S:S)</v>
      </c>
      <c r="N20" s="12" t="str">
        <f t="shared" si="12"/>
        <v>(O20/M20)</v>
      </c>
      <c r="O20" s="11" t="str">
        <f t="shared" si="5"/>
        <v>SUMIF(SIN_DATA!B:B;Reliquidacion!B20;SIN_DATA!W:W)</v>
      </c>
      <c r="P20" s="13" t="str">
        <f t="shared" si="6"/>
        <v>SUMIF(SIN_DATA!B:B;Reliquidacion!B20;SIN_DATA!X:X)</v>
      </c>
      <c r="Q20" s="12" t="str">
        <f t="shared" si="13"/>
        <v>(R20/P20)</v>
      </c>
      <c r="R20" s="11" t="str">
        <f t="shared" si="7"/>
        <v>SUMIF(SIN_DATA!B:B;Reliquidacion!B20;SIN_DATA!AB:AB)</v>
      </c>
      <c r="S20" s="11" t="str">
        <f t="shared" si="14"/>
        <v>(O20+R20)</v>
      </c>
      <c r="U20" s="79">
        <v>42705</v>
      </c>
      <c r="V20" s="31" t="str">
        <f t="shared" si="15"/>
        <v>=(S20-J20)</v>
      </c>
      <c r="W20" s="65" t="s">
        <v>441</v>
      </c>
      <c r="X20" s="33">
        <f>VLOOKUP(W20,[1]INTERESES!A:B,2,0)</f>
        <v>0</v>
      </c>
      <c r="Y20" s="34" t="e">
        <f>VLOOKUP(W20,#REF!,6,0)</f>
        <v>#REF!</v>
      </c>
      <c r="Z20" s="35">
        <v>43156</v>
      </c>
      <c r="AA20" s="36">
        <v>44377</v>
      </c>
      <c r="AB20" s="37">
        <f t="shared" si="16"/>
        <v>1221</v>
      </c>
      <c r="AC20" s="38" t="e">
        <f t="shared" si="17"/>
        <v>#REF!</v>
      </c>
      <c r="AD20" s="31" t="e">
        <f t="shared" si="18"/>
        <v>#REF!</v>
      </c>
      <c r="AE20" s="31" t="e">
        <f t="shared" si="19"/>
        <v>#VALUE!</v>
      </c>
    </row>
    <row r="21" spans="1:31" x14ac:dyDescent="0.25">
      <c r="A21" s="64">
        <f t="shared" si="20"/>
        <v>21</v>
      </c>
      <c r="B21" s="59">
        <v>42736</v>
      </c>
      <c r="C21" s="81" t="str">
        <f t="shared" si="8"/>
        <v>IF(VLOOKUP(B9,MAPA_DATA!D:G,2,0)=1,'FACT_EMITIDA',IF(VLOOKUP(B21,MAPA_DATA!D:G,3,0)=1,'FACT_EST_EFACT',(IF(VLOOKUP(B21,MAPA_DATA!D:G,4,0)=1,'FACT_EST_CEN','SIN_DATA')))</v>
      </c>
      <c r="D21" s="11" t="str">
        <f t="shared" si="0"/>
        <v>SUMIF(IF(VLOOKUP(B9,MAPA_DATA!D:G,2,0)=1,'FACT_EMITIDA',IF(VLOOKUP(B21,MAPA_DATA!D:G,3,0)=1,'FACT_EST_EFACT',(IF(VLOOKUP(B21,MAPA_DATA!D:G,4,0)=1,'FACT_EST_CEN','SIN_DATA')))!B:B,Reliquidacion!B21,IF(VLOOKUP(B9,MAPA_DATA!D:G,2,0)=1,'FACT_EMITIDA',IF(VLOOKUP(B21,MAPA_DATA!D:G,3,0)=1,'FACT_EST_EFACT',(IF(VLOOKUP(B21,MAPA_DATA!D:G,4,0)=1,'FACT_EST_CEN','SIN_DATA')))!F:F)</v>
      </c>
      <c r="E21" s="12" t="str">
        <f t="shared" si="9"/>
        <v>(F21/D21)</v>
      </c>
      <c r="F21" s="11" t="str">
        <f t="shared" si="1"/>
        <v>SUMIF(IF(VLOOKUP(B9,MAPA_DATA!D:G,2,0)=1,'FACT_EMITIDA',IF(VLOOKUP(B21,MAPA_DATA!D:G,3,0)=1,'FACT_EST_EFACT',(IF(VLOOKUP(B21,MAPA_DATA!D:G,4,0)=1,'FACT_EST_CEN','SIN_DATA')))!B:B,Reliquidacion!B21,IF(VLOOKUP(B9,MAPA_DATA!D:G,2,0)=1,'FACT_EMITIDA',IF(VLOOKUP(B21,MAPA_DATA!D:G,3,0)=1,'FACT_EST_EFACT',(IF(VLOOKUP(B21,MAPA_DATA!D:G,4,0)=1,'FACT_EST_CEN','SIN_DATA')))!H:H)</v>
      </c>
      <c r="G21" s="13" t="str">
        <f t="shared" si="2"/>
        <v>SUMIF(IF(VLOOKUP(B9,MAPA_DATA!D:G,2,0)=1,'FACT_EMITIDA',IF(VLOOKUP(B21,MAPA_DATA!D:G,3,0)=1,'FACT_EST_EFACT',(IF(VLOOKUP(B21,MAPA_DATA!D:G,4,0)=1,'FACT_EST_CEN','SIN_DATA')))!B:B,Reliquidacion!B21,IF(VLOOKUP(B9,MAPA_DATA!D:G,2,0)=1,'FACT_EMITIDA',IF(VLOOKUP(B21,MAPA_DATA!D:G,3,0)=1,'FACT_EST_EFACT',(IF(VLOOKUP(B21,MAPA_DATA!D:G,4,0)=1,'FACT_EST_CEN','SIN_DATA')))!F:F)</v>
      </c>
      <c r="H21" s="12" t="str">
        <f t="shared" si="10"/>
        <v>(I21/G21)</v>
      </c>
      <c r="I21" s="11" t="str">
        <f t="shared" si="3"/>
        <v>SUMIF(IF(VLOOKUP(B9,MAPA_DATA!D:G,2,0)=1,'FACT_EMITIDA',IF(VLOOKUP(B21,MAPA_DATA!D:G,3,0)=1,'FACT_EST_EFACT',(IF(VLOOKUP(B21,MAPA_DATA!D:G,4,0)=1,'FACT_EST_CEN','SIN_DATA')))!B:B,Reliquidacion!B21,IF(VLOOKUP(B9,MAPA_DATA!D:G,2,0)=1,'FACT_EMITIDA',IF(VLOOKUP(B21,MAPA_DATA!D:G,3,0)=1,'FACT_EST_EFACT',(IF(VLOOKUP(B21,MAPA_DATA!D:G,4,0)=1,'FACT_EST_CEN','SIN_DATA')))!H:H)</v>
      </c>
      <c r="J21" s="11" t="str">
        <f t="shared" si="11"/>
        <v>(F21+I21)</v>
      </c>
      <c r="L21" s="60" t="str">
        <f>IF(VLOOKUP(B21,MAPA_DATA!D:I,5,0)=1,"EFACT_CNE",IF(VLOOKUP(B21,MAPA_DATA!D:I,6,0)=1,"EFACT_EST_CNE","SIN_DATA"))</f>
        <v>SIN_DATA</v>
      </c>
      <c r="M21" s="11" t="str">
        <f t="shared" si="4"/>
        <v>SUMIF(SIN_DATA!B:B;Reliquidacion!B21;SIN_DATA!S:S)</v>
      </c>
      <c r="N21" s="12" t="str">
        <f t="shared" si="12"/>
        <v>(O21/M21)</v>
      </c>
      <c r="O21" s="11" t="str">
        <f t="shared" si="5"/>
        <v>SUMIF(SIN_DATA!B:B;Reliquidacion!B21;SIN_DATA!W:W)</v>
      </c>
      <c r="P21" s="13" t="str">
        <f t="shared" si="6"/>
        <v>SUMIF(SIN_DATA!B:B;Reliquidacion!B21;SIN_DATA!X:X)</v>
      </c>
      <c r="Q21" s="12" t="str">
        <f t="shared" si="13"/>
        <v>(R21/P21)</v>
      </c>
      <c r="R21" s="11" t="str">
        <f t="shared" si="7"/>
        <v>SUMIF(SIN_DATA!B:B;Reliquidacion!B21;SIN_DATA!AB:AB)</v>
      </c>
      <c r="S21" s="11" t="str">
        <f t="shared" si="14"/>
        <v>(O21+R21)</v>
      </c>
      <c r="U21" s="79">
        <v>42736</v>
      </c>
      <c r="V21" s="31" t="str">
        <f t="shared" si="15"/>
        <v>=(S21-J21)</v>
      </c>
      <c r="W21" s="65" t="s">
        <v>441</v>
      </c>
      <c r="X21" s="33">
        <f>VLOOKUP(W21,[1]INTERESES!A:B,2,0)</f>
        <v>0</v>
      </c>
      <c r="Y21" s="34" t="e">
        <f>VLOOKUP(W21,#REF!,6,0)</f>
        <v>#REF!</v>
      </c>
      <c r="Z21" s="35">
        <v>43156</v>
      </c>
      <c r="AA21" s="36">
        <v>44377</v>
      </c>
      <c r="AB21" s="37">
        <f t="shared" si="16"/>
        <v>1221</v>
      </c>
      <c r="AC21" s="38" t="e">
        <f t="shared" si="17"/>
        <v>#REF!</v>
      </c>
      <c r="AD21" s="31" t="e">
        <f t="shared" si="18"/>
        <v>#REF!</v>
      </c>
      <c r="AE21" s="31" t="e">
        <f t="shared" si="19"/>
        <v>#VALUE!</v>
      </c>
    </row>
    <row r="22" spans="1:31" x14ac:dyDescent="0.25">
      <c r="A22" s="64">
        <f t="shared" si="20"/>
        <v>22</v>
      </c>
      <c r="B22" s="59">
        <v>42767</v>
      </c>
      <c r="C22" s="81" t="str">
        <f t="shared" si="8"/>
        <v>IF(VLOOKUP(B9,MAPA_DATA!D:G,2,0)=1,'FACT_EMITIDA',IF(VLOOKUP(B22,MAPA_DATA!D:G,3,0)=1,'FACT_EST_EFACT',(IF(VLOOKUP(B22,MAPA_DATA!D:G,4,0)=1,'FACT_EST_CEN','SIN_DATA')))</v>
      </c>
      <c r="D22" s="11" t="str">
        <f t="shared" si="0"/>
        <v>SUMIF(IF(VLOOKUP(B9,MAPA_DATA!D:G,2,0)=1,'FACT_EMITIDA',IF(VLOOKUP(B22,MAPA_DATA!D:G,3,0)=1,'FACT_EST_EFACT',(IF(VLOOKUP(B22,MAPA_DATA!D:G,4,0)=1,'FACT_EST_CEN','SIN_DATA')))!B:B,Reliquidacion!B22,IF(VLOOKUP(B9,MAPA_DATA!D:G,2,0)=1,'FACT_EMITIDA',IF(VLOOKUP(B22,MAPA_DATA!D:G,3,0)=1,'FACT_EST_EFACT',(IF(VLOOKUP(B22,MAPA_DATA!D:G,4,0)=1,'FACT_EST_CEN','SIN_DATA')))!F:F)</v>
      </c>
      <c r="E22" s="12" t="str">
        <f t="shared" si="9"/>
        <v>(F22/D22)</v>
      </c>
      <c r="F22" s="11" t="str">
        <f t="shared" si="1"/>
        <v>SUMIF(IF(VLOOKUP(B9,MAPA_DATA!D:G,2,0)=1,'FACT_EMITIDA',IF(VLOOKUP(B22,MAPA_DATA!D:G,3,0)=1,'FACT_EST_EFACT',(IF(VLOOKUP(B22,MAPA_DATA!D:G,4,0)=1,'FACT_EST_CEN','SIN_DATA')))!B:B,Reliquidacion!B22,IF(VLOOKUP(B9,MAPA_DATA!D:G,2,0)=1,'FACT_EMITIDA',IF(VLOOKUP(B22,MAPA_DATA!D:G,3,0)=1,'FACT_EST_EFACT',(IF(VLOOKUP(B22,MAPA_DATA!D:G,4,0)=1,'FACT_EST_CEN','SIN_DATA')))!H:H)</v>
      </c>
      <c r="G22" s="13" t="str">
        <f t="shared" si="2"/>
        <v>SUMIF(IF(VLOOKUP(B9,MAPA_DATA!D:G,2,0)=1,'FACT_EMITIDA',IF(VLOOKUP(B22,MAPA_DATA!D:G,3,0)=1,'FACT_EST_EFACT',(IF(VLOOKUP(B22,MAPA_DATA!D:G,4,0)=1,'FACT_EST_CEN','SIN_DATA')))!B:B,Reliquidacion!B22,IF(VLOOKUP(B9,MAPA_DATA!D:G,2,0)=1,'FACT_EMITIDA',IF(VLOOKUP(B22,MAPA_DATA!D:G,3,0)=1,'FACT_EST_EFACT',(IF(VLOOKUP(B22,MAPA_DATA!D:G,4,0)=1,'FACT_EST_CEN','SIN_DATA')))!F:F)</v>
      </c>
      <c r="H22" s="12" t="str">
        <f t="shared" si="10"/>
        <v>(I22/G22)</v>
      </c>
      <c r="I22" s="11" t="str">
        <f t="shared" si="3"/>
        <v>SUMIF(IF(VLOOKUP(B9,MAPA_DATA!D:G,2,0)=1,'FACT_EMITIDA',IF(VLOOKUP(B22,MAPA_DATA!D:G,3,0)=1,'FACT_EST_EFACT',(IF(VLOOKUP(B22,MAPA_DATA!D:G,4,0)=1,'FACT_EST_CEN','SIN_DATA')))!B:B,Reliquidacion!B22,IF(VLOOKUP(B9,MAPA_DATA!D:G,2,0)=1,'FACT_EMITIDA',IF(VLOOKUP(B22,MAPA_DATA!D:G,3,0)=1,'FACT_EST_EFACT',(IF(VLOOKUP(B22,MAPA_DATA!D:G,4,0)=1,'FACT_EST_CEN','SIN_DATA')))!H:H)</v>
      </c>
      <c r="J22" s="11" t="str">
        <f t="shared" si="11"/>
        <v>(F22+I22)</v>
      </c>
      <c r="L22" s="60" t="str">
        <f>IF(VLOOKUP(B22,MAPA_DATA!D:I,5,0)=1,"EFACT_CNE",IF(VLOOKUP(B22,MAPA_DATA!D:I,6,0)=1,"EFACT_EST_CNE","SIN_DATA"))</f>
        <v>SIN_DATA</v>
      </c>
      <c r="M22" s="11" t="str">
        <f t="shared" si="4"/>
        <v>SUMIF(SIN_DATA!B:B;Reliquidacion!B22;SIN_DATA!S:S)</v>
      </c>
      <c r="N22" s="12" t="str">
        <f t="shared" si="12"/>
        <v>(O22/M22)</v>
      </c>
      <c r="O22" s="11" t="str">
        <f t="shared" si="5"/>
        <v>SUMIF(SIN_DATA!B:B;Reliquidacion!B22;SIN_DATA!W:W)</v>
      </c>
      <c r="P22" s="13" t="str">
        <f t="shared" si="6"/>
        <v>SUMIF(SIN_DATA!B:B;Reliquidacion!B22;SIN_DATA!X:X)</v>
      </c>
      <c r="Q22" s="12" t="str">
        <f t="shared" si="13"/>
        <v>(R22/P22)</v>
      </c>
      <c r="R22" s="11" t="str">
        <f t="shared" si="7"/>
        <v>SUMIF(SIN_DATA!B:B;Reliquidacion!B22;SIN_DATA!AB:AB)</v>
      </c>
      <c r="S22" s="11" t="str">
        <f t="shared" si="14"/>
        <v>(O22+R22)</v>
      </c>
      <c r="U22" s="79">
        <v>42767</v>
      </c>
      <c r="V22" s="31" t="str">
        <f t="shared" si="15"/>
        <v>=(S22-J22)</v>
      </c>
      <c r="W22" s="65" t="s">
        <v>442</v>
      </c>
      <c r="X22" s="33">
        <f>VLOOKUP(W22,[1]INTERESES!A:B,2,0)</f>
        <v>0</v>
      </c>
      <c r="Y22" s="34" t="e">
        <f>VLOOKUP(W22,#REF!,6,0)</f>
        <v>#REF!</v>
      </c>
      <c r="Z22" s="35">
        <v>43156</v>
      </c>
      <c r="AA22" s="36">
        <v>44377</v>
      </c>
      <c r="AB22" s="37">
        <f t="shared" si="16"/>
        <v>1221</v>
      </c>
      <c r="AC22" s="38" t="e">
        <f t="shared" si="17"/>
        <v>#REF!</v>
      </c>
      <c r="AD22" s="31" t="e">
        <f t="shared" si="18"/>
        <v>#REF!</v>
      </c>
      <c r="AE22" s="31" t="e">
        <f t="shared" si="19"/>
        <v>#VALUE!</v>
      </c>
    </row>
    <row r="23" spans="1:31" x14ac:dyDescent="0.25">
      <c r="A23" s="64">
        <f t="shared" si="20"/>
        <v>23</v>
      </c>
      <c r="B23" s="59">
        <v>42795</v>
      </c>
      <c r="C23" s="81" t="str">
        <f t="shared" si="8"/>
        <v>IF(VLOOKUP(B9,MAPA_DATA!D:G,2,0)=1,'FACT_EMITIDA',IF(VLOOKUP(B23,MAPA_DATA!D:G,3,0)=1,'FACT_EST_EFACT',(IF(VLOOKUP(B23,MAPA_DATA!D:G,4,0)=1,'FACT_EST_CEN','SIN_DATA')))</v>
      </c>
      <c r="D23" s="11" t="str">
        <f t="shared" si="0"/>
        <v>SUMIF(IF(VLOOKUP(B9,MAPA_DATA!D:G,2,0)=1,'FACT_EMITIDA',IF(VLOOKUP(B23,MAPA_DATA!D:G,3,0)=1,'FACT_EST_EFACT',(IF(VLOOKUP(B23,MAPA_DATA!D:G,4,0)=1,'FACT_EST_CEN','SIN_DATA')))!B:B,Reliquidacion!B23,IF(VLOOKUP(B9,MAPA_DATA!D:G,2,0)=1,'FACT_EMITIDA',IF(VLOOKUP(B23,MAPA_DATA!D:G,3,0)=1,'FACT_EST_EFACT',(IF(VLOOKUP(B23,MAPA_DATA!D:G,4,0)=1,'FACT_EST_CEN','SIN_DATA')))!F:F)</v>
      </c>
      <c r="E23" s="12" t="str">
        <f t="shared" si="9"/>
        <v>(F23/D23)</v>
      </c>
      <c r="F23" s="11" t="str">
        <f t="shared" si="1"/>
        <v>SUMIF(IF(VLOOKUP(B9,MAPA_DATA!D:G,2,0)=1,'FACT_EMITIDA',IF(VLOOKUP(B23,MAPA_DATA!D:G,3,0)=1,'FACT_EST_EFACT',(IF(VLOOKUP(B23,MAPA_DATA!D:G,4,0)=1,'FACT_EST_CEN','SIN_DATA')))!B:B,Reliquidacion!B23,IF(VLOOKUP(B9,MAPA_DATA!D:G,2,0)=1,'FACT_EMITIDA',IF(VLOOKUP(B23,MAPA_DATA!D:G,3,0)=1,'FACT_EST_EFACT',(IF(VLOOKUP(B23,MAPA_DATA!D:G,4,0)=1,'FACT_EST_CEN','SIN_DATA')))!H:H)</v>
      </c>
      <c r="G23" s="13" t="str">
        <f t="shared" si="2"/>
        <v>SUMIF(IF(VLOOKUP(B9,MAPA_DATA!D:G,2,0)=1,'FACT_EMITIDA',IF(VLOOKUP(B23,MAPA_DATA!D:G,3,0)=1,'FACT_EST_EFACT',(IF(VLOOKUP(B23,MAPA_DATA!D:G,4,0)=1,'FACT_EST_CEN','SIN_DATA')))!B:B,Reliquidacion!B23,IF(VLOOKUP(B9,MAPA_DATA!D:G,2,0)=1,'FACT_EMITIDA',IF(VLOOKUP(B23,MAPA_DATA!D:G,3,0)=1,'FACT_EST_EFACT',(IF(VLOOKUP(B23,MAPA_DATA!D:G,4,0)=1,'FACT_EST_CEN','SIN_DATA')))!F:F)</v>
      </c>
      <c r="H23" s="12" t="str">
        <f t="shared" si="10"/>
        <v>(I23/G23)</v>
      </c>
      <c r="I23" s="11" t="str">
        <f t="shared" si="3"/>
        <v>SUMIF(IF(VLOOKUP(B9,MAPA_DATA!D:G,2,0)=1,'FACT_EMITIDA',IF(VLOOKUP(B23,MAPA_DATA!D:G,3,0)=1,'FACT_EST_EFACT',(IF(VLOOKUP(B23,MAPA_DATA!D:G,4,0)=1,'FACT_EST_CEN','SIN_DATA')))!B:B,Reliquidacion!B23,IF(VLOOKUP(B9,MAPA_DATA!D:G,2,0)=1,'FACT_EMITIDA',IF(VLOOKUP(B23,MAPA_DATA!D:G,3,0)=1,'FACT_EST_EFACT',(IF(VLOOKUP(B23,MAPA_DATA!D:G,4,0)=1,'FACT_EST_CEN','SIN_DATA')))!H:H)</v>
      </c>
      <c r="J23" s="11" t="str">
        <f t="shared" si="11"/>
        <v>(F23+I23)</v>
      </c>
      <c r="L23" s="60" t="str">
        <f>IF(VLOOKUP(B23,MAPA_DATA!D:I,5,0)=1,"EFACT_CNE",IF(VLOOKUP(B23,MAPA_DATA!D:I,6,0)=1,"EFACT_EST_CNE","SIN_DATA"))</f>
        <v>SIN_DATA</v>
      </c>
      <c r="M23" s="11" t="str">
        <f t="shared" si="4"/>
        <v>SUMIF(SIN_DATA!B:B;Reliquidacion!B23;SIN_DATA!S:S)</v>
      </c>
      <c r="N23" s="12" t="str">
        <f t="shared" si="12"/>
        <v>(O23/M23)</v>
      </c>
      <c r="O23" s="11" t="str">
        <f t="shared" si="5"/>
        <v>SUMIF(SIN_DATA!B:B;Reliquidacion!B23;SIN_DATA!W:W)</v>
      </c>
      <c r="P23" s="13" t="str">
        <f t="shared" si="6"/>
        <v>SUMIF(SIN_DATA!B:B;Reliquidacion!B23;SIN_DATA!X:X)</v>
      </c>
      <c r="Q23" s="12" t="str">
        <f t="shared" si="13"/>
        <v>(R23/P23)</v>
      </c>
      <c r="R23" s="11" t="str">
        <f t="shared" si="7"/>
        <v>SUMIF(SIN_DATA!B:B;Reliquidacion!B23;SIN_DATA!AB:AB)</v>
      </c>
      <c r="S23" s="11" t="str">
        <f t="shared" si="14"/>
        <v>(O23+R23)</v>
      </c>
      <c r="U23" s="79">
        <v>42795</v>
      </c>
      <c r="V23" s="31" t="str">
        <f t="shared" si="15"/>
        <v>=(S23-J23)</v>
      </c>
      <c r="W23" s="65" t="s">
        <v>442</v>
      </c>
      <c r="X23" s="33">
        <f>VLOOKUP(W23,[1]INTERESES!A:B,2,0)</f>
        <v>0</v>
      </c>
      <c r="Y23" s="34"/>
      <c r="Z23" s="35"/>
      <c r="AA23" s="36"/>
      <c r="AB23" s="37"/>
      <c r="AC23" s="38"/>
      <c r="AD23" s="31"/>
      <c r="AE23" s="31"/>
    </row>
    <row r="24" spans="1:31" x14ac:dyDescent="0.25">
      <c r="A24" s="64">
        <f t="shared" si="20"/>
        <v>24</v>
      </c>
      <c r="B24" s="59">
        <v>42826</v>
      </c>
      <c r="C24" s="81" t="str">
        <f t="shared" si="8"/>
        <v>IF(VLOOKUP(B9,MAPA_DATA!D:G,2,0)=1,'FACT_EMITIDA',IF(VLOOKUP(B24,MAPA_DATA!D:G,3,0)=1,'FACT_EST_EFACT',(IF(VLOOKUP(B24,MAPA_DATA!D:G,4,0)=1,'FACT_EST_CEN','SIN_DATA')))</v>
      </c>
      <c r="D24" s="11" t="str">
        <f t="shared" si="0"/>
        <v>SUMIF(IF(VLOOKUP(B9,MAPA_DATA!D:G,2,0)=1,'FACT_EMITIDA',IF(VLOOKUP(B24,MAPA_DATA!D:G,3,0)=1,'FACT_EST_EFACT',(IF(VLOOKUP(B24,MAPA_DATA!D:G,4,0)=1,'FACT_EST_CEN','SIN_DATA')))!B:B,Reliquidacion!B24,IF(VLOOKUP(B9,MAPA_DATA!D:G,2,0)=1,'FACT_EMITIDA',IF(VLOOKUP(B24,MAPA_DATA!D:G,3,0)=1,'FACT_EST_EFACT',(IF(VLOOKUP(B24,MAPA_DATA!D:G,4,0)=1,'FACT_EST_CEN','SIN_DATA')))!F:F)</v>
      </c>
      <c r="E24" s="12" t="str">
        <f t="shared" si="9"/>
        <v>(F24/D24)</v>
      </c>
      <c r="F24" s="11" t="str">
        <f t="shared" si="1"/>
        <v>SUMIF(IF(VLOOKUP(B9,MAPA_DATA!D:G,2,0)=1,'FACT_EMITIDA',IF(VLOOKUP(B24,MAPA_DATA!D:G,3,0)=1,'FACT_EST_EFACT',(IF(VLOOKUP(B24,MAPA_DATA!D:G,4,0)=1,'FACT_EST_CEN','SIN_DATA')))!B:B,Reliquidacion!B24,IF(VLOOKUP(B9,MAPA_DATA!D:G,2,0)=1,'FACT_EMITIDA',IF(VLOOKUP(B24,MAPA_DATA!D:G,3,0)=1,'FACT_EST_EFACT',(IF(VLOOKUP(B24,MAPA_DATA!D:G,4,0)=1,'FACT_EST_CEN','SIN_DATA')))!H:H)</v>
      </c>
      <c r="G24" s="13" t="str">
        <f t="shared" si="2"/>
        <v>SUMIF(IF(VLOOKUP(B9,MAPA_DATA!D:G,2,0)=1,'FACT_EMITIDA',IF(VLOOKUP(B24,MAPA_DATA!D:G,3,0)=1,'FACT_EST_EFACT',(IF(VLOOKUP(B24,MAPA_DATA!D:G,4,0)=1,'FACT_EST_CEN','SIN_DATA')))!B:B,Reliquidacion!B24,IF(VLOOKUP(B9,MAPA_DATA!D:G,2,0)=1,'FACT_EMITIDA',IF(VLOOKUP(B24,MAPA_DATA!D:G,3,0)=1,'FACT_EST_EFACT',(IF(VLOOKUP(B24,MAPA_DATA!D:G,4,0)=1,'FACT_EST_CEN','SIN_DATA')))!F:F)</v>
      </c>
      <c r="H24" s="12" t="str">
        <f t="shared" si="10"/>
        <v>(I24/G24)</v>
      </c>
      <c r="I24" s="11" t="str">
        <f t="shared" si="3"/>
        <v>SUMIF(IF(VLOOKUP(B9,MAPA_DATA!D:G,2,0)=1,'FACT_EMITIDA',IF(VLOOKUP(B24,MAPA_DATA!D:G,3,0)=1,'FACT_EST_EFACT',(IF(VLOOKUP(B24,MAPA_DATA!D:G,4,0)=1,'FACT_EST_CEN','SIN_DATA')))!B:B,Reliquidacion!B24,IF(VLOOKUP(B9,MAPA_DATA!D:G,2,0)=1,'FACT_EMITIDA',IF(VLOOKUP(B24,MAPA_DATA!D:G,3,0)=1,'FACT_EST_EFACT',(IF(VLOOKUP(B24,MAPA_DATA!D:G,4,0)=1,'FACT_EST_CEN','SIN_DATA')))!H:H)</v>
      </c>
      <c r="J24" s="11" t="str">
        <f t="shared" si="11"/>
        <v>(F24+I24)</v>
      </c>
      <c r="L24" s="60" t="str">
        <f>IF(VLOOKUP(B24,MAPA_DATA!D:I,5,0)=1,"EFACT_CNE",IF(VLOOKUP(B24,MAPA_DATA!D:I,6,0)=1,"EFACT_EST_CNE","SIN_DATA"))</f>
        <v>SIN_DATA</v>
      </c>
      <c r="M24" s="11" t="str">
        <f t="shared" si="4"/>
        <v>SUMIF(SIN_DATA!B:B;Reliquidacion!B24;SIN_DATA!S:S)</v>
      </c>
      <c r="N24" s="12" t="str">
        <f t="shared" si="12"/>
        <v>(O24/M24)</v>
      </c>
      <c r="O24" s="11" t="str">
        <f t="shared" si="5"/>
        <v>SUMIF(SIN_DATA!B:B;Reliquidacion!B24;SIN_DATA!W:W)</v>
      </c>
      <c r="P24" s="13" t="str">
        <f t="shared" si="6"/>
        <v>SUMIF(SIN_DATA!B:B;Reliquidacion!B24;SIN_DATA!X:X)</v>
      </c>
      <c r="Q24" s="12" t="str">
        <f t="shared" si="13"/>
        <v>(R24/P24)</v>
      </c>
      <c r="R24" s="11" t="str">
        <f t="shared" si="7"/>
        <v>SUMIF(SIN_DATA!B:B;Reliquidacion!B24;SIN_DATA!AB:AB)</v>
      </c>
      <c r="S24" s="11" t="str">
        <f t="shared" si="14"/>
        <v>(O24+R24)</v>
      </c>
      <c r="U24" s="79">
        <v>42826</v>
      </c>
      <c r="V24" s="31" t="str">
        <f t="shared" si="15"/>
        <v>=(S24-J24)</v>
      </c>
      <c r="W24" s="65" t="s">
        <v>442</v>
      </c>
      <c r="X24" s="33">
        <f>VLOOKUP(W24,[1]INTERESES!A:B,2,0)</f>
        <v>0</v>
      </c>
      <c r="Y24" s="34"/>
      <c r="Z24" s="35"/>
      <c r="AA24" s="36"/>
      <c r="AB24" s="37"/>
      <c r="AC24" s="38"/>
      <c r="AD24" s="31"/>
      <c r="AE24" s="31"/>
    </row>
    <row r="25" spans="1:31" x14ac:dyDescent="0.25">
      <c r="A25" s="64">
        <f t="shared" si="20"/>
        <v>25</v>
      </c>
      <c r="B25" s="59">
        <v>42856</v>
      </c>
      <c r="C25" s="81" t="str">
        <f t="shared" si="8"/>
        <v>IF(VLOOKUP(B9,MAPA_DATA!D:G,2,0)=1,'FACT_EMITIDA',IF(VLOOKUP(B25,MAPA_DATA!D:G,3,0)=1,'FACT_EST_EFACT',(IF(VLOOKUP(B25,MAPA_DATA!D:G,4,0)=1,'FACT_EST_CEN','SIN_DATA')))</v>
      </c>
      <c r="D25" s="11" t="str">
        <f t="shared" si="0"/>
        <v>SUMIF(IF(VLOOKUP(B9,MAPA_DATA!D:G,2,0)=1,'FACT_EMITIDA',IF(VLOOKUP(B25,MAPA_DATA!D:G,3,0)=1,'FACT_EST_EFACT',(IF(VLOOKUP(B25,MAPA_DATA!D:G,4,0)=1,'FACT_EST_CEN','SIN_DATA')))!B:B,Reliquidacion!B25,IF(VLOOKUP(B9,MAPA_DATA!D:G,2,0)=1,'FACT_EMITIDA',IF(VLOOKUP(B25,MAPA_DATA!D:G,3,0)=1,'FACT_EST_EFACT',(IF(VLOOKUP(B25,MAPA_DATA!D:G,4,0)=1,'FACT_EST_CEN','SIN_DATA')))!F:F)</v>
      </c>
      <c r="E25" s="12" t="str">
        <f t="shared" si="9"/>
        <v>(F25/D25)</v>
      </c>
      <c r="F25" s="11" t="str">
        <f t="shared" si="1"/>
        <v>SUMIF(IF(VLOOKUP(B9,MAPA_DATA!D:G,2,0)=1,'FACT_EMITIDA',IF(VLOOKUP(B25,MAPA_DATA!D:G,3,0)=1,'FACT_EST_EFACT',(IF(VLOOKUP(B25,MAPA_DATA!D:G,4,0)=1,'FACT_EST_CEN','SIN_DATA')))!B:B,Reliquidacion!B25,IF(VLOOKUP(B9,MAPA_DATA!D:G,2,0)=1,'FACT_EMITIDA',IF(VLOOKUP(B25,MAPA_DATA!D:G,3,0)=1,'FACT_EST_EFACT',(IF(VLOOKUP(B25,MAPA_DATA!D:G,4,0)=1,'FACT_EST_CEN','SIN_DATA')))!H:H)</v>
      </c>
      <c r="G25" s="13" t="str">
        <f t="shared" si="2"/>
        <v>SUMIF(IF(VLOOKUP(B9,MAPA_DATA!D:G,2,0)=1,'FACT_EMITIDA',IF(VLOOKUP(B25,MAPA_DATA!D:G,3,0)=1,'FACT_EST_EFACT',(IF(VLOOKUP(B25,MAPA_DATA!D:G,4,0)=1,'FACT_EST_CEN','SIN_DATA')))!B:B,Reliquidacion!B25,IF(VLOOKUP(B9,MAPA_DATA!D:G,2,0)=1,'FACT_EMITIDA',IF(VLOOKUP(B25,MAPA_DATA!D:G,3,0)=1,'FACT_EST_EFACT',(IF(VLOOKUP(B25,MAPA_DATA!D:G,4,0)=1,'FACT_EST_CEN','SIN_DATA')))!F:F)</v>
      </c>
      <c r="H25" s="12" t="str">
        <f t="shared" si="10"/>
        <v>(I25/G25)</v>
      </c>
      <c r="I25" s="11" t="str">
        <f t="shared" si="3"/>
        <v>SUMIF(IF(VLOOKUP(B9,MAPA_DATA!D:G,2,0)=1,'FACT_EMITIDA',IF(VLOOKUP(B25,MAPA_DATA!D:G,3,0)=1,'FACT_EST_EFACT',(IF(VLOOKUP(B25,MAPA_DATA!D:G,4,0)=1,'FACT_EST_CEN','SIN_DATA')))!B:B,Reliquidacion!B25,IF(VLOOKUP(B9,MAPA_DATA!D:G,2,0)=1,'FACT_EMITIDA',IF(VLOOKUP(B25,MAPA_DATA!D:G,3,0)=1,'FACT_EST_EFACT',(IF(VLOOKUP(B25,MAPA_DATA!D:G,4,0)=1,'FACT_EST_CEN','SIN_DATA')))!H:H)</v>
      </c>
      <c r="J25" s="11" t="str">
        <f t="shared" si="11"/>
        <v>(F25+I25)</v>
      </c>
      <c r="L25" s="60" t="str">
        <f>IF(VLOOKUP(B25,MAPA_DATA!D:I,5,0)=1,"EFACT_CNE",IF(VLOOKUP(B25,MAPA_DATA!D:I,6,0)=1,"EFACT_EST_CNE","SIN_DATA"))</f>
        <v>SIN_DATA</v>
      </c>
      <c r="M25" s="11" t="str">
        <f t="shared" si="4"/>
        <v>SUMIF(SIN_DATA!B:B;Reliquidacion!B25;SIN_DATA!S:S)</v>
      </c>
      <c r="N25" s="12" t="str">
        <f t="shared" si="12"/>
        <v>(O25/M25)</v>
      </c>
      <c r="O25" s="11" t="str">
        <f t="shared" si="5"/>
        <v>SUMIF(SIN_DATA!B:B;Reliquidacion!B25;SIN_DATA!W:W)</v>
      </c>
      <c r="P25" s="13" t="str">
        <f t="shared" si="6"/>
        <v>SUMIF(SIN_DATA!B:B;Reliquidacion!B25;SIN_DATA!X:X)</v>
      </c>
      <c r="Q25" s="12" t="str">
        <f t="shared" si="13"/>
        <v>(R25/P25)</v>
      </c>
      <c r="R25" s="11" t="str">
        <f t="shared" si="7"/>
        <v>SUMIF(SIN_DATA!B:B;Reliquidacion!B25;SIN_DATA!AB:AB)</v>
      </c>
      <c r="S25" s="11" t="str">
        <f t="shared" si="14"/>
        <v>(O25+R25)</v>
      </c>
      <c r="U25" s="79">
        <v>42856</v>
      </c>
      <c r="V25" s="31" t="str">
        <f t="shared" si="15"/>
        <v>=(S25-J25)</v>
      </c>
      <c r="W25" s="65" t="s">
        <v>442</v>
      </c>
      <c r="X25" s="33">
        <f>VLOOKUP(W25,[1]INTERESES!A:B,2,0)</f>
        <v>0</v>
      </c>
      <c r="Y25" s="34"/>
      <c r="Z25" s="35"/>
      <c r="AA25" s="36"/>
      <c r="AB25" s="37"/>
      <c r="AC25" s="38"/>
      <c r="AD25" s="31"/>
      <c r="AE25" s="31"/>
    </row>
    <row r="26" spans="1:31" x14ac:dyDescent="0.25">
      <c r="A26" s="64">
        <f t="shared" si="20"/>
        <v>26</v>
      </c>
      <c r="B26" s="59">
        <v>42887</v>
      </c>
      <c r="C26" s="81" t="str">
        <f t="shared" si="8"/>
        <v>IF(VLOOKUP(B9,MAPA_DATA!D:G,2,0)=1,'FACT_EMITIDA',IF(VLOOKUP(B26,MAPA_DATA!D:G,3,0)=1,'FACT_EST_EFACT',(IF(VLOOKUP(B26,MAPA_DATA!D:G,4,0)=1,'FACT_EST_CEN','SIN_DATA')))</v>
      </c>
      <c r="D26" s="11" t="str">
        <f t="shared" si="0"/>
        <v>SUMIF(IF(VLOOKUP(B9,MAPA_DATA!D:G,2,0)=1,'FACT_EMITIDA',IF(VLOOKUP(B26,MAPA_DATA!D:G,3,0)=1,'FACT_EST_EFACT',(IF(VLOOKUP(B26,MAPA_DATA!D:G,4,0)=1,'FACT_EST_CEN','SIN_DATA')))!B:B,Reliquidacion!B26,IF(VLOOKUP(B9,MAPA_DATA!D:G,2,0)=1,'FACT_EMITIDA',IF(VLOOKUP(B26,MAPA_DATA!D:G,3,0)=1,'FACT_EST_EFACT',(IF(VLOOKUP(B26,MAPA_DATA!D:G,4,0)=1,'FACT_EST_CEN','SIN_DATA')))!F:F)</v>
      </c>
      <c r="E26" s="12" t="str">
        <f t="shared" si="9"/>
        <v>(F26/D26)</v>
      </c>
      <c r="F26" s="11" t="str">
        <f t="shared" si="1"/>
        <v>SUMIF(IF(VLOOKUP(B9,MAPA_DATA!D:G,2,0)=1,'FACT_EMITIDA',IF(VLOOKUP(B26,MAPA_DATA!D:G,3,0)=1,'FACT_EST_EFACT',(IF(VLOOKUP(B26,MAPA_DATA!D:G,4,0)=1,'FACT_EST_CEN','SIN_DATA')))!B:B,Reliquidacion!B26,IF(VLOOKUP(B9,MAPA_DATA!D:G,2,0)=1,'FACT_EMITIDA',IF(VLOOKUP(B26,MAPA_DATA!D:G,3,0)=1,'FACT_EST_EFACT',(IF(VLOOKUP(B26,MAPA_DATA!D:G,4,0)=1,'FACT_EST_CEN','SIN_DATA')))!H:H)</v>
      </c>
      <c r="G26" s="13" t="str">
        <f t="shared" si="2"/>
        <v>SUMIF(IF(VLOOKUP(B9,MAPA_DATA!D:G,2,0)=1,'FACT_EMITIDA',IF(VLOOKUP(B26,MAPA_DATA!D:G,3,0)=1,'FACT_EST_EFACT',(IF(VLOOKUP(B26,MAPA_DATA!D:G,4,0)=1,'FACT_EST_CEN','SIN_DATA')))!B:B,Reliquidacion!B26,IF(VLOOKUP(B9,MAPA_DATA!D:G,2,0)=1,'FACT_EMITIDA',IF(VLOOKUP(B26,MAPA_DATA!D:G,3,0)=1,'FACT_EST_EFACT',(IF(VLOOKUP(B26,MAPA_DATA!D:G,4,0)=1,'FACT_EST_CEN','SIN_DATA')))!F:F)</v>
      </c>
      <c r="H26" s="12" t="str">
        <f t="shared" si="10"/>
        <v>(I26/G26)</v>
      </c>
      <c r="I26" s="11" t="str">
        <f t="shared" si="3"/>
        <v>SUMIF(IF(VLOOKUP(B9,MAPA_DATA!D:G,2,0)=1,'FACT_EMITIDA',IF(VLOOKUP(B26,MAPA_DATA!D:G,3,0)=1,'FACT_EST_EFACT',(IF(VLOOKUP(B26,MAPA_DATA!D:G,4,0)=1,'FACT_EST_CEN','SIN_DATA')))!B:B,Reliquidacion!B26,IF(VLOOKUP(B9,MAPA_DATA!D:G,2,0)=1,'FACT_EMITIDA',IF(VLOOKUP(B26,MAPA_DATA!D:G,3,0)=1,'FACT_EST_EFACT',(IF(VLOOKUP(B26,MAPA_DATA!D:G,4,0)=1,'FACT_EST_CEN','SIN_DATA')))!H:H)</v>
      </c>
      <c r="J26" s="11" t="str">
        <f t="shared" si="11"/>
        <v>(F26+I26)</v>
      </c>
      <c r="L26" s="60" t="str">
        <f>IF(VLOOKUP(B26,MAPA_DATA!D:I,5,0)=1,"EFACT_CNE",IF(VLOOKUP(B26,MAPA_DATA!D:I,6,0)=1,"EFACT_EST_CNE","SIN_DATA"))</f>
        <v>SIN_DATA</v>
      </c>
      <c r="M26" s="11" t="str">
        <f t="shared" si="4"/>
        <v>SUMIF(SIN_DATA!B:B;Reliquidacion!B26;SIN_DATA!S:S)</v>
      </c>
      <c r="N26" s="12" t="str">
        <f t="shared" si="12"/>
        <v>(O26/M26)</v>
      </c>
      <c r="O26" s="11" t="str">
        <f t="shared" si="5"/>
        <v>SUMIF(SIN_DATA!B:B;Reliquidacion!B26;SIN_DATA!W:W)</v>
      </c>
      <c r="P26" s="13" t="str">
        <f t="shared" si="6"/>
        <v>SUMIF(SIN_DATA!B:B;Reliquidacion!B26;SIN_DATA!X:X)</v>
      </c>
      <c r="Q26" s="12" t="str">
        <f t="shared" si="13"/>
        <v>(R26/P26)</v>
      </c>
      <c r="R26" s="11" t="str">
        <f t="shared" si="7"/>
        <v>SUMIF(SIN_DATA!B:B;Reliquidacion!B26;SIN_DATA!AB:AB)</v>
      </c>
      <c r="S26" s="11" t="str">
        <f t="shared" si="14"/>
        <v>(O26+R26)</v>
      </c>
      <c r="U26" s="79">
        <v>42887</v>
      </c>
      <c r="V26" s="31" t="str">
        <f t="shared" si="15"/>
        <v>=(S26-J26)</v>
      </c>
      <c r="W26" s="65" t="s">
        <v>442</v>
      </c>
      <c r="X26" s="33">
        <f>VLOOKUP(W26,[1]INTERESES!A:B,2,0)</f>
        <v>0</v>
      </c>
      <c r="Y26" s="34"/>
      <c r="Z26" s="35"/>
      <c r="AA26" s="36"/>
      <c r="AB26" s="37"/>
      <c r="AC26" s="38"/>
      <c r="AD26" s="31"/>
      <c r="AE26" s="31"/>
    </row>
    <row r="27" spans="1:31" x14ac:dyDescent="0.25">
      <c r="A27" s="64">
        <f t="shared" si="20"/>
        <v>27</v>
      </c>
      <c r="B27" s="59">
        <v>42917</v>
      </c>
      <c r="C27" s="81" t="str">
        <f t="shared" si="8"/>
        <v>IF(VLOOKUP(B9,MAPA_DATA!D:G,2,0)=1,'FACT_EMITIDA',IF(VLOOKUP(B27,MAPA_DATA!D:G,3,0)=1,'FACT_EST_EFACT',(IF(VLOOKUP(B27,MAPA_DATA!D:G,4,0)=1,'FACT_EST_CEN','SIN_DATA')))</v>
      </c>
      <c r="D27" s="11" t="str">
        <f t="shared" si="0"/>
        <v>SUMIF(IF(VLOOKUP(B9,MAPA_DATA!D:G,2,0)=1,'FACT_EMITIDA',IF(VLOOKUP(B27,MAPA_DATA!D:G,3,0)=1,'FACT_EST_EFACT',(IF(VLOOKUP(B27,MAPA_DATA!D:G,4,0)=1,'FACT_EST_CEN','SIN_DATA')))!B:B,Reliquidacion!B27,IF(VLOOKUP(B9,MAPA_DATA!D:G,2,0)=1,'FACT_EMITIDA',IF(VLOOKUP(B27,MAPA_DATA!D:G,3,0)=1,'FACT_EST_EFACT',(IF(VLOOKUP(B27,MAPA_DATA!D:G,4,0)=1,'FACT_EST_CEN','SIN_DATA')))!F:F)</v>
      </c>
      <c r="E27" s="12" t="str">
        <f t="shared" si="9"/>
        <v>(F27/D27)</v>
      </c>
      <c r="F27" s="11" t="str">
        <f t="shared" si="1"/>
        <v>SUMIF(IF(VLOOKUP(B9,MAPA_DATA!D:G,2,0)=1,'FACT_EMITIDA',IF(VLOOKUP(B27,MAPA_DATA!D:G,3,0)=1,'FACT_EST_EFACT',(IF(VLOOKUP(B27,MAPA_DATA!D:G,4,0)=1,'FACT_EST_CEN','SIN_DATA')))!B:B,Reliquidacion!B27,IF(VLOOKUP(B9,MAPA_DATA!D:G,2,0)=1,'FACT_EMITIDA',IF(VLOOKUP(B27,MAPA_DATA!D:G,3,0)=1,'FACT_EST_EFACT',(IF(VLOOKUP(B27,MAPA_DATA!D:G,4,0)=1,'FACT_EST_CEN','SIN_DATA')))!H:H)</v>
      </c>
      <c r="G27" s="13" t="str">
        <f t="shared" si="2"/>
        <v>SUMIF(IF(VLOOKUP(B9,MAPA_DATA!D:G,2,0)=1,'FACT_EMITIDA',IF(VLOOKUP(B27,MAPA_DATA!D:G,3,0)=1,'FACT_EST_EFACT',(IF(VLOOKUP(B27,MAPA_DATA!D:G,4,0)=1,'FACT_EST_CEN','SIN_DATA')))!B:B,Reliquidacion!B27,IF(VLOOKUP(B9,MAPA_DATA!D:G,2,0)=1,'FACT_EMITIDA',IF(VLOOKUP(B27,MAPA_DATA!D:G,3,0)=1,'FACT_EST_EFACT',(IF(VLOOKUP(B27,MAPA_DATA!D:G,4,0)=1,'FACT_EST_CEN','SIN_DATA')))!F:F)</v>
      </c>
      <c r="H27" s="12" t="str">
        <f t="shared" si="10"/>
        <v>(I27/G27)</v>
      </c>
      <c r="I27" s="11" t="str">
        <f t="shared" si="3"/>
        <v>SUMIF(IF(VLOOKUP(B9,MAPA_DATA!D:G,2,0)=1,'FACT_EMITIDA',IF(VLOOKUP(B27,MAPA_DATA!D:G,3,0)=1,'FACT_EST_EFACT',(IF(VLOOKUP(B27,MAPA_DATA!D:G,4,0)=1,'FACT_EST_CEN','SIN_DATA')))!B:B,Reliquidacion!B27,IF(VLOOKUP(B9,MAPA_DATA!D:G,2,0)=1,'FACT_EMITIDA',IF(VLOOKUP(B27,MAPA_DATA!D:G,3,0)=1,'FACT_EST_EFACT',(IF(VLOOKUP(B27,MAPA_DATA!D:G,4,0)=1,'FACT_EST_CEN','SIN_DATA')))!H:H)</v>
      </c>
      <c r="J27" s="11" t="str">
        <f t="shared" si="11"/>
        <v>(F27+I27)</v>
      </c>
      <c r="L27" s="60" t="str">
        <f>IF(VLOOKUP(B27,MAPA_DATA!D:I,5,0)=1,"EFACT_CNE",IF(VLOOKUP(B27,MAPA_DATA!D:I,6,0)=1,"EFACT_EST_CNE","SIN_DATA"))</f>
        <v>SIN_DATA</v>
      </c>
      <c r="M27" s="11" t="str">
        <f t="shared" si="4"/>
        <v>SUMIF(SIN_DATA!B:B;Reliquidacion!B27;SIN_DATA!S:S)</v>
      </c>
      <c r="N27" s="12" t="str">
        <f t="shared" si="12"/>
        <v>(O27/M27)</v>
      </c>
      <c r="O27" s="11" t="str">
        <f t="shared" si="5"/>
        <v>SUMIF(SIN_DATA!B:B;Reliquidacion!B27;SIN_DATA!W:W)</v>
      </c>
      <c r="P27" s="13" t="str">
        <f t="shared" si="6"/>
        <v>SUMIF(SIN_DATA!B:B;Reliquidacion!B27;SIN_DATA!X:X)</v>
      </c>
      <c r="Q27" s="12" t="str">
        <f t="shared" si="13"/>
        <v>(R27/P27)</v>
      </c>
      <c r="R27" s="11" t="str">
        <f t="shared" si="7"/>
        <v>SUMIF(SIN_DATA!B:B;Reliquidacion!B27;SIN_DATA!AB:AB)</v>
      </c>
      <c r="S27" s="11" t="str">
        <f t="shared" si="14"/>
        <v>(O27+R27)</v>
      </c>
      <c r="U27" s="79">
        <v>42917</v>
      </c>
      <c r="V27" s="31" t="str">
        <f t="shared" si="15"/>
        <v>=(S27-J27)</v>
      </c>
      <c r="W27" s="65" t="s">
        <v>442</v>
      </c>
      <c r="X27" s="33">
        <f>VLOOKUP(W27,[1]INTERESES!A:B,2,0)</f>
        <v>0</v>
      </c>
      <c r="Y27" s="34"/>
      <c r="Z27" s="35"/>
      <c r="AA27" s="36"/>
      <c r="AB27" s="37"/>
      <c r="AC27" s="38"/>
      <c r="AD27" s="31"/>
      <c r="AE27" s="31"/>
    </row>
    <row r="28" spans="1:31" x14ac:dyDescent="0.25">
      <c r="A28" s="64">
        <f t="shared" si="20"/>
        <v>28</v>
      </c>
      <c r="B28" s="59">
        <v>42948</v>
      </c>
      <c r="C28" s="81" t="str">
        <f t="shared" si="8"/>
        <v>IF(VLOOKUP(B9,MAPA_DATA!D:G,2,0)=1,'FACT_EMITIDA',IF(VLOOKUP(B28,MAPA_DATA!D:G,3,0)=1,'FACT_EST_EFACT',(IF(VLOOKUP(B28,MAPA_DATA!D:G,4,0)=1,'FACT_EST_CEN','SIN_DATA')))</v>
      </c>
      <c r="D28" s="11" t="str">
        <f t="shared" si="0"/>
        <v>SUMIF(IF(VLOOKUP(B9,MAPA_DATA!D:G,2,0)=1,'FACT_EMITIDA',IF(VLOOKUP(B28,MAPA_DATA!D:G,3,0)=1,'FACT_EST_EFACT',(IF(VLOOKUP(B28,MAPA_DATA!D:G,4,0)=1,'FACT_EST_CEN','SIN_DATA')))!B:B,Reliquidacion!B28,IF(VLOOKUP(B9,MAPA_DATA!D:G,2,0)=1,'FACT_EMITIDA',IF(VLOOKUP(B28,MAPA_DATA!D:G,3,0)=1,'FACT_EST_EFACT',(IF(VLOOKUP(B28,MAPA_DATA!D:G,4,0)=1,'FACT_EST_CEN','SIN_DATA')))!F:F)</v>
      </c>
      <c r="E28" s="12" t="str">
        <f t="shared" si="9"/>
        <v>(F28/D28)</v>
      </c>
      <c r="F28" s="11" t="str">
        <f t="shared" si="1"/>
        <v>SUMIF(IF(VLOOKUP(B9,MAPA_DATA!D:G,2,0)=1,'FACT_EMITIDA',IF(VLOOKUP(B28,MAPA_DATA!D:G,3,0)=1,'FACT_EST_EFACT',(IF(VLOOKUP(B28,MAPA_DATA!D:G,4,0)=1,'FACT_EST_CEN','SIN_DATA')))!B:B,Reliquidacion!B28,IF(VLOOKUP(B9,MAPA_DATA!D:G,2,0)=1,'FACT_EMITIDA',IF(VLOOKUP(B28,MAPA_DATA!D:G,3,0)=1,'FACT_EST_EFACT',(IF(VLOOKUP(B28,MAPA_DATA!D:G,4,0)=1,'FACT_EST_CEN','SIN_DATA')))!H:H)</v>
      </c>
      <c r="G28" s="13" t="str">
        <f t="shared" si="2"/>
        <v>SUMIF(IF(VLOOKUP(B9,MAPA_DATA!D:G,2,0)=1,'FACT_EMITIDA',IF(VLOOKUP(B28,MAPA_DATA!D:G,3,0)=1,'FACT_EST_EFACT',(IF(VLOOKUP(B28,MAPA_DATA!D:G,4,0)=1,'FACT_EST_CEN','SIN_DATA')))!B:B,Reliquidacion!B28,IF(VLOOKUP(B9,MAPA_DATA!D:G,2,0)=1,'FACT_EMITIDA',IF(VLOOKUP(B28,MAPA_DATA!D:G,3,0)=1,'FACT_EST_EFACT',(IF(VLOOKUP(B28,MAPA_DATA!D:G,4,0)=1,'FACT_EST_CEN','SIN_DATA')))!F:F)</v>
      </c>
      <c r="H28" s="12" t="str">
        <f t="shared" si="10"/>
        <v>(I28/G28)</v>
      </c>
      <c r="I28" s="11" t="str">
        <f t="shared" si="3"/>
        <v>SUMIF(IF(VLOOKUP(B9,MAPA_DATA!D:G,2,0)=1,'FACT_EMITIDA',IF(VLOOKUP(B28,MAPA_DATA!D:G,3,0)=1,'FACT_EST_EFACT',(IF(VLOOKUP(B28,MAPA_DATA!D:G,4,0)=1,'FACT_EST_CEN','SIN_DATA')))!B:B,Reliquidacion!B28,IF(VLOOKUP(B9,MAPA_DATA!D:G,2,0)=1,'FACT_EMITIDA',IF(VLOOKUP(B28,MAPA_DATA!D:G,3,0)=1,'FACT_EST_EFACT',(IF(VLOOKUP(B28,MAPA_DATA!D:G,4,0)=1,'FACT_EST_CEN','SIN_DATA')))!H:H)</v>
      </c>
      <c r="J28" s="11" t="str">
        <f t="shared" si="11"/>
        <v>(F28+I28)</v>
      </c>
      <c r="L28" s="60" t="str">
        <f>IF(VLOOKUP(B28,MAPA_DATA!D:I,5,0)=1,"EFACT_CNE",IF(VLOOKUP(B28,MAPA_DATA!D:I,6,0)=1,"EFACT_EST_CNE","SIN_DATA"))</f>
        <v>SIN_DATA</v>
      </c>
      <c r="M28" s="11" t="str">
        <f t="shared" si="4"/>
        <v>SUMIF(SIN_DATA!B:B;Reliquidacion!B28;SIN_DATA!S:S)</v>
      </c>
      <c r="N28" s="12" t="str">
        <f t="shared" si="12"/>
        <v>(O28/M28)</v>
      </c>
      <c r="O28" s="11" t="str">
        <f t="shared" si="5"/>
        <v>SUMIF(SIN_DATA!B:B;Reliquidacion!B28;SIN_DATA!W:W)</v>
      </c>
      <c r="P28" s="13" t="str">
        <f t="shared" si="6"/>
        <v>SUMIF(SIN_DATA!B:B;Reliquidacion!B28;SIN_DATA!X:X)</v>
      </c>
      <c r="Q28" s="12" t="str">
        <f t="shared" si="13"/>
        <v>(R28/P28)</v>
      </c>
      <c r="R28" s="11" t="str">
        <f t="shared" si="7"/>
        <v>SUMIF(SIN_DATA!B:B;Reliquidacion!B28;SIN_DATA!AB:AB)</v>
      </c>
      <c r="S28" s="11" t="str">
        <f t="shared" si="14"/>
        <v>(O28+R28)</v>
      </c>
      <c r="U28" s="79">
        <v>42948</v>
      </c>
      <c r="V28" s="31" t="str">
        <f t="shared" si="15"/>
        <v>=(S28-J28)</v>
      </c>
      <c r="W28" s="65" t="s">
        <v>442</v>
      </c>
      <c r="X28" s="33">
        <f>VLOOKUP(W28,[1]INTERESES!A:B,2,0)</f>
        <v>0</v>
      </c>
      <c r="Y28" s="34"/>
      <c r="Z28" s="35"/>
      <c r="AA28" s="36"/>
      <c r="AB28" s="37"/>
      <c r="AC28" s="38"/>
      <c r="AD28" s="31"/>
      <c r="AE28" s="31"/>
    </row>
    <row r="29" spans="1:31" x14ac:dyDescent="0.25">
      <c r="A29" s="64">
        <f t="shared" si="20"/>
        <v>29</v>
      </c>
      <c r="B29" s="59">
        <v>42979</v>
      </c>
      <c r="C29" s="81" t="str">
        <f t="shared" si="8"/>
        <v>IF(VLOOKUP(B9,MAPA_DATA!D:G,2,0)=1,'FACT_EMITIDA',IF(VLOOKUP(B29,MAPA_DATA!D:G,3,0)=1,'FACT_EST_EFACT',(IF(VLOOKUP(B29,MAPA_DATA!D:G,4,0)=1,'FACT_EST_CEN','SIN_DATA')))</v>
      </c>
      <c r="D29" s="11" t="str">
        <f t="shared" si="0"/>
        <v>SUMIF(IF(VLOOKUP(B9,MAPA_DATA!D:G,2,0)=1,'FACT_EMITIDA',IF(VLOOKUP(B29,MAPA_DATA!D:G,3,0)=1,'FACT_EST_EFACT',(IF(VLOOKUP(B29,MAPA_DATA!D:G,4,0)=1,'FACT_EST_CEN','SIN_DATA')))!B:B,Reliquidacion!B29,IF(VLOOKUP(B9,MAPA_DATA!D:G,2,0)=1,'FACT_EMITIDA',IF(VLOOKUP(B29,MAPA_DATA!D:G,3,0)=1,'FACT_EST_EFACT',(IF(VLOOKUP(B29,MAPA_DATA!D:G,4,0)=1,'FACT_EST_CEN','SIN_DATA')))!F:F)</v>
      </c>
      <c r="E29" s="12" t="str">
        <f t="shared" si="9"/>
        <v>(F29/D29)</v>
      </c>
      <c r="F29" s="11" t="str">
        <f t="shared" si="1"/>
        <v>SUMIF(IF(VLOOKUP(B9,MAPA_DATA!D:G,2,0)=1,'FACT_EMITIDA',IF(VLOOKUP(B29,MAPA_DATA!D:G,3,0)=1,'FACT_EST_EFACT',(IF(VLOOKUP(B29,MAPA_DATA!D:G,4,0)=1,'FACT_EST_CEN','SIN_DATA')))!B:B,Reliquidacion!B29,IF(VLOOKUP(B9,MAPA_DATA!D:G,2,0)=1,'FACT_EMITIDA',IF(VLOOKUP(B29,MAPA_DATA!D:G,3,0)=1,'FACT_EST_EFACT',(IF(VLOOKUP(B29,MAPA_DATA!D:G,4,0)=1,'FACT_EST_CEN','SIN_DATA')))!H:H)</v>
      </c>
      <c r="G29" s="13" t="str">
        <f t="shared" si="2"/>
        <v>SUMIF(IF(VLOOKUP(B9,MAPA_DATA!D:G,2,0)=1,'FACT_EMITIDA',IF(VLOOKUP(B29,MAPA_DATA!D:G,3,0)=1,'FACT_EST_EFACT',(IF(VLOOKUP(B29,MAPA_DATA!D:G,4,0)=1,'FACT_EST_CEN','SIN_DATA')))!B:B,Reliquidacion!B29,IF(VLOOKUP(B9,MAPA_DATA!D:G,2,0)=1,'FACT_EMITIDA',IF(VLOOKUP(B29,MAPA_DATA!D:G,3,0)=1,'FACT_EST_EFACT',(IF(VLOOKUP(B29,MAPA_DATA!D:G,4,0)=1,'FACT_EST_CEN','SIN_DATA')))!F:F)</v>
      </c>
      <c r="H29" s="12" t="str">
        <f t="shared" si="10"/>
        <v>(I29/G29)</v>
      </c>
      <c r="I29" s="11" t="str">
        <f t="shared" si="3"/>
        <v>SUMIF(IF(VLOOKUP(B9,MAPA_DATA!D:G,2,0)=1,'FACT_EMITIDA',IF(VLOOKUP(B29,MAPA_DATA!D:G,3,0)=1,'FACT_EST_EFACT',(IF(VLOOKUP(B29,MAPA_DATA!D:G,4,0)=1,'FACT_EST_CEN','SIN_DATA')))!B:B,Reliquidacion!B29,IF(VLOOKUP(B9,MAPA_DATA!D:G,2,0)=1,'FACT_EMITIDA',IF(VLOOKUP(B29,MAPA_DATA!D:G,3,0)=1,'FACT_EST_EFACT',(IF(VLOOKUP(B29,MAPA_DATA!D:G,4,0)=1,'FACT_EST_CEN','SIN_DATA')))!H:H)</v>
      </c>
      <c r="J29" s="11" t="str">
        <f t="shared" si="11"/>
        <v>(F29+I29)</v>
      </c>
      <c r="L29" s="60" t="str">
        <f>IF(VLOOKUP(B29,MAPA_DATA!D:I,5,0)=1,"EFACT_CNE",IF(VLOOKUP(B29,MAPA_DATA!D:I,6,0)=1,"EFACT_EST_CNE","SIN_DATA"))</f>
        <v>SIN_DATA</v>
      </c>
      <c r="M29" s="11" t="str">
        <f t="shared" si="4"/>
        <v>SUMIF(SIN_DATA!B:B;Reliquidacion!B29;SIN_DATA!S:S)</v>
      </c>
      <c r="N29" s="12" t="str">
        <f t="shared" si="12"/>
        <v>(O29/M29)</v>
      </c>
      <c r="O29" s="11" t="str">
        <f t="shared" si="5"/>
        <v>SUMIF(SIN_DATA!B:B;Reliquidacion!B29;SIN_DATA!W:W)</v>
      </c>
      <c r="P29" s="13" t="str">
        <f t="shared" si="6"/>
        <v>SUMIF(SIN_DATA!B:B;Reliquidacion!B29;SIN_DATA!X:X)</v>
      </c>
      <c r="Q29" s="12" t="str">
        <f t="shared" si="13"/>
        <v>(R29/P29)</v>
      </c>
      <c r="R29" s="11" t="str">
        <f t="shared" si="7"/>
        <v>SUMIF(SIN_DATA!B:B;Reliquidacion!B29;SIN_DATA!AB:AB)</v>
      </c>
      <c r="S29" s="11" t="str">
        <f t="shared" si="14"/>
        <v>(O29+R29)</v>
      </c>
      <c r="U29" s="79">
        <v>42979</v>
      </c>
      <c r="V29" s="31" t="str">
        <f t="shared" si="15"/>
        <v>=(S29-J29)</v>
      </c>
      <c r="W29" s="65" t="s">
        <v>443</v>
      </c>
      <c r="X29" s="33">
        <f>VLOOKUP(W29,[1]INTERESES!A:B,2,0)</f>
        <v>0</v>
      </c>
      <c r="Y29" s="34"/>
      <c r="Z29" s="35"/>
      <c r="AA29" s="36"/>
      <c r="AB29" s="37"/>
      <c r="AC29" s="38"/>
      <c r="AD29" s="31"/>
      <c r="AE29" s="31"/>
    </row>
    <row r="30" spans="1:31" x14ac:dyDescent="0.25">
      <c r="A30" s="64">
        <f t="shared" si="20"/>
        <v>30</v>
      </c>
      <c r="B30" s="59">
        <v>43009</v>
      </c>
      <c r="C30" s="81" t="str">
        <f t="shared" si="8"/>
        <v>IF(VLOOKUP(B9,MAPA_DATA!D:G,2,0)=1,'FACT_EMITIDA',IF(VLOOKUP(B30,MAPA_DATA!D:G,3,0)=1,'FACT_EST_EFACT',(IF(VLOOKUP(B30,MAPA_DATA!D:G,4,0)=1,'FACT_EST_CEN','SIN_DATA')))</v>
      </c>
      <c r="D30" s="11" t="str">
        <f t="shared" si="0"/>
        <v>SUMIF(IF(VLOOKUP(B9,MAPA_DATA!D:G,2,0)=1,'FACT_EMITIDA',IF(VLOOKUP(B30,MAPA_DATA!D:G,3,0)=1,'FACT_EST_EFACT',(IF(VLOOKUP(B30,MAPA_DATA!D:G,4,0)=1,'FACT_EST_CEN','SIN_DATA')))!B:B,Reliquidacion!B30,IF(VLOOKUP(B9,MAPA_DATA!D:G,2,0)=1,'FACT_EMITIDA',IF(VLOOKUP(B30,MAPA_DATA!D:G,3,0)=1,'FACT_EST_EFACT',(IF(VLOOKUP(B30,MAPA_DATA!D:G,4,0)=1,'FACT_EST_CEN','SIN_DATA')))!F:F)</v>
      </c>
      <c r="E30" s="12" t="str">
        <f t="shared" si="9"/>
        <v>(F30/D30)</v>
      </c>
      <c r="F30" s="11" t="str">
        <f t="shared" si="1"/>
        <v>SUMIF(IF(VLOOKUP(B9,MAPA_DATA!D:G,2,0)=1,'FACT_EMITIDA',IF(VLOOKUP(B30,MAPA_DATA!D:G,3,0)=1,'FACT_EST_EFACT',(IF(VLOOKUP(B30,MAPA_DATA!D:G,4,0)=1,'FACT_EST_CEN','SIN_DATA')))!B:B,Reliquidacion!B30,IF(VLOOKUP(B9,MAPA_DATA!D:G,2,0)=1,'FACT_EMITIDA',IF(VLOOKUP(B30,MAPA_DATA!D:G,3,0)=1,'FACT_EST_EFACT',(IF(VLOOKUP(B30,MAPA_DATA!D:G,4,0)=1,'FACT_EST_CEN','SIN_DATA')))!H:H)</v>
      </c>
      <c r="G30" s="13" t="str">
        <f t="shared" si="2"/>
        <v>SUMIF(IF(VLOOKUP(B9,MAPA_DATA!D:G,2,0)=1,'FACT_EMITIDA',IF(VLOOKUP(B30,MAPA_DATA!D:G,3,0)=1,'FACT_EST_EFACT',(IF(VLOOKUP(B30,MAPA_DATA!D:G,4,0)=1,'FACT_EST_CEN','SIN_DATA')))!B:B,Reliquidacion!B30,IF(VLOOKUP(B9,MAPA_DATA!D:G,2,0)=1,'FACT_EMITIDA',IF(VLOOKUP(B30,MAPA_DATA!D:G,3,0)=1,'FACT_EST_EFACT',(IF(VLOOKUP(B30,MAPA_DATA!D:G,4,0)=1,'FACT_EST_CEN','SIN_DATA')))!F:F)</v>
      </c>
      <c r="H30" s="12" t="str">
        <f t="shared" si="10"/>
        <v>(I30/G30)</v>
      </c>
      <c r="I30" s="11" t="str">
        <f t="shared" si="3"/>
        <v>SUMIF(IF(VLOOKUP(B9,MAPA_DATA!D:G,2,0)=1,'FACT_EMITIDA',IF(VLOOKUP(B30,MAPA_DATA!D:G,3,0)=1,'FACT_EST_EFACT',(IF(VLOOKUP(B30,MAPA_DATA!D:G,4,0)=1,'FACT_EST_CEN','SIN_DATA')))!B:B,Reliquidacion!B30,IF(VLOOKUP(B9,MAPA_DATA!D:G,2,0)=1,'FACT_EMITIDA',IF(VLOOKUP(B30,MAPA_DATA!D:G,3,0)=1,'FACT_EST_EFACT',(IF(VLOOKUP(B30,MAPA_DATA!D:G,4,0)=1,'FACT_EST_CEN','SIN_DATA')))!H:H)</v>
      </c>
      <c r="J30" s="11" t="str">
        <f t="shared" si="11"/>
        <v>(F30+I30)</v>
      </c>
      <c r="L30" s="60" t="str">
        <f>IF(VLOOKUP(B30,MAPA_DATA!D:I,5,0)=1,"EFACT_CNE",IF(VLOOKUP(B30,MAPA_DATA!D:I,6,0)=1,"EFACT_EST_CNE","SIN_DATA"))</f>
        <v>SIN_DATA</v>
      </c>
      <c r="M30" s="11" t="str">
        <f t="shared" si="4"/>
        <v>SUMIF(SIN_DATA!B:B;Reliquidacion!B30;SIN_DATA!S:S)</v>
      </c>
      <c r="N30" s="12" t="str">
        <f t="shared" si="12"/>
        <v>(O30/M30)</v>
      </c>
      <c r="O30" s="11" t="str">
        <f t="shared" si="5"/>
        <v>SUMIF(SIN_DATA!B:B;Reliquidacion!B30;SIN_DATA!W:W)</v>
      </c>
      <c r="P30" s="13" t="str">
        <f t="shared" si="6"/>
        <v>SUMIF(SIN_DATA!B:B;Reliquidacion!B30;SIN_DATA!X:X)</v>
      </c>
      <c r="Q30" s="12" t="str">
        <f t="shared" si="13"/>
        <v>(R30/P30)</v>
      </c>
      <c r="R30" s="11" t="str">
        <f t="shared" si="7"/>
        <v>SUMIF(SIN_DATA!B:B;Reliquidacion!B30;SIN_DATA!AB:AB)</v>
      </c>
      <c r="S30" s="11" t="str">
        <f t="shared" si="14"/>
        <v>(O30+R30)</v>
      </c>
      <c r="U30" s="79">
        <v>43009</v>
      </c>
      <c r="V30" s="31" t="str">
        <f t="shared" si="15"/>
        <v>=(S30-J30)</v>
      </c>
      <c r="W30" s="65" t="s">
        <v>443</v>
      </c>
      <c r="X30" s="33">
        <f>VLOOKUP(W30,[1]INTERESES!A:B,2,0)</f>
        <v>0</v>
      </c>
      <c r="Y30" s="34"/>
      <c r="Z30" s="35"/>
      <c r="AA30" s="36"/>
      <c r="AB30" s="37"/>
      <c r="AC30" s="38"/>
      <c r="AD30" s="31"/>
      <c r="AE30" s="31"/>
    </row>
    <row r="31" spans="1:31" x14ac:dyDescent="0.25">
      <c r="A31" s="64">
        <f t="shared" si="20"/>
        <v>31</v>
      </c>
      <c r="B31" s="59">
        <v>43040</v>
      </c>
      <c r="C31" s="81" t="str">
        <f t="shared" si="8"/>
        <v>IF(VLOOKUP(B9,MAPA_DATA!D:G,2,0)=1,'FACT_EMITIDA',IF(VLOOKUP(B31,MAPA_DATA!D:G,3,0)=1,'FACT_EST_EFACT',(IF(VLOOKUP(B31,MAPA_DATA!D:G,4,0)=1,'FACT_EST_CEN','SIN_DATA')))</v>
      </c>
      <c r="D31" s="11" t="str">
        <f t="shared" si="0"/>
        <v>SUMIF(IF(VLOOKUP(B9,MAPA_DATA!D:G,2,0)=1,'FACT_EMITIDA',IF(VLOOKUP(B31,MAPA_DATA!D:G,3,0)=1,'FACT_EST_EFACT',(IF(VLOOKUP(B31,MAPA_DATA!D:G,4,0)=1,'FACT_EST_CEN','SIN_DATA')))!B:B,Reliquidacion!B31,IF(VLOOKUP(B9,MAPA_DATA!D:G,2,0)=1,'FACT_EMITIDA',IF(VLOOKUP(B31,MAPA_DATA!D:G,3,0)=1,'FACT_EST_EFACT',(IF(VLOOKUP(B31,MAPA_DATA!D:G,4,0)=1,'FACT_EST_CEN','SIN_DATA')))!F:F)</v>
      </c>
      <c r="E31" s="12" t="str">
        <f t="shared" si="9"/>
        <v>(F31/D31)</v>
      </c>
      <c r="F31" s="11" t="str">
        <f t="shared" si="1"/>
        <v>SUMIF(IF(VLOOKUP(B9,MAPA_DATA!D:G,2,0)=1,'FACT_EMITIDA',IF(VLOOKUP(B31,MAPA_DATA!D:G,3,0)=1,'FACT_EST_EFACT',(IF(VLOOKUP(B31,MAPA_DATA!D:G,4,0)=1,'FACT_EST_CEN','SIN_DATA')))!B:B,Reliquidacion!B31,IF(VLOOKUP(B9,MAPA_DATA!D:G,2,0)=1,'FACT_EMITIDA',IF(VLOOKUP(B31,MAPA_DATA!D:G,3,0)=1,'FACT_EST_EFACT',(IF(VLOOKUP(B31,MAPA_DATA!D:G,4,0)=1,'FACT_EST_CEN','SIN_DATA')))!H:H)</v>
      </c>
      <c r="G31" s="13" t="str">
        <f t="shared" si="2"/>
        <v>SUMIF(IF(VLOOKUP(B9,MAPA_DATA!D:G,2,0)=1,'FACT_EMITIDA',IF(VLOOKUP(B31,MAPA_DATA!D:G,3,0)=1,'FACT_EST_EFACT',(IF(VLOOKUP(B31,MAPA_DATA!D:G,4,0)=1,'FACT_EST_CEN','SIN_DATA')))!B:B,Reliquidacion!B31,IF(VLOOKUP(B9,MAPA_DATA!D:G,2,0)=1,'FACT_EMITIDA',IF(VLOOKUP(B31,MAPA_DATA!D:G,3,0)=1,'FACT_EST_EFACT',(IF(VLOOKUP(B31,MAPA_DATA!D:G,4,0)=1,'FACT_EST_CEN','SIN_DATA')))!F:F)</v>
      </c>
      <c r="H31" s="12" t="str">
        <f t="shared" si="10"/>
        <v>(I31/G31)</v>
      </c>
      <c r="I31" s="11" t="str">
        <f t="shared" si="3"/>
        <v>SUMIF(IF(VLOOKUP(B9,MAPA_DATA!D:G,2,0)=1,'FACT_EMITIDA',IF(VLOOKUP(B31,MAPA_DATA!D:G,3,0)=1,'FACT_EST_EFACT',(IF(VLOOKUP(B31,MAPA_DATA!D:G,4,0)=1,'FACT_EST_CEN','SIN_DATA')))!B:B,Reliquidacion!B31,IF(VLOOKUP(B9,MAPA_DATA!D:G,2,0)=1,'FACT_EMITIDA',IF(VLOOKUP(B31,MAPA_DATA!D:G,3,0)=1,'FACT_EST_EFACT',(IF(VLOOKUP(B31,MAPA_DATA!D:G,4,0)=1,'FACT_EST_CEN','SIN_DATA')))!H:H)</v>
      </c>
      <c r="J31" s="11" t="str">
        <f t="shared" si="11"/>
        <v>(F31+I31)</v>
      </c>
      <c r="L31" s="60" t="str">
        <f>IF(VLOOKUP(B31,MAPA_DATA!D:I,5,0)=1,"EFACT_CNE",IF(VLOOKUP(B31,MAPA_DATA!D:I,6,0)=1,"EFACT_EST_CNE","SIN_DATA"))</f>
        <v>SIN_DATA</v>
      </c>
      <c r="M31" s="11" t="str">
        <f t="shared" si="4"/>
        <v>SUMIF(SIN_DATA!B:B;Reliquidacion!B31;SIN_DATA!S:S)</v>
      </c>
      <c r="N31" s="12" t="str">
        <f t="shared" si="12"/>
        <v>(O31/M31)</v>
      </c>
      <c r="O31" s="11" t="str">
        <f t="shared" si="5"/>
        <v>SUMIF(SIN_DATA!B:B;Reliquidacion!B31;SIN_DATA!W:W)</v>
      </c>
      <c r="P31" s="13" t="str">
        <f t="shared" si="6"/>
        <v>SUMIF(SIN_DATA!B:B;Reliquidacion!B31;SIN_DATA!X:X)</v>
      </c>
      <c r="Q31" s="12" t="str">
        <f t="shared" si="13"/>
        <v>(R31/P31)</v>
      </c>
      <c r="R31" s="11" t="str">
        <f t="shared" si="7"/>
        <v>SUMIF(SIN_DATA!B:B;Reliquidacion!B31;SIN_DATA!AB:AB)</v>
      </c>
      <c r="S31" s="11" t="str">
        <f t="shared" si="14"/>
        <v>(O31+R31)</v>
      </c>
      <c r="U31" s="79">
        <v>43040</v>
      </c>
      <c r="V31" s="31" t="str">
        <f t="shared" si="15"/>
        <v>=(S31-J31)</v>
      </c>
      <c r="W31" s="65" t="s">
        <v>443</v>
      </c>
      <c r="X31" s="33">
        <f>VLOOKUP(W31,[1]INTERESES!A:B,2,0)</f>
        <v>0</v>
      </c>
      <c r="Y31" s="34"/>
      <c r="Z31" s="35"/>
      <c r="AA31" s="36"/>
      <c r="AB31" s="37"/>
      <c r="AC31" s="38"/>
      <c r="AD31" s="31"/>
      <c r="AE31" s="31"/>
    </row>
    <row r="32" spans="1:31" x14ac:dyDescent="0.25">
      <c r="A32" s="64">
        <f t="shared" si="20"/>
        <v>32</v>
      </c>
      <c r="B32" s="59">
        <v>43070</v>
      </c>
      <c r="C32" s="81" t="str">
        <f t="shared" si="8"/>
        <v>IF(VLOOKUP(B9,MAPA_DATA!D:G,2,0)=1,'FACT_EMITIDA',IF(VLOOKUP(B32,MAPA_DATA!D:G,3,0)=1,'FACT_EST_EFACT',(IF(VLOOKUP(B32,MAPA_DATA!D:G,4,0)=1,'FACT_EST_CEN','SIN_DATA')))</v>
      </c>
      <c r="D32" s="11" t="str">
        <f t="shared" si="0"/>
        <v>SUMIF(IF(VLOOKUP(B9,MAPA_DATA!D:G,2,0)=1,'FACT_EMITIDA',IF(VLOOKUP(B32,MAPA_DATA!D:G,3,0)=1,'FACT_EST_EFACT',(IF(VLOOKUP(B32,MAPA_DATA!D:G,4,0)=1,'FACT_EST_CEN','SIN_DATA')))!B:B,Reliquidacion!B32,IF(VLOOKUP(B9,MAPA_DATA!D:G,2,0)=1,'FACT_EMITIDA',IF(VLOOKUP(B32,MAPA_DATA!D:G,3,0)=1,'FACT_EST_EFACT',(IF(VLOOKUP(B32,MAPA_DATA!D:G,4,0)=1,'FACT_EST_CEN','SIN_DATA')))!F:F)</v>
      </c>
      <c r="E32" s="12" t="str">
        <f t="shared" si="9"/>
        <v>(F32/D32)</v>
      </c>
      <c r="F32" s="11" t="str">
        <f t="shared" si="1"/>
        <v>SUMIF(IF(VLOOKUP(B9,MAPA_DATA!D:G,2,0)=1,'FACT_EMITIDA',IF(VLOOKUP(B32,MAPA_DATA!D:G,3,0)=1,'FACT_EST_EFACT',(IF(VLOOKUP(B32,MAPA_DATA!D:G,4,0)=1,'FACT_EST_CEN','SIN_DATA')))!B:B,Reliquidacion!B32,IF(VLOOKUP(B9,MAPA_DATA!D:G,2,0)=1,'FACT_EMITIDA',IF(VLOOKUP(B32,MAPA_DATA!D:G,3,0)=1,'FACT_EST_EFACT',(IF(VLOOKUP(B32,MAPA_DATA!D:G,4,0)=1,'FACT_EST_CEN','SIN_DATA')))!H:H)</v>
      </c>
      <c r="G32" s="13" t="str">
        <f t="shared" si="2"/>
        <v>SUMIF(IF(VLOOKUP(B9,MAPA_DATA!D:G,2,0)=1,'FACT_EMITIDA',IF(VLOOKUP(B32,MAPA_DATA!D:G,3,0)=1,'FACT_EST_EFACT',(IF(VLOOKUP(B32,MAPA_DATA!D:G,4,0)=1,'FACT_EST_CEN','SIN_DATA')))!B:B,Reliquidacion!B32,IF(VLOOKUP(B9,MAPA_DATA!D:G,2,0)=1,'FACT_EMITIDA',IF(VLOOKUP(B32,MAPA_DATA!D:G,3,0)=1,'FACT_EST_EFACT',(IF(VLOOKUP(B32,MAPA_DATA!D:G,4,0)=1,'FACT_EST_CEN','SIN_DATA')))!F:F)</v>
      </c>
      <c r="H32" s="12" t="str">
        <f t="shared" si="10"/>
        <v>(I32/G32)</v>
      </c>
      <c r="I32" s="11" t="str">
        <f t="shared" si="3"/>
        <v>SUMIF(IF(VLOOKUP(B9,MAPA_DATA!D:G,2,0)=1,'FACT_EMITIDA',IF(VLOOKUP(B32,MAPA_DATA!D:G,3,0)=1,'FACT_EST_EFACT',(IF(VLOOKUP(B32,MAPA_DATA!D:G,4,0)=1,'FACT_EST_CEN','SIN_DATA')))!B:B,Reliquidacion!B32,IF(VLOOKUP(B9,MAPA_DATA!D:G,2,0)=1,'FACT_EMITIDA',IF(VLOOKUP(B32,MAPA_DATA!D:G,3,0)=1,'FACT_EST_EFACT',(IF(VLOOKUP(B32,MAPA_DATA!D:G,4,0)=1,'FACT_EST_CEN','SIN_DATA')))!H:H)</v>
      </c>
      <c r="J32" s="11" t="str">
        <f t="shared" si="11"/>
        <v>(F32+I32)</v>
      </c>
      <c r="L32" s="60" t="str">
        <f>IF(VLOOKUP(B32,MAPA_DATA!D:I,5,0)=1,"EFACT_CNE",IF(VLOOKUP(B32,MAPA_DATA!D:I,6,0)=1,"EFACT_EST_CNE","SIN_DATA"))</f>
        <v>SIN_DATA</v>
      </c>
      <c r="M32" s="11" t="str">
        <f t="shared" si="4"/>
        <v>SUMIF(SIN_DATA!B:B;Reliquidacion!B32;SIN_DATA!S:S)</v>
      </c>
      <c r="N32" s="12" t="str">
        <f t="shared" si="12"/>
        <v>(O32/M32)</v>
      </c>
      <c r="O32" s="11" t="str">
        <f t="shared" si="5"/>
        <v>SUMIF(SIN_DATA!B:B;Reliquidacion!B32;SIN_DATA!W:W)</v>
      </c>
      <c r="P32" s="13" t="str">
        <f t="shared" si="6"/>
        <v>SUMIF(SIN_DATA!B:B;Reliquidacion!B32;SIN_DATA!X:X)</v>
      </c>
      <c r="Q32" s="12" t="str">
        <f t="shared" si="13"/>
        <v>(R32/P32)</v>
      </c>
      <c r="R32" s="11" t="str">
        <f t="shared" si="7"/>
        <v>SUMIF(SIN_DATA!B:B;Reliquidacion!B32;SIN_DATA!AB:AB)</v>
      </c>
      <c r="S32" s="11" t="str">
        <f t="shared" si="14"/>
        <v>(O32+R32)</v>
      </c>
      <c r="U32" s="79">
        <v>43070</v>
      </c>
      <c r="V32" s="31" t="str">
        <f t="shared" si="15"/>
        <v>=(S32-J32)</v>
      </c>
      <c r="W32" s="65" t="s">
        <v>443</v>
      </c>
      <c r="X32" s="33">
        <f>VLOOKUP(W32,[1]INTERESES!A:B,2,0)</f>
        <v>0</v>
      </c>
      <c r="Y32" s="34"/>
      <c r="Z32" s="35"/>
      <c r="AA32" s="36"/>
      <c r="AB32" s="37"/>
      <c r="AC32" s="38"/>
      <c r="AD32" s="31"/>
      <c r="AE32" s="31"/>
    </row>
    <row r="33" spans="1:31" ht="14.45" customHeight="1" x14ac:dyDescent="0.25">
      <c r="A33" s="64">
        <f t="shared" si="20"/>
        <v>33</v>
      </c>
      <c r="B33" s="59">
        <v>43101</v>
      </c>
      <c r="C33" s="81" t="str">
        <f t="shared" si="8"/>
        <v>IF(VLOOKUP(B9,MAPA_DATA!D:G,2,0)=1,'FACT_EMITIDA',IF(VLOOKUP(B33,MAPA_DATA!D:G,3,0)=1,'FACT_EST_EFACT',(IF(VLOOKUP(B33,MAPA_DATA!D:G,4,0)=1,'FACT_EST_CEN','SIN_DATA')))</v>
      </c>
      <c r="D33" s="11" t="str">
        <f t="shared" si="0"/>
        <v>SUMIF(IF(VLOOKUP(B9,MAPA_DATA!D:G,2,0)=1,'FACT_EMITIDA',IF(VLOOKUP(B33,MAPA_DATA!D:G,3,0)=1,'FACT_EST_EFACT',(IF(VLOOKUP(B33,MAPA_DATA!D:G,4,0)=1,'FACT_EST_CEN','SIN_DATA')))!B:B,Reliquidacion!B33,IF(VLOOKUP(B9,MAPA_DATA!D:G,2,0)=1,'FACT_EMITIDA',IF(VLOOKUP(B33,MAPA_DATA!D:G,3,0)=1,'FACT_EST_EFACT',(IF(VLOOKUP(B33,MAPA_DATA!D:G,4,0)=1,'FACT_EST_CEN','SIN_DATA')))!F:F)</v>
      </c>
      <c r="E33" s="12" t="str">
        <f t="shared" si="9"/>
        <v>(F33/D33)</v>
      </c>
      <c r="F33" s="11" t="str">
        <f t="shared" si="1"/>
        <v>SUMIF(IF(VLOOKUP(B9,MAPA_DATA!D:G,2,0)=1,'FACT_EMITIDA',IF(VLOOKUP(B33,MAPA_DATA!D:G,3,0)=1,'FACT_EST_EFACT',(IF(VLOOKUP(B33,MAPA_DATA!D:G,4,0)=1,'FACT_EST_CEN','SIN_DATA')))!B:B,Reliquidacion!B33,IF(VLOOKUP(B9,MAPA_DATA!D:G,2,0)=1,'FACT_EMITIDA',IF(VLOOKUP(B33,MAPA_DATA!D:G,3,0)=1,'FACT_EST_EFACT',(IF(VLOOKUP(B33,MAPA_DATA!D:G,4,0)=1,'FACT_EST_CEN','SIN_DATA')))!H:H)</v>
      </c>
      <c r="G33" s="13" t="str">
        <f t="shared" si="2"/>
        <v>SUMIF(IF(VLOOKUP(B9,MAPA_DATA!D:G,2,0)=1,'FACT_EMITIDA',IF(VLOOKUP(B33,MAPA_DATA!D:G,3,0)=1,'FACT_EST_EFACT',(IF(VLOOKUP(B33,MAPA_DATA!D:G,4,0)=1,'FACT_EST_CEN','SIN_DATA')))!B:B,Reliquidacion!B33,IF(VLOOKUP(B9,MAPA_DATA!D:G,2,0)=1,'FACT_EMITIDA',IF(VLOOKUP(B33,MAPA_DATA!D:G,3,0)=1,'FACT_EST_EFACT',(IF(VLOOKUP(B33,MAPA_DATA!D:G,4,0)=1,'FACT_EST_CEN','SIN_DATA')))!F:F)</v>
      </c>
      <c r="H33" s="12" t="str">
        <f t="shared" si="10"/>
        <v>(I33/G33)</v>
      </c>
      <c r="I33" s="11" t="str">
        <f t="shared" si="3"/>
        <v>SUMIF(IF(VLOOKUP(B9,MAPA_DATA!D:G,2,0)=1,'FACT_EMITIDA',IF(VLOOKUP(B33,MAPA_DATA!D:G,3,0)=1,'FACT_EST_EFACT',(IF(VLOOKUP(B33,MAPA_DATA!D:G,4,0)=1,'FACT_EST_CEN','SIN_DATA')))!B:B,Reliquidacion!B33,IF(VLOOKUP(B9,MAPA_DATA!D:G,2,0)=1,'FACT_EMITIDA',IF(VLOOKUP(B33,MAPA_DATA!D:G,3,0)=1,'FACT_EST_EFACT',(IF(VLOOKUP(B33,MAPA_DATA!D:G,4,0)=1,'FACT_EST_CEN','SIN_DATA')))!H:H)</v>
      </c>
      <c r="J33" s="11" t="str">
        <f t="shared" si="11"/>
        <v>(F33+I33)</v>
      </c>
      <c r="L33" s="60" t="str">
        <f>IF(VLOOKUP(B33,MAPA_DATA!D:I,5,0)=1,"EFACT_CNE",IF(VLOOKUP(B33,MAPA_DATA!D:I,6,0)=1,"EFACT_EST_CNE","SIN_DATA"))</f>
        <v>SIN_DATA</v>
      </c>
      <c r="M33" s="11" t="str">
        <f t="shared" si="4"/>
        <v>SUMIF(SIN_DATA!B:B;Reliquidacion!B33;SIN_DATA!S:S)</v>
      </c>
      <c r="N33" s="12" t="str">
        <f t="shared" si="12"/>
        <v>(O33/M33)</v>
      </c>
      <c r="O33" s="11" t="str">
        <f t="shared" si="5"/>
        <v>SUMIF(SIN_DATA!B:B;Reliquidacion!B33;SIN_DATA!W:W)</v>
      </c>
      <c r="P33" s="13" t="str">
        <f t="shared" si="6"/>
        <v>SUMIF(SIN_DATA!B:B;Reliquidacion!B33;SIN_DATA!X:X)</v>
      </c>
      <c r="Q33" s="12" t="str">
        <f t="shared" si="13"/>
        <v>(R33/P33)</v>
      </c>
      <c r="R33" s="11" t="str">
        <f t="shared" si="7"/>
        <v>SUMIF(SIN_DATA!B:B;Reliquidacion!B33;SIN_DATA!AB:AB)</v>
      </c>
      <c r="S33" s="11" t="str">
        <f t="shared" si="14"/>
        <v>(O33+R33)</v>
      </c>
      <c r="U33" s="79">
        <v>43101</v>
      </c>
      <c r="V33" s="31" t="str">
        <f t="shared" si="15"/>
        <v>=(S33-J33)</v>
      </c>
      <c r="W33" s="65" t="s">
        <v>443</v>
      </c>
      <c r="X33" s="33">
        <f>VLOOKUP(W33,[1]INTERESES!A:B,2,0)</f>
        <v>0</v>
      </c>
      <c r="Y33" s="34" t="e">
        <f>VLOOKUP(W33,#REF!,6,0)</f>
        <v>#REF!</v>
      </c>
      <c r="Z33" s="35">
        <v>43156</v>
      </c>
      <c r="AA33" s="36">
        <v>44377</v>
      </c>
      <c r="AB33" s="37">
        <f t="shared" ref="AB33:AB65" si="21">AA33-Z33</f>
        <v>1221</v>
      </c>
      <c r="AC33" s="38" t="e">
        <f>+(1+Y33)^(AB33/360)-1</f>
        <v>#REF!</v>
      </c>
      <c r="AD33" s="31" t="e">
        <f>AC33*V33</f>
        <v>#REF!</v>
      </c>
      <c r="AE33" s="31" t="e">
        <f>+V33+AD33</f>
        <v>#VALUE!</v>
      </c>
    </row>
    <row r="34" spans="1:31" x14ac:dyDescent="0.25">
      <c r="A34" s="64">
        <f t="shared" si="20"/>
        <v>34</v>
      </c>
      <c r="B34" s="59">
        <v>43132</v>
      </c>
      <c r="C34" s="81" t="str">
        <f t="shared" si="8"/>
        <v>IF(VLOOKUP(B9,MAPA_DATA!D:G,2,0)=1,'FACT_EMITIDA',IF(VLOOKUP(B34,MAPA_DATA!D:G,3,0)=1,'FACT_EST_EFACT',(IF(VLOOKUP(B34,MAPA_DATA!D:G,4,0)=1,'FACT_EST_CEN','SIN_DATA')))</v>
      </c>
      <c r="D34" s="11" t="str">
        <f t="shared" si="0"/>
        <v>SUMIF(IF(VLOOKUP(B9,MAPA_DATA!D:G,2,0)=1,'FACT_EMITIDA',IF(VLOOKUP(B34,MAPA_DATA!D:G,3,0)=1,'FACT_EST_EFACT',(IF(VLOOKUP(B34,MAPA_DATA!D:G,4,0)=1,'FACT_EST_CEN','SIN_DATA')))!B:B,Reliquidacion!B34,IF(VLOOKUP(B9,MAPA_DATA!D:G,2,0)=1,'FACT_EMITIDA',IF(VLOOKUP(B34,MAPA_DATA!D:G,3,0)=1,'FACT_EST_EFACT',(IF(VLOOKUP(B34,MAPA_DATA!D:G,4,0)=1,'FACT_EST_CEN','SIN_DATA')))!F:F)</v>
      </c>
      <c r="E34" s="12" t="str">
        <f t="shared" si="9"/>
        <v>(F34/D34)</v>
      </c>
      <c r="F34" s="11" t="str">
        <f t="shared" si="1"/>
        <v>SUMIF(IF(VLOOKUP(B9,MAPA_DATA!D:G,2,0)=1,'FACT_EMITIDA',IF(VLOOKUP(B34,MAPA_DATA!D:G,3,0)=1,'FACT_EST_EFACT',(IF(VLOOKUP(B34,MAPA_DATA!D:G,4,0)=1,'FACT_EST_CEN','SIN_DATA')))!B:B,Reliquidacion!B34,IF(VLOOKUP(B9,MAPA_DATA!D:G,2,0)=1,'FACT_EMITIDA',IF(VLOOKUP(B34,MAPA_DATA!D:G,3,0)=1,'FACT_EST_EFACT',(IF(VLOOKUP(B34,MAPA_DATA!D:G,4,0)=1,'FACT_EST_CEN','SIN_DATA')))!H:H)</v>
      </c>
      <c r="G34" s="13" t="str">
        <f t="shared" si="2"/>
        <v>SUMIF(IF(VLOOKUP(B9,MAPA_DATA!D:G,2,0)=1,'FACT_EMITIDA',IF(VLOOKUP(B34,MAPA_DATA!D:G,3,0)=1,'FACT_EST_EFACT',(IF(VLOOKUP(B34,MAPA_DATA!D:G,4,0)=1,'FACT_EST_CEN','SIN_DATA')))!B:B,Reliquidacion!B34,IF(VLOOKUP(B9,MAPA_DATA!D:G,2,0)=1,'FACT_EMITIDA',IF(VLOOKUP(B34,MAPA_DATA!D:G,3,0)=1,'FACT_EST_EFACT',(IF(VLOOKUP(B34,MAPA_DATA!D:G,4,0)=1,'FACT_EST_CEN','SIN_DATA')))!F:F)</v>
      </c>
      <c r="H34" s="12" t="str">
        <f t="shared" si="10"/>
        <v>(I34/G34)</v>
      </c>
      <c r="I34" s="11" t="str">
        <f t="shared" si="3"/>
        <v>SUMIF(IF(VLOOKUP(B9,MAPA_DATA!D:G,2,0)=1,'FACT_EMITIDA',IF(VLOOKUP(B34,MAPA_DATA!D:G,3,0)=1,'FACT_EST_EFACT',(IF(VLOOKUP(B34,MAPA_DATA!D:G,4,0)=1,'FACT_EST_CEN','SIN_DATA')))!B:B,Reliquidacion!B34,IF(VLOOKUP(B9,MAPA_DATA!D:G,2,0)=1,'FACT_EMITIDA',IF(VLOOKUP(B34,MAPA_DATA!D:G,3,0)=1,'FACT_EST_EFACT',(IF(VLOOKUP(B34,MAPA_DATA!D:G,4,0)=1,'FACT_EST_CEN','SIN_DATA')))!H:H)</v>
      </c>
      <c r="J34" s="11" t="str">
        <f t="shared" si="11"/>
        <v>(F34+I34)</v>
      </c>
      <c r="L34" s="60" t="str">
        <f>IF(VLOOKUP(B34,MAPA_DATA!D:I,5,0)=1,"EFACT_CNE",IF(VLOOKUP(B34,MAPA_DATA!D:I,6,0)=1,"EFACT_EST_CNE","SIN_DATA"))</f>
        <v>SIN_DATA</v>
      </c>
      <c r="M34" s="11" t="str">
        <f t="shared" si="4"/>
        <v>SUMIF(SIN_DATA!B:B;Reliquidacion!B34;SIN_DATA!S:S)</v>
      </c>
      <c r="N34" s="12" t="str">
        <f t="shared" si="12"/>
        <v>(O34/M34)</v>
      </c>
      <c r="O34" s="11" t="str">
        <f t="shared" si="5"/>
        <v>SUMIF(SIN_DATA!B:B;Reliquidacion!B34;SIN_DATA!W:W)</v>
      </c>
      <c r="P34" s="13" t="str">
        <f t="shared" si="6"/>
        <v>SUMIF(SIN_DATA!B:B;Reliquidacion!B34;SIN_DATA!X:X)</v>
      </c>
      <c r="Q34" s="12" t="str">
        <f t="shared" si="13"/>
        <v>(R34/P34)</v>
      </c>
      <c r="R34" s="11" t="str">
        <f t="shared" si="7"/>
        <v>SUMIF(SIN_DATA!B:B;Reliquidacion!B34;SIN_DATA!AB:AB)</v>
      </c>
      <c r="S34" s="11" t="str">
        <f t="shared" si="14"/>
        <v>(O34+R34)</v>
      </c>
      <c r="U34" s="79">
        <v>43132</v>
      </c>
      <c r="V34" s="31" t="str">
        <f t="shared" si="15"/>
        <v>=(S34-J34)</v>
      </c>
      <c r="W34" s="65" t="s">
        <v>443</v>
      </c>
      <c r="X34" s="33">
        <f>VLOOKUP(W34,[1]INTERESES!A:B,2,0)</f>
        <v>0</v>
      </c>
      <c r="Y34" s="34" t="e">
        <f>VLOOKUP(W34,#REF!,6,0)</f>
        <v>#REF!</v>
      </c>
      <c r="Z34" s="35">
        <v>43184</v>
      </c>
      <c r="AA34" s="35">
        <f>AA33</f>
        <v>44377</v>
      </c>
      <c r="AB34" s="37">
        <f t="shared" si="21"/>
        <v>1193</v>
      </c>
      <c r="AC34" s="38" t="e">
        <f t="shared" ref="AC34:AC65" si="22">+(1+Y34)^(AB34/360)-1</f>
        <v>#REF!</v>
      </c>
      <c r="AD34" s="31" t="e">
        <f t="shared" ref="AD34:AD65" si="23">AC34*V34</f>
        <v>#REF!</v>
      </c>
      <c r="AE34" s="31" t="e">
        <f t="shared" ref="AE34:AE65" si="24">+V34+AD34</f>
        <v>#VALUE!</v>
      </c>
    </row>
    <row r="35" spans="1:31" x14ac:dyDescent="0.25">
      <c r="A35" s="64">
        <f t="shared" si="20"/>
        <v>35</v>
      </c>
      <c r="B35" s="59">
        <v>43160</v>
      </c>
      <c r="C35" s="81" t="str">
        <f t="shared" si="8"/>
        <v>IF(VLOOKUP(B9,MAPA_DATA!D:G,2,0)=1,'FACT_EMITIDA',IF(VLOOKUP(B35,MAPA_DATA!D:G,3,0)=1,'FACT_EST_EFACT',(IF(VLOOKUP(B35,MAPA_DATA!D:G,4,0)=1,'FACT_EST_CEN','SIN_DATA')))</v>
      </c>
      <c r="D35" s="11" t="str">
        <f t="shared" si="0"/>
        <v>SUMIF(IF(VLOOKUP(B9,MAPA_DATA!D:G,2,0)=1,'FACT_EMITIDA',IF(VLOOKUP(B35,MAPA_DATA!D:G,3,0)=1,'FACT_EST_EFACT',(IF(VLOOKUP(B35,MAPA_DATA!D:G,4,0)=1,'FACT_EST_CEN','SIN_DATA')))!B:B,Reliquidacion!B35,IF(VLOOKUP(B9,MAPA_DATA!D:G,2,0)=1,'FACT_EMITIDA',IF(VLOOKUP(B35,MAPA_DATA!D:G,3,0)=1,'FACT_EST_EFACT',(IF(VLOOKUP(B35,MAPA_DATA!D:G,4,0)=1,'FACT_EST_CEN','SIN_DATA')))!F:F)</v>
      </c>
      <c r="E35" s="12" t="str">
        <f t="shared" si="9"/>
        <v>(F35/D35)</v>
      </c>
      <c r="F35" s="11" t="str">
        <f t="shared" si="1"/>
        <v>SUMIF(IF(VLOOKUP(B9,MAPA_DATA!D:G,2,0)=1,'FACT_EMITIDA',IF(VLOOKUP(B35,MAPA_DATA!D:G,3,0)=1,'FACT_EST_EFACT',(IF(VLOOKUP(B35,MAPA_DATA!D:G,4,0)=1,'FACT_EST_CEN','SIN_DATA')))!B:B,Reliquidacion!B35,IF(VLOOKUP(B9,MAPA_DATA!D:G,2,0)=1,'FACT_EMITIDA',IF(VLOOKUP(B35,MAPA_DATA!D:G,3,0)=1,'FACT_EST_EFACT',(IF(VLOOKUP(B35,MAPA_DATA!D:G,4,0)=1,'FACT_EST_CEN','SIN_DATA')))!H:H)</v>
      </c>
      <c r="G35" s="13" t="str">
        <f t="shared" si="2"/>
        <v>SUMIF(IF(VLOOKUP(B9,MAPA_DATA!D:G,2,0)=1,'FACT_EMITIDA',IF(VLOOKUP(B35,MAPA_DATA!D:G,3,0)=1,'FACT_EST_EFACT',(IF(VLOOKUP(B35,MAPA_DATA!D:G,4,0)=1,'FACT_EST_CEN','SIN_DATA')))!B:B,Reliquidacion!B35,IF(VLOOKUP(B9,MAPA_DATA!D:G,2,0)=1,'FACT_EMITIDA',IF(VLOOKUP(B35,MAPA_DATA!D:G,3,0)=1,'FACT_EST_EFACT',(IF(VLOOKUP(B35,MAPA_DATA!D:G,4,0)=1,'FACT_EST_CEN','SIN_DATA')))!F:F)</v>
      </c>
      <c r="H35" s="12" t="str">
        <f t="shared" si="10"/>
        <v>(I35/G35)</v>
      </c>
      <c r="I35" s="11" t="str">
        <f t="shared" si="3"/>
        <v>SUMIF(IF(VLOOKUP(B9,MAPA_DATA!D:G,2,0)=1,'FACT_EMITIDA',IF(VLOOKUP(B35,MAPA_DATA!D:G,3,0)=1,'FACT_EST_EFACT',(IF(VLOOKUP(B35,MAPA_DATA!D:G,4,0)=1,'FACT_EST_CEN','SIN_DATA')))!B:B,Reliquidacion!B35,IF(VLOOKUP(B9,MAPA_DATA!D:G,2,0)=1,'FACT_EMITIDA',IF(VLOOKUP(B35,MAPA_DATA!D:G,3,0)=1,'FACT_EST_EFACT',(IF(VLOOKUP(B35,MAPA_DATA!D:G,4,0)=1,'FACT_EST_CEN','SIN_DATA')))!H:H)</v>
      </c>
      <c r="J35" s="11" t="str">
        <f t="shared" si="11"/>
        <v>(F35+I35)</v>
      </c>
      <c r="L35" s="60" t="str">
        <f>IF(VLOOKUP(B35,MAPA_DATA!D:I,5,0)=1,"EFACT_CNE",IF(VLOOKUP(B35,MAPA_DATA!D:I,6,0)=1,"EFACT_EST_CNE","SIN_DATA"))</f>
        <v>SIN_DATA</v>
      </c>
      <c r="M35" s="11" t="str">
        <f t="shared" si="4"/>
        <v>SUMIF(SIN_DATA!B:B;Reliquidacion!B35;SIN_DATA!S:S)</v>
      </c>
      <c r="N35" s="12" t="str">
        <f t="shared" si="12"/>
        <v>(O35/M35)</v>
      </c>
      <c r="O35" s="11" t="str">
        <f t="shared" si="5"/>
        <v>SUMIF(SIN_DATA!B:B;Reliquidacion!B35;SIN_DATA!W:W)</v>
      </c>
      <c r="P35" s="13" t="str">
        <f t="shared" si="6"/>
        <v>SUMIF(SIN_DATA!B:B;Reliquidacion!B35;SIN_DATA!X:X)</v>
      </c>
      <c r="Q35" s="12" t="str">
        <f t="shared" si="13"/>
        <v>(R35/P35)</v>
      </c>
      <c r="R35" s="11" t="str">
        <f t="shared" si="7"/>
        <v>SUMIF(SIN_DATA!B:B;Reliquidacion!B35;SIN_DATA!AB:AB)</v>
      </c>
      <c r="S35" s="11" t="str">
        <f t="shared" si="14"/>
        <v>(O35+R35)</v>
      </c>
      <c r="U35" s="79">
        <v>43160</v>
      </c>
      <c r="V35" s="31" t="str">
        <f t="shared" si="15"/>
        <v>=(S35-J35)</v>
      </c>
      <c r="W35" s="65" t="s">
        <v>444</v>
      </c>
      <c r="X35" s="33">
        <f>VLOOKUP(W35,[1]INTERESES!A:B,2,0)</f>
        <v>0</v>
      </c>
      <c r="Y35" s="34" t="e">
        <f>VLOOKUP(W35,#REF!,6,0)</f>
        <v>#REF!</v>
      </c>
      <c r="Z35" s="35">
        <v>43215</v>
      </c>
      <c r="AA35" s="35">
        <f t="shared" ref="AA35:AA61" si="25">AA34</f>
        <v>44377</v>
      </c>
      <c r="AB35" s="37">
        <f t="shared" si="21"/>
        <v>1162</v>
      </c>
      <c r="AC35" s="38" t="e">
        <f t="shared" si="22"/>
        <v>#REF!</v>
      </c>
      <c r="AD35" s="31" t="e">
        <f t="shared" si="23"/>
        <v>#REF!</v>
      </c>
      <c r="AE35" s="31" t="e">
        <f t="shared" si="24"/>
        <v>#VALUE!</v>
      </c>
    </row>
    <row r="36" spans="1:31" x14ac:dyDescent="0.25">
      <c r="A36" s="64">
        <f t="shared" si="20"/>
        <v>36</v>
      </c>
      <c r="B36" s="59">
        <v>43191</v>
      </c>
      <c r="C36" s="81" t="str">
        <f t="shared" si="8"/>
        <v>IF(VLOOKUP(B9,MAPA_DATA!D:G,2,0)=1,'FACT_EMITIDA',IF(VLOOKUP(B36,MAPA_DATA!D:G,3,0)=1,'FACT_EST_EFACT',(IF(VLOOKUP(B36,MAPA_DATA!D:G,4,0)=1,'FACT_EST_CEN','SIN_DATA')))</v>
      </c>
      <c r="D36" s="11" t="str">
        <f t="shared" si="0"/>
        <v>SUMIF(IF(VLOOKUP(B9,MAPA_DATA!D:G,2,0)=1,'FACT_EMITIDA',IF(VLOOKUP(B36,MAPA_DATA!D:G,3,0)=1,'FACT_EST_EFACT',(IF(VLOOKUP(B36,MAPA_DATA!D:G,4,0)=1,'FACT_EST_CEN','SIN_DATA')))!B:B,Reliquidacion!B36,IF(VLOOKUP(B9,MAPA_DATA!D:G,2,0)=1,'FACT_EMITIDA',IF(VLOOKUP(B36,MAPA_DATA!D:G,3,0)=1,'FACT_EST_EFACT',(IF(VLOOKUP(B36,MAPA_DATA!D:G,4,0)=1,'FACT_EST_CEN','SIN_DATA')))!F:F)</v>
      </c>
      <c r="E36" s="12" t="str">
        <f t="shared" si="9"/>
        <v>(F36/D36)</v>
      </c>
      <c r="F36" s="11" t="str">
        <f t="shared" si="1"/>
        <v>SUMIF(IF(VLOOKUP(B9,MAPA_DATA!D:G,2,0)=1,'FACT_EMITIDA',IF(VLOOKUP(B36,MAPA_DATA!D:G,3,0)=1,'FACT_EST_EFACT',(IF(VLOOKUP(B36,MAPA_DATA!D:G,4,0)=1,'FACT_EST_CEN','SIN_DATA')))!B:B,Reliquidacion!B36,IF(VLOOKUP(B9,MAPA_DATA!D:G,2,0)=1,'FACT_EMITIDA',IF(VLOOKUP(B36,MAPA_DATA!D:G,3,0)=1,'FACT_EST_EFACT',(IF(VLOOKUP(B36,MAPA_DATA!D:G,4,0)=1,'FACT_EST_CEN','SIN_DATA')))!H:H)</v>
      </c>
      <c r="G36" s="13" t="str">
        <f t="shared" si="2"/>
        <v>SUMIF(IF(VLOOKUP(B9,MAPA_DATA!D:G,2,0)=1,'FACT_EMITIDA',IF(VLOOKUP(B36,MAPA_DATA!D:G,3,0)=1,'FACT_EST_EFACT',(IF(VLOOKUP(B36,MAPA_DATA!D:G,4,0)=1,'FACT_EST_CEN','SIN_DATA')))!B:B,Reliquidacion!B36,IF(VLOOKUP(B9,MAPA_DATA!D:G,2,0)=1,'FACT_EMITIDA',IF(VLOOKUP(B36,MAPA_DATA!D:G,3,0)=1,'FACT_EST_EFACT',(IF(VLOOKUP(B36,MAPA_DATA!D:G,4,0)=1,'FACT_EST_CEN','SIN_DATA')))!F:F)</v>
      </c>
      <c r="H36" s="12" t="str">
        <f t="shared" si="10"/>
        <v>(I36/G36)</v>
      </c>
      <c r="I36" s="11" t="str">
        <f t="shared" si="3"/>
        <v>SUMIF(IF(VLOOKUP(B9,MAPA_DATA!D:G,2,0)=1,'FACT_EMITIDA',IF(VLOOKUP(B36,MAPA_DATA!D:G,3,0)=1,'FACT_EST_EFACT',(IF(VLOOKUP(B36,MAPA_DATA!D:G,4,0)=1,'FACT_EST_CEN','SIN_DATA')))!B:B,Reliquidacion!B36,IF(VLOOKUP(B9,MAPA_DATA!D:G,2,0)=1,'FACT_EMITIDA',IF(VLOOKUP(B36,MAPA_DATA!D:G,3,0)=1,'FACT_EST_EFACT',(IF(VLOOKUP(B36,MAPA_DATA!D:G,4,0)=1,'FACT_EST_CEN','SIN_DATA')))!H:H)</v>
      </c>
      <c r="J36" s="11" t="str">
        <f t="shared" si="11"/>
        <v>(F36+I36)</v>
      </c>
      <c r="L36" s="60" t="str">
        <f>IF(VLOOKUP(B36,MAPA_DATA!D:I,5,0)=1,"EFACT_CNE",IF(VLOOKUP(B36,MAPA_DATA!D:I,6,0)=1,"EFACT_EST_CNE","SIN_DATA"))</f>
        <v>SIN_DATA</v>
      </c>
      <c r="M36" s="11" t="str">
        <f t="shared" si="4"/>
        <v>SUMIF(SIN_DATA!B:B;Reliquidacion!B36;SIN_DATA!S:S)</v>
      </c>
      <c r="N36" s="12" t="str">
        <f t="shared" si="12"/>
        <v>(O36/M36)</v>
      </c>
      <c r="O36" s="11" t="str">
        <f t="shared" si="5"/>
        <v>SUMIF(SIN_DATA!B:B;Reliquidacion!B36;SIN_DATA!W:W)</v>
      </c>
      <c r="P36" s="13" t="str">
        <f t="shared" si="6"/>
        <v>SUMIF(SIN_DATA!B:B;Reliquidacion!B36;SIN_DATA!X:X)</v>
      </c>
      <c r="Q36" s="12" t="str">
        <f t="shared" si="13"/>
        <v>(R36/P36)</v>
      </c>
      <c r="R36" s="11" t="str">
        <f t="shared" si="7"/>
        <v>SUMIF(SIN_DATA!B:B;Reliquidacion!B36;SIN_DATA!AB:AB)</v>
      </c>
      <c r="S36" s="11" t="str">
        <f t="shared" si="14"/>
        <v>(O36+R36)</v>
      </c>
      <c r="U36" s="79">
        <v>43191</v>
      </c>
      <c r="V36" s="31" t="str">
        <f t="shared" si="15"/>
        <v>=(S36-J36)</v>
      </c>
      <c r="W36" s="65" t="s">
        <v>444</v>
      </c>
      <c r="X36" s="33">
        <f>VLOOKUP(W36,[1]INTERESES!A:B,2,0)</f>
        <v>0</v>
      </c>
      <c r="Y36" s="34" t="e">
        <f>VLOOKUP(W36,#REF!,6,0)</f>
        <v>#REF!</v>
      </c>
      <c r="Z36" s="35">
        <v>43245</v>
      </c>
      <c r="AA36" s="35">
        <f t="shared" si="25"/>
        <v>44377</v>
      </c>
      <c r="AB36" s="37">
        <f t="shared" si="21"/>
        <v>1132</v>
      </c>
      <c r="AC36" s="38" t="e">
        <f t="shared" si="22"/>
        <v>#REF!</v>
      </c>
      <c r="AD36" s="31" t="e">
        <f t="shared" si="23"/>
        <v>#REF!</v>
      </c>
      <c r="AE36" s="31" t="e">
        <f t="shared" si="24"/>
        <v>#VALUE!</v>
      </c>
    </row>
    <row r="37" spans="1:31" x14ac:dyDescent="0.25">
      <c r="A37" s="64">
        <f t="shared" si="20"/>
        <v>37</v>
      </c>
      <c r="B37" s="59">
        <v>43221</v>
      </c>
      <c r="C37" s="81" t="str">
        <f t="shared" si="8"/>
        <v>IF(VLOOKUP(B9,MAPA_DATA!D:G,2,0)=1,'FACT_EMITIDA',IF(VLOOKUP(B37,MAPA_DATA!D:G,3,0)=1,'FACT_EST_EFACT',(IF(VLOOKUP(B37,MAPA_DATA!D:G,4,0)=1,'FACT_EST_CEN','SIN_DATA')))</v>
      </c>
      <c r="D37" s="11" t="str">
        <f t="shared" si="0"/>
        <v>SUMIF(IF(VLOOKUP(B9,MAPA_DATA!D:G,2,0)=1,'FACT_EMITIDA',IF(VLOOKUP(B37,MAPA_DATA!D:G,3,0)=1,'FACT_EST_EFACT',(IF(VLOOKUP(B37,MAPA_DATA!D:G,4,0)=1,'FACT_EST_CEN','SIN_DATA')))!B:B,Reliquidacion!B37,IF(VLOOKUP(B9,MAPA_DATA!D:G,2,0)=1,'FACT_EMITIDA',IF(VLOOKUP(B37,MAPA_DATA!D:G,3,0)=1,'FACT_EST_EFACT',(IF(VLOOKUP(B37,MAPA_DATA!D:G,4,0)=1,'FACT_EST_CEN','SIN_DATA')))!F:F)</v>
      </c>
      <c r="E37" s="12" t="str">
        <f t="shared" si="9"/>
        <v>(F37/D37)</v>
      </c>
      <c r="F37" s="11" t="str">
        <f t="shared" si="1"/>
        <v>SUMIF(IF(VLOOKUP(B9,MAPA_DATA!D:G,2,0)=1,'FACT_EMITIDA',IF(VLOOKUP(B37,MAPA_DATA!D:G,3,0)=1,'FACT_EST_EFACT',(IF(VLOOKUP(B37,MAPA_DATA!D:G,4,0)=1,'FACT_EST_CEN','SIN_DATA')))!B:B,Reliquidacion!B37,IF(VLOOKUP(B9,MAPA_DATA!D:G,2,0)=1,'FACT_EMITIDA',IF(VLOOKUP(B37,MAPA_DATA!D:G,3,0)=1,'FACT_EST_EFACT',(IF(VLOOKUP(B37,MAPA_DATA!D:G,4,0)=1,'FACT_EST_CEN','SIN_DATA')))!H:H)</v>
      </c>
      <c r="G37" s="13" t="str">
        <f t="shared" si="2"/>
        <v>SUMIF(IF(VLOOKUP(B9,MAPA_DATA!D:G,2,0)=1,'FACT_EMITIDA',IF(VLOOKUP(B37,MAPA_DATA!D:G,3,0)=1,'FACT_EST_EFACT',(IF(VLOOKUP(B37,MAPA_DATA!D:G,4,0)=1,'FACT_EST_CEN','SIN_DATA')))!B:B,Reliquidacion!B37,IF(VLOOKUP(B9,MAPA_DATA!D:G,2,0)=1,'FACT_EMITIDA',IF(VLOOKUP(B37,MAPA_DATA!D:G,3,0)=1,'FACT_EST_EFACT',(IF(VLOOKUP(B37,MAPA_DATA!D:G,4,0)=1,'FACT_EST_CEN','SIN_DATA')))!F:F)</v>
      </c>
      <c r="H37" s="12" t="str">
        <f t="shared" si="10"/>
        <v>(I37/G37)</v>
      </c>
      <c r="I37" s="11" t="str">
        <f t="shared" si="3"/>
        <v>SUMIF(IF(VLOOKUP(B9,MAPA_DATA!D:G,2,0)=1,'FACT_EMITIDA',IF(VLOOKUP(B37,MAPA_DATA!D:G,3,0)=1,'FACT_EST_EFACT',(IF(VLOOKUP(B37,MAPA_DATA!D:G,4,0)=1,'FACT_EST_CEN','SIN_DATA')))!B:B,Reliquidacion!B37,IF(VLOOKUP(B9,MAPA_DATA!D:G,2,0)=1,'FACT_EMITIDA',IF(VLOOKUP(B37,MAPA_DATA!D:G,3,0)=1,'FACT_EST_EFACT',(IF(VLOOKUP(B37,MAPA_DATA!D:G,4,0)=1,'FACT_EST_CEN','SIN_DATA')))!H:H)</v>
      </c>
      <c r="J37" s="11" t="str">
        <f t="shared" si="11"/>
        <v>(F37+I37)</v>
      </c>
      <c r="L37" s="60" t="str">
        <f>IF(VLOOKUP(B37,MAPA_DATA!D:I,5,0)=1,"EFACT_CNE",IF(VLOOKUP(B37,MAPA_DATA!D:I,6,0)=1,"EFACT_EST_CNE","SIN_DATA"))</f>
        <v>SIN_DATA</v>
      </c>
      <c r="M37" s="11" t="str">
        <f t="shared" si="4"/>
        <v>SUMIF(SIN_DATA!B:B;Reliquidacion!B37;SIN_DATA!S:S)</v>
      </c>
      <c r="N37" s="12" t="str">
        <f t="shared" si="12"/>
        <v>(O37/M37)</v>
      </c>
      <c r="O37" s="11" t="str">
        <f t="shared" si="5"/>
        <v>SUMIF(SIN_DATA!B:B;Reliquidacion!B37;SIN_DATA!W:W)</v>
      </c>
      <c r="P37" s="13" t="str">
        <f t="shared" si="6"/>
        <v>SUMIF(SIN_DATA!B:B;Reliquidacion!B37;SIN_DATA!X:X)</v>
      </c>
      <c r="Q37" s="12" t="str">
        <f t="shared" si="13"/>
        <v>(R37/P37)</v>
      </c>
      <c r="R37" s="11" t="str">
        <f t="shared" si="7"/>
        <v>SUMIF(SIN_DATA!B:B;Reliquidacion!B37;SIN_DATA!AB:AB)</v>
      </c>
      <c r="S37" s="11" t="str">
        <f t="shared" si="14"/>
        <v>(O37+R37)</v>
      </c>
      <c r="U37" s="79">
        <v>43221</v>
      </c>
      <c r="V37" s="31" t="str">
        <f t="shared" si="15"/>
        <v>=(S37-J37)</v>
      </c>
      <c r="W37" s="65" t="s">
        <v>444</v>
      </c>
      <c r="X37" s="33">
        <f>VLOOKUP(W37,[1]INTERESES!A:B,2,0)</f>
        <v>0</v>
      </c>
      <c r="Y37" s="34" t="e">
        <f>VLOOKUP(W37,#REF!,6,0)</f>
        <v>#REF!</v>
      </c>
      <c r="Z37" s="35">
        <v>43276</v>
      </c>
      <c r="AA37" s="35">
        <f t="shared" si="25"/>
        <v>44377</v>
      </c>
      <c r="AB37" s="37">
        <f t="shared" si="21"/>
        <v>1101</v>
      </c>
      <c r="AC37" s="38" t="e">
        <f t="shared" si="22"/>
        <v>#REF!</v>
      </c>
      <c r="AD37" s="31" t="e">
        <f t="shared" si="23"/>
        <v>#REF!</v>
      </c>
      <c r="AE37" s="31" t="e">
        <f t="shared" si="24"/>
        <v>#VALUE!</v>
      </c>
    </row>
    <row r="38" spans="1:31" x14ac:dyDescent="0.25">
      <c r="A38" s="64">
        <f t="shared" si="20"/>
        <v>38</v>
      </c>
      <c r="B38" s="59">
        <v>43252</v>
      </c>
      <c r="C38" s="81" t="str">
        <f t="shared" si="8"/>
        <v>IF(VLOOKUP(B9,MAPA_DATA!D:G,2,0)=1,'FACT_EMITIDA',IF(VLOOKUP(B38,MAPA_DATA!D:G,3,0)=1,'FACT_EST_EFACT',(IF(VLOOKUP(B38,MAPA_DATA!D:G,4,0)=1,'FACT_EST_CEN','SIN_DATA')))</v>
      </c>
      <c r="D38" s="11" t="str">
        <f t="shared" si="0"/>
        <v>SUMIF(IF(VLOOKUP(B9,MAPA_DATA!D:G,2,0)=1,'FACT_EMITIDA',IF(VLOOKUP(B38,MAPA_DATA!D:G,3,0)=1,'FACT_EST_EFACT',(IF(VLOOKUP(B38,MAPA_DATA!D:G,4,0)=1,'FACT_EST_CEN','SIN_DATA')))!B:B,Reliquidacion!B38,IF(VLOOKUP(B9,MAPA_DATA!D:G,2,0)=1,'FACT_EMITIDA',IF(VLOOKUP(B38,MAPA_DATA!D:G,3,0)=1,'FACT_EST_EFACT',(IF(VLOOKUP(B38,MAPA_DATA!D:G,4,0)=1,'FACT_EST_CEN','SIN_DATA')))!F:F)</v>
      </c>
      <c r="E38" s="12" t="str">
        <f t="shared" si="9"/>
        <v>(F38/D38)</v>
      </c>
      <c r="F38" s="11" t="str">
        <f t="shared" si="1"/>
        <v>SUMIF(IF(VLOOKUP(B9,MAPA_DATA!D:G,2,0)=1,'FACT_EMITIDA',IF(VLOOKUP(B38,MAPA_DATA!D:G,3,0)=1,'FACT_EST_EFACT',(IF(VLOOKUP(B38,MAPA_DATA!D:G,4,0)=1,'FACT_EST_CEN','SIN_DATA')))!B:B,Reliquidacion!B38,IF(VLOOKUP(B9,MAPA_DATA!D:G,2,0)=1,'FACT_EMITIDA',IF(VLOOKUP(B38,MAPA_DATA!D:G,3,0)=1,'FACT_EST_EFACT',(IF(VLOOKUP(B38,MAPA_DATA!D:G,4,0)=1,'FACT_EST_CEN','SIN_DATA')))!H:H)</v>
      </c>
      <c r="G38" s="13" t="str">
        <f t="shared" si="2"/>
        <v>SUMIF(IF(VLOOKUP(B9,MAPA_DATA!D:G,2,0)=1,'FACT_EMITIDA',IF(VLOOKUP(B38,MAPA_DATA!D:G,3,0)=1,'FACT_EST_EFACT',(IF(VLOOKUP(B38,MAPA_DATA!D:G,4,0)=1,'FACT_EST_CEN','SIN_DATA')))!B:B,Reliquidacion!B38,IF(VLOOKUP(B9,MAPA_DATA!D:G,2,0)=1,'FACT_EMITIDA',IF(VLOOKUP(B38,MAPA_DATA!D:G,3,0)=1,'FACT_EST_EFACT',(IF(VLOOKUP(B38,MAPA_DATA!D:G,4,0)=1,'FACT_EST_CEN','SIN_DATA')))!F:F)</v>
      </c>
      <c r="H38" s="12" t="str">
        <f t="shared" si="10"/>
        <v>(I38/G38)</v>
      </c>
      <c r="I38" s="11" t="str">
        <f t="shared" si="3"/>
        <v>SUMIF(IF(VLOOKUP(B9,MAPA_DATA!D:G,2,0)=1,'FACT_EMITIDA',IF(VLOOKUP(B38,MAPA_DATA!D:G,3,0)=1,'FACT_EST_EFACT',(IF(VLOOKUP(B38,MAPA_DATA!D:G,4,0)=1,'FACT_EST_CEN','SIN_DATA')))!B:B,Reliquidacion!B38,IF(VLOOKUP(B9,MAPA_DATA!D:G,2,0)=1,'FACT_EMITIDA',IF(VLOOKUP(B38,MAPA_DATA!D:G,3,0)=1,'FACT_EST_EFACT',(IF(VLOOKUP(B38,MAPA_DATA!D:G,4,0)=1,'FACT_EST_CEN','SIN_DATA')))!H:H)</v>
      </c>
      <c r="J38" s="11" t="str">
        <f t="shared" si="11"/>
        <v>(F38+I38)</v>
      </c>
      <c r="L38" s="60" t="str">
        <f>IF(VLOOKUP(B38,MAPA_DATA!D:I,5,0)=1,"EFACT_CNE",IF(VLOOKUP(B38,MAPA_DATA!D:I,6,0)=1,"EFACT_EST_CNE","SIN_DATA"))</f>
        <v>SIN_DATA</v>
      </c>
      <c r="M38" s="11" t="str">
        <f t="shared" si="4"/>
        <v>SUMIF(SIN_DATA!B:B;Reliquidacion!B38;SIN_DATA!S:S)</v>
      </c>
      <c r="N38" s="12" t="str">
        <f t="shared" si="12"/>
        <v>(O38/M38)</v>
      </c>
      <c r="O38" s="11" t="str">
        <f t="shared" si="5"/>
        <v>SUMIF(SIN_DATA!B:B;Reliquidacion!B38;SIN_DATA!W:W)</v>
      </c>
      <c r="P38" s="13" t="str">
        <f t="shared" si="6"/>
        <v>SUMIF(SIN_DATA!B:B;Reliquidacion!B38;SIN_DATA!X:X)</v>
      </c>
      <c r="Q38" s="12" t="str">
        <f t="shared" si="13"/>
        <v>(R38/P38)</v>
      </c>
      <c r="R38" s="11" t="str">
        <f t="shared" si="7"/>
        <v>SUMIF(SIN_DATA!B:B;Reliquidacion!B38;SIN_DATA!AB:AB)</v>
      </c>
      <c r="S38" s="11" t="str">
        <f t="shared" si="14"/>
        <v>(O38+R38)</v>
      </c>
      <c r="U38" s="79">
        <v>43252</v>
      </c>
      <c r="V38" s="31" t="str">
        <f t="shared" si="15"/>
        <v>=(S38-J38)</v>
      </c>
      <c r="W38" s="65" t="s">
        <v>444</v>
      </c>
      <c r="X38" s="33">
        <f>VLOOKUP(W38,[1]INTERESES!A:B,2,0)</f>
        <v>0</v>
      </c>
      <c r="Y38" s="34" t="e">
        <f>VLOOKUP(W38,#REF!,6,0)</f>
        <v>#REF!</v>
      </c>
      <c r="Z38" s="35">
        <v>43306</v>
      </c>
      <c r="AA38" s="35">
        <f t="shared" si="25"/>
        <v>44377</v>
      </c>
      <c r="AB38" s="37">
        <f t="shared" si="21"/>
        <v>1071</v>
      </c>
      <c r="AC38" s="38" t="e">
        <f t="shared" si="22"/>
        <v>#REF!</v>
      </c>
      <c r="AD38" s="31" t="e">
        <f t="shared" si="23"/>
        <v>#REF!</v>
      </c>
      <c r="AE38" s="31" t="e">
        <f t="shared" si="24"/>
        <v>#VALUE!</v>
      </c>
    </row>
    <row r="39" spans="1:31" x14ac:dyDescent="0.25">
      <c r="A39" s="64">
        <f t="shared" si="20"/>
        <v>39</v>
      </c>
      <c r="B39" s="59">
        <v>43282</v>
      </c>
      <c r="C39" s="81" t="str">
        <f t="shared" si="8"/>
        <v>IF(VLOOKUP(B9,MAPA_DATA!D:G,2,0)=1,'FACT_EMITIDA',IF(VLOOKUP(B39,MAPA_DATA!D:G,3,0)=1,'FACT_EST_EFACT',(IF(VLOOKUP(B39,MAPA_DATA!D:G,4,0)=1,'FACT_EST_CEN','SIN_DATA')))</v>
      </c>
      <c r="D39" s="11" t="str">
        <f t="shared" si="0"/>
        <v>SUMIF(IF(VLOOKUP(B9,MAPA_DATA!D:G,2,0)=1,'FACT_EMITIDA',IF(VLOOKUP(B39,MAPA_DATA!D:G,3,0)=1,'FACT_EST_EFACT',(IF(VLOOKUP(B39,MAPA_DATA!D:G,4,0)=1,'FACT_EST_CEN','SIN_DATA')))!B:B,Reliquidacion!B39,IF(VLOOKUP(B9,MAPA_DATA!D:G,2,0)=1,'FACT_EMITIDA',IF(VLOOKUP(B39,MAPA_DATA!D:G,3,0)=1,'FACT_EST_EFACT',(IF(VLOOKUP(B39,MAPA_DATA!D:G,4,0)=1,'FACT_EST_CEN','SIN_DATA')))!F:F)</v>
      </c>
      <c r="E39" s="12" t="str">
        <f t="shared" si="9"/>
        <v>(F39/D39)</v>
      </c>
      <c r="F39" s="11" t="str">
        <f t="shared" si="1"/>
        <v>SUMIF(IF(VLOOKUP(B9,MAPA_DATA!D:G,2,0)=1,'FACT_EMITIDA',IF(VLOOKUP(B39,MAPA_DATA!D:G,3,0)=1,'FACT_EST_EFACT',(IF(VLOOKUP(B39,MAPA_DATA!D:G,4,0)=1,'FACT_EST_CEN','SIN_DATA')))!B:B,Reliquidacion!B39,IF(VLOOKUP(B9,MAPA_DATA!D:G,2,0)=1,'FACT_EMITIDA',IF(VLOOKUP(B39,MAPA_DATA!D:G,3,0)=1,'FACT_EST_EFACT',(IF(VLOOKUP(B39,MAPA_DATA!D:G,4,0)=1,'FACT_EST_CEN','SIN_DATA')))!H:H)</v>
      </c>
      <c r="G39" s="13" t="str">
        <f t="shared" si="2"/>
        <v>SUMIF(IF(VLOOKUP(B9,MAPA_DATA!D:G,2,0)=1,'FACT_EMITIDA',IF(VLOOKUP(B39,MAPA_DATA!D:G,3,0)=1,'FACT_EST_EFACT',(IF(VLOOKUP(B39,MAPA_DATA!D:G,4,0)=1,'FACT_EST_CEN','SIN_DATA')))!B:B,Reliquidacion!B39,IF(VLOOKUP(B9,MAPA_DATA!D:G,2,0)=1,'FACT_EMITIDA',IF(VLOOKUP(B39,MAPA_DATA!D:G,3,0)=1,'FACT_EST_EFACT',(IF(VLOOKUP(B39,MAPA_DATA!D:G,4,0)=1,'FACT_EST_CEN','SIN_DATA')))!F:F)</v>
      </c>
      <c r="H39" s="12" t="str">
        <f t="shared" si="10"/>
        <v>(I39/G39)</v>
      </c>
      <c r="I39" s="11" t="str">
        <f t="shared" si="3"/>
        <v>SUMIF(IF(VLOOKUP(B9,MAPA_DATA!D:G,2,0)=1,'FACT_EMITIDA',IF(VLOOKUP(B39,MAPA_DATA!D:G,3,0)=1,'FACT_EST_EFACT',(IF(VLOOKUP(B39,MAPA_DATA!D:G,4,0)=1,'FACT_EST_CEN','SIN_DATA')))!B:B,Reliquidacion!B39,IF(VLOOKUP(B9,MAPA_DATA!D:G,2,0)=1,'FACT_EMITIDA',IF(VLOOKUP(B39,MAPA_DATA!D:G,3,0)=1,'FACT_EST_EFACT',(IF(VLOOKUP(B39,MAPA_DATA!D:G,4,0)=1,'FACT_EST_CEN','SIN_DATA')))!H:H)</v>
      </c>
      <c r="J39" s="11" t="str">
        <f t="shared" si="11"/>
        <v>(F39+I39)</v>
      </c>
      <c r="L39" s="60" t="str">
        <f>IF(VLOOKUP(B39,MAPA_DATA!D:I,5,0)=1,"EFACT_CNE",IF(VLOOKUP(B39,MAPA_DATA!D:I,6,0)=1,"EFACT_EST_CNE","SIN_DATA"))</f>
        <v>SIN_DATA</v>
      </c>
      <c r="M39" s="11" t="str">
        <f t="shared" si="4"/>
        <v>SUMIF(SIN_DATA!B:B;Reliquidacion!B39;SIN_DATA!S:S)</v>
      </c>
      <c r="N39" s="12" t="str">
        <f t="shared" si="12"/>
        <v>(O39/M39)</v>
      </c>
      <c r="O39" s="11" t="str">
        <f t="shared" si="5"/>
        <v>SUMIF(SIN_DATA!B:B;Reliquidacion!B39;SIN_DATA!W:W)</v>
      </c>
      <c r="P39" s="13" t="str">
        <f t="shared" si="6"/>
        <v>SUMIF(SIN_DATA!B:B;Reliquidacion!B39;SIN_DATA!X:X)</v>
      </c>
      <c r="Q39" s="12" t="str">
        <f t="shared" si="13"/>
        <v>(R39/P39)</v>
      </c>
      <c r="R39" s="11" t="str">
        <f t="shared" si="7"/>
        <v>SUMIF(SIN_DATA!B:B;Reliquidacion!B39;SIN_DATA!AB:AB)</v>
      </c>
      <c r="S39" s="11" t="str">
        <f t="shared" si="14"/>
        <v>(O39+R39)</v>
      </c>
      <c r="U39" s="79">
        <v>43282</v>
      </c>
      <c r="V39" s="31" t="str">
        <f t="shared" si="15"/>
        <v>=(S39-J39)</v>
      </c>
      <c r="W39" s="65" t="s">
        <v>444</v>
      </c>
      <c r="X39" s="33">
        <f>VLOOKUP(W39,[1]INTERESES!A:B,2,0)</f>
        <v>0</v>
      </c>
      <c r="Y39" s="34" t="e">
        <f>VLOOKUP(W39,#REF!,6,0)</f>
        <v>#REF!</v>
      </c>
      <c r="Z39" s="35">
        <v>43337</v>
      </c>
      <c r="AA39" s="35">
        <f t="shared" si="25"/>
        <v>44377</v>
      </c>
      <c r="AB39" s="37">
        <f t="shared" si="21"/>
        <v>1040</v>
      </c>
      <c r="AC39" s="38" t="e">
        <f t="shared" si="22"/>
        <v>#REF!</v>
      </c>
      <c r="AD39" s="31" t="e">
        <f t="shared" si="23"/>
        <v>#REF!</v>
      </c>
      <c r="AE39" s="31" t="e">
        <f t="shared" si="24"/>
        <v>#VALUE!</v>
      </c>
    </row>
    <row r="40" spans="1:31" x14ac:dyDescent="0.25">
      <c r="A40" s="64">
        <f t="shared" si="20"/>
        <v>40</v>
      </c>
      <c r="B40" s="59">
        <v>43313</v>
      </c>
      <c r="C40" s="81" t="str">
        <f t="shared" si="8"/>
        <v>IF(VLOOKUP(B9,MAPA_DATA!D:G,2,0)=1,'FACT_EMITIDA',IF(VLOOKUP(B40,MAPA_DATA!D:G,3,0)=1,'FACT_EST_EFACT',(IF(VLOOKUP(B40,MAPA_DATA!D:G,4,0)=1,'FACT_EST_CEN','SIN_DATA')))</v>
      </c>
      <c r="D40" s="11" t="str">
        <f t="shared" si="0"/>
        <v>SUMIF(IF(VLOOKUP(B9,MAPA_DATA!D:G,2,0)=1,'FACT_EMITIDA',IF(VLOOKUP(B40,MAPA_DATA!D:G,3,0)=1,'FACT_EST_EFACT',(IF(VLOOKUP(B40,MAPA_DATA!D:G,4,0)=1,'FACT_EST_CEN','SIN_DATA')))!B:B,Reliquidacion!B40,IF(VLOOKUP(B9,MAPA_DATA!D:G,2,0)=1,'FACT_EMITIDA',IF(VLOOKUP(B40,MAPA_DATA!D:G,3,0)=1,'FACT_EST_EFACT',(IF(VLOOKUP(B40,MAPA_DATA!D:G,4,0)=1,'FACT_EST_CEN','SIN_DATA')))!F:F)</v>
      </c>
      <c r="E40" s="12" t="str">
        <f t="shared" si="9"/>
        <v>(F40/D40)</v>
      </c>
      <c r="F40" s="11" t="str">
        <f t="shared" si="1"/>
        <v>SUMIF(IF(VLOOKUP(B9,MAPA_DATA!D:G,2,0)=1,'FACT_EMITIDA',IF(VLOOKUP(B40,MAPA_DATA!D:G,3,0)=1,'FACT_EST_EFACT',(IF(VLOOKUP(B40,MAPA_DATA!D:G,4,0)=1,'FACT_EST_CEN','SIN_DATA')))!B:B,Reliquidacion!B40,IF(VLOOKUP(B9,MAPA_DATA!D:G,2,0)=1,'FACT_EMITIDA',IF(VLOOKUP(B40,MAPA_DATA!D:G,3,0)=1,'FACT_EST_EFACT',(IF(VLOOKUP(B40,MAPA_DATA!D:G,4,0)=1,'FACT_EST_CEN','SIN_DATA')))!H:H)</v>
      </c>
      <c r="G40" s="13" t="str">
        <f t="shared" si="2"/>
        <v>SUMIF(IF(VLOOKUP(B9,MAPA_DATA!D:G,2,0)=1,'FACT_EMITIDA',IF(VLOOKUP(B40,MAPA_DATA!D:G,3,0)=1,'FACT_EST_EFACT',(IF(VLOOKUP(B40,MAPA_DATA!D:G,4,0)=1,'FACT_EST_CEN','SIN_DATA')))!B:B,Reliquidacion!B40,IF(VLOOKUP(B9,MAPA_DATA!D:G,2,0)=1,'FACT_EMITIDA',IF(VLOOKUP(B40,MAPA_DATA!D:G,3,0)=1,'FACT_EST_EFACT',(IF(VLOOKUP(B40,MAPA_DATA!D:G,4,0)=1,'FACT_EST_CEN','SIN_DATA')))!F:F)</v>
      </c>
      <c r="H40" s="12" t="str">
        <f t="shared" si="10"/>
        <v>(I40/G40)</v>
      </c>
      <c r="I40" s="11" t="str">
        <f t="shared" si="3"/>
        <v>SUMIF(IF(VLOOKUP(B9,MAPA_DATA!D:G,2,0)=1,'FACT_EMITIDA',IF(VLOOKUP(B40,MAPA_DATA!D:G,3,0)=1,'FACT_EST_EFACT',(IF(VLOOKUP(B40,MAPA_DATA!D:G,4,0)=1,'FACT_EST_CEN','SIN_DATA')))!B:B,Reliquidacion!B40,IF(VLOOKUP(B9,MAPA_DATA!D:G,2,0)=1,'FACT_EMITIDA',IF(VLOOKUP(B40,MAPA_DATA!D:G,3,0)=1,'FACT_EST_EFACT',(IF(VLOOKUP(B40,MAPA_DATA!D:G,4,0)=1,'FACT_EST_CEN','SIN_DATA')))!H:H)</v>
      </c>
      <c r="J40" s="11" t="str">
        <f t="shared" si="11"/>
        <v>(F40+I40)</v>
      </c>
      <c r="L40" s="60" t="str">
        <f>IF(VLOOKUP(B40,MAPA_DATA!D:I,5,0)=1,"EFACT_CNE",IF(VLOOKUP(B40,MAPA_DATA!D:I,6,0)=1,"EFACT_EST_CNE","SIN_DATA"))</f>
        <v>SIN_DATA</v>
      </c>
      <c r="M40" s="11" t="str">
        <f t="shared" si="4"/>
        <v>SUMIF(SIN_DATA!B:B;Reliquidacion!B40;SIN_DATA!S:S)</v>
      </c>
      <c r="N40" s="12" t="str">
        <f t="shared" si="12"/>
        <v>(O40/M40)</v>
      </c>
      <c r="O40" s="11" t="str">
        <f t="shared" si="5"/>
        <v>SUMIF(SIN_DATA!B:B;Reliquidacion!B40;SIN_DATA!W:W)</v>
      </c>
      <c r="P40" s="13" t="str">
        <f t="shared" si="6"/>
        <v>SUMIF(SIN_DATA!B:B;Reliquidacion!B40;SIN_DATA!X:X)</v>
      </c>
      <c r="Q40" s="12" t="str">
        <f t="shared" si="13"/>
        <v>(R40/P40)</v>
      </c>
      <c r="R40" s="11" t="str">
        <f t="shared" si="7"/>
        <v>SUMIF(SIN_DATA!B:B;Reliquidacion!B40;SIN_DATA!AB:AB)</v>
      </c>
      <c r="S40" s="11" t="str">
        <f t="shared" si="14"/>
        <v>(O40+R40)</v>
      </c>
      <c r="U40" s="79">
        <v>43313</v>
      </c>
      <c r="V40" s="31" t="str">
        <f t="shared" si="15"/>
        <v>=(S40-J40)</v>
      </c>
      <c r="W40" s="65" t="s">
        <v>444</v>
      </c>
      <c r="X40" s="33">
        <f>VLOOKUP(W40,[1]INTERESES!A:B,2,0)</f>
        <v>0</v>
      </c>
      <c r="Y40" s="34" t="e">
        <f>VLOOKUP(W40,#REF!,6,0)</f>
        <v>#REF!</v>
      </c>
      <c r="Z40" s="35">
        <v>43368</v>
      </c>
      <c r="AA40" s="35">
        <f t="shared" si="25"/>
        <v>44377</v>
      </c>
      <c r="AB40" s="37">
        <f t="shared" si="21"/>
        <v>1009</v>
      </c>
      <c r="AC40" s="38" t="e">
        <f t="shared" si="22"/>
        <v>#REF!</v>
      </c>
      <c r="AD40" s="31" t="e">
        <f t="shared" si="23"/>
        <v>#REF!</v>
      </c>
      <c r="AE40" s="31" t="e">
        <f t="shared" si="24"/>
        <v>#VALUE!</v>
      </c>
    </row>
    <row r="41" spans="1:31" x14ac:dyDescent="0.25">
      <c r="A41" s="64">
        <f t="shared" si="20"/>
        <v>41</v>
      </c>
      <c r="B41" s="59">
        <v>43344</v>
      </c>
      <c r="C41" s="81" t="str">
        <f t="shared" si="8"/>
        <v>IF(VLOOKUP(B9,MAPA_DATA!D:G,2,0)=1,'FACT_EMITIDA',IF(VLOOKUP(B41,MAPA_DATA!D:G,3,0)=1,'FACT_EST_EFACT',(IF(VLOOKUP(B41,MAPA_DATA!D:G,4,0)=1,'FACT_EST_CEN','SIN_DATA')))</v>
      </c>
      <c r="D41" s="11" t="str">
        <f t="shared" ref="D41:D65" si="26">CONCATENATE("SUMIF(",IF(C41="FACT_EMITIDA","SIGGE_E",C41),"!B:B,Reliquidacion!B",A41,",",IF(C41="FACT_EMITIDA","SIGGE_E",C41),"!F:F)")</f>
        <v>SUMIF(IF(VLOOKUP(B9,MAPA_DATA!D:G,2,0)=1,'FACT_EMITIDA',IF(VLOOKUP(B41,MAPA_DATA!D:G,3,0)=1,'FACT_EST_EFACT',(IF(VLOOKUP(B41,MAPA_DATA!D:G,4,0)=1,'FACT_EST_CEN','SIN_DATA')))!B:B,Reliquidacion!B41,IF(VLOOKUP(B9,MAPA_DATA!D:G,2,0)=1,'FACT_EMITIDA',IF(VLOOKUP(B41,MAPA_DATA!D:G,3,0)=1,'FACT_EST_EFACT',(IF(VLOOKUP(B41,MAPA_DATA!D:G,4,0)=1,'FACT_EST_CEN','SIN_DATA')))!F:F)</v>
      </c>
      <c r="E41" s="12" t="str">
        <f t="shared" si="9"/>
        <v>(F41/D41)</v>
      </c>
      <c r="F41" s="11" t="str">
        <f t="shared" ref="F41:F65" si="27">CONCATENATE("SUMIF(",IF(C41="FACT_EMITIDA","SIGGE_E",C41),"!B:B,Reliquidacion!B",A41,",",IF(C41="FACT_EMITIDA","SIGGE_E",C41),"!H:H)")</f>
        <v>SUMIF(IF(VLOOKUP(B9,MAPA_DATA!D:G,2,0)=1,'FACT_EMITIDA',IF(VLOOKUP(B41,MAPA_DATA!D:G,3,0)=1,'FACT_EST_EFACT',(IF(VLOOKUP(B41,MAPA_DATA!D:G,4,0)=1,'FACT_EST_CEN','SIN_DATA')))!B:B,Reliquidacion!B41,IF(VLOOKUP(B9,MAPA_DATA!D:G,2,0)=1,'FACT_EMITIDA',IF(VLOOKUP(B41,MAPA_DATA!D:G,3,0)=1,'FACT_EST_EFACT',(IF(VLOOKUP(B41,MAPA_DATA!D:G,4,0)=1,'FACT_EST_CEN','SIN_DATA')))!H:H)</v>
      </c>
      <c r="G41" s="13" t="str">
        <f t="shared" ref="G41:G65" si="28">CONCATENATE("SUMIF(",IF(C41="FACT_EMITIDA","SIGGE_P",C41),"!B:B,Reliquidacion!B",A41,",",IF(C41="FACT_EMITIDA","SIGGE_P",C41),"!F:F)")</f>
        <v>SUMIF(IF(VLOOKUP(B9,MAPA_DATA!D:G,2,0)=1,'FACT_EMITIDA',IF(VLOOKUP(B41,MAPA_DATA!D:G,3,0)=1,'FACT_EST_EFACT',(IF(VLOOKUP(B41,MAPA_DATA!D:G,4,0)=1,'FACT_EST_CEN','SIN_DATA')))!B:B,Reliquidacion!B41,IF(VLOOKUP(B9,MAPA_DATA!D:G,2,0)=1,'FACT_EMITIDA',IF(VLOOKUP(B41,MAPA_DATA!D:G,3,0)=1,'FACT_EST_EFACT',(IF(VLOOKUP(B41,MAPA_DATA!D:G,4,0)=1,'FACT_EST_CEN','SIN_DATA')))!F:F)</v>
      </c>
      <c r="H41" s="12" t="str">
        <f t="shared" si="10"/>
        <v>(I41/G41)</v>
      </c>
      <c r="I41" s="11" t="str">
        <f t="shared" ref="I41:I65" si="29">CONCATENATE("SUMIF(",IF(C41="FACT_EMITIDA","SIGGE_P",C41),"!B:B,Reliquidacion!B",A41,",",IF(C41="FACT_EMITIDA","SIGGE_P",C41),"!H:H)")</f>
        <v>SUMIF(IF(VLOOKUP(B9,MAPA_DATA!D:G,2,0)=1,'FACT_EMITIDA',IF(VLOOKUP(B41,MAPA_DATA!D:G,3,0)=1,'FACT_EST_EFACT',(IF(VLOOKUP(B41,MAPA_DATA!D:G,4,0)=1,'FACT_EST_CEN','SIN_DATA')))!B:B,Reliquidacion!B41,IF(VLOOKUP(B9,MAPA_DATA!D:G,2,0)=1,'FACT_EMITIDA',IF(VLOOKUP(B41,MAPA_DATA!D:G,3,0)=1,'FACT_EST_EFACT',(IF(VLOOKUP(B41,MAPA_DATA!D:G,4,0)=1,'FACT_EST_CEN','SIN_DATA')))!H:H)</v>
      </c>
      <c r="J41" s="11" t="str">
        <f t="shared" si="11"/>
        <v>(F41+I41)</v>
      </c>
      <c r="L41" s="60" t="str">
        <f>IF(VLOOKUP(B41,MAPA_DATA!D:I,5,0)=1,"EFACT_CNE",IF(VLOOKUP(B41,MAPA_DATA!D:I,6,0)=1,"EFACT_EST_CNE","SIN_DATA"))</f>
        <v>SIN_DATA</v>
      </c>
      <c r="M41" s="11" t="str">
        <f t="shared" ref="M41:M65" si="30">CONCATENATE("SUMIF(",L41,"!B:B;Reliquidacion!B",A41,";",L41,"!S:S)")</f>
        <v>SUMIF(SIN_DATA!B:B;Reliquidacion!B41;SIN_DATA!S:S)</v>
      </c>
      <c r="N41" s="12" t="str">
        <f t="shared" si="12"/>
        <v>(O41/M41)</v>
      </c>
      <c r="O41" s="11" t="str">
        <f t="shared" ref="O41:O65" si="31">CONCATENATE("SUMIF(",L41,"!B:B;Reliquidacion!B",A41,";",L41,"!W:W)")</f>
        <v>SUMIF(SIN_DATA!B:B;Reliquidacion!B41;SIN_DATA!W:W)</v>
      </c>
      <c r="P41" s="13" t="str">
        <f t="shared" ref="P41:P65" si="32">CONCATENATE("SUMIF(",L41,"!B:B;Reliquidacion!B",A41,";",L41,"!X:X)")</f>
        <v>SUMIF(SIN_DATA!B:B;Reliquidacion!B41;SIN_DATA!X:X)</v>
      </c>
      <c r="Q41" s="12" t="str">
        <f t="shared" si="13"/>
        <v>(R41/P41)</v>
      </c>
      <c r="R41" s="11" t="str">
        <f t="shared" ref="R41:R65" si="33">CONCATENATE("SUMIF(",L41,"!B:B;Reliquidacion!B",A41,";",L41,"!AB:AB)")</f>
        <v>SUMIF(SIN_DATA!B:B;Reliquidacion!B41;SIN_DATA!AB:AB)</v>
      </c>
      <c r="S41" s="11" t="str">
        <f t="shared" si="14"/>
        <v>(O41+R41)</v>
      </c>
      <c r="U41" s="79">
        <v>43344</v>
      </c>
      <c r="V41" s="31" t="str">
        <f t="shared" si="15"/>
        <v>=(S41-J41)</v>
      </c>
      <c r="W41" s="65" t="s">
        <v>445</v>
      </c>
      <c r="X41" s="33">
        <f>VLOOKUP(W41,[1]INTERESES!A:B,2,0)</f>
        <v>0</v>
      </c>
      <c r="Y41" s="34" t="e">
        <f>VLOOKUP(W41,#REF!,6,0)</f>
        <v>#REF!</v>
      </c>
      <c r="Z41" s="35">
        <v>43398</v>
      </c>
      <c r="AA41" s="35">
        <f t="shared" si="25"/>
        <v>44377</v>
      </c>
      <c r="AB41" s="37">
        <f t="shared" si="21"/>
        <v>979</v>
      </c>
      <c r="AC41" s="38" t="e">
        <f t="shared" si="22"/>
        <v>#REF!</v>
      </c>
      <c r="AD41" s="31" t="e">
        <f t="shared" si="23"/>
        <v>#REF!</v>
      </c>
      <c r="AE41" s="31" t="e">
        <f t="shared" si="24"/>
        <v>#VALUE!</v>
      </c>
    </row>
    <row r="42" spans="1:31" x14ac:dyDescent="0.25">
      <c r="A42" s="64">
        <f t="shared" si="20"/>
        <v>42</v>
      </c>
      <c r="B42" s="59">
        <v>43374</v>
      </c>
      <c r="C42" s="81" t="str">
        <f t="shared" si="8"/>
        <v>IF(VLOOKUP(B9,MAPA_DATA!D:G,2,0)=1,'FACT_EMITIDA',IF(VLOOKUP(B42,MAPA_DATA!D:G,3,0)=1,'FACT_EST_EFACT',(IF(VLOOKUP(B42,MAPA_DATA!D:G,4,0)=1,'FACT_EST_CEN','SIN_DATA')))</v>
      </c>
      <c r="D42" s="11" t="str">
        <f t="shared" si="26"/>
        <v>SUMIF(IF(VLOOKUP(B9,MAPA_DATA!D:G,2,0)=1,'FACT_EMITIDA',IF(VLOOKUP(B42,MAPA_DATA!D:G,3,0)=1,'FACT_EST_EFACT',(IF(VLOOKUP(B42,MAPA_DATA!D:G,4,0)=1,'FACT_EST_CEN','SIN_DATA')))!B:B,Reliquidacion!B42,IF(VLOOKUP(B9,MAPA_DATA!D:G,2,0)=1,'FACT_EMITIDA',IF(VLOOKUP(B42,MAPA_DATA!D:G,3,0)=1,'FACT_EST_EFACT',(IF(VLOOKUP(B42,MAPA_DATA!D:G,4,0)=1,'FACT_EST_CEN','SIN_DATA')))!F:F)</v>
      </c>
      <c r="E42" s="12" t="str">
        <f t="shared" si="9"/>
        <v>(F42/D42)</v>
      </c>
      <c r="F42" s="11" t="str">
        <f t="shared" si="27"/>
        <v>SUMIF(IF(VLOOKUP(B9,MAPA_DATA!D:G,2,0)=1,'FACT_EMITIDA',IF(VLOOKUP(B42,MAPA_DATA!D:G,3,0)=1,'FACT_EST_EFACT',(IF(VLOOKUP(B42,MAPA_DATA!D:G,4,0)=1,'FACT_EST_CEN','SIN_DATA')))!B:B,Reliquidacion!B42,IF(VLOOKUP(B9,MAPA_DATA!D:G,2,0)=1,'FACT_EMITIDA',IF(VLOOKUP(B42,MAPA_DATA!D:G,3,0)=1,'FACT_EST_EFACT',(IF(VLOOKUP(B42,MAPA_DATA!D:G,4,0)=1,'FACT_EST_CEN','SIN_DATA')))!H:H)</v>
      </c>
      <c r="G42" s="13" t="str">
        <f t="shared" si="28"/>
        <v>SUMIF(IF(VLOOKUP(B9,MAPA_DATA!D:G,2,0)=1,'FACT_EMITIDA',IF(VLOOKUP(B42,MAPA_DATA!D:G,3,0)=1,'FACT_EST_EFACT',(IF(VLOOKUP(B42,MAPA_DATA!D:G,4,0)=1,'FACT_EST_CEN','SIN_DATA')))!B:B,Reliquidacion!B42,IF(VLOOKUP(B9,MAPA_DATA!D:G,2,0)=1,'FACT_EMITIDA',IF(VLOOKUP(B42,MAPA_DATA!D:G,3,0)=1,'FACT_EST_EFACT',(IF(VLOOKUP(B42,MAPA_DATA!D:G,4,0)=1,'FACT_EST_CEN','SIN_DATA')))!F:F)</v>
      </c>
      <c r="H42" s="12" t="str">
        <f t="shared" si="10"/>
        <v>(I42/G42)</v>
      </c>
      <c r="I42" s="11" t="str">
        <f t="shared" si="29"/>
        <v>SUMIF(IF(VLOOKUP(B9,MAPA_DATA!D:G,2,0)=1,'FACT_EMITIDA',IF(VLOOKUP(B42,MAPA_DATA!D:G,3,0)=1,'FACT_EST_EFACT',(IF(VLOOKUP(B42,MAPA_DATA!D:G,4,0)=1,'FACT_EST_CEN','SIN_DATA')))!B:B,Reliquidacion!B42,IF(VLOOKUP(B9,MAPA_DATA!D:G,2,0)=1,'FACT_EMITIDA',IF(VLOOKUP(B42,MAPA_DATA!D:G,3,0)=1,'FACT_EST_EFACT',(IF(VLOOKUP(B42,MAPA_DATA!D:G,4,0)=1,'FACT_EST_CEN','SIN_DATA')))!H:H)</v>
      </c>
      <c r="J42" s="11" t="str">
        <f t="shared" si="11"/>
        <v>(F42+I42)</v>
      </c>
      <c r="L42" s="60" t="str">
        <f>IF(VLOOKUP(B42,MAPA_DATA!D:I,5,0)=1,"EFACT_CNE",IF(VLOOKUP(B42,MAPA_DATA!D:I,6,0)=1,"EFACT_EST_CNE","SIN_DATA"))</f>
        <v>SIN_DATA</v>
      </c>
      <c r="M42" s="11" t="str">
        <f t="shared" si="30"/>
        <v>SUMIF(SIN_DATA!B:B;Reliquidacion!B42;SIN_DATA!S:S)</v>
      </c>
      <c r="N42" s="12" t="str">
        <f t="shared" si="12"/>
        <v>(O42/M42)</v>
      </c>
      <c r="O42" s="11" t="str">
        <f t="shared" si="31"/>
        <v>SUMIF(SIN_DATA!B:B;Reliquidacion!B42;SIN_DATA!W:W)</v>
      </c>
      <c r="P42" s="13" t="str">
        <f t="shared" si="32"/>
        <v>SUMIF(SIN_DATA!B:B;Reliquidacion!B42;SIN_DATA!X:X)</v>
      </c>
      <c r="Q42" s="12" t="str">
        <f t="shared" si="13"/>
        <v>(R42/P42)</v>
      </c>
      <c r="R42" s="11" t="str">
        <f t="shared" si="33"/>
        <v>SUMIF(SIN_DATA!B:B;Reliquidacion!B42;SIN_DATA!AB:AB)</v>
      </c>
      <c r="S42" s="11" t="str">
        <f t="shared" si="14"/>
        <v>(O42+R42)</v>
      </c>
      <c r="U42" s="79">
        <v>43374</v>
      </c>
      <c r="V42" s="31" t="str">
        <f t="shared" si="15"/>
        <v>=(S42-J42)</v>
      </c>
      <c r="W42" s="65" t="s">
        <v>445</v>
      </c>
      <c r="X42" s="33">
        <f>VLOOKUP(W42,[1]INTERESES!A:B,2,0)</f>
        <v>0</v>
      </c>
      <c r="Y42" s="34" t="e">
        <f>VLOOKUP(W42,#REF!,6,0)</f>
        <v>#REF!</v>
      </c>
      <c r="Z42" s="35">
        <v>43429</v>
      </c>
      <c r="AA42" s="35">
        <f t="shared" si="25"/>
        <v>44377</v>
      </c>
      <c r="AB42" s="37">
        <f t="shared" si="21"/>
        <v>948</v>
      </c>
      <c r="AC42" s="38" t="e">
        <f t="shared" si="22"/>
        <v>#REF!</v>
      </c>
      <c r="AD42" s="31" t="e">
        <f t="shared" si="23"/>
        <v>#REF!</v>
      </c>
      <c r="AE42" s="31" t="e">
        <f t="shared" si="24"/>
        <v>#VALUE!</v>
      </c>
    </row>
    <row r="43" spans="1:31" x14ac:dyDescent="0.25">
      <c r="A43" s="64">
        <f t="shared" si="20"/>
        <v>43</v>
      </c>
      <c r="B43" s="59">
        <v>43405</v>
      </c>
      <c r="C43" s="81" t="str">
        <f t="shared" si="8"/>
        <v>IF(VLOOKUP(B9,MAPA_DATA!D:G,2,0)=1,'FACT_EMITIDA',IF(VLOOKUP(B43,MAPA_DATA!D:G,3,0)=1,'FACT_EST_EFACT',(IF(VLOOKUP(B43,MAPA_DATA!D:G,4,0)=1,'FACT_EST_CEN','SIN_DATA')))</v>
      </c>
      <c r="D43" s="11" t="str">
        <f t="shared" si="26"/>
        <v>SUMIF(IF(VLOOKUP(B9,MAPA_DATA!D:G,2,0)=1,'FACT_EMITIDA',IF(VLOOKUP(B43,MAPA_DATA!D:G,3,0)=1,'FACT_EST_EFACT',(IF(VLOOKUP(B43,MAPA_DATA!D:G,4,0)=1,'FACT_EST_CEN','SIN_DATA')))!B:B,Reliquidacion!B43,IF(VLOOKUP(B9,MAPA_DATA!D:G,2,0)=1,'FACT_EMITIDA',IF(VLOOKUP(B43,MAPA_DATA!D:G,3,0)=1,'FACT_EST_EFACT',(IF(VLOOKUP(B43,MAPA_DATA!D:G,4,0)=1,'FACT_EST_CEN','SIN_DATA')))!F:F)</v>
      </c>
      <c r="E43" s="12" t="str">
        <f t="shared" si="9"/>
        <v>(F43/D43)</v>
      </c>
      <c r="F43" s="11" t="str">
        <f t="shared" si="27"/>
        <v>SUMIF(IF(VLOOKUP(B9,MAPA_DATA!D:G,2,0)=1,'FACT_EMITIDA',IF(VLOOKUP(B43,MAPA_DATA!D:G,3,0)=1,'FACT_EST_EFACT',(IF(VLOOKUP(B43,MAPA_DATA!D:G,4,0)=1,'FACT_EST_CEN','SIN_DATA')))!B:B,Reliquidacion!B43,IF(VLOOKUP(B9,MAPA_DATA!D:G,2,0)=1,'FACT_EMITIDA',IF(VLOOKUP(B43,MAPA_DATA!D:G,3,0)=1,'FACT_EST_EFACT',(IF(VLOOKUP(B43,MAPA_DATA!D:G,4,0)=1,'FACT_EST_CEN','SIN_DATA')))!H:H)</v>
      </c>
      <c r="G43" s="13" t="str">
        <f t="shared" si="28"/>
        <v>SUMIF(IF(VLOOKUP(B9,MAPA_DATA!D:G,2,0)=1,'FACT_EMITIDA',IF(VLOOKUP(B43,MAPA_DATA!D:G,3,0)=1,'FACT_EST_EFACT',(IF(VLOOKUP(B43,MAPA_DATA!D:G,4,0)=1,'FACT_EST_CEN','SIN_DATA')))!B:B,Reliquidacion!B43,IF(VLOOKUP(B9,MAPA_DATA!D:G,2,0)=1,'FACT_EMITIDA',IF(VLOOKUP(B43,MAPA_DATA!D:G,3,0)=1,'FACT_EST_EFACT',(IF(VLOOKUP(B43,MAPA_DATA!D:G,4,0)=1,'FACT_EST_CEN','SIN_DATA')))!F:F)</v>
      </c>
      <c r="H43" s="12" t="str">
        <f t="shared" si="10"/>
        <v>(I43/G43)</v>
      </c>
      <c r="I43" s="11" t="str">
        <f t="shared" si="29"/>
        <v>SUMIF(IF(VLOOKUP(B9,MAPA_DATA!D:G,2,0)=1,'FACT_EMITIDA',IF(VLOOKUP(B43,MAPA_DATA!D:G,3,0)=1,'FACT_EST_EFACT',(IF(VLOOKUP(B43,MAPA_DATA!D:G,4,0)=1,'FACT_EST_CEN','SIN_DATA')))!B:B,Reliquidacion!B43,IF(VLOOKUP(B9,MAPA_DATA!D:G,2,0)=1,'FACT_EMITIDA',IF(VLOOKUP(B43,MAPA_DATA!D:G,3,0)=1,'FACT_EST_EFACT',(IF(VLOOKUP(B43,MAPA_DATA!D:G,4,0)=1,'FACT_EST_CEN','SIN_DATA')))!H:H)</v>
      </c>
      <c r="J43" s="11" t="str">
        <f t="shared" si="11"/>
        <v>(F43+I43)</v>
      </c>
      <c r="L43" s="60" t="str">
        <f>IF(VLOOKUP(B43,MAPA_DATA!D:I,5,0)=1,"EFACT_CNE",IF(VLOOKUP(B43,MAPA_DATA!D:I,6,0)=1,"EFACT_EST_CNE","SIN_DATA"))</f>
        <v>SIN_DATA</v>
      </c>
      <c r="M43" s="11" t="str">
        <f t="shared" si="30"/>
        <v>SUMIF(SIN_DATA!B:B;Reliquidacion!B43;SIN_DATA!S:S)</v>
      </c>
      <c r="N43" s="12" t="str">
        <f t="shared" si="12"/>
        <v>(O43/M43)</v>
      </c>
      <c r="O43" s="11" t="str">
        <f t="shared" si="31"/>
        <v>SUMIF(SIN_DATA!B:B;Reliquidacion!B43;SIN_DATA!W:W)</v>
      </c>
      <c r="P43" s="13" t="str">
        <f t="shared" si="32"/>
        <v>SUMIF(SIN_DATA!B:B;Reliquidacion!B43;SIN_DATA!X:X)</v>
      </c>
      <c r="Q43" s="12" t="str">
        <f t="shared" si="13"/>
        <v>(R43/P43)</v>
      </c>
      <c r="R43" s="11" t="str">
        <f t="shared" si="33"/>
        <v>SUMIF(SIN_DATA!B:B;Reliquidacion!B43;SIN_DATA!AB:AB)</v>
      </c>
      <c r="S43" s="11" t="str">
        <f t="shared" si="14"/>
        <v>(O43+R43)</v>
      </c>
      <c r="U43" s="79">
        <v>43405</v>
      </c>
      <c r="V43" s="31" t="str">
        <f t="shared" si="15"/>
        <v>=(S43-J43)</v>
      </c>
      <c r="W43" s="65" t="s">
        <v>445</v>
      </c>
      <c r="X43" s="33">
        <f>VLOOKUP(W43,[1]INTERESES!A:B,2,0)</f>
        <v>0</v>
      </c>
      <c r="Y43" s="34" t="e">
        <f>VLOOKUP(W43,#REF!,6,0)</f>
        <v>#REF!</v>
      </c>
      <c r="Z43" s="35">
        <v>43459</v>
      </c>
      <c r="AA43" s="35">
        <f t="shared" si="25"/>
        <v>44377</v>
      </c>
      <c r="AB43" s="37">
        <f t="shared" si="21"/>
        <v>918</v>
      </c>
      <c r="AC43" s="38" t="e">
        <f t="shared" si="22"/>
        <v>#REF!</v>
      </c>
      <c r="AD43" s="31" t="e">
        <f t="shared" si="23"/>
        <v>#REF!</v>
      </c>
      <c r="AE43" s="31" t="e">
        <f t="shared" si="24"/>
        <v>#VALUE!</v>
      </c>
    </row>
    <row r="44" spans="1:31" x14ac:dyDescent="0.25">
      <c r="A44" s="64">
        <f t="shared" si="20"/>
        <v>44</v>
      </c>
      <c r="B44" s="59">
        <v>43435</v>
      </c>
      <c r="C44" s="81" t="str">
        <f t="shared" si="8"/>
        <v>IF(VLOOKUP(B9,MAPA_DATA!D:G,2,0)=1,'FACT_EMITIDA',IF(VLOOKUP(B44,MAPA_DATA!D:G,3,0)=1,'FACT_EST_EFACT',(IF(VLOOKUP(B44,MAPA_DATA!D:G,4,0)=1,'FACT_EST_CEN','SIN_DATA')))</v>
      </c>
      <c r="D44" s="11" t="str">
        <f t="shared" si="26"/>
        <v>SUMIF(IF(VLOOKUP(B9,MAPA_DATA!D:G,2,0)=1,'FACT_EMITIDA',IF(VLOOKUP(B44,MAPA_DATA!D:G,3,0)=1,'FACT_EST_EFACT',(IF(VLOOKUP(B44,MAPA_DATA!D:G,4,0)=1,'FACT_EST_CEN','SIN_DATA')))!B:B,Reliquidacion!B44,IF(VLOOKUP(B9,MAPA_DATA!D:G,2,0)=1,'FACT_EMITIDA',IF(VLOOKUP(B44,MAPA_DATA!D:G,3,0)=1,'FACT_EST_EFACT',(IF(VLOOKUP(B44,MAPA_DATA!D:G,4,0)=1,'FACT_EST_CEN','SIN_DATA')))!F:F)</v>
      </c>
      <c r="E44" s="12" t="str">
        <f t="shared" si="9"/>
        <v>(F44/D44)</v>
      </c>
      <c r="F44" s="11" t="str">
        <f t="shared" si="27"/>
        <v>SUMIF(IF(VLOOKUP(B9,MAPA_DATA!D:G,2,0)=1,'FACT_EMITIDA',IF(VLOOKUP(B44,MAPA_DATA!D:G,3,0)=1,'FACT_EST_EFACT',(IF(VLOOKUP(B44,MAPA_DATA!D:G,4,0)=1,'FACT_EST_CEN','SIN_DATA')))!B:B,Reliquidacion!B44,IF(VLOOKUP(B9,MAPA_DATA!D:G,2,0)=1,'FACT_EMITIDA',IF(VLOOKUP(B44,MAPA_DATA!D:G,3,0)=1,'FACT_EST_EFACT',(IF(VLOOKUP(B44,MAPA_DATA!D:G,4,0)=1,'FACT_EST_CEN','SIN_DATA')))!H:H)</v>
      </c>
      <c r="G44" s="13" t="str">
        <f t="shared" si="28"/>
        <v>SUMIF(IF(VLOOKUP(B9,MAPA_DATA!D:G,2,0)=1,'FACT_EMITIDA',IF(VLOOKUP(B44,MAPA_DATA!D:G,3,0)=1,'FACT_EST_EFACT',(IF(VLOOKUP(B44,MAPA_DATA!D:G,4,0)=1,'FACT_EST_CEN','SIN_DATA')))!B:B,Reliquidacion!B44,IF(VLOOKUP(B9,MAPA_DATA!D:G,2,0)=1,'FACT_EMITIDA',IF(VLOOKUP(B44,MAPA_DATA!D:G,3,0)=1,'FACT_EST_EFACT',(IF(VLOOKUP(B44,MAPA_DATA!D:G,4,0)=1,'FACT_EST_CEN','SIN_DATA')))!F:F)</v>
      </c>
      <c r="H44" s="12" t="str">
        <f t="shared" si="10"/>
        <v>(I44/G44)</v>
      </c>
      <c r="I44" s="11" t="str">
        <f t="shared" si="29"/>
        <v>SUMIF(IF(VLOOKUP(B9,MAPA_DATA!D:G,2,0)=1,'FACT_EMITIDA',IF(VLOOKUP(B44,MAPA_DATA!D:G,3,0)=1,'FACT_EST_EFACT',(IF(VLOOKUP(B44,MAPA_DATA!D:G,4,0)=1,'FACT_EST_CEN','SIN_DATA')))!B:B,Reliquidacion!B44,IF(VLOOKUP(B9,MAPA_DATA!D:G,2,0)=1,'FACT_EMITIDA',IF(VLOOKUP(B44,MAPA_DATA!D:G,3,0)=1,'FACT_EST_EFACT',(IF(VLOOKUP(B44,MAPA_DATA!D:G,4,0)=1,'FACT_EST_CEN','SIN_DATA')))!H:H)</v>
      </c>
      <c r="J44" s="11" t="str">
        <f t="shared" si="11"/>
        <v>(F44+I44)</v>
      </c>
      <c r="L44" s="60" t="str">
        <f>IF(VLOOKUP(B44,MAPA_DATA!D:I,5,0)=1,"EFACT_CNE",IF(VLOOKUP(B44,MAPA_DATA!D:I,6,0)=1,"EFACT_EST_CNE","SIN_DATA"))</f>
        <v>SIN_DATA</v>
      </c>
      <c r="M44" s="11" t="str">
        <f t="shared" si="30"/>
        <v>SUMIF(SIN_DATA!B:B;Reliquidacion!B44;SIN_DATA!S:S)</v>
      </c>
      <c r="N44" s="12" t="str">
        <f t="shared" si="12"/>
        <v>(O44/M44)</v>
      </c>
      <c r="O44" s="11" t="str">
        <f t="shared" si="31"/>
        <v>SUMIF(SIN_DATA!B:B;Reliquidacion!B44;SIN_DATA!W:W)</v>
      </c>
      <c r="P44" s="13" t="str">
        <f t="shared" si="32"/>
        <v>SUMIF(SIN_DATA!B:B;Reliquidacion!B44;SIN_DATA!X:X)</v>
      </c>
      <c r="Q44" s="12" t="str">
        <f t="shared" si="13"/>
        <v>(R44/P44)</v>
      </c>
      <c r="R44" s="11" t="str">
        <f t="shared" si="33"/>
        <v>SUMIF(SIN_DATA!B:B;Reliquidacion!B44;SIN_DATA!AB:AB)</v>
      </c>
      <c r="S44" s="11" t="str">
        <f t="shared" si="14"/>
        <v>(O44+R44)</v>
      </c>
      <c r="U44" s="79">
        <v>43435</v>
      </c>
      <c r="V44" s="31" t="str">
        <f t="shared" si="15"/>
        <v>=(S44-J44)</v>
      </c>
      <c r="W44" s="65" t="s">
        <v>445</v>
      </c>
      <c r="X44" s="33">
        <f>VLOOKUP(W44,[1]INTERESES!A:B,2,0)</f>
        <v>0</v>
      </c>
      <c r="Y44" s="34" t="e">
        <f>VLOOKUP(W44,#REF!,6,0)</f>
        <v>#REF!</v>
      </c>
      <c r="Z44" s="35">
        <v>43490</v>
      </c>
      <c r="AA44" s="35">
        <f t="shared" si="25"/>
        <v>44377</v>
      </c>
      <c r="AB44" s="37">
        <f t="shared" si="21"/>
        <v>887</v>
      </c>
      <c r="AC44" s="38" t="e">
        <f t="shared" si="22"/>
        <v>#REF!</v>
      </c>
      <c r="AD44" s="31" t="e">
        <f t="shared" si="23"/>
        <v>#REF!</v>
      </c>
      <c r="AE44" s="31" t="e">
        <f t="shared" si="24"/>
        <v>#VALUE!</v>
      </c>
    </row>
    <row r="45" spans="1:31" x14ac:dyDescent="0.25">
      <c r="A45" s="64">
        <f t="shared" si="20"/>
        <v>45</v>
      </c>
      <c r="B45" s="59">
        <v>43466</v>
      </c>
      <c r="C45" s="81" t="str">
        <f t="shared" si="8"/>
        <v>IF(VLOOKUP(B9,MAPA_DATA!D:G,2,0)=1,'FACT_EMITIDA',IF(VLOOKUP(B45,MAPA_DATA!D:G,3,0)=1,'FACT_EST_EFACT',(IF(VLOOKUP(B45,MAPA_DATA!D:G,4,0)=1,'FACT_EST_CEN','SIN_DATA')))</v>
      </c>
      <c r="D45" s="11" t="str">
        <f t="shared" si="26"/>
        <v>SUMIF(IF(VLOOKUP(B9,MAPA_DATA!D:G,2,0)=1,'FACT_EMITIDA',IF(VLOOKUP(B45,MAPA_DATA!D:G,3,0)=1,'FACT_EST_EFACT',(IF(VLOOKUP(B45,MAPA_DATA!D:G,4,0)=1,'FACT_EST_CEN','SIN_DATA')))!B:B,Reliquidacion!B45,IF(VLOOKUP(B9,MAPA_DATA!D:G,2,0)=1,'FACT_EMITIDA',IF(VLOOKUP(B45,MAPA_DATA!D:G,3,0)=1,'FACT_EST_EFACT',(IF(VLOOKUP(B45,MAPA_DATA!D:G,4,0)=1,'FACT_EST_CEN','SIN_DATA')))!F:F)</v>
      </c>
      <c r="E45" s="12" t="str">
        <f t="shared" si="9"/>
        <v>(F45/D45)</v>
      </c>
      <c r="F45" s="11" t="str">
        <f t="shared" si="27"/>
        <v>SUMIF(IF(VLOOKUP(B9,MAPA_DATA!D:G,2,0)=1,'FACT_EMITIDA',IF(VLOOKUP(B45,MAPA_DATA!D:G,3,0)=1,'FACT_EST_EFACT',(IF(VLOOKUP(B45,MAPA_DATA!D:G,4,0)=1,'FACT_EST_CEN','SIN_DATA')))!B:B,Reliquidacion!B45,IF(VLOOKUP(B9,MAPA_DATA!D:G,2,0)=1,'FACT_EMITIDA',IF(VLOOKUP(B45,MAPA_DATA!D:G,3,0)=1,'FACT_EST_EFACT',(IF(VLOOKUP(B45,MAPA_DATA!D:G,4,0)=1,'FACT_EST_CEN','SIN_DATA')))!H:H)</v>
      </c>
      <c r="G45" s="13" t="str">
        <f t="shared" si="28"/>
        <v>SUMIF(IF(VLOOKUP(B9,MAPA_DATA!D:G,2,0)=1,'FACT_EMITIDA',IF(VLOOKUP(B45,MAPA_DATA!D:G,3,0)=1,'FACT_EST_EFACT',(IF(VLOOKUP(B45,MAPA_DATA!D:G,4,0)=1,'FACT_EST_CEN','SIN_DATA')))!B:B,Reliquidacion!B45,IF(VLOOKUP(B9,MAPA_DATA!D:G,2,0)=1,'FACT_EMITIDA',IF(VLOOKUP(B45,MAPA_DATA!D:G,3,0)=1,'FACT_EST_EFACT',(IF(VLOOKUP(B45,MAPA_DATA!D:G,4,0)=1,'FACT_EST_CEN','SIN_DATA')))!F:F)</v>
      </c>
      <c r="H45" s="12" t="str">
        <f t="shared" si="10"/>
        <v>(I45/G45)</v>
      </c>
      <c r="I45" s="11" t="str">
        <f t="shared" si="29"/>
        <v>SUMIF(IF(VLOOKUP(B9,MAPA_DATA!D:G,2,0)=1,'FACT_EMITIDA',IF(VLOOKUP(B45,MAPA_DATA!D:G,3,0)=1,'FACT_EST_EFACT',(IF(VLOOKUP(B45,MAPA_DATA!D:G,4,0)=1,'FACT_EST_CEN','SIN_DATA')))!B:B,Reliquidacion!B45,IF(VLOOKUP(B9,MAPA_DATA!D:G,2,0)=1,'FACT_EMITIDA',IF(VLOOKUP(B45,MAPA_DATA!D:G,3,0)=1,'FACT_EST_EFACT',(IF(VLOOKUP(B45,MAPA_DATA!D:G,4,0)=1,'FACT_EST_CEN','SIN_DATA')))!H:H)</v>
      </c>
      <c r="J45" s="11" t="str">
        <f t="shared" si="11"/>
        <v>(F45+I45)</v>
      </c>
      <c r="L45" s="60" t="str">
        <f>IF(VLOOKUP(B45,MAPA_DATA!D:I,5,0)=1,"EFACT_CNE",IF(VLOOKUP(B45,MAPA_DATA!D:I,6,0)=1,"EFACT_EST_CNE","SIN_DATA"))</f>
        <v>SIN_DATA</v>
      </c>
      <c r="M45" s="11" t="str">
        <f t="shared" si="30"/>
        <v>SUMIF(SIN_DATA!B:B;Reliquidacion!B45;SIN_DATA!S:S)</v>
      </c>
      <c r="N45" s="12" t="str">
        <f t="shared" si="12"/>
        <v>(O45/M45)</v>
      </c>
      <c r="O45" s="11" t="str">
        <f t="shared" si="31"/>
        <v>SUMIF(SIN_DATA!B:B;Reliquidacion!B45;SIN_DATA!W:W)</v>
      </c>
      <c r="P45" s="13" t="str">
        <f t="shared" si="32"/>
        <v>SUMIF(SIN_DATA!B:B;Reliquidacion!B45;SIN_DATA!X:X)</v>
      </c>
      <c r="Q45" s="12" t="str">
        <f t="shared" si="13"/>
        <v>(R45/P45)</v>
      </c>
      <c r="R45" s="11" t="str">
        <f t="shared" si="33"/>
        <v>SUMIF(SIN_DATA!B:B;Reliquidacion!B45;SIN_DATA!AB:AB)</v>
      </c>
      <c r="S45" s="11" t="str">
        <f t="shared" si="14"/>
        <v>(O45+R45)</v>
      </c>
      <c r="U45" s="79">
        <v>43466</v>
      </c>
      <c r="V45" s="31" t="str">
        <f t="shared" si="15"/>
        <v>=(S45-J45)</v>
      </c>
      <c r="W45" s="65" t="s">
        <v>445</v>
      </c>
      <c r="X45" s="33">
        <f>VLOOKUP(W45,[1]INTERESES!A:B,2,0)</f>
        <v>0</v>
      </c>
      <c r="Y45" s="34" t="e">
        <f>VLOOKUP(W45,#REF!,6,0)</f>
        <v>#REF!</v>
      </c>
      <c r="Z45" s="35">
        <v>43521</v>
      </c>
      <c r="AA45" s="35">
        <f t="shared" si="25"/>
        <v>44377</v>
      </c>
      <c r="AB45" s="37">
        <f t="shared" si="21"/>
        <v>856</v>
      </c>
      <c r="AC45" s="38" t="e">
        <f t="shared" si="22"/>
        <v>#REF!</v>
      </c>
      <c r="AD45" s="31" t="e">
        <f t="shared" si="23"/>
        <v>#REF!</v>
      </c>
      <c r="AE45" s="31" t="e">
        <f t="shared" si="24"/>
        <v>#VALUE!</v>
      </c>
    </row>
    <row r="46" spans="1:31" x14ac:dyDescent="0.25">
      <c r="A46" s="64">
        <f t="shared" si="20"/>
        <v>46</v>
      </c>
      <c r="B46" s="59">
        <v>43497</v>
      </c>
      <c r="C46" s="81" t="str">
        <f t="shared" si="8"/>
        <v>IF(VLOOKUP(B9,MAPA_DATA!D:G,2,0)=1,'FACT_EMITIDA',IF(VLOOKUP(B46,MAPA_DATA!D:G,3,0)=1,'FACT_EST_EFACT',(IF(VLOOKUP(B46,MAPA_DATA!D:G,4,0)=1,'FACT_EST_CEN','SIN_DATA')))</v>
      </c>
      <c r="D46" s="11" t="str">
        <f t="shared" si="26"/>
        <v>SUMIF(IF(VLOOKUP(B9,MAPA_DATA!D:G,2,0)=1,'FACT_EMITIDA',IF(VLOOKUP(B46,MAPA_DATA!D:G,3,0)=1,'FACT_EST_EFACT',(IF(VLOOKUP(B46,MAPA_DATA!D:G,4,0)=1,'FACT_EST_CEN','SIN_DATA')))!B:B,Reliquidacion!B46,IF(VLOOKUP(B9,MAPA_DATA!D:G,2,0)=1,'FACT_EMITIDA',IF(VLOOKUP(B46,MAPA_DATA!D:G,3,0)=1,'FACT_EST_EFACT',(IF(VLOOKUP(B46,MAPA_DATA!D:G,4,0)=1,'FACT_EST_CEN','SIN_DATA')))!F:F)</v>
      </c>
      <c r="E46" s="12" t="str">
        <f t="shared" si="9"/>
        <v>(F46/D46)</v>
      </c>
      <c r="F46" s="11" t="str">
        <f t="shared" si="27"/>
        <v>SUMIF(IF(VLOOKUP(B9,MAPA_DATA!D:G,2,0)=1,'FACT_EMITIDA',IF(VLOOKUP(B46,MAPA_DATA!D:G,3,0)=1,'FACT_EST_EFACT',(IF(VLOOKUP(B46,MAPA_DATA!D:G,4,0)=1,'FACT_EST_CEN','SIN_DATA')))!B:B,Reliquidacion!B46,IF(VLOOKUP(B9,MAPA_DATA!D:G,2,0)=1,'FACT_EMITIDA',IF(VLOOKUP(B46,MAPA_DATA!D:G,3,0)=1,'FACT_EST_EFACT',(IF(VLOOKUP(B46,MAPA_DATA!D:G,4,0)=1,'FACT_EST_CEN','SIN_DATA')))!H:H)</v>
      </c>
      <c r="G46" s="13" t="str">
        <f t="shared" si="28"/>
        <v>SUMIF(IF(VLOOKUP(B9,MAPA_DATA!D:G,2,0)=1,'FACT_EMITIDA',IF(VLOOKUP(B46,MAPA_DATA!D:G,3,0)=1,'FACT_EST_EFACT',(IF(VLOOKUP(B46,MAPA_DATA!D:G,4,0)=1,'FACT_EST_CEN','SIN_DATA')))!B:B,Reliquidacion!B46,IF(VLOOKUP(B9,MAPA_DATA!D:G,2,0)=1,'FACT_EMITIDA',IF(VLOOKUP(B46,MAPA_DATA!D:G,3,0)=1,'FACT_EST_EFACT',(IF(VLOOKUP(B46,MAPA_DATA!D:G,4,0)=1,'FACT_EST_CEN','SIN_DATA')))!F:F)</v>
      </c>
      <c r="H46" s="12" t="str">
        <f t="shared" si="10"/>
        <v>(I46/G46)</v>
      </c>
      <c r="I46" s="11" t="str">
        <f t="shared" si="29"/>
        <v>SUMIF(IF(VLOOKUP(B9,MAPA_DATA!D:G,2,0)=1,'FACT_EMITIDA',IF(VLOOKUP(B46,MAPA_DATA!D:G,3,0)=1,'FACT_EST_EFACT',(IF(VLOOKUP(B46,MAPA_DATA!D:G,4,0)=1,'FACT_EST_CEN','SIN_DATA')))!B:B,Reliquidacion!B46,IF(VLOOKUP(B9,MAPA_DATA!D:G,2,0)=1,'FACT_EMITIDA',IF(VLOOKUP(B46,MAPA_DATA!D:G,3,0)=1,'FACT_EST_EFACT',(IF(VLOOKUP(B46,MAPA_DATA!D:G,4,0)=1,'FACT_EST_CEN','SIN_DATA')))!H:H)</v>
      </c>
      <c r="J46" s="11" t="str">
        <f t="shared" si="11"/>
        <v>(F46+I46)</v>
      </c>
      <c r="L46" s="60" t="str">
        <f>IF(VLOOKUP(B46,MAPA_DATA!D:I,5,0)=1,"EFACT_CNE",IF(VLOOKUP(B46,MAPA_DATA!D:I,6,0)=1,"EFACT_EST_CNE","SIN_DATA"))</f>
        <v>SIN_DATA</v>
      </c>
      <c r="M46" s="11" t="str">
        <f t="shared" si="30"/>
        <v>SUMIF(SIN_DATA!B:B;Reliquidacion!B46;SIN_DATA!S:S)</v>
      </c>
      <c r="N46" s="12" t="str">
        <f t="shared" si="12"/>
        <v>(O46/M46)</v>
      </c>
      <c r="O46" s="11" t="str">
        <f t="shared" si="31"/>
        <v>SUMIF(SIN_DATA!B:B;Reliquidacion!B46;SIN_DATA!W:W)</v>
      </c>
      <c r="P46" s="13" t="str">
        <f t="shared" si="32"/>
        <v>SUMIF(SIN_DATA!B:B;Reliquidacion!B46;SIN_DATA!X:X)</v>
      </c>
      <c r="Q46" s="12" t="str">
        <f t="shared" si="13"/>
        <v>(R46/P46)</v>
      </c>
      <c r="R46" s="11" t="str">
        <f t="shared" si="33"/>
        <v>SUMIF(SIN_DATA!B:B;Reliquidacion!B46;SIN_DATA!AB:AB)</v>
      </c>
      <c r="S46" s="11" t="str">
        <f t="shared" si="14"/>
        <v>(O46+R46)</v>
      </c>
      <c r="U46" s="79">
        <v>43497</v>
      </c>
      <c r="V46" s="31" t="str">
        <f t="shared" si="15"/>
        <v>=(S46-J46)</v>
      </c>
      <c r="W46" s="65" t="s">
        <v>445</v>
      </c>
      <c r="X46" s="33">
        <f>VLOOKUP(W46,[1]INTERESES!A:B,2,0)</f>
        <v>0</v>
      </c>
      <c r="Y46" s="34" t="e">
        <f>VLOOKUP(W46,#REF!,6,0)</f>
        <v>#REF!</v>
      </c>
      <c r="Z46" s="35">
        <v>43549</v>
      </c>
      <c r="AA46" s="35">
        <f t="shared" si="25"/>
        <v>44377</v>
      </c>
      <c r="AB46" s="37">
        <f t="shared" si="21"/>
        <v>828</v>
      </c>
      <c r="AC46" s="38" t="e">
        <f t="shared" si="22"/>
        <v>#REF!</v>
      </c>
      <c r="AD46" s="31" t="e">
        <f t="shared" si="23"/>
        <v>#REF!</v>
      </c>
      <c r="AE46" s="31" t="e">
        <f t="shared" si="24"/>
        <v>#VALUE!</v>
      </c>
    </row>
    <row r="47" spans="1:31" x14ac:dyDescent="0.25">
      <c r="A47" s="64">
        <f t="shared" si="20"/>
        <v>47</v>
      </c>
      <c r="B47" s="59">
        <v>43525</v>
      </c>
      <c r="C47" s="81" t="str">
        <f t="shared" si="8"/>
        <v>IF(VLOOKUP(B9,MAPA_DATA!D:G,2,0)=1,'FACT_EMITIDA',IF(VLOOKUP(B47,MAPA_DATA!D:G,3,0)=1,'FACT_EST_EFACT',(IF(VLOOKUP(B47,MAPA_DATA!D:G,4,0)=1,'FACT_EST_CEN','SIN_DATA')))</v>
      </c>
      <c r="D47" s="11" t="str">
        <f t="shared" si="26"/>
        <v>SUMIF(IF(VLOOKUP(B9,MAPA_DATA!D:G,2,0)=1,'FACT_EMITIDA',IF(VLOOKUP(B47,MAPA_DATA!D:G,3,0)=1,'FACT_EST_EFACT',(IF(VLOOKUP(B47,MAPA_DATA!D:G,4,0)=1,'FACT_EST_CEN','SIN_DATA')))!B:B,Reliquidacion!B47,IF(VLOOKUP(B9,MAPA_DATA!D:G,2,0)=1,'FACT_EMITIDA',IF(VLOOKUP(B47,MAPA_DATA!D:G,3,0)=1,'FACT_EST_EFACT',(IF(VLOOKUP(B47,MAPA_DATA!D:G,4,0)=1,'FACT_EST_CEN','SIN_DATA')))!F:F)</v>
      </c>
      <c r="E47" s="12" t="str">
        <f t="shared" si="9"/>
        <v>(F47/D47)</v>
      </c>
      <c r="F47" s="11" t="str">
        <f t="shared" si="27"/>
        <v>SUMIF(IF(VLOOKUP(B9,MAPA_DATA!D:G,2,0)=1,'FACT_EMITIDA',IF(VLOOKUP(B47,MAPA_DATA!D:G,3,0)=1,'FACT_EST_EFACT',(IF(VLOOKUP(B47,MAPA_DATA!D:G,4,0)=1,'FACT_EST_CEN','SIN_DATA')))!B:B,Reliquidacion!B47,IF(VLOOKUP(B9,MAPA_DATA!D:G,2,0)=1,'FACT_EMITIDA',IF(VLOOKUP(B47,MAPA_DATA!D:G,3,0)=1,'FACT_EST_EFACT',(IF(VLOOKUP(B47,MAPA_DATA!D:G,4,0)=1,'FACT_EST_CEN','SIN_DATA')))!H:H)</v>
      </c>
      <c r="G47" s="13" t="str">
        <f t="shared" si="28"/>
        <v>SUMIF(IF(VLOOKUP(B9,MAPA_DATA!D:G,2,0)=1,'FACT_EMITIDA',IF(VLOOKUP(B47,MAPA_DATA!D:G,3,0)=1,'FACT_EST_EFACT',(IF(VLOOKUP(B47,MAPA_DATA!D:G,4,0)=1,'FACT_EST_CEN','SIN_DATA')))!B:B,Reliquidacion!B47,IF(VLOOKUP(B9,MAPA_DATA!D:G,2,0)=1,'FACT_EMITIDA',IF(VLOOKUP(B47,MAPA_DATA!D:G,3,0)=1,'FACT_EST_EFACT',(IF(VLOOKUP(B47,MAPA_DATA!D:G,4,0)=1,'FACT_EST_CEN','SIN_DATA')))!F:F)</v>
      </c>
      <c r="H47" s="12" t="str">
        <f t="shared" si="10"/>
        <v>(I47/G47)</v>
      </c>
      <c r="I47" s="11" t="str">
        <f t="shared" si="29"/>
        <v>SUMIF(IF(VLOOKUP(B9,MAPA_DATA!D:G,2,0)=1,'FACT_EMITIDA',IF(VLOOKUP(B47,MAPA_DATA!D:G,3,0)=1,'FACT_EST_EFACT',(IF(VLOOKUP(B47,MAPA_DATA!D:G,4,0)=1,'FACT_EST_CEN','SIN_DATA')))!B:B,Reliquidacion!B47,IF(VLOOKUP(B9,MAPA_DATA!D:G,2,0)=1,'FACT_EMITIDA',IF(VLOOKUP(B47,MAPA_DATA!D:G,3,0)=1,'FACT_EST_EFACT',(IF(VLOOKUP(B47,MAPA_DATA!D:G,4,0)=1,'FACT_EST_CEN','SIN_DATA')))!H:H)</v>
      </c>
      <c r="J47" s="11" t="str">
        <f t="shared" si="11"/>
        <v>(F47+I47)</v>
      </c>
      <c r="L47" s="60" t="str">
        <f>IF(VLOOKUP(B47,MAPA_DATA!D:I,5,0)=1,"EFACT_CNE",IF(VLOOKUP(B47,MAPA_DATA!D:I,6,0)=1,"EFACT_EST_CNE","SIN_DATA"))</f>
        <v>SIN_DATA</v>
      </c>
      <c r="M47" s="11" t="str">
        <f t="shared" si="30"/>
        <v>SUMIF(SIN_DATA!B:B;Reliquidacion!B47;SIN_DATA!S:S)</v>
      </c>
      <c r="N47" s="12" t="str">
        <f t="shared" si="12"/>
        <v>(O47/M47)</v>
      </c>
      <c r="O47" s="11" t="str">
        <f t="shared" si="31"/>
        <v>SUMIF(SIN_DATA!B:B;Reliquidacion!B47;SIN_DATA!W:W)</v>
      </c>
      <c r="P47" s="13" t="str">
        <f t="shared" si="32"/>
        <v>SUMIF(SIN_DATA!B:B;Reliquidacion!B47;SIN_DATA!X:X)</v>
      </c>
      <c r="Q47" s="12" t="str">
        <f t="shared" si="13"/>
        <v>(R47/P47)</v>
      </c>
      <c r="R47" s="11" t="str">
        <f t="shared" si="33"/>
        <v>SUMIF(SIN_DATA!B:B;Reliquidacion!B47;SIN_DATA!AB:AB)</v>
      </c>
      <c r="S47" s="11" t="str">
        <f t="shared" si="14"/>
        <v>(O47+R47)</v>
      </c>
      <c r="U47" s="79">
        <v>43525</v>
      </c>
      <c r="V47" s="31" t="str">
        <f t="shared" si="15"/>
        <v>=(S47-J47)</v>
      </c>
      <c r="W47" s="65" t="s">
        <v>445</v>
      </c>
      <c r="X47" s="33">
        <f>VLOOKUP(W47,[1]INTERESES!A:B,2,0)</f>
        <v>0</v>
      </c>
      <c r="Y47" s="34" t="e">
        <f>VLOOKUP(W47,#REF!,6,0)</f>
        <v>#REF!</v>
      </c>
      <c r="Z47" s="35">
        <v>43580</v>
      </c>
      <c r="AA47" s="35">
        <f t="shared" si="25"/>
        <v>44377</v>
      </c>
      <c r="AB47" s="37">
        <f t="shared" si="21"/>
        <v>797</v>
      </c>
      <c r="AC47" s="38" t="e">
        <f t="shared" si="22"/>
        <v>#REF!</v>
      </c>
      <c r="AD47" s="31" t="e">
        <f t="shared" si="23"/>
        <v>#REF!</v>
      </c>
      <c r="AE47" s="31" t="e">
        <f t="shared" si="24"/>
        <v>#VALUE!</v>
      </c>
    </row>
    <row r="48" spans="1:31" x14ac:dyDescent="0.25">
      <c r="A48" s="64">
        <f t="shared" si="20"/>
        <v>48</v>
      </c>
      <c r="B48" s="59">
        <v>43556</v>
      </c>
      <c r="C48" s="81" t="str">
        <f t="shared" si="8"/>
        <v>IF(VLOOKUP(B9,MAPA_DATA!D:G,2,0)=1,'FACT_EMITIDA',IF(VLOOKUP(B48,MAPA_DATA!D:G,3,0)=1,'FACT_EST_EFACT',(IF(VLOOKUP(B48,MAPA_DATA!D:G,4,0)=1,'FACT_EST_CEN','SIN_DATA')))</v>
      </c>
      <c r="D48" s="11" t="str">
        <f t="shared" si="26"/>
        <v>SUMIF(IF(VLOOKUP(B9,MAPA_DATA!D:G,2,0)=1,'FACT_EMITIDA',IF(VLOOKUP(B48,MAPA_DATA!D:G,3,0)=1,'FACT_EST_EFACT',(IF(VLOOKUP(B48,MAPA_DATA!D:G,4,0)=1,'FACT_EST_CEN','SIN_DATA')))!B:B,Reliquidacion!B48,IF(VLOOKUP(B9,MAPA_DATA!D:G,2,0)=1,'FACT_EMITIDA',IF(VLOOKUP(B48,MAPA_DATA!D:G,3,0)=1,'FACT_EST_EFACT',(IF(VLOOKUP(B48,MAPA_DATA!D:G,4,0)=1,'FACT_EST_CEN','SIN_DATA')))!F:F)</v>
      </c>
      <c r="E48" s="12" t="str">
        <f t="shared" si="9"/>
        <v>(F48/D48)</v>
      </c>
      <c r="F48" s="11" t="str">
        <f t="shared" si="27"/>
        <v>SUMIF(IF(VLOOKUP(B9,MAPA_DATA!D:G,2,0)=1,'FACT_EMITIDA',IF(VLOOKUP(B48,MAPA_DATA!D:G,3,0)=1,'FACT_EST_EFACT',(IF(VLOOKUP(B48,MAPA_DATA!D:G,4,0)=1,'FACT_EST_CEN','SIN_DATA')))!B:B,Reliquidacion!B48,IF(VLOOKUP(B9,MAPA_DATA!D:G,2,0)=1,'FACT_EMITIDA',IF(VLOOKUP(B48,MAPA_DATA!D:G,3,0)=1,'FACT_EST_EFACT',(IF(VLOOKUP(B48,MAPA_DATA!D:G,4,0)=1,'FACT_EST_CEN','SIN_DATA')))!H:H)</v>
      </c>
      <c r="G48" s="13" t="str">
        <f t="shared" si="28"/>
        <v>SUMIF(IF(VLOOKUP(B9,MAPA_DATA!D:G,2,0)=1,'FACT_EMITIDA',IF(VLOOKUP(B48,MAPA_DATA!D:G,3,0)=1,'FACT_EST_EFACT',(IF(VLOOKUP(B48,MAPA_DATA!D:G,4,0)=1,'FACT_EST_CEN','SIN_DATA')))!B:B,Reliquidacion!B48,IF(VLOOKUP(B9,MAPA_DATA!D:G,2,0)=1,'FACT_EMITIDA',IF(VLOOKUP(B48,MAPA_DATA!D:G,3,0)=1,'FACT_EST_EFACT',(IF(VLOOKUP(B48,MAPA_DATA!D:G,4,0)=1,'FACT_EST_CEN','SIN_DATA')))!F:F)</v>
      </c>
      <c r="H48" s="12" t="str">
        <f t="shared" si="10"/>
        <v>(I48/G48)</v>
      </c>
      <c r="I48" s="11" t="str">
        <f t="shared" si="29"/>
        <v>SUMIF(IF(VLOOKUP(B9,MAPA_DATA!D:G,2,0)=1,'FACT_EMITIDA',IF(VLOOKUP(B48,MAPA_DATA!D:G,3,0)=1,'FACT_EST_EFACT',(IF(VLOOKUP(B48,MAPA_DATA!D:G,4,0)=1,'FACT_EST_CEN','SIN_DATA')))!B:B,Reliquidacion!B48,IF(VLOOKUP(B9,MAPA_DATA!D:G,2,0)=1,'FACT_EMITIDA',IF(VLOOKUP(B48,MAPA_DATA!D:G,3,0)=1,'FACT_EST_EFACT',(IF(VLOOKUP(B48,MAPA_DATA!D:G,4,0)=1,'FACT_EST_CEN','SIN_DATA')))!H:H)</v>
      </c>
      <c r="J48" s="11" t="str">
        <f t="shared" si="11"/>
        <v>(F48+I48)</v>
      </c>
      <c r="L48" s="60" t="str">
        <f>IF(VLOOKUP(B48,MAPA_DATA!D:I,5,0)=1,"EFACT_CNE",IF(VLOOKUP(B48,MAPA_DATA!D:I,6,0)=1,"EFACT_EST_CNE","SIN_DATA"))</f>
        <v>SIN_DATA</v>
      </c>
      <c r="M48" s="11" t="str">
        <f t="shared" si="30"/>
        <v>SUMIF(SIN_DATA!B:B;Reliquidacion!B48;SIN_DATA!S:S)</v>
      </c>
      <c r="N48" s="12" t="str">
        <f t="shared" si="12"/>
        <v>(O48/M48)</v>
      </c>
      <c r="O48" s="11" t="str">
        <f t="shared" si="31"/>
        <v>SUMIF(SIN_DATA!B:B;Reliquidacion!B48;SIN_DATA!W:W)</v>
      </c>
      <c r="P48" s="13" t="str">
        <f t="shared" si="32"/>
        <v>SUMIF(SIN_DATA!B:B;Reliquidacion!B48;SIN_DATA!X:X)</v>
      </c>
      <c r="Q48" s="12" t="str">
        <f t="shared" si="13"/>
        <v>(R48/P48)</v>
      </c>
      <c r="R48" s="11" t="str">
        <f t="shared" si="33"/>
        <v>SUMIF(SIN_DATA!B:B;Reliquidacion!B48;SIN_DATA!AB:AB)</v>
      </c>
      <c r="S48" s="11" t="str">
        <f t="shared" si="14"/>
        <v>(O48+R48)</v>
      </c>
      <c r="U48" s="79">
        <v>43556</v>
      </c>
      <c r="V48" s="31" t="str">
        <f t="shared" si="15"/>
        <v>=(S48-J48)</v>
      </c>
      <c r="W48" s="65" t="s">
        <v>445</v>
      </c>
      <c r="X48" s="33">
        <f>VLOOKUP(W48,[1]INTERESES!A:B,2,0)</f>
        <v>0</v>
      </c>
      <c r="Y48" s="34" t="e">
        <f>VLOOKUP(W48,#REF!,6,0)</f>
        <v>#REF!</v>
      </c>
      <c r="Z48" s="35">
        <v>43610</v>
      </c>
      <c r="AA48" s="35">
        <f t="shared" si="25"/>
        <v>44377</v>
      </c>
      <c r="AB48" s="37">
        <f t="shared" si="21"/>
        <v>767</v>
      </c>
      <c r="AC48" s="38" t="e">
        <f t="shared" si="22"/>
        <v>#REF!</v>
      </c>
      <c r="AD48" s="31" t="e">
        <f t="shared" si="23"/>
        <v>#REF!</v>
      </c>
      <c r="AE48" s="31" t="e">
        <f t="shared" si="24"/>
        <v>#VALUE!</v>
      </c>
    </row>
    <row r="49" spans="1:31" x14ac:dyDescent="0.25">
      <c r="A49" s="64">
        <f t="shared" si="20"/>
        <v>49</v>
      </c>
      <c r="B49" s="59">
        <v>43586</v>
      </c>
      <c r="C49" s="81" t="str">
        <f t="shared" si="8"/>
        <v>IF(VLOOKUP(B9,MAPA_DATA!D:G,2,0)=1,'FACT_EMITIDA',IF(VLOOKUP(B49,MAPA_DATA!D:G,3,0)=1,'FACT_EST_EFACT',(IF(VLOOKUP(B49,MAPA_DATA!D:G,4,0)=1,'FACT_EST_CEN','SIN_DATA')))</v>
      </c>
      <c r="D49" s="11" t="str">
        <f t="shared" si="26"/>
        <v>SUMIF(IF(VLOOKUP(B9,MAPA_DATA!D:G,2,0)=1,'FACT_EMITIDA',IF(VLOOKUP(B49,MAPA_DATA!D:G,3,0)=1,'FACT_EST_EFACT',(IF(VLOOKUP(B49,MAPA_DATA!D:G,4,0)=1,'FACT_EST_CEN','SIN_DATA')))!B:B,Reliquidacion!B49,IF(VLOOKUP(B9,MAPA_DATA!D:G,2,0)=1,'FACT_EMITIDA',IF(VLOOKUP(B49,MAPA_DATA!D:G,3,0)=1,'FACT_EST_EFACT',(IF(VLOOKUP(B49,MAPA_DATA!D:G,4,0)=1,'FACT_EST_CEN','SIN_DATA')))!F:F)</v>
      </c>
      <c r="E49" s="12" t="str">
        <f t="shared" si="9"/>
        <v>(F49/D49)</v>
      </c>
      <c r="F49" s="11" t="str">
        <f t="shared" si="27"/>
        <v>SUMIF(IF(VLOOKUP(B9,MAPA_DATA!D:G,2,0)=1,'FACT_EMITIDA',IF(VLOOKUP(B49,MAPA_DATA!D:G,3,0)=1,'FACT_EST_EFACT',(IF(VLOOKUP(B49,MAPA_DATA!D:G,4,0)=1,'FACT_EST_CEN','SIN_DATA')))!B:B,Reliquidacion!B49,IF(VLOOKUP(B9,MAPA_DATA!D:G,2,0)=1,'FACT_EMITIDA',IF(VLOOKUP(B49,MAPA_DATA!D:G,3,0)=1,'FACT_EST_EFACT',(IF(VLOOKUP(B49,MAPA_DATA!D:G,4,0)=1,'FACT_EST_CEN','SIN_DATA')))!H:H)</v>
      </c>
      <c r="G49" s="13" t="str">
        <f t="shared" si="28"/>
        <v>SUMIF(IF(VLOOKUP(B9,MAPA_DATA!D:G,2,0)=1,'FACT_EMITIDA',IF(VLOOKUP(B49,MAPA_DATA!D:G,3,0)=1,'FACT_EST_EFACT',(IF(VLOOKUP(B49,MAPA_DATA!D:G,4,0)=1,'FACT_EST_CEN','SIN_DATA')))!B:B,Reliquidacion!B49,IF(VLOOKUP(B9,MAPA_DATA!D:G,2,0)=1,'FACT_EMITIDA',IF(VLOOKUP(B49,MAPA_DATA!D:G,3,0)=1,'FACT_EST_EFACT',(IF(VLOOKUP(B49,MAPA_DATA!D:G,4,0)=1,'FACT_EST_CEN','SIN_DATA')))!F:F)</v>
      </c>
      <c r="H49" s="12" t="str">
        <f t="shared" si="10"/>
        <v>(I49/G49)</v>
      </c>
      <c r="I49" s="11" t="str">
        <f t="shared" si="29"/>
        <v>SUMIF(IF(VLOOKUP(B9,MAPA_DATA!D:G,2,0)=1,'FACT_EMITIDA',IF(VLOOKUP(B49,MAPA_DATA!D:G,3,0)=1,'FACT_EST_EFACT',(IF(VLOOKUP(B49,MAPA_DATA!D:G,4,0)=1,'FACT_EST_CEN','SIN_DATA')))!B:B,Reliquidacion!B49,IF(VLOOKUP(B9,MAPA_DATA!D:G,2,0)=1,'FACT_EMITIDA',IF(VLOOKUP(B49,MAPA_DATA!D:G,3,0)=1,'FACT_EST_EFACT',(IF(VLOOKUP(B49,MAPA_DATA!D:G,4,0)=1,'FACT_EST_CEN','SIN_DATA')))!H:H)</v>
      </c>
      <c r="J49" s="11" t="str">
        <f t="shared" si="11"/>
        <v>(F49+I49)</v>
      </c>
      <c r="L49" s="60" t="str">
        <f>IF(VLOOKUP(B49,MAPA_DATA!D:I,5,0)=1,"EFACT_CNE",IF(VLOOKUP(B49,MAPA_DATA!D:I,6,0)=1,"EFACT_EST_CNE","SIN_DATA"))</f>
        <v>SIN_DATA</v>
      </c>
      <c r="M49" s="11" t="str">
        <f t="shared" si="30"/>
        <v>SUMIF(SIN_DATA!B:B;Reliquidacion!B49;SIN_DATA!S:S)</v>
      </c>
      <c r="N49" s="12" t="str">
        <f t="shared" si="12"/>
        <v>(O49/M49)</v>
      </c>
      <c r="O49" s="11" t="str">
        <f t="shared" si="31"/>
        <v>SUMIF(SIN_DATA!B:B;Reliquidacion!B49;SIN_DATA!W:W)</v>
      </c>
      <c r="P49" s="13" t="str">
        <f t="shared" si="32"/>
        <v>SUMIF(SIN_DATA!B:B;Reliquidacion!B49;SIN_DATA!X:X)</v>
      </c>
      <c r="Q49" s="12" t="str">
        <f t="shared" si="13"/>
        <v>(R49/P49)</v>
      </c>
      <c r="R49" s="11" t="str">
        <f t="shared" si="33"/>
        <v>SUMIF(SIN_DATA!B:B;Reliquidacion!B49;SIN_DATA!AB:AB)</v>
      </c>
      <c r="S49" s="11" t="str">
        <f t="shared" si="14"/>
        <v>(O49+R49)</v>
      </c>
      <c r="U49" s="79">
        <v>43586</v>
      </c>
      <c r="V49" s="31" t="str">
        <f t="shared" si="15"/>
        <v>=(S49-J49)</v>
      </c>
      <c r="W49" s="65" t="s">
        <v>445</v>
      </c>
      <c r="X49" s="33">
        <f>VLOOKUP(W49,[1]INTERESES!A:B,2,0)</f>
        <v>0</v>
      </c>
      <c r="Y49" s="34" t="e">
        <f>VLOOKUP(W49,#REF!,6,0)</f>
        <v>#REF!</v>
      </c>
      <c r="Z49" s="35">
        <v>43641</v>
      </c>
      <c r="AA49" s="35">
        <f t="shared" si="25"/>
        <v>44377</v>
      </c>
      <c r="AB49" s="37">
        <f t="shared" si="21"/>
        <v>736</v>
      </c>
      <c r="AC49" s="38" t="e">
        <f t="shared" si="22"/>
        <v>#REF!</v>
      </c>
      <c r="AD49" s="31" t="e">
        <f t="shared" si="23"/>
        <v>#REF!</v>
      </c>
      <c r="AE49" s="31" t="e">
        <f t="shared" si="24"/>
        <v>#VALUE!</v>
      </c>
    </row>
    <row r="50" spans="1:31" x14ac:dyDescent="0.25">
      <c r="A50" s="64">
        <f t="shared" si="20"/>
        <v>50</v>
      </c>
      <c r="B50" s="59">
        <v>43617</v>
      </c>
      <c r="C50" s="81" t="str">
        <f t="shared" si="8"/>
        <v>IF(VLOOKUP(B9,MAPA_DATA!D:G,2,0)=1,'FACT_EMITIDA',IF(VLOOKUP(B50,MAPA_DATA!D:G,3,0)=1,'FACT_EST_EFACT',(IF(VLOOKUP(B50,MAPA_DATA!D:G,4,0)=1,'FACT_EST_CEN','SIN_DATA')))</v>
      </c>
      <c r="D50" s="11" t="str">
        <f t="shared" si="26"/>
        <v>SUMIF(IF(VLOOKUP(B9,MAPA_DATA!D:G,2,0)=1,'FACT_EMITIDA',IF(VLOOKUP(B50,MAPA_DATA!D:G,3,0)=1,'FACT_EST_EFACT',(IF(VLOOKUP(B50,MAPA_DATA!D:G,4,0)=1,'FACT_EST_CEN','SIN_DATA')))!B:B,Reliquidacion!B50,IF(VLOOKUP(B9,MAPA_DATA!D:G,2,0)=1,'FACT_EMITIDA',IF(VLOOKUP(B50,MAPA_DATA!D:G,3,0)=1,'FACT_EST_EFACT',(IF(VLOOKUP(B50,MAPA_DATA!D:G,4,0)=1,'FACT_EST_CEN','SIN_DATA')))!F:F)</v>
      </c>
      <c r="E50" s="12" t="str">
        <f t="shared" si="9"/>
        <v>(F50/D50)</v>
      </c>
      <c r="F50" s="11" t="str">
        <f t="shared" si="27"/>
        <v>SUMIF(IF(VLOOKUP(B9,MAPA_DATA!D:G,2,0)=1,'FACT_EMITIDA',IF(VLOOKUP(B50,MAPA_DATA!D:G,3,0)=1,'FACT_EST_EFACT',(IF(VLOOKUP(B50,MAPA_DATA!D:G,4,0)=1,'FACT_EST_CEN','SIN_DATA')))!B:B,Reliquidacion!B50,IF(VLOOKUP(B9,MAPA_DATA!D:G,2,0)=1,'FACT_EMITIDA',IF(VLOOKUP(B50,MAPA_DATA!D:G,3,0)=1,'FACT_EST_EFACT',(IF(VLOOKUP(B50,MAPA_DATA!D:G,4,0)=1,'FACT_EST_CEN','SIN_DATA')))!H:H)</v>
      </c>
      <c r="G50" s="13" t="str">
        <f t="shared" si="28"/>
        <v>SUMIF(IF(VLOOKUP(B9,MAPA_DATA!D:G,2,0)=1,'FACT_EMITIDA',IF(VLOOKUP(B50,MAPA_DATA!D:G,3,0)=1,'FACT_EST_EFACT',(IF(VLOOKUP(B50,MAPA_DATA!D:G,4,0)=1,'FACT_EST_CEN','SIN_DATA')))!B:B,Reliquidacion!B50,IF(VLOOKUP(B9,MAPA_DATA!D:G,2,0)=1,'FACT_EMITIDA',IF(VLOOKUP(B50,MAPA_DATA!D:G,3,0)=1,'FACT_EST_EFACT',(IF(VLOOKUP(B50,MAPA_DATA!D:G,4,0)=1,'FACT_EST_CEN','SIN_DATA')))!F:F)</v>
      </c>
      <c r="H50" s="12" t="str">
        <f t="shared" si="10"/>
        <v>(I50/G50)</v>
      </c>
      <c r="I50" s="11" t="str">
        <f t="shared" si="29"/>
        <v>SUMIF(IF(VLOOKUP(B9,MAPA_DATA!D:G,2,0)=1,'FACT_EMITIDA',IF(VLOOKUP(B50,MAPA_DATA!D:G,3,0)=1,'FACT_EST_EFACT',(IF(VLOOKUP(B50,MAPA_DATA!D:G,4,0)=1,'FACT_EST_CEN','SIN_DATA')))!B:B,Reliquidacion!B50,IF(VLOOKUP(B9,MAPA_DATA!D:G,2,0)=1,'FACT_EMITIDA',IF(VLOOKUP(B50,MAPA_DATA!D:G,3,0)=1,'FACT_EST_EFACT',(IF(VLOOKUP(B50,MAPA_DATA!D:G,4,0)=1,'FACT_EST_CEN','SIN_DATA')))!H:H)</v>
      </c>
      <c r="J50" s="11" t="str">
        <f t="shared" si="11"/>
        <v>(F50+I50)</v>
      </c>
      <c r="L50" s="60" t="str">
        <f>IF(VLOOKUP(B50,MAPA_DATA!D:I,5,0)=1,"EFACT_CNE",IF(VLOOKUP(B50,MAPA_DATA!D:I,6,0)=1,"EFACT_EST_CNE","SIN_DATA"))</f>
        <v>SIN_DATA</v>
      </c>
      <c r="M50" s="11" t="str">
        <f t="shared" si="30"/>
        <v>SUMIF(SIN_DATA!B:B;Reliquidacion!B50;SIN_DATA!S:S)</v>
      </c>
      <c r="N50" s="12" t="str">
        <f t="shared" si="12"/>
        <v>(O50/M50)</v>
      </c>
      <c r="O50" s="11" t="str">
        <f t="shared" si="31"/>
        <v>SUMIF(SIN_DATA!B:B;Reliquidacion!B50;SIN_DATA!W:W)</v>
      </c>
      <c r="P50" s="13" t="str">
        <f t="shared" si="32"/>
        <v>SUMIF(SIN_DATA!B:B;Reliquidacion!B50;SIN_DATA!X:X)</v>
      </c>
      <c r="Q50" s="12" t="str">
        <f t="shared" si="13"/>
        <v>(R50/P50)</v>
      </c>
      <c r="R50" s="11" t="str">
        <f t="shared" si="33"/>
        <v>SUMIF(SIN_DATA!B:B;Reliquidacion!B50;SIN_DATA!AB:AB)</v>
      </c>
      <c r="S50" s="11" t="str">
        <f t="shared" si="14"/>
        <v>(O50+R50)</v>
      </c>
      <c r="U50" s="79">
        <v>43617</v>
      </c>
      <c r="V50" s="31" t="str">
        <f t="shared" si="15"/>
        <v>=(S50-J50)</v>
      </c>
      <c r="W50" s="65" t="s">
        <v>445</v>
      </c>
      <c r="X50" s="33">
        <f>VLOOKUP(W50,[1]INTERESES!A:B,2,0)</f>
        <v>0</v>
      </c>
      <c r="Y50" s="34" t="e">
        <f>VLOOKUP(W50,#REF!,6,0)</f>
        <v>#REF!</v>
      </c>
      <c r="Z50" s="35">
        <v>43671</v>
      </c>
      <c r="AA50" s="35">
        <f t="shared" si="25"/>
        <v>44377</v>
      </c>
      <c r="AB50" s="37">
        <f t="shared" si="21"/>
        <v>706</v>
      </c>
      <c r="AC50" s="38" t="e">
        <f t="shared" si="22"/>
        <v>#REF!</v>
      </c>
      <c r="AD50" s="31" t="e">
        <f t="shared" si="23"/>
        <v>#REF!</v>
      </c>
      <c r="AE50" s="31" t="e">
        <f t="shared" si="24"/>
        <v>#VALUE!</v>
      </c>
    </row>
    <row r="51" spans="1:31" x14ac:dyDescent="0.25">
      <c r="A51" s="64">
        <f t="shared" si="20"/>
        <v>51</v>
      </c>
      <c r="B51" s="59">
        <v>43647</v>
      </c>
      <c r="C51" s="81" t="str">
        <f t="shared" si="8"/>
        <v>IF(VLOOKUP(B9,MAPA_DATA!D:G,2,0)=1,'FACT_EMITIDA',IF(VLOOKUP(B51,MAPA_DATA!D:G,3,0)=1,'FACT_EST_EFACT',(IF(VLOOKUP(B51,MAPA_DATA!D:G,4,0)=1,'FACT_EST_CEN','SIN_DATA')))</v>
      </c>
      <c r="D51" s="11" t="str">
        <f t="shared" si="26"/>
        <v>SUMIF(IF(VLOOKUP(B9,MAPA_DATA!D:G,2,0)=1,'FACT_EMITIDA',IF(VLOOKUP(B51,MAPA_DATA!D:G,3,0)=1,'FACT_EST_EFACT',(IF(VLOOKUP(B51,MAPA_DATA!D:G,4,0)=1,'FACT_EST_CEN','SIN_DATA')))!B:B,Reliquidacion!B51,IF(VLOOKUP(B9,MAPA_DATA!D:G,2,0)=1,'FACT_EMITIDA',IF(VLOOKUP(B51,MAPA_DATA!D:G,3,0)=1,'FACT_EST_EFACT',(IF(VLOOKUP(B51,MAPA_DATA!D:G,4,0)=1,'FACT_EST_CEN','SIN_DATA')))!F:F)</v>
      </c>
      <c r="E51" s="12" t="str">
        <f t="shared" si="9"/>
        <v>(F51/D51)</v>
      </c>
      <c r="F51" s="11" t="str">
        <f t="shared" si="27"/>
        <v>SUMIF(IF(VLOOKUP(B9,MAPA_DATA!D:G,2,0)=1,'FACT_EMITIDA',IF(VLOOKUP(B51,MAPA_DATA!D:G,3,0)=1,'FACT_EST_EFACT',(IF(VLOOKUP(B51,MAPA_DATA!D:G,4,0)=1,'FACT_EST_CEN','SIN_DATA')))!B:B,Reliquidacion!B51,IF(VLOOKUP(B9,MAPA_DATA!D:G,2,0)=1,'FACT_EMITIDA',IF(VLOOKUP(B51,MAPA_DATA!D:G,3,0)=1,'FACT_EST_EFACT',(IF(VLOOKUP(B51,MAPA_DATA!D:G,4,0)=1,'FACT_EST_CEN','SIN_DATA')))!H:H)</v>
      </c>
      <c r="G51" s="13" t="str">
        <f t="shared" si="28"/>
        <v>SUMIF(IF(VLOOKUP(B9,MAPA_DATA!D:G,2,0)=1,'FACT_EMITIDA',IF(VLOOKUP(B51,MAPA_DATA!D:G,3,0)=1,'FACT_EST_EFACT',(IF(VLOOKUP(B51,MAPA_DATA!D:G,4,0)=1,'FACT_EST_CEN','SIN_DATA')))!B:B,Reliquidacion!B51,IF(VLOOKUP(B9,MAPA_DATA!D:G,2,0)=1,'FACT_EMITIDA',IF(VLOOKUP(B51,MAPA_DATA!D:G,3,0)=1,'FACT_EST_EFACT',(IF(VLOOKUP(B51,MAPA_DATA!D:G,4,0)=1,'FACT_EST_CEN','SIN_DATA')))!F:F)</v>
      </c>
      <c r="H51" s="12" t="str">
        <f t="shared" si="10"/>
        <v>(I51/G51)</v>
      </c>
      <c r="I51" s="11" t="str">
        <f t="shared" si="29"/>
        <v>SUMIF(IF(VLOOKUP(B9,MAPA_DATA!D:G,2,0)=1,'FACT_EMITIDA',IF(VLOOKUP(B51,MAPA_DATA!D:G,3,0)=1,'FACT_EST_EFACT',(IF(VLOOKUP(B51,MAPA_DATA!D:G,4,0)=1,'FACT_EST_CEN','SIN_DATA')))!B:B,Reliquidacion!B51,IF(VLOOKUP(B9,MAPA_DATA!D:G,2,0)=1,'FACT_EMITIDA',IF(VLOOKUP(B51,MAPA_DATA!D:G,3,0)=1,'FACT_EST_EFACT',(IF(VLOOKUP(B51,MAPA_DATA!D:G,4,0)=1,'FACT_EST_CEN','SIN_DATA')))!H:H)</v>
      </c>
      <c r="J51" s="11" t="str">
        <f t="shared" si="11"/>
        <v>(F51+I51)</v>
      </c>
      <c r="L51" s="60" t="str">
        <f>IF(VLOOKUP(B51,MAPA_DATA!D:I,5,0)=1,"EFACT_CNE",IF(VLOOKUP(B51,MAPA_DATA!D:I,6,0)=1,"EFACT_EST_CNE","SIN_DATA"))</f>
        <v>SIN_DATA</v>
      </c>
      <c r="M51" s="11" t="str">
        <f t="shared" si="30"/>
        <v>SUMIF(SIN_DATA!B:B;Reliquidacion!B51;SIN_DATA!S:S)</v>
      </c>
      <c r="N51" s="12" t="str">
        <f t="shared" si="12"/>
        <v>(O51/M51)</v>
      </c>
      <c r="O51" s="11" t="str">
        <f t="shared" si="31"/>
        <v>SUMIF(SIN_DATA!B:B;Reliquidacion!B51;SIN_DATA!W:W)</v>
      </c>
      <c r="P51" s="13" t="str">
        <f t="shared" si="32"/>
        <v>SUMIF(SIN_DATA!B:B;Reliquidacion!B51;SIN_DATA!X:X)</v>
      </c>
      <c r="Q51" s="12" t="str">
        <f t="shared" si="13"/>
        <v>(R51/P51)</v>
      </c>
      <c r="R51" s="11" t="str">
        <f t="shared" si="33"/>
        <v>SUMIF(SIN_DATA!B:B;Reliquidacion!B51;SIN_DATA!AB:AB)</v>
      </c>
      <c r="S51" s="11" t="str">
        <f t="shared" si="14"/>
        <v>(O51+R51)</v>
      </c>
      <c r="U51" s="79">
        <v>43647</v>
      </c>
      <c r="V51" s="31" t="str">
        <f t="shared" si="15"/>
        <v>=(S51-J51)</v>
      </c>
      <c r="W51" s="65" t="s">
        <v>445</v>
      </c>
      <c r="X51" s="33">
        <f>VLOOKUP(W51,[1]INTERESES!A:B,2,0)</f>
        <v>0</v>
      </c>
      <c r="Y51" s="34" t="e">
        <f>VLOOKUP(W51,#REF!,6,0)</f>
        <v>#REF!</v>
      </c>
      <c r="Z51" s="35">
        <v>43702</v>
      </c>
      <c r="AA51" s="35">
        <f t="shared" si="25"/>
        <v>44377</v>
      </c>
      <c r="AB51" s="37">
        <f t="shared" si="21"/>
        <v>675</v>
      </c>
      <c r="AC51" s="38" t="e">
        <f t="shared" si="22"/>
        <v>#REF!</v>
      </c>
      <c r="AD51" s="31" t="e">
        <f t="shared" si="23"/>
        <v>#REF!</v>
      </c>
      <c r="AE51" s="31" t="e">
        <f t="shared" si="24"/>
        <v>#VALUE!</v>
      </c>
    </row>
    <row r="52" spans="1:31" x14ac:dyDescent="0.25">
      <c r="A52" s="64">
        <f t="shared" si="20"/>
        <v>52</v>
      </c>
      <c r="B52" s="59">
        <v>43678</v>
      </c>
      <c r="C52" s="81" t="str">
        <f t="shared" si="8"/>
        <v>IF(VLOOKUP(B9,MAPA_DATA!D:G,2,0)=1,'FACT_EMITIDA',IF(VLOOKUP(B52,MAPA_DATA!D:G,3,0)=1,'FACT_EST_EFACT',(IF(VLOOKUP(B52,MAPA_DATA!D:G,4,0)=1,'FACT_EST_CEN','SIN_DATA')))</v>
      </c>
      <c r="D52" s="11" t="str">
        <f t="shared" si="26"/>
        <v>SUMIF(IF(VLOOKUP(B9,MAPA_DATA!D:G,2,0)=1,'FACT_EMITIDA',IF(VLOOKUP(B52,MAPA_DATA!D:G,3,0)=1,'FACT_EST_EFACT',(IF(VLOOKUP(B52,MAPA_DATA!D:G,4,0)=1,'FACT_EST_CEN','SIN_DATA')))!B:B,Reliquidacion!B52,IF(VLOOKUP(B9,MAPA_DATA!D:G,2,0)=1,'FACT_EMITIDA',IF(VLOOKUP(B52,MAPA_DATA!D:G,3,0)=1,'FACT_EST_EFACT',(IF(VLOOKUP(B52,MAPA_DATA!D:G,4,0)=1,'FACT_EST_CEN','SIN_DATA')))!F:F)</v>
      </c>
      <c r="E52" s="12" t="str">
        <f t="shared" si="9"/>
        <v>(F52/D52)</v>
      </c>
      <c r="F52" s="11" t="str">
        <f t="shared" si="27"/>
        <v>SUMIF(IF(VLOOKUP(B9,MAPA_DATA!D:G,2,0)=1,'FACT_EMITIDA',IF(VLOOKUP(B52,MAPA_DATA!D:G,3,0)=1,'FACT_EST_EFACT',(IF(VLOOKUP(B52,MAPA_DATA!D:G,4,0)=1,'FACT_EST_CEN','SIN_DATA')))!B:B,Reliquidacion!B52,IF(VLOOKUP(B9,MAPA_DATA!D:G,2,0)=1,'FACT_EMITIDA',IF(VLOOKUP(B52,MAPA_DATA!D:G,3,0)=1,'FACT_EST_EFACT',(IF(VLOOKUP(B52,MAPA_DATA!D:G,4,0)=1,'FACT_EST_CEN','SIN_DATA')))!H:H)</v>
      </c>
      <c r="G52" s="13" t="str">
        <f t="shared" si="28"/>
        <v>SUMIF(IF(VLOOKUP(B9,MAPA_DATA!D:G,2,0)=1,'FACT_EMITIDA',IF(VLOOKUP(B52,MAPA_DATA!D:G,3,0)=1,'FACT_EST_EFACT',(IF(VLOOKUP(B52,MAPA_DATA!D:G,4,0)=1,'FACT_EST_CEN','SIN_DATA')))!B:B,Reliquidacion!B52,IF(VLOOKUP(B9,MAPA_DATA!D:G,2,0)=1,'FACT_EMITIDA',IF(VLOOKUP(B52,MAPA_DATA!D:G,3,0)=1,'FACT_EST_EFACT',(IF(VLOOKUP(B52,MAPA_DATA!D:G,4,0)=1,'FACT_EST_CEN','SIN_DATA')))!F:F)</v>
      </c>
      <c r="H52" s="12" t="str">
        <f t="shared" si="10"/>
        <v>(I52/G52)</v>
      </c>
      <c r="I52" s="11" t="str">
        <f t="shared" si="29"/>
        <v>SUMIF(IF(VLOOKUP(B9,MAPA_DATA!D:G,2,0)=1,'FACT_EMITIDA',IF(VLOOKUP(B52,MAPA_DATA!D:G,3,0)=1,'FACT_EST_EFACT',(IF(VLOOKUP(B52,MAPA_DATA!D:G,4,0)=1,'FACT_EST_CEN','SIN_DATA')))!B:B,Reliquidacion!B52,IF(VLOOKUP(B9,MAPA_DATA!D:G,2,0)=1,'FACT_EMITIDA',IF(VLOOKUP(B52,MAPA_DATA!D:G,3,0)=1,'FACT_EST_EFACT',(IF(VLOOKUP(B52,MAPA_DATA!D:G,4,0)=1,'FACT_EST_CEN','SIN_DATA')))!H:H)</v>
      </c>
      <c r="J52" s="11" t="str">
        <f t="shared" si="11"/>
        <v>(F52+I52)</v>
      </c>
      <c r="L52" s="60" t="str">
        <f>IF(VLOOKUP(B52,MAPA_DATA!D:I,5,0)=1,"EFACT_CNE",IF(VLOOKUP(B52,MAPA_DATA!D:I,6,0)=1,"EFACT_EST_CNE","SIN_DATA"))</f>
        <v>SIN_DATA</v>
      </c>
      <c r="M52" s="11" t="str">
        <f t="shared" si="30"/>
        <v>SUMIF(SIN_DATA!B:B;Reliquidacion!B52;SIN_DATA!S:S)</v>
      </c>
      <c r="N52" s="12" t="str">
        <f t="shared" si="12"/>
        <v>(O52/M52)</v>
      </c>
      <c r="O52" s="11" t="str">
        <f t="shared" si="31"/>
        <v>SUMIF(SIN_DATA!B:B;Reliquidacion!B52;SIN_DATA!W:W)</v>
      </c>
      <c r="P52" s="13" t="str">
        <f t="shared" si="32"/>
        <v>SUMIF(SIN_DATA!B:B;Reliquidacion!B52;SIN_DATA!X:X)</v>
      </c>
      <c r="Q52" s="12" t="str">
        <f t="shared" si="13"/>
        <v>(R52/P52)</v>
      </c>
      <c r="R52" s="11" t="str">
        <f t="shared" si="33"/>
        <v>SUMIF(SIN_DATA!B:B;Reliquidacion!B52;SIN_DATA!AB:AB)</v>
      </c>
      <c r="S52" s="11" t="str">
        <f t="shared" si="14"/>
        <v>(O52+R52)</v>
      </c>
      <c r="U52" s="79">
        <v>43678</v>
      </c>
      <c r="V52" s="31" t="str">
        <f t="shared" si="15"/>
        <v>=(S52-J52)</v>
      </c>
      <c r="W52" s="65" t="s">
        <v>445</v>
      </c>
      <c r="X52" s="33">
        <f>VLOOKUP(W52,[1]INTERESES!A:B,2,0)</f>
        <v>0</v>
      </c>
      <c r="Y52" s="34" t="e">
        <f>VLOOKUP(W52,#REF!,6,0)</f>
        <v>#REF!</v>
      </c>
      <c r="Z52" s="35">
        <v>43733</v>
      </c>
      <c r="AA52" s="35">
        <f t="shared" si="25"/>
        <v>44377</v>
      </c>
      <c r="AB52" s="37">
        <f t="shared" si="21"/>
        <v>644</v>
      </c>
      <c r="AC52" s="38" t="e">
        <f t="shared" si="22"/>
        <v>#REF!</v>
      </c>
      <c r="AD52" s="31" t="e">
        <f t="shared" si="23"/>
        <v>#REF!</v>
      </c>
      <c r="AE52" s="31" t="e">
        <f t="shared" si="24"/>
        <v>#VALUE!</v>
      </c>
    </row>
    <row r="53" spans="1:31" x14ac:dyDescent="0.25">
      <c r="A53" s="64">
        <f t="shared" si="20"/>
        <v>53</v>
      </c>
      <c r="B53" s="59">
        <v>43709</v>
      </c>
      <c r="C53" s="81" t="str">
        <f t="shared" si="8"/>
        <v>IF(VLOOKUP(B9,MAPA_DATA!D:G,2,0)=1,'FACT_EMITIDA',IF(VLOOKUP(B53,MAPA_DATA!D:G,3,0)=1,'FACT_EST_EFACT',(IF(VLOOKUP(B53,MAPA_DATA!D:G,4,0)=1,'FACT_EST_CEN','SIN_DATA')))</v>
      </c>
      <c r="D53" s="11" t="str">
        <f t="shared" si="26"/>
        <v>SUMIF(IF(VLOOKUP(B9,MAPA_DATA!D:G,2,0)=1,'FACT_EMITIDA',IF(VLOOKUP(B53,MAPA_DATA!D:G,3,0)=1,'FACT_EST_EFACT',(IF(VLOOKUP(B53,MAPA_DATA!D:G,4,0)=1,'FACT_EST_CEN','SIN_DATA')))!B:B,Reliquidacion!B53,IF(VLOOKUP(B9,MAPA_DATA!D:G,2,0)=1,'FACT_EMITIDA',IF(VLOOKUP(B53,MAPA_DATA!D:G,3,0)=1,'FACT_EST_EFACT',(IF(VLOOKUP(B53,MAPA_DATA!D:G,4,0)=1,'FACT_EST_CEN','SIN_DATA')))!F:F)</v>
      </c>
      <c r="E53" s="12" t="str">
        <f t="shared" si="9"/>
        <v>(F53/D53)</v>
      </c>
      <c r="F53" s="11" t="str">
        <f t="shared" si="27"/>
        <v>SUMIF(IF(VLOOKUP(B9,MAPA_DATA!D:G,2,0)=1,'FACT_EMITIDA',IF(VLOOKUP(B53,MAPA_DATA!D:G,3,0)=1,'FACT_EST_EFACT',(IF(VLOOKUP(B53,MAPA_DATA!D:G,4,0)=1,'FACT_EST_CEN','SIN_DATA')))!B:B,Reliquidacion!B53,IF(VLOOKUP(B9,MAPA_DATA!D:G,2,0)=1,'FACT_EMITIDA',IF(VLOOKUP(B53,MAPA_DATA!D:G,3,0)=1,'FACT_EST_EFACT',(IF(VLOOKUP(B53,MAPA_DATA!D:G,4,0)=1,'FACT_EST_CEN','SIN_DATA')))!H:H)</v>
      </c>
      <c r="G53" s="13" t="str">
        <f t="shared" si="28"/>
        <v>SUMIF(IF(VLOOKUP(B9,MAPA_DATA!D:G,2,0)=1,'FACT_EMITIDA',IF(VLOOKUP(B53,MAPA_DATA!D:G,3,0)=1,'FACT_EST_EFACT',(IF(VLOOKUP(B53,MAPA_DATA!D:G,4,0)=1,'FACT_EST_CEN','SIN_DATA')))!B:B,Reliquidacion!B53,IF(VLOOKUP(B9,MAPA_DATA!D:G,2,0)=1,'FACT_EMITIDA',IF(VLOOKUP(B53,MAPA_DATA!D:G,3,0)=1,'FACT_EST_EFACT',(IF(VLOOKUP(B53,MAPA_DATA!D:G,4,0)=1,'FACT_EST_CEN','SIN_DATA')))!F:F)</v>
      </c>
      <c r="H53" s="12" t="str">
        <f t="shared" si="10"/>
        <v>(I53/G53)</v>
      </c>
      <c r="I53" s="11" t="str">
        <f t="shared" si="29"/>
        <v>SUMIF(IF(VLOOKUP(B9,MAPA_DATA!D:G,2,0)=1,'FACT_EMITIDA',IF(VLOOKUP(B53,MAPA_DATA!D:G,3,0)=1,'FACT_EST_EFACT',(IF(VLOOKUP(B53,MAPA_DATA!D:G,4,0)=1,'FACT_EST_CEN','SIN_DATA')))!B:B,Reliquidacion!B53,IF(VLOOKUP(B9,MAPA_DATA!D:G,2,0)=1,'FACT_EMITIDA',IF(VLOOKUP(B53,MAPA_DATA!D:G,3,0)=1,'FACT_EST_EFACT',(IF(VLOOKUP(B53,MAPA_DATA!D:G,4,0)=1,'FACT_EST_CEN','SIN_DATA')))!H:H)</v>
      </c>
      <c r="J53" s="11" t="str">
        <f t="shared" si="11"/>
        <v>(F53+I53)</v>
      </c>
      <c r="L53" s="60" t="str">
        <f>IF(VLOOKUP(B53,MAPA_DATA!D:I,5,0)=1,"EFACT_CNE",IF(VLOOKUP(B53,MAPA_DATA!D:I,6,0)=1,"EFACT_EST_CNE","SIN_DATA"))</f>
        <v>SIN_DATA</v>
      </c>
      <c r="M53" s="11" t="str">
        <f t="shared" si="30"/>
        <v>SUMIF(SIN_DATA!B:B;Reliquidacion!B53;SIN_DATA!S:S)</v>
      </c>
      <c r="N53" s="12" t="str">
        <f t="shared" si="12"/>
        <v>(O53/M53)</v>
      </c>
      <c r="O53" s="11" t="str">
        <f t="shared" si="31"/>
        <v>SUMIF(SIN_DATA!B:B;Reliquidacion!B53;SIN_DATA!W:W)</v>
      </c>
      <c r="P53" s="13" t="str">
        <f t="shared" si="32"/>
        <v>SUMIF(SIN_DATA!B:B;Reliquidacion!B53;SIN_DATA!X:X)</v>
      </c>
      <c r="Q53" s="12" t="str">
        <f t="shared" si="13"/>
        <v>(R53/P53)</v>
      </c>
      <c r="R53" s="11" t="str">
        <f t="shared" si="33"/>
        <v>SUMIF(SIN_DATA!B:B;Reliquidacion!B53;SIN_DATA!AB:AB)</v>
      </c>
      <c r="S53" s="11" t="str">
        <f t="shared" si="14"/>
        <v>(O53+R53)</v>
      </c>
      <c r="U53" s="79">
        <v>43709</v>
      </c>
      <c r="V53" s="31" t="str">
        <f t="shared" si="15"/>
        <v>=(S53-J53)</v>
      </c>
      <c r="W53" s="65" t="s">
        <v>445</v>
      </c>
      <c r="X53" s="33">
        <f>VLOOKUP(W53,[1]INTERESES!A:B,2,0)</f>
        <v>0</v>
      </c>
      <c r="Y53" s="34" t="e">
        <f>VLOOKUP(W53,#REF!,6,0)</f>
        <v>#REF!</v>
      </c>
      <c r="Z53" s="35">
        <v>43763</v>
      </c>
      <c r="AA53" s="35">
        <f t="shared" si="25"/>
        <v>44377</v>
      </c>
      <c r="AB53" s="37">
        <f t="shared" si="21"/>
        <v>614</v>
      </c>
      <c r="AC53" s="38" t="e">
        <f t="shared" si="22"/>
        <v>#REF!</v>
      </c>
      <c r="AD53" s="31" t="e">
        <f t="shared" si="23"/>
        <v>#REF!</v>
      </c>
      <c r="AE53" s="31" t="e">
        <f t="shared" si="24"/>
        <v>#VALUE!</v>
      </c>
    </row>
    <row r="54" spans="1:31" x14ac:dyDescent="0.25">
      <c r="A54" s="64">
        <f t="shared" si="20"/>
        <v>54</v>
      </c>
      <c r="B54" s="59">
        <v>43739</v>
      </c>
      <c r="C54" s="81" t="str">
        <f t="shared" si="8"/>
        <v>IF(VLOOKUP(B9,MAPA_DATA!D:G,2,0)=1,'FACT_EMITIDA',IF(VLOOKUP(B54,MAPA_DATA!D:G,3,0)=1,'FACT_EST_EFACT',(IF(VLOOKUP(B54,MAPA_DATA!D:G,4,0)=1,'FACT_EST_CEN','SIN_DATA')))</v>
      </c>
      <c r="D54" s="11" t="str">
        <f t="shared" si="26"/>
        <v>SUMIF(IF(VLOOKUP(B9,MAPA_DATA!D:G,2,0)=1,'FACT_EMITIDA',IF(VLOOKUP(B54,MAPA_DATA!D:G,3,0)=1,'FACT_EST_EFACT',(IF(VLOOKUP(B54,MAPA_DATA!D:G,4,0)=1,'FACT_EST_CEN','SIN_DATA')))!B:B,Reliquidacion!B54,IF(VLOOKUP(B9,MAPA_DATA!D:G,2,0)=1,'FACT_EMITIDA',IF(VLOOKUP(B54,MAPA_DATA!D:G,3,0)=1,'FACT_EST_EFACT',(IF(VLOOKUP(B54,MAPA_DATA!D:G,4,0)=1,'FACT_EST_CEN','SIN_DATA')))!F:F)</v>
      </c>
      <c r="E54" s="12" t="str">
        <f t="shared" si="9"/>
        <v>(F54/D54)</v>
      </c>
      <c r="F54" s="11" t="str">
        <f t="shared" si="27"/>
        <v>SUMIF(IF(VLOOKUP(B9,MAPA_DATA!D:G,2,0)=1,'FACT_EMITIDA',IF(VLOOKUP(B54,MAPA_DATA!D:G,3,0)=1,'FACT_EST_EFACT',(IF(VLOOKUP(B54,MAPA_DATA!D:G,4,0)=1,'FACT_EST_CEN','SIN_DATA')))!B:B,Reliquidacion!B54,IF(VLOOKUP(B9,MAPA_DATA!D:G,2,0)=1,'FACT_EMITIDA',IF(VLOOKUP(B54,MAPA_DATA!D:G,3,0)=1,'FACT_EST_EFACT',(IF(VLOOKUP(B54,MAPA_DATA!D:G,4,0)=1,'FACT_EST_CEN','SIN_DATA')))!H:H)</v>
      </c>
      <c r="G54" s="13" t="str">
        <f t="shared" si="28"/>
        <v>SUMIF(IF(VLOOKUP(B9,MAPA_DATA!D:G,2,0)=1,'FACT_EMITIDA',IF(VLOOKUP(B54,MAPA_DATA!D:G,3,0)=1,'FACT_EST_EFACT',(IF(VLOOKUP(B54,MAPA_DATA!D:G,4,0)=1,'FACT_EST_CEN','SIN_DATA')))!B:B,Reliquidacion!B54,IF(VLOOKUP(B9,MAPA_DATA!D:G,2,0)=1,'FACT_EMITIDA',IF(VLOOKUP(B54,MAPA_DATA!D:G,3,0)=1,'FACT_EST_EFACT',(IF(VLOOKUP(B54,MAPA_DATA!D:G,4,0)=1,'FACT_EST_CEN','SIN_DATA')))!F:F)</v>
      </c>
      <c r="H54" s="12" t="str">
        <f t="shared" si="10"/>
        <v>(I54/G54)</v>
      </c>
      <c r="I54" s="11" t="str">
        <f t="shared" si="29"/>
        <v>SUMIF(IF(VLOOKUP(B9,MAPA_DATA!D:G,2,0)=1,'FACT_EMITIDA',IF(VLOOKUP(B54,MAPA_DATA!D:G,3,0)=1,'FACT_EST_EFACT',(IF(VLOOKUP(B54,MAPA_DATA!D:G,4,0)=1,'FACT_EST_CEN','SIN_DATA')))!B:B,Reliquidacion!B54,IF(VLOOKUP(B9,MAPA_DATA!D:G,2,0)=1,'FACT_EMITIDA',IF(VLOOKUP(B54,MAPA_DATA!D:G,3,0)=1,'FACT_EST_EFACT',(IF(VLOOKUP(B54,MAPA_DATA!D:G,4,0)=1,'FACT_EST_CEN','SIN_DATA')))!H:H)</v>
      </c>
      <c r="J54" s="11" t="str">
        <f t="shared" si="11"/>
        <v>(F54+I54)</v>
      </c>
      <c r="L54" s="60" t="str">
        <f>IF(VLOOKUP(B54,MAPA_DATA!D:I,5,0)=1,"EFACT_CNE",IF(VLOOKUP(B54,MAPA_DATA!D:I,6,0)=1,"EFACT_EST_CNE","SIN_DATA"))</f>
        <v>SIN_DATA</v>
      </c>
      <c r="M54" s="11" t="str">
        <f t="shared" si="30"/>
        <v>SUMIF(SIN_DATA!B:B;Reliquidacion!B54;SIN_DATA!S:S)</v>
      </c>
      <c r="N54" s="12" t="str">
        <f t="shared" si="12"/>
        <v>(O54/M54)</v>
      </c>
      <c r="O54" s="11" t="str">
        <f t="shared" si="31"/>
        <v>SUMIF(SIN_DATA!B:B;Reliquidacion!B54;SIN_DATA!W:W)</v>
      </c>
      <c r="P54" s="13" t="str">
        <f t="shared" si="32"/>
        <v>SUMIF(SIN_DATA!B:B;Reliquidacion!B54;SIN_DATA!X:X)</v>
      </c>
      <c r="Q54" s="12" t="str">
        <f t="shared" si="13"/>
        <v>(R54/P54)</v>
      </c>
      <c r="R54" s="11" t="str">
        <f t="shared" si="33"/>
        <v>SUMIF(SIN_DATA!B:B;Reliquidacion!B54;SIN_DATA!AB:AB)</v>
      </c>
      <c r="S54" s="11" t="str">
        <f t="shared" si="14"/>
        <v>(O54+R54)</v>
      </c>
      <c r="U54" s="79">
        <v>43739</v>
      </c>
      <c r="V54" s="31" t="str">
        <f t="shared" si="15"/>
        <v>=(S54-J54)</v>
      </c>
      <c r="W54" s="65" t="s">
        <v>445</v>
      </c>
      <c r="X54" s="33">
        <f>VLOOKUP(W54,[1]INTERESES!A:B,2,0)</f>
        <v>0</v>
      </c>
      <c r="Y54" s="34" t="e">
        <f>VLOOKUP(W54,#REF!,6,0)</f>
        <v>#REF!</v>
      </c>
      <c r="Z54" s="35">
        <v>43794</v>
      </c>
      <c r="AA54" s="35">
        <f t="shared" si="25"/>
        <v>44377</v>
      </c>
      <c r="AB54" s="37">
        <f t="shared" si="21"/>
        <v>583</v>
      </c>
      <c r="AC54" s="38" t="e">
        <f t="shared" si="22"/>
        <v>#REF!</v>
      </c>
      <c r="AD54" s="31" t="e">
        <f t="shared" si="23"/>
        <v>#REF!</v>
      </c>
      <c r="AE54" s="31" t="e">
        <f t="shared" si="24"/>
        <v>#VALUE!</v>
      </c>
    </row>
    <row r="55" spans="1:31" x14ac:dyDescent="0.25">
      <c r="A55" s="64">
        <f t="shared" si="20"/>
        <v>55</v>
      </c>
      <c r="B55" s="59">
        <v>43770</v>
      </c>
      <c r="C55" s="81" t="str">
        <f t="shared" si="8"/>
        <v>IF(VLOOKUP(B9,MAPA_DATA!D:G,2,0)=1,'FACT_EMITIDA',IF(VLOOKUP(B55,MAPA_DATA!D:G,3,0)=1,'FACT_EST_EFACT',(IF(VLOOKUP(B55,MAPA_DATA!D:G,4,0)=1,'FACT_EST_CEN','SIN_DATA')))</v>
      </c>
      <c r="D55" s="11" t="str">
        <f t="shared" si="26"/>
        <v>SUMIF(IF(VLOOKUP(B9,MAPA_DATA!D:G,2,0)=1,'FACT_EMITIDA',IF(VLOOKUP(B55,MAPA_DATA!D:G,3,0)=1,'FACT_EST_EFACT',(IF(VLOOKUP(B55,MAPA_DATA!D:G,4,0)=1,'FACT_EST_CEN','SIN_DATA')))!B:B,Reliquidacion!B55,IF(VLOOKUP(B9,MAPA_DATA!D:G,2,0)=1,'FACT_EMITIDA',IF(VLOOKUP(B55,MAPA_DATA!D:G,3,0)=1,'FACT_EST_EFACT',(IF(VLOOKUP(B55,MAPA_DATA!D:G,4,0)=1,'FACT_EST_CEN','SIN_DATA')))!F:F)</v>
      </c>
      <c r="E55" s="12" t="str">
        <f t="shared" si="9"/>
        <v>(F55/D55)</v>
      </c>
      <c r="F55" s="11" t="str">
        <f t="shared" si="27"/>
        <v>SUMIF(IF(VLOOKUP(B9,MAPA_DATA!D:G,2,0)=1,'FACT_EMITIDA',IF(VLOOKUP(B55,MAPA_DATA!D:G,3,0)=1,'FACT_EST_EFACT',(IF(VLOOKUP(B55,MAPA_DATA!D:G,4,0)=1,'FACT_EST_CEN','SIN_DATA')))!B:B,Reliquidacion!B55,IF(VLOOKUP(B9,MAPA_DATA!D:G,2,0)=1,'FACT_EMITIDA',IF(VLOOKUP(B55,MAPA_DATA!D:G,3,0)=1,'FACT_EST_EFACT',(IF(VLOOKUP(B55,MAPA_DATA!D:G,4,0)=1,'FACT_EST_CEN','SIN_DATA')))!H:H)</v>
      </c>
      <c r="G55" s="13" t="str">
        <f t="shared" si="28"/>
        <v>SUMIF(IF(VLOOKUP(B9,MAPA_DATA!D:G,2,0)=1,'FACT_EMITIDA',IF(VLOOKUP(B55,MAPA_DATA!D:G,3,0)=1,'FACT_EST_EFACT',(IF(VLOOKUP(B55,MAPA_DATA!D:G,4,0)=1,'FACT_EST_CEN','SIN_DATA')))!B:B,Reliquidacion!B55,IF(VLOOKUP(B9,MAPA_DATA!D:G,2,0)=1,'FACT_EMITIDA',IF(VLOOKUP(B55,MAPA_DATA!D:G,3,0)=1,'FACT_EST_EFACT',(IF(VLOOKUP(B55,MAPA_DATA!D:G,4,0)=1,'FACT_EST_CEN','SIN_DATA')))!F:F)</v>
      </c>
      <c r="H55" s="12" t="str">
        <f t="shared" si="10"/>
        <v>(I55/G55)</v>
      </c>
      <c r="I55" s="11" t="str">
        <f t="shared" si="29"/>
        <v>SUMIF(IF(VLOOKUP(B9,MAPA_DATA!D:G,2,0)=1,'FACT_EMITIDA',IF(VLOOKUP(B55,MAPA_DATA!D:G,3,0)=1,'FACT_EST_EFACT',(IF(VLOOKUP(B55,MAPA_DATA!D:G,4,0)=1,'FACT_EST_CEN','SIN_DATA')))!B:B,Reliquidacion!B55,IF(VLOOKUP(B9,MAPA_DATA!D:G,2,0)=1,'FACT_EMITIDA',IF(VLOOKUP(B55,MAPA_DATA!D:G,3,0)=1,'FACT_EST_EFACT',(IF(VLOOKUP(B55,MAPA_DATA!D:G,4,0)=1,'FACT_EST_CEN','SIN_DATA')))!H:H)</v>
      </c>
      <c r="J55" s="11" t="str">
        <f t="shared" si="11"/>
        <v>(F55+I55)</v>
      </c>
      <c r="L55" s="60" t="str">
        <f>IF(VLOOKUP(B55,MAPA_DATA!D:I,5,0)=1,"EFACT_CNE",IF(VLOOKUP(B55,MAPA_DATA!D:I,6,0)=1,"EFACT_EST_CNE","SIN_DATA"))</f>
        <v>SIN_DATA</v>
      </c>
      <c r="M55" s="11" t="str">
        <f t="shared" si="30"/>
        <v>SUMIF(SIN_DATA!B:B;Reliquidacion!B55;SIN_DATA!S:S)</v>
      </c>
      <c r="N55" s="12" t="str">
        <f t="shared" si="12"/>
        <v>(O55/M55)</v>
      </c>
      <c r="O55" s="11" t="str">
        <f t="shared" si="31"/>
        <v>SUMIF(SIN_DATA!B:B;Reliquidacion!B55;SIN_DATA!W:W)</v>
      </c>
      <c r="P55" s="13" t="str">
        <f t="shared" si="32"/>
        <v>SUMIF(SIN_DATA!B:B;Reliquidacion!B55;SIN_DATA!X:X)</v>
      </c>
      <c r="Q55" s="12" t="str">
        <f t="shared" si="13"/>
        <v>(R55/P55)</v>
      </c>
      <c r="R55" s="11" t="str">
        <f t="shared" si="33"/>
        <v>SUMIF(SIN_DATA!B:B;Reliquidacion!B55;SIN_DATA!AB:AB)</v>
      </c>
      <c r="S55" s="11" t="str">
        <f t="shared" si="14"/>
        <v>(O55+R55)</v>
      </c>
      <c r="U55" s="79">
        <v>43770</v>
      </c>
      <c r="V55" s="31" t="str">
        <f t="shared" si="15"/>
        <v>=(S55-J55)</v>
      </c>
      <c r="W55" s="65" t="s">
        <v>445</v>
      </c>
      <c r="X55" s="33">
        <f>VLOOKUP(W55,[1]INTERESES!A:B,2,0)</f>
        <v>0</v>
      </c>
      <c r="Y55" s="34" t="e">
        <f>VLOOKUP(W55,#REF!,6,0)</f>
        <v>#REF!</v>
      </c>
      <c r="Z55" s="35">
        <v>43824</v>
      </c>
      <c r="AA55" s="35">
        <f t="shared" si="25"/>
        <v>44377</v>
      </c>
      <c r="AB55" s="37">
        <f t="shared" si="21"/>
        <v>553</v>
      </c>
      <c r="AC55" s="38" t="e">
        <f t="shared" si="22"/>
        <v>#REF!</v>
      </c>
      <c r="AD55" s="31" t="e">
        <f t="shared" si="23"/>
        <v>#REF!</v>
      </c>
      <c r="AE55" s="31" t="e">
        <f t="shared" si="24"/>
        <v>#VALUE!</v>
      </c>
    </row>
    <row r="56" spans="1:31" x14ac:dyDescent="0.25">
      <c r="A56" s="64">
        <f t="shared" si="20"/>
        <v>56</v>
      </c>
      <c r="B56" s="59">
        <v>43800</v>
      </c>
      <c r="C56" s="81" t="str">
        <f t="shared" si="8"/>
        <v>IF(VLOOKUP(B9,MAPA_DATA!D:G,2,0)=1,'FACT_EMITIDA',IF(VLOOKUP(B56,MAPA_DATA!D:G,3,0)=1,'FACT_EST_EFACT',(IF(VLOOKUP(B56,MAPA_DATA!D:G,4,0)=1,'FACT_EST_CEN','SIN_DATA')))</v>
      </c>
      <c r="D56" s="11" t="str">
        <f t="shared" si="26"/>
        <v>SUMIF(IF(VLOOKUP(B9,MAPA_DATA!D:G,2,0)=1,'FACT_EMITIDA',IF(VLOOKUP(B56,MAPA_DATA!D:G,3,0)=1,'FACT_EST_EFACT',(IF(VLOOKUP(B56,MAPA_DATA!D:G,4,0)=1,'FACT_EST_CEN','SIN_DATA')))!B:B,Reliquidacion!B56,IF(VLOOKUP(B9,MAPA_DATA!D:G,2,0)=1,'FACT_EMITIDA',IF(VLOOKUP(B56,MAPA_DATA!D:G,3,0)=1,'FACT_EST_EFACT',(IF(VLOOKUP(B56,MAPA_DATA!D:G,4,0)=1,'FACT_EST_CEN','SIN_DATA')))!F:F)</v>
      </c>
      <c r="E56" s="12" t="str">
        <f t="shared" si="9"/>
        <v>(F56/D56)</v>
      </c>
      <c r="F56" s="11" t="str">
        <f t="shared" si="27"/>
        <v>SUMIF(IF(VLOOKUP(B9,MAPA_DATA!D:G,2,0)=1,'FACT_EMITIDA',IF(VLOOKUP(B56,MAPA_DATA!D:G,3,0)=1,'FACT_EST_EFACT',(IF(VLOOKUP(B56,MAPA_DATA!D:G,4,0)=1,'FACT_EST_CEN','SIN_DATA')))!B:B,Reliquidacion!B56,IF(VLOOKUP(B9,MAPA_DATA!D:G,2,0)=1,'FACT_EMITIDA',IF(VLOOKUP(B56,MAPA_DATA!D:G,3,0)=1,'FACT_EST_EFACT',(IF(VLOOKUP(B56,MAPA_DATA!D:G,4,0)=1,'FACT_EST_CEN','SIN_DATA')))!H:H)</v>
      </c>
      <c r="G56" s="13" t="str">
        <f t="shared" si="28"/>
        <v>SUMIF(IF(VLOOKUP(B9,MAPA_DATA!D:G,2,0)=1,'FACT_EMITIDA',IF(VLOOKUP(B56,MAPA_DATA!D:G,3,0)=1,'FACT_EST_EFACT',(IF(VLOOKUP(B56,MAPA_DATA!D:G,4,0)=1,'FACT_EST_CEN','SIN_DATA')))!B:B,Reliquidacion!B56,IF(VLOOKUP(B9,MAPA_DATA!D:G,2,0)=1,'FACT_EMITIDA',IF(VLOOKUP(B56,MAPA_DATA!D:G,3,0)=1,'FACT_EST_EFACT',(IF(VLOOKUP(B56,MAPA_DATA!D:G,4,0)=1,'FACT_EST_CEN','SIN_DATA')))!F:F)</v>
      </c>
      <c r="H56" s="12" t="str">
        <f t="shared" si="10"/>
        <v>(I56/G56)</v>
      </c>
      <c r="I56" s="11" t="str">
        <f t="shared" si="29"/>
        <v>SUMIF(IF(VLOOKUP(B9,MAPA_DATA!D:G,2,0)=1,'FACT_EMITIDA',IF(VLOOKUP(B56,MAPA_DATA!D:G,3,0)=1,'FACT_EST_EFACT',(IF(VLOOKUP(B56,MAPA_DATA!D:G,4,0)=1,'FACT_EST_CEN','SIN_DATA')))!B:B,Reliquidacion!B56,IF(VLOOKUP(B9,MAPA_DATA!D:G,2,0)=1,'FACT_EMITIDA',IF(VLOOKUP(B56,MAPA_DATA!D:G,3,0)=1,'FACT_EST_EFACT',(IF(VLOOKUP(B56,MAPA_DATA!D:G,4,0)=1,'FACT_EST_CEN','SIN_DATA')))!H:H)</v>
      </c>
      <c r="J56" s="11" t="str">
        <f t="shared" si="11"/>
        <v>(F56+I56)</v>
      </c>
      <c r="L56" s="60" t="str">
        <f>IF(VLOOKUP(B56,MAPA_DATA!D:I,5,0)=1,"EFACT_CNE",IF(VLOOKUP(B56,MAPA_DATA!D:I,6,0)=1,"EFACT_EST_CNE","SIN_DATA"))</f>
        <v>SIN_DATA</v>
      </c>
      <c r="M56" s="11" t="str">
        <f t="shared" si="30"/>
        <v>SUMIF(SIN_DATA!B:B;Reliquidacion!B56;SIN_DATA!S:S)</v>
      </c>
      <c r="N56" s="12" t="str">
        <f t="shared" si="12"/>
        <v>(O56/M56)</v>
      </c>
      <c r="O56" s="11" t="str">
        <f t="shared" si="31"/>
        <v>SUMIF(SIN_DATA!B:B;Reliquidacion!B56;SIN_DATA!W:W)</v>
      </c>
      <c r="P56" s="13" t="str">
        <f t="shared" si="32"/>
        <v>SUMIF(SIN_DATA!B:B;Reliquidacion!B56;SIN_DATA!X:X)</v>
      </c>
      <c r="Q56" s="12" t="str">
        <f t="shared" si="13"/>
        <v>(R56/P56)</v>
      </c>
      <c r="R56" s="11" t="str">
        <f t="shared" si="33"/>
        <v>SUMIF(SIN_DATA!B:B;Reliquidacion!B56;SIN_DATA!AB:AB)</v>
      </c>
      <c r="S56" s="11" t="str">
        <f t="shared" si="14"/>
        <v>(O56+R56)</v>
      </c>
      <c r="U56" s="79">
        <v>43800</v>
      </c>
      <c r="V56" s="31" t="str">
        <f t="shared" si="15"/>
        <v>=(S56-J56)</v>
      </c>
      <c r="W56" s="65" t="s">
        <v>445</v>
      </c>
      <c r="X56" s="33">
        <f>VLOOKUP(W56,[1]INTERESES!A:B,2,0)</f>
        <v>0</v>
      </c>
      <c r="Y56" s="34" t="e">
        <f>VLOOKUP(W56,#REF!,6,0)</f>
        <v>#REF!</v>
      </c>
      <c r="Z56" s="35">
        <v>43855</v>
      </c>
      <c r="AA56" s="35">
        <f t="shared" si="25"/>
        <v>44377</v>
      </c>
      <c r="AB56" s="37">
        <f t="shared" si="21"/>
        <v>522</v>
      </c>
      <c r="AC56" s="38" t="e">
        <f t="shared" si="22"/>
        <v>#REF!</v>
      </c>
      <c r="AD56" s="31" t="e">
        <f t="shared" si="23"/>
        <v>#REF!</v>
      </c>
      <c r="AE56" s="31" t="e">
        <f t="shared" si="24"/>
        <v>#VALUE!</v>
      </c>
    </row>
    <row r="57" spans="1:31" x14ac:dyDescent="0.25">
      <c r="A57" s="64">
        <f t="shared" si="20"/>
        <v>57</v>
      </c>
      <c r="B57" s="59">
        <v>43831</v>
      </c>
      <c r="C57" s="81" t="str">
        <f t="shared" si="8"/>
        <v>IF(VLOOKUP(B9,MAPA_DATA!D:G,2,0)=1,'FACT_EMITIDA',IF(VLOOKUP(B57,MAPA_DATA!D:G,3,0)=1,'FACT_EST_EFACT',(IF(VLOOKUP(B57,MAPA_DATA!D:G,4,0)=1,'FACT_EST_CEN','SIN_DATA')))</v>
      </c>
      <c r="D57" s="11" t="str">
        <f t="shared" si="26"/>
        <v>SUMIF(IF(VLOOKUP(B9,MAPA_DATA!D:G,2,0)=1,'FACT_EMITIDA',IF(VLOOKUP(B57,MAPA_DATA!D:G,3,0)=1,'FACT_EST_EFACT',(IF(VLOOKUP(B57,MAPA_DATA!D:G,4,0)=1,'FACT_EST_CEN','SIN_DATA')))!B:B,Reliquidacion!B57,IF(VLOOKUP(B9,MAPA_DATA!D:G,2,0)=1,'FACT_EMITIDA',IF(VLOOKUP(B57,MAPA_DATA!D:G,3,0)=1,'FACT_EST_EFACT',(IF(VLOOKUP(B57,MAPA_DATA!D:G,4,0)=1,'FACT_EST_CEN','SIN_DATA')))!F:F)</v>
      </c>
      <c r="E57" s="12" t="str">
        <f t="shared" si="9"/>
        <v>(F57/D57)</v>
      </c>
      <c r="F57" s="11" t="str">
        <f t="shared" si="27"/>
        <v>SUMIF(IF(VLOOKUP(B9,MAPA_DATA!D:G,2,0)=1,'FACT_EMITIDA',IF(VLOOKUP(B57,MAPA_DATA!D:G,3,0)=1,'FACT_EST_EFACT',(IF(VLOOKUP(B57,MAPA_DATA!D:G,4,0)=1,'FACT_EST_CEN','SIN_DATA')))!B:B,Reliquidacion!B57,IF(VLOOKUP(B9,MAPA_DATA!D:G,2,0)=1,'FACT_EMITIDA',IF(VLOOKUP(B57,MAPA_DATA!D:G,3,0)=1,'FACT_EST_EFACT',(IF(VLOOKUP(B57,MAPA_DATA!D:G,4,0)=1,'FACT_EST_CEN','SIN_DATA')))!H:H)</v>
      </c>
      <c r="G57" s="13" t="str">
        <f t="shared" si="28"/>
        <v>SUMIF(IF(VLOOKUP(B9,MAPA_DATA!D:G,2,0)=1,'FACT_EMITIDA',IF(VLOOKUP(B57,MAPA_DATA!D:G,3,0)=1,'FACT_EST_EFACT',(IF(VLOOKUP(B57,MAPA_DATA!D:G,4,0)=1,'FACT_EST_CEN','SIN_DATA')))!B:B,Reliquidacion!B57,IF(VLOOKUP(B9,MAPA_DATA!D:G,2,0)=1,'FACT_EMITIDA',IF(VLOOKUP(B57,MAPA_DATA!D:G,3,0)=1,'FACT_EST_EFACT',(IF(VLOOKUP(B57,MAPA_DATA!D:G,4,0)=1,'FACT_EST_CEN','SIN_DATA')))!F:F)</v>
      </c>
      <c r="H57" s="12" t="str">
        <f t="shared" si="10"/>
        <v>(I57/G57)</v>
      </c>
      <c r="I57" s="11" t="str">
        <f t="shared" si="29"/>
        <v>SUMIF(IF(VLOOKUP(B9,MAPA_DATA!D:G,2,0)=1,'FACT_EMITIDA',IF(VLOOKUP(B57,MAPA_DATA!D:G,3,0)=1,'FACT_EST_EFACT',(IF(VLOOKUP(B57,MAPA_DATA!D:G,4,0)=1,'FACT_EST_CEN','SIN_DATA')))!B:B,Reliquidacion!B57,IF(VLOOKUP(B9,MAPA_DATA!D:G,2,0)=1,'FACT_EMITIDA',IF(VLOOKUP(B57,MAPA_DATA!D:G,3,0)=1,'FACT_EST_EFACT',(IF(VLOOKUP(B57,MAPA_DATA!D:G,4,0)=1,'FACT_EST_CEN','SIN_DATA')))!H:H)</v>
      </c>
      <c r="J57" s="11" t="str">
        <f t="shared" si="11"/>
        <v>(F57+I57)</v>
      </c>
      <c r="L57" s="60" t="str">
        <f>IF(VLOOKUP(B57,MAPA_DATA!D:I,5,0)=1,"EFACT_CNE",IF(VLOOKUP(B57,MAPA_DATA!D:I,6,0)=1,"EFACT_EST_CNE","SIN_DATA"))</f>
        <v>SIN_DATA</v>
      </c>
      <c r="M57" s="11" t="str">
        <f t="shared" si="30"/>
        <v>SUMIF(SIN_DATA!B:B;Reliquidacion!B57;SIN_DATA!S:S)</v>
      </c>
      <c r="N57" s="12" t="str">
        <f t="shared" si="12"/>
        <v>(O57/M57)</v>
      </c>
      <c r="O57" s="11" t="str">
        <f t="shared" si="31"/>
        <v>SUMIF(SIN_DATA!B:B;Reliquidacion!B57;SIN_DATA!W:W)</v>
      </c>
      <c r="P57" s="13" t="str">
        <f t="shared" si="32"/>
        <v>SUMIF(SIN_DATA!B:B;Reliquidacion!B57;SIN_DATA!X:X)</v>
      </c>
      <c r="Q57" s="12" t="str">
        <f t="shared" si="13"/>
        <v>(R57/P57)</v>
      </c>
      <c r="R57" s="11" t="str">
        <f t="shared" si="33"/>
        <v>SUMIF(SIN_DATA!B:B;Reliquidacion!B57;SIN_DATA!AB:AB)</v>
      </c>
      <c r="S57" s="11" t="str">
        <f t="shared" si="14"/>
        <v>(O57+R57)</v>
      </c>
      <c r="U57" s="79">
        <v>43831</v>
      </c>
      <c r="V57" s="31" t="str">
        <f t="shared" si="15"/>
        <v>=(S57-J57)</v>
      </c>
      <c r="W57" s="65" t="s">
        <v>446</v>
      </c>
      <c r="X57" s="33">
        <f>VLOOKUP(W57,[1]INTERESES!A:B,2,0)</f>
        <v>0</v>
      </c>
      <c r="Y57" s="34" t="e">
        <f>VLOOKUP(W57,#REF!,6,0)</f>
        <v>#REF!</v>
      </c>
      <c r="Z57" s="35">
        <v>43886</v>
      </c>
      <c r="AA57" s="35">
        <f t="shared" si="25"/>
        <v>44377</v>
      </c>
      <c r="AB57" s="37">
        <f t="shared" si="21"/>
        <v>491</v>
      </c>
      <c r="AC57" s="38" t="e">
        <f t="shared" si="22"/>
        <v>#REF!</v>
      </c>
      <c r="AD57" s="31" t="e">
        <f t="shared" si="23"/>
        <v>#REF!</v>
      </c>
      <c r="AE57" s="31" t="e">
        <f t="shared" si="24"/>
        <v>#VALUE!</v>
      </c>
    </row>
    <row r="58" spans="1:31" x14ac:dyDescent="0.25">
      <c r="A58" s="64">
        <f t="shared" si="20"/>
        <v>58</v>
      </c>
      <c r="B58" s="59">
        <v>43862</v>
      </c>
      <c r="C58" s="81" t="str">
        <f t="shared" si="8"/>
        <v>IF(VLOOKUP(B9,MAPA_DATA!D:G,2,0)=1,'FACT_EMITIDA',IF(VLOOKUP(B58,MAPA_DATA!D:G,3,0)=1,'FACT_EST_EFACT',(IF(VLOOKUP(B58,MAPA_DATA!D:G,4,0)=1,'FACT_EST_CEN','SIN_DATA')))</v>
      </c>
      <c r="D58" s="11" t="str">
        <f t="shared" si="26"/>
        <v>SUMIF(IF(VLOOKUP(B9,MAPA_DATA!D:G,2,0)=1,'FACT_EMITIDA',IF(VLOOKUP(B58,MAPA_DATA!D:G,3,0)=1,'FACT_EST_EFACT',(IF(VLOOKUP(B58,MAPA_DATA!D:G,4,0)=1,'FACT_EST_CEN','SIN_DATA')))!B:B,Reliquidacion!B58,IF(VLOOKUP(B9,MAPA_DATA!D:G,2,0)=1,'FACT_EMITIDA',IF(VLOOKUP(B58,MAPA_DATA!D:G,3,0)=1,'FACT_EST_EFACT',(IF(VLOOKUP(B58,MAPA_DATA!D:G,4,0)=1,'FACT_EST_CEN','SIN_DATA')))!F:F)</v>
      </c>
      <c r="E58" s="12" t="str">
        <f t="shared" si="9"/>
        <v>(F58/D58)</v>
      </c>
      <c r="F58" s="11" t="str">
        <f t="shared" si="27"/>
        <v>SUMIF(IF(VLOOKUP(B9,MAPA_DATA!D:G,2,0)=1,'FACT_EMITIDA',IF(VLOOKUP(B58,MAPA_DATA!D:G,3,0)=1,'FACT_EST_EFACT',(IF(VLOOKUP(B58,MAPA_DATA!D:G,4,0)=1,'FACT_EST_CEN','SIN_DATA')))!B:B,Reliquidacion!B58,IF(VLOOKUP(B9,MAPA_DATA!D:G,2,0)=1,'FACT_EMITIDA',IF(VLOOKUP(B58,MAPA_DATA!D:G,3,0)=1,'FACT_EST_EFACT',(IF(VLOOKUP(B58,MAPA_DATA!D:G,4,0)=1,'FACT_EST_CEN','SIN_DATA')))!H:H)</v>
      </c>
      <c r="G58" s="13" t="str">
        <f t="shared" si="28"/>
        <v>SUMIF(IF(VLOOKUP(B9,MAPA_DATA!D:G,2,0)=1,'FACT_EMITIDA',IF(VLOOKUP(B58,MAPA_DATA!D:G,3,0)=1,'FACT_EST_EFACT',(IF(VLOOKUP(B58,MAPA_DATA!D:G,4,0)=1,'FACT_EST_CEN','SIN_DATA')))!B:B,Reliquidacion!B58,IF(VLOOKUP(B9,MAPA_DATA!D:G,2,0)=1,'FACT_EMITIDA',IF(VLOOKUP(B58,MAPA_DATA!D:G,3,0)=1,'FACT_EST_EFACT',(IF(VLOOKUP(B58,MAPA_DATA!D:G,4,0)=1,'FACT_EST_CEN','SIN_DATA')))!F:F)</v>
      </c>
      <c r="H58" s="12" t="str">
        <f t="shared" si="10"/>
        <v>(I58/G58)</v>
      </c>
      <c r="I58" s="11" t="str">
        <f t="shared" si="29"/>
        <v>SUMIF(IF(VLOOKUP(B9,MAPA_DATA!D:G,2,0)=1,'FACT_EMITIDA',IF(VLOOKUP(B58,MAPA_DATA!D:G,3,0)=1,'FACT_EST_EFACT',(IF(VLOOKUP(B58,MAPA_DATA!D:G,4,0)=1,'FACT_EST_CEN','SIN_DATA')))!B:B,Reliquidacion!B58,IF(VLOOKUP(B9,MAPA_DATA!D:G,2,0)=1,'FACT_EMITIDA',IF(VLOOKUP(B58,MAPA_DATA!D:G,3,0)=1,'FACT_EST_EFACT',(IF(VLOOKUP(B58,MAPA_DATA!D:G,4,0)=1,'FACT_EST_CEN','SIN_DATA')))!H:H)</v>
      </c>
      <c r="J58" s="11" t="str">
        <f t="shared" si="11"/>
        <v>(F58+I58)</v>
      </c>
      <c r="L58" s="60" t="str">
        <f>IF(VLOOKUP(B58,MAPA_DATA!D:I,5,0)=1,"EFACT_CNE",IF(VLOOKUP(B58,MAPA_DATA!D:I,6,0)=1,"EFACT_EST_CNE","SIN_DATA"))</f>
        <v>SIN_DATA</v>
      </c>
      <c r="M58" s="11" t="str">
        <f t="shared" si="30"/>
        <v>SUMIF(SIN_DATA!B:B;Reliquidacion!B58;SIN_DATA!S:S)</v>
      </c>
      <c r="N58" s="12" t="str">
        <f t="shared" si="12"/>
        <v>(O58/M58)</v>
      </c>
      <c r="O58" s="11" t="str">
        <f t="shared" si="31"/>
        <v>SUMIF(SIN_DATA!B:B;Reliquidacion!B58;SIN_DATA!W:W)</v>
      </c>
      <c r="P58" s="13" t="str">
        <f t="shared" si="32"/>
        <v>SUMIF(SIN_DATA!B:B;Reliquidacion!B58;SIN_DATA!X:X)</v>
      </c>
      <c r="Q58" s="12" t="str">
        <f t="shared" si="13"/>
        <v>(R58/P58)</v>
      </c>
      <c r="R58" s="11" t="str">
        <f t="shared" si="33"/>
        <v>SUMIF(SIN_DATA!B:B;Reliquidacion!B58;SIN_DATA!AB:AB)</v>
      </c>
      <c r="S58" s="11" t="str">
        <f t="shared" si="14"/>
        <v>(O58+R58)</v>
      </c>
      <c r="U58" s="79">
        <v>43862</v>
      </c>
      <c r="V58" s="31" t="str">
        <f t="shared" si="15"/>
        <v>=(S58-J58)</v>
      </c>
      <c r="W58" s="65" t="s">
        <v>446</v>
      </c>
      <c r="X58" s="33">
        <f>VLOOKUP(W58,[1]INTERESES!A:B,2,0)</f>
        <v>0</v>
      </c>
      <c r="Y58" s="34" t="e">
        <f>VLOOKUP(W58,#REF!,6,0)</f>
        <v>#REF!</v>
      </c>
      <c r="Z58" s="35">
        <v>43915</v>
      </c>
      <c r="AA58" s="35">
        <f t="shared" si="25"/>
        <v>44377</v>
      </c>
      <c r="AB58" s="37">
        <f t="shared" si="21"/>
        <v>462</v>
      </c>
      <c r="AC58" s="38" t="e">
        <f t="shared" si="22"/>
        <v>#REF!</v>
      </c>
      <c r="AD58" s="31" t="e">
        <f t="shared" si="23"/>
        <v>#REF!</v>
      </c>
      <c r="AE58" s="31" t="e">
        <f t="shared" si="24"/>
        <v>#VALUE!</v>
      </c>
    </row>
    <row r="59" spans="1:31" x14ac:dyDescent="0.25">
      <c r="A59" s="64">
        <f t="shared" si="20"/>
        <v>59</v>
      </c>
      <c r="B59" s="59">
        <v>43891</v>
      </c>
      <c r="C59" s="81" t="str">
        <f t="shared" si="8"/>
        <v>IF(VLOOKUP(B9,MAPA_DATA!D:G,2,0)=1,'FACT_EMITIDA',IF(VLOOKUP(B59,MAPA_DATA!D:G,3,0)=1,'FACT_EST_EFACT',(IF(VLOOKUP(B59,MAPA_DATA!D:G,4,0)=1,'FACT_EST_CEN','SIN_DATA')))</v>
      </c>
      <c r="D59" s="11" t="str">
        <f t="shared" si="26"/>
        <v>SUMIF(IF(VLOOKUP(B9,MAPA_DATA!D:G,2,0)=1,'FACT_EMITIDA',IF(VLOOKUP(B59,MAPA_DATA!D:G,3,0)=1,'FACT_EST_EFACT',(IF(VLOOKUP(B59,MAPA_DATA!D:G,4,0)=1,'FACT_EST_CEN','SIN_DATA')))!B:B,Reliquidacion!B59,IF(VLOOKUP(B9,MAPA_DATA!D:G,2,0)=1,'FACT_EMITIDA',IF(VLOOKUP(B59,MAPA_DATA!D:G,3,0)=1,'FACT_EST_EFACT',(IF(VLOOKUP(B59,MAPA_DATA!D:G,4,0)=1,'FACT_EST_CEN','SIN_DATA')))!F:F)</v>
      </c>
      <c r="E59" s="12" t="str">
        <f t="shared" si="9"/>
        <v>(F59/D59)</v>
      </c>
      <c r="F59" s="11" t="str">
        <f t="shared" si="27"/>
        <v>SUMIF(IF(VLOOKUP(B9,MAPA_DATA!D:G,2,0)=1,'FACT_EMITIDA',IF(VLOOKUP(B59,MAPA_DATA!D:G,3,0)=1,'FACT_EST_EFACT',(IF(VLOOKUP(B59,MAPA_DATA!D:G,4,0)=1,'FACT_EST_CEN','SIN_DATA')))!B:B,Reliquidacion!B59,IF(VLOOKUP(B9,MAPA_DATA!D:G,2,0)=1,'FACT_EMITIDA',IF(VLOOKUP(B59,MAPA_DATA!D:G,3,0)=1,'FACT_EST_EFACT',(IF(VLOOKUP(B59,MAPA_DATA!D:G,4,0)=1,'FACT_EST_CEN','SIN_DATA')))!H:H)</v>
      </c>
      <c r="G59" s="13" t="str">
        <f t="shared" si="28"/>
        <v>SUMIF(IF(VLOOKUP(B9,MAPA_DATA!D:G,2,0)=1,'FACT_EMITIDA',IF(VLOOKUP(B59,MAPA_DATA!D:G,3,0)=1,'FACT_EST_EFACT',(IF(VLOOKUP(B59,MAPA_DATA!D:G,4,0)=1,'FACT_EST_CEN','SIN_DATA')))!B:B,Reliquidacion!B59,IF(VLOOKUP(B9,MAPA_DATA!D:G,2,0)=1,'FACT_EMITIDA',IF(VLOOKUP(B59,MAPA_DATA!D:G,3,0)=1,'FACT_EST_EFACT',(IF(VLOOKUP(B59,MAPA_DATA!D:G,4,0)=1,'FACT_EST_CEN','SIN_DATA')))!F:F)</v>
      </c>
      <c r="H59" s="12" t="str">
        <f t="shared" si="10"/>
        <v>(I59/G59)</v>
      </c>
      <c r="I59" s="11" t="str">
        <f t="shared" si="29"/>
        <v>SUMIF(IF(VLOOKUP(B9,MAPA_DATA!D:G,2,0)=1,'FACT_EMITIDA',IF(VLOOKUP(B59,MAPA_DATA!D:G,3,0)=1,'FACT_EST_EFACT',(IF(VLOOKUP(B59,MAPA_DATA!D:G,4,0)=1,'FACT_EST_CEN','SIN_DATA')))!B:B,Reliquidacion!B59,IF(VLOOKUP(B9,MAPA_DATA!D:G,2,0)=1,'FACT_EMITIDA',IF(VLOOKUP(B59,MAPA_DATA!D:G,3,0)=1,'FACT_EST_EFACT',(IF(VLOOKUP(B59,MAPA_DATA!D:G,4,0)=1,'FACT_EST_CEN','SIN_DATA')))!H:H)</v>
      </c>
      <c r="J59" s="11" t="str">
        <f t="shared" si="11"/>
        <v>(F59+I59)</v>
      </c>
      <c r="L59" s="60" t="str">
        <f>IF(VLOOKUP(B59,MAPA_DATA!D:I,5,0)=1,"EFACT_CNE",IF(VLOOKUP(B59,MAPA_DATA!D:I,6,0)=1,"EFACT_EST_CNE","SIN_DATA"))</f>
        <v>SIN_DATA</v>
      </c>
      <c r="M59" s="11" t="str">
        <f t="shared" si="30"/>
        <v>SUMIF(SIN_DATA!B:B;Reliquidacion!B59;SIN_DATA!S:S)</v>
      </c>
      <c r="N59" s="12" t="str">
        <f t="shared" si="12"/>
        <v>(O59/M59)</v>
      </c>
      <c r="O59" s="11" t="str">
        <f t="shared" si="31"/>
        <v>SUMIF(SIN_DATA!B:B;Reliquidacion!B59;SIN_DATA!W:W)</v>
      </c>
      <c r="P59" s="13" t="str">
        <f t="shared" si="32"/>
        <v>SUMIF(SIN_DATA!B:B;Reliquidacion!B59;SIN_DATA!X:X)</v>
      </c>
      <c r="Q59" s="12" t="str">
        <f t="shared" si="13"/>
        <v>(R59/P59)</v>
      </c>
      <c r="R59" s="11" t="str">
        <f t="shared" si="33"/>
        <v>SUMIF(SIN_DATA!B:B;Reliquidacion!B59;SIN_DATA!AB:AB)</v>
      </c>
      <c r="S59" s="11" t="str">
        <f t="shared" si="14"/>
        <v>(O59+R59)</v>
      </c>
      <c r="U59" s="79">
        <v>43891</v>
      </c>
      <c r="V59" s="31" t="str">
        <f t="shared" si="15"/>
        <v>=(S59-J59)</v>
      </c>
      <c r="W59" s="65" t="s">
        <v>446</v>
      </c>
      <c r="X59" s="33">
        <f>VLOOKUP(W59,[1]INTERESES!A:B,2,0)</f>
        <v>0</v>
      </c>
      <c r="Y59" s="34" t="e">
        <f>VLOOKUP(W59,#REF!,6,0)</f>
        <v>#REF!</v>
      </c>
      <c r="Z59" s="35">
        <v>43946</v>
      </c>
      <c r="AA59" s="35">
        <f t="shared" si="25"/>
        <v>44377</v>
      </c>
      <c r="AB59" s="37">
        <f t="shared" si="21"/>
        <v>431</v>
      </c>
      <c r="AC59" s="38" t="e">
        <f t="shared" si="22"/>
        <v>#REF!</v>
      </c>
      <c r="AD59" s="31" t="e">
        <f t="shared" si="23"/>
        <v>#REF!</v>
      </c>
      <c r="AE59" s="31" t="e">
        <f t="shared" si="24"/>
        <v>#VALUE!</v>
      </c>
    </row>
    <row r="60" spans="1:31" x14ac:dyDescent="0.25">
      <c r="A60" s="64">
        <f t="shared" si="20"/>
        <v>60</v>
      </c>
      <c r="B60" s="59">
        <v>43922</v>
      </c>
      <c r="C60" s="81" t="str">
        <f t="shared" si="8"/>
        <v>IF(VLOOKUP(B9,MAPA_DATA!D:G,2,0)=1,'FACT_EMITIDA',IF(VLOOKUP(B60,MAPA_DATA!D:G,3,0)=1,'FACT_EST_EFACT',(IF(VLOOKUP(B60,MAPA_DATA!D:G,4,0)=1,'FACT_EST_CEN','SIN_DATA')))</v>
      </c>
      <c r="D60" s="11" t="str">
        <f t="shared" si="26"/>
        <v>SUMIF(IF(VLOOKUP(B9,MAPA_DATA!D:G,2,0)=1,'FACT_EMITIDA',IF(VLOOKUP(B60,MAPA_DATA!D:G,3,0)=1,'FACT_EST_EFACT',(IF(VLOOKUP(B60,MAPA_DATA!D:G,4,0)=1,'FACT_EST_CEN','SIN_DATA')))!B:B,Reliquidacion!B60,IF(VLOOKUP(B9,MAPA_DATA!D:G,2,0)=1,'FACT_EMITIDA',IF(VLOOKUP(B60,MAPA_DATA!D:G,3,0)=1,'FACT_EST_EFACT',(IF(VLOOKUP(B60,MAPA_DATA!D:G,4,0)=1,'FACT_EST_CEN','SIN_DATA')))!F:F)</v>
      </c>
      <c r="E60" s="12" t="str">
        <f t="shared" si="9"/>
        <v>(F60/D60)</v>
      </c>
      <c r="F60" s="11" t="str">
        <f t="shared" si="27"/>
        <v>SUMIF(IF(VLOOKUP(B9,MAPA_DATA!D:G,2,0)=1,'FACT_EMITIDA',IF(VLOOKUP(B60,MAPA_DATA!D:G,3,0)=1,'FACT_EST_EFACT',(IF(VLOOKUP(B60,MAPA_DATA!D:G,4,0)=1,'FACT_EST_CEN','SIN_DATA')))!B:B,Reliquidacion!B60,IF(VLOOKUP(B9,MAPA_DATA!D:G,2,0)=1,'FACT_EMITIDA',IF(VLOOKUP(B60,MAPA_DATA!D:G,3,0)=1,'FACT_EST_EFACT',(IF(VLOOKUP(B60,MAPA_DATA!D:G,4,0)=1,'FACT_EST_CEN','SIN_DATA')))!H:H)</v>
      </c>
      <c r="G60" s="13" t="str">
        <f t="shared" si="28"/>
        <v>SUMIF(IF(VLOOKUP(B9,MAPA_DATA!D:G,2,0)=1,'FACT_EMITIDA',IF(VLOOKUP(B60,MAPA_DATA!D:G,3,0)=1,'FACT_EST_EFACT',(IF(VLOOKUP(B60,MAPA_DATA!D:G,4,0)=1,'FACT_EST_CEN','SIN_DATA')))!B:B,Reliquidacion!B60,IF(VLOOKUP(B9,MAPA_DATA!D:G,2,0)=1,'FACT_EMITIDA',IF(VLOOKUP(B60,MAPA_DATA!D:G,3,0)=1,'FACT_EST_EFACT',(IF(VLOOKUP(B60,MAPA_DATA!D:G,4,0)=1,'FACT_EST_CEN','SIN_DATA')))!F:F)</v>
      </c>
      <c r="H60" s="12" t="str">
        <f t="shared" si="10"/>
        <v>(I60/G60)</v>
      </c>
      <c r="I60" s="11" t="str">
        <f t="shared" si="29"/>
        <v>SUMIF(IF(VLOOKUP(B9,MAPA_DATA!D:G,2,0)=1,'FACT_EMITIDA',IF(VLOOKUP(B60,MAPA_DATA!D:G,3,0)=1,'FACT_EST_EFACT',(IF(VLOOKUP(B60,MAPA_DATA!D:G,4,0)=1,'FACT_EST_CEN','SIN_DATA')))!B:B,Reliquidacion!B60,IF(VLOOKUP(B9,MAPA_DATA!D:G,2,0)=1,'FACT_EMITIDA',IF(VLOOKUP(B60,MAPA_DATA!D:G,3,0)=1,'FACT_EST_EFACT',(IF(VLOOKUP(B60,MAPA_DATA!D:G,4,0)=1,'FACT_EST_CEN','SIN_DATA')))!H:H)</v>
      </c>
      <c r="J60" s="11" t="str">
        <f t="shared" si="11"/>
        <v>(F60+I60)</v>
      </c>
      <c r="L60" s="60" t="str">
        <f>IF(VLOOKUP(B60,MAPA_DATA!D:I,5,0)=1,"EFACT_CNE",IF(VLOOKUP(B60,MAPA_DATA!D:I,6,0)=1,"EFACT_EST_CNE","SIN_DATA"))</f>
        <v>SIN_DATA</v>
      </c>
      <c r="M60" s="11" t="str">
        <f t="shared" si="30"/>
        <v>SUMIF(SIN_DATA!B:B;Reliquidacion!B60;SIN_DATA!S:S)</v>
      </c>
      <c r="N60" s="12" t="str">
        <f t="shared" si="12"/>
        <v>(O60/M60)</v>
      </c>
      <c r="O60" s="11" t="str">
        <f t="shared" si="31"/>
        <v>SUMIF(SIN_DATA!B:B;Reliquidacion!B60;SIN_DATA!W:W)</v>
      </c>
      <c r="P60" s="13" t="str">
        <f t="shared" si="32"/>
        <v>SUMIF(SIN_DATA!B:B;Reliquidacion!B60;SIN_DATA!X:X)</v>
      </c>
      <c r="Q60" s="12" t="str">
        <f t="shared" si="13"/>
        <v>(R60/P60)</v>
      </c>
      <c r="R60" s="11" t="str">
        <f t="shared" si="33"/>
        <v>SUMIF(SIN_DATA!B:B;Reliquidacion!B60;SIN_DATA!AB:AB)</v>
      </c>
      <c r="S60" s="11" t="str">
        <f t="shared" si="14"/>
        <v>(O60+R60)</v>
      </c>
      <c r="U60" s="79">
        <v>43922</v>
      </c>
      <c r="V60" s="31" t="str">
        <f t="shared" si="15"/>
        <v>=(S60-J60)</v>
      </c>
      <c r="W60" s="65" t="s">
        <v>446</v>
      </c>
      <c r="X60" s="33">
        <f>VLOOKUP(W60,[1]INTERESES!A:B,2,0)</f>
        <v>0</v>
      </c>
      <c r="Y60" s="34" t="e">
        <f>VLOOKUP(W60,#REF!,6,0)</f>
        <v>#REF!</v>
      </c>
      <c r="Z60" s="35">
        <v>43976</v>
      </c>
      <c r="AA60" s="35">
        <f t="shared" si="25"/>
        <v>44377</v>
      </c>
      <c r="AB60" s="37">
        <f t="shared" si="21"/>
        <v>401</v>
      </c>
      <c r="AC60" s="38" t="e">
        <f t="shared" si="22"/>
        <v>#REF!</v>
      </c>
      <c r="AD60" s="31" t="e">
        <f t="shared" si="23"/>
        <v>#REF!</v>
      </c>
      <c r="AE60" s="31" t="e">
        <f t="shared" si="24"/>
        <v>#VALUE!</v>
      </c>
    </row>
    <row r="61" spans="1:31" x14ac:dyDescent="0.25">
      <c r="A61" s="64">
        <f t="shared" si="20"/>
        <v>61</v>
      </c>
      <c r="B61" s="59">
        <v>43952</v>
      </c>
      <c r="C61" s="81" t="str">
        <f t="shared" si="8"/>
        <v>IF(VLOOKUP(B9,MAPA_DATA!D:G,2,0)=1,'FACT_EMITIDA',IF(VLOOKUP(B61,MAPA_DATA!D:G,3,0)=1,'FACT_EST_EFACT',(IF(VLOOKUP(B61,MAPA_DATA!D:G,4,0)=1,'FACT_EST_CEN','SIN_DATA')))</v>
      </c>
      <c r="D61" s="11" t="str">
        <f t="shared" si="26"/>
        <v>SUMIF(IF(VLOOKUP(B9,MAPA_DATA!D:G,2,0)=1,'FACT_EMITIDA',IF(VLOOKUP(B61,MAPA_DATA!D:G,3,0)=1,'FACT_EST_EFACT',(IF(VLOOKUP(B61,MAPA_DATA!D:G,4,0)=1,'FACT_EST_CEN','SIN_DATA')))!B:B,Reliquidacion!B61,IF(VLOOKUP(B9,MAPA_DATA!D:G,2,0)=1,'FACT_EMITIDA',IF(VLOOKUP(B61,MAPA_DATA!D:G,3,0)=1,'FACT_EST_EFACT',(IF(VLOOKUP(B61,MAPA_DATA!D:G,4,0)=1,'FACT_EST_CEN','SIN_DATA')))!F:F)</v>
      </c>
      <c r="E61" s="12" t="str">
        <f t="shared" si="9"/>
        <v>(F61/D61)</v>
      </c>
      <c r="F61" s="11" t="str">
        <f t="shared" si="27"/>
        <v>SUMIF(IF(VLOOKUP(B9,MAPA_DATA!D:G,2,0)=1,'FACT_EMITIDA',IF(VLOOKUP(B61,MAPA_DATA!D:G,3,0)=1,'FACT_EST_EFACT',(IF(VLOOKUP(B61,MAPA_DATA!D:G,4,0)=1,'FACT_EST_CEN','SIN_DATA')))!B:B,Reliquidacion!B61,IF(VLOOKUP(B9,MAPA_DATA!D:G,2,0)=1,'FACT_EMITIDA',IF(VLOOKUP(B61,MAPA_DATA!D:G,3,0)=1,'FACT_EST_EFACT',(IF(VLOOKUP(B61,MAPA_DATA!D:G,4,0)=1,'FACT_EST_CEN','SIN_DATA')))!H:H)</v>
      </c>
      <c r="G61" s="13" t="str">
        <f t="shared" si="28"/>
        <v>SUMIF(IF(VLOOKUP(B9,MAPA_DATA!D:G,2,0)=1,'FACT_EMITIDA',IF(VLOOKUP(B61,MAPA_DATA!D:G,3,0)=1,'FACT_EST_EFACT',(IF(VLOOKUP(B61,MAPA_DATA!D:G,4,0)=1,'FACT_EST_CEN','SIN_DATA')))!B:B,Reliquidacion!B61,IF(VLOOKUP(B9,MAPA_DATA!D:G,2,0)=1,'FACT_EMITIDA',IF(VLOOKUP(B61,MAPA_DATA!D:G,3,0)=1,'FACT_EST_EFACT',(IF(VLOOKUP(B61,MAPA_DATA!D:G,4,0)=1,'FACT_EST_CEN','SIN_DATA')))!F:F)</v>
      </c>
      <c r="H61" s="12" t="str">
        <f t="shared" si="10"/>
        <v>(I61/G61)</v>
      </c>
      <c r="I61" s="11" t="str">
        <f t="shared" si="29"/>
        <v>SUMIF(IF(VLOOKUP(B9,MAPA_DATA!D:G,2,0)=1,'FACT_EMITIDA',IF(VLOOKUP(B61,MAPA_DATA!D:G,3,0)=1,'FACT_EST_EFACT',(IF(VLOOKUP(B61,MAPA_DATA!D:G,4,0)=1,'FACT_EST_CEN','SIN_DATA')))!B:B,Reliquidacion!B61,IF(VLOOKUP(B9,MAPA_DATA!D:G,2,0)=1,'FACT_EMITIDA',IF(VLOOKUP(B61,MAPA_DATA!D:G,3,0)=1,'FACT_EST_EFACT',(IF(VLOOKUP(B61,MAPA_DATA!D:G,4,0)=1,'FACT_EST_CEN','SIN_DATA')))!H:H)</v>
      </c>
      <c r="J61" s="11" t="str">
        <f t="shared" si="11"/>
        <v>(F61+I61)</v>
      </c>
      <c r="L61" s="60" t="str">
        <f>IF(VLOOKUP(B61,MAPA_DATA!D:I,5,0)=1,"EFACT_CNE",IF(VLOOKUP(B61,MAPA_DATA!D:I,6,0)=1,"EFACT_EST_CNE","SIN_DATA"))</f>
        <v>SIN_DATA</v>
      </c>
      <c r="M61" s="11" t="str">
        <f t="shared" si="30"/>
        <v>SUMIF(SIN_DATA!B:B;Reliquidacion!B61;SIN_DATA!S:S)</v>
      </c>
      <c r="N61" s="12" t="str">
        <f t="shared" si="12"/>
        <v>(O61/M61)</v>
      </c>
      <c r="O61" s="11" t="str">
        <f t="shared" si="31"/>
        <v>SUMIF(SIN_DATA!B:B;Reliquidacion!B61;SIN_DATA!W:W)</v>
      </c>
      <c r="P61" s="13" t="str">
        <f t="shared" si="32"/>
        <v>SUMIF(SIN_DATA!B:B;Reliquidacion!B61;SIN_DATA!X:X)</v>
      </c>
      <c r="Q61" s="12" t="str">
        <f t="shared" si="13"/>
        <v>(R61/P61)</v>
      </c>
      <c r="R61" s="11" t="str">
        <f t="shared" si="33"/>
        <v>SUMIF(SIN_DATA!B:B;Reliquidacion!B61;SIN_DATA!AB:AB)</v>
      </c>
      <c r="S61" s="11" t="str">
        <f t="shared" si="14"/>
        <v>(O61+R61)</v>
      </c>
      <c r="U61" s="79">
        <v>43952</v>
      </c>
      <c r="V61" s="31" t="str">
        <f t="shared" si="15"/>
        <v>=(S61-J61)</v>
      </c>
      <c r="W61" s="65" t="s">
        <v>446</v>
      </c>
      <c r="X61" s="33">
        <f>VLOOKUP(W61,[1]INTERESES!A:B,2,0)</f>
        <v>0</v>
      </c>
      <c r="Y61" s="34" t="e">
        <f>VLOOKUP(W61,#REF!,6,0)</f>
        <v>#REF!</v>
      </c>
      <c r="Z61" s="35">
        <v>44007</v>
      </c>
      <c r="AA61" s="35">
        <f t="shared" si="25"/>
        <v>44377</v>
      </c>
      <c r="AB61" s="37">
        <f t="shared" si="21"/>
        <v>370</v>
      </c>
      <c r="AC61" s="38" t="e">
        <f t="shared" si="22"/>
        <v>#REF!</v>
      </c>
      <c r="AD61" s="31" t="e">
        <f t="shared" si="23"/>
        <v>#REF!</v>
      </c>
      <c r="AE61" s="31" t="e">
        <f t="shared" si="24"/>
        <v>#VALUE!</v>
      </c>
    </row>
    <row r="62" spans="1:31" x14ac:dyDescent="0.25">
      <c r="A62" s="64">
        <f t="shared" si="20"/>
        <v>62</v>
      </c>
      <c r="B62" s="59">
        <v>43983</v>
      </c>
      <c r="C62" s="81" t="str">
        <f t="shared" si="8"/>
        <v>IF(VLOOKUP(B9,MAPA_DATA!D:G,2,0)=1,'FACT_EMITIDA',IF(VLOOKUP(B62,MAPA_DATA!D:G,3,0)=1,'FACT_EST_EFACT',(IF(VLOOKUP(B62,MAPA_DATA!D:G,4,0)=1,'FACT_EST_CEN','SIN_DATA')))</v>
      </c>
      <c r="D62" s="11" t="str">
        <f t="shared" si="26"/>
        <v>SUMIF(IF(VLOOKUP(B9,MAPA_DATA!D:G,2,0)=1,'FACT_EMITIDA',IF(VLOOKUP(B62,MAPA_DATA!D:G,3,0)=1,'FACT_EST_EFACT',(IF(VLOOKUP(B62,MAPA_DATA!D:G,4,0)=1,'FACT_EST_CEN','SIN_DATA')))!B:B,Reliquidacion!B62,IF(VLOOKUP(B9,MAPA_DATA!D:G,2,0)=1,'FACT_EMITIDA',IF(VLOOKUP(B62,MAPA_DATA!D:G,3,0)=1,'FACT_EST_EFACT',(IF(VLOOKUP(B62,MAPA_DATA!D:G,4,0)=1,'FACT_EST_CEN','SIN_DATA')))!F:F)</v>
      </c>
      <c r="E62" s="12" t="str">
        <f t="shared" si="9"/>
        <v>(F62/D62)</v>
      </c>
      <c r="F62" s="11" t="str">
        <f t="shared" si="27"/>
        <v>SUMIF(IF(VLOOKUP(B9,MAPA_DATA!D:G,2,0)=1,'FACT_EMITIDA',IF(VLOOKUP(B62,MAPA_DATA!D:G,3,0)=1,'FACT_EST_EFACT',(IF(VLOOKUP(B62,MAPA_DATA!D:G,4,0)=1,'FACT_EST_CEN','SIN_DATA')))!B:B,Reliquidacion!B62,IF(VLOOKUP(B9,MAPA_DATA!D:G,2,0)=1,'FACT_EMITIDA',IF(VLOOKUP(B62,MAPA_DATA!D:G,3,0)=1,'FACT_EST_EFACT',(IF(VLOOKUP(B62,MAPA_DATA!D:G,4,0)=1,'FACT_EST_CEN','SIN_DATA')))!H:H)</v>
      </c>
      <c r="G62" s="13" t="str">
        <f t="shared" si="28"/>
        <v>SUMIF(IF(VLOOKUP(B9,MAPA_DATA!D:G,2,0)=1,'FACT_EMITIDA',IF(VLOOKUP(B62,MAPA_DATA!D:G,3,0)=1,'FACT_EST_EFACT',(IF(VLOOKUP(B62,MAPA_DATA!D:G,4,0)=1,'FACT_EST_CEN','SIN_DATA')))!B:B,Reliquidacion!B62,IF(VLOOKUP(B9,MAPA_DATA!D:G,2,0)=1,'FACT_EMITIDA',IF(VLOOKUP(B62,MAPA_DATA!D:G,3,0)=1,'FACT_EST_EFACT',(IF(VLOOKUP(B62,MAPA_DATA!D:G,4,0)=1,'FACT_EST_CEN','SIN_DATA')))!F:F)</v>
      </c>
      <c r="H62" s="12" t="str">
        <f t="shared" si="10"/>
        <v>(I62/G62)</v>
      </c>
      <c r="I62" s="11" t="str">
        <f t="shared" si="29"/>
        <v>SUMIF(IF(VLOOKUP(B9,MAPA_DATA!D:G,2,0)=1,'FACT_EMITIDA',IF(VLOOKUP(B62,MAPA_DATA!D:G,3,0)=1,'FACT_EST_EFACT',(IF(VLOOKUP(B62,MAPA_DATA!D:G,4,0)=1,'FACT_EST_CEN','SIN_DATA')))!B:B,Reliquidacion!B62,IF(VLOOKUP(B9,MAPA_DATA!D:G,2,0)=1,'FACT_EMITIDA',IF(VLOOKUP(B62,MAPA_DATA!D:G,3,0)=1,'FACT_EST_EFACT',(IF(VLOOKUP(B62,MAPA_DATA!D:G,4,0)=1,'FACT_EST_CEN','SIN_DATA')))!H:H)</v>
      </c>
      <c r="J62" s="11" t="str">
        <f t="shared" si="11"/>
        <v>(F62+I62)</v>
      </c>
      <c r="L62" s="60" t="str">
        <f>IF(VLOOKUP(B62,MAPA_DATA!D:I,5,0)=1,"EFACT_CNE",IF(VLOOKUP(B62,MAPA_DATA!D:I,6,0)=1,"EFACT_EST_CNE","SIN_DATA"))</f>
        <v>SIN_DATA</v>
      </c>
      <c r="M62" s="11" t="str">
        <f t="shared" si="30"/>
        <v>SUMIF(SIN_DATA!B:B;Reliquidacion!B62;SIN_DATA!S:S)</v>
      </c>
      <c r="N62" s="12" t="str">
        <f t="shared" si="12"/>
        <v>(O62/M62)</v>
      </c>
      <c r="O62" s="11" t="str">
        <f t="shared" si="31"/>
        <v>SUMIF(SIN_DATA!B:B;Reliquidacion!B62;SIN_DATA!W:W)</v>
      </c>
      <c r="P62" s="13" t="str">
        <f t="shared" si="32"/>
        <v>SUMIF(SIN_DATA!B:B;Reliquidacion!B62;SIN_DATA!X:X)</v>
      </c>
      <c r="Q62" s="12" t="str">
        <f t="shared" si="13"/>
        <v>(R62/P62)</v>
      </c>
      <c r="R62" s="11" t="str">
        <f t="shared" si="33"/>
        <v>SUMIF(SIN_DATA!B:B;Reliquidacion!B62;SIN_DATA!AB:AB)</v>
      </c>
      <c r="S62" s="11" t="str">
        <f t="shared" si="14"/>
        <v>(O62+R62)</v>
      </c>
      <c r="U62" s="79">
        <v>43983</v>
      </c>
      <c r="V62" s="31" t="str">
        <f t="shared" si="15"/>
        <v>=(S62-J62)</v>
      </c>
      <c r="W62" s="65" t="s">
        <v>446</v>
      </c>
      <c r="X62" s="33">
        <f>VLOOKUP(W62,[1]INTERESES!A:B,2,0)</f>
        <v>0</v>
      </c>
      <c r="Y62" s="34" t="e">
        <f>VLOOKUP(W62,#REF!,6,0)</f>
        <v>#REF!</v>
      </c>
      <c r="Z62" s="35">
        <v>44037</v>
      </c>
      <c r="AA62" s="35">
        <f>AA60</f>
        <v>44377</v>
      </c>
      <c r="AB62" s="37">
        <f>AA62-Z62</f>
        <v>340</v>
      </c>
      <c r="AC62" s="38" t="e">
        <f>+(1+Y62)^(AB62/360)-1</f>
        <v>#REF!</v>
      </c>
      <c r="AD62" s="15" t="e">
        <f>AC62*V62</f>
        <v>#REF!</v>
      </c>
      <c r="AE62" s="15" t="e">
        <f>+V62+AD62</f>
        <v>#VALUE!</v>
      </c>
    </row>
    <row r="63" spans="1:31" x14ac:dyDescent="0.25">
      <c r="A63" s="64">
        <f t="shared" si="20"/>
        <v>63</v>
      </c>
      <c r="B63" s="59">
        <v>44013</v>
      </c>
      <c r="C63" s="81" t="str">
        <f t="shared" si="8"/>
        <v>IF(VLOOKUP(B9,MAPA_DATA!D:G,2,0)=1,'FACT_EMITIDA',IF(VLOOKUP(B63,MAPA_DATA!D:G,3,0)=1,'FACT_EST_EFACT',(IF(VLOOKUP(B63,MAPA_DATA!D:G,4,0)=1,'FACT_EST_CEN','SIN_DATA')))</v>
      </c>
      <c r="D63" s="11" t="str">
        <f t="shared" si="26"/>
        <v>SUMIF(IF(VLOOKUP(B9,MAPA_DATA!D:G,2,0)=1,'FACT_EMITIDA',IF(VLOOKUP(B63,MAPA_DATA!D:G,3,0)=1,'FACT_EST_EFACT',(IF(VLOOKUP(B63,MAPA_DATA!D:G,4,0)=1,'FACT_EST_CEN','SIN_DATA')))!B:B,Reliquidacion!B63,IF(VLOOKUP(B9,MAPA_DATA!D:G,2,0)=1,'FACT_EMITIDA',IF(VLOOKUP(B63,MAPA_DATA!D:G,3,0)=1,'FACT_EST_EFACT',(IF(VLOOKUP(B63,MAPA_DATA!D:G,4,0)=1,'FACT_EST_CEN','SIN_DATA')))!F:F)</v>
      </c>
      <c r="E63" s="12" t="str">
        <f t="shared" si="9"/>
        <v>(F63/D63)</v>
      </c>
      <c r="F63" s="11" t="str">
        <f t="shared" si="27"/>
        <v>SUMIF(IF(VLOOKUP(B9,MAPA_DATA!D:G,2,0)=1,'FACT_EMITIDA',IF(VLOOKUP(B63,MAPA_DATA!D:G,3,0)=1,'FACT_EST_EFACT',(IF(VLOOKUP(B63,MAPA_DATA!D:G,4,0)=1,'FACT_EST_CEN','SIN_DATA')))!B:B,Reliquidacion!B63,IF(VLOOKUP(B9,MAPA_DATA!D:G,2,0)=1,'FACT_EMITIDA',IF(VLOOKUP(B63,MAPA_DATA!D:G,3,0)=1,'FACT_EST_EFACT',(IF(VLOOKUP(B63,MAPA_DATA!D:G,4,0)=1,'FACT_EST_CEN','SIN_DATA')))!H:H)</v>
      </c>
      <c r="G63" s="13" t="str">
        <f t="shared" si="28"/>
        <v>SUMIF(IF(VLOOKUP(B9,MAPA_DATA!D:G,2,0)=1,'FACT_EMITIDA',IF(VLOOKUP(B63,MAPA_DATA!D:G,3,0)=1,'FACT_EST_EFACT',(IF(VLOOKUP(B63,MAPA_DATA!D:G,4,0)=1,'FACT_EST_CEN','SIN_DATA')))!B:B,Reliquidacion!B63,IF(VLOOKUP(B9,MAPA_DATA!D:G,2,0)=1,'FACT_EMITIDA',IF(VLOOKUP(B63,MAPA_DATA!D:G,3,0)=1,'FACT_EST_EFACT',(IF(VLOOKUP(B63,MAPA_DATA!D:G,4,0)=1,'FACT_EST_CEN','SIN_DATA')))!F:F)</v>
      </c>
      <c r="H63" s="12" t="str">
        <f t="shared" si="10"/>
        <v>(I63/G63)</v>
      </c>
      <c r="I63" s="11" t="str">
        <f t="shared" si="29"/>
        <v>SUMIF(IF(VLOOKUP(B9,MAPA_DATA!D:G,2,0)=1,'FACT_EMITIDA',IF(VLOOKUP(B63,MAPA_DATA!D:G,3,0)=1,'FACT_EST_EFACT',(IF(VLOOKUP(B63,MAPA_DATA!D:G,4,0)=1,'FACT_EST_CEN','SIN_DATA')))!B:B,Reliquidacion!B63,IF(VLOOKUP(B9,MAPA_DATA!D:G,2,0)=1,'FACT_EMITIDA',IF(VLOOKUP(B63,MAPA_DATA!D:G,3,0)=1,'FACT_EST_EFACT',(IF(VLOOKUP(B63,MAPA_DATA!D:G,4,0)=1,'FACT_EST_CEN','SIN_DATA')))!H:H)</v>
      </c>
      <c r="J63" s="11" t="str">
        <f t="shared" si="11"/>
        <v>(F63+I63)</v>
      </c>
      <c r="L63" s="60" t="str">
        <f>IF(VLOOKUP(B63,MAPA_DATA!D:I,5,0)=1,"EFACT_CNE",IF(VLOOKUP(B63,MAPA_DATA!D:I,6,0)=1,"EFACT_EST_CNE","SIN_DATA"))</f>
        <v>SIN_DATA</v>
      </c>
      <c r="M63" s="11" t="str">
        <f t="shared" si="30"/>
        <v>SUMIF(SIN_DATA!B:B;Reliquidacion!B63;SIN_DATA!S:S)</v>
      </c>
      <c r="N63" s="12" t="str">
        <f t="shared" si="12"/>
        <v>(O63/M63)</v>
      </c>
      <c r="O63" s="11" t="str">
        <f t="shared" si="31"/>
        <v>SUMIF(SIN_DATA!B:B;Reliquidacion!B63;SIN_DATA!W:W)</v>
      </c>
      <c r="P63" s="13" t="str">
        <f t="shared" si="32"/>
        <v>SUMIF(SIN_DATA!B:B;Reliquidacion!B63;SIN_DATA!X:X)</v>
      </c>
      <c r="Q63" s="12" t="str">
        <f t="shared" si="13"/>
        <v>(R63/P63)</v>
      </c>
      <c r="R63" s="11" t="str">
        <f t="shared" si="33"/>
        <v>SUMIF(SIN_DATA!B:B;Reliquidacion!B63;SIN_DATA!AB:AB)</v>
      </c>
      <c r="S63" s="11" t="str">
        <f t="shared" si="14"/>
        <v>(O63+R63)</v>
      </c>
      <c r="U63" s="79">
        <v>44013</v>
      </c>
      <c r="V63" s="31" t="str">
        <f t="shared" si="15"/>
        <v>=(S63-J63)</v>
      </c>
      <c r="W63" s="65" t="s">
        <v>447</v>
      </c>
      <c r="X63" s="33">
        <f>VLOOKUP(W63,[1]INTERESES!A:B,2,0)</f>
        <v>0</v>
      </c>
      <c r="Y63" s="34" t="e">
        <f>VLOOKUP(W63,#REF!,6,0)</f>
        <v>#REF!</v>
      </c>
      <c r="Z63" s="35">
        <v>44068</v>
      </c>
      <c r="AA63" s="35">
        <f>AA59</f>
        <v>44377</v>
      </c>
      <c r="AB63" s="37">
        <f>AA63-Z63</f>
        <v>309</v>
      </c>
      <c r="AC63" s="38" t="e">
        <f>+(1+Y63)^(AB63/360)-1</f>
        <v>#REF!</v>
      </c>
      <c r="AD63" s="15" t="e">
        <f>AC63*V63</f>
        <v>#REF!</v>
      </c>
      <c r="AE63" s="15" t="e">
        <f>+V63+AD63</f>
        <v>#VALUE!</v>
      </c>
    </row>
    <row r="64" spans="1:31" x14ac:dyDescent="0.25">
      <c r="A64" s="64">
        <f t="shared" si="20"/>
        <v>64</v>
      </c>
      <c r="B64" s="59">
        <v>44044</v>
      </c>
      <c r="C64" s="81" t="str">
        <f t="shared" si="8"/>
        <v>IF(VLOOKUP(B9,MAPA_DATA!D:G,2,0)=1,'FACT_EMITIDA',IF(VLOOKUP(B64,MAPA_DATA!D:G,3,0)=1,'FACT_EST_EFACT',(IF(VLOOKUP(B64,MAPA_DATA!D:G,4,0)=1,'FACT_EST_CEN','SIN_DATA')))</v>
      </c>
      <c r="D64" s="11" t="str">
        <f t="shared" si="26"/>
        <v>SUMIF(IF(VLOOKUP(B9,MAPA_DATA!D:G,2,0)=1,'FACT_EMITIDA',IF(VLOOKUP(B64,MAPA_DATA!D:G,3,0)=1,'FACT_EST_EFACT',(IF(VLOOKUP(B64,MAPA_DATA!D:G,4,0)=1,'FACT_EST_CEN','SIN_DATA')))!B:B,Reliquidacion!B64,IF(VLOOKUP(B9,MAPA_DATA!D:G,2,0)=1,'FACT_EMITIDA',IF(VLOOKUP(B64,MAPA_DATA!D:G,3,0)=1,'FACT_EST_EFACT',(IF(VLOOKUP(B64,MAPA_DATA!D:G,4,0)=1,'FACT_EST_CEN','SIN_DATA')))!F:F)</v>
      </c>
      <c r="E64" s="12" t="str">
        <f t="shared" si="9"/>
        <v>(F64/D64)</v>
      </c>
      <c r="F64" s="11" t="str">
        <f t="shared" si="27"/>
        <v>SUMIF(IF(VLOOKUP(B9,MAPA_DATA!D:G,2,0)=1,'FACT_EMITIDA',IF(VLOOKUP(B64,MAPA_DATA!D:G,3,0)=1,'FACT_EST_EFACT',(IF(VLOOKUP(B64,MAPA_DATA!D:G,4,0)=1,'FACT_EST_CEN','SIN_DATA')))!B:B,Reliquidacion!B64,IF(VLOOKUP(B9,MAPA_DATA!D:G,2,0)=1,'FACT_EMITIDA',IF(VLOOKUP(B64,MAPA_DATA!D:G,3,0)=1,'FACT_EST_EFACT',(IF(VLOOKUP(B64,MAPA_DATA!D:G,4,0)=1,'FACT_EST_CEN','SIN_DATA')))!H:H)</v>
      </c>
      <c r="G64" s="13" t="str">
        <f t="shared" si="28"/>
        <v>SUMIF(IF(VLOOKUP(B9,MAPA_DATA!D:G,2,0)=1,'FACT_EMITIDA',IF(VLOOKUP(B64,MAPA_DATA!D:G,3,0)=1,'FACT_EST_EFACT',(IF(VLOOKUP(B64,MAPA_DATA!D:G,4,0)=1,'FACT_EST_CEN','SIN_DATA')))!B:B,Reliquidacion!B64,IF(VLOOKUP(B9,MAPA_DATA!D:G,2,0)=1,'FACT_EMITIDA',IF(VLOOKUP(B64,MAPA_DATA!D:G,3,0)=1,'FACT_EST_EFACT',(IF(VLOOKUP(B64,MAPA_DATA!D:G,4,0)=1,'FACT_EST_CEN','SIN_DATA')))!F:F)</v>
      </c>
      <c r="H64" s="12" t="str">
        <f t="shared" si="10"/>
        <v>(I64/G64)</v>
      </c>
      <c r="I64" s="11" t="str">
        <f t="shared" si="29"/>
        <v>SUMIF(IF(VLOOKUP(B9,MAPA_DATA!D:G,2,0)=1,'FACT_EMITIDA',IF(VLOOKUP(B64,MAPA_DATA!D:G,3,0)=1,'FACT_EST_EFACT',(IF(VLOOKUP(B64,MAPA_DATA!D:G,4,0)=1,'FACT_EST_CEN','SIN_DATA')))!B:B,Reliquidacion!B64,IF(VLOOKUP(B9,MAPA_DATA!D:G,2,0)=1,'FACT_EMITIDA',IF(VLOOKUP(B64,MAPA_DATA!D:G,3,0)=1,'FACT_EST_EFACT',(IF(VLOOKUP(B64,MAPA_DATA!D:G,4,0)=1,'FACT_EST_CEN','SIN_DATA')))!H:H)</v>
      </c>
      <c r="J64" s="11" t="str">
        <f t="shared" si="11"/>
        <v>(F64+I64)</v>
      </c>
      <c r="L64" s="60" t="str">
        <f>IF(VLOOKUP(B64,MAPA_DATA!D:I,5,0)=1,"EFACT_CNE",IF(VLOOKUP(B64,MAPA_DATA!D:I,6,0)=1,"EFACT_EST_CNE","SIN_DATA"))</f>
        <v>SIN_DATA</v>
      </c>
      <c r="M64" s="11" t="str">
        <f t="shared" si="30"/>
        <v>SUMIF(SIN_DATA!B:B;Reliquidacion!B64;SIN_DATA!S:S)</v>
      </c>
      <c r="N64" s="12" t="str">
        <f t="shared" si="12"/>
        <v>(O64/M64)</v>
      </c>
      <c r="O64" s="11" t="str">
        <f t="shared" si="31"/>
        <v>SUMIF(SIN_DATA!B:B;Reliquidacion!B64;SIN_DATA!W:W)</v>
      </c>
      <c r="P64" s="13" t="str">
        <f t="shared" si="32"/>
        <v>SUMIF(SIN_DATA!B:B;Reliquidacion!B64;SIN_DATA!X:X)</v>
      </c>
      <c r="Q64" s="12" t="str">
        <f t="shared" si="13"/>
        <v>(R64/P64)</v>
      </c>
      <c r="R64" s="11" t="str">
        <f t="shared" si="33"/>
        <v>SUMIF(SIN_DATA!B:B;Reliquidacion!B64;SIN_DATA!AB:AB)</v>
      </c>
      <c r="S64" s="11" t="str">
        <f t="shared" si="14"/>
        <v>(O64+R64)</v>
      </c>
      <c r="U64" s="79">
        <v>44044</v>
      </c>
      <c r="V64" s="31" t="str">
        <f t="shared" si="15"/>
        <v>=(S64-J64)</v>
      </c>
      <c r="W64" s="65" t="s">
        <v>447</v>
      </c>
      <c r="X64" s="33">
        <f>VLOOKUP(W64,[1]INTERESES!A:B,2,0)</f>
        <v>0</v>
      </c>
      <c r="Y64" s="34" t="e">
        <f>VLOOKUP(W64,#REF!,6,0)</f>
        <v>#REF!</v>
      </c>
      <c r="Z64" s="35">
        <v>44099</v>
      </c>
      <c r="AA64" s="35">
        <f>AA60</f>
        <v>44377</v>
      </c>
      <c r="AB64" s="37">
        <f>AA64-Z64</f>
        <v>278</v>
      </c>
      <c r="AC64" s="38" t="e">
        <f>+(1+Y64)^(AB64/360)-1</f>
        <v>#REF!</v>
      </c>
      <c r="AD64" s="15" t="e">
        <f>AC64*V64</f>
        <v>#REF!</v>
      </c>
      <c r="AE64" s="15" t="e">
        <f>+V64+AD64</f>
        <v>#VALUE!</v>
      </c>
    </row>
    <row r="65" spans="1:31" ht="15.75" thickBot="1" x14ac:dyDescent="0.3">
      <c r="A65" s="64">
        <f>A64+1</f>
        <v>65</v>
      </c>
      <c r="B65" s="59">
        <v>44075</v>
      </c>
      <c r="C65" s="81" t="str">
        <f t="shared" si="8"/>
        <v>IF(VLOOKUP(B9,MAPA_DATA!D:G,2,0)=1,'FACT_EMITIDA',IF(VLOOKUP(B65,MAPA_DATA!D:G,3,0)=1,'FACT_EST_EFACT',(IF(VLOOKUP(B65,MAPA_DATA!D:G,4,0)=1,'FACT_EST_CEN','SIN_DATA')))</v>
      </c>
      <c r="D65" s="11" t="str">
        <f t="shared" si="26"/>
        <v>SUMIF(IF(VLOOKUP(B9,MAPA_DATA!D:G,2,0)=1,'FACT_EMITIDA',IF(VLOOKUP(B65,MAPA_DATA!D:G,3,0)=1,'FACT_EST_EFACT',(IF(VLOOKUP(B65,MAPA_DATA!D:G,4,0)=1,'FACT_EST_CEN','SIN_DATA')))!B:B,Reliquidacion!B65,IF(VLOOKUP(B9,MAPA_DATA!D:G,2,0)=1,'FACT_EMITIDA',IF(VLOOKUP(B65,MAPA_DATA!D:G,3,0)=1,'FACT_EST_EFACT',(IF(VLOOKUP(B65,MAPA_DATA!D:G,4,0)=1,'FACT_EST_CEN','SIN_DATA')))!F:F)</v>
      </c>
      <c r="E65" s="12" t="str">
        <f t="shared" si="9"/>
        <v>(F65/D65)</v>
      </c>
      <c r="F65" s="11" t="str">
        <f t="shared" si="27"/>
        <v>SUMIF(IF(VLOOKUP(B9,MAPA_DATA!D:G,2,0)=1,'FACT_EMITIDA',IF(VLOOKUP(B65,MAPA_DATA!D:G,3,0)=1,'FACT_EST_EFACT',(IF(VLOOKUP(B65,MAPA_DATA!D:G,4,0)=1,'FACT_EST_CEN','SIN_DATA')))!B:B,Reliquidacion!B65,IF(VLOOKUP(B9,MAPA_DATA!D:G,2,0)=1,'FACT_EMITIDA',IF(VLOOKUP(B65,MAPA_DATA!D:G,3,0)=1,'FACT_EST_EFACT',(IF(VLOOKUP(B65,MAPA_DATA!D:G,4,0)=1,'FACT_EST_CEN','SIN_DATA')))!H:H)</v>
      </c>
      <c r="G65" s="13" t="str">
        <f t="shared" si="28"/>
        <v>SUMIF(IF(VLOOKUP(B9,MAPA_DATA!D:G,2,0)=1,'FACT_EMITIDA',IF(VLOOKUP(B65,MAPA_DATA!D:G,3,0)=1,'FACT_EST_EFACT',(IF(VLOOKUP(B65,MAPA_DATA!D:G,4,0)=1,'FACT_EST_CEN','SIN_DATA')))!B:B,Reliquidacion!B65,IF(VLOOKUP(B9,MAPA_DATA!D:G,2,0)=1,'FACT_EMITIDA',IF(VLOOKUP(B65,MAPA_DATA!D:G,3,0)=1,'FACT_EST_EFACT',(IF(VLOOKUP(B65,MAPA_DATA!D:G,4,0)=1,'FACT_EST_CEN','SIN_DATA')))!F:F)</v>
      </c>
      <c r="H65" s="12" t="str">
        <f t="shared" si="10"/>
        <v>(I65/G65)</v>
      </c>
      <c r="I65" s="11" t="str">
        <f t="shared" si="29"/>
        <v>SUMIF(IF(VLOOKUP(B9,MAPA_DATA!D:G,2,0)=1,'FACT_EMITIDA',IF(VLOOKUP(B65,MAPA_DATA!D:G,3,0)=1,'FACT_EST_EFACT',(IF(VLOOKUP(B65,MAPA_DATA!D:G,4,0)=1,'FACT_EST_CEN','SIN_DATA')))!B:B,Reliquidacion!B65,IF(VLOOKUP(B9,MAPA_DATA!D:G,2,0)=1,'FACT_EMITIDA',IF(VLOOKUP(B65,MAPA_DATA!D:G,3,0)=1,'FACT_EST_EFACT',(IF(VLOOKUP(B65,MAPA_DATA!D:G,4,0)=1,'FACT_EST_CEN','SIN_DATA')))!H:H)</v>
      </c>
      <c r="J65" s="11" t="str">
        <f t="shared" si="11"/>
        <v>(F65+I65)</v>
      </c>
      <c r="L65" s="60" t="str">
        <f>IF(VLOOKUP(B65,MAPA_DATA!D:I,5,0)=1,"EFACT_CNE",IF(VLOOKUP(B65,MAPA_DATA!D:I,6,0)=1,"EFACT_EST_CNE","SIN_DATA"))</f>
        <v>SIN_DATA</v>
      </c>
      <c r="M65" s="11" t="str">
        <f t="shared" si="30"/>
        <v>SUMIF(SIN_DATA!B:B;Reliquidacion!B65;SIN_DATA!S:S)</v>
      </c>
      <c r="N65" s="12" t="str">
        <f t="shared" si="12"/>
        <v>(O65/M65)</v>
      </c>
      <c r="O65" s="11" t="str">
        <f t="shared" si="31"/>
        <v>SUMIF(SIN_DATA!B:B;Reliquidacion!B65;SIN_DATA!W:W)</v>
      </c>
      <c r="P65" s="13" t="str">
        <f t="shared" si="32"/>
        <v>SUMIF(SIN_DATA!B:B;Reliquidacion!B65;SIN_DATA!X:X)</v>
      </c>
      <c r="Q65" s="12" t="str">
        <f t="shared" si="13"/>
        <v>(R65/P65)</v>
      </c>
      <c r="R65" s="11" t="str">
        <f t="shared" si="33"/>
        <v>SUMIF(SIN_DATA!B:B;Reliquidacion!B65;SIN_DATA!AB:AB)</v>
      </c>
      <c r="S65" s="11" t="str">
        <f t="shared" si="14"/>
        <v>(O65+R65)</v>
      </c>
      <c r="U65" s="79">
        <v>44075</v>
      </c>
      <c r="V65" s="31" t="str">
        <f t="shared" si="15"/>
        <v>=(S65-J65)</v>
      </c>
      <c r="W65" s="65" t="s">
        <v>447</v>
      </c>
      <c r="X65" s="33">
        <f>VLOOKUP(W65,[1]INTERESES!A:B,2,0)</f>
        <v>0</v>
      </c>
      <c r="Y65" s="34" t="e">
        <f>VLOOKUP(W65,#REF!,6,0)</f>
        <v>#REF!</v>
      </c>
      <c r="Z65" s="35">
        <v>44129</v>
      </c>
      <c r="AA65" s="35">
        <f>AA61</f>
        <v>44377</v>
      </c>
      <c r="AB65" s="37">
        <f t="shared" si="21"/>
        <v>248</v>
      </c>
      <c r="AC65" s="38" t="e">
        <f t="shared" si="22"/>
        <v>#REF!</v>
      </c>
      <c r="AD65" s="15" t="e">
        <f t="shared" si="23"/>
        <v>#REF!</v>
      </c>
      <c r="AE65" s="15" t="e">
        <f t="shared" si="24"/>
        <v>#VALUE!</v>
      </c>
    </row>
    <row r="66" spans="1:31" ht="15.75" thickBot="1" x14ac:dyDescent="0.3">
      <c r="Z66" s="1"/>
      <c r="AD66" s="16" t="s">
        <v>74</v>
      </c>
      <c r="AE66" s="17" t="e">
        <f>SUM(AE33:AE65)</f>
        <v>#VALUE!</v>
      </c>
    </row>
    <row r="68" spans="1:31" x14ac:dyDescent="0.25">
      <c r="AC68" s="21" t="s">
        <v>80</v>
      </c>
      <c r="AD68" s="22" t="s">
        <v>458</v>
      </c>
      <c r="AE68" s="23"/>
    </row>
    <row r="69" spans="1:31" x14ac:dyDescent="0.25">
      <c r="AC69" s="24" t="s">
        <v>81</v>
      </c>
      <c r="AD69" s="14" t="s">
        <v>459</v>
      </c>
      <c r="AE69" s="25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topLeftCell="B1" zoomScale="85" zoomScaleNormal="85" workbookViewId="0">
      <selection activeCell="E20" sqref="E20"/>
    </sheetView>
  </sheetViews>
  <sheetFormatPr baseColWidth="10" defaultRowHeight="15" x14ac:dyDescent="0.25"/>
  <cols>
    <col min="1" max="1" width="12.28515625" bestFit="1" customWidth="1"/>
    <col min="2" max="2" width="19" bestFit="1" customWidth="1"/>
    <col min="3" max="3" width="4.85546875" bestFit="1" customWidth="1"/>
    <col min="4" max="4" width="8.5703125" customWidth="1"/>
    <col min="5" max="5" width="53" customWidth="1"/>
    <col min="6" max="6" width="53.85546875" customWidth="1"/>
    <col min="7" max="7" width="51.5703125" customWidth="1"/>
    <col min="8" max="8" width="49.5703125" customWidth="1"/>
    <col min="9" max="9" width="52.42578125" customWidth="1"/>
    <col min="13" max="13" width="14.28515625" customWidth="1"/>
  </cols>
  <sheetData>
    <row r="1" spans="1:14" ht="7.15" customHeight="1" x14ac:dyDescent="0.25"/>
    <row r="2" spans="1:14" x14ac:dyDescent="0.25">
      <c r="A2" s="6" t="s">
        <v>64</v>
      </c>
      <c r="B2" s="39" t="s">
        <v>105</v>
      </c>
      <c r="E2" s="47" t="s">
        <v>400</v>
      </c>
      <c r="F2" s="54" t="s">
        <v>405</v>
      </c>
      <c r="G2" s="50"/>
      <c r="H2" s="50"/>
      <c r="I2" s="51"/>
      <c r="J2" s="46"/>
      <c r="K2" s="46"/>
      <c r="L2" s="46"/>
      <c r="M2" s="46"/>
      <c r="N2" s="46"/>
    </row>
    <row r="3" spans="1:14" x14ac:dyDescent="0.25">
      <c r="A3" s="7" t="s">
        <v>65</v>
      </c>
      <c r="B3" s="40" t="s">
        <v>106</v>
      </c>
      <c r="E3" s="49" t="s">
        <v>402</v>
      </c>
      <c r="F3" s="57" t="s">
        <v>406</v>
      </c>
      <c r="G3" s="52"/>
      <c r="H3" s="52"/>
      <c r="I3" s="53"/>
      <c r="J3" s="46"/>
      <c r="K3" s="46"/>
      <c r="L3" s="46"/>
      <c r="M3" s="46"/>
      <c r="N3" s="46"/>
    </row>
    <row r="4" spans="1:14" x14ac:dyDescent="0.25">
      <c r="A4" s="7" t="s">
        <v>47</v>
      </c>
      <c r="B4" s="8" t="s">
        <v>69</v>
      </c>
      <c r="E4" s="48" t="s">
        <v>401</v>
      </c>
      <c r="F4" s="54" t="s">
        <v>407</v>
      </c>
      <c r="G4" s="50"/>
      <c r="H4" s="50"/>
      <c r="I4" s="51"/>
      <c r="J4" s="46"/>
      <c r="K4" s="46"/>
      <c r="L4" s="46"/>
      <c r="M4" s="46"/>
      <c r="N4" s="46"/>
    </row>
    <row r="5" spans="1:14" x14ac:dyDescent="0.25">
      <c r="A5" s="9" t="s">
        <v>44</v>
      </c>
      <c r="B5" s="41" t="s">
        <v>107</v>
      </c>
      <c r="E5" s="48" t="s">
        <v>403</v>
      </c>
      <c r="F5" s="55" t="s">
        <v>408</v>
      </c>
      <c r="G5" s="46"/>
      <c r="H5" s="46"/>
      <c r="I5" s="56"/>
      <c r="J5" s="46"/>
      <c r="K5" s="46"/>
      <c r="L5" s="46"/>
      <c r="M5" s="46"/>
      <c r="N5" s="46"/>
    </row>
    <row r="6" spans="1:14" x14ac:dyDescent="0.25">
      <c r="E6" s="49" t="s">
        <v>404</v>
      </c>
      <c r="F6" s="57" t="s">
        <v>409</v>
      </c>
      <c r="G6" s="52"/>
      <c r="H6" s="52"/>
      <c r="I6" s="53"/>
      <c r="J6" s="46"/>
      <c r="K6" s="46"/>
      <c r="L6" s="46"/>
      <c r="M6" s="46"/>
      <c r="N6" s="46"/>
    </row>
    <row r="8" spans="1:14" x14ac:dyDescent="0.25">
      <c r="E8" s="88" t="s">
        <v>411</v>
      </c>
      <c r="F8" s="88"/>
      <c r="G8" s="88"/>
      <c r="H8" s="88" t="s">
        <v>410</v>
      </c>
      <c r="I8" s="88"/>
    </row>
    <row r="9" spans="1:14" x14ac:dyDescent="0.25">
      <c r="B9" s="89" t="s">
        <v>412</v>
      </c>
      <c r="C9" s="90"/>
      <c r="D9" s="91"/>
      <c r="E9" s="62">
        <v>1</v>
      </c>
      <c r="F9" s="62">
        <v>2</v>
      </c>
      <c r="G9" s="62">
        <v>3</v>
      </c>
      <c r="H9" s="62">
        <v>1</v>
      </c>
      <c r="I9" s="62">
        <v>2</v>
      </c>
    </row>
    <row r="10" spans="1:14" x14ac:dyDescent="0.25">
      <c r="A10" s="58" t="s">
        <v>419</v>
      </c>
      <c r="B10" s="58" t="s">
        <v>399</v>
      </c>
      <c r="C10" s="58" t="s">
        <v>3</v>
      </c>
      <c r="D10" s="58" t="s">
        <v>75</v>
      </c>
      <c r="E10" s="62" t="s">
        <v>401</v>
      </c>
      <c r="F10" s="62" t="s">
        <v>403</v>
      </c>
      <c r="G10" s="62" t="s">
        <v>404</v>
      </c>
      <c r="H10" s="62" t="s">
        <v>400</v>
      </c>
      <c r="I10" s="62" t="s">
        <v>402</v>
      </c>
    </row>
    <row r="11" spans="1:14" x14ac:dyDescent="0.25">
      <c r="A11" s="45">
        <v>11</v>
      </c>
      <c r="B11" s="45">
        <v>2016</v>
      </c>
      <c r="C11" s="45">
        <v>1</v>
      </c>
      <c r="D11" s="61">
        <v>42370</v>
      </c>
      <c r="E11" s="5" t="str">
        <f t="shared" ref="E11:E42" si="0">CONCATENATE("IF(COUNTIF(FACT_EMITIDA!B:B,'MAPA_DATA'!D",A11,")&gt;0,1,0)")</f>
        <v>IF(COUNTIF(FACT_EMITIDA!B:B,'MAPA_DATA'!D11)&gt;0,1,0)</v>
      </c>
      <c r="F11" s="5" t="str">
        <f t="shared" ref="F11:F42" si="1">CONCATENATE("IF(COUNTIF(FACT_EST_EFACT!B:B,'MAPA_DATA'!D",A11,")&gt;0,1,0)")</f>
        <v>IF(COUNTIF(FACT_EST_EFACT!B:B,'MAPA_DATA'!D11)&gt;0,1,0)</v>
      </c>
      <c r="G11" s="5" t="str">
        <f t="shared" ref="G11:G42" si="2">CONCATENATE("IF(COUNTIF(FACT_EST_CEN!B:B,'MAPA_DATA'!D",A11,")&gt;0,1,0)")</f>
        <v>IF(COUNTIF(FACT_EST_CEN!B:B,'MAPA_DATA'!D11)&gt;0,1,0)</v>
      </c>
      <c r="H11" s="5" t="str">
        <f t="shared" ref="H11:H42" si="3">CONCATENATE("IF(COUNTIF(EFACT_CNE!B:B,'MAPA_DATA'!D",A11,")&gt;0,1,0)")</f>
        <v>IF(COUNTIF(EFACT_CNE!B:B,'MAPA_DATA'!D11)&gt;0,1,0)</v>
      </c>
      <c r="I11" s="5" t="str">
        <f t="shared" ref="I11:I42" si="4">CONCATENATE("IF(COUNTIF(EFACT_EST_CEN!B:B,'MAPA_DATA'!D",A11,")&gt;0,1,0)")</f>
        <v>IF(COUNTIF(EFACT_EST_CEN!B:B,'MAPA_DATA'!D11)&gt;0,1,0)</v>
      </c>
    </row>
    <row r="12" spans="1:14" x14ac:dyDescent="0.25">
      <c r="A12" s="45">
        <v>12</v>
      </c>
      <c r="B12" s="45">
        <v>2016</v>
      </c>
      <c r="C12" s="45">
        <v>2</v>
      </c>
      <c r="D12" s="61">
        <v>42401</v>
      </c>
      <c r="E12" s="5" t="str">
        <f t="shared" si="0"/>
        <v>IF(COUNTIF(FACT_EMITIDA!B:B,'MAPA_DATA'!D12)&gt;0,1,0)</v>
      </c>
      <c r="F12" s="5" t="str">
        <f t="shared" si="1"/>
        <v>IF(COUNTIF(FACT_EST_EFACT!B:B,'MAPA_DATA'!D12)&gt;0,1,0)</v>
      </c>
      <c r="G12" s="5" t="str">
        <f t="shared" si="2"/>
        <v>IF(COUNTIF(FACT_EST_CEN!B:B,'MAPA_DATA'!D12)&gt;0,1,0)</v>
      </c>
      <c r="H12" s="5" t="str">
        <f t="shared" si="3"/>
        <v>IF(COUNTIF(EFACT_CNE!B:B,'MAPA_DATA'!D12)&gt;0,1,0)</v>
      </c>
      <c r="I12" s="5" t="str">
        <f t="shared" si="4"/>
        <v>IF(COUNTIF(EFACT_EST_CEN!B:B,'MAPA_DATA'!D12)&gt;0,1,0)</v>
      </c>
    </row>
    <row r="13" spans="1:14" x14ac:dyDescent="0.25">
      <c r="A13" s="45">
        <v>13</v>
      </c>
      <c r="B13" s="45">
        <v>2016</v>
      </c>
      <c r="C13" s="45">
        <v>3</v>
      </c>
      <c r="D13" s="61">
        <v>42430</v>
      </c>
      <c r="E13" s="5" t="str">
        <f t="shared" si="0"/>
        <v>IF(COUNTIF(FACT_EMITIDA!B:B,'MAPA_DATA'!D13)&gt;0,1,0)</v>
      </c>
      <c r="F13" s="5" t="str">
        <f t="shared" si="1"/>
        <v>IF(COUNTIF(FACT_EST_EFACT!B:B,'MAPA_DATA'!D13)&gt;0,1,0)</v>
      </c>
      <c r="G13" s="5" t="str">
        <f t="shared" si="2"/>
        <v>IF(COUNTIF(FACT_EST_CEN!B:B,'MAPA_DATA'!D13)&gt;0,1,0)</v>
      </c>
      <c r="H13" s="5" t="str">
        <f t="shared" si="3"/>
        <v>IF(COUNTIF(EFACT_CNE!B:B,'MAPA_DATA'!D13)&gt;0,1,0)</v>
      </c>
      <c r="I13" s="5" t="str">
        <f t="shared" si="4"/>
        <v>IF(COUNTIF(EFACT_EST_CEN!B:B,'MAPA_DATA'!D13)&gt;0,1,0)</v>
      </c>
    </row>
    <row r="14" spans="1:14" x14ac:dyDescent="0.25">
      <c r="A14" s="45">
        <v>14</v>
      </c>
      <c r="B14" s="45">
        <v>2016</v>
      </c>
      <c r="C14" s="45">
        <v>4</v>
      </c>
      <c r="D14" s="61">
        <v>42461</v>
      </c>
      <c r="E14" s="5" t="str">
        <f t="shared" si="0"/>
        <v>IF(COUNTIF(FACT_EMITIDA!B:B,'MAPA_DATA'!D14)&gt;0,1,0)</v>
      </c>
      <c r="F14" s="5" t="str">
        <f t="shared" si="1"/>
        <v>IF(COUNTIF(FACT_EST_EFACT!B:B,'MAPA_DATA'!D14)&gt;0,1,0)</v>
      </c>
      <c r="G14" s="5" t="str">
        <f t="shared" si="2"/>
        <v>IF(COUNTIF(FACT_EST_CEN!B:B,'MAPA_DATA'!D14)&gt;0,1,0)</v>
      </c>
      <c r="H14" s="5" t="str">
        <f t="shared" si="3"/>
        <v>IF(COUNTIF(EFACT_CNE!B:B,'MAPA_DATA'!D14)&gt;0,1,0)</v>
      </c>
      <c r="I14" s="5" t="str">
        <f t="shared" si="4"/>
        <v>IF(COUNTIF(EFACT_EST_CEN!B:B,'MAPA_DATA'!D14)&gt;0,1,0)</v>
      </c>
    </row>
    <row r="15" spans="1:14" x14ac:dyDescent="0.25">
      <c r="A15" s="45">
        <v>15</v>
      </c>
      <c r="B15" s="45">
        <v>2016</v>
      </c>
      <c r="C15" s="45">
        <v>5</v>
      </c>
      <c r="D15" s="61">
        <v>42491</v>
      </c>
      <c r="E15" s="5" t="str">
        <f t="shared" si="0"/>
        <v>IF(COUNTIF(FACT_EMITIDA!B:B,'MAPA_DATA'!D15)&gt;0,1,0)</v>
      </c>
      <c r="F15" s="5" t="str">
        <f t="shared" si="1"/>
        <v>IF(COUNTIF(FACT_EST_EFACT!B:B,'MAPA_DATA'!D15)&gt;0,1,0)</v>
      </c>
      <c r="G15" s="5" t="str">
        <f t="shared" si="2"/>
        <v>IF(COUNTIF(FACT_EST_CEN!B:B,'MAPA_DATA'!D15)&gt;0,1,0)</v>
      </c>
      <c r="H15" s="5" t="str">
        <f t="shared" si="3"/>
        <v>IF(COUNTIF(EFACT_CNE!B:B,'MAPA_DATA'!D15)&gt;0,1,0)</v>
      </c>
      <c r="I15" s="5" t="str">
        <f t="shared" si="4"/>
        <v>IF(COUNTIF(EFACT_EST_CEN!B:B,'MAPA_DATA'!D15)&gt;0,1,0)</v>
      </c>
    </row>
    <row r="16" spans="1:14" x14ac:dyDescent="0.25">
      <c r="A16" s="45">
        <v>16</v>
      </c>
      <c r="B16" s="45">
        <v>2016</v>
      </c>
      <c r="C16" s="45">
        <v>6</v>
      </c>
      <c r="D16" s="61">
        <v>42522</v>
      </c>
      <c r="E16" s="5" t="str">
        <f t="shared" si="0"/>
        <v>IF(COUNTIF(FACT_EMITIDA!B:B,'MAPA_DATA'!D16)&gt;0,1,0)</v>
      </c>
      <c r="F16" s="5" t="str">
        <f t="shared" si="1"/>
        <v>IF(COUNTIF(FACT_EST_EFACT!B:B,'MAPA_DATA'!D16)&gt;0,1,0)</v>
      </c>
      <c r="G16" s="5" t="str">
        <f t="shared" si="2"/>
        <v>IF(COUNTIF(FACT_EST_CEN!B:B,'MAPA_DATA'!D16)&gt;0,1,0)</v>
      </c>
      <c r="H16" s="5" t="str">
        <f t="shared" si="3"/>
        <v>IF(COUNTIF(EFACT_CNE!B:B,'MAPA_DATA'!D16)&gt;0,1,0)</v>
      </c>
      <c r="I16" s="5" t="str">
        <f t="shared" si="4"/>
        <v>IF(COUNTIF(EFACT_EST_CEN!B:B,'MAPA_DATA'!D16)&gt;0,1,0)</v>
      </c>
    </row>
    <row r="17" spans="1:9" x14ac:dyDescent="0.25">
      <c r="A17" s="45">
        <v>17</v>
      </c>
      <c r="B17" s="45">
        <v>2016</v>
      </c>
      <c r="C17" s="45">
        <v>7</v>
      </c>
      <c r="D17" s="61">
        <v>42552</v>
      </c>
      <c r="E17" s="5" t="str">
        <f t="shared" si="0"/>
        <v>IF(COUNTIF(FACT_EMITIDA!B:B,'MAPA_DATA'!D17)&gt;0,1,0)</v>
      </c>
      <c r="F17" s="5" t="str">
        <f t="shared" si="1"/>
        <v>IF(COUNTIF(FACT_EST_EFACT!B:B,'MAPA_DATA'!D17)&gt;0,1,0)</v>
      </c>
      <c r="G17" s="5" t="str">
        <f t="shared" si="2"/>
        <v>IF(COUNTIF(FACT_EST_CEN!B:B,'MAPA_DATA'!D17)&gt;0,1,0)</v>
      </c>
      <c r="H17" s="5" t="str">
        <f t="shared" si="3"/>
        <v>IF(COUNTIF(EFACT_CNE!B:B,'MAPA_DATA'!D17)&gt;0,1,0)</v>
      </c>
      <c r="I17" s="5" t="str">
        <f t="shared" si="4"/>
        <v>IF(COUNTIF(EFACT_EST_CEN!B:B,'MAPA_DATA'!D17)&gt;0,1,0)</v>
      </c>
    </row>
    <row r="18" spans="1:9" x14ac:dyDescent="0.25">
      <c r="A18" s="45">
        <v>18</v>
      </c>
      <c r="B18" s="45">
        <v>2016</v>
      </c>
      <c r="C18" s="45">
        <v>8</v>
      </c>
      <c r="D18" s="61">
        <v>42583</v>
      </c>
      <c r="E18" s="5" t="str">
        <f t="shared" si="0"/>
        <v>IF(COUNTIF(FACT_EMITIDA!B:B,'MAPA_DATA'!D18)&gt;0,1,0)</v>
      </c>
      <c r="F18" s="5" t="str">
        <f t="shared" si="1"/>
        <v>IF(COUNTIF(FACT_EST_EFACT!B:B,'MAPA_DATA'!D18)&gt;0,1,0)</v>
      </c>
      <c r="G18" s="5" t="str">
        <f t="shared" si="2"/>
        <v>IF(COUNTIF(FACT_EST_CEN!B:B,'MAPA_DATA'!D18)&gt;0,1,0)</v>
      </c>
      <c r="H18" s="5" t="str">
        <f t="shared" si="3"/>
        <v>IF(COUNTIF(EFACT_CNE!B:B,'MAPA_DATA'!D18)&gt;0,1,0)</v>
      </c>
      <c r="I18" s="5" t="str">
        <f t="shared" si="4"/>
        <v>IF(COUNTIF(EFACT_EST_CEN!B:B,'MAPA_DATA'!D18)&gt;0,1,0)</v>
      </c>
    </row>
    <row r="19" spans="1:9" x14ac:dyDescent="0.25">
      <c r="A19" s="45">
        <v>19</v>
      </c>
      <c r="B19" s="45">
        <v>2016</v>
      </c>
      <c r="C19" s="45">
        <v>9</v>
      </c>
      <c r="D19" s="61">
        <v>42614</v>
      </c>
      <c r="E19" s="5" t="str">
        <f t="shared" si="0"/>
        <v>IF(COUNTIF(FACT_EMITIDA!B:B,'MAPA_DATA'!D19)&gt;0,1,0)</v>
      </c>
      <c r="F19" s="5" t="str">
        <f t="shared" si="1"/>
        <v>IF(COUNTIF(FACT_EST_EFACT!B:B,'MAPA_DATA'!D19)&gt;0,1,0)</v>
      </c>
      <c r="G19" s="5" t="str">
        <f t="shared" si="2"/>
        <v>IF(COUNTIF(FACT_EST_CEN!B:B,'MAPA_DATA'!D19)&gt;0,1,0)</v>
      </c>
      <c r="H19" s="5" t="str">
        <f t="shared" si="3"/>
        <v>IF(COUNTIF(EFACT_CNE!B:B,'MAPA_DATA'!D19)&gt;0,1,0)</v>
      </c>
      <c r="I19" s="5" t="str">
        <f t="shared" si="4"/>
        <v>IF(COUNTIF(EFACT_EST_CEN!B:B,'MAPA_DATA'!D19)&gt;0,1,0)</v>
      </c>
    </row>
    <row r="20" spans="1:9" x14ac:dyDescent="0.25">
      <c r="A20" s="45">
        <v>20</v>
      </c>
      <c r="B20" s="45">
        <v>2016</v>
      </c>
      <c r="C20" s="45">
        <v>10</v>
      </c>
      <c r="D20" s="61">
        <v>42644</v>
      </c>
      <c r="E20" s="5" t="str">
        <f t="shared" si="0"/>
        <v>IF(COUNTIF(FACT_EMITIDA!B:B,'MAPA_DATA'!D20)&gt;0,1,0)</v>
      </c>
      <c r="F20" s="5" t="str">
        <f t="shared" si="1"/>
        <v>IF(COUNTIF(FACT_EST_EFACT!B:B,'MAPA_DATA'!D20)&gt;0,1,0)</v>
      </c>
      <c r="G20" s="5" t="str">
        <f t="shared" si="2"/>
        <v>IF(COUNTIF(FACT_EST_CEN!B:B,'MAPA_DATA'!D20)&gt;0,1,0)</v>
      </c>
      <c r="H20" s="5" t="str">
        <f t="shared" si="3"/>
        <v>IF(COUNTIF(EFACT_CNE!B:B,'MAPA_DATA'!D20)&gt;0,1,0)</v>
      </c>
      <c r="I20" s="5" t="str">
        <f t="shared" si="4"/>
        <v>IF(COUNTIF(EFACT_EST_CEN!B:B,'MAPA_DATA'!D20)&gt;0,1,0)</v>
      </c>
    </row>
    <row r="21" spans="1:9" x14ac:dyDescent="0.25">
      <c r="A21" s="45">
        <v>21</v>
      </c>
      <c r="B21" s="45">
        <v>2016</v>
      </c>
      <c r="C21" s="45">
        <v>11</v>
      </c>
      <c r="D21" s="61">
        <v>42675</v>
      </c>
      <c r="E21" s="5" t="str">
        <f t="shared" si="0"/>
        <v>IF(COUNTIF(FACT_EMITIDA!B:B,'MAPA_DATA'!D21)&gt;0,1,0)</v>
      </c>
      <c r="F21" s="5" t="str">
        <f t="shared" si="1"/>
        <v>IF(COUNTIF(FACT_EST_EFACT!B:B,'MAPA_DATA'!D21)&gt;0,1,0)</v>
      </c>
      <c r="G21" s="5" t="str">
        <f t="shared" si="2"/>
        <v>IF(COUNTIF(FACT_EST_CEN!B:B,'MAPA_DATA'!D21)&gt;0,1,0)</v>
      </c>
      <c r="H21" s="5" t="str">
        <f t="shared" si="3"/>
        <v>IF(COUNTIF(EFACT_CNE!B:B,'MAPA_DATA'!D21)&gt;0,1,0)</v>
      </c>
      <c r="I21" s="5" t="str">
        <f t="shared" si="4"/>
        <v>IF(COUNTIF(EFACT_EST_CEN!B:B,'MAPA_DATA'!D21)&gt;0,1,0)</v>
      </c>
    </row>
    <row r="22" spans="1:9" x14ac:dyDescent="0.25">
      <c r="A22" s="45">
        <v>22</v>
      </c>
      <c r="B22" s="45">
        <v>2016</v>
      </c>
      <c r="C22" s="45">
        <v>12</v>
      </c>
      <c r="D22" s="61">
        <v>42705</v>
      </c>
      <c r="E22" s="5" t="str">
        <f t="shared" si="0"/>
        <v>IF(COUNTIF(FACT_EMITIDA!B:B,'MAPA_DATA'!D22)&gt;0,1,0)</v>
      </c>
      <c r="F22" s="5" t="str">
        <f t="shared" si="1"/>
        <v>IF(COUNTIF(FACT_EST_EFACT!B:B,'MAPA_DATA'!D22)&gt;0,1,0)</v>
      </c>
      <c r="G22" s="5" t="str">
        <f t="shared" si="2"/>
        <v>IF(COUNTIF(FACT_EST_CEN!B:B,'MAPA_DATA'!D22)&gt;0,1,0)</v>
      </c>
      <c r="H22" s="5" t="str">
        <f t="shared" si="3"/>
        <v>IF(COUNTIF(EFACT_CNE!B:B,'MAPA_DATA'!D22)&gt;0,1,0)</v>
      </c>
      <c r="I22" s="5" t="str">
        <f t="shared" si="4"/>
        <v>IF(COUNTIF(EFACT_EST_CEN!B:B,'MAPA_DATA'!D22)&gt;0,1,0)</v>
      </c>
    </row>
    <row r="23" spans="1:9" x14ac:dyDescent="0.25">
      <c r="A23" s="45">
        <v>23</v>
      </c>
      <c r="B23" s="45">
        <f>B11+1</f>
        <v>2017</v>
      </c>
      <c r="C23" s="45">
        <f>C11</f>
        <v>1</v>
      </c>
      <c r="D23" s="61">
        <v>42736</v>
      </c>
      <c r="E23" s="5" t="str">
        <f t="shared" si="0"/>
        <v>IF(COUNTIF(FACT_EMITIDA!B:B,'MAPA_DATA'!D23)&gt;0,1,0)</v>
      </c>
      <c r="F23" s="5" t="str">
        <f t="shared" si="1"/>
        <v>IF(COUNTIF(FACT_EST_EFACT!B:B,'MAPA_DATA'!D23)&gt;0,1,0)</v>
      </c>
      <c r="G23" s="5" t="str">
        <f t="shared" si="2"/>
        <v>IF(COUNTIF(FACT_EST_CEN!B:B,'MAPA_DATA'!D23)&gt;0,1,0)</v>
      </c>
      <c r="H23" s="5" t="str">
        <f t="shared" si="3"/>
        <v>IF(COUNTIF(EFACT_CNE!B:B,'MAPA_DATA'!D23)&gt;0,1,0)</v>
      </c>
      <c r="I23" s="5" t="str">
        <f t="shared" si="4"/>
        <v>IF(COUNTIF(EFACT_EST_CEN!B:B,'MAPA_DATA'!D23)&gt;0,1,0)</v>
      </c>
    </row>
    <row r="24" spans="1:9" x14ac:dyDescent="0.25">
      <c r="A24" s="45">
        <v>24</v>
      </c>
      <c r="B24" s="45">
        <f t="shared" ref="B24:B67" si="5">B12+1</f>
        <v>2017</v>
      </c>
      <c r="C24" s="45">
        <f t="shared" ref="C24:C67" si="6">C12</f>
        <v>2</v>
      </c>
      <c r="D24" s="61">
        <v>42767</v>
      </c>
      <c r="E24" s="5" t="str">
        <f t="shared" si="0"/>
        <v>IF(COUNTIF(FACT_EMITIDA!B:B,'MAPA_DATA'!D24)&gt;0,1,0)</v>
      </c>
      <c r="F24" s="5" t="str">
        <f t="shared" si="1"/>
        <v>IF(COUNTIF(FACT_EST_EFACT!B:B,'MAPA_DATA'!D24)&gt;0,1,0)</v>
      </c>
      <c r="G24" s="5" t="str">
        <f t="shared" si="2"/>
        <v>IF(COUNTIF(FACT_EST_CEN!B:B,'MAPA_DATA'!D24)&gt;0,1,0)</v>
      </c>
      <c r="H24" s="5" t="str">
        <f t="shared" si="3"/>
        <v>IF(COUNTIF(EFACT_CNE!B:B,'MAPA_DATA'!D24)&gt;0,1,0)</v>
      </c>
      <c r="I24" s="5" t="str">
        <f t="shared" si="4"/>
        <v>IF(COUNTIF(EFACT_EST_CEN!B:B,'MAPA_DATA'!D24)&gt;0,1,0)</v>
      </c>
    </row>
    <row r="25" spans="1:9" x14ac:dyDescent="0.25">
      <c r="A25" s="45">
        <v>25</v>
      </c>
      <c r="B25" s="45">
        <f t="shared" si="5"/>
        <v>2017</v>
      </c>
      <c r="C25" s="45">
        <f t="shared" si="6"/>
        <v>3</v>
      </c>
      <c r="D25" s="61">
        <v>42795</v>
      </c>
      <c r="E25" s="5" t="str">
        <f t="shared" si="0"/>
        <v>IF(COUNTIF(FACT_EMITIDA!B:B,'MAPA_DATA'!D25)&gt;0,1,0)</v>
      </c>
      <c r="F25" s="5" t="str">
        <f t="shared" si="1"/>
        <v>IF(COUNTIF(FACT_EST_EFACT!B:B,'MAPA_DATA'!D25)&gt;0,1,0)</v>
      </c>
      <c r="G25" s="5" t="str">
        <f t="shared" si="2"/>
        <v>IF(COUNTIF(FACT_EST_CEN!B:B,'MAPA_DATA'!D25)&gt;0,1,0)</v>
      </c>
      <c r="H25" s="5" t="str">
        <f t="shared" si="3"/>
        <v>IF(COUNTIF(EFACT_CNE!B:B,'MAPA_DATA'!D25)&gt;0,1,0)</v>
      </c>
      <c r="I25" s="5" t="str">
        <f t="shared" si="4"/>
        <v>IF(COUNTIF(EFACT_EST_CEN!B:B,'MAPA_DATA'!D25)&gt;0,1,0)</v>
      </c>
    </row>
    <row r="26" spans="1:9" x14ac:dyDescent="0.25">
      <c r="A26" s="45">
        <v>26</v>
      </c>
      <c r="B26" s="45">
        <f t="shared" si="5"/>
        <v>2017</v>
      </c>
      <c r="C26" s="45">
        <f t="shared" si="6"/>
        <v>4</v>
      </c>
      <c r="D26" s="61">
        <v>42826</v>
      </c>
      <c r="E26" s="5" t="str">
        <f t="shared" si="0"/>
        <v>IF(COUNTIF(FACT_EMITIDA!B:B,'MAPA_DATA'!D26)&gt;0,1,0)</v>
      </c>
      <c r="F26" s="5" t="str">
        <f t="shared" si="1"/>
        <v>IF(COUNTIF(FACT_EST_EFACT!B:B,'MAPA_DATA'!D26)&gt;0,1,0)</v>
      </c>
      <c r="G26" s="5" t="str">
        <f t="shared" si="2"/>
        <v>IF(COUNTIF(FACT_EST_CEN!B:B,'MAPA_DATA'!D26)&gt;0,1,0)</v>
      </c>
      <c r="H26" s="5" t="str">
        <f t="shared" si="3"/>
        <v>IF(COUNTIF(EFACT_CNE!B:B,'MAPA_DATA'!D26)&gt;0,1,0)</v>
      </c>
      <c r="I26" s="5" t="str">
        <f t="shared" si="4"/>
        <v>IF(COUNTIF(EFACT_EST_CEN!B:B,'MAPA_DATA'!D26)&gt;0,1,0)</v>
      </c>
    </row>
    <row r="27" spans="1:9" x14ac:dyDescent="0.25">
      <c r="A27" s="45">
        <v>27</v>
      </c>
      <c r="B27" s="45">
        <f t="shared" si="5"/>
        <v>2017</v>
      </c>
      <c r="C27" s="45">
        <f t="shared" si="6"/>
        <v>5</v>
      </c>
      <c r="D27" s="61">
        <v>42856</v>
      </c>
      <c r="E27" s="5" t="str">
        <f t="shared" si="0"/>
        <v>IF(COUNTIF(FACT_EMITIDA!B:B,'MAPA_DATA'!D27)&gt;0,1,0)</v>
      </c>
      <c r="F27" s="5" t="str">
        <f t="shared" si="1"/>
        <v>IF(COUNTIF(FACT_EST_EFACT!B:B,'MAPA_DATA'!D27)&gt;0,1,0)</v>
      </c>
      <c r="G27" s="5" t="str">
        <f t="shared" si="2"/>
        <v>IF(COUNTIF(FACT_EST_CEN!B:B,'MAPA_DATA'!D27)&gt;0,1,0)</v>
      </c>
      <c r="H27" s="5" t="str">
        <f t="shared" si="3"/>
        <v>IF(COUNTIF(EFACT_CNE!B:B,'MAPA_DATA'!D27)&gt;0,1,0)</v>
      </c>
      <c r="I27" s="5" t="str">
        <f t="shared" si="4"/>
        <v>IF(COUNTIF(EFACT_EST_CEN!B:B,'MAPA_DATA'!D27)&gt;0,1,0)</v>
      </c>
    </row>
    <row r="28" spans="1:9" x14ac:dyDescent="0.25">
      <c r="A28" s="45">
        <v>28</v>
      </c>
      <c r="B28" s="45">
        <f t="shared" si="5"/>
        <v>2017</v>
      </c>
      <c r="C28" s="45">
        <f t="shared" si="6"/>
        <v>6</v>
      </c>
      <c r="D28" s="61">
        <v>42887</v>
      </c>
      <c r="E28" s="5" t="str">
        <f t="shared" si="0"/>
        <v>IF(COUNTIF(FACT_EMITIDA!B:B,'MAPA_DATA'!D28)&gt;0,1,0)</v>
      </c>
      <c r="F28" s="5" t="str">
        <f t="shared" si="1"/>
        <v>IF(COUNTIF(FACT_EST_EFACT!B:B,'MAPA_DATA'!D28)&gt;0,1,0)</v>
      </c>
      <c r="G28" s="5" t="str">
        <f t="shared" si="2"/>
        <v>IF(COUNTIF(FACT_EST_CEN!B:B,'MAPA_DATA'!D28)&gt;0,1,0)</v>
      </c>
      <c r="H28" s="5" t="str">
        <f t="shared" si="3"/>
        <v>IF(COUNTIF(EFACT_CNE!B:B,'MAPA_DATA'!D28)&gt;0,1,0)</v>
      </c>
      <c r="I28" s="5" t="str">
        <f t="shared" si="4"/>
        <v>IF(COUNTIF(EFACT_EST_CEN!B:B,'MAPA_DATA'!D28)&gt;0,1,0)</v>
      </c>
    </row>
    <row r="29" spans="1:9" x14ac:dyDescent="0.25">
      <c r="A29" s="45">
        <v>29</v>
      </c>
      <c r="B29" s="45">
        <f t="shared" si="5"/>
        <v>2017</v>
      </c>
      <c r="C29" s="45">
        <f t="shared" si="6"/>
        <v>7</v>
      </c>
      <c r="D29" s="61">
        <v>42917</v>
      </c>
      <c r="E29" s="5" t="str">
        <f t="shared" si="0"/>
        <v>IF(COUNTIF(FACT_EMITIDA!B:B,'MAPA_DATA'!D29)&gt;0,1,0)</v>
      </c>
      <c r="F29" s="5" t="str">
        <f t="shared" si="1"/>
        <v>IF(COUNTIF(FACT_EST_EFACT!B:B,'MAPA_DATA'!D29)&gt;0,1,0)</v>
      </c>
      <c r="G29" s="5" t="str">
        <f t="shared" si="2"/>
        <v>IF(COUNTIF(FACT_EST_CEN!B:B,'MAPA_DATA'!D29)&gt;0,1,0)</v>
      </c>
      <c r="H29" s="5" t="str">
        <f t="shared" si="3"/>
        <v>IF(COUNTIF(EFACT_CNE!B:B,'MAPA_DATA'!D29)&gt;0,1,0)</v>
      </c>
      <c r="I29" s="5" t="str">
        <f t="shared" si="4"/>
        <v>IF(COUNTIF(EFACT_EST_CEN!B:B,'MAPA_DATA'!D29)&gt;0,1,0)</v>
      </c>
    </row>
    <row r="30" spans="1:9" x14ac:dyDescent="0.25">
      <c r="A30" s="45">
        <v>30</v>
      </c>
      <c r="B30" s="45">
        <f t="shared" si="5"/>
        <v>2017</v>
      </c>
      <c r="C30" s="45">
        <f t="shared" si="6"/>
        <v>8</v>
      </c>
      <c r="D30" s="61">
        <v>42948</v>
      </c>
      <c r="E30" s="5" t="str">
        <f t="shared" si="0"/>
        <v>IF(COUNTIF(FACT_EMITIDA!B:B,'MAPA_DATA'!D30)&gt;0,1,0)</v>
      </c>
      <c r="F30" s="5" t="str">
        <f t="shared" si="1"/>
        <v>IF(COUNTIF(FACT_EST_EFACT!B:B,'MAPA_DATA'!D30)&gt;0,1,0)</v>
      </c>
      <c r="G30" s="5" t="str">
        <f t="shared" si="2"/>
        <v>IF(COUNTIF(FACT_EST_CEN!B:B,'MAPA_DATA'!D30)&gt;0,1,0)</v>
      </c>
      <c r="H30" s="5" t="str">
        <f t="shared" si="3"/>
        <v>IF(COUNTIF(EFACT_CNE!B:B,'MAPA_DATA'!D30)&gt;0,1,0)</v>
      </c>
      <c r="I30" s="5" t="str">
        <f t="shared" si="4"/>
        <v>IF(COUNTIF(EFACT_EST_CEN!B:B,'MAPA_DATA'!D30)&gt;0,1,0)</v>
      </c>
    </row>
    <row r="31" spans="1:9" x14ac:dyDescent="0.25">
      <c r="A31" s="45">
        <v>31</v>
      </c>
      <c r="B31" s="45">
        <f t="shared" si="5"/>
        <v>2017</v>
      </c>
      <c r="C31" s="45">
        <f t="shared" si="6"/>
        <v>9</v>
      </c>
      <c r="D31" s="61">
        <v>42979</v>
      </c>
      <c r="E31" s="5" t="str">
        <f t="shared" si="0"/>
        <v>IF(COUNTIF(FACT_EMITIDA!B:B,'MAPA_DATA'!D31)&gt;0,1,0)</v>
      </c>
      <c r="F31" s="5" t="str">
        <f t="shared" si="1"/>
        <v>IF(COUNTIF(FACT_EST_EFACT!B:B,'MAPA_DATA'!D31)&gt;0,1,0)</v>
      </c>
      <c r="G31" s="5" t="str">
        <f t="shared" si="2"/>
        <v>IF(COUNTIF(FACT_EST_CEN!B:B,'MAPA_DATA'!D31)&gt;0,1,0)</v>
      </c>
      <c r="H31" s="5" t="str">
        <f t="shared" si="3"/>
        <v>IF(COUNTIF(EFACT_CNE!B:B,'MAPA_DATA'!D31)&gt;0,1,0)</v>
      </c>
      <c r="I31" s="5" t="str">
        <f t="shared" si="4"/>
        <v>IF(COUNTIF(EFACT_EST_CEN!B:B,'MAPA_DATA'!D31)&gt;0,1,0)</v>
      </c>
    </row>
    <row r="32" spans="1:9" x14ac:dyDescent="0.25">
      <c r="A32" s="45">
        <v>32</v>
      </c>
      <c r="B32" s="45">
        <f t="shared" si="5"/>
        <v>2017</v>
      </c>
      <c r="C32" s="45">
        <f t="shared" si="6"/>
        <v>10</v>
      </c>
      <c r="D32" s="61">
        <v>43009</v>
      </c>
      <c r="E32" s="5" t="str">
        <f t="shared" si="0"/>
        <v>IF(COUNTIF(FACT_EMITIDA!B:B,'MAPA_DATA'!D32)&gt;0,1,0)</v>
      </c>
      <c r="F32" s="5" t="str">
        <f t="shared" si="1"/>
        <v>IF(COUNTIF(FACT_EST_EFACT!B:B,'MAPA_DATA'!D32)&gt;0,1,0)</v>
      </c>
      <c r="G32" s="5" t="str">
        <f t="shared" si="2"/>
        <v>IF(COUNTIF(FACT_EST_CEN!B:B,'MAPA_DATA'!D32)&gt;0,1,0)</v>
      </c>
      <c r="H32" s="5" t="str">
        <f t="shared" si="3"/>
        <v>IF(COUNTIF(EFACT_CNE!B:B,'MAPA_DATA'!D32)&gt;0,1,0)</v>
      </c>
      <c r="I32" s="5" t="str">
        <f t="shared" si="4"/>
        <v>IF(COUNTIF(EFACT_EST_CEN!B:B,'MAPA_DATA'!D32)&gt;0,1,0)</v>
      </c>
    </row>
    <row r="33" spans="1:9" x14ac:dyDescent="0.25">
      <c r="A33" s="45">
        <v>33</v>
      </c>
      <c r="B33" s="45">
        <f t="shared" si="5"/>
        <v>2017</v>
      </c>
      <c r="C33" s="45">
        <f t="shared" si="6"/>
        <v>11</v>
      </c>
      <c r="D33" s="61">
        <v>43040</v>
      </c>
      <c r="E33" s="5" t="str">
        <f t="shared" si="0"/>
        <v>IF(COUNTIF(FACT_EMITIDA!B:B,'MAPA_DATA'!D33)&gt;0,1,0)</v>
      </c>
      <c r="F33" s="5" t="str">
        <f t="shared" si="1"/>
        <v>IF(COUNTIF(FACT_EST_EFACT!B:B,'MAPA_DATA'!D33)&gt;0,1,0)</v>
      </c>
      <c r="G33" s="5" t="str">
        <f t="shared" si="2"/>
        <v>IF(COUNTIF(FACT_EST_CEN!B:B,'MAPA_DATA'!D33)&gt;0,1,0)</v>
      </c>
      <c r="H33" s="5" t="str">
        <f t="shared" si="3"/>
        <v>IF(COUNTIF(EFACT_CNE!B:B,'MAPA_DATA'!D33)&gt;0,1,0)</v>
      </c>
      <c r="I33" s="5" t="str">
        <f t="shared" si="4"/>
        <v>IF(COUNTIF(EFACT_EST_CEN!B:B,'MAPA_DATA'!D33)&gt;0,1,0)</v>
      </c>
    </row>
    <row r="34" spans="1:9" x14ac:dyDescent="0.25">
      <c r="A34" s="45">
        <v>34</v>
      </c>
      <c r="B34" s="45">
        <f t="shared" si="5"/>
        <v>2017</v>
      </c>
      <c r="C34" s="45">
        <f t="shared" si="6"/>
        <v>12</v>
      </c>
      <c r="D34" s="61">
        <v>43070</v>
      </c>
      <c r="E34" s="5" t="str">
        <f t="shared" si="0"/>
        <v>IF(COUNTIF(FACT_EMITIDA!B:B,'MAPA_DATA'!D34)&gt;0,1,0)</v>
      </c>
      <c r="F34" s="5" t="str">
        <f t="shared" si="1"/>
        <v>IF(COUNTIF(FACT_EST_EFACT!B:B,'MAPA_DATA'!D34)&gt;0,1,0)</v>
      </c>
      <c r="G34" s="5" t="str">
        <f t="shared" si="2"/>
        <v>IF(COUNTIF(FACT_EST_CEN!B:B,'MAPA_DATA'!D34)&gt;0,1,0)</v>
      </c>
      <c r="H34" s="5" t="str">
        <f t="shared" si="3"/>
        <v>IF(COUNTIF(EFACT_CNE!B:B,'MAPA_DATA'!D34)&gt;0,1,0)</v>
      </c>
      <c r="I34" s="5" t="str">
        <f t="shared" si="4"/>
        <v>IF(COUNTIF(EFACT_EST_CEN!B:B,'MAPA_DATA'!D34)&gt;0,1,0)</v>
      </c>
    </row>
    <row r="35" spans="1:9" x14ac:dyDescent="0.25">
      <c r="A35" s="45">
        <v>35</v>
      </c>
      <c r="B35" s="45">
        <f t="shared" si="5"/>
        <v>2018</v>
      </c>
      <c r="C35" s="45">
        <f t="shared" si="6"/>
        <v>1</v>
      </c>
      <c r="D35" s="61">
        <v>43101</v>
      </c>
      <c r="E35" s="5" t="str">
        <f t="shared" si="0"/>
        <v>IF(COUNTIF(FACT_EMITIDA!B:B,'MAPA_DATA'!D35)&gt;0,1,0)</v>
      </c>
      <c r="F35" s="5" t="str">
        <f t="shared" si="1"/>
        <v>IF(COUNTIF(FACT_EST_EFACT!B:B,'MAPA_DATA'!D35)&gt;0,1,0)</v>
      </c>
      <c r="G35" s="5" t="str">
        <f t="shared" si="2"/>
        <v>IF(COUNTIF(FACT_EST_CEN!B:B,'MAPA_DATA'!D35)&gt;0,1,0)</v>
      </c>
      <c r="H35" s="5" t="str">
        <f t="shared" si="3"/>
        <v>IF(COUNTIF(EFACT_CNE!B:B,'MAPA_DATA'!D35)&gt;0,1,0)</v>
      </c>
      <c r="I35" s="5" t="str">
        <f t="shared" si="4"/>
        <v>IF(COUNTIF(EFACT_EST_CEN!B:B,'MAPA_DATA'!D35)&gt;0,1,0)</v>
      </c>
    </row>
    <row r="36" spans="1:9" x14ac:dyDescent="0.25">
      <c r="A36" s="45">
        <v>36</v>
      </c>
      <c r="B36" s="45">
        <f t="shared" si="5"/>
        <v>2018</v>
      </c>
      <c r="C36" s="45">
        <f t="shared" si="6"/>
        <v>2</v>
      </c>
      <c r="D36" s="61">
        <v>43132</v>
      </c>
      <c r="E36" s="5" t="str">
        <f t="shared" si="0"/>
        <v>IF(COUNTIF(FACT_EMITIDA!B:B,'MAPA_DATA'!D36)&gt;0,1,0)</v>
      </c>
      <c r="F36" s="5" t="str">
        <f t="shared" si="1"/>
        <v>IF(COUNTIF(FACT_EST_EFACT!B:B,'MAPA_DATA'!D36)&gt;0,1,0)</v>
      </c>
      <c r="G36" s="5" t="str">
        <f t="shared" si="2"/>
        <v>IF(COUNTIF(FACT_EST_CEN!B:B,'MAPA_DATA'!D36)&gt;0,1,0)</v>
      </c>
      <c r="H36" s="5" t="str">
        <f t="shared" si="3"/>
        <v>IF(COUNTIF(EFACT_CNE!B:B,'MAPA_DATA'!D36)&gt;0,1,0)</v>
      </c>
      <c r="I36" s="5" t="str">
        <f t="shared" si="4"/>
        <v>IF(COUNTIF(EFACT_EST_CEN!B:B,'MAPA_DATA'!D36)&gt;0,1,0)</v>
      </c>
    </row>
    <row r="37" spans="1:9" x14ac:dyDescent="0.25">
      <c r="A37" s="45">
        <v>37</v>
      </c>
      <c r="B37" s="45">
        <f t="shared" si="5"/>
        <v>2018</v>
      </c>
      <c r="C37" s="45">
        <f t="shared" si="6"/>
        <v>3</v>
      </c>
      <c r="D37" s="61">
        <v>43160</v>
      </c>
      <c r="E37" s="5" t="str">
        <f t="shared" si="0"/>
        <v>IF(COUNTIF(FACT_EMITIDA!B:B,'MAPA_DATA'!D37)&gt;0,1,0)</v>
      </c>
      <c r="F37" s="5" t="str">
        <f t="shared" si="1"/>
        <v>IF(COUNTIF(FACT_EST_EFACT!B:B,'MAPA_DATA'!D37)&gt;0,1,0)</v>
      </c>
      <c r="G37" s="5" t="str">
        <f t="shared" si="2"/>
        <v>IF(COUNTIF(FACT_EST_CEN!B:B,'MAPA_DATA'!D37)&gt;0,1,0)</v>
      </c>
      <c r="H37" s="5" t="str">
        <f t="shared" si="3"/>
        <v>IF(COUNTIF(EFACT_CNE!B:B,'MAPA_DATA'!D37)&gt;0,1,0)</v>
      </c>
      <c r="I37" s="5" t="str">
        <f t="shared" si="4"/>
        <v>IF(COUNTIF(EFACT_EST_CEN!B:B,'MAPA_DATA'!D37)&gt;0,1,0)</v>
      </c>
    </row>
    <row r="38" spans="1:9" x14ac:dyDescent="0.25">
      <c r="A38" s="45">
        <v>38</v>
      </c>
      <c r="B38" s="45">
        <f t="shared" si="5"/>
        <v>2018</v>
      </c>
      <c r="C38" s="45">
        <f t="shared" si="6"/>
        <v>4</v>
      </c>
      <c r="D38" s="61">
        <v>43191</v>
      </c>
      <c r="E38" s="5" t="str">
        <f t="shared" si="0"/>
        <v>IF(COUNTIF(FACT_EMITIDA!B:B,'MAPA_DATA'!D38)&gt;0,1,0)</v>
      </c>
      <c r="F38" s="5" t="str">
        <f t="shared" si="1"/>
        <v>IF(COUNTIF(FACT_EST_EFACT!B:B,'MAPA_DATA'!D38)&gt;0,1,0)</v>
      </c>
      <c r="G38" s="5" t="str">
        <f t="shared" si="2"/>
        <v>IF(COUNTIF(FACT_EST_CEN!B:B,'MAPA_DATA'!D38)&gt;0,1,0)</v>
      </c>
      <c r="H38" s="5" t="str">
        <f t="shared" si="3"/>
        <v>IF(COUNTIF(EFACT_CNE!B:B,'MAPA_DATA'!D38)&gt;0,1,0)</v>
      </c>
      <c r="I38" s="5" t="str">
        <f t="shared" si="4"/>
        <v>IF(COUNTIF(EFACT_EST_CEN!B:B,'MAPA_DATA'!D38)&gt;0,1,0)</v>
      </c>
    </row>
    <row r="39" spans="1:9" x14ac:dyDescent="0.25">
      <c r="A39" s="45">
        <v>39</v>
      </c>
      <c r="B39" s="45">
        <f t="shared" si="5"/>
        <v>2018</v>
      </c>
      <c r="C39" s="45">
        <f t="shared" si="6"/>
        <v>5</v>
      </c>
      <c r="D39" s="61">
        <v>43221</v>
      </c>
      <c r="E39" s="5" t="str">
        <f t="shared" si="0"/>
        <v>IF(COUNTIF(FACT_EMITIDA!B:B,'MAPA_DATA'!D39)&gt;0,1,0)</v>
      </c>
      <c r="F39" s="5" t="str">
        <f t="shared" si="1"/>
        <v>IF(COUNTIF(FACT_EST_EFACT!B:B,'MAPA_DATA'!D39)&gt;0,1,0)</v>
      </c>
      <c r="G39" s="5" t="str">
        <f t="shared" si="2"/>
        <v>IF(COUNTIF(FACT_EST_CEN!B:B,'MAPA_DATA'!D39)&gt;0,1,0)</v>
      </c>
      <c r="H39" s="5" t="str">
        <f t="shared" si="3"/>
        <v>IF(COUNTIF(EFACT_CNE!B:B,'MAPA_DATA'!D39)&gt;0,1,0)</v>
      </c>
      <c r="I39" s="5" t="str">
        <f t="shared" si="4"/>
        <v>IF(COUNTIF(EFACT_EST_CEN!B:B,'MAPA_DATA'!D39)&gt;0,1,0)</v>
      </c>
    </row>
    <row r="40" spans="1:9" x14ac:dyDescent="0.25">
      <c r="A40" s="45">
        <v>40</v>
      </c>
      <c r="B40" s="45">
        <f t="shared" si="5"/>
        <v>2018</v>
      </c>
      <c r="C40" s="45">
        <f t="shared" si="6"/>
        <v>6</v>
      </c>
      <c r="D40" s="61">
        <v>43252</v>
      </c>
      <c r="E40" s="5" t="str">
        <f t="shared" si="0"/>
        <v>IF(COUNTIF(FACT_EMITIDA!B:B,'MAPA_DATA'!D40)&gt;0,1,0)</v>
      </c>
      <c r="F40" s="5" t="str">
        <f t="shared" si="1"/>
        <v>IF(COUNTIF(FACT_EST_EFACT!B:B,'MAPA_DATA'!D40)&gt;0,1,0)</v>
      </c>
      <c r="G40" s="5" t="str">
        <f t="shared" si="2"/>
        <v>IF(COUNTIF(FACT_EST_CEN!B:B,'MAPA_DATA'!D40)&gt;0,1,0)</v>
      </c>
      <c r="H40" s="5" t="str">
        <f t="shared" si="3"/>
        <v>IF(COUNTIF(EFACT_CNE!B:B,'MAPA_DATA'!D40)&gt;0,1,0)</v>
      </c>
      <c r="I40" s="5" t="str">
        <f t="shared" si="4"/>
        <v>IF(COUNTIF(EFACT_EST_CEN!B:B,'MAPA_DATA'!D40)&gt;0,1,0)</v>
      </c>
    </row>
    <row r="41" spans="1:9" x14ac:dyDescent="0.25">
      <c r="A41" s="45">
        <v>41</v>
      </c>
      <c r="B41" s="45">
        <f t="shared" si="5"/>
        <v>2018</v>
      </c>
      <c r="C41" s="45">
        <f t="shared" si="6"/>
        <v>7</v>
      </c>
      <c r="D41" s="61">
        <v>43282</v>
      </c>
      <c r="E41" s="5" t="str">
        <f t="shared" si="0"/>
        <v>IF(COUNTIF(FACT_EMITIDA!B:B,'MAPA_DATA'!D41)&gt;0,1,0)</v>
      </c>
      <c r="F41" s="5" t="str">
        <f t="shared" si="1"/>
        <v>IF(COUNTIF(FACT_EST_EFACT!B:B,'MAPA_DATA'!D41)&gt;0,1,0)</v>
      </c>
      <c r="G41" s="5" t="str">
        <f t="shared" si="2"/>
        <v>IF(COUNTIF(FACT_EST_CEN!B:B,'MAPA_DATA'!D41)&gt;0,1,0)</v>
      </c>
      <c r="H41" s="5" t="str">
        <f t="shared" si="3"/>
        <v>IF(COUNTIF(EFACT_CNE!B:B,'MAPA_DATA'!D41)&gt;0,1,0)</v>
      </c>
      <c r="I41" s="5" t="str">
        <f t="shared" si="4"/>
        <v>IF(COUNTIF(EFACT_EST_CEN!B:B,'MAPA_DATA'!D41)&gt;0,1,0)</v>
      </c>
    </row>
    <row r="42" spans="1:9" x14ac:dyDescent="0.25">
      <c r="A42" s="45">
        <v>42</v>
      </c>
      <c r="B42" s="45">
        <f t="shared" si="5"/>
        <v>2018</v>
      </c>
      <c r="C42" s="45">
        <f t="shared" si="6"/>
        <v>8</v>
      </c>
      <c r="D42" s="61">
        <v>43313</v>
      </c>
      <c r="E42" s="5" t="str">
        <f t="shared" si="0"/>
        <v>IF(COUNTIF(FACT_EMITIDA!B:B,'MAPA_DATA'!D42)&gt;0,1,0)</v>
      </c>
      <c r="F42" s="5" t="str">
        <f t="shared" si="1"/>
        <v>IF(COUNTIF(FACT_EST_EFACT!B:B,'MAPA_DATA'!D42)&gt;0,1,0)</v>
      </c>
      <c r="G42" s="5" t="str">
        <f t="shared" si="2"/>
        <v>IF(COUNTIF(FACT_EST_CEN!B:B,'MAPA_DATA'!D42)&gt;0,1,0)</v>
      </c>
      <c r="H42" s="5" t="str">
        <f t="shared" si="3"/>
        <v>IF(COUNTIF(EFACT_CNE!B:B,'MAPA_DATA'!D42)&gt;0,1,0)</v>
      </c>
      <c r="I42" s="5" t="str">
        <f t="shared" si="4"/>
        <v>IF(COUNTIF(EFACT_EST_CEN!B:B,'MAPA_DATA'!D42)&gt;0,1,0)</v>
      </c>
    </row>
    <row r="43" spans="1:9" x14ac:dyDescent="0.25">
      <c r="A43" s="45">
        <v>43</v>
      </c>
      <c r="B43" s="45">
        <f t="shared" si="5"/>
        <v>2018</v>
      </c>
      <c r="C43" s="45">
        <f t="shared" si="6"/>
        <v>9</v>
      </c>
      <c r="D43" s="61">
        <v>43344</v>
      </c>
      <c r="E43" s="5" t="str">
        <f t="shared" ref="E43:E67" si="7">CONCATENATE("IF(COUNTIF(FACT_EMITIDA!B:B,'MAPA_DATA'!D",A43,")&gt;0,1,0)")</f>
        <v>IF(COUNTIF(FACT_EMITIDA!B:B,'MAPA_DATA'!D43)&gt;0,1,0)</v>
      </c>
      <c r="F43" s="5" t="str">
        <f t="shared" ref="F43:F67" si="8">CONCATENATE("IF(COUNTIF(FACT_EST_EFACT!B:B,'MAPA_DATA'!D",A43,")&gt;0,1,0)")</f>
        <v>IF(COUNTIF(FACT_EST_EFACT!B:B,'MAPA_DATA'!D43)&gt;0,1,0)</v>
      </c>
      <c r="G43" s="5" t="str">
        <f t="shared" ref="G43:G67" si="9">CONCATENATE("IF(COUNTIF(FACT_EST_CEN!B:B,'MAPA_DATA'!D",A43,")&gt;0,1,0)")</f>
        <v>IF(COUNTIF(FACT_EST_CEN!B:B,'MAPA_DATA'!D43)&gt;0,1,0)</v>
      </c>
      <c r="H43" s="5" t="str">
        <f t="shared" ref="H43:H67" si="10">CONCATENATE("IF(COUNTIF(EFACT_CNE!B:B,'MAPA_DATA'!D",A43,")&gt;0,1,0)")</f>
        <v>IF(COUNTIF(EFACT_CNE!B:B,'MAPA_DATA'!D43)&gt;0,1,0)</v>
      </c>
      <c r="I43" s="5" t="str">
        <f t="shared" ref="I43:I67" si="11">CONCATENATE("IF(COUNTIF(EFACT_EST_CEN!B:B,'MAPA_DATA'!D",A43,")&gt;0,1,0)")</f>
        <v>IF(COUNTIF(EFACT_EST_CEN!B:B,'MAPA_DATA'!D43)&gt;0,1,0)</v>
      </c>
    </row>
    <row r="44" spans="1:9" x14ac:dyDescent="0.25">
      <c r="A44" s="45">
        <v>44</v>
      </c>
      <c r="B44" s="45">
        <f t="shared" si="5"/>
        <v>2018</v>
      </c>
      <c r="C44" s="45">
        <f t="shared" si="6"/>
        <v>10</v>
      </c>
      <c r="D44" s="61">
        <v>43374</v>
      </c>
      <c r="E44" s="5" t="str">
        <f t="shared" si="7"/>
        <v>IF(COUNTIF(FACT_EMITIDA!B:B,'MAPA_DATA'!D44)&gt;0,1,0)</v>
      </c>
      <c r="F44" s="5" t="str">
        <f t="shared" si="8"/>
        <v>IF(COUNTIF(FACT_EST_EFACT!B:B,'MAPA_DATA'!D44)&gt;0,1,0)</v>
      </c>
      <c r="G44" s="5" t="str">
        <f t="shared" si="9"/>
        <v>IF(COUNTIF(FACT_EST_CEN!B:B,'MAPA_DATA'!D44)&gt;0,1,0)</v>
      </c>
      <c r="H44" s="5" t="str">
        <f t="shared" si="10"/>
        <v>IF(COUNTIF(EFACT_CNE!B:B,'MAPA_DATA'!D44)&gt;0,1,0)</v>
      </c>
      <c r="I44" s="5" t="str">
        <f t="shared" si="11"/>
        <v>IF(COUNTIF(EFACT_EST_CEN!B:B,'MAPA_DATA'!D44)&gt;0,1,0)</v>
      </c>
    </row>
    <row r="45" spans="1:9" x14ac:dyDescent="0.25">
      <c r="A45" s="45">
        <v>45</v>
      </c>
      <c r="B45" s="45">
        <f t="shared" si="5"/>
        <v>2018</v>
      </c>
      <c r="C45" s="45">
        <f t="shared" si="6"/>
        <v>11</v>
      </c>
      <c r="D45" s="61">
        <v>43405</v>
      </c>
      <c r="E45" s="5" t="str">
        <f t="shared" si="7"/>
        <v>IF(COUNTIF(FACT_EMITIDA!B:B,'MAPA_DATA'!D45)&gt;0,1,0)</v>
      </c>
      <c r="F45" s="5" t="str">
        <f t="shared" si="8"/>
        <v>IF(COUNTIF(FACT_EST_EFACT!B:B,'MAPA_DATA'!D45)&gt;0,1,0)</v>
      </c>
      <c r="G45" s="5" t="str">
        <f t="shared" si="9"/>
        <v>IF(COUNTIF(FACT_EST_CEN!B:B,'MAPA_DATA'!D45)&gt;0,1,0)</v>
      </c>
      <c r="H45" s="5" t="str">
        <f t="shared" si="10"/>
        <v>IF(COUNTIF(EFACT_CNE!B:B,'MAPA_DATA'!D45)&gt;0,1,0)</v>
      </c>
      <c r="I45" s="5" t="str">
        <f t="shared" si="11"/>
        <v>IF(COUNTIF(EFACT_EST_CEN!B:B,'MAPA_DATA'!D45)&gt;0,1,0)</v>
      </c>
    </row>
    <row r="46" spans="1:9" x14ac:dyDescent="0.25">
      <c r="A46" s="45">
        <v>46</v>
      </c>
      <c r="B46" s="45">
        <f t="shared" si="5"/>
        <v>2018</v>
      </c>
      <c r="C46" s="45">
        <f t="shared" si="6"/>
        <v>12</v>
      </c>
      <c r="D46" s="61">
        <v>43435</v>
      </c>
      <c r="E46" s="5" t="str">
        <f t="shared" si="7"/>
        <v>IF(COUNTIF(FACT_EMITIDA!B:B,'MAPA_DATA'!D46)&gt;0,1,0)</v>
      </c>
      <c r="F46" s="5" t="str">
        <f t="shared" si="8"/>
        <v>IF(COUNTIF(FACT_EST_EFACT!B:B,'MAPA_DATA'!D46)&gt;0,1,0)</v>
      </c>
      <c r="G46" s="5" t="str">
        <f t="shared" si="9"/>
        <v>IF(COUNTIF(FACT_EST_CEN!B:B,'MAPA_DATA'!D46)&gt;0,1,0)</v>
      </c>
      <c r="H46" s="5" t="str">
        <f t="shared" si="10"/>
        <v>IF(COUNTIF(EFACT_CNE!B:B,'MAPA_DATA'!D46)&gt;0,1,0)</v>
      </c>
      <c r="I46" s="5" t="str">
        <f t="shared" si="11"/>
        <v>IF(COUNTIF(EFACT_EST_CEN!B:B,'MAPA_DATA'!D46)&gt;0,1,0)</v>
      </c>
    </row>
    <row r="47" spans="1:9" x14ac:dyDescent="0.25">
      <c r="A47" s="45">
        <v>47</v>
      </c>
      <c r="B47" s="45">
        <f t="shared" si="5"/>
        <v>2019</v>
      </c>
      <c r="C47" s="45">
        <f t="shared" si="6"/>
        <v>1</v>
      </c>
      <c r="D47" s="61">
        <v>43466</v>
      </c>
      <c r="E47" s="5" t="str">
        <f t="shared" si="7"/>
        <v>IF(COUNTIF(FACT_EMITIDA!B:B,'MAPA_DATA'!D47)&gt;0,1,0)</v>
      </c>
      <c r="F47" s="5" t="str">
        <f t="shared" si="8"/>
        <v>IF(COUNTIF(FACT_EST_EFACT!B:B,'MAPA_DATA'!D47)&gt;0,1,0)</v>
      </c>
      <c r="G47" s="5" t="str">
        <f t="shared" si="9"/>
        <v>IF(COUNTIF(FACT_EST_CEN!B:B,'MAPA_DATA'!D47)&gt;0,1,0)</v>
      </c>
      <c r="H47" s="5" t="str">
        <f t="shared" si="10"/>
        <v>IF(COUNTIF(EFACT_CNE!B:B,'MAPA_DATA'!D47)&gt;0,1,0)</v>
      </c>
      <c r="I47" s="5" t="str">
        <f t="shared" si="11"/>
        <v>IF(COUNTIF(EFACT_EST_CEN!B:B,'MAPA_DATA'!D47)&gt;0,1,0)</v>
      </c>
    </row>
    <row r="48" spans="1:9" x14ac:dyDescent="0.25">
      <c r="A48" s="45">
        <v>48</v>
      </c>
      <c r="B48" s="45">
        <f t="shared" si="5"/>
        <v>2019</v>
      </c>
      <c r="C48" s="45">
        <f t="shared" si="6"/>
        <v>2</v>
      </c>
      <c r="D48" s="61">
        <v>43497</v>
      </c>
      <c r="E48" s="5" t="str">
        <f t="shared" si="7"/>
        <v>IF(COUNTIF(FACT_EMITIDA!B:B,'MAPA_DATA'!D48)&gt;0,1,0)</v>
      </c>
      <c r="F48" s="5" t="str">
        <f t="shared" si="8"/>
        <v>IF(COUNTIF(FACT_EST_EFACT!B:B,'MAPA_DATA'!D48)&gt;0,1,0)</v>
      </c>
      <c r="G48" s="5" t="str">
        <f t="shared" si="9"/>
        <v>IF(COUNTIF(FACT_EST_CEN!B:B,'MAPA_DATA'!D48)&gt;0,1,0)</v>
      </c>
      <c r="H48" s="5" t="str">
        <f t="shared" si="10"/>
        <v>IF(COUNTIF(EFACT_CNE!B:B,'MAPA_DATA'!D48)&gt;0,1,0)</v>
      </c>
      <c r="I48" s="5" t="str">
        <f t="shared" si="11"/>
        <v>IF(COUNTIF(EFACT_EST_CEN!B:B,'MAPA_DATA'!D48)&gt;0,1,0)</v>
      </c>
    </row>
    <row r="49" spans="1:9" x14ac:dyDescent="0.25">
      <c r="A49" s="45">
        <v>49</v>
      </c>
      <c r="B49" s="45">
        <f t="shared" si="5"/>
        <v>2019</v>
      </c>
      <c r="C49" s="45">
        <f t="shared" si="6"/>
        <v>3</v>
      </c>
      <c r="D49" s="61">
        <v>43525</v>
      </c>
      <c r="E49" s="5" t="str">
        <f t="shared" si="7"/>
        <v>IF(COUNTIF(FACT_EMITIDA!B:B,'MAPA_DATA'!D49)&gt;0,1,0)</v>
      </c>
      <c r="F49" s="5" t="str">
        <f t="shared" si="8"/>
        <v>IF(COUNTIF(FACT_EST_EFACT!B:B,'MAPA_DATA'!D49)&gt;0,1,0)</v>
      </c>
      <c r="G49" s="5" t="str">
        <f t="shared" si="9"/>
        <v>IF(COUNTIF(FACT_EST_CEN!B:B,'MAPA_DATA'!D49)&gt;0,1,0)</v>
      </c>
      <c r="H49" s="5" t="str">
        <f t="shared" si="10"/>
        <v>IF(COUNTIF(EFACT_CNE!B:B,'MAPA_DATA'!D49)&gt;0,1,0)</v>
      </c>
      <c r="I49" s="5" t="str">
        <f t="shared" si="11"/>
        <v>IF(COUNTIF(EFACT_EST_CEN!B:B,'MAPA_DATA'!D49)&gt;0,1,0)</v>
      </c>
    </row>
    <row r="50" spans="1:9" x14ac:dyDescent="0.25">
      <c r="A50" s="45">
        <v>50</v>
      </c>
      <c r="B50" s="45">
        <f t="shared" si="5"/>
        <v>2019</v>
      </c>
      <c r="C50" s="45">
        <f t="shared" si="6"/>
        <v>4</v>
      </c>
      <c r="D50" s="61">
        <v>43556</v>
      </c>
      <c r="E50" s="5" t="str">
        <f t="shared" si="7"/>
        <v>IF(COUNTIF(FACT_EMITIDA!B:B,'MAPA_DATA'!D50)&gt;0,1,0)</v>
      </c>
      <c r="F50" s="5" t="str">
        <f t="shared" si="8"/>
        <v>IF(COUNTIF(FACT_EST_EFACT!B:B,'MAPA_DATA'!D50)&gt;0,1,0)</v>
      </c>
      <c r="G50" s="5" t="str">
        <f t="shared" si="9"/>
        <v>IF(COUNTIF(FACT_EST_CEN!B:B,'MAPA_DATA'!D50)&gt;0,1,0)</v>
      </c>
      <c r="H50" s="5" t="str">
        <f t="shared" si="10"/>
        <v>IF(COUNTIF(EFACT_CNE!B:B,'MAPA_DATA'!D50)&gt;0,1,0)</v>
      </c>
      <c r="I50" s="5" t="str">
        <f t="shared" si="11"/>
        <v>IF(COUNTIF(EFACT_EST_CEN!B:B,'MAPA_DATA'!D50)&gt;0,1,0)</v>
      </c>
    </row>
    <row r="51" spans="1:9" x14ac:dyDescent="0.25">
      <c r="A51" s="45">
        <v>51</v>
      </c>
      <c r="B51" s="45">
        <f t="shared" si="5"/>
        <v>2019</v>
      </c>
      <c r="C51" s="45">
        <f t="shared" si="6"/>
        <v>5</v>
      </c>
      <c r="D51" s="61">
        <v>43586</v>
      </c>
      <c r="E51" s="5" t="str">
        <f t="shared" si="7"/>
        <v>IF(COUNTIF(FACT_EMITIDA!B:B,'MAPA_DATA'!D51)&gt;0,1,0)</v>
      </c>
      <c r="F51" s="5" t="str">
        <f t="shared" si="8"/>
        <v>IF(COUNTIF(FACT_EST_EFACT!B:B,'MAPA_DATA'!D51)&gt;0,1,0)</v>
      </c>
      <c r="G51" s="5" t="str">
        <f t="shared" si="9"/>
        <v>IF(COUNTIF(FACT_EST_CEN!B:B,'MAPA_DATA'!D51)&gt;0,1,0)</v>
      </c>
      <c r="H51" s="5" t="str">
        <f t="shared" si="10"/>
        <v>IF(COUNTIF(EFACT_CNE!B:B,'MAPA_DATA'!D51)&gt;0,1,0)</v>
      </c>
      <c r="I51" s="5" t="str">
        <f t="shared" si="11"/>
        <v>IF(COUNTIF(EFACT_EST_CEN!B:B,'MAPA_DATA'!D51)&gt;0,1,0)</v>
      </c>
    </row>
    <row r="52" spans="1:9" x14ac:dyDescent="0.25">
      <c r="A52" s="45">
        <v>52</v>
      </c>
      <c r="B52" s="45">
        <f t="shared" si="5"/>
        <v>2019</v>
      </c>
      <c r="C52" s="45">
        <f t="shared" si="6"/>
        <v>6</v>
      </c>
      <c r="D52" s="61">
        <v>43617</v>
      </c>
      <c r="E52" s="5" t="str">
        <f t="shared" si="7"/>
        <v>IF(COUNTIF(FACT_EMITIDA!B:B,'MAPA_DATA'!D52)&gt;0,1,0)</v>
      </c>
      <c r="F52" s="5" t="str">
        <f t="shared" si="8"/>
        <v>IF(COUNTIF(FACT_EST_EFACT!B:B,'MAPA_DATA'!D52)&gt;0,1,0)</v>
      </c>
      <c r="G52" s="5" t="str">
        <f t="shared" si="9"/>
        <v>IF(COUNTIF(FACT_EST_CEN!B:B,'MAPA_DATA'!D52)&gt;0,1,0)</v>
      </c>
      <c r="H52" s="5" t="str">
        <f t="shared" si="10"/>
        <v>IF(COUNTIF(EFACT_CNE!B:B,'MAPA_DATA'!D52)&gt;0,1,0)</v>
      </c>
      <c r="I52" s="5" t="str">
        <f t="shared" si="11"/>
        <v>IF(COUNTIF(EFACT_EST_CEN!B:B,'MAPA_DATA'!D52)&gt;0,1,0)</v>
      </c>
    </row>
    <row r="53" spans="1:9" x14ac:dyDescent="0.25">
      <c r="A53" s="45">
        <v>53</v>
      </c>
      <c r="B53" s="45">
        <f>B41+1</f>
        <v>2019</v>
      </c>
      <c r="C53" s="45">
        <f>C41</f>
        <v>7</v>
      </c>
      <c r="D53" s="61">
        <v>43647</v>
      </c>
      <c r="E53" s="5" t="str">
        <f t="shared" si="7"/>
        <v>IF(COUNTIF(FACT_EMITIDA!B:B,'MAPA_DATA'!D53)&gt;0,1,0)</v>
      </c>
      <c r="F53" s="5" t="str">
        <f t="shared" si="8"/>
        <v>IF(COUNTIF(FACT_EST_EFACT!B:B,'MAPA_DATA'!D53)&gt;0,1,0)</v>
      </c>
      <c r="G53" s="5" t="str">
        <f t="shared" si="9"/>
        <v>IF(COUNTIF(FACT_EST_CEN!B:B,'MAPA_DATA'!D53)&gt;0,1,0)</v>
      </c>
      <c r="H53" s="5" t="str">
        <f t="shared" si="10"/>
        <v>IF(COUNTIF(EFACT_CNE!B:B,'MAPA_DATA'!D53)&gt;0,1,0)</v>
      </c>
      <c r="I53" s="5" t="str">
        <f t="shared" si="11"/>
        <v>IF(COUNTIF(EFACT_EST_CEN!B:B,'MAPA_DATA'!D53)&gt;0,1,0)</v>
      </c>
    </row>
    <row r="54" spans="1:9" x14ac:dyDescent="0.25">
      <c r="A54" s="45">
        <v>54</v>
      </c>
      <c r="B54" s="45">
        <f t="shared" si="5"/>
        <v>2019</v>
      </c>
      <c r="C54" s="45">
        <f t="shared" si="6"/>
        <v>8</v>
      </c>
      <c r="D54" s="61">
        <v>43678</v>
      </c>
      <c r="E54" s="5" t="str">
        <f t="shared" si="7"/>
        <v>IF(COUNTIF(FACT_EMITIDA!B:B,'MAPA_DATA'!D54)&gt;0,1,0)</v>
      </c>
      <c r="F54" s="5" t="str">
        <f t="shared" si="8"/>
        <v>IF(COUNTIF(FACT_EST_EFACT!B:B,'MAPA_DATA'!D54)&gt;0,1,0)</v>
      </c>
      <c r="G54" s="5" t="str">
        <f t="shared" si="9"/>
        <v>IF(COUNTIF(FACT_EST_CEN!B:B,'MAPA_DATA'!D54)&gt;0,1,0)</v>
      </c>
      <c r="H54" s="5" t="str">
        <f t="shared" si="10"/>
        <v>IF(COUNTIF(EFACT_CNE!B:B,'MAPA_DATA'!D54)&gt;0,1,0)</v>
      </c>
      <c r="I54" s="5" t="str">
        <f t="shared" si="11"/>
        <v>IF(COUNTIF(EFACT_EST_CEN!B:B,'MAPA_DATA'!D54)&gt;0,1,0)</v>
      </c>
    </row>
    <row r="55" spans="1:9" x14ac:dyDescent="0.25">
      <c r="A55" s="45">
        <v>55</v>
      </c>
      <c r="B55" s="45">
        <f t="shared" si="5"/>
        <v>2019</v>
      </c>
      <c r="C55" s="45">
        <f t="shared" si="6"/>
        <v>9</v>
      </c>
      <c r="D55" s="61">
        <v>43709</v>
      </c>
      <c r="E55" s="5" t="str">
        <f t="shared" si="7"/>
        <v>IF(COUNTIF(FACT_EMITIDA!B:B,'MAPA_DATA'!D55)&gt;0,1,0)</v>
      </c>
      <c r="F55" s="5" t="str">
        <f t="shared" si="8"/>
        <v>IF(COUNTIF(FACT_EST_EFACT!B:B,'MAPA_DATA'!D55)&gt;0,1,0)</v>
      </c>
      <c r="G55" s="5" t="str">
        <f t="shared" si="9"/>
        <v>IF(COUNTIF(FACT_EST_CEN!B:B,'MAPA_DATA'!D55)&gt;0,1,0)</v>
      </c>
      <c r="H55" s="5" t="str">
        <f t="shared" si="10"/>
        <v>IF(COUNTIF(EFACT_CNE!B:B,'MAPA_DATA'!D55)&gt;0,1,0)</v>
      </c>
      <c r="I55" s="5" t="str">
        <f t="shared" si="11"/>
        <v>IF(COUNTIF(EFACT_EST_CEN!B:B,'MAPA_DATA'!D55)&gt;0,1,0)</v>
      </c>
    </row>
    <row r="56" spans="1:9" x14ac:dyDescent="0.25">
      <c r="A56" s="45">
        <v>56</v>
      </c>
      <c r="B56" s="45">
        <f t="shared" si="5"/>
        <v>2019</v>
      </c>
      <c r="C56" s="45">
        <f t="shared" si="6"/>
        <v>10</v>
      </c>
      <c r="D56" s="61">
        <v>43739</v>
      </c>
      <c r="E56" s="5" t="str">
        <f t="shared" si="7"/>
        <v>IF(COUNTIF(FACT_EMITIDA!B:B,'MAPA_DATA'!D56)&gt;0,1,0)</v>
      </c>
      <c r="F56" s="5" t="str">
        <f t="shared" si="8"/>
        <v>IF(COUNTIF(FACT_EST_EFACT!B:B,'MAPA_DATA'!D56)&gt;0,1,0)</v>
      </c>
      <c r="G56" s="5" t="str">
        <f t="shared" si="9"/>
        <v>IF(COUNTIF(FACT_EST_CEN!B:B,'MAPA_DATA'!D56)&gt;0,1,0)</v>
      </c>
      <c r="H56" s="5" t="str">
        <f t="shared" si="10"/>
        <v>IF(COUNTIF(EFACT_CNE!B:B,'MAPA_DATA'!D56)&gt;0,1,0)</v>
      </c>
      <c r="I56" s="5" t="str">
        <f t="shared" si="11"/>
        <v>IF(COUNTIF(EFACT_EST_CEN!B:B,'MAPA_DATA'!D56)&gt;0,1,0)</v>
      </c>
    </row>
    <row r="57" spans="1:9" x14ac:dyDescent="0.25">
      <c r="A57" s="45">
        <v>57</v>
      </c>
      <c r="B57" s="45">
        <f t="shared" si="5"/>
        <v>2019</v>
      </c>
      <c r="C57" s="45">
        <f t="shared" si="6"/>
        <v>11</v>
      </c>
      <c r="D57" s="61">
        <v>43770</v>
      </c>
      <c r="E57" s="5" t="str">
        <f t="shared" si="7"/>
        <v>IF(COUNTIF(FACT_EMITIDA!B:B,'MAPA_DATA'!D57)&gt;0,1,0)</v>
      </c>
      <c r="F57" s="5" t="str">
        <f t="shared" si="8"/>
        <v>IF(COUNTIF(FACT_EST_EFACT!B:B,'MAPA_DATA'!D57)&gt;0,1,0)</v>
      </c>
      <c r="G57" s="5" t="str">
        <f t="shared" si="9"/>
        <v>IF(COUNTIF(FACT_EST_CEN!B:B,'MAPA_DATA'!D57)&gt;0,1,0)</v>
      </c>
      <c r="H57" s="5" t="str">
        <f t="shared" si="10"/>
        <v>IF(COUNTIF(EFACT_CNE!B:B,'MAPA_DATA'!D57)&gt;0,1,0)</v>
      </c>
      <c r="I57" s="5" t="str">
        <f t="shared" si="11"/>
        <v>IF(COUNTIF(EFACT_EST_CEN!B:B,'MAPA_DATA'!D57)&gt;0,1,0)</v>
      </c>
    </row>
    <row r="58" spans="1:9" x14ac:dyDescent="0.25">
      <c r="A58" s="45">
        <v>58</v>
      </c>
      <c r="B58" s="45">
        <f t="shared" si="5"/>
        <v>2019</v>
      </c>
      <c r="C58" s="45">
        <f t="shared" si="6"/>
        <v>12</v>
      </c>
      <c r="D58" s="61">
        <v>43800</v>
      </c>
      <c r="E58" s="5" t="str">
        <f t="shared" si="7"/>
        <v>IF(COUNTIF(FACT_EMITIDA!B:B,'MAPA_DATA'!D58)&gt;0,1,0)</v>
      </c>
      <c r="F58" s="5" t="str">
        <f t="shared" si="8"/>
        <v>IF(COUNTIF(FACT_EST_EFACT!B:B,'MAPA_DATA'!D58)&gt;0,1,0)</v>
      </c>
      <c r="G58" s="5" t="str">
        <f t="shared" si="9"/>
        <v>IF(COUNTIF(FACT_EST_CEN!B:B,'MAPA_DATA'!D58)&gt;0,1,0)</v>
      </c>
      <c r="H58" s="5" t="str">
        <f t="shared" si="10"/>
        <v>IF(COUNTIF(EFACT_CNE!B:B,'MAPA_DATA'!D58)&gt;0,1,0)</v>
      </c>
      <c r="I58" s="5" t="str">
        <f t="shared" si="11"/>
        <v>IF(COUNTIF(EFACT_EST_CEN!B:B,'MAPA_DATA'!D58)&gt;0,1,0)</v>
      </c>
    </row>
    <row r="59" spans="1:9" x14ac:dyDescent="0.25">
      <c r="A59" s="45">
        <v>59</v>
      </c>
      <c r="B59" s="45">
        <f t="shared" si="5"/>
        <v>2020</v>
      </c>
      <c r="C59" s="45">
        <f t="shared" si="6"/>
        <v>1</v>
      </c>
      <c r="D59" s="61">
        <v>43831</v>
      </c>
      <c r="E59" s="5" t="str">
        <f t="shared" si="7"/>
        <v>IF(COUNTIF(FACT_EMITIDA!B:B,'MAPA_DATA'!D59)&gt;0,1,0)</v>
      </c>
      <c r="F59" s="5" t="str">
        <f t="shared" si="8"/>
        <v>IF(COUNTIF(FACT_EST_EFACT!B:B,'MAPA_DATA'!D59)&gt;0,1,0)</v>
      </c>
      <c r="G59" s="5" t="str">
        <f t="shared" si="9"/>
        <v>IF(COUNTIF(FACT_EST_CEN!B:B,'MAPA_DATA'!D59)&gt;0,1,0)</v>
      </c>
      <c r="H59" s="5" t="str">
        <f t="shared" si="10"/>
        <v>IF(COUNTIF(EFACT_CNE!B:B,'MAPA_DATA'!D59)&gt;0,1,0)</v>
      </c>
      <c r="I59" s="5" t="str">
        <f t="shared" si="11"/>
        <v>IF(COUNTIF(EFACT_EST_CEN!B:B,'MAPA_DATA'!D59)&gt;0,1,0)</v>
      </c>
    </row>
    <row r="60" spans="1:9" x14ac:dyDescent="0.25">
      <c r="A60" s="45">
        <v>60</v>
      </c>
      <c r="B60" s="45">
        <f>B48+1</f>
        <v>2020</v>
      </c>
      <c r="C60" s="45">
        <f>C48</f>
        <v>2</v>
      </c>
      <c r="D60" s="61">
        <v>43862</v>
      </c>
      <c r="E60" s="5" t="str">
        <f t="shared" si="7"/>
        <v>IF(COUNTIF(FACT_EMITIDA!B:B,'MAPA_DATA'!D60)&gt;0,1,0)</v>
      </c>
      <c r="F60" s="5" t="str">
        <f t="shared" si="8"/>
        <v>IF(COUNTIF(FACT_EST_EFACT!B:B,'MAPA_DATA'!D60)&gt;0,1,0)</v>
      </c>
      <c r="G60" s="5" t="str">
        <f t="shared" si="9"/>
        <v>IF(COUNTIF(FACT_EST_CEN!B:B,'MAPA_DATA'!D60)&gt;0,1,0)</v>
      </c>
      <c r="H60" s="5" t="str">
        <f t="shared" si="10"/>
        <v>IF(COUNTIF(EFACT_CNE!B:B,'MAPA_DATA'!D60)&gt;0,1,0)</v>
      </c>
      <c r="I60" s="5" t="str">
        <f t="shared" si="11"/>
        <v>IF(COUNTIF(EFACT_EST_CEN!B:B,'MAPA_DATA'!D60)&gt;0,1,0)</v>
      </c>
    </row>
    <row r="61" spans="1:9" x14ac:dyDescent="0.25">
      <c r="A61" s="45">
        <v>61</v>
      </c>
      <c r="B61" s="45">
        <f t="shared" si="5"/>
        <v>2020</v>
      </c>
      <c r="C61" s="45">
        <f t="shared" si="6"/>
        <v>3</v>
      </c>
      <c r="D61" s="61">
        <v>43891</v>
      </c>
      <c r="E61" s="5" t="str">
        <f t="shared" si="7"/>
        <v>IF(COUNTIF(FACT_EMITIDA!B:B,'MAPA_DATA'!D61)&gt;0,1,0)</v>
      </c>
      <c r="F61" s="5" t="str">
        <f t="shared" si="8"/>
        <v>IF(COUNTIF(FACT_EST_EFACT!B:B,'MAPA_DATA'!D61)&gt;0,1,0)</v>
      </c>
      <c r="G61" s="5" t="str">
        <f t="shared" si="9"/>
        <v>IF(COUNTIF(FACT_EST_CEN!B:B,'MAPA_DATA'!D61)&gt;0,1,0)</v>
      </c>
      <c r="H61" s="5" t="str">
        <f t="shared" si="10"/>
        <v>IF(COUNTIF(EFACT_CNE!B:B,'MAPA_DATA'!D61)&gt;0,1,0)</v>
      </c>
      <c r="I61" s="5" t="str">
        <f t="shared" si="11"/>
        <v>IF(COUNTIF(EFACT_EST_CEN!B:B,'MAPA_DATA'!D61)&gt;0,1,0)</v>
      </c>
    </row>
    <row r="62" spans="1:9" x14ac:dyDescent="0.25">
      <c r="A62" s="45">
        <v>62</v>
      </c>
      <c r="B62" s="45">
        <f t="shared" si="5"/>
        <v>2020</v>
      </c>
      <c r="C62" s="45">
        <f t="shared" si="6"/>
        <v>4</v>
      </c>
      <c r="D62" s="61">
        <v>43922</v>
      </c>
      <c r="E62" s="5" t="str">
        <f t="shared" si="7"/>
        <v>IF(COUNTIF(FACT_EMITIDA!B:B,'MAPA_DATA'!D62)&gt;0,1,0)</v>
      </c>
      <c r="F62" s="5" t="str">
        <f t="shared" si="8"/>
        <v>IF(COUNTIF(FACT_EST_EFACT!B:B,'MAPA_DATA'!D62)&gt;0,1,0)</v>
      </c>
      <c r="G62" s="5" t="str">
        <f t="shared" si="9"/>
        <v>IF(COUNTIF(FACT_EST_CEN!B:B,'MAPA_DATA'!D62)&gt;0,1,0)</v>
      </c>
      <c r="H62" s="5" t="str">
        <f t="shared" si="10"/>
        <v>IF(COUNTIF(EFACT_CNE!B:B,'MAPA_DATA'!D62)&gt;0,1,0)</v>
      </c>
      <c r="I62" s="5" t="str">
        <f t="shared" si="11"/>
        <v>IF(COUNTIF(EFACT_EST_CEN!B:B,'MAPA_DATA'!D62)&gt;0,1,0)</v>
      </c>
    </row>
    <row r="63" spans="1:9" x14ac:dyDescent="0.25">
      <c r="A63" s="45">
        <v>63</v>
      </c>
      <c r="B63" s="45">
        <f t="shared" si="5"/>
        <v>2020</v>
      </c>
      <c r="C63" s="45">
        <f t="shared" si="6"/>
        <v>5</v>
      </c>
      <c r="D63" s="61">
        <v>43952</v>
      </c>
      <c r="E63" s="5" t="str">
        <f t="shared" si="7"/>
        <v>IF(COUNTIF(FACT_EMITIDA!B:B,'MAPA_DATA'!D63)&gt;0,1,0)</v>
      </c>
      <c r="F63" s="5" t="str">
        <f t="shared" si="8"/>
        <v>IF(COUNTIF(FACT_EST_EFACT!B:B,'MAPA_DATA'!D63)&gt;0,1,0)</v>
      </c>
      <c r="G63" s="5" t="str">
        <f t="shared" si="9"/>
        <v>IF(COUNTIF(FACT_EST_CEN!B:B,'MAPA_DATA'!D63)&gt;0,1,0)</v>
      </c>
      <c r="H63" s="5" t="str">
        <f t="shared" si="10"/>
        <v>IF(COUNTIF(EFACT_CNE!B:B,'MAPA_DATA'!D63)&gt;0,1,0)</v>
      </c>
      <c r="I63" s="5" t="str">
        <f t="shared" si="11"/>
        <v>IF(COUNTIF(EFACT_EST_CEN!B:B,'MAPA_DATA'!D63)&gt;0,1,0)</v>
      </c>
    </row>
    <row r="64" spans="1:9" x14ac:dyDescent="0.25">
      <c r="A64" s="45">
        <v>64</v>
      </c>
      <c r="B64" s="45">
        <f t="shared" si="5"/>
        <v>2020</v>
      </c>
      <c r="C64" s="45">
        <f t="shared" si="6"/>
        <v>6</v>
      </c>
      <c r="D64" s="61">
        <v>43983</v>
      </c>
      <c r="E64" s="5" t="str">
        <f t="shared" si="7"/>
        <v>IF(COUNTIF(FACT_EMITIDA!B:B,'MAPA_DATA'!D64)&gt;0,1,0)</v>
      </c>
      <c r="F64" s="5" t="str">
        <f t="shared" si="8"/>
        <v>IF(COUNTIF(FACT_EST_EFACT!B:B,'MAPA_DATA'!D64)&gt;0,1,0)</v>
      </c>
      <c r="G64" s="5" t="str">
        <f t="shared" si="9"/>
        <v>IF(COUNTIF(FACT_EST_CEN!B:B,'MAPA_DATA'!D64)&gt;0,1,0)</v>
      </c>
      <c r="H64" s="5" t="str">
        <f t="shared" si="10"/>
        <v>IF(COUNTIF(EFACT_CNE!B:B,'MAPA_DATA'!D64)&gt;0,1,0)</v>
      </c>
      <c r="I64" s="5" t="str">
        <f t="shared" si="11"/>
        <v>IF(COUNTIF(EFACT_EST_CEN!B:B,'MAPA_DATA'!D64)&gt;0,1,0)</v>
      </c>
    </row>
    <row r="65" spans="1:9" x14ac:dyDescent="0.25">
      <c r="A65" s="45">
        <v>65</v>
      </c>
      <c r="B65" s="45">
        <f t="shared" si="5"/>
        <v>2020</v>
      </c>
      <c r="C65" s="45">
        <f t="shared" si="6"/>
        <v>7</v>
      </c>
      <c r="D65" s="61">
        <v>44013</v>
      </c>
      <c r="E65" s="5" t="str">
        <f t="shared" si="7"/>
        <v>IF(COUNTIF(FACT_EMITIDA!B:B,'MAPA_DATA'!D65)&gt;0,1,0)</v>
      </c>
      <c r="F65" s="5" t="str">
        <f t="shared" si="8"/>
        <v>IF(COUNTIF(FACT_EST_EFACT!B:B,'MAPA_DATA'!D65)&gt;0,1,0)</v>
      </c>
      <c r="G65" s="5" t="str">
        <f t="shared" si="9"/>
        <v>IF(COUNTIF(FACT_EST_CEN!B:B,'MAPA_DATA'!D65)&gt;0,1,0)</v>
      </c>
      <c r="H65" s="5" t="str">
        <f t="shared" si="10"/>
        <v>IF(COUNTIF(EFACT_CNE!B:B,'MAPA_DATA'!D65)&gt;0,1,0)</v>
      </c>
      <c r="I65" s="5" t="str">
        <f t="shared" si="11"/>
        <v>IF(COUNTIF(EFACT_EST_CEN!B:B,'MAPA_DATA'!D65)&gt;0,1,0)</v>
      </c>
    </row>
    <row r="66" spans="1:9" x14ac:dyDescent="0.25">
      <c r="A66" s="45">
        <v>66</v>
      </c>
      <c r="B66" s="45">
        <f t="shared" si="5"/>
        <v>2020</v>
      </c>
      <c r="C66" s="45">
        <f t="shared" si="6"/>
        <v>8</v>
      </c>
      <c r="D66" s="61">
        <v>44044</v>
      </c>
      <c r="E66" s="5" t="str">
        <f t="shared" si="7"/>
        <v>IF(COUNTIF(FACT_EMITIDA!B:B,'MAPA_DATA'!D66)&gt;0,1,0)</v>
      </c>
      <c r="F66" s="5" t="str">
        <f t="shared" si="8"/>
        <v>IF(COUNTIF(FACT_EST_EFACT!B:B,'MAPA_DATA'!D66)&gt;0,1,0)</v>
      </c>
      <c r="G66" s="5" t="str">
        <f t="shared" si="9"/>
        <v>IF(COUNTIF(FACT_EST_CEN!B:B,'MAPA_DATA'!D66)&gt;0,1,0)</v>
      </c>
      <c r="H66" s="5" t="str">
        <f t="shared" si="10"/>
        <v>IF(COUNTIF(EFACT_CNE!B:B,'MAPA_DATA'!D66)&gt;0,1,0)</v>
      </c>
      <c r="I66" s="5" t="str">
        <f t="shared" si="11"/>
        <v>IF(COUNTIF(EFACT_EST_CEN!B:B,'MAPA_DATA'!D66)&gt;0,1,0)</v>
      </c>
    </row>
    <row r="67" spans="1:9" x14ac:dyDescent="0.25">
      <c r="A67" s="45">
        <v>67</v>
      </c>
      <c r="B67" s="45">
        <f t="shared" si="5"/>
        <v>2020</v>
      </c>
      <c r="C67" s="45">
        <f t="shared" si="6"/>
        <v>9</v>
      </c>
      <c r="D67" s="61">
        <v>44075</v>
      </c>
      <c r="E67" s="5" t="str">
        <f t="shared" si="7"/>
        <v>IF(COUNTIF(FACT_EMITIDA!B:B,'MAPA_DATA'!D67)&gt;0,1,0)</v>
      </c>
      <c r="F67" s="5" t="str">
        <f t="shared" si="8"/>
        <v>IF(COUNTIF(FACT_EST_EFACT!B:B,'MAPA_DATA'!D67)&gt;0,1,0)</v>
      </c>
      <c r="G67" s="5" t="str">
        <f t="shared" si="9"/>
        <v>IF(COUNTIF(FACT_EST_CEN!B:B,'MAPA_DATA'!D67)&gt;0,1,0)</v>
      </c>
      <c r="H67" s="5" t="str">
        <f t="shared" si="10"/>
        <v>IF(COUNTIF(EFACT_CNE!B:B,'MAPA_DATA'!D67)&gt;0,1,0)</v>
      </c>
      <c r="I67" s="5" t="str">
        <f t="shared" si="11"/>
        <v>IF(COUNTIF(EFACT_EST_CEN!B:B,'MAPA_DATA'!D67)&gt;0,1,0)</v>
      </c>
    </row>
  </sheetData>
  <mergeCells count="3">
    <mergeCell ref="H8:I8"/>
    <mergeCell ref="E8:G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735"/>
  <sheetViews>
    <sheetView workbookViewId="0">
      <selection activeCell="J2" sqref="J2:J4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30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84</v>
      </c>
      <c r="V1" s="2" t="s">
        <v>20</v>
      </c>
      <c r="W1" s="29" t="s">
        <v>85</v>
      </c>
      <c r="X1" s="2" t="s">
        <v>21</v>
      </c>
      <c r="Y1" s="2" t="s">
        <v>22</v>
      </c>
      <c r="Z1" s="2" t="s">
        <v>86</v>
      </c>
      <c r="AA1" t="s">
        <v>23</v>
      </c>
      <c r="AB1" t="s">
        <v>87</v>
      </c>
      <c r="AC1" t="s">
        <v>24</v>
      </c>
      <c r="AD1" t="s">
        <v>75</v>
      </c>
    </row>
    <row r="2" spans="1:30" x14ac:dyDescent="0.25">
      <c r="A2">
        <v>607827</v>
      </c>
      <c r="B2" t="s">
        <v>114</v>
      </c>
      <c r="C2">
        <v>2016</v>
      </c>
      <c r="D2">
        <v>3</v>
      </c>
      <c r="E2" t="s">
        <v>96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113</v>
      </c>
      <c r="L2" t="s">
        <v>112</v>
      </c>
      <c r="M2">
        <v>1703.6853574199999</v>
      </c>
      <c r="N2">
        <v>0</v>
      </c>
      <c r="O2" t="s">
        <v>88</v>
      </c>
      <c r="P2" s="44">
        <v>44330.494940509263</v>
      </c>
      <c r="Q2">
        <v>5439222</v>
      </c>
      <c r="R2" t="s">
        <v>83</v>
      </c>
      <c r="S2">
        <v>45.689989320000002</v>
      </c>
      <c r="W2"/>
      <c r="X2">
        <v>0</v>
      </c>
      <c r="AC2" t="s">
        <v>93</v>
      </c>
      <c r="AD2" s="44">
        <v>42430</v>
      </c>
    </row>
    <row r="3" spans="1:30" x14ac:dyDescent="0.25">
      <c r="A3">
        <v>607809</v>
      </c>
      <c r="B3" t="s">
        <v>114</v>
      </c>
      <c r="C3">
        <v>2016</v>
      </c>
      <c r="D3">
        <v>3</v>
      </c>
      <c r="E3" t="s">
        <v>94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111</v>
      </c>
      <c r="L3" t="s">
        <v>112</v>
      </c>
      <c r="M3">
        <v>6396.77665523</v>
      </c>
      <c r="N3">
        <v>0</v>
      </c>
      <c r="O3" t="s">
        <v>88</v>
      </c>
      <c r="P3" s="44">
        <v>44330.494939849537</v>
      </c>
      <c r="Q3">
        <v>5439188</v>
      </c>
      <c r="R3" t="s">
        <v>83</v>
      </c>
      <c r="S3">
        <v>95.084381250000007</v>
      </c>
      <c r="W3"/>
      <c r="X3">
        <v>0</v>
      </c>
      <c r="AC3" t="s">
        <v>93</v>
      </c>
      <c r="AD3" s="44">
        <v>42430</v>
      </c>
    </row>
    <row r="4" spans="1:30" x14ac:dyDescent="0.25">
      <c r="A4">
        <v>607845</v>
      </c>
      <c r="B4" t="s">
        <v>114</v>
      </c>
      <c r="C4">
        <v>2016</v>
      </c>
      <c r="D4">
        <v>3</v>
      </c>
      <c r="E4" t="s">
        <v>63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115</v>
      </c>
      <c r="L4" t="s">
        <v>112</v>
      </c>
      <c r="M4">
        <v>2312.6677555199999</v>
      </c>
      <c r="N4">
        <v>0</v>
      </c>
      <c r="O4" t="s">
        <v>88</v>
      </c>
      <c r="P4" s="44">
        <v>44330.494941122677</v>
      </c>
      <c r="Q4">
        <v>5439256</v>
      </c>
      <c r="R4" t="s">
        <v>83</v>
      </c>
      <c r="S4">
        <v>61.060298299999999</v>
      </c>
      <c r="W4"/>
      <c r="X4">
        <v>0</v>
      </c>
      <c r="AC4" t="s">
        <v>93</v>
      </c>
      <c r="AD4" s="44">
        <v>42430</v>
      </c>
    </row>
    <row r="5" spans="1:30" x14ac:dyDescent="0.25">
      <c r="A5">
        <v>607827</v>
      </c>
      <c r="B5" t="s">
        <v>114</v>
      </c>
      <c r="C5">
        <v>2016</v>
      </c>
      <c r="D5">
        <v>3</v>
      </c>
      <c r="E5" t="s">
        <v>96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113</v>
      </c>
      <c r="L5" t="s">
        <v>112</v>
      </c>
      <c r="M5">
        <v>1703.6853574199999</v>
      </c>
      <c r="N5">
        <v>0</v>
      </c>
      <c r="O5" t="s">
        <v>88</v>
      </c>
      <c r="P5" s="44">
        <v>44330.494940509263</v>
      </c>
      <c r="Q5">
        <v>5439221</v>
      </c>
      <c r="R5" t="s">
        <v>91</v>
      </c>
      <c r="S5">
        <v>1725.23982916</v>
      </c>
      <c r="W5"/>
      <c r="X5">
        <v>0</v>
      </c>
      <c r="AC5" t="s">
        <v>93</v>
      </c>
      <c r="AD5" s="44">
        <v>42430</v>
      </c>
    </row>
    <row r="6" spans="1:30" x14ac:dyDescent="0.25">
      <c r="A6">
        <v>607845</v>
      </c>
      <c r="B6" t="s">
        <v>114</v>
      </c>
      <c r="C6">
        <v>2016</v>
      </c>
      <c r="D6">
        <v>3</v>
      </c>
      <c r="E6" t="s">
        <v>63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115</v>
      </c>
      <c r="L6" t="s">
        <v>112</v>
      </c>
      <c r="M6">
        <v>2312.6677555199999</v>
      </c>
      <c r="N6">
        <v>0</v>
      </c>
      <c r="O6" t="s">
        <v>88</v>
      </c>
      <c r="P6" s="44">
        <v>44330.494941122677</v>
      </c>
      <c r="Q6">
        <v>5439255</v>
      </c>
      <c r="R6" t="s">
        <v>91</v>
      </c>
      <c r="S6">
        <v>2342.8884535299999</v>
      </c>
      <c r="W6"/>
      <c r="X6">
        <v>0</v>
      </c>
      <c r="AC6" t="s">
        <v>93</v>
      </c>
      <c r="AD6" s="44">
        <v>42430</v>
      </c>
    </row>
    <row r="7" spans="1:30" x14ac:dyDescent="0.25">
      <c r="A7">
        <v>607809</v>
      </c>
      <c r="B7" t="s">
        <v>114</v>
      </c>
      <c r="C7">
        <v>2016</v>
      </c>
      <c r="D7">
        <v>3</v>
      </c>
      <c r="E7" t="s">
        <v>94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111</v>
      </c>
      <c r="L7" t="s">
        <v>112</v>
      </c>
      <c r="M7">
        <v>6396.77665523</v>
      </c>
      <c r="N7">
        <v>0</v>
      </c>
      <c r="O7" t="s">
        <v>88</v>
      </c>
      <c r="P7" s="44">
        <v>44330.494939849537</v>
      </c>
      <c r="Q7">
        <v>5439187</v>
      </c>
      <c r="R7" t="s">
        <v>91</v>
      </c>
      <c r="S7">
        <v>6554.1730485600001</v>
      </c>
      <c r="W7"/>
      <c r="X7">
        <v>0</v>
      </c>
      <c r="AC7" t="s">
        <v>93</v>
      </c>
      <c r="AD7" s="44">
        <v>42430</v>
      </c>
    </row>
    <row r="8" spans="1:30" x14ac:dyDescent="0.25">
      <c r="A8">
        <v>600911</v>
      </c>
      <c r="B8" t="s">
        <v>108</v>
      </c>
      <c r="C8">
        <v>2016</v>
      </c>
      <c r="D8">
        <v>4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4919.3408924699997</v>
      </c>
      <c r="N8">
        <v>0</v>
      </c>
      <c r="O8" t="s">
        <v>88</v>
      </c>
      <c r="P8" s="44">
        <v>44330.488381134259</v>
      </c>
      <c r="Q8">
        <v>5423000</v>
      </c>
      <c r="R8" t="s">
        <v>83</v>
      </c>
      <c r="S8">
        <v>73.123154069999998</v>
      </c>
      <c r="W8"/>
      <c r="X8">
        <v>0</v>
      </c>
      <c r="AC8" t="s">
        <v>93</v>
      </c>
      <c r="AD8" s="44">
        <v>42461</v>
      </c>
    </row>
    <row r="9" spans="1:30" x14ac:dyDescent="0.25">
      <c r="A9">
        <v>600947</v>
      </c>
      <c r="B9" t="s">
        <v>108</v>
      </c>
      <c r="C9">
        <v>2016</v>
      </c>
      <c r="D9">
        <v>4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2065.7815005799998</v>
      </c>
      <c r="N9">
        <v>0</v>
      </c>
      <c r="O9" t="s">
        <v>88</v>
      </c>
      <c r="P9" s="44">
        <v>44330.488382442127</v>
      </c>
      <c r="Q9">
        <v>5423068</v>
      </c>
      <c r="R9" t="s">
        <v>83</v>
      </c>
      <c r="S9">
        <v>54.541874569999997</v>
      </c>
      <c r="W9"/>
      <c r="X9">
        <v>0</v>
      </c>
      <c r="AC9" t="s">
        <v>93</v>
      </c>
      <c r="AD9" s="44">
        <v>42461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5423034</v>
      </c>
      <c r="R10" t="s">
        <v>83</v>
      </c>
      <c r="S10">
        <v>35.336403199999999</v>
      </c>
      <c r="W10"/>
      <c r="X10">
        <v>0</v>
      </c>
      <c r="AC10" t="s">
        <v>93</v>
      </c>
      <c r="AD10" s="44">
        <v>42461</v>
      </c>
    </row>
    <row r="11" spans="1:30" x14ac:dyDescent="0.25">
      <c r="A11">
        <v>600929</v>
      </c>
      <c r="B11" t="s">
        <v>108</v>
      </c>
      <c r="C11">
        <v>2016</v>
      </c>
      <c r="D11">
        <v>4</v>
      </c>
      <c r="E11" t="s">
        <v>96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113</v>
      </c>
      <c r="L11" t="s">
        <v>112</v>
      </c>
      <c r="M11">
        <v>1317.6215099999999</v>
      </c>
      <c r="N11">
        <v>0</v>
      </c>
      <c r="O11" t="s">
        <v>88</v>
      </c>
      <c r="P11" s="44">
        <v>44330.488381793977</v>
      </c>
      <c r="Q11">
        <v>5423033</v>
      </c>
      <c r="R11" t="s">
        <v>91</v>
      </c>
      <c r="S11">
        <v>1334.2916278</v>
      </c>
      <c r="W11"/>
      <c r="X11">
        <v>0</v>
      </c>
      <c r="AC11" t="s">
        <v>93</v>
      </c>
      <c r="AD11" s="44">
        <v>42461</v>
      </c>
    </row>
    <row r="12" spans="1:30" x14ac:dyDescent="0.25">
      <c r="A12">
        <v>600911</v>
      </c>
      <c r="B12" t="s">
        <v>108</v>
      </c>
      <c r="C12">
        <v>2016</v>
      </c>
      <c r="D12">
        <v>4</v>
      </c>
      <c r="E12" t="s">
        <v>94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111</v>
      </c>
      <c r="L12" t="s">
        <v>112</v>
      </c>
      <c r="M12">
        <v>4919.3408924699997</v>
      </c>
      <c r="N12">
        <v>0</v>
      </c>
      <c r="O12" t="s">
        <v>88</v>
      </c>
      <c r="P12" s="44">
        <v>44330.488381134259</v>
      </c>
      <c r="Q12">
        <v>5422999</v>
      </c>
      <c r="R12" t="s">
        <v>91</v>
      </c>
      <c r="S12">
        <v>5040.3841234299998</v>
      </c>
      <c r="W12"/>
      <c r="X12">
        <v>0</v>
      </c>
      <c r="AC12" t="s">
        <v>93</v>
      </c>
      <c r="AD12" s="44">
        <v>42461</v>
      </c>
    </row>
    <row r="13" spans="1:30" x14ac:dyDescent="0.25">
      <c r="A13">
        <v>600947</v>
      </c>
      <c r="B13" t="s">
        <v>108</v>
      </c>
      <c r="C13">
        <v>2016</v>
      </c>
      <c r="D13">
        <v>4</v>
      </c>
      <c r="E13" t="s">
        <v>63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115</v>
      </c>
      <c r="L13" t="s">
        <v>112</v>
      </c>
      <c r="M13">
        <v>2065.7815005799998</v>
      </c>
      <c r="N13">
        <v>0</v>
      </c>
      <c r="O13" t="s">
        <v>88</v>
      </c>
      <c r="P13" s="44">
        <v>44330.488382442127</v>
      </c>
      <c r="Q13">
        <v>5423067</v>
      </c>
      <c r="R13" t="s">
        <v>91</v>
      </c>
      <c r="S13">
        <v>2092.7760218399999</v>
      </c>
      <c r="W13"/>
      <c r="X13">
        <v>0</v>
      </c>
      <c r="AC13" t="s">
        <v>93</v>
      </c>
      <c r="AD13" s="44">
        <v>42461</v>
      </c>
    </row>
    <row r="14" spans="1:30" x14ac:dyDescent="0.25">
      <c r="A14">
        <v>672488</v>
      </c>
      <c r="B14" t="s">
        <v>143</v>
      </c>
      <c r="C14">
        <v>2016</v>
      </c>
      <c r="D14">
        <v>5</v>
      </c>
      <c r="E14" t="s">
        <v>63</v>
      </c>
      <c r="F14" t="s">
        <v>93</v>
      </c>
      <c r="G14" t="s">
        <v>93</v>
      </c>
      <c r="H14" t="s">
        <v>25</v>
      </c>
      <c r="I14" t="s">
        <v>25</v>
      </c>
      <c r="J14" t="s">
        <v>110</v>
      </c>
      <c r="K14" t="s">
        <v>115</v>
      </c>
      <c r="L14" t="s">
        <v>112</v>
      </c>
      <c r="M14">
        <v>2057.3166490100002</v>
      </c>
      <c r="N14">
        <v>0</v>
      </c>
      <c r="O14" t="s">
        <v>88</v>
      </c>
      <c r="P14" s="44">
        <v>44334.070165358797</v>
      </c>
      <c r="Q14">
        <v>5939587</v>
      </c>
      <c r="R14" t="s">
        <v>83</v>
      </c>
      <c r="S14">
        <v>54.318381000000002</v>
      </c>
      <c r="W14"/>
      <c r="X14">
        <v>0</v>
      </c>
      <c r="AC14" t="s">
        <v>93</v>
      </c>
      <c r="AD14" s="44">
        <v>42491</v>
      </c>
    </row>
    <row r="15" spans="1:30" x14ac:dyDescent="0.25">
      <c r="A15">
        <v>672470</v>
      </c>
      <c r="B15" t="s">
        <v>143</v>
      </c>
      <c r="C15">
        <v>2016</v>
      </c>
      <c r="D15">
        <v>5</v>
      </c>
      <c r="E15" t="s">
        <v>96</v>
      </c>
      <c r="F15" t="s">
        <v>93</v>
      </c>
      <c r="G15" t="s">
        <v>93</v>
      </c>
      <c r="H15" t="s">
        <v>25</v>
      </c>
      <c r="I15" t="s">
        <v>25</v>
      </c>
      <c r="J15" t="s">
        <v>110</v>
      </c>
      <c r="K15" t="s">
        <v>113</v>
      </c>
      <c r="L15" t="s">
        <v>112</v>
      </c>
      <c r="M15">
        <v>1352.1891427099999</v>
      </c>
      <c r="N15">
        <v>0</v>
      </c>
      <c r="O15" t="s">
        <v>88</v>
      </c>
      <c r="P15" s="44">
        <v>44334.07016489582</v>
      </c>
      <c r="Q15">
        <v>5939551</v>
      </c>
      <c r="R15" t="s">
        <v>83</v>
      </c>
      <c r="S15">
        <v>36.26344924</v>
      </c>
      <c r="W15"/>
      <c r="X15">
        <v>0</v>
      </c>
      <c r="AC15" t="s">
        <v>93</v>
      </c>
      <c r="AD15" s="44">
        <v>42491</v>
      </c>
    </row>
    <row r="16" spans="1:30" x14ac:dyDescent="0.25">
      <c r="A16">
        <v>672452</v>
      </c>
      <c r="B16" t="s">
        <v>143</v>
      </c>
      <c r="C16">
        <v>2016</v>
      </c>
      <c r="D16">
        <v>5</v>
      </c>
      <c r="E16" t="s">
        <v>94</v>
      </c>
      <c r="F16" t="s">
        <v>93</v>
      </c>
      <c r="G16" t="s">
        <v>93</v>
      </c>
      <c r="H16" t="s">
        <v>25</v>
      </c>
      <c r="I16" t="s">
        <v>25</v>
      </c>
      <c r="J16" t="s">
        <v>110</v>
      </c>
      <c r="K16" t="s">
        <v>111</v>
      </c>
      <c r="L16" t="s">
        <v>112</v>
      </c>
      <c r="M16">
        <v>4669.0953959799999</v>
      </c>
      <c r="N16">
        <v>0</v>
      </c>
      <c r="O16" t="s">
        <v>88</v>
      </c>
      <c r="P16" s="44">
        <v>44334.070164432873</v>
      </c>
      <c r="Q16">
        <v>5939515</v>
      </c>
      <c r="R16" t="s">
        <v>83</v>
      </c>
      <c r="S16">
        <v>69.403399649999997</v>
      </c>
      <c r="W16"/>
      <c r="X16">
        <v>0</v>
      </c>
      <c r="AC16" t="s">
        <v>93</v>
      </c>
      <c r="AD16" s="44">
        <v>42491</v>
      </c>
    </row>
    <row r="17" spans="1:30" x14ac:dyDescent="0.25">
      <c r="A17">
        <v>672488</v>
      </c>
      <c r="B17" t="s">
        <v>143</v>
      </c>
      <c r="C17">
        <v>2016</v>
      </c>
      <c r="D17">
        <v>5</v>
      </c>
      <c r="E17" t="s">
        <v>63</v>
      </c>
      <c r="F17" t="s">
        <v>93</v>
      </c>
      <c r="G17" t="s">
        <v>93</v>
      </c>
      <c r="H17" t="s">
        <v>25</v>
      </c>
      <c r="I17" t="s">
        <v>25</v>
      </c>
      <c r="J17" t="s">
        <v>110</v>
      </c>
      <c r="K17" t="s">
        <v>115</v>
      </c>
      <c r="L17" t="s">
        <v>112</v>
      </c>
      <c r="M17">
        <v>2057.3166490100002</v>
      </c>
      <c r="N17">
        <v>0</v>
      </c>
      <c r="O17" t="s">
        <v>88</v>
      </c>
      <c r="P17" s="44">
        <v>44334.070165358797</v>
      </c>
      <c r="Q17">
        <v>5939586</v>
      </c>
      <c r="R17" t="s">
        <v>91</v>
      </c>
      <c r="S17">
        <v>2084.2005561400001</v>
      </c>
      <c r="W17"/>
      <c r="X17">
        <v>0</v>
      </c>
      <c r="AC17" t="s">
        <v>93</v>
      </c>
      <c r="AD17" s="44">
        <v>42491</v>
      </c>
    </row>
    <row r="18" spans="1:30" x14ac:dyDescent="0.25">
      <c r="A18">
        <v>672470</v>
      </c>
      <c r="B18" t="s">
        <v>143</v>
      </c>
      <c r="C18">
        <v>2016</v>
      </c>
      <c r="D18">
        <v>5</v>
      </c>
      <c r="E18" t="s">
        <v>96</v>
      </c>
      <c r="F18" t="s">
        <v>93</v>
      </c>
      <c r="G18" t="s">
        <v>93</v>
      </c>
      <c r="H18" t="s">
        <v>25</v>
      </c>
      <c r="I18" t="s">
        <v>25</v>
      </c>
      <c r="J18" t="s">
        <v>110</v>
      </c>
      <c r="K18" t="s">
        <v>113</v>
      </c>
      <c r="L18" t="s">
        <v>112</v>
      </c>
      <c r="M18">
        <v>1352.1891427099999</v>
      </c>
      <c r="N18">
        <v>0</v>
      </c>
      <c r="O18" t="s">
        <v>88</v>
      </c>
      <c r="P18" s="44">
        <v>44334.07016489582</v>
      </c>
      <c r="Q18">
        <v>5939550</v>
      </c>
      <c r="R18" t="s">
        <v>91</v>
      </c>
      <c r="S18">
        <v>1369.2965989300001</v>
      </c>
      <c r="W18"/>
      <c r="X18">
        <v>0</v>
      </c>
      <c r="AC18" t="s">
        <v>93</v>
      </c>
      <c r="AD18" s="44">
        <v>42491</v>
      </c>
    </row>
    <row r="19" spans="1:30" x14ac:dyDescent="0.25">
      <c r="A19">
        <v>672452</v>
      </c>
      <c r="B19" t="s">
        <v>143</v>
      </c>
      <c r="C19">
        <v>2016</v>
      </c>
      <c r="D19">
        <v>5</v>
      </c>
      <c r="E19" t="s">
        <v>94</v>
      </c>
      <c r="F19" t="s">
        <v>93</v>
      </c>
      <c r="G19" t="s">
        <v>93</v>
      </c>
      <c r="H19" t="s">
        <v>25</v>
      </c>
      <c r="I19" t="s">
        <v>25</v>
      </c>
      <c r="J19" t="s">
        <v>110</v>
      </c>
      <c r="K19" t="s">
        <v>111</v>
      </c>
      <c r="L19" t="s">
        <v>112</v>
      </c>
      <c r="M19">
        <v>4669.0953959799999</v>
      </c>
      <c r="N19">
        <v>0</v>
      </c>
      <c r="O19" t="s">
        <v>88</v>
      </c>
      <c r="P19" s="44">
        <v>44334.070164432873</v>
      </c>
      <c r="Q19">
        <v>5939514</v>
      </c>
      <c r="R19" t="s">
        <v>91</v>
      </c>
      <c r="S19">
        <v>4783.9811915999999</v>
      </c>
      <c r="W19"/>
      <c r="X19">
        <v>0</v>
      </c>
      <c r="AC19" t="s">
        <v>93</v>
      </c>
      <c r="AD19" s="44">
        <v>42491</v>
      </c>
    </row>
    <row r="20" spans="1:30" x14ac:dyDescent="0.25">
      <c r="A20">
        <v>723878</v>
      </c>
      <c r="B20" t="s">
        <v>145</v>
      </c>
      <c r="C20">
        <v>2016</v>
      </c>
      <c r="D20">
        <v>6</v>
      </c>
      <c r="E20" t="s">
        <v>63</v>
      </c>
      <c r="F20" t="s">
        <v>93</v>
      </c>
      <c r="G20" t="s">
        <v>93</v>
      </c>
      <c r="H20" t="s">
        <v>25</v>
      </c>
      <c r="I20" t="s">
        <v>25</v>
      </c>
      <c r="J20" t="s">
        <v>110</v>
      </c>
      <c r="K20" t="s">
        <v>115</v>
      </c>
      <c r="L20" t="s">
        <v>112</v>
      </c>
      <c r="M20">
        <v>1810.25289694</v>
      </c>
      <c r="N20">
        <v>0</v>
      </c>
      <c r="O20" t="s">
        <v>88</v>
      </c>
      <c r="P20" s="44">
        <v>44334.106443090277</v>
      </c>
      <c r="Q20">
        <v>6309635</v>
      </c>
      <c r="R20" t="s">
        <v>83</v>
      </c>
      <c r="S20">
        <v>47.795270899999998</v>
      </c>
      <c r="W20"/>
      <c r="X20">
        <v>0</v>
      </c>
      <c r="AC20" t="s">
        <v>93</v>
      </c>
      <c r="AD20" s="44">
        <v>42522</v>
      </c>
    </row>
    <row r="21" spans="1:30" x14ac:dyDescent="0.25">
      <c r="A21">
        <v>723860</v>
      </c>
      <c r="B21" t="s">
        <v>145</v>
      </c>
      <c r="C21">
        <v>2016</v>
      </c>
      <c r="D21">
        <v>6</v>
      </c>
      <c r="E21" t="s">
        <v>96</v>
      </c>
      <c r="F21" t="s">
        <v>93</v>
      </c>
      <c r="G21" t="s">
        <v>93</v>
      </c>
      <c r="H21" t="s">
        <v>25</v>
      </c>
      <c r="I21" t="s">
        <v>25</v>
      </c>
      <c r="J21" t="s">
        <v>110</v>
      </c>
      <c r="K21" t="s">
        <v>113</v>
      </c>
      <c r="L21" t="s">
        <v>112</v>
      </c>
      <c r="M21">
        <v>1074.09600742</v>
      </c>
      <c r="N21">
        <v>0</v>
      </c>
      <c r="O21" t="s">
        <v>88</v>
      </c>
      <c r="P21" s="44">
        <v>44334.10644262733</v>
      </c>
      <c r="Q21">
        <v>6309599</v>
      </c>
      <c r="R21" t="s">
        <v>83</v>
      </c>
      <c r="S21">
        <v>28.805456880000001</v>
      </c>
      <c r="W21"/>
      <c r="X21">
        <v>0</v>
      </c>
      <c r="AC21" t="s">
        <v>93</v>
      </c>
      <c r="AD21" s="44">
        <v>42522</v>
      </c>
    </row>
    <row r="22" spans="1:30" x14ac:dyDescent="0.25">
      <c r="A22">
        <v>723842</v>
      </c>
      <c r="B22" t="s">
        <v>145</v>
      </c>
      <c r="C22">
        <v>2016</v>
      </c>
      <c r="D22">
        <v>6</v>
      </c>
      <c r="E22" t="s">
        <v>94</v>
      </c>
      <c r="F22" t="s">
        <v>93</v>
      </c>
      <c r="G22" t="s">
        <v>93</v>
      </c>
      <c r="H22" t="s">
        <v>25</v>
      </c>
      <c r="I22" t="s">
        <v>25</v>
      </c>
      <c r="J22" t="s">
        <v>110</v>
      </c>
      <c r="K22" t="s">
        <v>111</v>
      </c>
      <c r="L22" t="s">
        <v>112</v>
      </c>
      <c r="M22">
        <v>3755.8750081799999</v>
      </c>
      <c r="N22">
        <v>0</v>
      </c>
      <c r="O22" t="s">
        <v>88</v>
      </c>
      <c r="P22" s="44">
        <v>44334.106442164353</v>
      </c>
      <c r="Q22">
        <v>6309563</v>
      </c>
      <c r="R22" t="s">
        <v>83</v>
      </c>
      <c r="S22">
        <v>55.828907340000001</v>
      </c>
      <c r="W22"/>
      <c r="X22">
        <v>0</v>
      </c>
      <c r="AC22" t="s">
        <v>93</v>
      </c>
      <c r="AD22" s="44">
        <v>42522</v>
      </c>
    </row>
    <row r="23" spans="1:30" x14ac:dyDescent="0.25">
      <c r="A23">
        <v>723878</v>
      </c>
      <c r="B23" t="s">
        <v>145</v>
      </c>
      <c r="C23">
        <v>2016</v>
      </c>
      <c r="D23">
        <v>6</v>
      </c>
      <c r="E23" t="s">
        <v>63</v>
      </c>
      <c r="F23" t="s">
        <v>93</v>
      </c>
      <c r="G23" t="s">
        <v>93</v>
      </c>
      <c r="H23" t="s">
        <v>25</v>
      </c>
      <c r="I23" t="s">
        <v>25</v>
      </c>
      <c r="J23" t="s">
        <v>110</v>
      </c>
      <c r="K23" t="s">
        <v>115</v>
      </c>
      <c r="L23" t="s">
        <v>112</v>
      </c>
      <c r="M23">
        <v>1810.25289694</v>
      </c>
      <c r="N23">
        <v>0</v>
      </c>
      <c r="O23" t="s">
        <v>88</v>
      </c>
      <c r="P23" s="44">
        <v>44334.106443090277</v>
      </c>
      <c r="Q23">
        <v>6309634</v>
      </c>
      <c r="R23" t="s">
        <v>91</v>
      </c>
      <c r="S23">
        <v>1833.9083078799999</v>
      </c>
      <c r="W23"/>
      <c r="X23">
        <v>0</v>
      </c>
      <c r="AC23" t="s">
        <v>93</v>
      </c>
      <c r="AD23" s="44">
        <v>42522</v>
      </c>
    </row>
    <row r="24" spans="1:30" x14ac:dyDescent="0.25">
      <c r="A24">
        <v>723842</v>
      </c>
      <c r="B24" t="s">
        <v>145</v>
      </c>
      <c r="C24">
        <v>2016</v>
      </c>
      <c r="D24">
        <v>6</v>
      </c>
      <c r="E24" t="s">
        <v>94</v>
      </c>
      <c r="F24" t="s">
        <v>93</v>
      </c>
      <c r="G24" t="s">
        <v>93</v>
      </c>
      <c r="H24" t="s">
        <v>25</v>
      </c>
      <c r="I24" t="s">
        <v>25</v>
      </c>
      <c r="J24" t="s">
        <v>110</v>
      </c>
      <c r="K24" t="s">
        <v>111</v>
      </c>
      <c r="L24" t="s">
        <v>112</v>
      </c>
      <c r="M24">
        <v>3755.8750081799999</v>
      </c>
      <c r="N24">
        <v>0</v>
      </c>
      <c r="O24" t="s">
        <v>88</v>
      </c>
      <c r="P24" s="44">
        <v>44334.106442164353</v>
      </c>
      <c r="Q24">
        <v>6309562</v>
      </c>
      <c r="R24" t="s">
        <v>91</v>
      </c>
      <c r="S24">
        <v>3848.29048741</v>
      </c>
      <c r="W24"/>
      <c r="X24">
        <v>0</v>
      </c>
      <c r="AC24" t="s">
        <v>93</v>
      </c>
      <c r="AD24" s="44">
        <v>42522</v>
      </c>
    </row>
    <row r="25" spans="1:30" x14ac:dyDescent="0.25">
      <c r="A25">
        <v>723860</v>
      </c>
      <c r="B25" t="s">
        <v>145</v>
      </c>
      <c r="C25">
        <v>2016</v>
      </c>
      <c r="D25">
        <v>6</v>
      </c>
      <c r="E25" t="s">
        <v>96</v>
      </c>
      <c r="F25" t="s">
        <v>93</v>
      </c>
      <c r="G25" t="s">
        <v>93</v>
      </c>
      <c r="H25" t="s">
        <v>25</v>
      </c>
      <c r="I25" t="s">
        <v>25</v>
      </c>
      <c r="J25" t="s">
        <v>110</v>
      </c>
      <c r="K25" t="s">
        <v>113</v>
      </c>
      <c r="L25" t="s">
        <v>112</v>
      </c>
      <c r="M25">
        <v>1074.09600742</v>
      </c>
      <c r="N25">
        <v>0</v>
      </c>
      <c r="O25" t="s">
        <v>88</v>
      </c>
      <c r="P25" s="44">
        <v>44334.10644262733</v>
      </c>
      <c r="Q25">
        <v>6309598</v>
      </c>
      <c r="R25" t="s">
        <v>91</v>
      </c>
      <c r="S25">
        <v>1087.6851199499999</v>
      </c>
      <c r="W25"/>
      <c r="X25">
        <v>0</v>
      </c>
      <c r="AC25" t="s">
        <v>93</v>
      </c>
      <c r="AD25" s="44">
        <v>42522</v>
      </c>
    </row>
    <row r="26" spans="1:30" x14ac:dyDescent="0.25">
      <c r="A26">
        <v>730790</v>
      </c>
      <c r="B26" t="s">
        <v>144</v>
      </c>
      <c r="C26">
        <v>2016</v>
      </c>
      <c r="D26">
        <v>7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113</v>
      </c>
      <c r="L26" t="s">
        <v>112</v>
      </c>
      <c r="M26">
        <v>1169.0560399599999</v>
      </c>
      <c r="N26">
        <v>0</v>
      </c>
      <c r="O26" t="s">
        <v>88</v>
      </c>
      <c r="P26" s="44">
        <v>44334.107075081018</v>
      </c>
      <c r="Q26">
        <v>6360111</v>
      </c>
      <c r="R26" t="s">
        <v>83</v>
      </c>
      <c r="S26">
        <v>31.352125990000001</v>
      </c>
      <c r="W26"/>
      <c r="X26">
        <v>0</v>
      </c>
      <c r="AC26" t="s">
        <v>93</v>
      </c>
      <c r="AD26" s="44">
        <v>42552</v>
      </c>
    </row>
    <row r="27" spans="1:30" x14ac:dyDescent="0.25">
      <c r="A27">
        <v>730808</v>
      </c>
      <c r="B27" t="s">
        <v>144</v>
      </c>
      <c r="C27">
        <v>2016</v>
      </c>
      <c r="D27">
        <v>7</v>
      </c>
      <c r="E27" t="s">
        <v>63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115</v>
      </c>
      <c r="L27" t="s">
        <v>112</v>
      </c>
      <c r="M27">
        <v>2027.083069</v>
      </c>
      <c r="N27">
        <v>0</v>
      </c>
      <c r="O27" t="s">
        <v>88</v>
      </c>
      <c r="P27" s="44">
        <v>44334.10707554398</v>
      </c>
      <c r="Q27">
        <v>6360147</v>
      </c>
      <c r="R27" t="s">
        <v>83</v>
      </c>
      <c r="S27">
        <v>53.520137759999997</v>
      </c>
      <c r="W27"/>
      <c r="X27">
        <v>0</v>
      </c>
      <c r="AC27" t="s">
        <v>93</v>
      </c>
      <c r="AD27" s="44">
        <v>42552</v>
      </c>
    </row>
    <row r="28" spans="1:30" x14ac:dyDescent="0.25">
      <c r="A28">
        <v>730772</v>
      </c>
      <c r="B28" t="s">
        <v>144</v>
      </c>
      <c r="C28">
        <v>2016</v>
      </c>
      <c r="D28">
        <v>7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111</v>
      </c>
      <c r="L28" t="s">
        <v>112</v>
      </c>
      <c r="M28">
        <v>3778.6930292400002</v>
      </c>
      <c r="N28">
        <v>0</v>
      </c>
      <c r="O28" t="s">
        <v>88</v>
      </c>
      <c r="P28" s="44">
        <v>44334.107074571759</v>
      </c>
      <c r="Q28">
        <v>6360075</v>
      </c>
      <c r="R28" t="s">
        <v>83</v>
      </c>
      <c r="S28">
        <v>56.168084020000002</v>
      </c>
      <c r="W28"/>
      <c r="X28">
        <v>0</v>
      </c>
      <c r="AC28" t="s">
        <v>93</v>
      </c>
      <c r="AD28" s="44">
        <v>42552</v>
      </c>
    </row>
    <row r="29" spans="1:30" x14ac:dyDescent="0.25">
      <c r="A29">
        <v>730772</v>
      </c>
      <c r="B29" t="s">
        <v>144</v>
      </c>
      <c r="C29">
        <v>2016</v>
      </c>
      <c r="D29">
        <v>7</v>
      </c>
      <c r="E29" t="s">
        <v>94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111</v>
      </c>
      <c r="L29" t="s">
        <v>112</v>
      </c>
      <c r="M29">
        <v>3778.6930292400002</v>
      </c>
      <c r="N29">
        <v>0</v>
      </c>
      <c r="O29" t="s">
        <v>88</v>
      </c>
      <c r="P29" s="44">
        <v>44334.107074571759</v>
      </c>
      <c r="Q29">
        <v>6360074</v>
      </c>
      <c r="R29" t="s">
        <v>91</v>
      </c>
      <c r="S29">
        <v>3871.6699590899998</v>
      </c>
      <c r="W29"/>
      <c r="X29">
        <v>0</v>
      </c>
      <c r="AC29" t="s">
        <v>93</v>
      </c>
      <c r="AD29" s="44">
        <v>42552</v>
      </c>
    </row>
    <row r="30" spans="1:30" x14ac:dyDescent="0.25">
      <c r="A30">
        <v>730808</v>
      </c>
      <c r="B30" t="s">
        <v>144</v>
      </c>
      <c r="C30">
        <v>2016</v>
      </c>
      <c r="D30">
        <v>7</v>
      </c>
      <c r="E30" t="s">
        <v>63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115</v>
      </c>
      <c r="L30" t="s">
        <v>112</v>
      </c>
      <c r="M30">
        <v>2027.083069</v>
      </c>
      <c r="N30">
        <v>0</v>
      </c>
      <c r="O30" t="s">
        <v>88</v>
      </c>
      <c r="P30" s="44">
        <v>44334.10707554398</v>
      </c>
      <c r="Q30">
        <v>6360146</v>
      </c>
      <c r="R30" t="s">
        <v>91</v>
      </c>
      <c r="S30">
        <v>2053.5718999800001</v>
      </c>
      <c r="W30"/>
      <c r="X30">
        <v>0</v>
      </c>
      <c r="AC30" t="s">
        <v>93</v>
      </c>
      <c r="AD30" s="44">
        <v>42552</v>
      </c>
    </row>
    <row r="31" spans="1:30" x14ac:dyDescent="0.25">
      <c r="A31">
        <v>730790</v>
      </c>
      <c r="B31" t="s">
        <v>144</v>
      </c>
      <c r="C31">
        <v>2016</v>
      </c>
      <c r="D31">
        <v>7</v>
      </c>
      <c r="E31" t="s">
        <v>96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113</v>
      </c>
      <c r="L31" t="s">
        <v>112</v>
      </c>
      <c r="M31">
        <v>1169.0560399599999</v>
      </c>
      <c r="N31">
        <v>0</v>
      </c>
      <c r="O31" t="s">
        <v>88</v>
      </c>
      <c r="P31" s="44">
        <v>44334.107075081018</v>
      </c>
      <c r="Q31">
        <v>6360110</v>
      </c>
      <c r="R31" t="s">
        <v>91</v>
      </c>
      <c r="S31">
        <v>1183.8465558600001</v>
      </c>
      <c r="W31"/>
      <c r="X31">
        <v>0</v>
      </c>
      <c r="AC31" t="s">
        <v>93</v>
      </c>
      <c r="AD31" s="44">
        <v>42552</v>
      </c>
    </row>
    <row r="32" spans="1:30" x14ac:dyDescent="0.25">
      <c r="A32">
        <v>490481</v>
      </c>
      <c r="B32" t="s">
        <v>140</v>
      </c>
      <c r="C32">
        <v>2016</v>
      </c>
      <c r="D32">
        <v>9</v>
      </c>
      <c r="E32" t="s">
        <v>94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95</v>
      </c>
      <c r="L32" t="s">
        <v>112</v>
      </c>
      <c r="M32">
        <v>2263.3159081700001</v>
      </c>
      <c r="N32">
        <v>0</v>
      </c>
      <c r="O32" t="s">
        <v>88</v>
      </c>
      <c r="P32" s="44">
        <v>44330.097784143523</v>
      </c>
      <c r="Q32">
        <v>4588262</v>
      </c>
      <c r="R32" t="s">
        <v>83</v>
      </c>
      <c r="S32">
        <v>33.642880519999999</v>
      </c>
      <c r="W32"/>
      <c r="X32">
        <v>0</v>
      </c>
      <c r="AC32" t="s">
        <v>93</v>
      </c>
      <c r="AD32" s="44">
        <v>42614</v>
      </c>
    </row>
    <row r="33" spans="1:30" x14ac:dyDescent="0.25">
      <c r="A33">
        <v>490499</v>
      </c>
      <c r="B33" t="s">
        <v>140</v>
      </c>
      <c r="C33">
        <v>2016</v>
      </c>
      <c r="D33">
        <v>9</v>
      </c>
      <c r="E33" t="s">
        <v>96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113</v>
      </c>
      <c r="L33" t="s">
        <v>112</v>
      </c>
      <c r="M33">
        <v>672.74702771</v>
      </c>
      <c r="N33">
        <v>0</v>
      </c>
      <c r="O33" t="s">
        <v>88</v>
      </c>
      <c r="P33" s="44">
        <v>44330.097784641213</v>
      </c>
      <c r="Q33">
        <v>4588298</v>
      </c>
      <c r="R33" t="s">
        <v>83</v>
      </c>
      <c r="S33">
        <v>18.0419491</v>
      </c>
      <c r="W33"/>
      <c r="X33">
        <v>0</v>
      </c>
      <c r="AC33" t="s">
        <v>93</v>
      </c>
      <c r="AD33" s="44">
        <v>42614</v>
      </c>
    </row>
    <row r="34" spans="1:30" x14ac:dyDescent="0.25">
      <c r="A34">
        <v>490517</v>
      </c>
      <c r="B34" t="s">
        <v>140</v>
      </c>
      <c r="C34">
        <v>2016</v>
      </c>
      <c r="D34">
        <v>9</v>
      </c>
      <c r="E34" t="s">
        <v>98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99</v>
      </c>
      <c r="L34" t="s">
        <v>112</v>
      </c>
      <c r="M34">
        <v>1264.39372551</v>
      </c>
      <c r="N34">
        <v>0</v>
      </c>
      <c r="O34" t="s">
        <v>88</v>
      </c>
      <c r="P34" s="44">
        <v>44330.097785150458</v>
      </c>
      <c r="Q34">
        <v>4588334</v>
      </c>
      <c r="R34" t="s">
        <v>83</v>
      </c>
      <c r="S34">
        <v>33.383203379999998</v>
      </c>
      <c r="W34"/>
      <c r="X34">
        <v>0</v>
      </c>
      <c r="AC34" t="s">
        <v>93</v>
      </c>
      <c r="AD34" s="44">
        <v>42614</v>
      </c>
    </row>
    <row r="35" spans="1:30" x14ac:dyDescent="0.25">
      <c r="A35">
        <v>490517</v>
      </c>
      <c r="B35" t="s">
        <v>140</v>
      </c>
      <c r="C35">
        <v>2016</v>
      </c>
      <c r="D35">
        <v>9</v>
      </c>
      <c r="E35" t="s">
        <v>98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99</v>
      </c>
      <c r="L35" t="s">
        <v>112</v>
      </c>
      <c r="M35">
        <v>1264.39372551</v>
      </c>
      <c r="N35">
        <v>0</v>
      </c>
      <c r="O35" t="s">
        <v>88</v>
      </c>
      <c r="P35" s="44">
        <v>44330.097785150458</v>
      </c>
      <c r="Q35">
        <v>4588333</v>
      </c>
      <c r="R35" t="s">
        <v>91</v>
      </c>
      <c r="S35">
        <v>1280.9161424700001</v>
      </c>
      <c r="W35"/>
      <c r="X35">
        <v>0</v>
      </c>
      <c r="AC35" t="s">
        <v>93</v>
      </c>
      <c r="AD35" s="44">
        <v>42614</v>
      </c>
    </row>
    <row r="36" spans="1:30" x14ac:dyDescent="0.25">
      <c r="A36">
        <v>490499</v>
      </c>
      <c r="B36" t="s">
        <v>140</v>
      </c>
      <c r="C36">
        <v>2016</v>
      </c>
      <c r="D36">
        <v>9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113</v>
      </c>
      <c r="L36" t="s">
        <v>112</v>
      </c>
      <c r="M36">
        <v>672.74702771</v>
      </c>
      <c r="N36">
        <v>0</v>
      </c>
      <c r="O36" t="s">
        <v>88</v>
      </c>
      <c r="P36" s="44">
        <v>44330.097784641213</v>
      </c>
      <c r="Q36">
        <v>4588297</v>
      </c>
      <c r="R36" t="s">
        <v>91</v>
      </c>
      <c r="S36">
        <v>681.25840378999999</v>
      </c>
      <c r="W36"/>
      <c r="X36">
        <v>0</v>
      </c>
      <c r="AC36" t="s">
        <v>93</v>
      </c>
      <c r="AD36" s="44">
        <v>42614</v>
      </c>
    </row>
    <row r="37" spans="1:30" x14ac:dyDescent="0.25">
      <c r="A37">
        <v>490481</v>
      </c>
      <c r="B37" t="s">
        <v>140</v>
      </c>
      <c r="C37">
        <v>2016</v>
      </c>
      <c r="D37">
        <v>9</v>
      </c>
      <c r="E37" t="s">
        <v>94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95</v>
      </c>
      <c r="L37" t="s">
        <v>112</v>
      </c>
      <c r="M37">
        <v>2263.3159081700001</v>
      </c>
      <c r="N37">
        <v>0</v>
      </c>
      <c r="O37" t="s">
        <v>88</v>
      </c>
      <c r="P37" s="44">
        <v>44330.097784143523</v>
      </c>
      <c r="Q37">
        <v>4588261</v>
      </c>
      <c r="R37" t="s">
        <v>91</v>
      </c>
      <c r="S37">
        <v>2319.0061065499999</v>
      </c>
      <c r="W37"/>
      <c r="X37">
        <v>0</v>
      </c>
      <c r="AC37" t="s">
        <v>93</v>
      </c>
      <c r="AD37" s="44">
        <v>42614</v>
      </c>
    </row>
    <row r="38" spans="1:30" x14ac:dyDescent="0.25">
      <c r="A38">
        <v>496212</v>
      </c>
      <c r="B38" t="s">
        <v>142</v>
      </c>
      <c r="C38">
        <v>2016</v>
      </c>
      <c r="D38">
        <v>10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717.31728549000002</v>
      </c>
      <c r="N38">
        <v>0</v>
      </c>
      <c r="O38" t="s">
        <v>88</v>
      </c>
      <c r="P38" s="44">
        <v>44330.098264814813</v>
      </c>
      <c r="Q38">
        <v>4615654</v>
      </c>
      <c r="R38" t="s">
        <v>83</v>
      </c>
      <c r="S38">
        <v>18.938996889999999</v>
      </c>
      <c r="W38"/>
      <c r="X38">
        <v>0</v>
      </c>
      <c r="AC38" t="s">
        <v>93</v>
      </c>
      <c r="AD38" s="44">
        <v>42644</v>
      </c>
    </row>
    <row r="39" spans="1:30" x14ac:dyDescent="0.25">
      <c r="A39">
        <v>496194</v>
      </c>
      <c r="B39" t="s">
        <v>142</v>
      </c>
      <c r="C39">
        <v>2016</v>
      </c>
      <c r="D39">
        <v>10</v>
      </c>
      <c r="E39" t="s">
        <v>96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97</v>
      </c>
      <c r="L39" t="s">
        <v>112</v>
      </c>
      <c r="M39">
        <v>420.24133938</v>
      </c>
      <c r="N39">
        <v>0</v>
      </c>
      <c r="O39" t="s">
        <v>88</v>
      </c>
      <c r="P39" s="44">
        <v>44330.098264351851</v>
      </c>
      <c r="Q39">
        <v>4615618</v>
      </c>
      <c r="R39" t="s">
        <v>83</v>
      </c>
      <c r="S39">
        <v>11.27016924</v>
      </c>
      <c r="W39"/>
      <c r="X39">
        <v>0</v>
      </c>
      <c r="AC39" t="s">
        <v>93</v>
      </c>
      <c r="AD39" s="44">
        <v>42644</v>
      </c>
    </row>
    <row r="40" spans="1:30" x14ac:dyDescent="0.25">
      <c r="A40">
        <v>496176</v>
      </c>
      <c r="B40" t="s">
        <v>142</v>
      </c>
      <c r="C40">
        <v>2016</v>
      </c>
      <c r="D40">
        <v>10</v>
      </c>
      <c r="E40" t="s">
        <v>94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95</v>
      </c>
      <c r="L40" t="s">
        <v>112</v>
      </c>
      <c r="M40">
        <v>1382.4463402700001</v>
      </c>
      <c r="N40">
        <v>0</v>
      </c>
      <c r="O40" t="s">
        <v>88</v>
      </c>
      <c r="P40" s="44">
        <v>44330.098263807871</v>
      </c>
      <c r="Q40">
        <v>4615582</v>
      </c>
      <c r="R40" t="s">
        <v>83</v>
      </c>
      <c r="S40">
        <v>20.549264409999999</v>
      </c>
      <c r="W40"/>
      <c r="X40">
        <v>0</v>
      </c>
      <c r="AC40" t="s">
        <v>93</v>
      </c>
      <c r="AD40" s="44">
        <v>42644</v>
      </c>
    </row>
    <row r="41" spans="1:30" x14ac:dyDescent="0.25">
      <c r="A41">
        <v>496176</v>
      </c>
      <c r="B41" t="s">
        <v>142</v>
      </c>
      <c r="C41">
        <v>2016</v>
      </c>
      <c r="D41">
        <v>10</v>
      </c>
      <c r="E41" t="s">
        <v>94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95</v>
      </c>
      <c r="L41" t="s">
        <v>112</v>
      </c>
      <c r="M41">
        <v>1382.4463402700001</v>
      </c>
      <c r="N41">
        <v>0</v>
      </c>
      <c r="O41" t="s">
        <v>88</v>
      </c>
      <c r="P41" s="44">
        <v>44330.098263807871</v>
      </c>
      <c r="Q41">
        <v>4615581</v>
      </c>
      <c r="R41" t="s">
        <v>91</v>
      </c>
      <c r="S41">
        <v>1416.46223291</v>
      </c>
      <c r="W41"/>
      <c r="X41">
        <v>0</v>
      </c>
      <c r="AC41" t="s">
        <v>93</v>
      </c>
      <c r="AD41" s="44">
        <v>42644</v>
      </c>
    </row>
    <row r="42" spans="1:30" x14ac:dyDescent="0.25">
      <c r="A42">
        <v>496194</v>
      </c>
      <c r="B42" t="s">
        <v>142</v>
      </c>
      <c r="C42">
        <v>2016</v>
      </c>
      <c r="D42">
        <v>10</v>
      </c>
      <c r="E42" t="s">
        <v>96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97</v>
      </c>
      <c r="L42" t="s">
        <v>112</v>
      </c>
      <c r="M42">
        <v>420.24133938</v>
      </c>
      <c r="N42">
        <v>0</v>
      </c>
      <c r="O42" t="s">
        <v>88</v>
      </c>
      <c r="P42" s="44">
        <v>44330.098264351851</v>
      </c>
      <c r="Q42">
        <v>4615617</v>
      </c>
      <c r="R42" t="s">
        <v>91</v>
      </c>
      <c r="S42">
        <v>425.55809579999999</v>
      </c>
      <c r="W42"/>
      <c r="X42">
        <v>0</v>
      </c>
      <c r="AC42" t="s">
        <v>93</v>
      </c>
      <c r="AD42" s="44">
        <v>42644</v>
      </c>
    </row>
    <row r="43" spans="1:30" x14ac:dyDescent="0.25">
      <c r="A43">
        <v>496212</v>
      </c>
      <c r="B43" t="s">
        <v>142</v>
      </c>
      <c r="C43">
        <v>2016</v>
      </c>
      <c r="D43">
        <v>10</v>
      </c>
      <c r="E43" t="s">
        <v>98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99</v>
      </c>
      <c r="L43" t="s">
        <v>112</v>
      </c>
      <c r="M43">
        <v>717.31728549000002</v>
      </c>
      <c r="N43">
        <v>0</v>
      </c>
      <c r="O43" t="s">
        <v>88</v>
      </c>
      <c r="P43" s="44">
        <v>44330.098264814813</v>
      </c>
      <c r="Q43">
        <v>4615653</v>
      </c>
      <c r="R43" t="s">
        <v>91</v>
      </c>
      <c r="S43">
        <v>726.69080185999997</v>
      </c>
      <c r="W43"/>
      <c r="X43">
        <v>0</v>
      </c>
      <c r="AC43" t="s">
        <v>93</v>
      </c>
      <c r="AD43" s="44">
        <v>42644</v>
      </c>
    </row>
    <row r="44" spans="1:30" x14ac:dyDescent="0.25">
      <c r="A44">
        <v>505299</v>
      </c>
      <c r="B44" t="s">
        <v>139</v>
      </c>
      <c r="C44">
        <v>2016</v>
      </c>
      <c r="D44">
        <v>11</v>
      </c>
      <c r="E44" t="s">
        <v>96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97</v>
      </c>
      <c r="L44" t="s">
        <v>112</v>
      </c>
      <c r="M44">
        <v>3.0402221699999998</v>
      </c>
      <c r="N44">
        <v>0</v>
      </c>
      <c r="O44" t="s">
        <v>88</v>
      </c>
      <c r="P44" s="44">
        <v>44330.099023298608</v>
      </c>
      <c r="Q44">
        <v>4677104</v>
      </c>
      <c r="R44" t="s">
        <v>83</v>
      </c>
      <c r="S44">
        <v>8.1533670000000003E-2</v>
      </c>
      <c r="W44"/>
      <c r="X44">
        <v>0</v>
      </c>
      <c r="AC44" t="s">
        <v>93</v>
      </c>
      <c r="AD44" s="44">
        <v>42675</v>
      </c>
    </row>
    <row r="45" spans="1:30" x14ac:dyDescent="0.25">
      <c r="A45">
        <v>505281</v>
      </c>
      <c r="B45" t="s">
        <v>139</v>
      </c>
      <c r="C45">
        <v>2016</v>
      </c>
      <c r="D45">
        <v>11</v>
      </c>
      <c r="E45" t="s">
        <v>94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95</v>
      </c>
      <c r="L45" t="s">
        <v>112</v>
      </c>
      <c r="M45">
        <v>10.93651025</v>
      </c>
      <c r="N45">
        <v>0</v>
      </c>
      <c r="O45" t="s">
        <v>88</v>
      </c>
      <c r="P45" s="44">
        <v>44330.09902276619</v>
      </c>
      <c r="Q45">
        <v>4677068</v>
      </c>
      <c r="R45" t="s">
        <v>83</v>
      </c>
      <c r="S45">
        <v>0.16256488999999999</v>
      </c>
      <c r="W45"/>
      <c r="X45">
        <v>0</v>
      </c>
      <c r="AC45" t="s">
        <v>93</v>
      </c>
      <c r="AD45" s="44">
        <v>42675</v>
      </c>
    </row>
    <row r="46" spans="1:30" x14ac:dyDescent="0.25">
      <c r="A46">
        <v>505317</v>
      </c>
      <c r="B46" t="s">
        <v>139</v>
      </c>
      <c r="C46">
        <v>2016</v>
      </c>
      <c r="D46">
        <v>11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4.6410682200000002</v>
      </c>
      <c r="N46">
        <v>0</v>
      </c>
      <c r="O46" t="s">
        <v>88</v>
      </c>
      <c r="P46" s="44">
        <v>44330.099023842587</v>
      </c>
      <c r="Q46">
        <v>4677140</v>
      </c>
      <c r="R46" t="s">
        <v>83</v>
      </c>
      <c r="S46">
        <v>0.12253598</v>
      </c>
      <c r="W46"/>
      <c r="X46">
        <v>0</v>
      </c>
      <c r="AC46" t="s">
        <v>93</v>
      </c>
      <c r="AD46" s="44">
        <v>42675</v>
      </c>
    </row>
    <row r="47" spans="1:30" x14ac:dyDescent="0.25">
      <c r="A47">
        <v>505281</v>
      </c>
      <c r="B47" t="s">
        <v>139</v>
      </c>
      <c r="C47">
        <v>2016</v>
      </c>
      <c r="D47">
        <v>11</v>
      </c>
      <c r="E47" t="s">
        <v>94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95</v>
      </c>
      <c r="L47" t="s">
        <v>112</v>
      </c>
      <c r="M47">
        <v>10.93651025</v>
      </c>
      <c r="N47">
        <v>0</v>
      </c>
      <c r="O47" t="s">
        <v>88</v>
      </c>
      <c r="P47" s="44">
        <v>44330.09902276619</v>
      </c>
      <c r="Q47">
        <v>4677067</v>
      </c>
      <c r="R47" t="s">
        <v>91</v>
      </c>
      <c r="S47">
        <v>11.20560942</v>
      </c>
      <c r="W47"/>
      <c r="X47">
        <v>0</v>
      </c>
      <c r="AC47" t="s">
        <v>93</v>
      </c>
      <c r="AD47" s="44">
        <v>42675</v>
      </c>
    </row>
    <row r="48" spans="1:30" x14ac:dyDescent="0.25">
      <c r="A48">
        <v>505299</v>
      </c>
      <c r="B48" t="s">
        <v>139</v>
      </c>
      <c r="C48">
        <v>2016</v>
      </c>
      <c r="D48">
        <v>11</v>
      </c>
      <c r="E48" t="s">
        <v>96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97</v>
      </c>
      <c r="L48" t="s">
        <v>112</v>
      </c>
      <c r="M48">
        <v>3.0402221699999998</v>
      </c>
      <c r="N48">
        <v>0</v>
      </c>
      <c r="O48" t="s">
        <v>88</v>
      </c>
      <c r="P48" s="44">
        <v>44330.099023298608</v>
      </c>
      <c r="Q48">
        <v>4677103</v>
      </c>
      <c r="R48" t="s">
        <v>91</v>
      </c>
      <c r="S48">
        <v>3.0786860699999998</v>
      </c>
      <c r="W48"/>
      <c r="X48">
        <v>0</v>
      </c>
      <c r="AC48" t="s">
        <v>93</v>
      </c>
      <c r="AD48" s="44">
        <v>42675</v>
      </c>
    </row>
    <row r="49" spans="1:30" x14ac:dyDescent="0.25">
      <c r="A49">
        <v>505317</v>
      </c>
      <c r="B49" t="s">
        <v>139</v>
      </c>
      <c r="C49">
        <v>2016</v>
      </c>
      <c r="D49">
        <v>11</v>
      </c>
      <c r="E49" t="s">
        <v>98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99</v>
      </c>
      <c r="L49" t="s">
        <v>112</v>
      </c>
      <c r="M49">
        <v>4.6410682200000002</v>
      </c>
      <c r="N49">
        <v>0</v>
      </c>
      <c r="O49" t="s">
        <v>88</v>
      </c>
      <c r="P49" s="44">
        <v>44330.099023842587</v>
      </c>
      <c r="Q49">
        <v>4677139</v>
      </c>
      <c r="R49" t="s">
        <v>91</v>
      </c>
      <c r="S49">
        <v>4.7017151999999998</v>
      </c>
      <c r="W49"/>
      <c r="X49">
        <v>0</v>
      </c>
      <c r="AC49" t="s">
        <v>93</v>
      </c>
      <c r="AD49" s="44">
        <v>42675</v>
      </c>
    </row>
    <row r="50" spans="1:30" x14ac:dyDescent="0.25">
      <c r="A50">
        <v>518433</v>
      </c>
      <c r="B50" t="s">
        <v>141</v>
      </c>
      <c r="C50">
        <v>2016</v>
      </c>
      <c r="D50">
        <v>12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2.1233140000000001E-2</v>
      </c>
      <c r="N50">
        <v>0</v>
      </c>
      <c r="O50" t="s">
        <v>88</v>
      </c>
      <c r="P50" s="44">
        <v>44330.1002351852</v>
      </c>
      <c r="Q50">
        <v>4792674</v>
      </c>
      <c r="R50" t="s">
        <v>83</v>
      </c>
      <c r="S50">
        <v>3.1562000000000002E-4</v>
      </c>
      <c r="W50"/>
      <c r="X50">
        <v>0</v>
      </c>
      <c r="AC50" t="s">
        <v>93</v>
      </c>
      <c r="AD50" s="44">
        <v>42705</v>
      </c>
    </row>
    <row r="51" spans="1:30" x14ac:dyDescent="0.25">
      <c r="A51">
        <v>518451</v>
      </c>
      <c r="B51" t="s">
        <v>141</v>
      </c>
      <c r="C51">
        <v>2016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5.24655E-3</v>
      </c>
      <c r="N51">
        <v>0</v>
      </c>
      <c r="O51" t="s">
        <v>88</v>
      </c>
      <c r="P51" s="44">
        <v>44330.100235682869</v>
      </c>
      <c r="Q51">
        <v>4792710</v>
      </c>
      <c r="R51" t="s">
        <v>83</v>
      </c>
      <c r="S51">
        <v>1.407E-4</v>
      </c>
      <c r="W51"/>
      <c r="X51">
        <v>0</v>
      </c>
      <c r="AC51" t="s">
        <v>93</v>
      </c>
      <c r="AD51" s="44">
        <v>42705</v>
      </c>
    </row>
    <row r="52" spans="1:30" x14ac:dyDescent="0.25">
      <c r="A52">
        <v>518469</v>
      </c>
      <c r="B52" t="s">
        <v>141</v>
      </c>
      <c r="C52">
        <v>2016</v>
      </c>
      <c r="D52">
        <v>12</v>
      </c>
      <c r="E52" t="s">
        <v>98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99</v>
      </c>
      <c r="L52" t="s">
        <v>112</v>
      </c>
      <c r="M52">
        <v>7.6207699999999998E-3</v>
      </c>
      <c r="N52">
        <v>0</v>
      </c>
      <c r="O52" t="s">
        <v>88</v>
      </c>
      <c r="P52" s="44">
        <v>44330.100236226863</v>
      </c>
      <c r="Q52">
        <v>4792746</v>
      </c>
      <c r="R52" t="s">
        <v>83</v>
      </c>
      <c r="S52">
        <v>2.0121000000000001E-4</v>
      </c>
      <c r="W52"/>
      <c r="X52">
        <v>0</v>
      </c>
      <c r="AC52" t="s">
        <v>93</v>
      </c>
      <c r="AD52" s="44">
        <v>42705</v>
      </c>
    </row>
    <row r="53" spans="1:30" x14ac:dyDescent="0.25">
      <c r="A53">
        <v>518433</v>
      </c>
      <c r="B53" t="s">
        <v>141</v>
      </c>
      <c r="C53">
        <v>2016</v>
      </c>
      <c r="D53">
        <v>12</v>
      </c>
      <c r="E53" t="s">
        <v>94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95</v>
      </c>
      <c r="L53" t="s">
        <v>112</v>
      </c>
      <c r="M53">
        <v>2.1233140000000001E-2</v>
      </c>
      <c r="N53">
        <v>0</v>
      </c>
      <c r="O53" t="s">
        <v>88</v>
      </c>
      <c r="P53" s="44">
        <v>44330.1002351852</v>
      </c>
      <c r="Q53">
        <v>4792673</v>
      </c>
      <c r="R53" t="s">
        <v>91</v>
      </c>
      <c r="S53">
        <v>2.1755590000000002E-2</v>
      </c>
      <c r="W53"/>
      <c r="X53">
        <v>0</v>
      </c>
      <c r="AC53" t="s">
        <v>93</v>
      </c>
      <c r="AD53" s="44">
        <v>42705</v>
      </c>
    </row>
    <row r="54" spans="1:30" x14ac:dyDescent="0.25">
      <c r="A54">
        <v>518469</v>
      </c>
      <c r="B54" t="s">
        <v>141</v>
      </c>
      <c r="C54">
        <v>2016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7.6207699999999998E-3</v>
      </c>
      <c r="N54">
        <v>0</v>
      </c>
      <c r="O54" t="s">
        <v>88</v>
      </c>
      <c r="P54" s="44">
        <v>44330.100236226863</v>
      </c>
      <c r="Q54">
        <v>4792745</v>
      </c>
      <c r="R54" t="s">
        <v>91</v>
      </c>
      <c r="S54">
        <v>7.72035E-3</v>
      </c>
      <c r="W54"/>
      <c r="X54">
        <v>0</v>
      </c>
      <c r="AC54" t="s">
        <v>93</v>
      </c>
      <c r="AD54" s="44">
        <v>42705</v>
      </c>
    </row>
    <row r="55" spans="1:30" x14ac:dyDescent="0.25">
      <c r="A55">
        <v>518451</v>
      </c>
      <c r="B55" t="s">
        <v>141</v>
      </c>
      <c r="C55">
        <v>2016</v>
      </c>
      <c r="D55">
        <v>12</v>
      </c>
      <c r="E55" t="s">
        <v>96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97</v>
      </c>
      <c r="L55" t="s">
        <v>112</v>
      </c>
      <c r="M55">
        <v>5.24655E-3</v>
      </c>
      <c r="N55">
        <v>0</v>
      </c>
      <c r="O55" t="s">
        <v>88</v>
      </c>
      <c r="P55" s="44">
        <v>44330.100235682869</v>
      </c>
      <c r="Q55">
        <v>4792709</v>
      </c>
      <c r="R55" t="s">
        <v>91</v>
      </c>
      <c r="S55">
        <v>5.3129300000000004E-3</v>
      </c>
      <c r="W55"/>
      <c r="X55">
        <v>0</v>
      </c>
      <c r="AC55" t="s">
        <v>93</v>
      </c>
      <c r="AD55" s="44">
        <v>42705</v>
      </c>
    </row>
    <row r="56" spans="1:30" x14ac:dyDescent="0.25">
      <c r="A56">
        <v>520743</v>
      </c>
      <c r="B56" t="s">
        <v>133</v>
      </c>
      <c r="C56">
        <v>2017</v>
      </c>
      <c r="D56">
        <v>2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1936.6982957099999</v>
      </c>
      <c r="N56">
        <v>0</v>
      </c>
      <c r="O56" t="s">
        <v>88</v>
      </c>
      <c r="P56" s="44">
        <v>44330.100814583333</v>
      </c>
      <c r="Q56">
        <v>4802892</v>
      </c>
      <c r="R56" t="s">
        <v>83</v>
      </c>
      <c r="S56">
        <v>51.13375035</v>
      </c>
      <c r="W56"/>
      <c r="X56">
        <v>0</v>
      </c>
      <c r="AC56" t="s">
        <v>93</v>
      </c>
      <c r="AD56" s="44">
        <v>42767</v>
      </c>
    </row>
    <row r="57" spans="1:30" x14ac:dyDescent="0.25">
      <c r="A57">
        <v>520699</v>
      </c>
      <c r="B57" t="s">
        <v>133</v>
      </c>
      <c r="C57">
        <v>2017</v>
      </c>
      <c r="D57">
        <v>2</v>
      </c>
      <c r="E57" t="s">
        <v>94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95</v>
      </c>
      <c r="L57" t="s">
        <v>112</v>
      </c>
      <c r="M57">
        <v>5836.6764009500002</v>
      </c>
      <c r="N57">
        <v>0</v>
      </c>
      <c r="O57" t="s">
        <v>88</v>
      </c>
      <c r="P57" s="44">
        <v>44330.100813229168</v>
      </c>
      <c r="Q57">
        <v>4802804</v>
      </c>
      <c r="R57" t="s">
        <v>83</v>
      </c>
      <c r="S57">
        <v>86.758815260000006</v>
      </c>
      <c r="W57"/>
      <c r="X57">
        <v>0</v>
      </c>
      <c r="AC57" t="s">
        <v>93</v>
      </c>
      <c r="AD57" s="44">
        <v>42767</v>
      </c>
    </row>
    <row r="58" spans="1:30" x14ac:dyDescent="0.25">
      <c r="A58">
        <v>520721</v>
      </c>
      <c r="B58" t="s">
        <v>133</v>
      </c>
      <c r="C58">
        <v>2017</v>
      </c>
      <c r="D58">
        <v>2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1561.42030755</v>
      </c>
      <c r="N58">
        <v>0</v>
      </c>
      <c r="O58" t="s">
        <v>88</v>
      </c>
      <c r="P58" s="44">
        <v>44330.100813923607</v>
      </c>
      <c r="Q58">
        <v>4802848</v>
      </c>
      <c r="R58" t="s">
        <v>83</v>
      </c>
      <c r="S58">
        <v>41.874678830000001</v>
      </c>
      <c r="W58"/>
      <c r="X58">
        <v>0</v>
      </c>
      <c r="AC58" t="s">
        <v>93</v>
      </c>
      <c r="AD58" s="44">
        <v>42767</v>
      </c>
    </row>
    <row r="59" spans="1:30" x14ac:dyDescent="0.25">
      <c r="A59">
        <v>520743</v>
      </c>
      <c r="B59" t="s">
        <v>133</v>
      </c>
      <c r="C59">
        <v>2017</v>
      </c>
      <c r="D59">
        <v>2</v>
      </c>
      <c r="E59" t="s">
        <v>98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99</v>
      </c>
      <c r="L59" t="s">
        <v>112</v>
      </c>
      <c r="M59">
        <v>1936.6982957099999</v>
      </c>
      <c r="N59">
        <v>0</v>
      </c>
      <c r="O59" t="s">
        <v>88</v>
      </c>
      <c r="P59" s="44">
        <v>44330.100814583333</v>
      </c>
      <c r="Q59">
        <v>4802891</v>
      </c>
      <c r="R59" t="s">
        <v>91</v>
      </c>
      <c r="S59">
        <v>1962.0060271</v>
      </c>
      <c r="W59"/>
      <c r="X59">
        <v>0</v>
      </c>
      <c r="AC59" t="s">
        <v>93</v>
      </c>
      <c r="AD59" s="44">
        <v>42767</v>
      </c>
    </row>
    <row r="60" spans="1:30" x14ac:dyDescent="0.25">
      <c r="A60">
        <v>520721</v>
      </c>
      <c r="B60" t="s">
        <v>133</v>
      </c>
      <c r="C60">
        <v>2017</v>
      </c>
      <c r="D60">
        <v>2</v>
      </c>
      <c r="E60" t="s">
        <v>96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97</v>
      </c>
      <c r="L60" t="s">
        <v>112</v>
      </c>
      <c r="M60">
        <v>1561.42030755</v>
      </c>
      <c r="N60">
        <v>0</v>
      </c>
      <c r="O60" t="s">
        <v>88</v>
      </c>
      <c r="P60" s="44">
        <v>44330.100813923607</v>
      </c>
      <c r="Q60">
        <v>4802847</v>
      </c>
      <c r="R60" t="s">
        <v>91</v>
      </c>
      <c r="S60">
        <v>1581.17488826</v>
      </c>
      <c r="W60"/>
      <c r="X60">
        <v>0</v>
      </c>
      <c r="AC60" t="s">
        <v>93</v>
      </c>
      <c r="AD60" s="44">
        <v>42767</v>
      </c>
    </row>
    <row r="61" spans="1:30" x14ac:dyDescent="0.25">
      <c r="A61">
        <v>520699</v>
      </c>
      <c r="B61" t="s">
        <v>133</v>
      </c>
      <c r="C61">
        <v>2017</v>
      </c>
      <c r="D61">
        <v>2</v>
      </c>
      <c r="E61" t="s">
        <v>94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95</v>
      </c>
      <c r="L61" t="s">
        <v>112</v>
      </c>
      <c r="M61">
        <v>5836.6764009500002</v>
      </c>
      <c r="N61">
        <v>0</v>
      </c>
      <c r="O61" t="s">
        <v>88</v>
      </c>
      <c r="P61" s="44">
        <v>44330.100813229168</v>
      </c>
      <c r="Q61">
        <v>4802803</v>
      </c>
      <c r="R61" t="s">
        <v>91</v>
      </c>
      <c r="S61">
        <v>5980.2912032300001</v>
      </c>
      <c r="W61"/>
      <c r="X61">
        <v>0</v>
      </c>
      <c r="AC61" t="s">
        <v>93</v>
      </c>
      <c r="AD61" s="44">
        <v>42767</v>
      </c>
    </row>
    <row r="62" spans="1:30" x14ac:dyDescent="0.25">
      <c r="A62">
        <v>530744</v>
      </c>
      <c r="B62" t="s">
        <v>134</v>
      </c>
      <c r="C62">
        <v>2017</v>
      </c>
      <c r="D62">
        <v>3</v>
      </c>
      <c r="E62" t="s">
        <v>96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97</v>
      </c>
      <c r="L62" t="s">
        <v>112</v>
      </c>
      <c r="M62">
        <v>1611.96951592</v>
      </c>
      <c r="N62">
        <v>0</v>
      </c>
      <c r="O62" t="s">
        <v>88</v>
      </c>
      <c r="P62" s="44">
        <v>44330.101799884258</v>
      </c>
      <c r="Q62">
        <v>4888357</v>
      </c>
      <c r="R62" t="s">
        <v>83</v>
      </c>
      <c r="S62">
        <v>43.230323980000001</v>
      </c>
      <c r="W62"/>
      <c r="X62">
        <v>0</v>
      </c>
      <c r="AC62" t="s">
        <v>93</v>
      </c>
      <c r="AD62" s="44">
        <v>42795</v>
      </c>
    </row>
    <row r="63" spans="1:30" x14ac:dyDescent="0.25">
      <c r="A63">
        <v>530722</v>
      </c>
      <c r="B63" t="s">
        <v>134</v>
      </c>
      <c r="C63">
        <v>2017</v>
      </c>
      <c r="D63">
        <v>3</v>
      </c>
      <c r="E63" t="s">
        <v>94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95</v>
      </c>
      <c r="L63" t="s">
        <v>112</v>
      </c>
      <c r="M63">
        <v>6064.1041034099999</v>
      </c>
      <c r="N63">
        <v>0</v>
      </c>
      <c r="O63" t="s">
        <v>88</v>
      </c>
      <c r="P63" s="44">
        <v>44330.101799189812</v>
      </c>
      <c r="Q63">
        <v>4888313</v>
      </c>
      <c r="R63" t="s">
        <v>83</v>
      </c>
      <c r="S63">
        <v>90.139396379999994</v>
      </c>
      <c r="W63"/>
      <c r="X63">
        <v>0</v>
      </c>
      <c r="AC63" t="s">
        <v>93</v>
      </c>
      <c r="AD63" s="44">
        <v>42795</v>
      </c>
    </row>
    <row r="64" spans="1:30" x14ac:dyDescent="0.25">
      <c r="A64">
        <v>530766</v>
      </c>
      <c r="B64" t="s">
        <v>134</v>
      </c>
      <c r="C64">
        <v>2017</v>
      </c>
      <c r="D64">
        <v>3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1971.01751208</v>
      </c>
      <c r="N64">
        <v>0</v>
      </c>
      <c r="O64" t="s">
        <v>88</v>
      </c>
      <c r="P64" s="44">
        <v>44330.101800497687</v>
      </c>
      <c r="Q64">
        <v>4888401</v>
      </c>
      <c r="R64" t="s">
        <v>83</v>
      </c>
      <c r="S64">
        <v>52.03986476</v>
      </c>
      <c r="W64"/>
      <c r="X64">
        <v>0</v>
      </c>
      <c r="AC64" t="s">
        <v>93</v>
      </c>
      <c r="AD64" s="44">
        <v>42795</v>
      </c>
    </row>
    <row r="65" spans="1:30" x14ac:dyDescent="0.25">
      <c r="A65">
        <v>530722</v>
      </c>
      <c r="B65" t="s">
        <v>134</v>
      </c>
      <c r="C65">
        <v>2017</v>
      </c>
      <c r="D65">
        <v>3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6064.1041034099999</v>
      </c>
      <c r="N65">
        <v>0</v>
      </c>
      <c r="O65" t="s">
        <v>88</v>
      </c>
      <c r="P65" s="44">
        <v>44330.101799189812</v>
      </c>
      <c r="Q65">
        <v>4888312</v>
      </c>
      <c r="R65" t="s">
        <v>91</v>
      </c>
      <c r="S65">
        <v>6213.31489599</v>
      </c>
      <c r="W65"/>
      <c r="X65">
        <v>0</v>
      </c>
      <c r="AC65" t="s">
        <v>93</v>
      </c>
      <c r="AD65" s="44">
        <v>42795</v>
      </c>
    </row>
    <row r="66" spans="1:30" x14ac:dyDescent="0.25">
      <c r="A66">
        <v>530744</v>
      </c>
      <c r="B66" t="s">
        <v>134</v>
      </c>
      <c r="C66">
        <v>2017</v>
      </c>
      <c r="D66">
        <v>3</v>
      </c>
      <c r="E66" t="s">
        <v>96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97</v>
      </c>
      <c r="L66" t="s">
        <v>112</v>
      </c>
      <c r="M66">
        <v>1611.96951592</v>
      </c>
      <c r="N66">
        <v>0</v>
      </c>
      <c r="O66" t="s">
        <v>88</v>
      </c>
      <c r="P66" s="44">
        <v>44330.101799884258</v>
      </c>
      <c r="Q66">
        <v>4888356</v>
      </c>
      <c r="R66" t="s">
        <v>91</v>
      </c>
      <c r="S66">
        <v>1632.36362874</v>
      </c>
      <c r="W66"/>
      <c r="X66">
        <v>0</v>
      </c>
      <c r="AC66" t="s">
        <v>93</v>
      </c>
      <c r="AD66" s="44">
        <v>42795</v>
      </c>
    </row>
    <row r="67" spans="1:30" x14ac:dyDescent="0.25">
      <c r="A67">
        <v>530766</v>
      </c>
      <c r="B67" t="s">
        <v>134</v>
      </c>
      <c r="C67">
        <v>2017</v>
      </c>
      <c r="D67">
        <v>3</v>
      </c>
      <c r="E67" t="s">
        <v>98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99</v>
      </c>
      <c r="L67" t="s">
        <v>112</v>
      </c>
      <c r="M67">
        <v>1971.01751208</v>
      </c>
      <c r="N67">
        <v>0</v>
      </c>
      <c r="O67" t="s">
        <v>88</v>
      </c>
      <c r="P67" s="44">
        <v>44330.101800497687</v>
      </c>
      <c r="Q67">
        <v>4888400</v>
      </c>
      <c r="R67" t="s">
        <v>91</v>
      </c>
      <c r="S67">
        <v>1996.7737085199999</v>
      </c>
      <c r="W67"/>
      <c r="X67">
        <v>0</v>
      </c>
      <c r="AC67" t="s">
        <v>93</v>
      </c>
      <c r="AD67" s="44">
        <v>42795</v>
      </c>
    </row>
    <row r="68" spans="1:30" x14ac:dyDescent="0.25">
      <c r="A68">
        <v>628657</v>
      </c>
      <c r="B68" t="s">
        <v>150</v>
      </c>
      <c r="C68">
        <v>2017</v>
      </c>
      <c r="D68">
        <v>4</v>
      </c>
      <c r="E68" t="s">
        <v>98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99</v>
      </c>
      <c r="L68" t="s">
        <v>112</v>
      </c>
      <c r="M68">
        <v>1712.75377718</v>
      </c>
      <c r="N68">
        <v>0</v>
      </c>
      <c r="O68" t="s">
        <v>88</v>
      </c>
      <c r="P68" s="44">
        <v>44334.047875810182</v>
      </c>
      <c r="Q68">
        <v>5584410</v>
      </c>
      <c r="R68" t="s">
        <v>83</v>
      </c>
      <c r="S68">
        <v>45.221046690000001</v>
      </c>
      <c r="W68"/>
      <c r="X68">
        <v>0</v>
      </c>
      <c r="AC68" t="s">
        <v>93</v>
      </c>
      <c r="AD68" s="44">
        <v>42826</v>
      </c>
    </row>
    <row r="69" spans="1:30" x14ac:dyDescent="0.25">
      <c r="A69">
        <v>628613</v>
      </c>
      <c r="B69" t="s">
        <v>150</v>
      </c>
      <c r="C69">
        <v>2017</v>
      </c>
      <c r="D69">
        <v>4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4420.2930050699997</v>
      </c>
      <c r="N69">
        <v>0</v>
      </c>
      <c r="O69" t="s">
        <v>88</v>
      </c>
      <c r="P69" s="44">
        <v>44334.04787422454</v>
      </c>
      <c r="Q69">
        <v>5584322</v>
      </c>
      <c r="R69" t="s">
        <v>83</v>
      </c>
      <c r="S69">
        <v>65.705096170000004</v>
      </c>
      <c r="W69"/>
      <c r="X69">
        <v>0</v>
      </c>
      <c r="AC69" t="s">
        <v>93</v>
      </c>
      <c r="AD69" s="44">
        <v>42826</v>
      </c>
    </row>
    <row r="70" spans="1:30" x14ac:dyDescent="0.25">
      <c r="A70">
        <v>628635</v>
      </c>
      <c r="B70" t="s">
        <v>150</v>
      </c>
      <c r="C70">
        <v>2017</v>
      </c>
      <c r="D70">
        <v>4</v>
      </c>
      <c r="E70" t="s">
        <v>96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97</v>
      </c>
      <c r="L70" t="s">
        <v>112</v>
      </c>
      <c r="M70">
        <v>1117.7193056399999</v>
      </c>
      <c r="N70">
        <v>0</v>
      </c>
      <c r="O70" t="s">
        <v>88</v>
      </c>
      <c r="P70" s="44">
        <v>44334.047875034717</v>
      </c>
      <c r="Q70">
        <v>5584366</v>
      </c>
      <c r="R70" t="s">
        <v>83</v>
      </c>
      <c r="S70">
        <v>29.975360720000001</v>
      </c>
      <c r="W70"/>
      <c r="X70">
        <v>0</v>
      </c>
      <c r="AC70" t="s">
        <v>93</v>
      </c>
      <c r="AD70" s="44">
        <v>42826</v>
      </c>
    </row>
    <row r="71" spans="1:30" x14ac:dyDescent="0.25">
      <c r="A71">
        <v>628613</v>
      </c>
      <c r="B71" t="s">
        <v>150</v>
      </c>
      <c r="C71">
        <v>2017</v>
      </c>
      <c r="D71">
        <v>4</v>
      </c>
      <c r="E71" t="s">
        <v>94</v>
      </c>
      <c r="F71" t="s">
        <v>93</v>
      </c>
      <c r="G71" t="s">
        <v>93</v>
      </c>
      <c r="H71" t="s">
        <v>25</v>
      </c>
      <c r="I71" t="s">
        <v>25</v>
      </c>
      <c r="J71" t="s">
        <v>110</v>
      </c>
      <c r="K71" t="s">
        <v>95</v>
      </c>
      <c r="L71" t="s">
        <v>112</v>
      </c>
      <c r="M71">
        <v>4420.2930050699997</v>
      </c>
      <c r="N71">
        <v>0</v>
      </c>
      <c r="O71" t="s">
        <v>88</v>
      </c>
      <c r="P71" s="44">
        <v>44334.04787422454</v>
      </c>
      <c r="Q71">
        <v>5584321</v>
      </c>
      <c r="R71" t="s">
        <v>91</v>
      </c>
      <c r="S71">
        <v>4529.0568738100001</v>
      </c>
      <c r="W71"/>
      <c r="X71">
        <v>0</v>
      </c>
      <c r="AC71" t="s">
        <v>93</v>
      </c>
      <c r="AD71" s="44">
        <v>42826</v>
      </c>
    </row>
    <row r="72" spans="1:30" x14ac:dyDescent="0.25">
      <c r="A72">
        <v>628635</v>
      </c>
      <c r="B72" t="s">
        <v>150</v>
      </c>
      <c r="C72">
        <v>2017</v>
      </c>
      <c r="D72">
        <v>4</v>
      </c>
      <c r="E72" t="s">
        <v>96</v>
      </c>
      <c r="F72" t="s">
        <v>93</v>
      </c>
      <c r="G72" t="s">
        <v>93</v>
      </c>
      <c r="H72" t="s">
        <v>25</v>
      </c>
      <c r="I72" t="s">
        <v>25</v>
      </c>
      <c r="J72" t="s">
        <v>110</v>
      </c>
      <c r="K72" t="s">
        <v>97</v>
      </c>
      <c r="L72" t="s">
        <v>112</v>
      </c>
      <c r="M72">
        <v>1117.7193056399999</v>
      </c>
      <c r="N72">
        <v>0</v>
      </c>
      <c r="O72" t="s">
        <v>88</v>
      </c>
      <c r="P72" s="44">
        <v>44334.047875034717</v>
      </c>
      <c r="Q72">
        <v>5584365</v>
      </c>
      <c r="R72" t="s">
        <v>91</v>
      </c>
      <c r="S72">
        <v>1131.86032591</v>
      </c>
      <c r="W72"/>
      <c r="X72">
        <v>0</v>
      </c>
      <c r="AC72" t="s">
        <v>93</v>
      </c>
      <c r="AD72" s="44">
        <v>42826</v>
      </c>
    </row>
    <row r="73" spans="1:30" x14ac:dyDescent="0.25">
      <c r="A73">
        <v>628657</v>
      </c>
      <c r="B73" t="s">
        <v>150</v>
      </c>
      <c r="C73">
        <v>2017</v>
      </c>
      <c r="D73">
        <v>4</v>
      </c>
      <c r="E73" t="s">
        <v>98</v>
      </c>
      <c r="F73" t="s">
        <v>93</v>
      </c>
      <c r="G73" t="s">
        <v>93</v>
      </c>
      <c r="H73" t="s">
        <v>25</v>
      </c>
      <c r="I73" t="s">
        <v>25</v>
      </c>
      <c r="J73" t="s">
        <v>110</v>
      </c>
      <c r="K73" t="s">
        <v>99</v>
      </c>
      <c r="L73" t="s">
        <v>112</v>
      </c>
      <c r="M73">
        <v>1712.75377718</v>
      </c>
      <c r="N73">
        <v>0</v>
      </c>
      <c r="O73" t="s">
        <v>88</v>
      </c>
      <c r="P73" s="44">
        <v>44334.047875810182</v>
      </c>
      <c r="Q73">
        <v>5584409</v>
      </c>
      <c r="R73" t="s">
        <v>91</v>
      </c>
      <c r="S73">
        <v>1735.13512208</v>
      </c>
      <c r="W73"/>
      <c r="X73">
        <v>0</v>
      </c>
      <c r="AC73" t="s">
        <v>93</v>
      </c>
      <c r="AD73" s="44">
        <v>42826</v>
      </c>
    </row>
    <row r="74" spans="1:30" x14ac:dyDescent="0.25">
      <c r="A74">
        <v>550982</v>
      </c>
      <c r="B74" t="s">
        <v>153</v>
      </c>
      <c r="C74">
        <v>2017</v>
      </c>
      <c r="D74">
        <v>5</v>
      </c>
      <c r="E74" t="s">
        <v>98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99</v>
      </c>
      <c r="L74" t="s">
        <v>112</v>
      </c>
      <c r="M74">
        <v>1465.7128444299999</v>
      </c>
      <c r="N74">
        <v>0</v>
      </c>
      <c r="O74" t="s">
        <v>88</v>
      </c>
      <c r="P74" s="44">
        <v>44330.103752581017</v>
      </c>
      <c r="Q74">
        <v>5059859</v>
      </c>
      <c r="R74" t="s">
        <v>83</v>
      </c>
      <c r="S74">
        <v>38.698539070000002</v>
      </c>
      <c r="W74"/>
      <c r="X74">
        <v>0</v>
      </c>
      <c r="AC74" t="s">
        <v>93</v>
      </c>
      <c r="AD74" s="44">
        <v>42856</v>
      </c>
    </row>
    <row r="75" spans="1:30" x14ac:dyDescent="0.25">
      <c r="A75">
        <v>550961</v>
      </c>
      <c r="B75" t="s">
        <v>153</v>
      </c>
      <c r="C75">
        <v>2017</v>
      </c>
      <c r="D75">
        <v>5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999.01457314000004</v>
      </c>
      <c r="N75">
        <v>0</v>
      </c>
      <c r="O75" t="s">
        <v>88</v>
      </c>
      <c r="P75" s="44">
        <v>44330.10375185185</v>
      </c>
      <c r="Q75">
        <v>5059817</v>
      </c>
      <c r="R75" t="s">
        <v>83</v>
      </c>
      <c r="S75">
        <v>26.791898499999999</v>
      </c>
      <c r="W75"/>
      <c r="X75">
        <v>0</v>
      </c>
      <c r="AC75" t="s">
        <v>93</v>
      </c>
      <c r="AD75" s="44">
        <v>42856</v>
      </c>
    </row>
    <row r="76" spans="1:30" x14ac:dyDescent="0.25">
      <c r="A76">
        <v>550940</v>
      </c>
      <c r="B76" t="s">
        <v>153</v>
      </c>
      <c r="C76">
        <v>2017</v>
      </c>
      <c r="D76">
        <v>5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2827.3129987100001</v>
      </c>
      <c r="N76">
        <v>0</v>
      </c>
      <c r="O76" t="s">
        <v>88</v>
      </c>
      <c r="P76" s="44">
        <v>44330.103751238428</v>
      </c>
      <c r="Q76">
        <v>5059775</v>
      </c>
      <c r="R76" t="s">
        <v>83</v>
      </c>
      <c r="S76">
        <v>42.026370710000002</v>
      </c>
      <c r="W76"/>
      <c r="X76">
        <v>0</v>
      </c>
      <c r="AC76" t="s">
        <v>93</v>
      </c>
      <c r="AD76" s="44">
        <v>42856</v>
      </c>
    </row>
    <row r="77" spans="1:30" x14ac:dyDescent="0.25">
      <c r="A77">
        <v>550961</v>
      </c>
      <c r="B77" t="s">
        <v>153</v>
      </c>
      <c r="C77">
        <v>2017</v>
      </c>
      <c r="D77">
        <v>5</v>
      </c>
      <c r="E77" t="s">
        <v>96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97</v>
      </c>
      <c r="L77" t="s">
        <v>112</v>
      </c>
      <c r="M77">
        <v>999.01457314000004</v>
      </c>
      <c r="N77">
        <v>0</v>
      </c>
      <c r="O77" t="s">
        <v>88</v>
      </c>
      <c r="P77" s="44">
        <v>44330.10375185185</v>
      </c>
      <c r="Q77">
        <v>5059816</v>
      </c>
      <c r="R77" t="s">
        <v>91</v>
      </c>
      <c r="S77">
        <v>1011.65377984</v>
      </c>
      <c r="W77"/>
      <c r="X77">
        <v>0</v>
      </c>
      <c r="AC77" t="s">
        <v>93</v>
      </c>
      <c r="AD77" s="44">
        <v>42856</v>
      </c>
    </row>
    <row r="78" spans="1:30" x14ac:dyDescent="0.25">
      <c r="A78">
        <v>550982</v>
      </c>
      <c r="B78" t="s">
        <v>153</v>
      </c>
      <c r="C78">
        <v>2017</v>
      </c>
      <c r="D78">
        <v>5</v>
      </c>
      <c r="E78" t="s">
        <v>98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99</v>
      </c>
      <c r="L78" t="s">
        <v>112</v>
      </c>
      <c r="M78">
        <v>1465.7128444299999</v>
      </c>
      <c r="N78">
        <v>0</v>
      </c>
      <c r="O78" t="s">
        <v>88</v>
      </c>
      <c r="P78" s="44">
        <v>44330.103752581017</v>
      </c>
      <c r="Q78">
        <v>5059858</v>
      </c>
      <c r="R78" t="s">
        <v>91</v>
      </c>
      <c r="S78">
        <v>1484.86599133</v>
      </c>
      <c r="W78"/>
      <c r="X78">
        <v>0</v>
      </c>
      <c r="AC78" t="s">
        <v>93</v>
      </c>
      <c r="AD78" s="44">
        <v>42856</v>
      </c>
    </row>
    <row r="79" spans="1:30" x14ac:dyDescent="0.25">
      <c r="A79">
        <v>550940</v>
      </c>
      <c r="B79" t="s">
        <v>153</v>
      </c>
      <c r="C79">
        <v>2017</v>
      </c>
      <c r="D79">
        <v>5</v>
      </c>
      <c r="E79" t="s">
        <v>94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95</v>
      </c>
      <c r="L79" t="s">
        <v>112</v>
      </c>
      <c r="M79">
        <v>2827.3129987100001</v>
      </c>
      <c r="N79">
        <v>0</v>
      </c>
      <c r="O79" t="s">
        <v>88</v>
      </c>
      <c r="P79" s="44">
        <v>44330.103751238428</v>
      </c>
      <c r="Q79">
        <v>5059774</v>
      </c>
      <c r="R79" t="s">
        <v>91</v>
      </c>
      <c r="S79">
        <v>2896.8806720600001</v>
      </c>
      <c r="W79"/>
      <c r="X79">
        <v>0</v>
      </c>
      <c r="AC79" t="s">
        <v>93</v>
      </c>
      <c r="AD79" s="44">
        <v>42856</v>
      </c>
    </row>
    <row r="80" spans="1:30" x14ac:dyDescent="0.25">
      <c r="A80">
        <v>560915</v>
      </c>
      <c r="B80" t="s">
        <v>152</v>
      </c>
      <c r="C80">
        <v>2017</v>
      </c>
      <c r="D80">
        <v>6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2370.0725542700002</v>
      </c>
      <c r="N80">
        <v>0</v>
      </c>
      <c r="O80" t="s">
        <v>88</v>
      </c>
      <c r="P80" s="44">
        <v>44330.104735567133</v>
      </c>
      <c r="Q80">
        <v>5144509</v>
      </c>
      <c r="R80" t="s">
        <v>83</v>
      </c>
      <c r="S80">
        <v>35.229756250000001</v>
      </c>
      <c r="W80"/>
      <c r="X80">
        <v>0</v>
      </c>
      <c r="AC80" t="s">
        <v>93</v>
      </c>
      <c r="AD80" s="44">
        <v>42887</v>
      </c>
    </row>
    <row r="81" spans="1:30" x14ac:dyDescent="0.25">
      <c r="A81">
        <v>560936</v>
      </c>
      <c r="B81" t="s">
        <v>152</v>
      </c>
      <c r="C81">
        <v>2017</v>
      </c>
      <c r="D81">
        <v>6</v>
      </c>
      <c r="E81" t="s">
        <v>96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97</v>
      </c>
      <c r="L81" t="s">
        <v>112</v>
      </c>
      <c r="M81">
        <v>850.28490937000004</v>
      </c>
      <c r="N81">
        <v>0</v>
      </c>
      <c r="O81" t="s">
        <v>88</v>
      </c>
      <c r="P81" s="44">
        <v>44330.104736226851</v>
      </c>
      <c r="Q81">
        <v>5144551</v>
      </c>
      <c r="R81" t="s">
        <v>83</v>
      </c>
      <c r="S81">
        <v>22.803217889999999</v>
      </c>
      <c r="W81"/>
      <c r="X81">
        <v>0</v>
      </c>
      <c r="AC81" t="s">
        <v>93</v>
      </c>
      <c r="AD81" s="44">
        <v>42887</v>
      </c>
    </row>
    <row r="82" spans="1:30" x14ac:dyDescent="0.25">
      <c r="A82">
        <v>560957</v>
      </c>
      <c r="B82" t="s">
        <v>152</v>
      </c>
      <c r="C82">
        <v>2017</v>
      </c>
      <c r="D82">
        <v>6</v>
      </c>
      <c r="E82" t="s">
        <v>98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99</v>
      </c>
      <c r="L82" t="s">
        <v>112</v>
      </c>
      <c r="M82">
        <v>1321.58655047</v>
      </c>
      <c r="N82">
        <v>0</v>
      </c>
      <c r="O82" t="s">
        <v>88</v>
      </c>
      <c r="P82" s="44">
        <v>44330.104736770831</v>
      </c>
      <c r="Q82">
        <v>5144593</v>
      </c>
      <c r="R82" t="s">
        <v>83</v>
      </c>
      <c r="S82">
        <v>34.893239119999997</v>
      </c>
      <c r="W82"/>
      <c r="X82">
        <v>0</v>
      </c>
      <c r="AC82" t="s">
        <v>93</v>
      </c>
      <c r="AD82" s="44">
        <v>42887</v>
      </c>
    </row>
    <row r="83" spans="1:30" x14ac:dyDescent="0.25">
      <c r="A83">
        <v>560957</v>
      </c>
      <c r="B83" t="s">
        <v>152</v>
      </c>
      <c r="C83">
        <v>2017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1321.58655047</v>
      </c>
      <c r="N83">
        <v>0</v>
      </c>
      <c r="O83" t="s">
        <v>88</v>
      </c>
      <c r="P83" s="44">
        <v>44330.104736770831</v>
      </c>
      <c r="Q83">
        <v>5144592</v>
      </c>
      <c r="R83" t="s">
        <v>91</v>
      </c>
      <c r="S83">
        <v>1338.8563325</v>
      </c>
      <c r="W83"/>
      <c r="X83">
        <v>0</v>
      </c>
      <c r="AC83" t="s">
        <v>93</v>
      </c>
      <c r="AD83" s="44">
        <v>42887</v>
      </c>
    </row>
    <row r="84" spans="1:30" x14ac:dyDescent="0.25">
      <c r="A84">
        <v>560915</v>
      </c>
      <c r="B84" t="s">
        <v>152</v>
      </c>
      <c r="C84">
        <v>2017</v>
      </c>
      <c r="D84">
        <v>6</v>
      </c>
      <c r="E84" t="s">
        <v>94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95</v>
      </c>
      <c r="L84" t="s">
        <v>112</v>
      </c>
      <c r="M84">
        <v>2370.0725542700002</v>
      </c>
      <c r="N84">
        <v>0</v>
      </c>
      <c r="O84" t="s">
        <v>88</v>
      </c>
      <c r="P84" s="44">
        <v>44330.104735567133</v>
      </c>
      <c r="Q84">
        <v>5144508</v>
      </c>
      <c r="R84" t="s">
        <v>91</v>
      </c>
      <c r="S84">
        <v>2428.3895617399999</v>
      </c>
      <c r="W84"/>
      <c r="X84">
        <v>0</v>
      </c>
      <c r="AC84" t="s">
        <v>93</v>
      </c>
      <c r="AD84" s="44">
        <v>42887</v>
      </c>
    </row>
    <row r="85" spans="1:30" x14ac:dyDescent="0.25">
      <c r="A85">
        <v>560936</v>
      </c>
      <c r="B85" t="s">
        <v>152</v>
      </c>
      <c r="C85">
        <v>2017</v>
      </c>
      <c r="D85">
        <v>6</v>
      </c>
      <c r="E85" t="s">
        <v>96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97</v>
      </c>
      <c r="L85" t="s">
        <v>112</v>
      </c>
      <c r="M85">
        <v>850.28490937000004</v>
      </c>
      <c r="N85">
        <v>0</v>
      </c>
      <c r="O85" t="s">
        <v>88</v>
      </c>
      <c r="P85" s="44">
        <v>44330.104736226851</v>
      </c>
      <c r="Q85">
        <v>5144550</v>
      </c>
      <c r="R85" t="s">
        <v>91</v>
      </c>
      <c r="S85">
        <v>861.04243684999994</v>
      </c>
      <c r="W85"/>
      <c r="X85">
        <v>0</v>
      </c>
      <c r="AC85" t="s">
        <v>93</v>
      </c>
      <c r="AD85" s="44">
        <v>42887</v>
      </c>
    </row>
    <row r="86" spans="1:30" x14ac:dyDescent="0.25">
      <c r="A86">
        <v>570927</v>
      </c>
      <c r="B86" t="s">
        <v>151</v>
      </c>
      <c r="C86">
        <v>2017</v>
      </c>
      <c r="D86">
        <v>7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1241.0892522700001</v>
      </c>
      <c r="N86">
        <v>0</v>
      </c>
      <c r="O86" t="s">
        <v>88</v>
      </c>
      <c r="P86" s="44">
        <v>44330.105698263891</v>
      </c>
      <c r="Q86">
        <v>5229297</v>
      </c>
      <c r="R86" t="s">
        <v>83</v>
      </c>
      <c r="S86">
        <v>32.767906140000001</v>
      </c>
      <c r="W86"/>
      <c r="X86">
        <v>0</v>
      </c>
      <c r="AC86" t="s">
        <v>93</v>
      </c>
      <c r="AD86" s="44">
        <v>42917</v>
      </c>
    </row>
    <row r="87" spans="1:30" x14ac:dyDescent="0.25">
      <c r="A87">
        <v>570885</v>
      </c>
      <c r="B87" t="s">
        <v>151</v>
      </c>
      <c r="C87">
        <v>2017</v>
      </c>
      <c r="D87">
        <v>7</v>
      </c>
      <c r="E87" t="s">
        <v>94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95</v>
      </c>
      <c r="L87" t="s">
        <v>112</v>
      </c>
      <c r="M87">
        <v>2146.3813947499998</v>
      </c>
      <c r="N87">
        <v>0</v>
      </c>
      <c r="O87" t="s">
        <v>88</v>
      </c>
      <c r="P87" s="44">
        <v>44330.105697106483</v>
      </c>
      <c r="Q87">
        <v>5229213</v>
      </c>
      <c r="R87" t="s">
        <v>83</v>
      </c>
      <c r="S87">
        <v>31.90471668</v>
      </c>
      <c r="W87"/>
      <c r="X87">
        <v>0</v>
      </c>
      <c r="AC87" t="s">
        <v>93</v>
      </c>
      <c r="AD87" s="44">
        <v>42917</v>
      </c>
    </row>
    <row r="88" spans="1:30" x14ac:dyDescent="0.25">
      <c r="A88">
        <v>570906</v>
      </c>
      <c r="B88" t="s">
        <v>151</v>
      </c>
      <c r="C88">
        <v>2017</v>
      </c>
      <c r="D88">
        <v>7</v>
      </c>
      <c r="E88" t="s">
        <v>96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97</v>
      </c>
      <c r="L88" t="s">
        <v>112</v>
      </c>
      <c r="M88">
        <v>331.86459323999998</v>
      </c>
      <c r="N88">
        <v>0</v>
      </c>
      <c r="O88" t="s">
        <v>88</v>
      </c>
      <c r="P88" s="44">
        <v>44330.105697719897</v>
      </c>
      <c r="Q88">
        <v>5229255</v>
      </c>
      <c r="R88" t="s">
        <v>83</v>
      </c>
      <c r="S88">
        <v>8.9000528499999998</v>
      </c>
      <c r="W88"/>
      <c r="X88">
        <v>0</v>
      </c>
      <c r="AC88" t="s">
        <v>93</v>
      </c>
      <c r="AD88" s="44">
        <v>42917</v>
      </c>
    </row>
    <row r="89" spans="1:30" x14ac:dyDescent="0.25">
      <c r="A89">
        <v>570885</v>
      </c>
      <c r="B89" t="s">
        <v>151</v>
      </c>
      <c r="C89">
        <v>2017</v>
      </c>
      <c r="D89">
        <v>7</v>
      </c>
      <c r="E89" t="s">
        <v>94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95</v>
      </c>
      <c r="L89" t="s">
        <v>112</v>
      </c>
      <c r="M89">
        <v>2146.3813947499998</v>
      </c>
      <c r="N89">
        <v>0</v>
      </c>
      <c r="O89" t="s">
        <v>88</v>
      </c>
      <c r="P89" s="44">
        <v>44330.105697106483</v>
      </c>
      <c r="Q89">
        <v>5229212</v>
      </c>
      <c r="R89" t="s">
        <v>91</v>
      </c>
      <c r="S89">
        <v>2199.1943517200002</v>
      </c>
      <c r="W89"/>
      <c r="X89">
        <v>0</v>
      </c>
      <c r="AC89" t="s">
        <v>93</v>
      </c>
      <c r="AD89" s="44">
        <v>42917</v>
      </c>
    </row>
    <row r="90" spans="1:30" x14ac:dyDescent="0.25">
      <c r="A90">
        <v>570927</v>
      </c>
      <c r="B90" t="s">
        <v>151</v>
      </c>
      <c r="C90">
        <v>2017</v>
      </c>
      <c r="D90">
        <v>7</v>
      </c>
      <c r="E90" t="s">
        <v>98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99</v>
      </c>
      <c r="L90" t="s">
        <v>112</v>
      </c>
      <c r="M90">
        <v>1241.0892522700001</v>
      </c>
      <c r="N90">
        <v>0</v>
      </c>
      <c r="O90" t="s">
        <v>88</v>
      </c>
      <c r="P90" s="44">
        <v>44330.105698263891</v>
      </c>
      <c r="Q90">
        <v>5229296</v>
      </c>
      <c r="R90" t="s">
        <v>91</v>
      </c>
      <c r="S90">
        <v>1257.30713891</v>
      </c>
      <c r="W90"/>
      <c r="X90">
        <v>0</v>
      </c>
      <c r="AC90" t="s">
        <v>93</v>
      </c>
      <c r="AD90" s="44">
        <v>42917</v>
      </c>
    </row>
    <row r="91" spans="1:30" x14ac:dyDescent="0.25">
      <c r="A91">
        <v>570906</v>
      </c>
      <c r="B91" t="s">
        <v>151</v>
      </c>
      <c r="C91">
        <v>2017</v>
      </c>
      <c r="D91">
        <v>7</v>
      </c>
      <c r="E91" t="s">
        <v>96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97</v>
      </c>
      <c r="L91" t="s">
        <v>112</v>
      </c>
      <c r="M91">
        <v>331.86459323999998</v>
      </c>
      <c r="N91">
        <v>0</v>
      </c>
      <c r="O91" t="s">
        <v>88</v>
      </c>
      <c r="P91" s="44">
        <v>44330.105697719897</v>
      </c>
      <c r="Q91">
        <v>5229254</v>
      </c>
      <c r="R91" t="s">
        <v>91</v>
      </c>
      <c r="S91">
        <v>336.06323587999998</v>
      </c>
      <c r="W91"/>
      <c r="X91">
        <v>0</v>
      </c>
      <c r="AC91" t="s">
        <v>93</v>
      </c>
      <c r="AD91" s="44">
        <v>42917</v>
      </c>
    </row>
    <row r="92" spans="1:30" x14ac:dyDescent="0.25">
      <c r="A92">
        <v>580771</v>
      </c>
      <c r="B92" t="s">
        <v>146</v>
      </c>
      <c r="C92">
        <v>2017</v>
      </c>
      <c r="D92">
        <v>8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1825.75210223</v>
      </c>
      <c r="N92">
        <v>0</v>
      </c>
      <c r="O92" t="s">
        <v>88</v>
      </c>
      <c r="P92" s="44">
        <v>44330.106720752323</v>
      </c>
      <c r="Q92">
        <v>5313253</v>
      </c>
      <c r="R92" t="s">
        <v>83</v>
      </c>
      <c r="S92">
        <v>27.138747890000001</v>
      </c>
      <c r="W92"/>
      <c r="X92">
        <v>0</v>
      </c>
      <c r="AC92" t="s">
        <v>93</v>
      </c>
      <c r="AD92" s="44">
        <v>42948</v>
      </c>
    </row>
    <row r="93" spans="1:30" x14ac:dyDescent="0.25">
      <c r="A93">
        <v>580793</v>
      </c>
      <c r="B93" t="s">
        <v>146</v>
      </c>
      <c r="C93">
        <v>2017</v>
      </c>
      <c r="D93">
        <v>8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317.95009379999999</v>
      </c>
      <c r="N93">
        <v>0</v>
      </c>
      <c r="O93" t="s">
        <v>88</v>
      </c>
      <c r="P93" s="44">
        <v>44330.106721331023</v>
      </c>
      <c r="Q93">
        <v>5313297</v>
      </c>
      <c r="R93" t="s">
        <v>83</v>
      </c>
      <c r="S93">
        <v>8.5268892699999999</v>
      </c>
      <c r="W93"/>
      <c r="X93">
        <v>0</v>
      </c>
      <c r="AC93" t="s">
        <v>93</v>
      </c>
      <c r="AD93" s="44">
        <v>42948</v>
      </c>
    </row>
    <row r="94" spans="1:30" x14ac:dyDescent="0.25">
      <c r="A94">
        <v>580815</v>
      </c>
      <c r="B94" t="s">
        <v>146</v>
      </c>
      <c r="C94">
        <v>2017</v>
      </c>
      <c r="D94">
        <v>8</v>
      </c>
      <c r="E94" t="s">
        <v>98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99</v>
      </c>
      <c r="L94" t="s">
        <v>112</v>
      </c>
      <c r="M94">
        <v>1252.6346749899999</v>
      </c>
      <c r="N94">
        <v>0</v>
      </c>
      <c r="O94" t="s">
        <v>88</v>
      </c>
      <c r="P94" s="44">
        <v>44330.106721909717</v>
      </c>
      <c r="Q94">
        <v>5313341</v>
      </c>
      <c r="R94" t="s">
        <v>83</v>
      </c>
      <c r="S94">
        <v>33.072734609999998</v>
      </c>
      <c r="W94"/>
      <c r="X94">
        <v>0</v>
      </c>
      <c r="AC94" t="s">
        <v>93</v>
      </c>
      <c r="AD94" s="44">
        <v>42948</v>
      </c>
    </row>
    <row r="95" spans="1:30" x14ac:dyDescent="0.25">
      <c r="A95">
        <v>580771</v>
      </c>
      <c r="B95" t="s">
        <v>146</v>
      </c>
      <c r="C95">
        <v>2017</v>
      </c>
      <c r="D95">
        <v>8</v>
      </c>
      <c r="E95" t="s">
        <v>94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95</v>
      </c>
      <c r="L95" t="s">
        <v>112</v>
      </c>
      <c r="M95">
        <v>1825.75210223</v>
      </c>
      <c r="N95">
        <v>0</v>
      </c>
      <c r="O95" t="s">
        <v>88</v>
      </c>
      <c r="P95" s="44">
        <v>44330.106720752323</v>
      </c>
      <c r="Q95">
        <v>5313252</v>
      </c>
      <c r="R95" t="s">
        <v>91</v>
      </c>
      <c r="S95">
        <v>1870.67578981</v>
      </c>
      <c r="W95"/>
      <c r="X95">
        <v>0</v>
      </c>
      <c r="AC95" t="s">
        <v>93</v>
      </c>
      <c r="AD95" s="44">
        <v>42948</v>
      </c>
    </row>
    <row r="96" spans="1:30" x14ac:dyDescent="0.25">
      <c r="A96">
        <v>580793</v>
      </c>
      <c r="B96" t="s">
        <v>146</v>
      </c>
      <c r="C96">
        <v>2017</v>
      </c>
      <c r="D96">
        <v>8</v>
      </c>
      <c r="E96" t="s">
        <v>96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97</v>
      </c>
      <c r="L96" t="s">
        <v>112</v>
      </c>
      <c r="M96">
        <v>317.95009379999999</v>
      </c>
      <c r="N96">
        <v>0</v>
      </c>
      <c r="O96" t="s">
        <v>88</v>
      </c>
      <c r="P96" s="44">
        <v>44330.106721331023</v>
      </c>
      <c r="Q96">
        <v>5313296</v>
      </c>
      <c r="R96" t="s">
        <v>91</v>
      </c>
      <c r="S96">
        <v>321.97269474000001</v>
      </c>
      <c r="W96"/>
      <c r="X96">
        <v>0</v>
      </c>
      <c r="AC96" t="s">
        <v>93</v>
      </c>
      <c r="AD96" s="44">
        <v>42948</v>
      </c>
    </row>
    <row r="97" spans="1:30" x14ac:dyDescent="0.25">
      <c r="A97">
        <v>580815</v>
      </c>
      <c r="B97" t="s">
        <v>146</v>
      </c>
      <c r="C97">
        <v>2017</v>
      </c>
      <c r="D97">
        <v>8</v>
      </c>
      <c r="E97" t="s">
        <v>98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99</v>
      </c>
      <c r="L97" t="s">
        <v>112</v>
      </c>
      <c r="M97">
        <v>1252.6346749899999</v>
      </c>
      <c r="N97">
        <v>0</v>
      </c>
      <c r="O97" t="s">
        <v>88</v>
      </c>
      <c r="P97" s="44">
        <v>44330.106721909717</v>
      </c>
      <c r="Q97">
        <v>5313340</v>
      </c>
      <c r="R97" t="s">
        <v>91</v>
      </c>
      <c r="S97">
        <v>1269.0034310000001</v>
      </c>
      <c r="W97"/>
      <c r="X97">
        <v>0</v>
      </c>
      <c r="AC97" t="s">
        <v>93</v>
      </c>
      <c r="AD97" s="44">
        <v>42948</v>
      </c>
    </row>
    <row r="98" spans="1:30" x14ac:dyDescent="0.25">
      <c r="A98">
        <v>2</v>
      </c>
      <c r="B98" t="s">
        <v>130</v>
      </c>
      <c r="C98">
        <v>2017</v>
      </c>
      <c r="D98">
        <v>9</v>
      </c>
      <c r="E98" t="s">
        <v>94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95</v>
      </c>
      <c r="L98" t="s">
        <v>112</v>
      </c>
      <c r="M98">
        <v>1525.35760676</v>
      </c>
      <c r="N98">
        <v>0</v>
      </c>
      <c r="O98" t="s">
        <v>88</v>
      </c>
      <c r="P98" s="44">
        <v>44269.837765891207</v>
      </c>
      <c r="Q98">
        <v>4</v>
      </c>
      <c r="R98" t="s">
        <v>83</v>
      </c>
      <c r="S98">
        <v>22.673557639999999</v>
      </c>
      <c r="W98"/>
      <c r="X98">
        <v>0</v>
      </c>
      <c r="AC98" t="s">
        <v>93</v>
      </c>
      <c r="AD98" s="44">
        <v>42979</v>
      </c>
    </row>
    <row r="99" spans="1:30" x14ac:dyDescent="0.25">
      <c r="A99">
        <v>23</v>
      </c>
      <c r="B99" t="s">
        <v>130</v>
      </c>
      <c r="C99">
        <v>2017</v>
      </c>
      <c r="D99">
        <v>9</v>
      </c>
      <c r="E99" t="s">
        <v>96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97</v>
      </c>
      <c r="L99" t="s">
        <v>112</v>
      </c>
      <c r="M99">
        <v>317.51694221999998</v>
      </c>
      <c r="N99">
        <v>0</v>
      </c>
      <c r="O99" t="s">
        <v>88</v>
      </c>
      <c r="P99" s="44">
        <v>44269.837767013887</v>
      </c>
      <c r="Q99">
        <v>46</v>
      </c>
      <c r="R99" t="s">
        <v>83</v>
      </c>
      <c r="S99">
        <v>8.5152728700000004</v>
      </c>
      <c r="W99"/>
      <c r="X99">
        <v>0</v>
      </c>
      <c r="AC99" t="s">
        <v>93</v>
      </c>
      <c r="AD99" s="44">
        <v>42979</v>
      </c>
    </row>
    <row r="100" spans="1:30" x14ac:dyDescent="0.25">
      <c r="A100">
        <v>44</v>
      </c>
      <c r="B100" t="s">
        <v>130</v>
      </c>
      <c r="C100">
        <v>2017</v>
      </c>
      <c r="D100">
        <v>9</v>
      </c>
      <c r="E100" t="s">
        <v>98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99</v>
      </c>
      <c r="L100" t="s">
        <v>112</v>
      </c>
      <c r="M100">
        <v>1160.3236436</v>
      </c>
      <c r="N100">
        <v>0</v>
      </c>
      <c r="O100" t="s">
        <v>88</v>
      </c>
      <c r="P100" s="44">
        <v>44269.837768090278</v>
      </c>
      <c r="Q100">
        <v>88</v>
      </c>
      <c r="R100" t="s">
        <v>83</v>
      </c>
      <c r="S100">
        <v>30.63548909</v>
      </c>
      <c r="W100"/>
      <c r="X100">
        <v>0</v>
      </c>
      <c r="AC100" t="s">
        <v>93</v>
      </c>
      <c r="AD100" s="44">
        <v>42979</v>
      </c>
    </row>
    <row r="101" spans="1:30" x14ac:dyDescent="0.25">
      <c r="A101">
        <v>44</v>
      </c>
      <c r="B101" t="s">
        <v>130</v>
      </c>
      <c r="C101">
        <v>2017</v>
      </c>
      <c r="D101">
        <v>9</v>
      </c>
      <c r="E101" t="s">
        <v>98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99</v>
      </c>
      <c r="L101" t="s">
        <v>112</v>
      </c>
      <c r="M101">
        <v>1160.3236436</v>
      </c>
      <c r="N101">
        <v>0</v>
      </c>
      <c r="O101" t="s">
        <v>88</v>
      </c>
      <c r="P101" s="44">
        <v>44269.837768090278</v>
      </c>
      <c r="Q101">
        <v>87</v>
      </c>
      <c r="R101" t="s">
        <v>91</v>
      </c>
      <c r="S101">
        <v>1175.4861287199999</v>
      </c>
      <c r="W101"/>
      <c r="X101">
        <v>0</v>
      </c>
      <c r="AC101" t="s">
        <v>93</v>
      </c>
      <c r="AD101" s="44">
        <v>42979</v>
      </c>
    </row>
    <row r="102" spans="1:30" x14ac:dyDescent="0.25">
      <c r="A102">
        <v>23</v>
      </c>
      <c r="B102" t="s">
        <v>130</v>
      </c>
      <c r="C102">
        <v>2017</v>
      </c>
      <c r="D102">
        <v>9</v>
      </c>
      <c r="E102" t="s">
        <v>96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97</v>
      </c>
      <c r="L102" t="s">
        <v>112</v>
      </c>
      <c r="M102">
        <v>317.51694221999998</v>
      </c>
      <c r="N102">
        <v>0</v>
      </c>
      <c r="O102" t="s">
        <v>88</v>
      </c>
      <c r="P102" s="44">
        <v>44269.837767013887</v>
      </c>
      <c r="Q102">
        <v>45</v>
      </c>
      <c r="R102" t="s">
        <v>91</v>
      </c>
      <c r="S102">
        <v>321.53406305999999</v>
      </c>
      <c r="W102"/>
      <c r="X102">
        <v>0</v>
      </c>
      <c r="AC102" t="s">
        <v>93</v>
      </c>
      <c r="AD102" s="44">
        <v>42979</v>
      </c>
    </row>
    <row r="103" spans="1:30" x14ac:dyDescent="0.25">
      <c r="A103">
        <v>2</v>
      </c>
      <c r="B103" t="s">
        <v>130</v>
      </c>
      <c r="C103">
        <v>2017</v>
      </c>
      <c r="D103">
        <v>9</v>
      </c>
      <c r="E103" t="s">
        <v>94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95</v>
      </c>
      <c r="L103" t="s">
        <v>112</v>
      </c>
      <c r="M103">
        <v>1525.35760676</v>
      </c>
      <c r="N103">
        <v>0</v>
      </c>
      <c r="O103" t="s">
        <v>88</v>
      </c>
      <c r="P103" s="44">
        <v>44269.837765891207</v>
      </c>
      <c r="Q103">
        <v>3</v>
      </c>
      <c r="R103" t="s">
        <v>91</v>
      </c>
      <c r="S103">
        <v>1562.8899138500001</v>
      </c>
      <c r="W103"/>
      <c r="X103">
        <v>0</v>
      </c>
      <c r="AC103" t="s">
        <v>93</v>
      </c>
      <c r="AD103" s="44">
        <v>42979</v>
      </c>
    </row>
    <row r="104" spans="1:30" x14ac:dyDescent="0.25">
      <c r="A104">
        <v>9800</v>
      </c>
      <c r="B104" t="s">
        <v>136</v>
      </c>
      <c r="C104">
        <v>2017</v>
      </c>
      <c r="D104">
        <v>10</v>
      </c>
      <c r="E104" t="s">
        <v>94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95</v>
      </c>
      <c r="L104" t="s">
        <v>112</v>
      </c>
      <c r="M104">
        <v>1690.9131185399999</v>
      </c>
      <c r="N104">
        <v>0</v>
      </c>
      <c r="O104" t="s">
        <v>88</v>
      </c>
      <c r="P104" s="44">
        <v>44269.83878622685</v>
      </c>
      <c r="Q104">
        <v>83885</v>
      </c>
      <c r="R104" t="s">
        <v>83</v>
      </c>
      <c r="S104">
        <v>25.134444469999998</v>
      </c>
      <c r="W104"/>
      <c r="X104">
        <v>0</v>
      </c>
      <c r="AC104" t="s">
        <v>93</v>
      </c>
      <c r="AD104" s="44">
        <v>43009</v>
      </c>
    </row>
    <row r="105" spans="1:30" x14ac:dyDescent="0.25">
      <c r="A105">
        <v>9821</v>
      </c>
      <c r="B105" t="s">
        <v>136</v>
      </c>
      <c r="C105">
        <v>2017</v>
      </c>
      <c r="D105">
        <v>10</v>
      </c>
      <c r="E105" t="s">
        <v>96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97</v>
      </c>
      <c r="L105" t="s">
        <v>112</v>
      </c>
      <c r="M105">
        <v>345.79406583999997</v>
      </c>
      <c r="N105">
        <v>0</v>
      </c>
      <c r="O105" t="s">
        <v>88</v>
      </c>
      <c r="P105" s="44">
        <v>44269.83878726852</v>
      </c>
      <c r="Q105">
        <v>83927</v>
      </c>
      <c r="R105" t="s">
        <v>83</v>
      </c>
      <c r="S105">
        <v>9.27361799</v>
      </c>
      <c r="W105"/>
      <c r="X105">
        <v>0</v>
      </c>
      <c r="AC105" t="s">
        <v>93</v>
      </c>
      <c r="AD105" s="44">
        <v>43009</v>
      </c>
    </row>
    <row r="106" spans="1:30" x14ac:dyDescent="0.25">
      <c r="A106">
        <v>9842</v>
      </c>
      <c r="B106" t="s">
        <v>136</v>
      </c>
      <c r="C106">
        <v>2017</v>
      </c>
      <c r="D106">
        <v>10</v>
      </c>
      <c r="E106" t="s">
        <v>98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99</v>
      </c>
      <c r="L106" t="s">
        <v>112</v>
      </c>
      <c r="M106">
        <v>1325.6322066800001</v>
      </c>
      <c r="N106">
        <v>0</v>
      </c>
      <c r="O106" t="s">
        <v>88</v>
      </c>
      <c r="P106" s="44">
        <v>44269.838788229157</v>
      </c>
      <c r="Q106">
        <v>83969</v>
      </c>
      <c r="R106" t="s">
        <v>83</v>
      </c>
      <c r="S106">
        <v>35.000054710000001</v>
      </c>
      <c r="W106"/>
      <c r="X106">
        <v>0</v>
      </c>
      <c r="AC106" t="s">
        <v>93</v>
      </c>
      <c r="AD106" s="44">
        <v>43009</v>
      </c>
    </row>
    <row r="107" spans="1:30" x14ac:dyDescent="0.25">
      <c r="A107">
        <v>9821</v>
      </c>
      <c r="B107" t="s">
        <v>136</v>
      </c>
      <c r="C107">
        <v>2017</v>
      </c>
      <c r="D107">
        <v>10</v>
      </c>
      <c r="E107" t="s">
        <v>96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97</v>
      </c>
      <c r="L107" t="s">
        <v>112</v>
      </c>
      <c r="M107">
        <v>345.79406583999997</v>
      </c>
      <c r="N107">
        <v>0</v>
      </c>
      <c r="O107" t="s">
        <v>88</v>
      </c>
      <c r="P107" s="44">
        <v>44269.83878726852</v>
      </c>
      <c r="Q107">
        <v>83926</v>
      </c>
      <c r="R107" t="s">
        <v>91</v>
      </c>
      <c r="S107">
        <v>350.16893963000001</v>
      </c>
      <c r="W107"/>
      <c r="X107">
        <v>0</v>
      </c>
      <c r="AC107" t="s">
        <v>93</v>
      </c>
      <c r="AD107" s="44">
        <v>43009</v>
      </c>
    </row>
    <row r="108" spans="1:30" x14ac:dyDescent="0.25">
      <c r="A108">
        <v>9842</v>
      </c>
      <c r="B108" t="s">
        <v>136</v>
      </c>
      <c r="C108">
        <v>2017</v>
      </c>
      <c r="D108">
        <v>10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1325.6322066800001</v>
      </c>
      <c r="N108">
        <v>0</v>
      </c>
      <c r="O108" t="s">
        <v>88</v>
      </c>
      <c r="P108" s="44">
        <v>44269.838788229157</v>
      </c>
      <c r="Q108">
        <v>83968</v>
      </c>
      <c r="R108" t="s">
        <v>91</v>
      </c>
      <c r="S108">
        <v>1342.95485517</v>
      </c>
      <c r="W108"/>
      <c r="X108">
        <v>0</v>
      </c>
      <c r="AC108" t="s">
        <v>93</v>
      </c>
      <c r="AD108" s="44">
        <v>43009</v>
      </c>
    </row>
    <row r="109" spans="1:30" x14ac:dyDescent="0.25">
      <c r="A109">
        <v>9800</v>
      </c>
      <c r="B109" t="s">
        <v>136</v>
      </c>
      <c r="C109">
        <v>2017</v>
      </c>
      <c r="D109">
        <v>10</v>
      </c>
      <c r="E109" t="s">
        <v>94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95</v>
      </c>
      <c r="L109" t="s">
        <v>112</v>
      </c>
      <c r="M109">
        <v>1690.9131185399999</v>
      </c>
      <c r="N109">
        <v>0</v>
      </c>
      <c r="O109" t="s">
        <v>88</v>
      </c>
      <c r="P109" s="44">
        <v>44269.83878622685</v>
      </c>
      <c r="Q109">
        <v>83884</v>
      </c>
      <c r="R109" t="s">
        <v>91</v>
      </c>
      <c r="S109">
        <v>1732.51901486</v>
      </c>
      <c r="W109"/>
      <c r="X109">
        <v>0</v>
      </c>
      <c r="AC109" t="s">
        <v>93</v>
      </c>
      <c r="AD109" s="44">
        <v>43009</v>
      </c>
    </row>
    <row r="110" spans="1:30" x14ac:dyDescent="0.25">
      <c r="A110">
        <v>446664</v>
      </c>
      <c r="B110" t="s">
        <v>137</v>
      </c>
      <c r="C110">
        <v>2017</v>
      </c>
      <c r="D110">
        <v>11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2041.4187845900001</v>
      </c>
      <c r="N110">
        <v>0</v>
      </c>
      <c r="O110" t="s">
        <v>88</v>
      </c>
      <c r="P110" s="44">
        <v>44284.5259379977</v>
      </c>
      <c r="Q110">
        <v>4237044</v>
      </c>
      <c r="R110" t="s">
        <v>83</v>
      </c>
      <c r="S110">
        <v>30.344508250000001</v>
      </c>
      <c r="W110"/>
      <c r="X110">
        <v>0</v>
      </c>
      <c r="AC110" t="s">
        <v>93</v>
      </c>
      <c r="AD110" s="44">
        <v>43040</v>
      </c>
    </row>
    <row r="111" spans="1:30" x14ac:dyDescent="0.25">
      <c r="A111">
        <v>446686</v>
      </c>
      <c r="B111" t="s">
        <v>137</v>
      </c>
      <c r="C111">
        <v>2017</v>
      </c>
      <c r="D111">
        <v>11</v>
      </c>
      <c r="E111" t="s">
        <v>96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97</v>
      </c>
      <c r="L111" t="s">
        <v>112</v>
      </c>
      <c r="M111">
        <v>547.58038690000001</v>
      </c>
      <c r="N111">
        <v>0</v>
      </c>
      <c r="O111" t="s">
        <v>88</v>
      </c>
      <c r="P111" s="44">
        <v>44284.525938576393</v>
      </c>
      <c r="Q111">
        <v>4237088</v>
      </c>
      <c r="R111" t="s">
        <v>83</v>
      </c>
      <c r="S111">
        <v>14.68518933</v>
      </c>
      <c r="W111"/>
      <c r="X111">
        <v>0</v>
      </c>
      <c r="AC111" t="s">
        <v>93</v>
      </c>
      <c r="AD111" s="44">
        <v>43040</v>
      </c>
    </row>
    <row r="112" spans="1:30" x14ac:dyDescent="0.25">
      <c r="A112">
        <v>446708</v>
      </c>
      <c r="B112" t="s">
        <v>137</v>
      </c>
      <c r="C112">
        <v>2017</v>
      </c>
      <c r="D112">
        <v>11</v>
      </c>
      <c r="E112" t="s">
        <v>98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99</v>
      </c>
      <c r="L112" t="s">
        <v>112</v>
      </c>
      <c r="M112">
        <v>1364.6638703399999</v>
      </c>
      <c r="N112">
        <v>0</v>
      </c>
      <c r="O112" t="s">
        <v>88</v>
      </c>
      <c r="P112" s="44">
        <v>44284.525939120373</v>
      </c>
      <c r="Q112">
        <v>4237132</v>
      </c>
      <c r="R112" t="s">
        <v>83</v>
      </c>
      <c r="S112">
        <v>36.030589689999999</v>
      </c>
      <c r="W112"/>
      <c r="X112">
        <v>0</v>
      </c>
      <c r="AC112" t="s">
        <v>93</v>
      </c>
      <c r="AD112" s="44">
        <v>43040</v>
      </c>
    </row>
    <row r="113" spans="1:30" x14ac:dyDescent="0.25">
      <c r="A113">
        <v>446686</v>
      </c>
      <c r="B113" t="s">
        <v>137</v>
      </c>
      <c r="C113">
        <v>2017</v>
      </c>
      <c r="D113">
        <v>11</v>
      </c>
      <c r="E113" t="s">
        <v>96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97</v>
      </c>
      <c r="L113" t="s">
        <v>112</v>
      </c>
      <c r="M113">
        <v>547.58038690000001</v>
      </c>
      <c r="N113">
        <v>0</v>
      </c>
      <c r="O113" t="s">
        <v>88</v>
      </c>
      <c r="P113" s="44">
        <v>44284.525938576393</v>
      </c>
      <c r="Q113">
        <v>4237087</v>
      </c>
      <c r="R113" t="s">
        <v>91</v>
      </c>
      <c r="S113">
        <v>554.50819544000001</v>
      </c>
      <c r="W113"/>
      <c r="X113">
        <v>0</v>
      </c>
      <c r="AC113" t="s">
        <v>93</v>
      </c>
      <c r="AD113" s="44">
        <v>43040</v>
      </c>
    </row>
    <row r="114" spans="1:30" x14ac:dyDescent="0.25">
      <c r="A114">
        <v>446664</v>
      </c>
      <c r="B114" t="s">
        <v>137</v>
      </c>
      <c r="C114">
        <v>2017</v>
      </c>
      <c r="D114">
        <v>11</v>
      </c>
      <c r="E114" t="s">
        <v>94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95</v>
      </c>
      <c r="L114" t="s">
        <v>112</v>
      </c>
      <c r="M114">
        <v>2041.4187845900001</v>
      </c>
      <c r="N114">
        <v>0</v>
      </c>
      <c r="O114" t="s">
        <v>88</v>
      </c>
      <c r="P114" s="44">
        <v>44284.5259379977</v>
      </c>
      <c r="Q114">
        <v>4237043</v>
      </c>
      <c r="R114" t="s">
        <v>91</v>
      </c>
      <c r="S114">
        <v>2091.6490757699999</v>
      </c>
      <c r="W114"/>
      <c r="X114">
        <v>0</v>
      </c>
      <c r="AC114" t="s">
        <v>93</v>
      </c>
      <c r="AD114" s="44">
        <v>43040</v>
      </c>
    </row>
    <row r="115" spans="1:30" x14ac:dyDescent="0.25">
      <c r="A115">
        <v>446708</v>
      </c>
      <c r="B115" t="s">
        <v>137</v>
      </c>
      <c r="C115">
        <v>2017</v>
      </c>
      <c r="D115">
        <v>11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1364.6638703399999</v>
      </c>
      <c r="N115">
        <v>0</v>
      </c>
      <c r="O115" t="s">
        <v>88</v>
      </c>
      <c r="P115" s="44">
        <v>44284.525939120373</v>
      </c>
      <c r="Q115">
        <v>4237131</v>
      </c>
      <c r="R115" t="s">
        <v>91</v>
      </c>
      <c r="S115">
        <v>1382.4965636100001</v>
      </c>
      <c r="W115"/>
      <c r="X115">
        <v>0</v>
      </c>
      <c r="AC115" t="s">
        <v>93</v>
      </c>
      <c r="AD115" s="44">
        <v>43040</v>
      </c>
    </row>
    <row r="116" spans="1:30" x14ac:dyDescent="0.25">
      <c r="A116">
        <v>456416</v>
      </c>
      <c r="B116" t="s">
        <v>147</v>
      </c>
      <c r="C116">
        <v>2017</v>
      </c>
      <c r="D116">
        <v>12</v>
      </c>
      <c r="E116" t="s">
        <v>94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95</v>
      </c>
      <c r="L116" t="s">
        <v>112</v>
      </c>
      <c r="M116">
        <v>1221.88235865</v>
      </c>
      <c r="N116">
        <v>0</v>
      </c>
      <c r="O116" t="s">
        <v>88</v>
      </c>
      <c r="P116" s="44">
        <v>44284.526843402768</v>
      </c>
      <c r="Q116">
        <v>4320917</v>
      </c>
      <c r="R116" t="s">
        <v>83</v>
      </c>
      <c r="S116">
        <v>18.16257379</v>
      </c>
      <c r="W116"/>
      <c r="X116">
        <v>0</v>
      </c>
      <c r="AC116" t="s">
        <v>93</v>
      </c>
      <c r="AD116" s="44">
        <v>43070</v>
      </c>
    </row>
    <row r="117" spans="1:30" x14ac:dyDescent="0.25">
      <c r="A117">
        <v>456438</v>
      </c>
      <c r="B117" t="s">
        <v>147</v>
      </c>
      <c r="C117">
        <v>2017</v>
      </c>
      <c r="D117">
        <v>12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326.92489831</v>
      </c>
      <c r="N117">
        <v>0</v>
      </c>
      <c r="O117" t="s">
        <v>88</v>
      </c>
      <c r="P117" s="44">
        <v>44284.5268440625</v>
      </c>
      <c r="Q117">
        <v>4320961</v>
      </c>
      <c r="R117" t="s">
        <v>83</v>
      </c>
      <c r="S117">
        <v>8.7675785000000008</v>
      </c>
      <c r="W117"/>
      <c r="X117">
        <v>0</v>
      </c>
      <c r="AC117" t="s">
        <v>93</v>
      </c>
      <c r="AD117" s="44">
        <v>43070</v>
      </c>
    </row>
    <row r="118" spans="1:30" x14ac:dyDescent="0.25">
      <c r="A118">
        <v>456460</v>
      </c>
      <c r="B118" t="s">
        <v>147</v>
      </c>
      <c r="C118">
        <v>2017</v>
      </c>
      <c r="D118">
        <v>12</v>
      </c>
      <c r="E118" t="s">
        <v>98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99</v>
      </c>
      <c r="L118" t="s">
        <v>112</v>
      </c>
      <c r="M118">
        <v>577.39533010000002</v>
      </c>
      <c r="N118">
        <v>0</v>
      </c>
      <c r="O118" t="s">
        <v>88</v>
      </c>
      <c r="P118" s="44">
        <v>44284.52684471065</v>
      </c>
      <c r="Q118">
        <v>4321005</v>
      </c>
      <c r="R118" t="s">
        <v>83</v>
      </c>
      <c r="S118">
        <v>15.244702139999999</v>
      </c>
      <c r="W118"/>
      <c r="X118">
        <v>0</v>
      </c>
      <c r="AC118" t="s">
        <v>93</v>
      </c>
      <c r="AD118" s="44">
        <v>43070</v>
      </c>
    </row>
    <row r="119" spans="1:30" x14ac:dyDescent="0.25">
      <c r="A119">
        <v>456438</v>
      </c>
      <c r="B119" t="s">
        <v>147</v>
      </c>
      <c r="C119">
        <v>2017</v>
      </c>
      <c r="D119">
        <v>12</v>
      </c>
      <c r="E119" t="s">
        <v>96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97</v>
      </c>
      <c r="L119" t="s">
        <v>112</v>
      </c>
      <c r="M119">
        <v>326.92489831</v>
      </c>
      <c r="N119">
        <v>0</v>
      </c>
      <c r="O119" t="s">
        <v>88</v>
      </c>
      <c r="P119" s="44">
        <v>44284.5268440625</v>
      </c>
      <c r="Q119">
        <v>4320960</v>
      </c>
      <c r="R119" t="s">
        <v>91</v>
      </c>
      <c r="S119">
        <v>331.06104555000002</v>
      </c>
      <c r="W119"/>
      <c r="X119">
        <v>0</v>
      </c>
      <c r="AC119" t="s">
        <v>93</v>
      </c>
      <c r="AD119" s="44">
        <v>43070</v>
      </c>
    </row>
    <row r="120" spans="1:30" x14ac:dyDescent="0.25">
      <c r="A120">
        <v>456460</v>
      </c>
      <c r="B120" t="s">
        <v>147</v>
      </c>
      <c r="C120">
        <v>2017</v>
      </c>
      <c r="D120">
        <v>12</v>
      </c>
      <c r="E120" t="s">
        <v>98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99</v>
      </c>
      <c r="L120" t="s">
        <v>112</v>
      </c>
      <c r="M120">
        <v>577.39533010000002</v>
      </c>
      <c r="N120">
        <v>0</v>
      </c>
      <c r="O120" t="s">
        <v>88</v>
      </c>
      <c r="P120" s="44">
        <v>44284.52684471065</v>
      </c>
      <c r="Q120">
        <v>4321004</v>
      </c>
      <c r="R120" t="s">
        <v>91</v>
      </c>
      <c r="S120">
        <v>584.94042162999995</v>
      </c>
      <c r="W120"/>
      <c r="X120">
        <v>0</v>
      </c>
      <c r="AC120" t="s">
        <v>93</v>
      </c>
      <c r="AD120" s="44">
        <v>43070</v>
      </c>
    </row>
    <row r="121" spans="1:30" x14ac:dyDescent="0.25">
      <c r="A121">
        <v>456416</v>
      </c>
      <c r="B121" t="s">
        <v>147</v>
      </c>
      <c r="C121">
        <v>2017</v>
      </c>
      <c r="D121">
        <v>12</v>
      </c>
      <c r="E121" t="s">
        <v>94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95</v>
      </c>
      <c r="L121" t="s">
        <v>112</v>
      </c>
      <c r="M121">
        <v>1221.88235865</v>
      </c>
      <c r="N121">
        <v>0</v>
      </c>
      <c r="O121" t="s">
        <v>88</v>
      </c>
      <c r="P121" s="44">
        <v>44284.526843402768</v>
      </c>
      <c r="Q121">
        <v>4320916</v>
      </c>
      <c r="R121" t="s">
        <v>91</v>
      </c>
      <c r="S121">
        <v>1251.9474815599999</v>
      </c>
      <c r="W121"/>
      <c r="X121">
        <v>0</v>
      </c>
      <c r="AC121" t="s">
        <v>93</v>
      </c>
      <c r="AD121" s="44">
        <v>43070</v>
      </c>
    </row>
    <row r="122" spans="1:30" x14ac:dyDescent="0.25">
      <c r="A122">
        <v>38591</v>
      </c>
      <c r="B122" t="s">
        <v>128</v>
      </c>
      <c r="C122">
        <v>2018</v>
      </c>
      <c r="D122">
        <v>1</v>
      </c>
      <c r="E122" t="s">
        <v>98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99</v>
      </c>
      <c r="L122" t="s">
        <v>112</v>
      </c>
      <c r="M122">
        <v>1063.1400695499999</v>
      </c>
      <c r="N122">
        <v>0</v>
      </c>
      <c r="O122" t="s">
        <v>88</v>
      </c>
      <c r="P122" s="44">
        <v>44269.841714548609</v>
      </c>
      <c r="Q122">
        <v>327830</v>
      </c>
      <c r="R122" t="s">
        <v>83</v>
      </c>
      <c r="S122">
        <v>27.84811478</v>
      </c>
      <c r="W122"/>
      <c r="X122">
        <v>0</v>
      </c>
      <c r="AC122" t="s">
        <v>93</v>
      </c>
      <c r="AD122" s="44">
        <v>43101</v>
      </c>
    </row>
    <row r="123" spans="1:30" x14ac:dyDescent="0.25">
      <c r="A123">
        <v>38568</v>
      </c>
      <c r="B123" t="s">
        <v>128</v>
      </c>
      <c r="C123">
        <v>2018</v>
      </c>
      <c r="D123">
        <v>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892.08334261000005</v>
      </c>
      <c r="N123">
        <v>0</v>
      </c>
      <c r="O123" t="s">
        <v>88</v>
      </c>
      <c r="P123" s="44">
        <v>44269.841713576388</v>
      </c>
      <c r="Q123">
        <v>327784</v>
      </c>
      <c r="R123" t="s">
        <v>83</v>
      </c>
      <c r="S123">
        <v>23.73540972</v>
      </c>
      <c r="W123"/>
      <c r="X123">
        <v>0</v>
      </c>
      <c r="AC123" t="s">
        <v>93</v>
      </c>
      <c r="AD123" s="44">
        <v>43101</v>
      </c>
    </row>
    <row r="124" spans="1:30" x14ac:dyDescent="0.25">
      <c r="A124">
        <v>38545</v>
      </c>
      <c r="B124" t="s">
        <v>128</v>
      </c>
      <c r="C124">
        <v>2018</v>
      </c>
      <c r="D124">
        <v>1</v>
      </c>
      <c r="E124" t="s">
        <v>94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95</v>
      </c>
      <c r="L124" t="s">
        <v>112</v>
      </c>
      <c r="M124">
        <v>2934.8747129799999</v>
      </c>
      <c r="N124">
        <v>0</v>
      </c>
      <c r="O124" t="s">
        <v>88</v>
      </c>
      <c r="P124" s="44">
        <v>44269.841712766203</v>
      </c>
      <c r="Q124">
        <v>327738</v>
      </c>
      <c r="R124" t="s">
        <v>83</v>
      </c>
      <c r="S124">
        <v>43.280991440000001</v>
      </c>
      <c r="W124"/>
      <c r="X124">
        <v>0</v>
      </c>
      <c r="AC124" t="s">
        <v>93</v>
      </c>
      <c r="AD124" s="44">
        <v>43101</v>
      </c>
    </row>
    <row r="125" spans="1:30" x14ac:dyDescent="0.25">
      <c r="A125">
        <v>38568</v>
      </c>
      <c r="B125" t="s">
        <v>128</v>
      </c>
      <c r="C125">
        <v>2018</v>
      </c>
      <c r="D125">
        <v>1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110</v>
      </c>
      <c r="K125" t="s">
        <v>97</v>
      </c>
      <c r="L125" t="s">
        <v>112</v>
      </c>
      <c r="M125">
        <v>892.08334261000005</v>
      </c>
      <c r="N125">
        <v>0</v>
      </c>
      <c r="O125" t="s">
        <v>88</v>
      </c>
      <c r="P125" s="44">
        <v>44269.841713576388</v>
      </c>
      <c r="Q125">
        <v>327783</v>
      </c>
      <c r="R125" t="s">
        <v>91</v>
      </c>
      <c r="S125">
        <v>896.24171113</v>
      </c>
      <c r="W125"/>
      <c r="X125">
        <v>0</v>
      </c>
      <c r="AC125" t="s">
        <v>93</v>
      </c>
      <c r="AD125" s="44">
        <v>43101</v>
      </c>
    </row>
    <row r="126" spans="1:30" x14ac:dyDescent="0.25">
      <c r="A126">
        <v>38591</v>
      </c>
      <c r="B126" t="s">
        <v>128</v>
      </c>
      <c r="C126">
        <v>2018</v>
      </c>
      <c r="D126">
        <v>1</v>
      </c>
      <c r="E126" t="s">
        <v>98</v>
      </c>
      <c r="F126" t="s">
        <v>93</v>
      </c>
      <c r="G126" t="s">
        <v>93</v>
      </c>
      <c r="H126" t="s">
        <v>25</v>
      </c>
      <c r="I126" t="s">
        <v>25</v>
      </c>
      <c r="J126" t="s">
        <v>110</v>
      </c>
      <c r="K126" t="s">
        <v>99</v>
      </c>
      <c r="L126" t="s">
        <v>112</v>
      </c>
      <c r="M126">
        <v>1063.1400695499999</v>
      </c>
      <c r="N126">
        <v>0</v>
      </c>
      <c r="O126" t="s">
        <v>88</v>
      </c>
      <c r="P126" s="44">
        <v>44269.841714548609</v>
      </c>
      <c r="Q126">
        <v>327829</v>
      </c>
      <c r="R126" t="s">
        <v>91</v>
      </c>
      <c r="S126">
        <v>1068.53435704</v>
      </c>
      <c r="W126"/>
      <c r="X126">
        <v>0</v>
      </c>
      <c r="AC126" t="s">
        <v>93</v>
      </c>
      <c r="AD126" s="44">
        <v>43101</v>
      </c>
    </row>
    <row r="127" spans="1:30" x14ac:dyDescent="0.25">
      <c r="A127">
        <v>38545</v>
      </c>
      <c r="B127" t="s">
        <v>128</v>
      </c>
      <c r="C127">
        <v>2018</v>
      </c>
      <c r="D127">
        <v>1</v>
      </c>
      <c r="E127" t="s">
        <v>94</v>
      </c>
      <c r="F127" t="s">
        <v>93</v>
      </c>
      <c r="G127" t="s">
        <v>93</v>
      </c>
      <c r="H127" t="s">
        <v>25</v>
      </c>
      <c r="I127" t="s">
        <v>25</v>
      </c>
      <c r="J127" t="s">
        <v>110</v>
      </c>
      <c r="K127" t="s">
        <v>95</v>
      </c>
      <c r="L127" t="s">
        <v>112</v>
      </c>
      <c r="M127">
        <v>2934.8747129799999</v>
      </c>
      <c r="N127">
        <v>0</v>
      </c>
      <c r="O127" t="s">
        <v>88</v>
      </c>
      <c r="P127" s="44">
        <v>44269.841712766203</v>
      </c>
      <c r="Q127">
        <v>327737</v>
      </c>
      <c r="R127" t="s">
        <v>91</v>
      </c>
      <c r="S127">
        <v>2983.3617666300001</v>
      </c>
      <c r="W127"/>
      <c r="X127">
        <v>0</v>
      </c>
      <c r="AC127" t="s">
        <v>93</v>
      </c>
      <c r="AD127" s="44">
        <v>43101</v>
      </c>
    </row>
    <row r="128" spans="1:30" x14ac:dyDescent="0.25">
      <c r="A128">
        <v>51320</v>
      </c>
      <c r="B128" t="s">
        <v>126</v>
      </c>
      <c r="C128">
        <v>2018</v>
      </c>
      <c r="D128">
        <v>2</v>
      </c>
      <c r="E128" t="s">
        <v>94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95</v>
      </c>
      <c r="L128" t="s">
        <v>112</v>
      </c>
      <c r="M128">
        <v>2992.3278786400001</v>
      </c>
      <c r="N128">
        <v>0</v>
      </c>
      <c r="O128" t="s">
        <v>88</v>
      </c>
      <c r="P128" s="44">
        <v>44269.843124270832</v>
      </c>
      <c r="Q128">
        <v>446370</v>
      </c>
      <c r="R128" t="s">
        <v>83</v>
      </c>
      <c r="S128">
        <v>44.320619090000001</v>
      </c>
      <c r="W128"/>
      <c r="X128">
        <v>0</v>
      </c>
      <c r="AC128" t="s">
        <v>93</v>
      </c>
      <c r="AD128" s="44">
        <v>43132</v>
      </c>
    </row>
    <row r="129" spans="1:30" x14ac:dyDescent="0.25">
      <c r="A129">
        <v>51364</v>
      </c>
      <c r="B129" t="s">
        <v>126</v>
      </c>
      <c r="C129">
        <v>2018</v>
      </c>
      <c r="D129">
        <v>2</v>
      </c>
      <c r="E129" t="s">
        <v>98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99</v>
      </c>
      <c r="L129" t="s">
        <v>112</v>
      </c>
      <c r="M129">
        <v>1043.8948492300001</v>
      </c>
      <c r="N129">
        <v>0</v>
      </c>
      <c r="O129" t="s">
        <v>88</v>
      </c>
      <c r="P129" s="44">
        <v>44269.843125613428</v>
      </c>
      <c r="Q129">
        <v>446458</v>
      </c>
      <c r="R129" t="s">
        <v>83</v>
      </c>
      <c r="S129">
        <v>27.463195800000001</v>
      </c>
      <c r="W129"/>
      <c r="X129">
        <v>0</v>
      </c>
      <c r="AC129" t="s">
        <v>93</v>
      </c>
      <c r="AD129" s="44">
        <v>43132</v>
      </c>
    </row>
    <row r="130" spans="1:30" x14ac:dyDescent="0.25">
      <c r="A130">
        <v>51342</v>
      </c>
      <c r="B130" t="s">
        <v>126</v>
      </c>
      <c r="C130">
        <v>2018</v>
      </c>
      <c r="D130">
        <v>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828.89142677999996</v>
      </c>
      <c r="N130">
        <v>0</v>
      </c>
      <c r="O130" t="s">
        <v>88</v>
      </c>
      <c r="P130" s="44">
        <v>44269.843124965279</v>
      </c>
      <c r="Q130">
        <v>446414</v>
      </c>
      <c r="R130" t="s">
        <v>83</v>
      </c>
      <c r="S130">
        <v>22.150215490000001</v>
      </c>
      <c r="W130"/>
      <c r="X130">
        <v>0</v>
      </c>
      <c r="AC130" t="s">
        <v>93</v>
      </c>
      <c r="AD130" s="44">
        <v>43132</v>
      </c>
    </row>
    <row r="131" spans="1:30" x14ac:dyDescent="0.25">
      <c r="A131">
        <v>51364</v>
      </c>
      <c r="B131" t="s">
        <v>126</v>
      </c>
      <c r="C131">
        <v>2018</v>
      </c>
      <c r="D131">
        <v>2</v>
      </c>
      <c r="E131" t="s">
        <v>98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99</v>
      </c>
      <c r="L131" t="s">
        <v>112</v>
      </c>
      <c r="M131">
        <v>1043.8948492300001</v>
      </c>
      <c r="N131">
        <v>0</v>
      </c>
      <c r="O131" t="s">
        <v>88</v>
      </c>
      <c r="P131" s="44">
        <v>44269.843125613428</v>
      </c>
      <c r="Q131">
        <v>446457</v>
      </c>
      <c r="R131" t="s">
        <v>91</v>
      </c>
      <c r="S131">
        <v>1053.7649853099999</v>
      </c>
      <c r="W131"/>
      <c r="X131">
        <v>0</v>
      </c>
      <c r="AC131" t="s">
        <v>93</v>
      </c>
      <c r="AD131" s="44">
        <v>43132</v>
      </c>
    </row>
    <row r="132" spans="1:30" x14ac:dyDescent="0.25">
      <c r="A132">
        <v>51342</v>
      </c>
      <c r="B132" t="s">
        <v>126</v>
      </c>
      <c r="C132">
        <v>2018</v>
      </c>
      <c r="D132">
        <v>2</v>
      </c>
      <c r="E132" t="s">
        <v>96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97</v>
      </c>
      <c r="L132" t="s">
        <v>112</v>
      </c>
      <c r="M132">
        <v>828.89142677999996</v>
      </c>
      <c r="N132">
        <v>0</v>
      </c>
      <c r="O132" t="s">
        <v>88</v>
      </c>
      <c r="P132" s="44">
        <v>44269.843124965279</v>
      </c>
      <c r="Q132">
        <v>446413</v>
      </c>
      <c r="R132" t="s">
        <v>91</v>
      </c>
      <c r="S132">
        <v>836.38526859000001</v>
      </c>
      <c r="W132"/>
      <c r="X132">
        <v>0</v>
      </c>
      <c r="AC132" t="s">
        <v>93</v>
      </c>
      <c r="AD132" s="44">
        <v>43132</v>
      </c>
    </row>
    <row r="133" spans="1:30" x14ac:dyDescent="0.25">
      <c r="A133">
        <v>51320</v>
      </c>
      <c r="B133" t="s">
        <v>126</v>
      </c>
      <c r="C133">
        <v>2018</v>
      </c>
      <c r="D133">
        <v>2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2992.3278786400001</v>
      </c>
      <c r="N133">
        <v>0</v>
      </c>
      <c r="O133" t="s">
        <v>88</v>
      </c>
      <c r="P133" s="44">
        <v>44269.843124270832</v>
      </c>
      <c r="Q133">
        <v>446369</v>
      </c>
      <c r="R133" t="s">
        <v>91</v>
      </c>
      <c r="S133">
        <v>3055.02337317</v>
      </c>
      <c r="W133"/>
      <c r="X133">
        <v>0</v>
      </c>
      <c r="AC133" t="s">
        <v>93</v>
      </c>
      <c r="AD133" s="44">
        <v>43132</v>
      </c>
    </row>
    <row r="134" spans="1:30" x14ac:dyDescent="0.25">
      <c r="A134">
        <v>63558</v>
      </c>
      <c r="B134" t="s">
        <v>127</v>
      </c>
      <c r="C134">
        <v>2018</v>
      </c>
      <c r="D134">
        <v>3</v>
      </c>
      <c r="E134" t="s">
        <v>94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95</v>
      </c>
      <c r="L134" t="s">
        <v>112</v>
      </c>
      <c r="M134">
        <v>2918.7091952800001</v>
      </c>
      <c r="N134">
        <v>0</v>
      </c>
      <c r="O134" t="s">
        <v>88</v>
      </c>
      <c r="P134" s="44">
        <v>44269.844469872682</v>
      </c>
      <c r="Q134">
        <v>560913</v>
      </c>
      <c r="R134" t="s">
        <v>83</v>
      </c>
      <c r="S134">
        <v>42.925512990000001</v>
      </c>
      <c r="W134"/>
      <c r="X134">
        <v>0</v>
      </c>
      <c r="AC134" t="s">
        <v>93</v>
      </c>
      <c r="AD134" s="44">
        <v>43160</v>
      </c>
    </row>
    <row r="135" spans="1:30" x14ac:dyDescent="0.25">
      <c r="A135">
        <v>63581</v>
      </c>
      <c r="B135" t="s">
        <v>127</v>
      </c>
      <c r="C135">
        <v>2018</v>
      </c>
      <c r="D135">
        <v>3</v>
      </c>
      <c r="E135" t="s">
        <v>96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97</v>
      </c>
      <c r="L135" t="s">
        <v>112</v>
      </c>
      <c r="M135">
        <v>681.39686511000002</v>
      </c>
      <c r="N135">
        <v>0</v>
      </c>
      <c r="O135" t="s">
        <v>88</v>
      </c>
      <c r="P135" s="44">
        <v>44269.844470682867</v>
      </c>
      <c r="Q135">
        <v>560959</v>
      </c>
      <c r="R135" t="s">
        <v>83</v>
      </c>
      <c r="S135">
        <v>18.080418030000001</v>
      </c>
      <c r="W135"/>
      <c r="X135">
        <v>0</v>
      </c>
      <c r="AC135" t="s">
        <v>93</v>
      </c>
      <c r="AD135" s="44">
        <v>43160</v>
      </c>
    </row>
    <row r="136" spans="1:30" x14ac:dyDescent="0.25">
      <c r="A136">
        <v>63604</v>
      </c>
      <c r="B136" t="s">
        <v>127</v>
      </c>
      <c r="C136">
        <v>2018</v>
      </c>
      <c r="D136">
        <v>3</v>
      </c>
      <c r="E136" t="s">
        <v>98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99</v>
      </c>
      <c r="L136" t="s">
        <v>112</v>
      </c>
      <c r="M136">
        <v>1101.95310419</v>
      </c>
      <c r="N136">
        <v>0</v>
      </c>
      <c r="O136" t="s">
        <v>88</v>
      </c>
      <c r="P136" s="44">
        <v>44269.844471643519</v>
      </c>
      <c r="Q136">
        <v>561005</v>
      </c>
      <c r="R136" t="s">
        <v>83</v>
      </c>
      <c r="S136">
        <v>28.786274299999999</v>
      </c>
      <c r="W136"/>
      <c r="X136">
        <v>0</v>
      </c>
      <c r="AC136" t="s">
        <v>93</v>
      </c>
      <c r="AD136" s="44">
        <v>43160</v>
      </c>
    </row>
    <row r="137" spans="1:30" x14ac:dyDescent="0.25">
      <c r="A137">
        <v>63604</v>
      </c>
      <c r="B137" t="s">
        <v>127</v>
      </c>
      <c r="C137">
        <v>2018</v>
      </c>
      <c r="D137">
        <v>3</v>
      </c>
      <c r="E137" t="s">
        <v>98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99</v>
      </c>
      <c r="L137" t="s">
        <v>112</v>
      </c>
      <c r="M137">
        <v>1101.95310419</v>
      </c>
      <c r="N137">
        <v>0</v>
      </c>
      <c r="O137" t="s">
        <v>88</v>
      </c>
      <c r="P137" s="44">
        <v>44269.844471643519</v>
      </c>
      <c r="Q137">
        <v>561004</v>
      </c>
      <c r="R137" t="s">
        <v>91</v>
      </c>
      <c r="S137">
        <v>1104.53161153</v>
      </c>
      <c r="W137"/>
      <c r="X137">
        <v>0</v>
      </c>
      <c r="AC137" t="s">
        <v>93</v>
      </c>
      <c r="AD137" s="44">
        <v>43160</v>
      </c>
    </row>
    <row r="138" spans="1:30" x14ac:dyDescent="0.25">
      <c r="A138">
        <v>63558</v>
      </c>
      <c r="B138" t="s">
        <v>127</v>
      </c>
      <c r="C138">
        <v>2018</v>
      </c>
      <c r="D138">
        <v>3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95</v>
      </c>
      <c r="L138" t="s">
        <v>112</v>
      </c>
      <c r="M138">
        <v>2918.7091952800001</v>
      </c>
      <c r="N138">
        <v>0</v>
      </c>
      <c r="O138" t="s">
        <v>88</v>
      </c>
      <c r="P138" s="44">
        <v>44269.844469872682</v>
      </c>
      <c r="Q138">
        <v>560912</v>
      </c>
      <c r="R138" t="s">
        <v>91</v>
      </c>
      <c r="S138">
        <v>2958.8586119199999</v>
      </c>
      <c r="W138"/>
      <c r="X138">
        <v>0</v>
      </c>
      <c r="AC138" t="s">
        <v>93</v>
      </c>
      <c r="AD138" s="44">
        <v>43160</v>
      </c>
    </row>
    <row r="139" spans="1:30" x14ac:dyDescent="0.25">
      <c r="A139">
        <v>63581</v>
      </c>
      <c r="B139" t="s">
        <v>127</v>
      </c>
      <c r="C139">
        <v>2018</v>
      </c>
      <c r="D139">
        <v>3</v>
      </c>
      <c r="E139" t="s">
        <v>96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97</v>
      </c>
      <c r="L139" t="s">
        <v>112</v>
      </c>
      <c r="M139">
        <v>681.39686511000002</v>
      </c>
      <c r="N139">
        <v>0</v>
      </c>
      <c r="O139" t="s">
        <v>88</v>
      </c>
      <c r="P139" s="44">
        <v>44269.844470682867</v>
      </c>
      <c r="Q139">
        <v>560958</v>
      </c>
      <c r="R139" t="s">
        <v>91</v>
      </c>
      <c r="S139">
        <v>682.71097830999997</v>
      </c>
      <c r="W139"/>
      <c r="X139">
        <v>0</v>
      </c>
      <c r="AC139" t="s">
        <v>93</v>
      </c>
      <c r="AD139" s="44">
        <v>43160</v>
      </c>
    </row>
    <row r="140" spans="1:30" x14ac:dyDescent="0.25">
      <c r="A140">
        <v>339851</v>
      </c>
      <c r="B140" t="s">
        <v>121</v>
      </c>
      <c r="C140">
        <v>2018</v>
      </c>
      <c r="D140">
        <v>4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2217.9983667299998</v>
      </c>
      <c r="N140">
        <v>0</v>
      </c>
      <c r="O140" t="s">
        <v>88</v>
      </c>
      <c r="P140" s="44">
        <v>44269.88311489582</v>
      </c>
      <c r="Q140">
        <v>3217137</v>
      </c>
      <c r="R140" t="s">
        <v>83</v>
      </c>
      <c r="S140">
        <v>32.708752820000001</v>
      </c>
      <c r="W140"/>
      <c r="X140">
        <v>0</v>
      </c>
      <c r="AC140" t="s">
        <v>93</v>
      </c>
      <c r="AD140" s="44">
        <v>43191</v>
      </c>
    </row>
    <row r="141" spans="1:30" x14ac:dyDescent="0.25">
      <c r="A141">
        <v>339874</v>
      </c>
      <c r="B141" t="s">
        <v>121</v>
      </c>
      <c r="C141">
        <v>2018</v>
      </c>
      <c r="D141">
        <v>4</v>
      </c>
      <c r="E141" t="s">
        <v>96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97</v>
      </c>
      <c r="L141" t="s">
        <v>112</v>
      </c>
      <c r="M141">
        <v>395.73036543000001</v>
      </c>
      <c r="N141">
        <v>0</v>
      </c>
      <c r="O141" t="s">
        <v>88</v>
      </c>
      <c r="P141" s="44">
        <v>44269.883115474528</v>
      </c>
      <c r="Q141">
        <v>3217183</v>
      </c>
      <c r="R141" t="s">
        <v>83</v>
      </c>
      <c r="S141">
        <v>10.528968040000001</v>
      </c>
      <c r="W141"/>
      <c r="X141">
        <v>0</v>
      </c>
      <c r="AC141" t="s">
        <v>93</v>
      </c>
      <c r="AD141" s="44">
        <v>43191</v>
      </c>
    </row>
    <row r="142" spans="1:30" x14ac:dyDescent="0.25">
      <c r="A142">
        <v>339897</v>
      </c>
      <c r="B142" t="s">
        <v>121</v>
      </c>
      <c r="C142">
        <v>2018</v>
      </c>
      <c r="D142">
        <v>4</v>
      </c>
      <c r="E142" t="s">
        <v>98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99</v>
      </c>
      <c r="L142" t="s">
        <v>112</v>
      </c>
      <c r="M142">
        <v>912.57738198000004</v>
      </c>
      <c r="N142">
        <v>0</v>
      </c>
      <c r="O142" t="s">
        <v>88</v>
      </c>
      <c r="P142" s="44">
        <v>44269.883116168981</v>
      </c>
      <c r="Q142">
        <v>3217229</v>
      </c>
      <c r="R142" t="s">
        <v>83</v>
      </c>
      <c r="S142">
        <v>23.903975920000001</v>
      </c>
      <c r="W142"/>
      <c r="X142">
        <v>0</v>
      </c>
      <c r="AC142" t="s">
        <v>93</v>
      </c>
      <c r="AD142" s="44">
        <v>43191</v>
      </c>
    </row>
    <row r="143" spans="1:30" x14ac:dyDescent="0.25">
      <c r="A143">
        <v>339851</v>
      </c>
      <c r="B143" t="s">
        <v>121</v>
      </c>
      <c r="C143">
        <v>2018</v>
      </c>
      <c r="D143">
        <v>4</v>
      </c>
      <c r="E143" t="s">
        <v>94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95</v>
      </c>
      <c r="L143" t="s">
        <v>112</v>
      </c>
      <c r="M143">
        <v>2217.9983667299998</v>
      </c>
      <c r="N143">
        <v>0</v>
      </c>
      <c r="O143" t="s">
        <v>88</v>
      </c>
      <c r="P143" s="44">
        <v>44269.88311489582</v>
      </c>
      <c r="Q143">
        <v>3217136</v>
      </c>
      <c r="R143" t="s">
        <v>91</v>
      </c>
      <c r="S143">
        <v>2254.6166188699999</v>
      </c>
      <c r="W143"/>
      <c r="X143">
        <v>0</v>
      </c>
      <c r="AC143" t="s">
        <v>93</v>
      </c>
      <c r="AD143" s="44">
        <v>43191</v>
      </c>
    </row>
    <row r="144" spans="1:30" x14ac:dyDescent="0.25">
      <c r="A144">
        <v>339874</v>
      </c>
      <c r="B144" t="s">
        <v>121</v>
      </c>
      <c r="C144">
        <v>2018</v>
      </c>
      <c r="D144">
        <v>4</v>
      </c>
      <c r="E144" t="s">
        <v>96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97</v>
      </c>
      <c r="L144" t="s">
        <v>112</v>
      </c>
      <c r="M144">
        <v>395.73036543000001</v>
      </c>
      <c r="N144">
        <v>0</v>
      </c>
      <c r="O144" t="s">
        <v>88</v>
      </c>
      <c r="P144" s="44">
        <v>44269.883115474528</v>
      </c>
      <c r="Q144">
        <v>3217182</v>
      </c>
      <c r="R144" t="s">
        <v>91</v>
      </c>
      <c r="S144">
        <v>397.57056835999998</v>
      </c>
      <c r="W144"/>
      <c r="X144">
        <v>0</v>
      </c>
      <c r="AC144" t="s">
        <v>93</v>
      </c>
      <c r="AD144" s="44">
        <v>43191</v>
      </c>
    </row>
    <row r="145" spans="1:30" x14ac:dyDescent="0.25">
      <c r="A145">
        <v>339897</v>
      </c>
      <c r="B145" t="s">
        <v>121</v>
      </c>
      <c r="C145">
        <v>2018</v>
      </c>
      <c r="D145">
        <v>4</v>
      </c>
      <c r="E145" t="s">
        <v>98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99</v>
      </c>
      <c r="L145" t="s">
        <v>112</v>
      </c>
      <c r="M145">
        <v>912.57738198000004</v>
      </c>
      <c r="N145">
        <v>0</v>
      </c>
      <c r="O145" t="s">
        <v>88</v>
      </c>
      <c r="P145" s="44">
        <v>44269.883116168981</v>
      </c>
      <c r="Q145">
        <v>3217228</v>
      </c>
      <c r="R145" t="s">
        <v>91</v>
      </c>
      <c r="S145">
        <v>917.19743819999997</v>
      </c>
      <c r="W145"/>
      <c r="X145">
        <v>0</v>
      </c>
      <c r="AC145" t="s">
        <v>93</v>
      </c>
      <c r="AD145" s="44">
        <v>43191</v>
      </c>
    </row>
    <row r="146" spans="1:30" x14ac:dyDescent="0.25">
      <c r="A146">
        <v>352707</v>
      </c>
      <c r="B146" t="s">
        <v>129</v>
      </c>
      <c r="C146">
        <v>2018</v>
      </c>
      <c r="D146">
        <v>5</v>
      </c>
      <c r="E146" t="s">
        <v>96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97</v>
      </c>
      <c r="L146" t="s">
        <v>112</v>
      </c>
      <c r="M146">
        <v>393.55599067000003</v>
      </c>
      <c r="N146">
        <v>0</v>
      </c>
      <c r="O146" t="s">
        <v>88</v>
      </c>
      <c r="P146" s="44">
        <v>44269.884374386573</v>
      </c>
      <c r="Q146">
        <v>3336213</v>
      </c>
      <c r="R146" t="s">
        <v>83</v>
      </c>
      <c r="S146">
        <v>10.47281476</v>
      </c>
      <c r="W146"/>
      <c r="X146">
        <v>0</v>
      </c>
      <c r="AC146" t="s">
        <v>93</v>
      </c>
      <c r="AD146" s="44">
        <v>43221</v>
      </c>
    </row>
    <row r="147" spans="1:30" x14ac:dyDescent="0.25">
      <c r="A147">
        <v>352730</v>
      </c>
      <c r="B147" t="s">
        <v>129</v>
      </c>
      <c r="C147">
        <v>2018</v>
      </c>
      <c r="D147">
        <v>5</v>
      </c>
      <c r="E147" t="s">
        <v>98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99</v>
      </c>
      <c r="L147" t="s">
        <v>112</v>
      </c>
      <c r="M147">
        <v>932.17317322999997</v>
      </c>
      <c r="N147">
        <v>0</v>
      </c>
      <c r="O147" t="s">
        <v>88</v>
      </c>
      <c r="P147" s="44">
        <v>44269.884375000001</v>
      </c>
      <c r="Q147">
        <v>3336259</v>
      </c>
      <c r="R147" t="s">
        <v>83</v>
      </c>
      <c r="S147">
        <v>24.421228410000001</v>
      </c>
      <c r="W147"/>
      <c r="X147">
        <v>0</v>
      </c>
      <c r="AC147" t="s">
        <v>93</v>
      </c>
      <c r="AD147" s="44">
        <v>43221</v>
      </c>
    </row>
    <row r="148" spans="1:30" x14ac:dyDescent="0.25">
      <c r="A148">
        <v>352684</v>
      </c>
      <c r="B148" t="s">
        <v>129</v>
      </c>
      <c r="C148">
        <v>2018</v>
      </c>
      <c r="D148">
        <v>5</v>
      </c>
      <c r="E148" t="s">
        <v>94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95</v>
      </c>
      <c r="L148" t="s">
        <v>112</v>
      </c>
      <c r="M148">
        <v>2108.0789959600002</v>
      </c>
      <c r="N148">
        <v>0</v>
      </c>
      <c r="O148" t="s">
        <v>88</v>
      </c>
      <c r="P148" s="44">
        <v>44269.884373807872</v>
      </c>
      <c r="Q148">
        <v>3336167</v>
      </c>
      <c r="R148" t="s">
        <v>83</v>
      </c>
      <c r="S148">
        <v>31.092819609999999</v>
      </c>
      <c r="W148"/>
      <c r="X148">
        <v>0</v>
      </c>
      <c r="AC148" t="s">
        <v>93</v>
      </c>
      <c r="AD148" s="44">
        <v>43221</v>
      </c>
    </row>
    <row r="149" spans="1:30" x14ac:dyDescent="0.25">
      <c r="A149">
        <v>352684</v>
      </c>
      <c r="B149" t="s">
        <v>129</v>
      </c>
      <c r="C149">
        <v>2018</v>
      </c>
      <c r="D149">
        <v>5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2108.0789959600002</v>
      </c>
      <c r="N149">
        <v>0</v>
      </c>
      <c r="O149" t="s">
        <v>88</v>
      </c>
      <c r="P149" s="44">
        <v>44269.884373807872</v>
      </c>
      <c r="Q149">
        <v>3336166</v>
      </c>
      <c r="R149" t="s">
        <v>91</v>
      </c>
      <c r="S149">
        <v>2143.2302299799999</v>
      </c>
      <c r="W149"/>
      <c r="X149">
        <v>0</v>
      </c>
      <c r="AC149" t="s">
        <v>93</v>
      </c>
      <c r="AD149" s="44">
        <v>43221</v>
      </c>
    </row>
    <row r="150" spans="1:30" x14ac:dyDescent="0.25">
      <c r="A150">
        <v>352730</v>
      </c>
      <c r="B150" t="s">
        <v>129</v>
      </c>
      <c r="C150">
        <v>2018</v>
      </c>
      <c r="D150">
        <v>5</v>
      </c>
      <c r="E150" t="s">
        <v>98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99</v>
      </c>
      <c r="L150" t="s">
        <v>112</v>
      </c>
      <c r="M150">
        <v>932.17317322999997</v>
      </c>
      <c r="N150">
        <v>0</v>
      </c>
      <c r="O150" t="s">
        <v>88</v>
      </c>
      <c r="P150" s="44">
        <v>44269.884375000001</v>
      </c>
      <c r="Q150">
        <v>3336258</v>
      </c>
      <c r="R150" t="s">
        <v>91</v>
      </c>
      <c r="S150">
        <v>937.04445700999997</v>
      </c>
      <c r="W150"/>
      <c r="X150">
        <v>0</v>
      </c>
      <c r="AC150" t="s">
        <v>93</v>
      </c>
      <c r="AD150" s="44">
        <v>43221</v>
      </c>
    </row>
    <row r="151" spans="1:30" x14ac:dyDescent="0.25">
      <c r="A151">
        <v>352707</v>
      </c>
      <c r="B151" t="s">
        <v>129</v>
      </c>
      <c r="C151">
        <v>2018</v>
      </c>
      <c r="D151">
        <v>5</v>
      </c>
      <c r="E151" t="s">
        <v>96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97</v>
      </c>
      <c r="L151" t="s">
        <v>112</v>
      </c>
      <c r="M151">
        <v>393.55599067000003</v>
      </c>
      <c r="N151">
        <v>0</v>
      </c>
      <c r="O151" t="s">
        <v>88</v>
      </c>
      <c r="P151" s="44">
        <v>44269.884374386573</v>
      </c>
      <c r="Q151">
        <v>3336212</v>
      </c>
      <c r="R151" t="s">
        <v>91</v>
      </c>
      <c r="S151">
        <v>395.45023814000001</v>
      </c>
      <c r="W151"/>
      <c r="X151">
        <v>0</v>
      </c>
      <c r="AC151" t="s">
        <v>93</v>
      </c>
      <c r="AD151" s="44">
        <v>43221</v>
      </c>
    </row>
    <row r="152" spans="1:30" x14ac:dyDescent="0.25">
      <c r="A152">
        <v>86373</v>
      </c>
      <c r="B152" t="s">
        <v>135</v>
      </c>
      <c r="C152">
        <v>2018</v>
      </c>
      <c r="D152">
        <v>6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349.81857975999998</v>
      </c>
      <c r="N152">
        <v>0</v>
      </c>
      <c r="O152" t="s">
        <v>88</v>
      </c>
      <c r="P152" s="44">
        <v>44269.847217708331</v>
      </c>
      <c r="Q152">
        <v>783250</v>
      </c>
      <c r="R152" t="s">
        <v>83</v>
      </c>
      <c r="S152">
        <v>9.2434089799999999</v>
      </c>
      <c r="W152"/>
      <c r="X152">
        <v>0</v>
      </c>
      <c r="AC152" t="s">
        <v>93</v>
      </c>
      <c r="AD152" s="44">
        <v>43252</v>
      </c>
    </row>
    <row r="153" spans="1:30" x14ac:dyDescent="0.25">
      <c r="A153">
        <v>86349</v>
      </c>
      <c r="B153" t="s">
        <v>135</v>
      </c>
      <c r="C153">
        <v>2018</v>
      </c>
      <c r="D153">
        <v>6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1943.0653741900001</v>
      </c>
      <c r="N153">
        <v>0</v>
      </c>
      <c r="O153" t="s">
        <v>88</v>
      </c>
      <c r="P153" s="44">
        <v>44269.847216898153</v>
      </c>
      <c r="Q153">
        <v>783202</v>
      </c>
      <c r="R153" t="s">
        <v>83</v>
      </c>
      <c r="S153">
        <v>28.457257309999999</v>
      </c>
      <c r="W153"/>
      <c r="X153">
        <v>0</v>
      </c>
      <c r="AC153" t="s">
        <v>93</v>
      </c>
      <c r="AD153" s="44">
        <v>43252</v>
      </c>
    </row>
    <row r="154" spans="1:30" x14ac:dyDescent="0.25">
      <c r="A154">
        <v>86397</v>
      </c>
      <c r="B154" t="s">
        <v>135</v>
      </c>
      <c r="C154">
        <v>2018</v>
      </c>
      <c r="D154">
        <v>6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915.94283647999998</v>
      </c>
      <c r="N154">
        <v>0</v>
      </c>
      <c r="O154" t="s">
        <v>88</v>
      </c>
      <c r="P154" s="44">
        <v>44269.847218599527</v>
      </c>
      <c r="Q154">
        <v>783298</v>
      </c>
      <c r="R154" t="s">
        <v>83</v>
      </c>
      <c r="S154">
        <v>23.827126889999999</v>
      </c>
      <c r="W154"/>
      <c r="X154">
        <v>0</v>
      </c>
      <c r="AC154" t="s">
        <v>93</v>
      </c>
      <c r="AD154" s="44">
        <v>43252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W155"/>
      <c r="X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W156"/>
      <c r="X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W157"/>
      <c r="X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93</v>
      </c>
      <c r="AD158" s="44">
        <v>43282</v>
      </c>
    </row>
    <row r="159" spans="1:30" x14ac:dyDescent="0.25">
      <c r="A159">
        <v>100194</v>
      </c>
      <c r="B159" t="s">
        <v>148</v>
      </c>
      <c r="C159">
        <v>2018</v>
      </c>
      <c r="D159">
        <v>7</v>
      </c>
      <c r="E159" t="s">
        <v>94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95</v>
      </c>
      <c r="L159" t="s">
        <v>112</v>
      </c>
      <c r="M159">
        <v>1870.62563673</v>
      </c>
      <c r="N159">
        <v>0</v>
      </c>
      <c r="O159" t="s">
        <v>89</v>
      </c>
      <c r="P159" s="44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93</v>
      </c>
      <c r="AD159" s="44">
        <v>43282</v>
      </c>
    </row>
    <row r="160" spans="1:30" x14ac:dyDescent="0.25">
      <c r="A160">
        <v>100218</v>
      </c>
      <c r="B160" t="s">
        <v>148</v>
      </c>
      <c r="C160">
        <v>2018</v>
      </c>
      <c r="D160">
        <v>7</v>
      </c>
      <c r="E160" t="s">
        <v>96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97</v>
      </c>
      <c r="L160" t="s">
        <v>112</v>
      </c>
      <c r="M160">
        <v>347.46938798999997</v>
      </c>
      <c r="N160">
        <v>0</v>
      </c>
      <c r="O160" t="s">
        <v>89</v>
      </c>
      <c r="P160" s="44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93</v>
      </c>
      <c r="AD160" s="44">
        <v>43282</v>
      </c>
    </row>
    <row r="161" spans="1:30" x14ac:dyDescent="0.25">
      <c r="A161">
        <v>100194</v>
      </c>
      <c r="B161" t="s">
        <v>148</v>
      </c>
      <c r="C161">
        <v>2018</v>
      </c>
      <c r="D161">
        <v>7</v>
      </c>
      <c r="E161" t="s">
        <v>94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95</v>
      </c>
      <c r="L161" t="s">
        <v>112</v>
      </c>
      <c r="M161">
        <v>1870.62563673</v>
      </c>
      <c r="N161">
        <v>0</v>
      </c>
      <c r="O161" t="s">
        <v>89</v>
      </c>
      <c r="P161" s="44">
        <v>44269.848707986108</v>
      </c>
      <c r="Q161">
        <v>913513</v>
      </c>
      <c r="R161" t="s">
        <v>90</v>
      </c>
      <c r="S161">
        <v>383.70225341999998</v>
      </c>
      <c r="W161"/>
      <c r="X161">
        <v>0</v>
      </c>
      <c r="AC161" t="s">
        <v>93</v>
      </c>
      <c r="AD161" s="44">
        <v>43282</v>
      </c>
    </row>
    <row r="162" spans="1:30" x14ac:dyDescent="0.25">
      <c r="A162">
        <v>100218</v>
      </c>
      <c r="B162" t="s">
        <v>148</v>
      </c>
      <c r="C162">
        <v>2018</v>
      </c>
      <c r="D162">
        <v>7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347.46938798999997</v>
      </c>
      <c r="N162">
        <v>0</v>
      </c>
      <c r="O162" t="s">
        <v>89</v>
      </c>
      <c r="P162" s="44">
        <v>44269.848709224527</v>
      </c>
      <c r="Q162">
        <v>913633</v>
      </c>
      <c r="R162" t="s">
        <v>90</v>
      </c>
      <c r="S162">
        <v>71.881931199999997</v>
      </c>
      <c r="W162"/>
      <c r="X162">
        <v>0</v>
      </c>
      <c r="AC162" t="s">
        <v>93</v>
      </c>
      <c r="AD162" s="44">
        <v>43282</v>
      </c>
    </row>
    <row r="163" spans="1:30" x14ac:dyDescent="0.25">
      <c r="A163">
        <v>100242</v>
      </c>
      <c r="B163" t="s">
        <v>148</v>
      </c>
      <c r="C163">
        <v>2018</v>
      </c>
      <c r="D163">
        <v>7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953.47078386999999</v>
      </c>
      <c r="N163">
        <v>0</v>
      </c>
      <c r="O163" t="s">
        <v>89</v>
      </c>
      <c r="P163" s="44">
        <v>44269.848710416663</v>
      </c>
      <c r="Q163">
        <v>913753</v>
      </c>
      <c r="R163" t="s">
        <v>90</v>
      </c>
      <c r="S163">
        <v>188.52696423</v>
      </c>
      <c r="W163"/>
      <c r="X163">
        <v>0</v>
      </c>
      <c r="AC163" t="s">
        <v>93</v>
      </c>
      <c r="AD163" s="44">
        <v>43282</v>
      </c>
    </row>
    <row r="164" spans="1:30" x14ac:dyDescent="0.25">
      <c r="A164">
        <v>100218</v>
      </c>
      <c r="B164" t="s">
        <v>148</v>
      </c>
      <c r="C164">
        <v>2018</v>
      </c>
      <c r="D164">
        <v>7</v>
      </c>
      <c r="E164" t="s">
        <v>96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97</v>
      </c>
      <c r="L164" t="s">
        <v>112</v>
      </c>
      <c r="M164">
        <v>347.46938798999997</v>
      </c>
      <c r="N164">
        <v>0</v>
      </c>
      <c r="O164" t="s">
        <v>89</v>
      </c>
      <c r="P164" s="44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93</v>
      </c>
      <c r="AD164" s="44">
        <v>43282</v>
      </c>
    </row>
    <row r="165" spans="1:30" x14ac:dyDescent="0.25">
      <c r="A165">
        <v>100194</v>
      </c>
      <c r="B165" t="s">
        <v>148</v>
      </c>
      <c r="C165">
        <v>2018</v>
      </c>
      <c r="D165">
        <v>7</v>
      </c>
      <c r="E165" t="s">
        <v>94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95</v>
      </c>
      <c r="L165" t="s">
        <v>112</v>
      </c>
      <c r="M165">
        <v>1870.62563673</v>
      </c>
      <c r="N165">
        <v>0</v>
      </c>
      <c r="O165" t="s">
        <v>89</v>
      </c>
      <c r="P165" s="44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93</v>
      </c>
      <c r="AD165" s="44">
        <v>43282</v>
      </c>
    </row>
    <row r="166" spans="1:30" x14ac:dyDescent="0.25">
      <c r="A166">
        <v>100242</v>
      </c>
      <c r="B166" t="s">
        <v>148</v>
      </c>
      <c r="C166">
        <v>2018</v>
      </c>
      <c r="D166">
        <v>7</v>
      </c>
      <c r="E166" t="s">
        <v>98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99</v>
      </c>
      <c r="L166" t="s">
        <v>112</v>
      </c>
      <c r="M166">
        <v>953.47078386999999</v>
      </c>
      <c r="N166">
        <v>0</v>
      </c>
      <c r="O166" t="s">
        <v>89</v>
      </c>
      <c r="P166" s="44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93</v>
      </c>
      <c r="AD166" s="44">
        <v>43282</v>
      </c>
    </row>
    <row r="167" spans="1:30" x14ac:dyDescent="0.25">
      <c r="A167">
        <v>100242</v>
      </c>
      <c r="B167" t="s">
        <v>148</v>
      </c>
      <c r="C167">
        <v>2018</v>
      </c>
      <c r="D167">
        <v>7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953.47078386999999</v>
      </c>
      <c r="N167">
        <v>0</v>
      </c>
      <c r="O167" t="s">
        <v>89</v>
      </c>
      <c r="P167" s="44">
        <v>44269.848710416663</v>
      </c>
      <c r="Q167">
        <v>913749</v>
      </c>
      <c r="R167" t="s">
        <v>100</v>
      </c>
      <c r="S167">
        <v>11.06076429</v>
      </c>
      <c r="W167"/>
      <c r="X167">
        <v>0</v>
      </c>
      <c r="AC167" t="s">
        <v>93</v>
      </c>
      <c r="AD167" s="44">
        <v>43282</v>
      </c>
    </row>
    <row r="168" spans="1:30" x14ac:dyDescent="0.25">
      <c r="A168">
        <v>100218</v>
      </c>
      <c r="B168" t="s">
        <v>148</v>
      </c>
      <c r="C168">
        <v>2018</v>
      </c>
      <c r="D168">
        <v>7</v>
      </c>
      <c r="E168" t="s">
        <v>96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97</v>
      </c>
      <c r="L168" t="s">
        <v>112</v>
      </c>
      <c r="M168">
        <v>347.46938798999997</v>
      </c>
      <c r="N168">
        <v>0</v>
      </c>
      <c r="O168" t="s">
        <v>89</v>
      </c>
      <c r="P168" s="44">
        <v>44269.848709224527</v>
      </c>
      <c r="Q168">
        <v>913629</v>
      </c>
      <c r="R168" t="s">
        <v>100</v>
      </c>
      <c r="S168">
        <v>0</v>
      </c>
      <c r="W168"/>
      <c r="X168">
        <v>0</v>
      </c>
      <c r="AC168" t="s">
        <v>93</v>
      </c>
      <c r="AD168" s="44">
        <v>43282</v>
      </c>
    </row>
    <row r="169" spans="1:30" x14ac:dyDescent="0.25">
      <c r="A169">
        <v>100194</v>
      </c>
      <c r="B169" t="s">
        <v>148</v>
      </c>
      <c r="C169">
        <v>2018</v>
      </c>
      <c r="D169">
        <v>7</v>
      </c>
      <c r="E169" t="s">
        <v>94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95</v>
      </c>
      <c r="L169" t="s">
        <v>112</v>
      </c>
      <c r="M169">
        <v>1870.62563673</v>
      </c>
      <c r="N169">
        <v>0</v>
      </c>
      <c r="O169" t="s">
        <v>89</v>
      </c>
      <c r="P169" s="44">
        <v>44269.848707986108</v>
      </c>
      <c r="Q169">
        <v>913509</v>
      </c>
      <c r="R169" t="s">
        <v>100</v>
      </c>
      <c r="S169">
        <v>17.35939364</v>
      </c>
      <c r="W169"/>
      <c r="X169">
        <v>0</v>
      </c>
      <c r="AC169" t="s">
        <v>93</v>
      </c>
      <c r="AD169" s="44">
        <v>43282</v>
      </c>
    </row>
    <row r="170" spans="1:30" x14ac:dyDescent="0.25">
      <c r="A170">
        <v>100218</v>
      </c>
      <c r="B170" t="s">
        <v>148</v>
      </c>
      <c r="C170">
        <v>2018</v>
      </c>
      <c r="D170">
        <v>7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347.46938798999997</v>
      </c>
      <c r="N170">
        <v>0</v>
      </c>
      <c r="O170" t="s">
        <v>89</v>
      </c>
      <c r="P170" s="44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93</v>
      </c>
      <c r="AD170" s="44">
        <v>43282</v>
      </c>
    </row>
    <row r="171" spans="1:30" x14ac:dyDescent="0.25">
      <c r="A171">
        <v>100194</v>
      </c>
      <c r="B171" t="s">
        <v>148</v>
      </c>
      <c r="C171">
        <v>2018</v>
      </c>
      <c r="D171">
        <v>7</v>
      </c>
      <c r="E171" t="s">
        <v>94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95</v>
      </c>
      <c r="L171" t="s">
        <v>112</v>
      </c>
      <c r="M171">
        <v>1870.62563673</v>
      </c>
      <c r="N171">
        <v>0</v>
      </c>
      <c r="O171" t="s">
        <v>89</v>
      </c>
      <c r="P171" s="44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93</v>
      </c>
      <c r="AD171" s="44">
        <v>43282</v>
      </c>
    </row>
    <row r="172" spans="1:30" x14ac:dyDescent="0.25">
      <c r="A172">
        <v>100242</v>
      </c>
      <c r="B172" t="s">
        <v>148</v>
      </c>
      <c r="C172">
        <v>2018</v>
      </c>
      <c r="D172">
        <v>7</v>
      </c>
      <c r="E172" t="s">
        <v>98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99</v>
      </c>
      <c r="L172" t="s">
        <v>112</v>
      </c>
      <c r="M172">
        <v>953.47078386999999</v>
      </c>
      <c r="N172">
        <v>0</v>
      </c>
      <c r="O172" t="s">
        <v>89</v>
      </c>
      <c r="P172" s="44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93</v>
      </c>
      <c r="AD172" s="44">
        <v>43282</v>
      </c>
    </row>
    <row r="173" spans="1:30" x14ac:dyDescent="0.25">
      <c r="A173">
        <v>113052</v>
      </c>
      <c r="B173" t="s">
        <v>149</v>
      </c>
      <c r="C173">
        <v>2018</v>
      </c>
      <c r="D173">
        <v>8</v>
      </c>
      <c r="E173" t="s">
        <v>94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95</v>
      </c>
      <c r="L173" t="s">
        <v>112</v>
      </c>
      <c r="M173">
        <v>1702.89201288</v>
      </c>
      <c r="N173">
        <v>0</v>
      </c>
      <c r="O173" t="s">
        <v>89</v>
      </c>
      <c r="P173" s="44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93</v>
      </c>
      <c r="AD173" s="44">
        <v>43313</v>
      </c>
    </row>
    <row r="174" spans="1:30" x14ac:dyDescent="0.25">
      <c r="A174">
        <v>113076</v>
      </c>
      <c r="B174" t="s">
        <v>149</v>
      </c>
      <c r="C174">
        <v>2018</v>
      </c>
      <c r="D174">
        <v>8</v>
      </c>
      <c r="E174" t="s">
        <v>96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97</v>
      </c>
      <c r="L174" t="s">
        <v>112</v>
      </c>
      <c r="M174">
        <v>336.78904151</v>
      </c>
      <c r="N174">
        <v>0</v>
      </c>
      <c r="O174" t="s">
        <v>89</v>
      </c>
      <c r="P174" s="44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93</v>
      </c>
      <c r="AD174" s="44">
        <v>43313</v>
      </c>
    </row>
    <row r="175" spans="1:30" x14ac:dyDescent="0.25">
      <c r="A175">
        <v>113100</v>
      </c>
      <c r="B175" t="s">
        <v>149</v>
      </c>
      <c r="C175">
        <v>2018</v>
      </c>
      <c r="D175">
        <v>8</v>
      </c>
      <c r="E175" t="s">
        <v>98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99</v>
      </c>
      <c r="L175" t="s">
        <v>112</v>
      </c>
      <c r="M175">
        <v>901.42463836000002</v>
      </c>
      <c r="N175">
        <v>0</v>
      </c>
      <c r="O175" t="s">
        <v>89</v>
      </c>
      <c r="P175" s="44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93</v>
      </c>
      <c r="AD175" s="44">
        <v>43313</v>
      </c>
    </row>
    <row r="176" spans="1:30" x14ac:dyDescent="0.25">
      <c r="A176">
        <v>113052</v>
      </c>
      <c r="B176" t="s">
        <v>149</v>
      </c>
      <c r="C176">
        <v>2018</v>
      </c>
      <c r="D176">
        <v>8</v>
      </c>
      <c r="E176" t="s">
        <v>94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95</v>
      </c>
      <c r="L176" t="s">
        <v>112</v>
      </c>
      <c r="M176">
        <v>1702.89201288</v>
      </c>
      <c r="N176">
        <v>0</v>
      </c>
      <c r="O176" t="s">
        <v>89</v>
      </c>
      <c r="P176" s="44">
        <v>44269.85022109955</v>
      </c>
      <c r="Q176">
        <v>1042042</v>
      </c>
      <c r="R176" t="s">
        <v>90</v>
      </c>
      <c r="S176">
        <v>349.03477247000001</v>
      </c>
      <c r="W176"/>
      <c r="X176">
        <v>0</v>
      </c>
      <c r="AC176" t="s">
        <v>93</v>
      </c>
      <c r="AD176" s="44">
        <v>43313</v>
      </c>
    </row>
    <row r="177" spans="1:30" x14ac:dyDescent="0.25">
      <c r="A177">
        <v>113076</v>
      </c>
      <c r="B177" t="s">
        <v>149</v>
      </c>
      <c r="C177">
        <v>2018</v>
      </c>
      <c r="D177">
        <v>8</v>
      </c>
      <c r="E177" t="s">
        <v>96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97</v>
      </c>
      <c r="L177" t="s">
        <v>112</v>
      </c>
      <c r="M177">
        <v>336.78904151</v>
      </c>
      <c r="N177">
        <v>0</v>
      </c>
      <c r="O177" t="s">
        <v>89</v>
      </c>
      <c r="P177" s="44">
        <v>44269.850222337962</v>
      </c>
      <c r="Q177">
        <v>1042162</v>
      </c>
      <c r="R177" t="s">
        <v>90</v>
      </c>
      <c r="S177">
        <v>69.620198680000001</v>
      </c>
      <c r="W177"/>
      <c r="X177">
        <v>0</v>
      </c>
      <c r="AC177" t="s">
        <v>93</v>
      </c>
      <c r="AD177" s="44">
        <v>43313</v>
      </c>
    </row>
    <row r="178" spans="1:30" x14ac:dyDescent="0.25">
      <c r="A178">
        <v>113100</v>
      </c>
      <c r="B178" t="s">
        <v>149</v>
      </c>
      <c r="C178">
        <v>2018</v>
      </c>
      <c r="D178">
        <v>8</v>
      </c>
      <c r="E178" t="s">
        <v>98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99</v>
      </c>
      <c r="L178" t="s">
        <v>112</v>
      </c>
      <c r="M178">
        <v>901.42463836000002</v>
      </c>
      <c r="N178">
        <v>0</v>
      </c>
      <c r="O178" t="s">
        <v>89</v>
      </c>
      <c r="P178" s="44">
        <v>44269.850223530091</v>
      </c>
      <c r="Q178">
        <v>1042282</v>
      </c>
      <c r="R178" t="s">
        <v>90</v>
      </c>
      <c r="S178">
        <v>178.10234102000001</v>
      </c>
      <c r="W178"/>
      <c r="X178">
        <v>0</v>
      </c>
      <c r="AC178" t="s">
        <v>93</v>
      </c>
      <c r="AD178" s="44">
        <v>43313</v>
      </c>
    </row>
    <row r="179" spans="1:30" x14ac:dyDescent="0.25">
      <c r="A179">
        <v>113076</v>
      </c>
      <c r="B179" t="s">
        <v>149</v>
      </c>
      <c r="C179">
        <v>2018</v>
      </c>
      <c r="D179">
        <v>8</v>
      </c>
      <c r="E179" t="s">
        <v>96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97</v>
      </c>
      <c r="L179" t="s">
        <v>112</v>
      </c>
      <c r="M179">
        <v>336.78904151</v>
      </c>
      <c r="N179">
        <v>0</v>
      </c>
      <c r="O179" t="s">
        <v>89</v>
      </c>
      <c r="P179" s="44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93</v>
      </c>
      <c r="AD179" s="44">
        <v>43313</v>
      </c>
    </row>
    <row r="180" spans="1:30" x14ac:dyDescent="0.25">
      <c r="A180">
        <v>113100</v>
      </c>
      <c r="B180" t="s">
        <v>149</v>
      </c>
      <c r="C180">
        <v>2018</v>
      </c>
      <c r="D180">
        <v>8</v>
      </c>
      <c r="E180" t="s">
        <v>98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99</v>
      </c>
      <c r="L180" t="s">
        <v>112</v>
      </c>
      <c r="M180">
        <v>901.42463836000002</v>
      </c>
      <c r="N180">
        <v>0</v>
      </c>
      <c r="O180" t="s">
        <v>89</v>
      </c>
      <c r="P180" s="44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93</v>
      </c>
      <c r="AD180" s="44">
        <v>43313</v>
      </c>
    </row>
    <row r="181" spans="1:30" x14ac:dyDescent="0.25">
      <c r="A181">
        <v>113052</v>
      </c>
      <c r="B181" t="s">
        <v>149</v>
      </c>
      <c r="C181">
        <v>2018</v>
      </c>
      <c r="D181">
        <v>8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1702.89201288</v>
      </c>
      <c r="N181">
        <v>0</v>
      </c>
      <c r="O181" t="s">
        <v>89</v>
      </c>
      <c r="P181" s="44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93</v>
      </c>
      <c r="AD181" s="44">
        <v>43313</v>
      </c>
    </row>
    <row r="182" spans="1:30" x14ac:dyDescent="0.25">
      <c r="A182">
        <v>113076</v>
      </c>
      <c r="B182" t="s">
        <v>149</v>
      </c>
      <c r="C182">
        <v>2018</v>
      </c>
      <c r="D182">
        <v>8</v>
      </c>
      <c r="E182" t="s">
        <v>96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97</v>
      </c>
      <c r="L182" t="s">
        <v>112</v>
      </c>
      <c r="M182">
        <v>336.78904151</v>
      </c>
      <c r="N182">
        <v>0</v>
      </c>
      <c r="O182" t="s">
        <v>89</v>
      </c>
      <c r="P182" s="44">
        <v>44269.850222337962</v>
      </c>
      <c r="Q182">
        <v>1042158</v>
      </c>
      <c r="R182" t="s">
        <v>100</v>
      </c>
      <c r="S182">
        <v>0</v>
      </c>
      <c r="W182"/>
      <c r="X182">
        <v>0</v>
      </c>
      <c r="AC182" t="s">
        <v>93</v>
      </c>
      <c r="AD182" s="44">
        <v>43313</v>
      </c>
    </row>
    <row r="183" spans="1:30" x14ac:dyDescent="0.25">
      <c r="A183">
        <v>113100</v>
      </c>
      <c r="B183" t="s">
        <v>149</v>
      </c>
      <c r="C183">
        <v>2018</v>
      </c>
      <c r="D183">
        <v>8</v>
      </c>
      <c r="E183" t="s">
        <v>98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99</v>
      </c>
      <c r="L183" t="s">
        <v>112</v>
      </c>
      <c r="M183">
        <v>901.42463836000002</v>
      </c>
      <c r="N183">
        <v>0</v>
      </c>
      <c r="O183" t="s">
        <v>89</v>
      </c>
      <c r="P183" s="44">
        <v>44269.850223530091</v>
      </c>
      <c r="Q183">
        <v>1042278</v>
      </c>
      <c r="R183" t="s">
        <v>100</v>
      </c>
      <c r="S183">
        <v>10.44915788</v>
      </c>
      <c r="W183"/>
      <c r="X183">
        <v>0</v>
      </c>
      <c r="AC183" t="s">
        <v>93</v>
      </c>
      <c r="AD183" s="44">
        <v>43313</v>
      </c>
    </row>
    <row r="184" spans="1:30" x14ac:dyDescent="0.25">
      <c r="A184">
        <v>113052</v>
      </c>
      <c r="B184" t="s">
        <v>149</v>
      </c>
      <c r="C184">
        <v>2018</v>
      </c>
      <c r="D184">
        <v>8</v>
      </c>
      <c r="E184" t="s">
        <v>94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95</v>
      </c>
      <c r="L184" t="s">
        <v>112</v>
      </c>
      <c r="M184">
        <v>1702.89201288</v>
      </c>
      <c r="N184">
        <v>0</v>
      </c>
      <c r="O184" t="s">
        <v>89</v>
      </c>
      <c r="P184" s="44">
        <v>44269.85022109955</v>
      </c>
      <c r="Q184">
        <v>1042038</v>
      </c>
      <c r="R184" t="s">
        <v>100</v>
      </c>
      <c r="S184">
        <v>15.790973230000001</v>
      </c>
      <c r="W184"/>
      <c r="X184">
        <v>0</v>
      </c>
      <c r="AC184" t="s">
        <v>93</v>
      </c>
      <c r="AD184" s="44">
        <v>43313</v>
      </c>
    </row>
    <row r="185" spans="1:30" x14ac:dyDescent="0.25">
      <c r="A185">
        <v>113052</v>
      </c>
      <c r="B185" t="s">
        <v>149</v>
      </c>
      <c r="C185">
        <v>2018</v>
      </c>
      <c r="D185">
        <v>8</v>
      </c>
      <c r="E185" t="s">
        <v>94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95</v>
      </c>
      <c r="L185" t="s">
        <v>112</v>
      </c>
      <c r="M185">
        <v>1702.89201288</v>
      </c>
      <c r="N185">
        <v>0</v>
      </c>
      <c r="O185" t="s">
        <v>89</v>
      </c>
      <c r="P185" s="44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93</v>
      </c>
      <c r="AD185" s="44">
        <v>43313</v>
      </c>
    </row>
    <row r="186" spans="1:30" x14ac:dyDescent="0.25">
      <c r="A186">
        <v>113100</v>
      </c>
      <c r="B186" t="s">
        <v>149</v>
      </c>
      <c r="C186">
        <v>2018</v>
      </c>
      <c r="D186">
        <v>8</v>
      </c>
      <c r="E186" t="s">
        <v>98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99</v>
      </c>
      <c r="L186" t="s">
        <v>112</v>
      </c>
      <c r="M186">
        <v>901.42463836000002</v>
      </c>
      <c r="N186">
        <v>0</v>
      </c>
      <c r="O186" t="s">
        <v>89</v>
      </c>
      <c r="P186" s="44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93</v>
      </c>
      <c r="AD186" s="44">
        <v>43313</v>
      </c>
    </row>
    <row r="187" spans="1:30" x14ac:dyDescent="0.25">
      <c r="A187">
        <v>113076</v>
      </c>
      <c r="B187" t="s">
        <v>149</v>
      </c>
      <c r="C187">
        <v>2018</v>
      </c>
      <c r="D187">
        <v>8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336.78904151</v>
      </c>
      <c r="N187">
        <v>0</v>
      </c>
      <c r="O187" t="s">
        <v>89</v>
      </c>
      <c r="P187" s="44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93</v>
      </c>
      <c r="AD187" s="44">
        <v>43313</v>
      </c>
    </row>
    <row r="188" spans="1:30" x14ac:dyDescent="0.25">
      <c r="A188">
        <v>119662</v>
      </c>
      <c r="B188" t="s">
        <v>122</v>
      </c>
      <c r="C188">
        <v>2018</v>
      </c>
      <c r="D188">
        <v>9</v>
      </c>
      <c r="E188" t="s">
        <v>98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99</v>
      </c>
      <c r="L188" t="s">
        <v>112</v>
      </c>
      <c r="M188">
        <v>843.05591856000001</v>
      </c>
      <c r="N188">
        <v>0</v>
      </c>
      <c r="O188" t="s">
        <v>89</v>
      </c>
      <c r="P188" s="44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93</v>
      </c>
      <c r="AD188" s="44">
        <v>43344</v>
      </c>
    </row>
    <row r="189" spans="1:30" x14ac:dyDescent="0.25">
      <c r="A189">
        <v>119614</v>
      </c>
      <c r="B189" t="s">
        <v>122</v>
      </c>
      <c r="C189">
        <v>2018</v>
      </c>
      <c r="D189">
        <v>9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1439.52704135</v>
      </c>
      <c r="N189">
        <v>0</v>
      </c>
      <c r="O189" t="s">
        <v>89</v>
      </c>
      <c r="P189" s="44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93</v>
      </c>
      <c r="AD189" s="44">
        <v>43344</v>
      </c>
    </row>
    <row r="190" spans="1:30" x14ac:dyDescent="0.25">
      <c r="A190">
        <v>119638</v>
      </c>
      <c r="B190" t="s">
        <v>122</v>
      </c>
      <c r="C190">
        <v>2018</v>
      </c>
      <c r="D190">
        <v>9</v>
      </c>
      <c r="E190" t="s">
        <v>96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97</v>
      </c>
      <c r="L190" t="s">
        <v>112</v>
      </c>
      <c r="M190">
        <v>316.65874517999998</v>
      </c>
      <c r="N190">
        <v>0</v>
      </c>
      <c r="O190" t="s">
        <v>89</v>
      </c>
      <c r="P190" s="44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93</v>
      </c>
      <c r="AD190" s="44">
        <v>43344</v>
      </c>
    </row>
    <row r="191" spans="1:30" x14ac:dyDescent="0.25">
      <c r="A191">
        <v>119662</v>
      </c>
      <c r="B191" t="s">
        <v>122</v>
      </c>
      <c r="C191">
        <v>2018</v>
      </c>
      <c r="D191">
        <v>9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843.05591856000001</v>
      </c>
      <c r="N191">
        <v>0</v>
      </c>
      <c r="O191" t="s">
        <v>89</v>
      </c>
      <c r="P191" s="44">
        <v>44269.851107986113</v>
      </c>
      <c r="Q191">
        <v>1081853</v>
      </c>
      <c r="R191" t="s">
        <v>90</v>
      </c>
      <c r="S191">
        <v>167.12112604999999</v>
      </c>
      <c r="W191"/>
      <c r="X191">
        <v>0</v>
      </c>
      <c r="AC191" t="s">
        <v>93</v>
      </c>
      <c r="AD191" s="44">
        <v>43344</v>
      </c>
    </row>
    <row r="192" spans="1:30" x14ac:dyDescent="0.25">
      <c r="A192">
        <v>119638</v>
      </c>
      <c r="B192" t="s">
        <v>122</v>
      </c>
      <c r="C192">
        <v>2018</v>
      </c>
      <c r="D192">
        <v>9</v>
      </c>
      <c r="E192" t="s">
        <v>96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97</v>
      </c>
      <c r="L192" t="s">
        <v>112</v>
      </c>
      <c r="M192">
        <v>316.65874517999998</v>
      </c>
      <c r="N192">
        <v>0</v>
      </c>
      <c r="O192" t="s">
        <v>89</v>
      </c>
      <c r="P192" s="44">
        <v>44269.85110659722</v>
      </c>
      <c r="Q192">
        <v>1081733</v>
      </c>
      <c r="R192" t="s">
        <v>90</v>
      </c>
      <c r="S192">
        <v>65.677974120000002</v>
      </c>
      <c r="W192"/>
      <c r="X192">
        <v>0</v>
      </c>
      <c r="AC192" t="s">
        <v>93</v>
      </c>
      <c r="AD192" s="44">
        <v>43344</v>
      </c>
    </row>
    <row r="193" spans="1:30" x14ac:dyDescent="0.25">
      <c r="A193">
        <v>119614</v>
      </c>
      <c r="B193" t="s">
        <v>122</v>
      </c>
      <c r="C193">
        <v>2018</v>
      </c>
      <c r="D193">
        <v>9</v>
      </c>
      <c r="E193" t="s">
        <v>94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95</v>
      </c>
      <c r="L193" t="s">
        <v>112</v>
      </c>
      <c r="M193">
        <v>1439.52704135</v>
      </c>
      <c r="N193">
        <v>0</v>
      </c>
      <c r="O193" t="s">
        <v>89</v>
      </c>
      <c r="P193" s="44">
        <v>44269.851105011578</v>
      </c>
      <c r="Q193">
        <v>1081613</v>
      </c>
      <c r="R193" t="s">
        <v>90</v>
      </c>
      <c r="S193">
        <v>317.66754981000003</v>
      </c>
      <c r="W193"/>
      <c r="X193">
        <v>0</v>
      </c>
      <c r="AC193" t="s">
        <v>93</v>
      </c>
      <c r="AD193" s="44">
        <v>43344</v>
      </c>
    </row>
    <row r="194" spans="1:30" x14ac:dyDescent="0.25">
      <c r="A194">
        <v>119614</v>
      </c>
      <c r="B194" t="s">
        <v>122</v>
      </c>
      <c r="C194">
        <v>2018</v>
      </c>
      <c r="D194">
        <v>9</v>
      </c>
      <c r="E194" t="s">
        <v>94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95</v>
      </c>
      <c r="L194" t="s">
        <v>112</v>
      </c>
      <c r="M194">
        <v>1439.52704135</v>
      </c>
      <c r="N194">
        <v>0</v>
      </c>
      <c r="O194" t="s">
        <v>89</v>
      </c>
      <c r="P194" s="44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93</v>
      </c>
      <c r="AD194" s="44">
        <v>43344</v>
      </c>
    </row>
    <row r="195" spans="1:30" x14ac:dyDescent="0.25">
      <c r="A195">
        <v>119638</v>
      </c>
      <c r="B195" t="s">
        <v>122</v>
      </c>
      <c r="C195">
        <v>2018</v>
      </c>
      <c r="D195">
        <v>9</v>
      </c>
      <c r="E195" t="s">
        <v>96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97</v>
      </c>
      <c r="L195" t="s">
        <v>112</v>
      </c>
      <c r="M195">
        <v>316.65874517999998</v>
      </c>
      <c r="N195">
        <v>0</v>
      </c>
      <c r="O195" t="s">
        <v>89</v>
      </c>
      <c r="P195" s="44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93</v>
      </c>
      <c r="AD195" s="44">
        <v>43344</v>
      </c>
    </row>
    <row r="196" spans="1:30" x14ac:dyDescent="0.25">
      <c r="A196">
        <v>119662</v>
      </c>
      <c r="B196" t="s">
        <v>122</v>
      </c>
      <c r="C196">
        <v>2018</v>
      </c>
      <c r="D196">
        <v>9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843.05591856000001</v>
      </c>
      <c r="N196">
        <v>0</v>
      </c>
      <c r="O196" t="s">
        <v>89</v>
      </c>
      <c r="P196" s="44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93</v>
      </c>
      <c r="AD196" s="44">
        <v>43344</v>
      </c>
    </row>
    <row r="197" spans="1:30" x14ac:dyDescent="0.25">
      <c r="A197">
        <v>119614</v>
      </c>
      <c r="B197" t="s">
        <v>122</v>
      </c>
      <c r="C197">
        <v>2018</v>
      </c>
      <c r="D197">
        <v>9</v>
      </c>
      <c r="E197" t="s">
        <v>94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95</v>
      </c>
      <c r="L197" t="s">
        <v>112</v>
      </c>
      <c r="M197">
        <v>1439.52704135</v>
      </c>
      <c r="N197">
        <v>0</v>
      </c>
      <c r="O197" t="s">
        <v>89</v>
      </c>
      <c r="P197" s="44">
        <v>44269.851105011578</v>
      </c>
      <c r="Q197">
        <v>1081609</v>
      </c>
      <c r="R197" t="s">
        <v>100</v>
      </c>
      <c r="S197">
        <v>15.90858214</v>
      </c>
      <c r="W197"/>
      <c r="X197">
        <v>0</v>
      </c>
      <c r="AC197" t="s">
        <v>93</v>
      </c>
      <c r="AD197" s="44">
        <v>43344</v>
      </c>
    </row>
    <row r="198" spans="1:30" x14ac:dyDescent="0.25">
      <c r="A198">
        <v>119638</v>
      </c>
      <c r="B198" t="s">
        <v>122</v>
      </c>
      <c r="C198">
        <v>2018</v>
      </c>
      <c r="D198">
        <v>9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316.65874517999998</v>
      </c>
      <c r="N198">
        <v>0</v>
      </c>
      <c r="O198" t="s">
        <v>89</v>
      </c>
      <c r="P198" s="44">
        <v>44269.85110659722</v>
      </c>
      <c r="Q198">
        <v>1081729</v>
      </c>
      <c r="R198" t="s">
        <v>100</v>
      </c>
      <c r="S198">
        <v>0</v>
      </c>
      <c r="W198"/>
      <c r="X198">
        <v>0</v>
      </c>
      <c r="AC198" t="s">
        <v>93</v>
      </c>
      <c r="AD198" s="44">
        <v>43344</v>
      </c>
    </row>
    <row r="199" spans="1:30" x14ac:dyDescent="0.25">
      <c r="A199">
        <v>119662</v>
      </c>
      <c r="B199" t="s">
        <v>122</v>
      </c>
      <c r="C199">
        <v>2018</v>
      </c>
      <c r="D199">
        <v>9</v>
      </c>
      <c r="E199" t="s">
        <v>98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99</v>
      </c>
      <c r="L199" t="s">
        <v>112</v>
      </c>
      <c r="M199">
        <v>843.05591856000001</v>
      </c>
      <c r="N199">
        <v>0</v>
      </c>
      <c r="O199" t="s">
        <v>89</v>
      </c>
      <c r="P199" s="44">
        <v>44269.851107986113</v>
      </c>
      <c r="Q199">
        <v>1081849</v>
      </c>
      <c r="R199" t="s">
        <v>100</v>
      </c>
      <c r="S199">
        <v>9.8030732700000005</v>
      </c>
      <c r="W199"/>
      <c r="X199">
        <v>0</v>
      </c>
      <c r="AC199" t="s">
        <v>93</v>
      </c>
      <c r="AD199" s="44">
        <v>43344</v>
      </c>
    </row>
    <row r="200" spans="1:30" x14ac:dyDescent="0.25">
      <c r="A200">
        <v>119662</v>
      </c>
      <c r="B200" t="s">
        <v>122</v>
      </c>
      <c r="C200">
        <v>2018</v>
      </c>
      <c r="D200">
        <v>9</v>
      </c>
      <c r="E200" t="s">
        <v>98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843.05591856000001</v>
      </c>
      <c r="N200">
        <v>0</v>
      </c>
      <c r="O200" t="s">
        <v>89</v>
      </c>
      <c r="P200" s="44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93</v>
      </c>
      <c r="AD200" s="44">
        <v>43344</v>
      </c>
    </row>
    <row r="201" spans="1:30" x14ac:dyDescent="0.25">
      <c r="A201">
        <v>119638</v>
      </c>
      <c r="B201" t="s">
        <v>122</v>
      </c>
      <c r="C201">
        <v>2018</v>
      </c>
      <c r="D201">
        <v>9</v>
      </c>
      <c r="E201" t="s">
        <v>96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316.65874517999998</v>
      </c>
      <c r="N201">
        <v>0</v>
      </c>
      <c r="O201" t="s">
        <v>89</v>
      </c>
      <c r="P201" s="44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93</v>
      </c>
      <c r="AD201" s="44">
        <v>43344</v>
      </c>
    </row>
    <row r="202" spans="1:30" x14ac:dyDescent="0.25">
      <c r="A202">
        <v>119614</v>
      </c>
      <c r="B202" t="s">
        <v>122</v>
      </c>
      <c r="C202">
        <v>2018</v>
      </c>
      <c r="D202">
        <v>9</v>
      </c>
      <c r="E202" t="s">
        <v>94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95</v>
      </c>
      <c r="L202" t="s">
        <v>112</v>
      </c>
      <c r="M202">
        <v>1439.52704135</v>
      </c>
      <c r="N202">
        <v>0</v>
      </c>
      <c r="O202" t="s">
        <v>89</v>
      </c>
      <c r="P202" s="44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93</v>
      </c>
      <c r="AD202" s="44">
        <v>43344</v>
      </c>
    </row>
    <row r="203" spans="1:30" x14ac:dyDescent="0.25">
      <c r="A203">
        <v>130318</v>
      </c>
      <c r="B203" t="s">
        <v>123</v>
      </c>
      <c r="C203">
        <v>2018</v>
      </c>
      <c r="D203">
        <v>10</v>
      </c>
      <c r="E203" t="s">
        <v>96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97</v>
      </c>
      <c r="L203" t="s">
        <v>112</v>
      </c>
      <c r="M203">
        <v>333.40243543999998</v>
      </c>
      <c r="N203">
        <v>0</v>
      </c>
      <c r="O203" t="s">
        <v>89</v>
      </c>
      <c r="P203" s="44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93</v>
      </c>
      <c r="AD203" s="44">
        <v>43374</v>
      </c>
    </row>
    <row r="204" spans="1:30" x14ac:dyDescent="0.25">
      <c r="A204">
        <v>130342</v>
      </c>
      <c r="B204" t="s">
        <v>123</v>
      </c>
      <c r="C204">
        <v>2018</v>
      </c>
      <c r="D204">
        <v>10</v>
      </c>
      <c r="E204" t="s">
        <v>98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99</v>
      </c>
      <c r="L204" t="s">
        <v>112</v>
      </c>
      <c r="M204">
        <v>879.43208655000001</v>
      </c>
      <c r="N204">
        <v>0</v>
      </c>
      <c r="O204" t="s">
        <v>89</v>
      </c>
      <c r="P204" s="44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93</v>
      </c>
      <c r="AD204" s="44">
        <v>43374</v>
      </c>
    </row>
    <row r="205" spans="1:30" x14ac:dyDescent="0.25">
      <c r="A205">
        <v>130294</v>
      </c>
      <c r="B205" t="s">
        <v>123</v>
      </c>
      <c r="C205">
        <v>2018</v>
      </c>
      <c r="D205">
        <v>10</v>
      </c>
      <c r="E205" t="s">
        <v>94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1428.8615156599999</v>
      </c>
      <c r="N205">
        <v>0</v>
      </c>
      <c r="O205" t="s">
        <v>89</v>
      </c>
      <c r="P205" s="44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93</v>
      </c>
      <c r="AD205" s="44">
        <v>43374</v>
      </c>
    </row>
    <row r="206" spans="1:30" x14ac:dyDescent="0.25">
      <c r="A206">
        <v>130318</v>
      </c>
      <c r="B206" t="s">
        <v>123</v>
      </c>
      <c r="C206">
        <v>2018</v>
      </c>
      <c r="D206">
        <v>10</v>
      </c>
      <c r="E206" t="s">
        <v>96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333.40243543999998</v>
      </c>
      <c r="N206">
        <v>0</v>
      </c>
      <c r="O206" t="s">
        <v>89</v>
      </c>
      <c r="P206" s="44">
        <v>44269.852573611111</v>
      </c>
      <c r="Q206">
        <v>1193105</v>
      </c>
      <c r="R206" t="s">
        <v>90</v>
      </c>
      <c r="S206">
        <v>69.149925620000005</v>
      </c>
      <c r="W206"/>
      <c r="X206">
        <v>0</v>
      </c>
      <c r="AC206" t="s">
        <v>93</v>
      </c>
      <c r="AD206" s="44">
        <v>43374</v>
      </c>
    </row>
    <row r="207" spans="1:30" x14ac:dyDescent="0.25">
      <c r="A207">
        <v>130294</v>
      </c>
      <c r="B207" t="s">
        <v>123</v>
      </c>
      <c r="C207">
        <v>2018</v>
      </c>
      <c r="D207">
        <v>10</v>
      </c>
      <c r="E207" t="s">
        <v>94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1428.8615156599999</v>
      </c>
      <c r="N207">
        <v>0</v>
      </c>
      <c r="O207" t="s">
        <v>89</v>
      </c>
      <c r="P207" s="44">
        <v>44269.8525723727</v>
      </c>
      <c r="Q207">
        <v>1192985</v>
      </c>
      <c r="R207" t="s">
        <v>90</v>
      </c>
      <c r="S207">
        <v>293.84436671999998</v>
      </c>
      <c r="W207"/>
      <c r="X207">
        <v>0</v>
      </c>
      <c r="AC207" t="s">
        <v>93</v>
      </c>
      <c r="AD207" s="44">
        <v>43374</v>
      </c>
    </row>
    <row r="208" spans="1:30" x14ac:dyDescent="0.25">
      <c r="A208">
        <v>130342</v>
      </c>
      <c r="B208" t="s">
        <v>123</v>
      </c>
      <c r="C208">
        <v>2018</v>
      </c>
      <c r="D208">
        <v>10</v>
      </c>
      <c r="E208" t="s">
        <v>98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879.43208655000001</v>
      </c>
      <c r="N208">
        <v>0</v>
      </c>
      <c r="O208" t="s">
        <v>89</v>
      </c>
      <c r="P208" s="44">
        <v>44269.852574803241</v>
      </c>
      <c r="Q208">
        <v>1193225</v>
      </c>
      <c r="R208" t="s">
        <v>90</v>
      </c>
      <c r="S208">
        <v>174.33643208999999</v>
      </c>
      <c r="W208"/>
      <c r="X208">
        <v>0</v>
      </c>
      <c r="AC208" t="s">
        <v>93</v>
      </c>
      <c r="AD208" s="44">
        <v>43374</v>
      </c>
    </row>
    <row r="209" spans="1:30" x14ac:dyDescent="0.25">
      <c r="A209">
        <v>130318</v>
      </c>
      <c r="B209" t="s">
        <v>123</v>
      </c>
      <c r="C209">
        <v>2018</v>
      </c>
      <c r="D209">
        <v>10</v>
      </c>
      <c r="E209" t="s">
        <v>96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97</v>
      </c>
      <c r="L209" t="s">
        <v>112</v>
      </c>
      <c r="M209">
        <v>333.40243543999998</v>
      </c>
      <c r="N209">
        <v>0</v>
      </c>
      <c r="O209" t="s">
        <v>89</v>
      </c>
      <c r="P209" s="44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93</v>
      </c>
      <c r="AD209" s="44">
        <v>43374</v>
      </c>
    </row>
    <row r="210" spans="1:30" x14ac:dyDescent="0.25">
      <c r="A210">
        <v>130342</v>
      </c>
      <c r="B210" t="s">
        <v>123</v>
      </c>
      <c r="C210">
        <v>2018</v>
      </c>
      <c r="D210">
        <v>10</v>
      </c>
      <c r="E210" t="s">
        <v>98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99</v>
      </c>
      <c r="L210" t="s">
        <v>112</v>
      </c>
      <c r="M210">
        <v>879.43208655000001</v>
      </c>
      <c r="N210">
        <v>0</v>
      </c>
      <c r="O210" t="s">
        <v>89</v>
      </c>
      <c r="P210" s="44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93</v>
      </c>
      <c r="AD210" s="44">
        <v>43374</v>
      </c>
    </row>
    <row r="211" spans="1:30" x14ac:dyDescent="0.25">
      <c r="A211">
        <v>130294</v>
      </c>
      <c r="B211" t="s">
        <v>123</v>
      </c>
      <c r="C211">
        <v>2018</v>
      </c>
      <c r="D211">
        <v>10</v>
      </c>
      <c r="E211" t="s">
        <v>94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95</v>
      </c>
      <c r="L211" t="s">
        <v>112</v>
      </c>
      <c r="M211">
        <v>1428.8615156599999</v>
      </c>
      <c r="N211">
        <v>0</v>
      </c>
      <c r="O211" t="s">
        <v>89</v>
      </c>
      <c r="P211" s="44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93</v>
      </c>
      <c r="AD211" s="44">
        <v>43374</v>
      </c>
    </row>
    <row r="212" spans="1:30" x14ac:dyDescent="0.25">
      <c r="A212">
        <v>130318</v>
      </c>
      <c r="B212" t="s">
        <v>123</v>
      </c>
      <c r="C212">
        <v>2018</v>
      </c>
      <c r="D212">
        <v>10</v>
      </c>
      <c r="E212" t="s">
        <v>96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333.40243543999998</v>
      </c>
      <c r="N212">
        <v>0</v>
      </c>
      <c r="O212" t="s">
        <v>89</v>
      </c>
      <c r="P212" s="44">
        <v>44269.852573611111</v>
      </c>
      <c r="Q212">
        <v>1193101</v>
      </c>
      <c r="R212" t="s">
        <v>100</v>
      </c>
      <c r="S212">
        <v>0</v>
      </c>
      <c r="W212"/>
      <c r="X212">
        <v>0</v>
      </c>
      <c r="AC212" t="s">
        <v>93</v>
      </c>
      <c r="AD212" s="44">
        <v>43374</v>
      </c>
    </row>
    <row r="213" spans="1:30" x14ac:dyDescent="0.25">
      <c r="A213">
        <v>130342</v>
      </c>
      <c r="B213" t="s">
        <v>123</v>
      </c>
      <c r="C213">
        <v>2018</v>
      </c>
      <c r="D213">
        <v>10</v>
      </c>
      <c r="E213" t="s">
        <v>98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99</v>
      </c>
      <c r="L213" t="s">
        <v>112</v>
      </c>
      <c r="M213">
        <v>879.43208655000001</v>
      </c>
      <c r="N213">
        <v>0</v>
      </c>
      <c r="O213" t="s">
        <v>89</v>
      </c>
      <c r="P213" s="44">
        <v>44269.852574803241</v>
      </c>
      <c r="Q213">
        <v>1193221</v>
      </c>
      <c r="R213" t="s">
        <v>100</v>
      </c>
      <c r="S213">
        <v>10.228214250000001</v>
      </c>
      <c r="W213"/>
      <c r="X213">
        <v>0</v>
      </c>
      <c r="AC213" t="s">
        <v>93</v>
      </c>
      <c r="AD213" s="44">
        <v>43374</v>
      </c>
    </row>
    <row r="214" spans="1:30" x14ac:dyDescent="0.25">
      <c r="A214">
        <v>130294</v>
      </c>
      <c r="B214" t="s">
        <v>123</v>
      </c>
      <c r="C214">
        <v>2018</v>
      </c>
      <c r="D214">
        <v>10</v>
      </c>
      <c r="E214" t="s">
        <v>94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95</v>
      </c>
      <c r="L214" t="s">
        <v>112</v>
      </c>
      <c r="M214">
        <v>1428.8615156599999</v>
      </c>
      <c r="N214">
        <v>0</v>
      </c>
      <c r="O214" t="s">
        <v>89</v>
      </c>
      <c r="P214" s="44">
        <v>44269.8525723727</v>
      </c>
      <c r="Q214">
        <v>1192981</v>
      </c>
      <c r="R214" t="s">
        <v>100</v>
      </c>
      <c r="S214">
        <v>13.29405805</v>
      </c>
      <c r="W214"/>
      <c r="X214">
        <v>0</v>
      </c>
      <c r="AC214" t="s">
        <v>93</v>
      </c>
      <c r="AD214" s="44">
        <v>43374</v>
      </c>
    </row>
    <row r="215" spans="1:30" x14ac:dyDescent="0.25">
      <c r="A215">
        <v>130318</v>
      </c>
      <c r="B215" t="s">
        <v>123</v>
      </c>
      <c r="C215">
        <v>2018</v>
      </c>
      <c r="D215">
        <v>10</v>
      </c>
      <c r="E215" t="s">
        <v>96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333.40243543999998</v>
      </c>
      <c r="N215">
        <v>0</v>
      </c>
      <c r="O215" t="s">
        <v>89</v>
      </c>
      <c r="P215" s="44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93</v>
      </c>
      <c r="AD215" s="44">
        <v>43374</v>
      </c>
    </row>
    <row r="216" spans="1:30" x14ac:dyDescent="0.25">
      <c r="A216">
        <v>130342</v>
      </c>
      <c r="B216" t="s">
        <v>123</v>
      </c>
      <c r="C216">
        <v>2018</v>
      </c>
      <c r="D216">
        <v>10</v>
      </c>
      <c r="E216" t="s">
        <v>98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99</v>
      </c>
      <c r="L216" t="s">
        <v>112</v>
      </c>
      <c r="M216">
        <v>879.43208655000001</v>
      </c>
      <c r="N216">
        <v>0</v>
      </c>
      <c r="O216" t="s">
        <v>89</v>
      </c>
      <c r="P216" s="44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93</v>
      </c>
      <c r="AD216" s="44">
        <v>43374</v>
      </c>
    </row>
    <row r="217" spans="1:30" x14ac:dyDescent="0.25">
      <c r="A217">
        <v>130294</v>
      </c>
      <c r="B217" t="s">
        <v>123</v>
      </c>
      <c r="C217">
        <v>2018</v>
      </c>
      <c r="D217">
        <v>10</v>
      </c>
      <c r="E217" t="s">
        <v>94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95</v>
      </c>
      <c r="L217" t="s">
        <v>112</v>
      </c>
      <c r="M217">
        <v>1428.8615156599999</v>
      </c>
      <c r="N217">
        <v>0</v>
      </c>
      <c r="O217" t="s">
        <v>89</v>
      </c>
      <c r="P217" s="44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93</v>
      </c>
      <c r="AD217" s="44">
        <v>43374</v>
      </c>
    </row>
    <row r="218" spans="1:30" x14ac:dyDescent="0.25">
      <c r="A218">
        <v>144832</v>
      </c>
      <c r="B218" t="s">
        <v>124</v>
      </c>
      <c r="C218">
        <v>2018</v>
      </c>
      <c r="D218">
        <v>11</v>
      </c>
      <c r="E218" t="s">
        <v>94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95</v>
      </c>
      <c r="L218" t="s">
        <v>112</v>
      </c>
      <c r="M218">
        <v>1939.5207746900001</v>
      </c>
      <c r="N218">
        <v>0</v>
      </c>
      <c r="O218" t="s">
        <v>89</v>
      </c>
      <c r="P218" s="44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93</v>
      </c>
      <c r="AD218" s="44">
        <v>43405</v>
      </c>
    </row>
    <row r="219" spans="1:30" x14ac:dyDescent="0.25">
      <c r="A219">
        <v>144856</v>
      </c>
      <c r="B219" t="s">
        <v>124</v>
      </c>
      <c r="C219">
        <v>2018</v>
      </c>
      <c r="D219">
        <v>11</v>
      </c>
      <c r="E219" t="s">
        <v>96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527.43779992999998</v>
      </c>
      <c r="N219">
        <v>0</v>
      </c>
      <c r="O219" t="s">
        <v>89</v>
      </c>
      <c r="P219" s="44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93</v>
      </c>
      <c r="AD219" s="44">
        <v>43405</v>
      </c>
    </row>
    <row r="220" spans="1:30" x14ac:dyDescent="0.25">
      <c r="A220">
        <v>144880</v>
      </c>
      <c r="B220" t="s">
        <v>124</v>
      </c>
      <c r="C220">
        <v>2018</v>
      </c>
      <c r="D220">
        <v>11</v>
      </c>
      <c r="E220" t="s">
        <v>98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99</v>
      </c>
      <c r="L220" t="s">
        <v>112</v>
      </c>
      <c r="M220">
        <v>1036.3887642100001</v>
      </c>
      <c r="N220">
        <v>0</v>
      </c>
      <c r="O220" t="s">
        <v>89</v>
      </c>
      <c r="P220" s="44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93</v>
      </c>
      <c r="AD220" s="44">
        <v>43405</v>
      </c>
    </row>
    <row r="221" spans="1:30" x14ac:dyDescent="0.25">
      <c r="A221">
        <v>144880</v>
      </c>
      <c r="B221" t="s">
        <v>124</v>
      </c>
      <c r="C221">
        <v>2018</v>
      </c>
      <c r="D221">
        <v>11</v>
      </c>
      <c r="E221" t="s">
        <v>98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99</v>
      </c>
      <c r="L221" t="s">
        <v>112</v>
      </c>
      <c r="M221">
        <v>1036.3887642100001</v>
      </c>
      <c r="N221">
        <v>0</v>
      </c>
      <c r="O221" t="s">
        <v>89</v>
      </c>
      <c r="P221" s="44">
        <v>44269.854264965281</v>
      </c>
      <c r="Q221">
        <v>1337185</v>
      </c>
      <c r="R221" t="s">
        <v>90</v>
      </c>
      <c r="S221">
        <v>205.45113395000001</v>
      </c>
      <c r="W221"/>
      <c r="X221">
        <v>0</v>
      </c>
      <c r="AC221" t="s">
        <v>93</v>
      </c>
      <c r="AD221" s="44">
        <v>43405</v>
      </c>
    </row>
    <row r="222" spans="1:30" x14ac:dyDescent="0.25">
      <c r="A222">
        <v>144856</v>
      </c>
      <c r="B222" t="s">
        <v>124</v>
      </c>
      <c r="C222">
        <v>2018</v>
      </c>
      <c r="D222">
        <v>11</v>
      </c>
      <c r="E222" t="s">
        <v>96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97</v>
      </c>
      <c r="L222" t="s">
        <v>112</v>
      </c>
      <c r="M222">
        <v>527.43779992999998</v>
      </c>
      <c r="N222">
        <v>0</v>
      </c>
      <c r="O222" t="s">
        <v>89</v>
      </c>
      <c r="P222" s="44">
        <v>44269.854263738423</v>
      </c>
      <c r="Q222">
        <v>1337065</v>
      </c>
      <c r="R222" t="s">
        <v>90</v>
      </c>
      <c r="S222">
        <v>109.3941758</v>
      </c>
      <c r="W222"/>
      <c r="X222">
        <v>0</v>
      </c>
      <c r="AC222" t="s">
        <v>93</v>
      </c>
      <c r="AD222" s="44">
        <v>43405</v>
      </c>
    </row>
    <row r="223" spans="1:30" x14ac:dyDescent="0.25">
      <c r="A223">
        <v>144832</v>
      </c>
      <c r="B223" t="s">
        <v>124</v>
      </c>
      <c r="C223">
        <v>2018</v>
      </c>
      <c r="D223">
        <v>11</v>
      </c>
      <c r="E223" t="s">
        <v>94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95</v>
      </c>
      <c r="L223" t="s">
        <v>112</v>
      </c>
      <c r="M223">
        <v>1939.5207746900001</v>
      </c>
      <c r="N223">
        <v>0</v>
      </c>
      <c r="O223" t="s">
        <v>89</v>
      </c>
      <c r="P223" s="44">
        <v>44269.854262534733</v>
      </c>
      <c r="Q223">
        <v>1336945</v>
      </c>
      <c r="R223" t="s">
        <v>90</v>
      </c>
      <c r="S223">
        <v>398.86108453000003</v>
      </c>
      <c r="W223"/>
      <c r="X223">
        <v>0</v>
      </c>
      <c r="AC223" t="s">
        <v>93</v>
      </c>
      <c r="AD223" s="44">
        <v>43405</v>
      </c>
    </row>
    <row r="224" spans="1:30" x14ac:dyDescent="0.25">
      <c r="A224">
        <v>144856</v>
      </c>
      <c r="B224" t="s">
        <v>124</v>
      </c>
      <c r="C224">
        <v>2018</v>
      </c>
      <c r="D224">
        <v>11</v>
      </c>
      <c r="E224" t="s">
        <v>96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527.43779992999998</v>
      </c>
      <c r="N224">
        <v>0</v>
      </c>
      <c r="O224" t="s">
        <v>89</v>
      </c>
      <c r="P224" s="44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93</v>
      </c>
      <c r="AD224" s="44">
        <v>43405</v>
      </c>
    </row>
    <row r="225" spans="1:30" x14ac:dyDescent="0.25">
      <c r="A225">
        <v>144832</v>
      </c>
      <c r="B225" t="s">
        <v>124</v>
      </c>
      <c r="C225">
        <v>2018</v>
      </c>
      <c r="D225">
        <v>11</v>
      </c>
      <c r="E225" t="s">
        <v>94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95</v>
      </c>
      <c r="L225" t="s">
        <v>112</v>
      </c>
      <c r="M225">
        <v>1939.5207746900001</v>
      </c>
      <c r="N225">
        <v>0</v>
      </c>
      <c r="O225" t="s">
        <v>89</v>
      </c>
      <c r="P225" s="44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93</v>
      </c>
      <c r="AD225" s="44">
        <v>43405</v>
      </c>
    </row>
    <row r="226" spans="1:30" x14ac:dyDescent="0.25">
      <c r="A226">
        <v>144880</v>
      </c>
      <c r="B226" t="s">
        <v>124</v>
      </c>
      <c r="C226">
        <v>2018</v>
      </c>
      <c r="D226">
        <v>11</v>
      </c>
      <c r="E226" t="s">
        <v>98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99</v>
      </c>
      <c r="L226" t="s">
        <v>112</v>
      </c>
      <c r="M226">
        <v>1036.3887642100001</v>
      </c>
      <c r="N226">
        <v>0</v>
      </c>
      <c r="O226" t="s">
        <v>89</v>
      </c>
      <c r="P226" s="44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93</v>
      </c>
      <c r="AD226" s="44">
        <v>43405</v>
      </c>
    </row>
    <row r="227" spans="1:30" x14ac:dyDescent="0.25">
      <c r="A227">
        <v>144832</v>
      </c>
      <c r="B227" t="s">
        <v>124</v>
      </c>
      <c r="C227">
        <v>2018</v>
      </c>
      <c r="D227">
        <v>11</v>
      </c>
      <c r="E227" t="s">
        <v>94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95</v>
      </c>
      <c r="L227" t="s">
        <v>112</v>
      </c>
      <c r="M227">
        <v>1939.5207746900001</v>
      </c>
      <c r="N227">
        <v>0</v>
      </c>
      <c r="O227" t="s">
        <v>89</v>
      </c>
      <c r="P227" s="44">
        <v>44269.854262534733</v>
      </c>
      <c r="Q227">
        <v>1336941</v>
      </c>
      <c r="R227" t="s">
        <v>100</v>
      </c>
      <c r="S227">
        <v>18.045206960000002</v>
      </c>
      <c r="W227"/>
      <c r="X227">
        <v>0</v>
      </c>
      <c r="AC227" t="s">
        <v>93</v>
      </c>
      <c r="AD227" s="44">
        <v>43405</v>
      </c>
    </row>
    <row r="228" spans="1:30" x14ac:dyDescent="0.25">
      <c r="A228">
        <v>144880</v>
      </c>
      <c r="B228" t="s">
        <v>124</v>
      </c>
      <c r="C228">
        <v>2018</v>
      </c>
      <c r="D228">
        <v>11</v>
      </c>
      <c r="E228" t="s">
        <v>98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99</v>
      </c>
      <c r="L228" t="s">
        <v>112</v>
      </c>
      <c r="M228">
        <v>1036.3887642100001</v>
      </c>
      <c r="N228">
        <v>0</v>
      </c>
      <c r="O228" t="s">
        <v>89</v>
      </c>
      <c r="P228" s="44">
        <v>44269.854264965281</v>
      </c>
      <c r="Q228">
        <v>1337181</v>
      </c>
      <c r="R228" t="s">
        <v>100</v>
      </c>
      <c r="S228">
        <v>12.053695210000001</v>
      </c>
      <c r="W228"/>
      <c r="X228">
        <v>0</v>
      </c>
      <c r="AC228" t="s">
        <v>93</v>
      </c>
      <c r="AD228" s="44">
        <v>43405</v>
      </c>
    </row>
    <row r="229" spans="1:30" x14ac:dyDescent="0.25">
      <c r="A229">
        <v>144856</v>
      </c>
      <c r="B229" t="s">
        <v>124</v>
      </c>
      <c r="C229">
        <v>2018</v>
      </c>
      <c r="D229">
        <v>11</v>
      </c>
      <c r="E229" t="s">
        <v>96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97</v>
      </c>
      <c r="L229" t="s">
        <v>112</v>
      </c>
      <c r="M229">
        <v>527.43779992999998</v>
      </c>
      <c r="N229">
        <v>0</v>
      </c>
      <c r="O229" t="s">
        <v>89</v>
      </c>
      <c r="P229" s="44">
        <v>44269.854263738423</v>
      </c>
      <c r="Q229">
        <v>1337061</v>
      </c>
      <c r="R229" t="s">
        <v>100</v>
      </c>
      <c r="S229">
        <v>0</v>
      </c>
      <c r="W229"/>
      <c r="X229">
        <v>0</v>
      </c>
      <c r="AC229" t="s">
        <v>93</v>
      </c>
      <c r="AD229" s="44">
        <v>43405</v>
      </c>
    </row>
    <row r="230" spans="1:30" x14ac:dyDescent="0.25">
      <c r="A230">
        <v>144832</v>
      </c>
      <c r="B230" t="s">
        <v>124</v>
      </c>
      <c r="C230">
        <v>2018</v>
      </c>
      <c r="D230">
        <v>11</v>
      </c>
      <c r="E230" t="s">
        <v>94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1939.5207746900001</v>
      </c>
      <c r="N230">
        <v>0</v>
      </c>
      <c r="O230" t="s">
        <v>89</v>
      </c>
      <c r="P230" s="44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93</v>
      </c>
      <c r="AD230" s="44">
        <v>43405</v>
      </c>
    </row>
    <row r="231" spans="1:30" x14ac:dyDescent="0.25">
      <c r="A231">
        <v>144880</v>
      </c>
      <c r="B231" t="s">
        <v>124</v>
      </c>
      <c r="C231">
        <v>2018</v>
      </c>
      <c r="D231">
        <v>11</v>
      </c>
      <c r="E231" t="s">
        <v>98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99</v>
      </c>
      <c r="L231" t="s">
        <v>112</v>
      </c>
      <c r="M231">
        <v>1036.3887642100001</v>
      </c>
      <c r="N231">
        <v>0</v>
      </c>
      <c r="O231" t="s">
        <v>89</v>
      </c>
      <c r="P231" s="44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93</v>
      </c>
      <c r="AD231" s="44">
        <v>43405</v>
      </c>
    </row>
    <row r="232" spans="1:30" x14ac:dyDescent="0.25">
      <c r="A232">
        <v>144856</v>
      </c>
      <c r="B232" t="s">
        <v>124</v>
      </c>
      <c r="C232">
        <v>2018</v>
      </c>
      <c r="D232">
        <v>11</v>
      </c>
      <c r="E232" t="s">
        <v>96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97</v>
      </c>
      <c r="L232" t="s">
        <v>112</v>
      </c>
      <c r="M232">
        <v>527.43779992999998</v>
      </c>
      <c r="N232">
        <v>0</v>
      </c>
      <c r="O232" t="s">
        <v>89</v>
      </c>
      <c r="P232" s="44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93</v>
      </c>
      <c r="AD232" s="44">
        <v>43405</v>
      </c>
    </row>
    <row r="233" spans="1:30" x14ac:dyDescent="0.25">
      <c r="A233">
        <v>443785</v>
      </c>
      <c r="B233" t="s">
        <v>125</v>
      </c>
      <c r="C233">
        <v>2018</v>
      </c>
      <c r="D233">
        <v>12</v>
      </c>
      <c r="E233" t="s">
        <v>94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95</v>
      </c>
      <c r="L233" t="s">
        <v>112</v>
      </c>
      <c r="M233">
        <v>3041.3129330199999</v>
      </c>
      <c r="N233">
        <v>0</v>
      </c>
      <c r="O233" t="s">
        <v>89</v>
      </c>
      <c r="P233" s="44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93</v>
      </c>
      <c r="AD233" s="44">
        <v>43435</v>
      </c>
    </row>
    <row r="234" spans="1:30" x14ac:dyDescent="0.25">
      <c r="A234">
        <v>443809</v>
      </c>
      <c r="B234" t="s">
        <v>125</v>
      </c>
      <c r="C234">
        <v>2018</v>
      </c>
      <c r="D234">
        <v>12</v>
      </c>
      <c r="E234" t="s">
        <v>96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97</v>
      </c>
      <c r="L234" t="s">
        <v>112</v>
      </c>
      <c r="M234">
        <v>824.95046656</v>
      </c>
      <c r="N234">
        <v>0</v>
      </c>
      <c r="O234" t="s">
        <v>89</v>
      </c>
      <c r="P234" s="44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93</v>
      </c>
      <c r="AD234" s="44">
        <v>43435</v>
      </c>
    </row>
    <row r="235" spans="1:30" x14ac:dyDescent="0.25">
      <c r="A235">
        <v>443833</v>
      </c>
      <c r="B235" t="s">
        <v>125</v>
      </c>
      <c r="C235">
        <v>2018</v>
      </c>
      <c r="D235">
        <v>12</v>
      </c>
      <c r="E235" t="s">
        <v>98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99</v>
      </c>
      <c r="L235" t="s">
        <v>112</v>
      </c>
      <c r="M235">
        <v>1153.4816149200001</v>
      </c>
      <c r="N235">
        <v>0</v>
      </c>
      <c r="O235" t="s">
        <v>89</v>
      </c>
      <c r="P235" s="44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93</v>
      </c>
      <c r="AD235" s="44">
        <v>43435</v>
      </c>
    </row>
    <row r="236" spans="1:30" x14ac:dyDescent="0.25">
      <c r="A236">
        <v>443785</v>
      </c>
      <c r="B236" t="s">
        <v>125</v>
      </c>
      <c r="C236">
        <v>2018</v>
      </c>
      <c r="D236">
        <v>12</v>
      </c>
      <c r="E236" t="s">
        <v>94</v>
      </c>
      <c r="F236" t="s">
        <v>93</v>
      </c>
      <c r="G236" t="s">
        <v>93</v>
      </c>
      <c r="H236" t="s">
        <v>25</v>
      </c>
      <c r="I236" t="s">
        <v>25</v>
      </c>
      <c r="J236" t="s">
        <v>110</v>
      </c>
      <c r="K236" t="s">
        <v>95</v>
      </c>
      <c r="L236" t="s">
        <v>112</v>
      </c>
      <c r="M236">
        <v>3041.3129330199999</v>
      </c>
      <c r="N236">
        <v>0</v>
      </c>
      <c r="O236" t="s">
        <v>89</v>
      </c>
      <c r="P236" s="44">
        <v>44284.514579629627</v>
      </c>
      <c r="Q236">
        <v>4215244</v>
      </c>
      <c r="R236" t="s">
        <v>90</v>
      </c>
      <c r="S236">
        <v>625.44386772999997</v>
      </c>
      <c r="W236"/>
      <c r="X236">
        <v>0</v>
      </c>
      <c r="AC236" t="s">
        <v>93</v>
      </c>
      <c r="AD236" s="44">
        <v>43435</v>
      </c>
    </row>
    <row r="237" spans="1:30" x14ac:dyDescent="0.25">
      <c r="A237">
        <v>443833</v>
      </c>
      <c r="B237" t="s">
        <v>125</v>
      </c>
      <c r="C237">
        <v>2018</v>
      </c>
      <c r="D237">
        <v>12</v>
      </c>
      <c r="E237" t="s">
        <v>98</v>
      </c>
      <c r="F237" t="s">
        <v>93</v>
      </c>
      <c r="G237" t="s">
        <v>93</v>
      </c>
      <c r="H237" t="s">
        <v>25</v>
      </c>
      <c r="I237" t="s">
        <v>25</v>
      </c>
      <c r="J237" t="s">
        <v>110</v>
      </c>
      <c r="K237" t="s">
        <v>99</v>
      </c>
      <c r="L237" t="s">
        <v>112</v>
      </c>
      <c r="M237">
        <v>1153.4816149200001</v>
      </c>
      <c r="N237">
        <v>0</v>
      </c>
      <c r="O237" t="s">
        <v>89</v>
      </c>
      <c r="P237" s="44">
        <v>44284.51458221065</v>
      </c>
      <c r="Q237">
        <v>4215484</v>
      </c>
      <c r="R237" t="s">
        <v>90</v>
      </c>
      <c r="S237">
        <v>228.66332979000001</v>
      </c>
      <c r="W237"/>
      <c r="X237">
        <v>0</v>
      </c>
      <c r="AC237" t="s">
        <v>93</v>
      </c>
      <c r="AD237" s="44">
        <v>43435</v>
      </c>
    </row>
    <row r="238" spans="1:30" x14ac:dyDescent="0.25">
      <c r="A238">
        <v>443809</v>
      </c>
      <c r="B238" t="s">
        <v>125</v>
      </c>
      <c r="C238">
        <v>2018</v>
      </c>
      <c r="D238">
        <v>12</v>
      </c>
      <c r="E238" t="s">
        <v>96</v>
      </c>
      <c r="F238" t="s">
        <v>93</v>
      </c>
      <c r="G238" t="s">
        <v>93</v>
      </c>
      <c r="H238" t="s">
        <v>25</v>
      </c>
      <c r="I238" t="s">
        <v>25</v>
      </c>
      <c r="J238" t="s">
        <v>110</v>
      </c>
      <c r="K238" t="s">
        <v>97</v>
      </c>
      <c r="L238" t="s">
        <v>112</v>
      </c>
      <c r="M238">
        <v>824.95046656</v>
      </c>
      <c r="N238">
        <v>0</v>
      </c>
      <c r="O238" t="s">
        <v>89</v>
      </c>
      <c r="P238" s="44">
        <v>44284.514580937503</v>
      </c>
      <c r="Q238">
        <v>4215364</v>
      </c>
      <c r="R238" t="s">
        <v>90</v>
      </c>
      <c r="S238">
        <v>171.10032004000001</v>
      </c>
      <c r="W238"/>
      <c r="X238">
        <v>0</v>
      </c>
      <c r="AC238" t="s">
        <v>93</v>
      </c>
      <c r="AD238" s="44">
        <v>43435</v>
      </c>
    </row>
    <row r="239" spans="1:30" x14ac:dyDescent="0.25">
      <c r="A239">
        <v>443785</v>
      </c>
      <c r="B239" t="s">
        <v>125</v>
      </c>
      <c r="C239">
        <v>2018</v>
      </c>
      <c r="D239">
        <v>12</v>
      </c>
      <c r="E239" t="s">
        <v>94</v>
      </c>
      <c r="F239" t="s">
        <v>93</v>
      </c>
      <c r="G239" t="s">
        <v>93</v>
      </c>
      <c r="H239" t="s">
        <v>25</v>
      </c>
      <c r="I239" t="s">
        <v>25</v>
      </c>
      <c r="J239" t="s">
        <v>110</v>
      </c>
      <c r="K239" t="s">
        <v>95</v>
      </c>
      <c r="L239" t="s">
        <v>112</v>
      </c>
      <c r="M239">
        <v>3041.3129330199999</v>
      </c>
      <c r="N239">
        <v>0</v>
      </c>
      <c r="O239" t="s">
        <v>89</v>
      </c>
      <c r="P239" s="44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93</v>
      </c>
      <c r="AD239" s="44">
        <v>43435</v>
      </c>
    </row>
    <row r="240" spans="1:30" x14ac:dyDescent="0.25">
      <c r="A240">
        <v>443809</v>
      </c>
      <c r="B240" t="s">
        <v>125</v>
      </c>
      <c r="C240">
        <v>2018</v>
      </c>
      <c r="D240">
        <v>12</v>
      </c>
      <c r="E240" t="s">
        <v>96</v>
      </c>
      <c r="F240" t="s">
        <v>93</v>
      </c>
      <c r="G240" t="s">
        <v>93</v>
      </c>
      <c r="H240" t="s">
        <v>25</v>
      </c>
      <c r="I240" t="s">
        <v>25</v>
      </c>
      <c r="J240" t="s">
        <v>110</v>
      </c>
      <c r="K240" t="s">
        <v>97</v>
      </c>
      <c r="L240" t="s">
        <v>112</v>
      </c>
      <c r="M240">
        <v>824.95046656</v>
      </c>
      <c r="N240">
        <v>0</v>
      </c>
      <c r="O240" t="s">
        <v>89</v>
      </c>
      <c r="P240" s="44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93</v>
      </c>
      <c r="AD240" s="44">
        <v>43435</v>
      </c>
    </row>
    <row r="241" spans="1:30" x14ac:dyDescent="0.25">
      <c r="A241">
        <v>443833</v>
      </c>
      <c r="B241" t="s">
        <v>125</v>
      </c>
      <c r="C241">
        <v>2018</v>
      </c>
      <c r="D241">
        <v>12</v>
      </c>
      <c r="E241" t="s">
        <v>98</v>
      </c>
      <c r="F241" t="s">
        <v>93</v>
      </c>
      <c r="G241" t="s">
        <v>93</v>
      </c>
      <c r="H241" t="s">
        <v>25</v>
      </c>
      <c r="I241" t="s">
        <v>25</v>
      </c>
      <c r="J241" t="s">
        <v>110</v>
      </c>
      <c r="K241" t="s">
        <v>99</v>
      </c>
      <c r="L241" t="s">
        <v>112</v>
      </c>
      <c r="M241">
        <v>1153.4816149200001</v>
      </c>
      <c r="N241">
        <v>0</v>
      </c>
      <c r="O241" t="s">
        <v>89</v>
      </c>
      <c r="P241" s="44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93</v>
      </c>
      <c r="AD241" s="44">
        <v>43435</v>
      </c>
    </row>
    <row r="242" spans="1:30" x14ac:dyDescent="0.25">
      <c r="A242">
        <v>443833</v>
      </c>
      <c r="B242" t="s">
        <v>125</v>
      </c>
      <c r="C242">
        <v>2018</v>
      </c>
      <c r="D242">
        <v>12</v>
      </c>
      <c r="E242" t="s">
        <v>98</v>
      </c>
      <c r="F242" t="s">
        <v>93</v>
      </c>
      <c r="G242" t="s">
        <v>93</v>
      </c>
      <c r="H242" t="s">
        <v>25</v>
      </c>
      <c r="I242" t="s">
        <v>25</v>
      </c>
      <c r="J242" t="s">
        <v>110</v>
      </c>
      <c r="K242" t="s">
        <v>99</v>
      </c>
      <c r="L242" t="s">
        <v>112</v>
      </c>
      <c r="M242">
        <v>1153.4816149200001</v>
      </c>
      <c r="N242">
        <v>0</v>
      </c>
      <c r="O242" t="s">
        <v>89</v>
      </c>
      <c r="P242" s="44">
        <v>44284.51458221065</v>
      </c>
      <c r="Q242">
        <v>4215480</v>
      </c>
      <c r="R242" t="s">
        <v>100</v>
      </c>
      <c r="S242">
        <v>13.415540869999999</v>
      </c>
      <c r="W242"/>
      <c r="X242">
        <v>0</v>
      </c>
      <c r="AC242" t="s">
        <v>93</v>
      </c>
      <c r="AD242" s="44">
        <v>43435</v>
      </c>
    </row>
    <row r="243" spans="1:30" x14ac:dyDescent="0.25">
      <c r="A243">
        <v>443809</v>
      </c>
      <c r="B243" t="s">
        <v>125</v>
      </c>
      <c r="C243">
        <v>2018</v>
      </c>
      <c r="D243">
        <v>12</v>
      </c>
      <c r="E243" t="s">
        <v>96</v>
      </c>
      <c r="F243" t="s">
        <v>93</v>
      </c>
      <c r="G243" t="s">
        <v>93</v>
      </c>
      <c r="H243" t="s">
        <v>25</v>
      </c>
      <c r="I243" t="s">
        <v>25</v>
      </c>
      <c r="J243" t="s">
        <v>110</v>
      </c>
      <c r="K243" t="s">
        <v>97</v>
      </c>
      <c r="L243" t="s">
        <v>112</v>
      </c>
      <c r="M243">
        <v>824.95046656</v>
      </c>
      <c r="N243">
        <v>0</v>
      </c>
      <c r="O243" t="s">
        <v>89</v>
      </c>
      <c r="P243" s="44">
        <v>44284.514580937503</v>
      </c>
      <c r="Q243">
        <v>4215360</v>
      </c>
      <c r="R243" t="s">
        <v>100</v>
      </c>
      <c r="S243">
        <v>0</v>
      </c>
      <c r="W243"/>
      <c r="X243">
        <v>0</v>
      </c>
      <c r="AC243" t="s">
        <v>93</v>
      </c>
      <c r="AD243" s="44">
        <v>43435</v>
      </c>
    </row>
    <row r="244" spans="1:30" x14ac:dyDescent="0.25">
      <c r="A244">
        <v>443785</v>
      </c>
      <c r="B244" t="s">
        <v>125</v>
      </c>
      <c r="C244">
        <v>2018</v>
      </c>
      <c r="D244">
        <v>12</v>
      </c>
      <c r="E244" t="s">
        <v>94</v>
      </c>
      <c r="F244" t="s">
        <v>93</v>
      </c>
      <c r="G244" t="s">
        <v>93</v>
      </c>
      <c r="H244" t="s">
        <v>25</v>
      </c>
      <c r="I244" t="s">
        <v>25</v>
      </c>
      <c r="J244" t="s">
        <v>110</v>
      </c>
      <c r="K244" t="s">
        <v>95</v>
      </c>
      <c r="L244" t="s">
        <v>112</v>
      </c>
      <c r="M244">
        <v>3041.3129330199999</v>
      </c>
      <c r="N244">
        <v>0</v>
      </c>
      <c r="O244" t="s">
        <v>89</v>
      </c>
      <c r="P244" s="44">
        <v>44284.514579629627</v>
      </c>
      <c r="Q244">
        <v>4215240</v>
      </c>
      <c r="R244" t="s">
        <v>100</v>
      </c>
      <c r="S244">
        <v>28.29622762</v>
      </c>
      <c r="W244"/>
      <c r="X244">
        <v>0</v>
      </c>
      <c r="AC244" t="s">
        <v>93</v>
      </c>
      <c r="AD244" s="44">
        <v>43435</v>
      </c>
    </row>
    <row r="245" spans="1:30" x14ac:dyDescent="0.25">
      <c r="A245">
        <v>443833</v>
      </c>
      <c r="B245" t="s">
        <v>125</v>
      </c>
      <c r="C245">
        <v>2018</v>
      </c>
      <c r="D245">
        <v>12</v>
      </c>
      <c r="E245" t="s">
        <v>98</v>
      </c>
      <c r="F245" t="s">
        <v>93</v>
      </c>
      <c r="G245" t="s">
        <v>93</v>
      </c>
      <c r="H245" t="s">
        <v>25</v>
      </c>
      <c r="I245" t="s">
        <v>25</v>
      </c>
      <c r="J245" t="s">
        <v>110</v>
      </c>
      <c r="K245" t="s">
        <v>99</v>
      </c>
      <c r="L245" t="s">
        <v>112</v>
      </c>
      <c r="M245">
        <v>1153.4816149200001</v>
      </c>
      <c r="N245">
        <v>0</v>
      </c>
      <c r="O245" t="s">
        <v>89</v>
      </c>
      <c r="P245" s="44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93</v>
      </c>
      <c r="AD245" s="44">
        <v>43435</v>
      </c>
    </row>
    <row r="246" spans="1:30" x14ac:dyDescent="0.25">
      <c r="A246">
        <v>443785</v>
      </c>
      <c r="B246" t="s">
        <v>125</v>
      </c>
      <c r="C246">
        <v>2018</v>
      </c>
      <c r="D246">
        <v>12</v>
      </c>
      <c r="E246" t="s">
        <v>94</v>
      </c>
      <c r="F246" t="s">
        <v>93</v>
      </c>
      <c r="G246" t="s">
        <v>93</v>
      </c>
      <c r="H246" t="s">
        <v>25</v>
      </c>
      <c r="I246" t="s">
        <v>25</v>
      </c>
      <c r="J246" t="s">
        <v>110</v>
      </c>
      <c r="K246" t="s">
        <v>95</v>
      </c>
      <c r="L246" t="s">
        <v>112</v>
      </c>
      <c r="M246">
        <v>3041.3129330199999</v>
      </c>
      <c r="N246">
        <v>0</v>
      </c>
      <c r="O246" t="s">
        <v>89</v>
      </c>
      <c r="P246" s="44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93</v>
      </c>
      <c r="AD246" s="44">
        <v>43435</v>
      </c>
    </row>
    <row r="247" spans="1:30" x14ac:dyDescent="0.25">
      <c r="A247">
        <v>443809</v>
      </c>
      <c r="B247" t="s">
        <v>125</v>
      </c>
      <c r="C247">
        <v>2018</v>
      </c>
      <c r="D247">
        <v>12</v>
      </c>
      <c r="E247" t="s">
        <v>96</v>
      </c>
      <c r="F247" t="s">
        <v>93</v>
      </c>
      <c r="G247" t="s">
        <v>93</v>
      </c>
      <c r="H247" t="s">
        <v>25</v>
      </c>
      <c r="I247" t="s">
        <v>25</v>
      </c>
      <c r="J247" t="s">
        <v>110</v>
      </c>
      <c r="K247" t="s">
        <v>97</v>
      </c>
      <c r="L247" t="s">
        <v>112</v>
      </c>
      <c r="M247">
        <v>824.95046656</v>
      </c>
      <c r="N247">
        <v>0</v>
      </c>
      <c r="O247" t="s">
        <v>89</v>
      </c>
      <c r="P247" s="44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93</v>
      </c>
      <c r="AD247" s="44">
        <v>43435</v>
      </c>
    </row>
    <row r="248" spans="1:30" x14ac:dyDescent="0.25">
      <c r="A248">
        <v>174638</v>
      </c>
      <c r="B248" t="s">
        <v>154</v>
      </c>
      <c r="C248">
        <v>2019</v>
      </c>
      <c r="D248">
        <v>1</v>
      </c>
      <c r="E248" t="s">
        <v>95</v>
      </c>
      <c r="F248" t="s">
        <v>93</v>
      </c>
      <c r="G248" t="s">
        <v>93</v>
      </c>
      <c r="H248" t="s">
        <v>25</v>
      </c>
      <c r="I248" t="s">
        <v>25</v>
      </c>
      <c r="J248" t="s">
        <v>110</v>
      </c>
      <c r="K248" t="s">
        <v>95</v>
      </c>
      <c r="L248" t="s">
        <v>112</v>
      </c>
      <c r="M248">
        <v>2213.9654676300001</v>
      </c>
      <c r="N248">
        <v>0</v>
      </c>
      <c r="O248" t="s">
        <v>89</v>
      </c>
      <c r="P248" s="44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93</v>
      </c>
      <c r="AD248" s="44">
        <v>43466</v>
      </c>
    </row>
    <row r="249" spans="1:30" x14ac:dyDescent="0.25">
      <c r="A249">
        <v>174692</v>
      </c>
      <c r="B249" t="s">
        <v>154</v>
      </c>
      <c r="C249">
        <v>2019</v>
      </c>
      <c r="D249">
        <v>1</v>
      </c>
      <c r="E249" t="s">
        <v>99</v>
      </c>
      <c r="F249" t="s">
        <v>93</v>
      </c>
      <c r="G249" t="s">
        <v>93</v>
      </c>
      <c r="H249" t="s">
        <v>25</v>
      </c>
      <c r="I249" t="s">
        <v>25</v>
      </c>
      <c r="J249" t="s">
        <v>110</v>
      </c>
      <c r="K249" t="s">
        <v>99</v>
      </c>
      <c r="L249" t="s">
        <v>112</v>
      </c>
      <c r="M249">
        <v>1057.08780013</v>
      </c>
      <c r="N249">
        <v>0</v>
      </c>
      <c r="O249" t="s">
        <v>89</v>
      </c>
      <c r="P249" s="44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93</v>
      </c>
      <c r="AD249" s="44">
        <v>43466</v>
      </c>
    </row>
    <row r="250" spans="1:30" x14ac:dyDescent="0.25">
      <c r="A250">
        <v>174665</v>
      </c>
      <c r="B250" t="s">
        <v>154</v>
      </c>
      <c r="C250">
        <v>2019</v>
      </c>
      <c r="D250">
        <v>1</v>
      </c>
      <c r="E250" t="s">
        <v>97</v>
      </c>
      <c r="F250" t="s">
        <v>93</v>
      </c>
      <c r="G250" t="s">
        <v>93</v>
      </c>
      <c r="H250" t="s">
        <v>25</v>
      </c>
      <c r="I250" t="s">
        <v>25</v>
      </c>
      <c r="J250" t="s">
        <v>110</v>
      </c>
      <c r="K250" t="s">
        <v>97</v>
      </c>
      <c r="L250" t="s">
        <v>112</v>
      </c>
      <c r="M250">
        <v>502.14165592000001</v>
      </c>
      <c r="N250">
        <v>0</v>
      </c>
      <c r="O250" t="s">
        <v>89</v>
      </c>
      <c r="P250" s="44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93</v>
      </c>
      <c r="AD250" s="44">
        <v>43466</v>
      </c>
    </row>
    <row r="251" spans="1:30" x14ac:dyDescent="0.25">
      <c r="A251">
        <v>174638</v>
      </c>
      <c r="B251" t="s">
        <v>154</v>
      </c>
      <c r="C251">
        <v>2019</v>
      </c>
      <c r="D251">
        <v>1</v>
      </c>
      <c r="E251" t="s">
        <v>95</v>
      </c>
      <c r="F251" t="s">
        <v>93</v>
      </c>
      <c r="G251" t="s">
        <v>93</v>
      </c>
      <c r="H251" t="s">
        <v>25</v>
      </c>
      <c r="I251" t="s">
        <v>25</v>
      </c>
      <c r="J251" t="s">
        <v>110</v>
      </c>
      <c r="K251" t="s">
        <v>95</v>
      </c>
      <c r="L251" t="s">
        <v>112</v>
      </c>
      <c r="M251">
        <v>2213.9654676300001</v>
      </c>
      <c r="N251">
        <v>0</v>
      </c>
      <c r="O251" t="s">
        <v>89</v>
      </c>
      <c r="P251" s="44">
        <v>44269.857910185186</v>
      </c>
      <c r="Q251">
        <v>1659466</v>
      </c>
      <c r="R251" t="s">
        <v>90</v>
      </c>
      <c r="S251">
        <v>263.60226884000002</v>
      </c>
      <c r="W251"/>
      <c r="X251">
        <v>0</v>
      </c>
      <c r="AC251" t="s">
        <v>93</v>
      </c>
      <c r="AD251" s="44">
        <v>43466</v>
      </c>
    </row>
    <row r="252" spans="1:30" x14ac:dyDescent="0.25">
      <c r="A252">
        <v>174665</v>
      </c>
      <c r="B252" t="s">
        <v>154</v>
      </c>
      <c r="C252">
        <v>2019</v>
      </c>
      <c r="D252">
        <v>1</v>
      </c>
      <c r="E252" t="s">
        <v>97</v>
      </c>
      <c r="F252" t="s">
        <v>93</v>
      </c>
      <c r="G252" t="s">
        <v>93</v>
      </c>
      <c r="H252" t="s">
        <v>25</v>
      </c>
      <c r="I252" t="s">
        <v>25</v>
      </c>
      <c r="J252" t="s">
        <v>110</v>
      </c>
      <c r="K252" t="s">
        <v>97</v>
      </c>
      <c r="L252" t="s">
        <v>112</v>
      </c>
      <c r="M252">
        <v>502.14165592000001</v>
      </c>
      <c r="N252">
        <v>0</v>
      </c>
      <c r="O252" t="s">
        <v>89</v>
      </c>
      <c r="P252" s="44">
        <v>44269.857911458334</v>
      </c>
      <c r="Q252">
        <v>1659601</v>
      </c>
      <c r="R252" t="s">
        <v>90</v>
      </c>
      <c r="S252">
        <v>50.84942375</v>
      </c>
      <c r="W252"/>
      <c r="X252">
        <v>0</v>
      </c>
      <c r="AC252" t="s">
        <v>93</v>
      </c>
      <c r="AD252" s="44">
        <v>43466</v>
      </c>
    </row>
    <row r="253" spans="1:30" x14ac:dyDescent="0.25">
      <c r="A253">
        <v>174692</v>
      </c>
      <c r="B253" t="s">
        <v>154</v>
      </c>
      <c r="C253">
        <v>2019</v>
      </c>
      <c r="D253">
        <v>1</v>
      </c>
      <c r="E253" t="s">
        <v>99</v>
      </c>
      <c r="F253" t="s">
        <v>93</v>
      </c>
      <c r="G253" t="s">
        <v>93</v>
      </c>
      <c r="H253" t="s">
        <v>25</v>
      </c>
      <c r="I253" t="s">
        <v>25</v>
      </c>
      <c r="J253" t="s">
        <v>110</v>
      </c>
      <c r="K253" t="s">
        <v>99</v>
      </c>
      <c r="L253" t="s">
        <v>112</v>
      </c>
      <c r="M253">
        <v>1057.08780013</v>
      </c>
      <c r="N253">
        <v>0</v>
      </c>
      <c r="O253" t="s">
        <v>89</v>
      </c>
      <c r="P253" s="44">
        <v>44269.857912731481</v>
      </c>
      <c r="Q253">
        <v>1659736</v>
      </c>
      <c r="R253" t="s">
        <v>90</v>
      </c>
      <c r="S253">
        <v>107.26597246999999</v>
      </c>
      <c r="W253"/>
      <c r="X253">
        <v>0</v>
      </c>
      <c r="AC253" t="s">
        <v>93</v>
      </c>
      <c r="AD253" s="44">
        <v>43466</v>
      </c>
    </row>
    <row r="254" spans="1:30" x14ac:dyDescent="0.25">
      <c r="A254">
        <v>174638</v>
      </c>
      <c r="B254" t="s">
        <v>154</v>
      </c>
      <c r="C254">
        <v>2019</v>
      </c>
      <c r="D254">
        <v>1</v>
      </c>
      <c r="E254" t="s">
        <v>95</v>
      </c>
      <c r="F254" t="s">
        <v>93</v>
      </c>
      <c r="G254" t="s">
        <v>93</v>
      </c>
      <c r="H254" t="s">
        <v>25</v>
      </c>
      <c r="I254" t="s">
        <v>25</v>
      </c>
      <c r="J254" t="s">
        <v>110</v>
      </c>
      <c r="K254" t="s">
        <v>95</v>
      </c>
      <c r="L254" t="s">
        <v>112</v>
      </c>
      <c r="M254">
        <v>2213.9654676300001</v>
      </c>
      <c r="N254">
        <v>0</v>
      </c>
      <c r="O254" t="s">
        <v>89</v>
      </c>
      <c r="P254" s="44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93</v>
      </c>
      <c r="AD254" s="44">
        <v>43466</v>
      </c>
    </row>
    <row r="255" spans="1:30" x14ac:dyDescent="0.25">
      <c r="A255">
        <v>174692</v>
      </c>
      <c r="B255" t="s">
        <v>154</v>
      </c>
      <c r="C255">
        <v>2019</v>
      </c>
      <c r="D255">
        <v>1</v>
      </c>
      <c r="E255" t="s">
        <v>99</v>
      </c>
      <c r="F255" t="s">
        <v>93</v>
      </c>
      <c r="G255" t="s">
        <v>93</v>
      </c>
      <c r="H255" t="s">
        <v>25</v>
      </c>
      <c r="I255" t="s">
        <v>25</v>
      </c>
      <c r="J255" t="s">
        <v>110</v>
      </c>
      <c r="K255" t="s">
        <v>99</v>
      </c>
      <c r="L255" t="s">
        <v>112</v>
      </c>
      <c r="M255">
        <v>1057.08780013</v>
      </c>
      <c r="N255">
        <v>0</v>
      </c>
      <c r="O255" t="s">
        <v>89</v>
      </c>
      <c r="P255" s="44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93</v>
      </c>
      <c r="AD255" s="44">
        <v>43466</v>
      </c>
    </row>
    <row r="256" spans="1:30" x14ac:dyDescent="0.25">
      <c r="A256">
        <v>174665</v>
      </c>
      <c r="B256" t="s">
        <v>154</v>
      </c>
      <c r="C256">
        <v>2019</v>
      </c>
      <c r="D256">
        <v>1</v>
      </c>
      <c r="E256" t="s">
        <v>97</v>
      </c>
      <c r="F256" t="s">
        <v>93</v>
      </c>
      <c r="G256" t="s">
        <v>93</v>
      </c>
      <c r="H256" t="s">
        <v>25</v>
      </c>
      <c r="I256" t="s">
        <v>25</v>
      </c>
      <c r="J256" t="s">
        <v>110</v>
      </c>
      <c r="K256" t="s">
        <v>97</v>
      </c>
      <c r="L256" t="s">
        <v>112</v>
      </c>
      <c r="M256">
        <v>502.14165592000001</v>
      </c>
      <c r="N256">
        <v>0</v>
      </c>
      <c r="O256" t="s">
        <v>89</v>
      </c>
      <c r="P256" s="44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93</v>
      </c>
      <c r="AD256" s="44">
        <v>43466</v>
      </c>
    </row>
    <row r="257" spans="1:30" x14ac:dyDescent="0.25">
      <c r="A257">
        <v>174638</v>
      </c>
      <c r="B257" t="s">
        <v>154</v>
      </c>
      <c r="C257">
        <v>2019</v>
      </c>
      <c r="D257">
        <v>1</v>
      </c>
      <c r="E257" t="s">
        <v>95</v>
      </c>
      <c r="F257" t="s">
        <v>93</v>
      </c>
      <c r="G257" t="s">
        <v>93</v>
      </c>
      <c r="H257" t="s">
        <v>25</v>
      </c>
      <c r="I257" t="s">
        <v>25</v>
      </c>
      <c r="J257" t="s">
        <v>110</v>
      </c>
      <c r="K257" t="s">
        <v>95</v>
      </c>
      <c r="L257" t="s">
        <v>112</v>
      </c>
      <c r="M257">
        <v>2213.9654676300001</v>
      </c>
      <c r="N257">
        <v>0</v>
      </c>
      <c r="O257" t="s">
        <v>89</v>
      </c>
      <c r="P257" s="44">
        <v>44269.857910185186</v>
      </c>
      <c r="Q257">
        <v>1659462</v>
      </c>
      <c r="R257" t="s">
        <v>100</v>
      </c>
      <c r="S257">
        <v>5.9681388899999996</v>
      </c>
      <c r="W257"/>
      <c r="X257">
        <v>0</v>
      </c>
      <c r="AC257" t="s">
        <v>93</v>
      </c>
      <c r="AD257" s="44">
        <v>43466</v>
      </c>
    </row>
    <row r="258" spans="1:30" x14ac:dyDescent="0.25">
      <c r="A258">
        <v>174692</v>
      </c>
      <c r="B258" t="s">
        <v>154</v>
      </c>
      <c r="C258">
        <v>2019</v>
      </c>
      <c r="D258">
        <v>1</v>
      </c>
      <c r="E258" t="s">
        <v>99</v>
      </c>
      <c r="F258" t="s">
        <v>93</v>
      </c>
      <c r="G258" t="s">
        <v>93</v>
      </c>
      <c r="H258" t="s">
        <v>25</v>
      </c>
      <c r="I258" t="s">
        <v>25</v>
      </c>
      <c r="J258" t="s">
        <v>110</v>
      </c>
      <c r="K258" t="s">
        <v>99</v>
      </c>
      <c r="L258" t="s">
        <v>112</v>
      </c>
      <c r="M258">
        <v>1057.08780013</v>
      </c>
      <c r="N258">
        <v>0</v>
      </c>
      <c r="O258" t="s">
        <v>89</v>
      </c>
      <c r="P258" s="44">
        <v>44269.857912731481</v>
      </c>
      <c r="Q258">
        <v>1659732</v>
      </c>
      <c r="R258" t="s">
        <v>100</v>
      </c>
      <c r="S258">
        <v>2.7574996000000001</v>
      </c>
      <c r="W258"/>
      <c r="X258">
        <v>0</v>
      </c>
      <c r="AC258" t="s">
        <v>93</v>
      </c>
      <c r="AD258" s="44">
        <v>43466</v>
      </c>
    </row>
    <row r="259" spans="1:30" x14ac:dyDescent="0.25">
      <c r="A259">
        <v>174665</v>
      </c>
      <c r="B259" t="s">
        <v>154</v>
      </c>
      <c r="C259">
        <v>2019</v>
      </c>
      <c r="D259">
        <v>1</v>
      </c>
      <c r="E259" t="s">
        <v>97</v>
      </c>
      <c r="F259" t="s">
        <v>93</v>
      </c>
      <c r="G259" t="s">
        <v>93</v>
      </c>
      <c r="H259" t="s">
        <v>25</v>
      </c>
      <c r="I259" t="s">
        <v>25</v>
      </c>
      <c r="J259" t="s">
        <v>110</v>
      </c>
      <c r="K259" t="s">
        <v>97</v>
      </c>
      <c r="L259" t="s">
        <v>112</v>
      </c>
      <c r="M259">
        <v>502.14165592000001</v>
      </c>
      <c r="N259">
        <v>0</v>
      </c>
      <c r="O259" t="s">
        <v>89</v>
      </c>
      <c r="P259" s="44">
        <v>44269.857911458334</v>
      </c>
      <c r="Q259">
        <v>1659597</v>
      </c>
      <c r="R259" t="s">
        <v>100</v>
      </c>
      <c r="S259">
        <v>0</v>
      </c>
      <c r="W259"/>
      <c r="X259">
        <v>0</v>
      </c>
      <c r="AC259" t="s">
        <v>93</v>
      </c>
      <c r="AD259" s="44">
        <v>43466</v>
      </c>
    </row>
    <row r="260" spans="1:30" x14ac:dyDescent="0.25">
      <c r="A260">
        <v>174665</v>
      </c>
      <c r="B260" t="s">
        <v>154</v>
      </c>
      <c r="C260">
        <v>2019</v>
      </c>
      <c r="D260">
        <v>1</v>
      </c>
      <c r="E260" t="s">
        <v>97</v>
      </c>
      <c r="F260" t="s">
        <v>93</v>
      </c>
      <c r="G260" t="s">
        <v>93</v>
      </c>
      <c r="H260" t="s">
        <v>25</v>
      </c>
      <c r="I260" t="s">
        <v>25</v>
      </c>
      <c r="J260" t="s">
        <v>110</v>
      </c>
      <c r="K260" t="s">
        <v>97</v>
      </c>
      <c r="L260" t="s">
        <v>112</v>
      </c>
      <c r="M260">
        <v>502.14165592000001</v>
      </c>
      <c r="N260">
        <v>0</v>
      </c>
      <c r="O260" t="s">
        <v>89</v>
      </c>
      <c r="P260" s="44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93</v>
      </c>
      <c r="AD260" s="44">
        <v>43466</v>
      </c>
    </row>
    <row r="261" spans="1:30" x14ac:dyDescent="0.25">
      <c r="A261">
        <v>174638</v>
      </c>
      <c r="B261" t="s">
        <v>154</v>
      </c>
      <c r="C261">
        <v>2019</v>
      </c>
      <c r="D261">
        <v>1</v>
      </c>
      <c r="E261" t="s">
        <v>95</v>
      </c>
      <c r="F261" t="s">
        <v>93</v>
      </c>
      <c r="G261" t="s">
        <v>93</v>
      </c>
      <c r="H261" t="s">
        <v>25</v>
      </c>
      <c r="I261" t="s">
        <v>25</v>
      </c>
      <c r="J261" t="s">
        <v>110</v>
      </c>
      <c r="K261" t="s">
        <v>95</v>
      </c>
      <c r="L261" t="s">
        <v>112</v>
      </c>
      <c r="M261">
        <v>2213.9654676300001</v>
      </c>
      <c r="N261">
        <v>0</v>
      </c>
      <c r="O261" t="s">
        <v>89</v>
      </c>
      <c r="P261" s="44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93</v>
      </c>
      <c r="AD261" s="44">
        <v>43466</v>
      </c>
    </row>
    <row r="262" spans="1:30" x14ac:dyDescent="0.25">
      <c r="A262">
        <v>174692</v>
      </c>
      <c r="B262" t="s">
        <v>154</v>
      </c>
      <c r="C262">
        <v>2019</v>
      </c>
      <c r="D262">
        <v>1</v>
      </c>
      <c r="E262" t="s">
        <v>99</v>
      </c>
      <c r="F262" t="s">
        <v>93</v>
      </c>
      <c r="G262" t="s">
        <v>93</v>
      </c>
      <c r="H262" t="s">
        <v>25</v>
      </c>
      <c r="I262" t="s">
        <v>25</v>
      </c>
      <c r="J262" t="s">
        <v>110</v>
      </c>
      <c r="K262" t="s">
        <v>99</v>
      </c>
      <c r="L262" t="s">
        <v>112</v>
      </c>
      <c r="M262">
        <v>1057.08780013</v>
      </c>
      <c r="N262">
        <v>0</v>
      </c>
      <c r="O262" t="s">
        <v>89</v>
      </c>
      <c r="P262" s="44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93</v>
      </c>
      <c r="AD262" s="44">
        <v>43466</v>
      </c>
    </row>
    <row r="263" spans="1:30" x14ac:dyDescent="0.25">
      <c r="A263">
        <v>187229</v>
      </c>
      <c r="B263" t="s">
        <v>156</v>
      </c>
      <c r="C263">
        <v>2019</v>
      </c>
      <c r="D263">
        <v>2</v>
      </c>
      <c r="E263" t="s">
        <v>95</v>
      </c>
      <c r="F263" t="s">
        <v>93</v>
      </c>
      <c r="G263" t="s">
        <v>93</v>
      </c>
      <c r="H263" t="s">
        <v>25</v>
      </c>
      <c r="I263" t="s">
        <v>25</v>
      </c>
      <c r="J263" t="s">
        <v>110</v>
      </c>
      <c r="K263" t="s">
        <v>95</v>
      </c>
      <c r="L263" t="s">
        <v>112</v>
      </c>
      <c r="M263">
        <v>2097.42093987</v>
      </c>
      <c r="N263">
        <v>0</v>
      </c>
      <c r="O263" t="s">
        <v>89</v>
      </c>
      <c r="P263" s="44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93</v>
      </c>
      <c r="AD263" s="44">
        <v>43497</v>
      </c>
    </row>
    <row r="264" spans="1:30" x14ac:dyDescent="0.25">
      <c r="A264">
        <v>187256</v>
      </c>
      <c r="B264" t="s">
        <v>156</v>
      </c>
      <c r="C264">
        <v>2019</v>
      </c>
      <c r="D264">
        <v>2</v>
      </c>
      <c r="E264" t="s">
        <v>97</v>
      </c>
      <c r="F264" t="s">
        <v>93</v>
      </c>
      <c r="G264" t="s">
        <v>93</v>
      </c>
      <c r="H264" t="s">
        <v>25</v>
      </c>
      <c r="I264" t="s">
        <v>25</v>
      </c>
      <c r="J264" t="s">
        <v>110</v>
      </c>
      <c r="K264" t="s">
        <v>97</v>
      </c>
      <c r="L264" t="s">
        <v>112</v>
      </c>
      <c r="M264">
        <v>483.50924042000003</v>
      </c>
      <c r="N264">
        <v>0</v>
      </c>
      <c r="O264" t="s">
        <v>89</v>
      </c>
      <c r="P264" s="44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93</v>
      </c>
      <c r="AD264" s="44">
        <v>43497</v>
      </c>
    </row>
    <row r="265" spans="1:30" x14ac:dyDescent="0.25">
      <c r="A265">
        <v>187283</v>
      </c>
      <c r="B265" t="s">
        <v>156</v>
      </c>
      <c r="C265">
        <v>2019</v>
      </c>
      <c r="D265">
        <v>2</v>
      </c>
      <c r="E265" t="s">
        <v>99</v>
      </c>
      <c r="F265" t="s">
        <v>93</v>
      </c>
      <c r="G265" t="s">
        <v>93</v>
      </c>
      <c r="H265" t="s">
        <v>25</v>
      </c>
      <c r="I265" t="s">
        <v>25</v>
      </c>
      <c r="J265" t="s">
        <v>110</v>
      </c>
      <c r="K265" t="s">
        <v>99</v>
      </c>
      <c r="L265" t="s">
        <v>112</v>
      </c>
      <c r="M265">
        <v>1177.9328353799999</v>
      </c>
      <c r="N265">
        <v>0</v>
      </c>
      <c r="O265" t="s">
        <v>89</v>
      </c>
      <c r="P265" s="44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93</v>
      </c>
      <c r="AD265" s="44">
        <v>43497</v>
      </c>
    </row>
    <row r="266" spans="1:30" x14ac:dyDescent="0.25">
      <c r="A266">
        <v>187229</v>
      </c>
      <c r="B266" t="s">
        <v>156</v>
      </c>
      <c r="C266">
        <v>2019</v>
      </c>
      <c r="D266">
        <v>2</v>
      </c>
      <c r="E266" t="s">
        <v>95</v>
      </c>
      <c r="F266" t="s">
        <v>93</v>
      </c>
      <c r="G266" t="s">
        <v>93</v>
      </c>
      <c r="H266" t="s">
        <v>25</v>
      </c>
      <c r="I266" t="s">
        <v>25</v>
      </c>
      <c r="J266" t="s">
        <v>110</v>
      </c>
      <c r="K266" t="s">
        <v>95</v>
      </c>
      <c r="L266" t="s">
        <v>112</v>
      </c>
      <c r="M266">
        <v>2097.42093987</v>
      </c>
      <c r="N266">
        <v>0</v>
      </c>
      <c r="O266" t="s">
        <v>89</v>
      </c>
      <c r="P266" s="44">
        <v>44269.859435266189</v>
      </c>
      <c r="Q266">
        <v>1778880</v>
      </c>
      <c r="R266" t="s">
        <v>90</v>
      </c>
      <c r="S266">
        <v>249.72608044</v>
      </c>
      <c r="W266"/>
      <c r="X266">
        <v>0</v>
      </c>
      <c r="AC266" t="s">
        <v>93</v>
      </c>
      <c r="AD266" s="44">
        <v>43497</v>
      </c>
    </row>
    <row r="267" spans="1:30" x14ac:dyDescent="0.25">
      <c r="A267">
        <v>187256</v>
      </c>
      <c r="B267" t="s">
        <v>156</v>
      </c>
      <c r="C267">
        <v>2019</v>
      </c>
      <c r="D267">
        <v>2</v>
      </c>
      <c r="E267" t="s">
        <v>97</v>
      </c>
      <c r="F267" t="s">
        <v>93</v>
      </c>
      <c r="G267" t="s">
        <v>93</v>
      </c>
      <c r="H267" t="s">
        <v>25</v>
      </c>
      <c r="I267" t="s">
        <v>25</v>
      </c>
      <c r="J267" t="s">
        <v>110</v>
      </c>
      <c r="K267" t="s">
        <v>97</v>
      </c>
      <c r="L267" t="s">
        <v>112</v>
      </c>
      <c r="M267">
        <v>483.50924042000003</v>
      </c>
      <c r="N267">
        <v>0</v>
      </c>
      <c r="O267" t="s">
        <v>89</v>
      </c>
      <c r="P267" s="44">
        <v>44269.859436574072</v>
      </c>
      <c r="Q267">
        <v>1779015</v>
      </c>
      <c r="R267" t="s">
        <v>90</v>
      </c>
      <c r="S267">
        <v>48.962610380000001</v>
      </c>
      <c r="W267"/>
      <c r="X267">
        <v>0</v>
      </c>
      <c r="AC267" t="s">
        <v>93</v>
      </c>
      <c r="AD267" s="44">
        <v>43497</v>
      </c>
    </row>
    <row r="268" spans="1:30" x14ac:dyDescent="0.25">
      <c r="A268">
        <v>187283</v>
      </c>
      <c r="B268" t="s">
        <v>156</v>
      </c>
      <c r="C268">
        <v>2019</v>
      </c>
      <c r="D268">
        <v>2</v>
      </c>
      <c r="E268" t="s">
        <v>99</v>
      </c>
      <c r="F268" t="s">
        <v>93</v>
      </c>
      <c r="G268" t="s">
        <v>93</v>
      </c>
      <c r="H268" t="s">
        <v>25</v>
      </c>
      <c r="I268" t="s">
        <v>25</v>
      </c>
      <c r="J268" t="s">
        <v>110</v>
      </c>
      <c r="K268" t="s">
        <v>99</v>
      </c>
      <c r="L268" t="s">
        <v>112</v>
      </c>
      <c r="M268">
        <v>1177.9328353799999</v>
      </c>
      <c r="N268">
        <v>0</v>
      </c>
      <c r="O268" t="s">
        <v>89</v>
      </c>
      <c r="P268" s="44">
        <v>44269.859437847219</v>
      </c>
      <c r="Q268">
        <v>1779150</v>
      </c>
      <c r="R268" t="s">
        <v>90</v>
      </c>
      <c r="S268">
        <v>119.52849241</v>
      </c>
      <c r="W268"/>
      <c r="X268">
        <v>0</v>
      </c>
      <c r="AC268" t="s">
        <v>93</v>
      </c>
      <c r="AD268" s="44">
        <v>43497</v>
      </c>
    </row>
    <row r="269" spans="1:30" x14ac:dyDescent="0.25">
      <c r="A269">
        <v>187283</v>
      </c>
      <c r="B269" t="s">
        <v>156</v>
      </c>
      <c r="C269">
        <v>2019</v>
      </c>
      <c r="D269">
        <v>2</v>
      </c>
      <c r="E269" t="s">
        <v>99</v>
      </c>
      <c r="F269" t="s">
        <v>93</v>
      </c>
      <c r="G269" t="s">
        <v>93</v>
      </c>
      <c r="H269" t="s">
        <v>25</v>
      </c>
      <c r="I269" t="s">
        <v>25</v>
      </c>
      <c r="J269" t="s">
        <v>110</v>
      </c>
      <c r="K269" t="s">
        <v>99</v>
      </c>
      <c r="L269" t="s">
        <v>112</v>
      </c>
      <c r="M269">
        <v>1177.9328353799999</v>
      </c>
      <c r="N269">
        <v>0</v>
      </c>
      <c r="O269" t="s">
        <v>89</v>
      </c>
      <c r="P269" s="44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93</v>
      </c>
      <c r="AD269" s="44">
        <v>43497</v>
      </c>
    </row>
    <row r="270" spans="1:30" x14ac:dyDescent="0.25">
      <c r="A270">
        <v>187229</v>
      </c>
      <c r="B270" t="s">
        <v>156</v>
      </c>
      <c r="C270">
        <v>2019</v>
      </c>
      <c r="D270">
        <v>2</v>
      </c>
      <c r="E270" t="s">
        <v>95</v>
      </c>
      <c r="F270" t="s">
        <v>93</v>
      </c>
      <c r="G270" t="s">
        <v>93</v>
      </c>
      <c r="H270" t="s">
        <v>25</v>
      </c>
      <c r="I270" t="s">
        <v>25</v>
      </c>
      <c r="J270" t="s">
        <v>110</v>
      </c>
      <c r="K270" t="s">
        <v>95</v>
      </c>
      <c r="L270" t="s">
        <v>112</v>
      </c>
      <c r="M270">
        <v>2097.42093987</v>
      </c>
      <c r="N270">
        <v>0</v>
      </c>
      <c r="O270" t="s">
        <v>89</v>
      </c>
      <c r="P270" s="44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93</v>
      </c>
      <c r="AD270" s="44">
        <v>43497</v>
      </c>
    </row>
    <row r="271" spans="1:30" x14ac:dyDescent="0.25">
      <c r="A271">
        <v>187256</v>
      </c>
      <c r="B271" t="s">
        <v>156</v>
      </c>
      <c r="C271">
        <v>2019</v>
      </c>
      <c r="D271">
        <v>2</v>
      </c>
      <c r="E271" t="s">
        <v>97</v>
      </c>
      <c r="F271" t="s">
        <v>93</v>
      </c>
      <c r="G271" t="s">
        <v>93</v>
      </c>
      <c r="H271" t="s">
        <v>25</v>
      </c>
      <c r="I271" t="s">
        <v>25</v>
      </c>
      <c r="J271" t="s">
        <v>110</v>
      </c>
      <c r="K271" t="s">
        <v>97</v>
      </c>
      <c r="L271" t="s">
        <v>112</v>
      </c>
      <c r="M271">
        <v>483.50924042000003</v>
      </c>
      <c r="N271">
        <v>0</v>
      </c>
      <c r="O271" t="s">
        <v>89</v>
      </c>
      <c r="P271" s="44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93</v>
      </c>
      <c r="AD271" s="44">
        <v>43497</v>
      </c>
    </row>
    <row r="272" spans="1:30" x14ac:dyDescent="0.25">
      <c r="A272">
        <v>187283</v>
      </c>
      <c r="B272" t="s">
        <v>156</v>
      </c>
      <c r="C272">
        <v>2019</v>
      </c>
      <c r="D272">
        <v>2</v>
      </c>
      <c r="E272" t="s">
        <v>99</v>
      </c>
      <c r="F272" t="s">
        <v>93</v>
      </c>
      <c r="G272" t="s">
        <v>93</v>
      </c>
      <c r="H272" t="s">
        <v>25</v>
      </c>
      <c r="I272" t="s">
        <v>25</v>
      </c>
      <c r="J272" t="s">
        <v>110</v>
      </c>
      <c r="K272" t="s">
        <v>99</v>
      </c>
      <c r="L272" t="s">
        <v>112</v>
      </c>
      <c r="M272">
        <v>1177.9328353799999</v>
      </c>
      <c r="N272">
        <v>0</v>
      </c>
      <c r="O272" t="s">
        <v>89</v>
      </c>
      <c r="P272" s="44">
        <v>44269.859437847219</v>
      </c>
      <c r="Q272">
        <v>1779146</v>
      </c>
      <c r="R272" t="s">
        <v>100</v>
      </c>
      <c r="S272">
        <v>3.0727337100000001</v>
      </c>
      <c r="W272"/>
      <c r="X272">
        <v>0</v>
      </c>
      <c r="AC272" t="s">
        <v>93</v>
      </c>
      <c r="AD272" s="44">
        <v>43497</v>
      </c>
    </row>
    <row r="273" spans="1:30" x14ac:dyDescent="0.25">
      <c r="A273">
        <v>187256</v>
      </c>
      <c r="B273" t="s">
        <v>156</v>
      </c>
      <c r="C273">
        <v>2019</v>
      </c>
      <c r="D273">
        <v>2</v>
      </c>
      <c r="E273" t="s">
        <v>97</v>
      </c>
      <c r="F273" t="s">
        <v>93</v>
      </c>
      <c r="G273" t="s">
        <v>93</v>
      </c>
      <c r="H273" t="s">
        <v>25</v>
      </c>
      <c r="I273" t="s">
        <v>25</v>
      </c>
      <c r="J273" t="s">
        <v>110</v>
      </c>
      <c r="K273" t="s">
        <v>97</v>
      </c>
      <c r="L273" t="s">
        <v>112</v>
      </c>
      <c r="M273">
        <v>483.50924042000003</v>
      </c>
      <c r="N273">
        <v>0</v>
      </c>
      <c r="O273" t="s">
        <v>89</v>
      </c>
      <c r="P273" s="44">
        <v>44269.859436574072</v>
      </c>
      <c r="Q273">
        <v>1779011</v>
      </c>
      <c r="R273" t="s">
        <v>100</v>
      </c>
      <c r="S273">
        <v>0</v>
      </c>
      <c r="W273"/>
      <c r="X273">
        <v>0</v>
      </c>
      <c r="AC273" t="s">
        <v>93</v>
      </c>
      <c r="AD273" s="44">
        <v>43497</v>
      </c>
    </row>
    <row r="274" spans="1:30" x14ac:dyDescent="0.25">
      <c r="A274">
        <v>187229</v>
      </c>
      <c r="B274" t="s">
        <v>156</v>
      </c>
      <c r="C274">
        <v>2019</v>
      </c>
      <c r="D274">
        <v>2</v>
      </c>
      <c r="E274" t="s">
        <v>95</v>
      </c>
      <c r="F274" t="s">
        <v>93</v>
      </c>
      <c r="G274" t="s">
        <v>93</v>
      </c>
      <c r="H274" t="s">
        <v>25</v>
      </c>
      <c r="I274" t="s">
        <v>25</v>
      </c>
      <c r="J274" t="s">
        <v>110</v>
      </c>
      <c r="K274" t="s">
        <v>95</v>
      </c>
      <c r="L274" t="s">
        <v>112</v>
      </c>
      <c r="M274">
        <v>2097.42093987</v>
      </c>
      <c r="N274">
        <v>0</v>
      </c>
      <c r="O274" t="s">
        <v>89</v>
      </c>
      <c r="P274" s="44">
        <v>44269.859435266189</v>
      </c>
      <c r="Q274">
        <v>1778876</v>
      </c>
      <c r="R274" t="s">
        <v>100</v>
      </c>
      <c r="S274">
        <v>5.6539723300000002</v>
      </c>
      <c r="W274"/>
      <c r="X274">
        <v>0</v>
      </c>
      <c r="AC274" t="s">
        <v>93</v>
      </c>
      <c r="AD274" s="44">
        <v>43497</v>
      </c>
    </row>
    <row r="275" spans="1:30" x14ac:dyDescent="0.25">
      <c r="A275">
        <v>187229</v>
      </c>
      <c r="B275" t="s">
        <v>156</v>
      </c>
      <c r="C275">
        <v>2019</v>
      </c>
      <c r="D275">
        <v>2</v>
      </c>
      <c r="E275" t="s">
        <v>95</v>
      </c>
      <c r="F275" t="s">
        <v>93</v>
      </c>
      <c r="G275" t="s">
        <v>93</v>
      </c>
      <c r="H275" t="s">
        <v>25</v>
      </c>
      <c r="I275" t="s">
        <v>25</v>
      </c>
      <c r="J275" t="s">
        <v>110</v>
      </c>
      <c r="K275" t="s">
        <v>95</v>
      </c>
      <c r="L275" t="s">
        <v>112</v>
      </c>
      <c r="M275">
        <v>2097.42093987</v>
      </c>
      <c r="N275">
        <v>0</v>
      </c>
      <c r="O275" t="s">
        <v>89</v>
      </c>
      <c r="P275" s="44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93</v>
      </c>
      <c r="AD275" s="44">
        <v>43497</v>
      </c>
    </row>
    <row r="276" spans="1:30" x14ac:dyDescent="0.25">
      <c r="A276">
        <v>187283</v>
      </c>
      <c r="B276" t="s">
        <v>156</v>
      </c>
      <c r="C276">
        <v>2019</v>
      </c>
      <c r="D276">
        <v>2</v>
      </c>
      <c r="E276" t="s">
        <v>99</v>
      </c>
      <c r="F276" t="s">
        <v>93</v>
      </c>
      <c r="G276" t="s">
        <v>93</v>
      </c>
      <c r="H276" t="s">
        <v>25</v>
      </c>
      <c r="I276" t="s">
        <v>25</v>
      </c>
      <c r="J276" t="s">
        <v>110</v>
      </c>
      <c r="K276" t="s">
        <v>99</v>
      </c>
      <c r="L276" t="s">
        <v>112</v>
      </c>
      <c r="M276">
        <v>1177.9328353799999</v>
      </c>
      <c r="N276">
        <v>0</v>
      </c>
      <c r="O276" t="s">
        <v>89</v>
      </c>
      <c r="P276" s="44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93</v>
      </c>
      <c r="AD276" s="44">
        <v>43497</v>
      </c>
    </row>
    <row r="277" spans="1:30" x14ac:dyDescent="0.25">
      <c r="A277">
        <v>187256</v>
      </c>
      <c r="B277" t="s">
        <v>156</v>
      </c>
      <c r="C277">
        <v>2019</v>
      </c>
      <c r="D277">
        <v>2</v>
      </c>
      <c r="E277" t="s">
        <v>97</v>
      </c>
      <c r="F277" t="s">
        <v>93</v>
      </c>
      <c r="G277" t="s">
        <v>93</v>
      </c>
      <c r="H277" t="s">
        <v>25</v>
      </c>
      <c r="I277" t="s">
        <v>25</v>
      </c>
      <c r="J277" t="s">
        <v>110</v>
      </c>
      <c r="K277" t="s">
        <v>97</v>
      </c>
      <c r="L277" t="s">
        <v>112</v>
      </c>
      <c r="M277">
        <v>483.50924042000003</v>
      </c>
      <c r="N277">
        <v>0</v>
      </c>
      <c r="O277" t="s">
        <v>89</v>
      </c>
      <c r="P277" s="44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93</v>
      </c>
      <c r="AD277" s="44">
        <v>43497</v>
      </c>
    </row>
    <row r="278" spans="1:30" x14ac:dyDescent="0.25">
      <c r="A278">
        <v>190955</v>
      </c>
      <c r="B278" t="s">
        <v>158</v>
      </c>
      <c r="C278">
        <v>2019</v>
      </c>
      <c r="D278">
        <v>3</v>
      </c>
      <c r="E278" t="s">
        <v>97</v>
      </c>
      <c r="F278" t="s">
        <v>93</v>
      </c>
      <c r="G278" t="s">
        <v>93</v>
      </c>
      <c r="H278" t="s">
        <v>25</v>
      </c>
      <c r="I278" t="s">
        <v>25</v>
      </c>
      <c r="J278" t="s">
        <v>110</v>
      </c>
      <c r="K278" t="s">
        <v>97</v>
      </c>
      <c r="L278" t="s">
        <v>112</v>
      </c>
      <c r="M278">
        <v>548.80313799999999</v>
      </c>
      <c r="N278">
        <v>0</v>
      </c>
      <c r="O278" t="s">
        <v>89</v>
      </c>
      <c r="P278" s="44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93</v>
      </c>
      <c r="AD278" s="44">
        <v>43525</v>
      </c>
    </row>
    <row r="279" spans="1:30" x14ac:dyDescent="0.25">
      <c r="A279">
        <v>190928</v>
      </c>
      <c r="B279" t="s">
        <v>158</v>
      </c>
      <c r="C279">
        <v>2019</v>
      </c>
      <c r="D279">
        <v>3</v>
      </c>
      <c r="E279" t="s">
        <v>95</v>
      </c>
      <c r="F279" t="s">
        <v>93</v>
      </c>
      <c r="G279" t="s">
        <v>93</v>
      </c>
      <c r="H279" t="s">
        <v>25</v>
      </c>
      <c r="I279" t="s">
        <v>25</v>
      </c>
      <c r="J279" t="s">
        <v>110</v>
      </c>
      <c r="K279" t="s">
        <v>95</v>
      </c>
      <c r="L279" t="s">
        <v>112</v>
      </c>
      <c r="M279">
        <v>1987.4110310900001</v>
      </c>
      <c r="N279">
        <v>0</v>
      </c>
      <c r="O279" t="s">
        <v>89</v>
      </c>
      <c r="P279" s="44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93</v>
      </c>
      <c r="AD279" s="44">
        <v>43525</v>
      </c>
    </row>
    <row r="280" spans="1:30" x14ac:dyDescent="0.25">
      <c r="A280">
        <v>190982</v>
      </c>
      <c r="B280" t="s">
        <v>158</v>
      </c>
      <c r="C280">
        <v>2019</v>
      </c>
      <c r="D280">
        <v>3</v>
      </c>
      <c r="E280" t="s">
        <v>99</v>
      </c>
      <c r="F280" t="s">
        <v>93</v>
      </c>
      <c r="G280" t="s">
        <v>93</v>
      </c>
      <c r="H280" t="s">
        <v>25</v>
      </c>
      <c r="I280" t="s">
        <v>25</v>
      </c>
      <c r="J280" t="s">
        <v>110</v>
      </c>
      <c r="K280" t="s">
        <v>99</v>
      </c>
      <c r="L280" t="s">
        <v>112</v>
      </c>
      <c r="M280">
        <v>1048.18988866</v>
      </c>
      <c r="N280">
        <v>0</v>
      </c>
      <c r="O280" t="s">
        <v>89</v>
      </c>
      <c r="P280" s="44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93</v>
      </c>
      <c r="AD280" s="44">
        <v>43525</v>
      </c>
    </row>
    <row r="281" spans="1:30" x14ac:dyDescent="0.25">
      <c r="A281">
        <v>190928</v>
      </c>
      <c r="B281" t="s">
        <v>158</v>
      </c>
      <c r="C281">
        <v>2019</v>
      </c>
      <c r="D281">
        <v>3</v>
      </c>
      <c r="E281" t="s">
        <v>95</v>
      </c>
      <c r="F281" t="s">
        <v>93</v>
      </c>
      <c r="G281" t="s">
        <v>93</v>
      </c>
      <c r="H281" t="s">
        <v>25</v>
      </c>
      <c r="I281" t="s">
        <v>25</v>
      </c>
      <c r="J281" t="s">
        <v>110</v>
      </c>
      <c r="K281" t="s">
        <v>95</v>
      </c>
      <c r="L281" t="s">
        <v>112</v>
      </c>
      <c r="M281">
        <v>1987.4110310900001</v>
      </c>
      <c r="N281">
        <v>0</v>
      </c>
      <c r="O281" t="s">
        <v>89</v>
      </c>
      <c r="P281" s="44">
        <v>44269.860194062501</v>
      </c>
      <c r="Q281">
        <v>1806286</v>
      </c>
      <c r="R281" t="s">
        <v>90</v>
      </c>
      <c r="S281">
        <v>236.62792603</v>
      </c>
      <c r="W281"/>
      <c r="X281">
        <v>0</v>
      </c>
      <c r="AC281" t="s">
        <v>93</v>
      </c>
      <c r="AD281" s="44">
        <v>43525</v>
      </c>
    </row>
    <row r="282" spans="1:30" x14ac:dyDescent="0.25">
      <c r="A282">
        <v>190955</v>
      </c>
      <c r="B282" t="s">
        <v>158</v>
      </c>
      <c r="C282">
        <v>2019</v>
      </c>
      <c r="D282">
        <v>3</v>
      </c>
      <c r="E282" t="s">
        <v>97</v>
      </c>
      <c r="F282" t="s">
        <v>93</v>
      </c>
      <c r="G282" t="s">
        <v>93</v>
      </c>
      <c r="H282" t="s">
        <v>25</v>
      </c>
      <c r="I282" t="s">
        <v>25</v>
      </c>
      <c r="J282" t="s">
        <v>110</v>
      </c>
      <c r="K282" t="s">
        <v>97</v>
      </c>
      <c r="L282" t="s">
        <v>112</v>
      </c>
      <c r="M282">
        <v>548.80313799999999</v>
      </c>
      <c r="N282">
        <v>0</v>
      </c>
      <c r="O282" t="s">
        <v>89</v>
      </c>
      <c r="P282" s="44">
        <v>44269.86019540509</v>
      </c>
      <c r="Q282">
        <v>1806421</v>
      </c>
      <c r="R282" t="s">
        <v>90</v>
      </c>
      <c r="S282">
        <v>55.574603279999998</v>
      </c>
      <c r="W282"/>
      <c r="X282">
        <v>0</v>
      </c>
      <c r="AC282" t="s">
        <v>93</v>
      </c>
      <c r="AD282" s="44">
        <v>43525</v>
      </c>
    </row>
    <row r="283" spans="1:30" x14ac:dyDescent="0.25">
      <c r="A283">
        <v>190982</v>
      </c>
      <c r="B283" t="s">
        <v>158</v>
      </c>
      <c r="C283">
        <v>2019</v>
      </c>
      <c r="D283">
        <v>3</v>
      </c>
      <c r="E283" t="s">
        <v>99</v>
      </c>
      <c r="F283" t="s">
        <v>93</v>
      </c>
      <c r="G283" t="s">
        <v>93</v>
      </c>
      <c r="H283" t="s">
        <v>25</v>
      </c>
      <c r="I283" t="s">
        <v>25</v>
      </c>
      <c r="J283" t="s">
        <v>110</v>
      </c>
      <c r="K283" t="s">
        <v>99</v>
      </c>
      <c r="L283" t="s">
        <v>112</v>
      </c>
      <c r="M283">
        <v>1048.18988866</v>
      </c>
      <c r="N283">
        <v>0</v>
      </c>
      <c r="O283" t="s">
        <v>89</v>
      </c>
      <c r="P283" s="44">
        <v>44269.860196643524</v>
      </c>
      <c r="Q283">
        <v>1806556</v>
      </c>
      <c r="R283" t="s">
        <v>90</v>
      </c>
      <c r="S283">
        <v>106.36307384</v>
      </c>
      <c r="W283"/>
      <c r="X283">
        <v>0</v>
      </c>
      <c r="AC283" t="s">
        <v>93</v>
      </c>
      <c r="AD283" s="44">
        <v>43525</v>
      </c>
    </row>
    <row r="284" spans="1:30" x14ac:dyDescent="0.25">
      <c r="A284">
        <v>190982</v>
      </c>
      <c r="B284" t="s">
        <v>158</v>
      </c>
      <c r="C284">
        <v>2019</v>
      </c>
      <c r="D284">
        <v>3</v>
      </c>
      <c r="E284" t="s">
        <v>99</v>
      </c>
      <c r="F284" t="s">
        <v>93</v>
      </c>
      <c r="G284" t="s">
        <v>93</v>
      </c>
      <c r="H284" t="s">
        <v>25</v>
      </c>
      <c r="I284" t="s">
        <v>25</v>
      </c>
      <c r="J284" t="s">
        <v>110</v>
      </c>
      <c r="K284" t="s">
        <v>99</v>
      </c>
      <c r="L284" t="s">
        <v>112</v>
      </c>
      <c r="M284">
        <v>1048.18988866</v>
      </c>
      <c r="N284">
        <v>0</v>
      </c>
      <c r="O284" t="s">
        <v>89</v>
      </c>
      <c r="P284" s="44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93</v>
      </c>
      <c r="AD284" s="44">
        <v>43525</v>
      </c>
    </row>
    <row r="285" spans="1:30" x14ac:dyDescent="0.25">
      <c r="A285">
        <v>190928</v>
      </c>
      <c r="B285" t="s">
        <v>158</v>
      </c>
      <c r="C285">
        <v>2019</v>
      </c>
      <c r="D285">
        <v>3</v>
      </c>
      <c r="E285" t="s">
        <v>95</v>
      </c>
      <c r="F285" t="s">
        <v>93</v>
      </c>
      <c r="G285" t="s">
        <v>93</v>
      </c>
      <c r="H285" t="s">
        <v>25</v>
      </c>
      <c r="I285" t="s">
        <v>25</v>
      </c>
      <c r="J285" t="s">
        <v>110</v>
      </c>
      <c r="K285" t="s">
        <v>95</v>
      </c>
      <c r="L285" t="s">
        <v>112</v>
      </c>
      <c r="M285">
        <v>1987.4110310900001</v>
      </c>
      <c r="N285">
        <v>0</v>
      </c>
      <c r="O285" t="s">
        <v>89</v>
      </c>
      <c r="P285" s="44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93</v>
      </c>
      <c r="AD285" s="44">
        <v>43525</v>
      </c>
    </row>
    <row r="286" spans="1:30" x14ac:dyDescent="0.25">
      <c r="A286">
        <v>190955</v>
      </c>
      <c r="B286" t="s">
        <v>158</v>
      </c>
      <c r="C286">
        <v>2019</v>
      </c>
      <c r="D286">
        <v>3</v>
      </c>
      <c r="E286" t="s">
        <v>97</v>
      </c>
      <c r="F286" t="s">
        <v>93</v>
      </c>
      <c r="G286" t="s">
        <v>93</v>
      </c>
      <c r="H286" t="s">
        <v>25</v>
      </c>
      <c r="I286" t="s">
        <v>25</v>
      </c>
      <c r="J286" t="s">
        <v>110</v>
      </c>
      <c r="K286" t="s">
        <v>97</v>
      </c>
      <c r="L286" t="s">
        <v>112</v>
      </c>
      <c r="M286">
        <v>548.80313799999999</v>
      </c>
      <c r="N286">
        <v>0</v>
      </c>
      <c r="O286" t="s">
        <v>89</v>
      </c>
      <c r="P286" s="44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93</v>
      </c>
      <c r="AD286" s="44">
        <v>43525</v>
      </c>
    </row>
    <row r="287" spans="1:30" x14ac:dyDescent="0.25">
      <c r="A287">
        <v>190955</v>
      </c>
      <c r="B287" t="s">
        <v>158</v>
      </c>
      <c r="C287">
        <v>2019</v>
      </c>
      <c r="D287">
        <v>3</v>
      </c>
      <c r="E287" t="s">
        <v>97</v>
      </c>
      <c r="F287" t="s">
        <v>93</v>
      </c>
      <c r="G287" t="s">
        <v>93</v>
      </c>
      <c r="H287" t="s">
        <v>25</v>
      </c>
      <c r="I287" t="s">
        <v>25</v>
      </c>
      <c r="J287" t="s">
        <v>110</v>
      </c>
      <c r="K287" t="s">
        <v>97</v>
      </c>
      <c r="L287" t="s">
        <v>112</v>
      </c>
      <c r="M287">
        <v>548.80313799999999</v>
      </c>
      <c r="N287">
        <v>0</v>
      </c>
      <c r="O287" t="s">
        <v>89</v>
      </c>
      <c r="P287" s="44">
        <v>44269.86019540509</v>
      </c>
      <c r="Q287">
        <v>1806417</v>
      </c>
      <c r="R287" t="s">
        <v>100</v>
      </c>
      <c r="S287">
        <v>0</v>
      </c>
      <c r="W287"/>
      <c r="X287">
        <v>0</v>
      </c>
      <c r="AC287" t="s">
        <v>93</v>
      </c>
      <c r="AD287" s="44">
        <v>43525</v>
      </c>
    </row>
    <row r="288" spans="1:30" x14ac:dyDescent="0.25">
      <c r="A288">
        <v>190928</v>
      </c>
      <c r="B288" t="s">
        <v>158</v>
      </c>
      <c r="C288">
        <v>2019</v>
      </c>
      <c r="D288">
        <v>3</v>
      </c>
      <c r="E288" t="s">
        <v>95</v>
      </c>
      <c r="F288" t="s">
        <v>93</v>
      </c>
      <c r="G288" t="s">
        <v>93</v>
      </c>
      <c r="H288" t="s">
        <v>25</v>
      </c>
      <c r="I288" t="s">
        <v>25</v>
      </c>
      <c r="J288" t="s">
        <v>110</v>
      </c>
      <c r="K288" t="s">
        <v>95</v>
      </c>
      <c r="L288" t="s">
        <v>112</v>
      </c>
      <c r="M288">
        <v>1987.4110310900001</v>
      </c>
      <c r="N288">
        <v>0</v>
      </c>
      <c r="O288" t="s">
        <v>89</v>
      </c>
      <c r="P288" s="44">
        <v>44269.860194062501</v>
      </c>
      <c r="Q288">
        <v>1806282</v>
      </c>
      <c r="R288" t="s">
        <v>100</v>
      </c>
      <c r="S288">
        <v>5.3574209899999996</v>
      </c>
      <c r="W288"/>
      <c r="X288">
        <v>0</v>
      </c>
      <c r="AC288" t="s">
        <v>93</v>
      </c>
      <c r="AD288" s="44">
        <v>43525</v>
      </c>
    </row>
    <row r="289" spans="1:30" x14ac:dyDescent="0.25">
      <c r="A289">
        <v>190982</v>
      </c>
      <c r="B289" t="s">
        <v>158</v>
      </c>
      <c r="C289">
        <v>2019</v>
      </c>
      <c r="D289">
        <v>3</v>
      </c>
      <c r="E289" t="s">
        <v>99</v>
      </c>
      <c r="F289" t="s">
        <v>93</v>
      </c>
      <c r="G289" t="s">
        <v>93</v>
      </c>
      <c r="H289" t="s">
        <v>25</v>
      </c>
      <c r="I289" t="s">
        <v>25</v>
      </c>
      <c r="J289" t="s">
        <v>110</v>
      </c>
      <c r="K289" t="s">
        <v>99</v>
      </c>
      <c r="L289" t="s">
        <v>112</v>
      </c>
      <c r="M289">
        <v>1048.18988866</v>
      </c>
      <c r="N289">
        <v>0</v>
      </c>
      <c r="O289" t="s">
        <v>89</v>
      </c>
      <c r="P289" s="44">
        <v>44269.860196643524</v>
      </c>
      <c r="Q289">
        <v>1806552</v>
      </c>
      <c r="R289" t="s">
        <v>100</v>
      </c>
      <c r="S289">
        <v>2.7342886700000002</v>
      </c>
      <c r="W289"/>
      <c r="X289">
        <v>0</v>
      </c>
      <c r="AC289" t="s">
        <v>93</v>
      </c>
      <c r="AD289" s="44">
        <v>43525</v>
      </c>
    </row>
    <row r="290" spans="1:30" x14ac:dyDescent="0.25">
      <c r="A290">
        <v>190955</v>
      </c>
      <c r="B290" t="s">
        <v>158</v>
      </c>
      <c r="C290">
        <v>2019</v>
      </c>
      <c r="D290">
        <v>3</v>
      </c>
      <c r="E290" t="s">
        <v>97</v>
      </c>
      <c r="F290" t="s">
        <v>93</v>
      </c>
      <c r="G290" t="s">
        <v>93</v>
      </c>
      <c r="H290" t="s">
        <v>25</v>
      </c>
      <c r="I290" t="s">
        <v>25</v>
      </c>
      <c r="J290" t="s">
        <v>110</v>
      </c>
      <c r="K290" t="s">
        <v>97</v>
      </c>
      <c r="L290" t="s">
        <v>112</v>
      </c>
      <c r="M290">
        <v>548.80313799999999</v>
      </c>
      <c r="N290">
        <v>0</v>
      </c>
      <c r="O290" t="s">
        <v>89</v>
      </c>
      <c r="P290" s="44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93</v>
      </c>
      <c r="AD290" s="44">
        <v>43525</v>
      </c>
    </row>
    <row r="291" spans="1:30" x14ac:dyDescent="0.25">
      <c r="A291">
        <v>190928</v>
      </c>
      <c r="B291" t="s">
        <v>158</v>
      </c>
      <c r="C291">
        <v>2019</v>
      </c>
      <c r="D291">
        <v>3</v>
      </c>
      <c r="E291" t="s">
        <v>95</v>
      </c>
      <c r="F291" t="s">
        <v>93</v>
      </c>
      <c r="G291" t="s">
        <v>93</v>
      </c>
      <c r="H291" t="s">
        <v>25</v>
      </c>
      <c r="I291" t="s">
        <v>25</v>
      </c>
      <c r="J291" t="s">
        <v>110</v>
      </c>
      <c r="K291" t="s">
        <v>95</v>
      </c>
      <c r="L291" t="s">
        <v>112</v>
      </c>
      <c r="M291">
        <v>1987.4110310900001</v>
      </c>
      <c r="N291">
        <v>0</v>
      </c>
      <c r="O291" t="s">
        <v>89</v>
      </c>
      <c r="P291" s="44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93</v>
      </c>
      <c r="AD291" s="44">
        <v>43525</v>
      </c>
    </row>
    <row r="292" spans="1:30" x14ac:dyDescent="0.25">
      <c r="A292">
        <v>190982</v>
      </c>
      <c r="B292" t="s">
        <v>158</v>
      </c>
      <c r="C292">
        <v>2019</v>
      </c>
      <c r="D292">
        <v>3</v>
      </c>
      <c r="E292" t="s">
        <v>99</v>
      </c>
      <c r="F292" t="s">
        <v>93</v>
      </c>
      <c r="G292" t="s">
        <v>93</v>
      </c>
      <c r="H292" t="s">
        <v>25</v>
      </c>
      <c r="I292" t="s">
        <v>25</v>
      </c>
      <c r="J292" t="s">
        <v>110</v>
      </c>
      <c r="K292" t="s">
        <v>99</v>
      </c>
      <c r="L292" t="s">
        <v>112</v>
      </c>
      <c r="M292">
        <v>1048.18988866</v>
      </c>
      <c r="N292">
        <v>0</v>
      </c>
      <c r="O292" t="s">
        <v>89</v>
      </c>
      <c r="P292" s="44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93</v>
      </c>
      <c r="AD292" s="44">
        <v>43525</v>
      </c>
    </row>
    <row r="293" spans="1:30" x14ac:dyDescent="0.25">
      <c r="A293">
        <v>215938</v>
      </c>
      <c r="B293" t="s">
        <v>159</v>
      </c>
      <c r="C293">
        <v>2019</v>
      </c>
      <c r="D293">
        <v>4</v>
      </c>
      <c r="E293" t="s">
        <v>95</v>
      </c>
      <c r="F293" t="s">
        <v>93</v>
      </c>
      <c r="G293" t="s">
        <v>93</v>
      </c>
      <c r="H293" t="s">
        <v>25</v>
      </c>
      <c r="I293" t="s">
        <v>25</v>
      </c>
      <c r="J293" t="s">
        <v>110</v>
      </c>
      <c r="K293" t="s">
        <v>95</v>
      </c>
      <c r="L293" t="s">
        <v>112</v>
      </c>
      <c r="M293">
        <v>1388.5089304200001</v>
      </c>
      <c r="N293">
        <v>0</v>
      </c>
      <c r="O293" t="s">
        <v>89</v>
      </c>
      <c r="P293" s="44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93</v>
      </c>
      <c r="AD293" s="44">
        <v>43556</v>
      </c>
    </row>
    <row r="294" spans="1:30" x14ac:dyDescent="0.25">
      <c r="A294">
        <v>215992</v>
      </c>
      <c r="B294" t="s">
        <v>159</v>
      </c>
      <c r="C294">
        <v>2019</v>
      </c>
      <c r="D294">
        <v>4</v>
      </c>
      <c r="E294" t="s">
        <v>99</v>
      </c>
      <c r="F294" t="s">
        <v>93</v>
      </c>
      <c r="G294" t="s">
        <v>93</v>
      </c>
      <c r="H294" t="s">
        <v>25</v>
      </c>
      <c r="I294" t="s">
        <v>25</v>
      </c>
      <c r="J294" t="s">
        <v>110</v>
      </c>
      <c r="K294" t="s">
        <v>99</v>
      </c>
      <c r="L294" t="s">
        <v>112</v>
      </c>
      <c r="M294">
        <v>807.94171081000002</v>
      </c>
      <c r="N294">
        <v>0</v>
      </c>
      <c r="O294" t="s">
        <v>89</v>
      </c>
      <c r="P294" s="44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93</v>
      </c>
      <c r="AD294" s="44">
        <v>43556</v>
      </c>
    </row>
    <row r="295" spans="1:30" x14ac:dyDescent="0.25">
      <c r="A295">
        <v>215965</v>
      </c>
      <c r="B295" t="s">
        <v>159</v>
      </c>
      <c r="C295">
        <v>2019</v>
      </c>
      <c r="D295">
        <v>4</v>
      </c>
      <c r="E295" t="s">
        <v>97</v>
      </c>
      <c r="F295" t="s">
        <v>93</v>
      </c>
      <c r="G295" t="s">
        <v>93</v>
      </c>
      <c r="H295" t="s">
        <v>25</v>
      </c>
      <c r="I295" t="s">
        <v>25</v>
      </c>
      <c r="J295" t="s">
        <v>110</v>
      </c>
      <c r="K295" t="s">
        <v>97</v>
      </c>
      <c r="L295" t="s">
        <v>112</v>
      </c>
      <c r="M295">
        <v>278.00060418999999</v>
      </c>
      <c r="N295">
        <v>0</v>
      </c>
      <c r="O295" t="s">
        <v>89</v>
      </c>
      <c r="P295" s="44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93</v>
      </c>
      <c r="AD295" s="44">
        <v>43556</v>
      </c>
    </row>
    <row r="296" spans="1:30" x14ac:dyDescent="0.25">
      <c r="A296">
        <v>215965</v>
      </c>
      <c r="B296" t="s">
        <v>159</v>
      </c>
      <c r="C296">
        <v>2019</v>
      </c>
      <c r="D296">
        <v>4</v>
      </c>
      <c r="E296" t="s">
        <v>97</v>
      </c>
      <c r="F296" t="s">
        <v>93</v>
      </c>
      <c r="G296" t="s">
        <v>93</v>
      </c>
      <c r="H296" t="s">
        <v>25</v>
      </c>
      <c r="I296" t="s">
        <v>25</v>
      </c>
      <c r="J296" t="s">
        <v>110</v>
      </c>
      <c r="K296" t="s">
        <v>97</v>
      </c>
      <c r="L296" t="s">
        <v>112</v>
      </c>
      <c r="M296">
        <v>278.00060418999999</v>
      </c>
      <c r="N296">
        <v>0</v>
      </c>
      <c r="O296" t="s">
        <v>89</v>
      </c>
      <c r="P296" s="44">
        <v>44269.862960763887</v>
      </c>
      <c r="Q296">
        <v>2049767</v>
      </c>
      <c r="R296" t="s">
        <v>90</v>
      </c>
      <c r="S296">
        <v>28.15175829</v>
      </c>
      <c r="W296"/>
      <c r="X296">
        <v>0</v>
      </c>
      <c r="AC296" t="s">
        <v>93</v>
      </c>
      <c r="AD296" s="44">
        <v>43556</v>
      </c>
    </row>
    <row r="297" spans="1:30" x14ac:dyDescent="0.25">
      <c r="A297">
        <v>215938</v>
      </c>
      <c r="B297" t="s">
        <v>159</v>
      </c>
      <c r="C297">
        <v>2019</v>
      </c>
      <c r="D297">
        <v>4</v>
      </c>
      <c r="E297" t="s">
        <v>95</v>
      </c>
      <c r="F297" t="s">
        <v>93</v>
      </c>
      <c r="G297" t="s">
        <v>93</v>
      </c>
      <c r="H297" t="s">
        <v>25</v>
      </c>
      <c r="I297" t="s">
        <v>25</v>
      </c>
      <c r="J297" t="s">
        <v>110</v>
      </c>
      <c r="K297" t="s">
        <v>95</v>
      </c>
      <c r="L297" t="s">
        <v>112</v>
      </c>
      <c r="M297">
        <v>1388.5089304200001</v>
      </c>
      <c r="N297">
        <v>0</v>
      </c>
      <c r="O297" t="s">
        <v>89</v>
      </c>
      <c r="P297" s="44">
        <v>44269.862959456019</v>
      </c>
      <c r="Q297">
        <v>2049632</v>
      </c>
      <c r="R297" t="s">
        <v>90</v>
      </c>
      <c r="S297">
        <v>165.3206022</v>
      </c>
      <c r="W297"/>
      <c r="X297">
        <v>0</v>
      </c>
      <c r="AC297" t="s">
        <v>93</v>
      </c>
      <c r="AD297" s="44">
        <v>43556</v>
      </c>
    </row>
    <row r="298" spans="1:30" x14ac:dyDescent="0.25">
      <c r="A298">
        <v>215992</v>
      </c>
      <c r="B298" t="s">
        <v>159</v>
      </c>
      <c r="C298">
        <v>2019</v>
      </c>
      <c r="D298">
        <v>4</v>
      </c>
      <c r="E298" t="s">
        <v>99</v>
      </c>
      <c r="F298" t="s">
        <v>93</v>
      </c>
      <c r="G298" t="s">
        <v>93</v>
      </c>
      <c r="H298" t="s">
        <v>25</v>
      </c>
      <c r="I298" t="s">
        <v>25</v>
      </c>
      <c r="J298" t="s">
        <v>110</v>
      </c>
      <c r="K298" t="s">
        <v>99</v>
      </c>
      <c r="L298" t="s">
        <v>112</v>
      </c>
      <c r="M298">
        <v>807.94171081000002</v>
      </c>
      <c r="N298">
        <v>0</v>
      </c>
      <c r="O298" t="s">
        <v>89</v>
      </c>
      <c r="P298" s="44">
        <v>44269.862962037027</v>
      </c>
      <c r="Q298">
        <v>2049902</v>
      </c>
      <c r="R298" t="s">
        <v>90</v>
      </c>
      <c r="S298">
        <v>81.984347279999994</v>
      </c>
      <c r="W298"/>
      <c r="X298">
        <v>0</v>
      </c>
      <c r="AC298" t="s">
        <v>93</v>
      </c>
      <c r="AD298" s="44">
        <v>43556</v>
      </c>
    </row>
    <row r="299" spans="1:30" x14ac:dyDescent="0.25">
      <c r="A299">
        <v>215938</v>
      </c>
      <c r="B299" t="s">
        <v>159</v>
      </c>
      <c r="C299">
        <v>2019</v>
      </c>
      <c r="D299">
        <v>4</v>
      </c>
      <c r="E299" t="s">
        <v>95</v>
      </c>
      <c r="F299" t="s">
        <v>93</v>
      </c>
      <c r="G299" t="s">
        <v>93</v>
      </c>
      <c r="H299" t="s">
        <v>25</v>
      </c>
      <c r="I299" t="s">
        <v>25</v>
      </c>
      <c r="J299" t="s">
        <v>110</v>
      </c>
      <c r="K299" t="s">
        <v>95</v>
      </c>
      <c r="L299" t="s">
        <v>112</v>
      </c>
      <c r="M299">
        <v>1388.5089304200001</v>
      </c>
      <c r="N299">
        <v>0</v>
      </c>
      <c r="O299" t="s">
        <v>89</v>
      </c>
      <c r="P299" s="44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93</v>
      </c>
      <c r="AD299" s="44">
        <v>43556</v>
      </c>
    </row>
    <row r="300" spans="1:30" x14ac:dyDescent="0.25">
      <c r="A300">
        <v>215965</v>
      </c>
      <c r="B300" t="s">
        <v>159</v>
      </c>
      <c r="C300">
        <v>2019</v>
      </c>
      <c r="D300">
        <v>4</v>
      </c>
      <c r="E300" t="s">
        <v>97</v>
      </c>
      <c r="F300" t="s">
        <v>93</v>
      </c>
      <c r="G300" t="s">
        <v>93</v>
      </c>
      <c r="H300" t="s">
        <v>25</v>
      </c>
      <c r="I300" t="s">
        <v>25</v>
      </c>
      <c r="J300" t="s">
        <v>110</v>
      </c>
      <c r="K300" t="s">
        <v>97</v>
      </c>
      <c r="L300" t="s">
        <v>112</v>
      </c>
      <c r="M300">
        <v>278.00060418999999</v>
      </c>
      <c r="N300">
        <v>0</v>
      </c>
      <c r="O300" t="s">
        <v>89</v>
      </c>
      <c r="P300" s="44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93</v>
      </c>
      <c r="AD300" s="44">
        <v>43556</v>
      </c>
    </row>
    <row r="301" spans="1:30" x14ac:dyDescent="0.25">
      <c r="A301">
        <v>215992</v>
      </c>
      <c r="B301" t="s">
        <v>159</v>
      </c>
      <c r="C301">
        <v>2019</v>
      </c>
      <c r="D301">
        <v>4</v>
      </c>
      <c r="E301" t="s">
        <v>99</v>
      </c>
      <c r="F301" t="s">
        <v>93</v>
      </c>
      <c r="G301" t="s">
        <v>93</v>
      </c>
      <c r="H301" t="s">
        <v>25</v>
      </c>
      <c r="I301" t="s">
        <v>25</v>
      </c>
      <c r="J301" t="s">
        <v>110</v>
      </c>
      <c r="K301" t="s">
        <v>99</v>
      </c>
      <c r="L301" t="s">
        <v>112</v>
      </c>
      <c r="M301">
        <v>807.94171081000002</v>
      </c>
      <c r="N301">
        <v>0</v>
      </c>
      <c r="O301" t="s">
        <v>89</v>
      </c>
      <c r="P301" s="44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93</v>
      </c>
      <c r="AD301" s="44">
        <v>43556</v>
      </c>
    </row>
    <row r="302" spans="1:30" x14ac:dyDescent="0.25">
      <c r="A302">
        <v>215992</v>
      </c>
      <c r="B302" t="s">
        <v>159</v>
      </c>
      <c r="C302">
        <v>2019</v>
      </c>
      <c r="D302">
        <v>4</v>
      </c>
      <c r="E302" t="s">
        <v>99</v>
      </c>
      <c r="F302" t="s">
        <v>93</v>
      </c>
      <c r="G302" t="s">
        <v>93</v>
      </c>
      <c r="H302" t="s">
        <v>25</v>
      </c>
      <c r="I302" t="s">
        <v>25</v>
      </c>
      <c r="J302" t="s">
        <v>110</v>
      </c>
      <c r="K302" t="s">
        <v>99</v>
      </c>
      <c r="L302" t="s">
        <v>112</v>
      </c>
      <c r="M302">
        <v>807.94171081000002</v>
      </c>
      <c r="N302">
        <v>0</v>
      </c>
      <c r="O302" t="s">
        <v>89</v>
      </c>
      <c r="P302" s="44">
        <v>44269.862962037027</v>
      </c>
      <c r="Q302">
        <v>2049898</v>
      </c>
      <c r="R302" t="s">
        <v>100</v>
      </c>
      <c r="S302">
        <v>2.1075817400000001</v>
      </c>
      <c r="W302"/>
      <c r="X302">
        <v>0</v>
      </c>
      <c r="AC302" t="s">
        <v>93</v>
      </c>
      <c r="AD302" s="44">
        <v>43556</v>
      </c>
    </row>
    <row r="303" spans="1:30" x14ac:dyDescent="0.25">
      <c r="A303">
        <v>215965</v>
      </c>
      <c r="B303" t="s">
        <v>159</v>
      </c>
      <c r="C303">
        <v>2019</v>
      </c>
      <c r="D303">
        <v>4</v>
      </c>
      <c r="E303" t="s">
        <v>97</v>
      </c>
      <c r="F303" t="s">
        <v>93</v>
      </c>
      <c r="G303" t="s">
        <v>93</v>
      </c>
      <c r="H303" t="s">
        <v>25</v>
      </c>
      <c r="I303" t="s">
        <v>25</v>
      </c>
      <c r="J303" t="s">
        <v>110</v>
      </c>
      <c r="K303" t="s">
        <v>97</v>
      </c>
      <c r="L303" t="s">
        <v>112</v>
      </c>
      <c r="M303">
        <v>278.00060418999999</v>
      </c>
      <c r="N303">
        <v>0</v>
      </c>
      <c r="O303" t="s">
        <v>89</v>
      </c>
      <c r="P303" s="44">
        <v>44269.862960763887</v>
      </c>
      <c r="Q303">
        <v>2049763</v>
      </c>
      <c r="R303" t="s">
        <v>100</v>
      </c>
      <c r="S303">
        <v>0</v>
      </c>
      <c r="W303"/>
      <c r="X303">
        <v>0</v>
      </c>
      <c r="AC303" t="s">
        <v>93</v>
      </c>
      <c r="AD303" s="44">
        <v>43556</v>
      </c>
    </row>
    <row r="304" spans="1:30" x14ac:dyDescent="0.25">
      <c r="A304">
        <v>215938</v>
      </c>
      <c r="B304" t="s">
        <v>159</v>
      </c>
      <c r="C304">
        <v>2019</v>
      </c>
      <c r="D304">
        <v>4</v>
      </c>
      <c r="E304" t="s">
        <v>95</v>
      </c>
      <c r="F304" t="s">
        <v>93</v>
      </c>
      <c r="G304" t="s">
        <v>93</v>
      </c>
      <c r="H304" t="s">
        <v>25</v>
      </c>
      <c r="I304" t="s">
        <v>25</v>
      </c>
      <c r="J304" t="s">
        <v>110</v>
      </c>
      <c r="K304" t="s">
        <v>95</v>
      </c>
      <c r="L304" t="s">
        <v>112</v>
      </c>
      <c r="M304">
        <v>1388.5089304200001</v>
      </c>
      <c r="N304">
        <v>0</v>
      </c>
      <c r="O304" t="s">
        <v>89</v>
      </c>
      <c r="P304" s="44">
        <v>44269.862959456019</v>
      </c>
      <c r="Q304">
        <v>2049628</v>
      </c>
      <c r="R304" t="s">
        <v>100</v>
      </c>
      <c r="S304">
        <v>3.74297353</v>
      </c>
      <c r="W304"/>
      <c r="X304">
        <v>0</v>
      </c>
      <c r="AC304" t="s">
        <v>93</v>
      </c>
      <c r="AD304" s="44">
        <v>43556</v>
      </c>
    </row>
    <row r="305" spans="1:30" x14ac:dyDescent="0.25">
      <c r="A305">
        <v>215938</v>
      </c>
      <c r="B305" t="s">
        <v>159</v>
      </c>
      <c r="C305">
        <v>2019</v>
      </c>
      <c r="D305">
        <v>4</v>
      </c>
      <c r="E305" t="s">
        <v>95</v>
      </c>
      <c r="F305" t="s">
        <v>93</v>
      </c>
      <c r="G305" t="s">
        <v>93</v>
      </c>
      <c r="H305" t="s">
        <v>25</v>
      </c>
      <c r="I305" t="s">
        <v>25</v>
      </c>
      <c r="J305" t="s">
        <v>110</v>
      </c>
      <c r="K305" t="s">
        <v>95</v>
      </c>
      <c r="L305" t="s">
        <v>112</v>
      </c>
      <c r="M305">
        <v>1388.5089304200001</v>
      </c>
      <c r="N305">
        <v>0</v>
      </c>
      <c r="O305" t="s">
        <v>89</v>
      </c>
      <c r="P305" s="44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93</v>
      </c>
      <c r="AD305" s="44">
        <v>43556</v>
      </c>
    </row>
    <row r="306" spans="1:30" x14ac:dyDescent="0.25">
      <c r="A306">
        <v>215965</v>
      </c>
      <c r="B306" t="s">
        <v>159</v>
      </c>
      <c r="C306">
        <v>2019</v>
      </c>
      <c r="D306">
        <v>4</v>
      </c>
      <c r="E306" t="s">
        <v>97</v>
      </c>
      <c r="F306" t="s">
        <v>93</v>
      </c>
      <c r="G306" t="s">
        <v>93</v>
      </c>
      <c r="H306" t="s">
        <v>25</v>
      </c>
      <c r="I306" t="s">
        <v>25</v>
      </c>
      <c r="J306" t="s">
        <v>110</v>
      </c>
      <c r="K306" t="s">
        <v>97</v>
      </c>
      <c r="L306" t="s">
        <v>112</v>
      </c>
      <c r="M306">
        <v>278.00060418999999</v>
      </c>
      <c r="N306">
        <v>0</v>
      </c>
      <c r="O306" t="s">
        <v>89</v>
      </c>
      <c r="P306" s="44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93</v>
      </c>
      <c r="AD306" s="44">
        <v>43556</v>
      </c>
    </row>
    <row r="307" spans="1:30" x14ac:dyDescent="0.25">
      <c r="A307">
        <v>215992</v>
      </c>
      <c r="B307" t="s">
        <v>159</v>
      </c>
      <c r="C307">
        <v>2019</v>
      </c>
      <c r="D307">
        <v>4</v>
      </c>
      <c r="E307" t="s">
        <v>99</v>
      </c>
      <c r="F307" t="s">
        <v>93</v>
      </c>
      <c r="G307" t="s">
        <v>93</v>
      </c>
      <c r="H307" t="s">
        <v>25</v>
      </c>
      <c r="I307" t="s">
        <v>25</v>
      </c>
      <c r="J307" t="s">
        <v>110</v>
      </c>
      <c r="K307" t="s">
        <v>99</v>
      </c>
      <c r="L307" t="s">
        <v>112</v>
      </c>
      <c r="M307">
        <v>807.94171081000002</v>
      </c>
      <c r="N307">
        <v>0</v>
      </c>
      <c r="O307" t="s">
        <v>89</v>
      </c>
      <c r="P307" s="44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93</v>
      </c>
      <c r="AD307" s="44">
        <v>43556</v>
      </c>
    </row>
    <row r="308" spans="1:30" x14ac:dyDescent="0.25">
      <c r="A308">
        <v>229711</v>
      </c>
      <c r="B308" t="s">
        <v>161</v>
      </c>
      <c r="C308">
        <v>2019</v>
      </c>
      <c r="D308">
        <v>5</v>
      </c>
      <c r="E308" t="s">
        <v>99</v>
      </c>
      <c r="F308" t="s">
        <v>93</v>
      </c>
      <c r="G308" t="s">
        <v>93</v>
      </c>
      <c r="H308" t="s">
        <v>25</v>
      </c>
      <c r="I308" t="s">
        <v>25</v>
      </c>
      <c r="J308" t="s">
        <v>110</v>
      </c>
      <c r="K308" t="s">
        <v>99</v>
      </c>
      <c r="L308" t="s">
        <v>112</v>
      </c>
      <c r="M308">
        <v>761.62555524000004</v>
      </c>
      <c r="N308">
        <v>0</v>
      </c>
      <c r="O308" t="s">
        <v>89</v>
      </c>
      <c r="P308" s="44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93</v>
      </c>
      <c r="AD308" s="44">
        <v>43586</v>
      </c>
    </row>
    <row r="309" spans="1:30" x14ac:dyDescent="0.25">
      <c r="A309">
        <v>229684</v>
      </c>
      <c r="B309" t="s">
        <v>161</v>
      </c>
      <c r="C309">
        <v>2019</v>
      </c>
      <c r="D309">
        <v>5</v>
      </c>
      <c r="E309" t="s">
        <v>97</v>
      </c>
      <c r="F309" t="s">
        <v>93</v>
      </c>
      <c r="G309" t="s">
        <v>93</v>
      </c>
      <c r="H309" t="s">
        <v>25</v>
      </c>
      <c r="I309" t="s">
        <v>25</v>
      </c>
      <c r="J309" t="s">
        <v>110</v>
      </c>
      <c r="K309" t="s">
        <v>97</v>
      </c>
      <c r="L309" t="s">
        <v>112</v>
      </c>
      <c r="M309">
        <v>306.35749342000003</v>
      </c>
      <c r="N309">
        <v>0</v>
      </c>
      <c r="O309" t="s">
        <v>89</v>
      </c>
      <c r="P309" s="44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93</v>
      </c>
      <c r="AD309" s="44">
        <v>43586</v>
      </c>
    </row>
    <row r="310" spans="1:30" x14ac:dyDescent="0.25">
      <c r="A310">
        <v>229657</v>
      </c>
      <c r="B310" t="s">
        <v>161</v>
      </c>
      <c r="C310">
        <v>2019</v>
      </c>
      <c r="D310">
        <v>5</v>
      </c>
      <c r="E310" t="s">
        <v>95</v>
      </c>
      <c r="F310" t="s">
        <v>93</v>
      </c>
      <c r="G310" t="s">
        <v>93</v>
      </c>
      <c r="H310" t="s">
        <v>25</v>
      </c>
      <c r="I310" t="s">
        <v>25</v>
      </c>
      <c r="J310" t="s">
        <v>110</v>
      </c>
      <c r="K310" t="s">
        <v>95</v>
      </c>
      <c r="L310" t="s">
        <v>112</v>
      </c>
      <c r="M310">
        <v>1362.84439969</v>
      </c>
      <c r="N310">
        <v>0</v>
      </c>
      <c r="O310" t="s">
        <v>89</v>
      </c>
      <c r="P310" s="44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93</v>
      </c>
      <c r="AD310" s="44">
        <v>43586</v>
      </c>
    </row>
    <row r="311" spans="1:30" x14ac:dyDescent="0.25">
      <c r="A311">
        <v>229684</v>
      </c>
      <c r="B311" t="s">
        <v>161</v>
      </c>
      <c r="C311">
        <v>2019</v>
      </c>
      <c r="D311">
        <v>5</v>
      </c>
      <c r="E311" t="s">
        <v>97</v>
      </c>
      <c r="F311" t="s">
        <v>93</v>
      </c>
      <c r="G311" t="s">
        <v>93</v>
      </c>
      <c r="H311" t="s">
        <v>25</v>
      </c>
      <c r="I311" t="s">
        <v>25</v>
      </c>
      <c r="J311" t="s">
        <v>110</v>
      </c>
      <c r="K311" t="s">
        <v>97</v>
      </c>
      <c r="L311" t="s">
        <v>112</v>
      </c>
      <c r="M311">
        <v>306.35749342000003</v>
      </c>
      <c r="N311">
        <v>0</v>
      </c>
      <c r="O311" t="s">
        <v>89</v>
      </c>
      <c r="P311" s="44">
        <v>44269.864759108787</v>
      </c>
      <c r="Q311">
        <v>2179644</v>
      </c>
      <c r="R311" t="s">
        <v>90</v>
      </c>
      <c r="S311">
        <v>31.02332144</v>
      </c>
      <c r="W311"/>
      <c r="X311">
        <v>0</v>
      </c>
      <c r="AC311" t="s">
        <v>93</v>
      </c>
      <c r="AD311" s="44">
        <v>43586</v>
      </c>
    </row>
    <row r="312" spans="1:30" x14ac:dyDescent="0.25">
      <c r="A312">
        <v>229711</v>
      </c>
      <c r="B312" t="s">
        <v>161</v>
      </c>
      <c r="C312">
        <v>2019</v>
      </c>
      <c r="D312">
        <v>5</v>
      </c>
      <c r="E312" t="s">
        <v>99</v>
      </c>
      <c r="F312" t="s">
        <v>93</v>
      </c>
      <c r="G312" t="s">
        <v>93</v>
      </c>
      <c r="H312" t="s">
        <v>25</v>
      </c>
      <c r="I312" t="s">
        <v>25</v>
      </c>
      <c r="J312" t="s">
        <v>110</v>
      </c>
      <c r="K312" t="s">
        <v>99</v>
      </c>
      <c r="L312" t="s">
        <v>112</v>
      </c>
      <c r="M312">
        <v>761.62555524000004</v>
      </c>
      <c r="N312">
        <v>0</v>
      </c>
      <c r="O312" t="s">
        <v>89</v>
      </c>
      <c r="P312" s="44">
        <v>44269.864760335651</v>
      </c>
      <c r="Q312">
        <v>2179779</v>
      </c>
      <c r="R312" t="s">
        <v>90</v>
      </c>
      <c r="S312">
        <v>77.284503549999997</v>
      </c>
      <c r="W312"/>
      <c r="X312">
        <v>0</v>
      </c>
      <c r="AC312" t="s">
        <v>93</v>
      </c>
      <c r="AD312" s="44">
        <v>43586</v>
      </c>
    </row>
    <row r="313" spans="1:30" x14ac:dyDescent="0.25">
      <c r="A313">
        <v>229657</v>
      </c>
      <c r="B313" t="s">
        <v>161</v>
      </c>
      <c r="C313">
        <v>2019</v>
      </c>
      <c r="D313">
        <v>5</v>
      </c>
      <c r="E313" t="s">
        <v>95</v>
      </c>
      <c r="F313" t="s">
        <v>93</v>
      </c>
      <c r="G313" t="s">
        <v>93</v>
      </c>
      <c r="H313" t="s">
        <v>25</v>
      </c>
      <c r="I313" t="s">
        <v>25</v>
      </c>
      <c r="J313" t="s">
        <v>110</v>
      </c>
      <c r="K313" t="s">
        <v>95</v>
      </c>
      <c r="L313" t="s">
        <v>112</v>
      </c>
      <c r="M313">
        <v>1362.84439969</v>
      </c>
      <c r="N313">
        <v>0</v>
      </c>
      <c r="O313" t="s">
        <v>89</v>
      </c>
      <c r="P313" s="44">
        <v>44269.864757754629</v>
      </c>
      <c r="Q313">
        <v>2179509</v>
      </c>
      <c r="R313" t="s">
        <v>90</v>
      </c>
      <c r="S313">
        <v>162.26489577000001</v>
      </c>
      <c r="W313"/>
      <c r="X313">
        <v>0</v>
      </c>
      <c r="AC313" t="s">
        <v>93</v>
      </c>
      <c r="AD313" s="44">
        <v>43586</v>
      </c>
    </row>
    <row r="314" spans="1:30" x14ac:dyDescent="0.25">
      <c r="A314">
        <v>229711</v>
      </c>
      <c r="B314" t="s">
        <v>161</v>
      </c>
      <c r="C314">
        <v>2019</v>
      </c>
      <c r="D314">
        <v>5</v>
      </c>
      <c r="E314" t="s">
        <v>99</v>
      </c>
      <c r="F314" t="s">
        <v>93</v>
      </c>
      <c r="G314" t="s">
        <v>93</v>
      </c>
      <c r="H314" t="s">
        <v>25</v>
      </c>
      <c r="I314" t="s">
        <v>25</v>
      </c>
      <c r="J314" t="s">
        <v>110</v>
      </c>
      <c r="K314" t="s">
        <v>99</v>
      </c>
      <c r="L314" t="s">
        <v>112</v>
      </c>
      <c r="M314">
        <v>761.62555524000004</v>
      </c>
      <c r="N314">
        <v>0</v>
      </c>
      <c r="O314" t="s">
        <v>89</v>
      </c>
      <c r="P314" s="44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93</v>
      </c>
      <c r="AD314" s="44">
        <v>43586</v>
      </c>
    </row>
    <row r="315" spans="1:30" x14ac:dyDescent="0.25">
      <c r="A315">
        <v>229657</v>
      </c>
      <c r="B315" t="s">
        <v>161</v>
      </c>
      <c r="C315">
        <v>2019</v>
      </c>
      <c r="D315">
        <v>5</v>
      </c>
      <c r="E315" t="s">
        <v>95</v>
      </c>
      <c r="F315" t="s">
        <v>93</v>
      </c>
      <c r="G315" t="s">
        <v>93</v>
      </c>
      <c r="H315" t="s">
        <v>25</v>
      </c>
      <c r="I315" t="s">
        <v>25</v>
      </c>
      <c r="J315" t="s">
        <v>110</v>
      </c>
      <c r="K315" t="s">
        <v>95</v>
      </c>
      <c r="L315" t="s">
        <v>112</v>
      </c>
      <c r="M315">
        <v>1362.84439969</v>
      </c>
      <c r="N315">
        <v>0</v>
      </c>
      <c r="O315" t="s">
        <v>89</v>
      </c>
      <c r="P315" s="44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93</v>
      </c>
      <c r="AD315" s="44">
        <v>43586</v>
      </c>
    </row>
    <row r="316" spans="1:30" x14ac:dyDescent="0.25">
      <c r="A316">
        <v>229684</v>
      </c>
      <c r="B316" t="s">
        <v>161</v>
      </c>
      <c r="C316">
        <v>2019</v>
      </c>
      <c r="D316">
        <v>5</v>
      </c>
      <c r="E316" t="s">
        <v>97</v>
      </c>
      <c r="F316" t="s">
        <v>93</v>
      </c>
      <c r="G316" t="s">
        <v>93</v>
      </c>
      <c r="H316" t="s">
        <v>25</v>
      </c>
      <c r="I316" t="s">
        <v>25</v>
      </c>
      <c r="J316" t="s">
        <v>110</v>
      </c>
      <c r="K316" t="s">
        <v>97</v>
      </c>
      <c r="L316" t="s">
        <v>112</v>
      </c>
      <c r="M316">
        <v>306.35749342000003</v>
      </c>
      <c r="N316">
        <v>0</v>
      </c>
      <c r="O316" t="s">
        <v>89</v>
      </c>
      <c r="P316" s="44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93</v>
      </c>
      <c r="AD316" s="44">
        <v>43586</v>
      </c>
    </row>
    <row r="317" spans="1:30" x14ac:dyDescent="0.25">
      <c r="A317">
        <v>229684</v>
      </c>
      <c r="B317" t="s">
        <v>161</v>
      </c>
      <c r="C317">
        <v>2019</v>
      </c>
      <c r="D317">
        <v>5</v>
      </c>
      <c r="E317" t="s">
        <v>97</v>
      </c>
      <c r="F317" t="s">
        <v>93</v>
      </c>
      <c r="G317" t="s">
        <v>93</v>
      </c>
      <c r="H317" t="s">
        <v>25</v>
      </c>
      <c r="I317" t="s">
        <v>25</v>
      </c>
      <c r="J317" t="s">
        <v>110</v>
      </c>
      <c r="K317" t="s">
        <v>97</v>
      </c>
      <c r="L317" t="s">
        <v>112</v>
      </c>
      <c r="M317">
        <v>306.35749342000003</v>
      </c>
      <c r="N317">
        <v>0</v>
      </c>
      <c r="O317" t="s">
        <v>89</v>
      </c>
      <c r="P317" s="44">
        <v>44269.864759108787</v>
      </c>
      <c r="Q317">
        <v>2179640</v>
      </c>
      <c r="R317" t="s">
        <v>100</v>
      </c>
      <c r="S317">
        <v>0</v>
      </c>
      <c r="W317"/>
      <c r="X317">
        <v>0</v>
      </c>
      <c r="AC317" t="s">
        <v>93</v>
      </c>
      <c r="AD317" s="44">
        <v>43586</v>
      </c>
    </row>
    <row r="318" spans="1:30" x14ac:dyDescent="0.25">
      <c r="A318">
        <v>229657</v>
      </c>
      <c r="B318" t="s">
        <v>161</v>
      </c>
      <c r="C318">
        <v>2019</v>
      </c>
      <c r="D318">
        <v>5</v>
      </c>
      <c r="E318" t="s">
        <v>95</v>
      </c>
      <c r="F318" t="s">
        <v>93</v>
      </c>
      <c r="G318" t="s">
        <v>93</v>
      </c>
      <c r="H318" t="s">
        <v>25</v>
      </c>
      <c r="I318" t="s">
        <v>25</v>
      </c>
      <c r="J318" t="s">
        <v>110</v>
      </c>
      <c r="K318" t="s">
        <v>95</v>
      </c>
      <c r="L318" t="s">
        <v>112</v>
      </c>
      <c r="M318">
        <v>1362.84439969</v>
      </c>
      <c r="N318">
        <v>0</v>
      </c>
      <c r="O318" t="s">
        <v>89</v>
      </c>
      <c r="P318" s="44">
        <v>44269.864757754629</v>
      </c>
      <c r="Q318">
        <v>2179505</v>
      </c>
      <c r="R318" t="s">
        <v>100</v>
      </c>
      <c r="S318">
        <v>3.6737902099999999</v>
      </c>
      <c r="W318"/>
      <c r="X318">
        <v>0</v>
      </c>
      <c r="AC318" t="s">
        <v>93</v>
      </c>
      <c r="AD318" s="44">
        <v>43586</v>
      </c>
    </row>
    <row r="319" spans="1:30" x14ac:dyDescent="0.25">
      <c r="A319">
        <v>229711</v>
      </c>
      <c r="B319" t="s">
        <v>161</v>
      </c>
      <c r="C319">
        <v>2019</v>
      </c>
      <c r="D319">
        <v>5</v>
      </c>
      <c r="E319" t="s">
        <v>99</v>
      </c>
      <c r="F319" t="s">
        <v>93</v>
      </c>
      <c r="G319" t="s">
        <v>93</v>
      </c>
      <c r="H319" t="s">
        <v>25</v>
      </c>
      <c r="I319" t="s">
        <v>25</v>
      </c>
      <c r="J319" t="s">
        <v>110</v>
      </c>
      <c r="K319" t="s">
        <v>99</v>
      </c>
      <c r="L319" t="s">
        <v>112</v>
      </c>
      <c r="M319">
        <v>761.62555524000004</v>
      </c>
      <c r="N319">
        <v>0</v>
      </c>
      <c r="O319" t="s">
        <v>89</v>
      </c>
      <c r="P319" s="44">
        <v>44269.864760335651</v>
      </c>
      <c r="Q319">
        <v>2179775</v>
      </c>
      <c r="R319" t="s">
        <v>100</v>
      </c>
      <c r="S319">
        <v>1.9867622700000001</v>
      </c>
      <c r="W319"/>
      <c r="X319">
        <v>0</v>
      </c>
      <c r="AC319" t="s">
        <v>93</v>
      </c>
      <c r="AD319" s="44">
        <v>43586</v>
      </c>
    </row>
    <row r="320" spans="1:30" x14ac:dyDescent="0.25">
      <c r="A320">
        <v>229711</v>
      </c>
      <c r="B320" t="s">
        <v>161</v>
      </c>
      <c r="C320">
        <v>2019</v>
      </c>
      <c r="D320">
        <v>5</v>
      </c>
      <c r="E320" t="s">
        <v>99</v>
      </c>
      <c r="F320" t="s">
        <v>93</v>
      </c>
      <c r="G320" t="s">
        <v>93</v>
      </c>
      <c r="H320" t="s">
        <v>25</v>
      </c>
      <c r="I320" t="s">
        <v>25</v>
      </c>
      <c r="J320" t="s">
        <v>110</v>
      </c>
      <c r="K320" t="s">
        <v>99</v>
      </c>
      <c r="L320" t="s">
        <v>112</v>
      </c>
      <c r="M320">
        <v>761.62555524000004</v>
      </c>
      <c r="N320">
        <v>0</v>
      </c>
      <c r="O320" t="s">
        <v>89</v>
      </c>
      <c r="P320" s="44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93</v>
      </c>
      <c r="AD320" s="44">
        <v>43586</v>
      </c>
    </row>
    <row r="321" spans="1:30" x14ac:dyDescent="0.25">
      <c r="A321">
        <v>229684</v>
      </c>
      <c r="B321" t="s">
        <v>161</v>
      </c>
      <c r="C321">
        <v>2019</v>
      </c>
      <c r="D321">
        <v>5</v>
      </c>
      <c r="E321" t="s">
        <v>97</v>
      </c>
      <c r="F321" t="s">
        <v>93</v>
      </c>
      <c r="G321" t="s">
        <v>93</v>
      </c>
      <c r="H321" t="s">
        <v>25</v>
      </c>
      <c r="I321" t="s">
        <v>25</v>
      </c>
      <c r="J321" t="s">
        <v>110</v>
      </c>
      <c r="K321" t="s">
        <v>97</v>
      </c>
      <c r="L321" t="s">
        <v>112</v>
      </c>
      <c r="M321">
        <v>306.35749342000003</v>
      </c>
      <c r="N321">
        <v>0</v>
      </c>
      <c r="O321" t="s">
        <v>89</v>
      </c>
      <c r="P321" s="44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93</v>
      </c>
      <c r="AD321" s="44">
        <v>43586</v>
      </c>
    </row>
    <row r="322" spans="1:30" x14ac:dyDescent="0.25">
      <c r="A322">
        <v>229657</v>
      </c>
      <c r="B322" t="s">
        <v>161</v>
      </c>
      <c r="C322">
        <v>2019</v>
      </c>
      <c r="D322">
        <v>5</v>
      </c>
      <c r="E322" t="s">
        <v>95</v>
      </c>
      <c r="F322" t="s">
        <v>93</v>
      </c>
      <c r="G322" t="s">
        <v>93</v>
      </c>
      <c r="H322" t="s">
        <v>25</v>
      </c>
      <c r="I322" t="s">
        <v>25</v>
      </c>
      <c r="J322" t="s">
        <v>110</v>
      </c>
      <c r="K322" t="s">
        <v>95</v>
      </c>
      <c r="L322" t="s">
        <v>112</v>
      </c>
      <c r="M322">
        <v>1362.84439969</v>
      </c>
      <c r="N322">
        <v>0</v>
      </c>
      <c r="O322" t="s">
        <v>89</v>
      </c>
      <c r="P322" s="44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93</v>
      </c>
      <c r="AD322" s="44">
        <v>43586</v>
      </c>
    </row>
    <row r="323" spans="1:30" x14ac:dyDescent="0.25">
      <c r="A323">
        <v>243438</v>
      </c>
      <c r="B323" t="s">
        <v>162</v>
      </c>
      <c r="C323">
        <v>2019</v>
      </c>
      <c r="D323">
        <v>6</v>
      </c>
      <c r="E323" t="s">
        <v>97</v>
      </c>
      <c r="F323" t="s">
        <v>93</v>
      </c>
      <c r="G323" t="s">
        <v>93</v>
      </c>
      <c r="H323" t="s">
        <v>25</v>
      </c>
      <c r="I323" t="s">
        <v>25</v>
      </c>
      <c r="J323" t="s">
        <v>110</v>
      </c>
      <c r="K323" t="s">
        <v>97</v>
      </c>
      <c r="L323" t="s">
        <v>112</v>
      </c>
      <c r="M323">
        <v>251.84571108</v>
      </c>
      <c r="N323">
        <v>0</v>
      </c>
      <c r="O323" t="s">
        <v>89</v>
      </c>
      <c r="P323" s="44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93</v>
      </c>
      <c r="AD323" s="44">
        <v>43617</v>
      </c>
    </row>
    <row r="324" spans="1:30" x14ac:dyDescent="0.25">
      <c r="A324">
        <v>243411</v>
      </c>
      <c r="B324" t="s">
        <v>162</v>
      </c>
      <c r="C324">
        <v>2019</v>
      </c>
      <c r="D324">
        <v>6</v>
      </c>
      <c r="E324" t="s">
        <v>95</v>
      </c>
      <c r="F324" t="s">
        <v>93</v>
      </c>
      <c r="G324" t="s">
        <v>93</v>
      </c>
      <c r="H324" t="s">
        <v>25</v>
      </c>
      <c r="I324" t="s">
        <v>25</v>
      </c>
      <c r="J324" t="s">
        <v>110</v>
      </c>
      <c r="K324" t="s">
        <v>95</v>
      </c>
      <c r="L324" t="s">
        <v>112</v>
      </c>
      <c r="M324">
        <v>1258.64819612</v>
      </c>
      <c r="N324">
        <v>0</v>
      </c>
      <c r="O324" t="s">
        <v>89</v>
      </c>
      <c r="P324" s="44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93</v>
      </c>
      <c r="AD324" s="44">
        <v>43617</v>
      </c>
    </row>
    <row r="325" spans="1:30" x14ac:dyDescent="0.25">
      <c r="A325">
        <v>243465</v>
      </c>
      <c r="B325" t="s">
        <v>162</v>
      </c>
      <c r="C325">
        <v>2019</v>
      </c>
      <c r="D325">
        <v>6</v>
      </c>
      <c r="E325" t="s">
        <v>99</v>
      </c>
      <c r="F325" t="s">
        <v>93</v>
      </c>
      <c r="G325" t="s">
        <v>93</v>
      </c>
      <c r="H325" t="s">
        <v>25</v>
      </c>
      <c r="I325" t="s">
        <v>25</v>
      </c>
      <c r="J325" t="s">
        <v>110</v>
      </c>
      <c r="K325" t="s">
        <v>99</v>
      </c>
      <c r="L325" t="s">
        <v>112</v>
      </c>
      <c r="M325">
        <v>676.21524277000003</v>
      </c>
      <c r="N325">
        <v>0</v>
      </c>
      <c r="O325" t="s">
        <v>89</v>
      </c>
      <c r="P325" s="44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93</v>
      </c>
      <c r="AD325" s="44">
        <v>43617</v>
      </c>
    </row>
    <row r="326" spans="1:30" x14ac:dyDescent="0.25">
      <c r="A326">
        <v>243411</v>
      </c>
      <c r="B326" t="s">
        <v>162</v>
      </c>
      <c r="C326">
        <v>2019</v>
      </c>
      <c r="D326">
        <v>6</v>
      </c>
      <c r="E326" t="s">
        <v>95</v>
      </c>
      <c r="F326" t="s">
        <v>93</v>
      </c>
      <c r="G326" t="s">
        <v>93</v>
      </c>
      <c r="H326" t="s">
        <v>25</v>
      </c>
      <c r="I326" t="s">
        <v>25</v>
      </c>
      <c r="J326" t="s">
        <v>110</v>
      </c>
      <c r="K326" t="s">
        <v>95</v>
      </c>
      <c r="L326" t="s">
        <v>112</v>
      </c>
      <c r="M326">
        <v>1258.64819612</v>
      </c>
      <c r="N326">
        <v>0</v>
      </c>
      <c r="O326" t="s">
        <v>89</v>
      </c>
      <c r="P326" s="44">
        <v>44269.866383564811</v>
      </c>
      <c r="Q326">
        <v>2309503</v>
      </c>
      <c r="R326" t="s">
        <v>90</v>
      </c>
      <c r="S326">
        <v>149.85894089999999</v>
      </c>
      <c r="W326"/>
      <c r="X326">
        <v>0</v>
      </c>
      <c r="AC326" t="s">
        <v>93</v>
      </c>
      <c r="AD326" s="44">
        <v>43617</v>
      </c>
    </row>
    <row r="327" spans="1:30" x14ac:dyDescent="0.25">
      <c r="A327">
        <v>243438</v>
      </c>
      <c r="B327" t="s">
        <v>162</v>
      </c>
      <c r="C327">
        <v>2019</v>
      </c>
      <c r="D327">
        <v>6</v>
      </c>
      <c r="E327" t="s">
        <v>97</v>
      </c>
      <c r="F327" t="s">
        <v>93</v>
      </c>
      <c r="G327" t="s">
        <v>93</v>
      </c>
      <c r="H327" t="s">
        <v>25</v>
      </c>
      <c r="I327" t="s">
        <v>25</v>
      </c>
      <c r="J327" t="s">
        <v>110</v>
      </c>
      <c r="K327" t="s">
        <v>97</v>
      </c>
      <c r="L327" t="s">
        <v>112</v>
      </c>
      <c r="M327">
        <v>251.84571108</v>
      </c>
      <c r="N327">
        <v>0</v>
      </c>
      <c r="O327" t="s">
        <v>89</v>
      </c>
      <c r="P327" s="44">
        <v>44269.86638498844</v>
      </c>
      <c r="Q327">
        <v>2309638</v>
      </c>
      <c r="R327" t="s">
        <v>90</v>
      </c>
      <c r="S327">
        <v>25.503180489999998</v>
      </c>
      <c r="W327"/>
      <c r="X327">
        <v>0</v>
      </c>
      <c r="AC327" t="s">
        <v>93</v>
      </c>
      <c r="AD327" s="44">
        <v>43617</v>
      </c>
    </row>
    <row r="328" spans="1:30" x14ac:dyDescent="0.25">
      <c r="A328">
        <v>243465</v>
      </c>
      <c r="B328" t="s">
        <v>162</v>
      </c>
      <c r="C328">
        <v>2019</v>
      </c>
      <c r="D328">
        <v>6</v>
      </c>
      <c r="E328" t="s">
        <v>99</v>
      </c>
      <c r="F328" t="s">
        <v>93</v>
      </c>
      <c r="G328" t="s">
        <v>93</v>
      </c>
      <c r="H328" t="s">
        <v>25</v>
      </c>
      <c r="I328" t="s">
        <v>25</v>
      </c>
      <c r="J328" t="s">
        <v>110</v>
      </c>
      <c r="K328" t="s">
        <v>99</v>
      </c>
      <c r="L328" t="s">
        <v>112</v>
      </c>
      <c r="M328">
        <v>676.21524277000003</v>
      </c>
      <c r="N328">
        <v>0</v>
      </c>
      <c r="O328" t="s">
        <v>89</v>
      </c>
      <c r="P328" s="44">
        <v>44269.866386307869</v>
      </c>
      <c r="Q328">
        <v>2309773</v>
      </c>
      <c r="R328" t="s">
        <v>90</v>
      </c>
      <c r="S328">
        <v>68.617654659999999</v>
      </c>
      <c r="W328"/>
      <c r="X328">
        <v>0</v>
      </c>
      <c r="AC328" t="s">
        <v>93</v>
      </c>
      <c r="AD328" s="44">
        <v>43617</v>
      </c>
    </row>
    <row r="329" spans="1:30" x14ac:dyDescent="0.25">
      <c r="A329">
        <v>243411</v>
      </c>
      <c r="B329" t="s">
        <v>162</v>
      </c>
      <c r="C329">
        <v>2019</v>
      </c>
      <c r="D329">
        <v>6</v>
      </c>
      <c r="E329" t="s">
        <v>95</v>
      </c>
      <c r="F329" t="s">
        <v>93</v>
      </c>
      <c r="G329" t="s">
        <v>93</v>
      </c>
      <c r="H329" t="s">
        <v>25</v>
      </c>
      <c r="I329" t="s">
        <v>25</v>
      </c>
      <c r="J329" t="s">
        <v>110</v>
      </c>
      <c r="K329" t="s">
        <v>95</v>
      </c>
      <c r="L329" t="s">
        <v>112</v>
      </c>
      <c r="M329">
        <v>1258.64819612</v>
      </c>
      <c r="N329">
        <v>0</v>
      </c>
      <c r="O329" t="s">
        <v>89</v>
      </c>
      <c r="P329" s="44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93</v>
      </c>
      <c r="AD329" s="44">
        <v>43617</v>
      </c>
    </row>
    <row r="330" spans="1:30" x14ac:dyDescent="0.25">
      <c r="A330">
        <v>243465</v>
      </c>
      <c r="B330" t="s">
        <v>162</v>
      </c>
      <c r="C330">
        <v>2019</v>
      </c>
      <c r="D330">
        <v>6</v>
      </c>
      <c r="E330" t="s">
        <v>99</v>
      </c>
      <c r="F330" t="s">
        <v>93</v>
      </c>
      <c r="G330" t="s">
        <v>93</v>
      </c>
      <c r="H330" t="s">
        <v>25</v>
      </c>
      <c r="I330" t="s">
        <v>25</v>
      </c>
      <c r="J330" t="s">
        <v>110</v>
      </c>
      <c r="K330" t="s">
        <v>99</v>
      </c>
      <c r="L330" t="s">
        <v>112</v>
      </c>
      <c r="M330">
        <v>676.21524277000003</v>
      </c>
      <c r="N330">
        <v>0</v>
      </c>
      <c r="O330" t="s">
        <v>89</v>
      </c>
      <c r="P330" s="44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93</v>
      </c>
      <c r="AD330" s="44">
        <v>43617</v>
      </c>
    </row>
    <row r="331" spans="1:30" x14ac:dyDescent="0.25">
      <c r="A331">
        <v>243438</v>
      </c>
      <c r="B331" t="s">
        <v>162</v>
      </c>
      <c r="C331">
        <v>2019</v>
      </c>
      <c r="D331">
        <v>6</v>
      </c>
      <c r="E331" t="s">
        <v>97</v>
      </c>
      <c r="F331" t="s">
        <v>93</v>
      </c>
      <c r="G331" t="s">
        <v>93</v>
      </c>
      <c r="H331" t="s">
        <v>25</v>
      </c>
      <c r="I331" t="s">
        <v>25</v>
      </c>
      <c r="J331" t="s">
        <v>110</v>
      </c>
      <c r="K331" t="s">
        <v>97</v>
      </c>
      <c r="L331" t="s">
        <v>112</v>
      </c>
      <c r="M331">
        <v>251.84571108</v>
      </c>
      <c r="N331">
        <v>0</v>
      </c>
      <c r="O331" t="s">
        <v>89</v>
      </c>
      <c r="P331" s="44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93</v>
      </c>
      <c r="AD331" s="44">
        <v>43617</v>
      </c>
    </row>
    <row r="332" spans="1:30" x14ac:dyDescent="0.25">
      <c r="A332">
        <v>243411</v>
      </c>
      <c r="B332" t="s">
        <v>162</v>
      </c>
      <c r="C332">
        <v>2019</v>
      </c>
      <c r="D332">
        <v>6</v>
      </c>
      <c r="E332" t="s">
        <v>95</v>
      </c>
      <c r="F332" t="s">
        <v>93</v>
      </c>
      <c r="G332" t="s">
        <v>93</v>
      </c>
      <c r="H332" t="s">
        <v>25</v>
      </c>
      <c r="I332" t="s">
        <v>25</v>
      </c>
      <c r="J332" t="s">
        <v>110</v>
      </c>
      <c r="K332" t="s">
        <v>95</v>
      </c>
      <c r="L332" t="s">
        <v>112</v>
      </c>
      <c r="M332">
        <v>1258.64819612</v>
      </c>
      <c r="N332">
        <v>0</v>
      </c>
      <c r="O332" t="s">
        <v>89</v>
      </c>
      <c r="P332" s="44">
        <v>44269.866383564811</v>
      </c>
      <c r="Q332">
        <v>2309499</v>
      </c>
      <c r="R332" t="s">
        <v>100</v>
      </c>
      <c r="S332">
        <v>3.3929107599999999</v>
      </c>
      <c r="W332"/>
      <c r="X332">
        <v>0</v>
      </c>
      <c r="AC332" t="s">
        <v>93</v>
      </c>
      <c r="AD332" s="44">
        <v>43617</v>
      </c>
    </row>
    <row r="333" spans="1:30" x14ac:dyDescent="0.25">
      <c r="A333">
        <v>243465</v>
      </c>
      <c r="B333" t="s">
        <v>162</v>
      </c>
      <c r="C333">
        <v>2019</v>
      </c>
      <c r="D333">
        <v>6</v>
      </c>
      <c r="E333" t="s">
        <v>99</v>
      </c>
      <c r="F333" t="s">
        <v>93</v>
      </c>
      <c r="G333" t="s">
        <v>93</v>
      </c>
      <c r="H333" t="s">
        <v>25</v>
      </c>
      <c r="I333" t="s">
        <v>25</v>
      </c>
      <c r="J333" t="s">
        <v>110</v>
      </c>
      <c r="K333" t="s">
        <v>99</v>
      </c>
      <c r="L333" t="s">
        <v>112</v>
      </c>
      <c r="M333">
        <v>676.21524277000003</v>
      </c>
      <c r="N333">
        <v>0</v>
      </c>
      <c r="O333" t="s">
        <v>89</v>
      </c>
      <c r="P333" s="44">
        <v>44269.866386307869</v>
      </c>
      <c r="Q333">
        <v>2309769</v>
      </c>
      <c r="R333" t="s">
        <v>100</v>
      </c>
      <c r="S333">
        <v>1.76396252</v>
      </c>
      <c r="W333"/>
      <c r="X333">
        <v>0</v>
      </c>
      <c r="AC333" t="s">
        <v>93</v>
      </c>
      <c r="AD333" s="44">
        <v>43617</v>
      </c>
    </row>
    <row r="334" spans="1:30" x14ac:dyDescent="0.25">
      <c r="A334">
        <v>243438</v>
      </c>
      <c r="B334" t="s">
        <v>162</v>
      </c>
      <c r="C334">
        <v>2019</v>
      </c>
      <c r="D334">
        <v>6</v>
      </c>
      <c r="E334" t="s">
        <v>97</v>
      </c>
      <c r="F334" t="s">
        <v>93</v>
      </c>
      <c r="G334" t="s">
        <v>93</v>
      </c>
      <c r="H334" t="s">
        <v>25</v>
      </c>
      <c r="I334" t="s">
        <v>25</v>
      </c>
      <c r="J334" t="s">
        <v>110</v>
      </c>
      <c r="K334" t="s">
        <v>97</v>
      </c>
      <c r="L334" t="s">
        <v>112</v>
      </c>
      <c r="M334">
        <v>251.84571108</v>
      </c>
      <c r="N334">
        <v>0</v>
      </c>
      <c r="O334" t="s">
        <v>89</v>
      </c>
      <c r="P334" s="44">
        <v>44269.86638498844</v>
      </c>
      <c r="Q334">
        <v>2309634</v>
      </c>
      <c r="R334" t="s">
        <v>100</v>
      </c>
      <c r="S334">
        <v>0</v>
      </c>
      <c r="W334"/>
      <c r="X334">
        <v>0</v>
      </c>
      <c r="AC334" t="s">
        <v>93</v>
      </c>
      <c r="AD334" s="44">
        <v>43617</v>
      </c>
    </row>
    <row r="335" spans="1:30" x14ac:dyDescent="0.25">
      <c r="A335">
        <v>243411</v>
      </c>
      <c r="B335" t="s">
        <v>162</v>
      </c>
      <c r="C335">
        <v>2019</v>
      </c>
      <c r="D335">
        <v>6</v>
      </c>
      <c r="E335" t="s">
        <v>95</v>
      </c>
      <c r="F335" t="s">
        <v>93</v>
      </c>
      <c r="G335" t="s">
        <v>93</v>
      </c>
      <c r="H335" t="s">
        <v>25</v>
      </c>
      <c r="I335" t="s">
        <v>25</v>
      </c>
      <c r="J335" t="s">
        <v>110</v>
      </c>
      <c r="K335" t="s">
        <v>95</v>
      </c>
      <c r="L335" t="s">
        <v>112</v>
      </c>
      <c r="M335">
        <v>1258.64819612</v>
      </c>
      <c r="N335">
        <v>0</v>
      </c>
      <c r="O335" t="s">
        <v>89</v>
      </c>
      <c r="P335" s="44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93</v>
      </c>
      <c r="AD335" s="44">
        <v>43617</v>
      </c>
    </row>
    <row r="336" spans="1:30" x14ac:dyDescent="0.25">
      <c r="A336">
        <v>243438</v>
      </c>
      <c r="B336" t="s">
        <v>162</v>
      </c>
      <c r="C336">
        <v>2019</v>
      </c>
      <c r="D336">
        <v>6</v>
      </c>
      <c r="E336" t="s">
        <v>97</v>
      </c>
      <c r="F336" t="s">
        <v>93</v>
      </c>
      <c r="G336" t="s">
        <v>93</v>
      </c>
      <c r="H336" t="s">
        <v>25</v>
      </c>
      <c r="I336" t="s">
        <v>25</v>
      </c>
      <c r="J336" t="s">
        <v>110</v>
      </c>
      <c r="K336" t="s">
        <v>97</v>
      </c>
      <c r="L336" t="s">
        <v>112</v>
      </c>
      <c r="M336">
        <v>251.84571108</v>
      </c>
      <c r="N336">
        <v>0</v>
      </c>
      <c r="O336" t="s">
        <v>89</v>
      </c>
      <c r="P336" s="44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93</v>
      </c>
      <c r="AD336" s="44">
        <v>43617</v>
      </c>
    </row>
    <row r="337" spans="1:30" x14ac:dyDescent="0.25">
      <c r="A337">
        <v>243465</v>
      </c>
      <c r="B337" t="s">
        <v>162</v>
      </c>
      <c r="C337">
        <v>2019</v>
      </c>
      <c r="D337">
        <v>6</v>
      </c>
      <c r="E337" t="s">
        <v>99</v>
      </c>
      <c r="F337" t="s">
        <v>93</v>
      </c>
      <c r="G337" t="s">
        <v>93</v>
      </c>
      <c r="H337" t="s">
        <v>25</v>
      </c>
      <c r="I337" t="s">
        <v>25</v>
      </c>
      <c r="J337" t="s">
        <v>110</v>
      </c>
      <c r="K337" t="s">
        <v>99</v>
      </c>
      <c r="L337" t="s">
        <v>112</v>
      </c>
      <c r="M337">
        <v>676.21524277000003</v>
      </c>
      <c r="N337">
        <v>0</v>
      </c>
      <c r="O337" t="s">
        <v>89</v>
      </c>
      <c r="P337" s="44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93</v>
      </c>
      <c r="AD337" s="44">
        <v>43617</v>
      </c>
    </row>
    <row r="338" spans="1:30" x14ac:dyDescent="0.25">
      <c r="A338">
        <v>257220</v>
      </c>
      <c r="B338" t="s">
        <v>155</v>
      </c>
      <c r="C338">
        <v>2019</v>
      </c>
      <c r="D338">
        <v>7</v>
      </c>
      <c r="E338" t="s">
        <v>99</v>
      </c>
      <c r="F338" t="s">
        <v>93</v>
      </c>
      <c r="G338" t="s">
        <v>93</v>
      </c>
      <c r="H338" t="s">
        <v>25</v>
      </c>
      <c r="I338" t="s">
        <v>25</v>
      </c>
      <c r="J338" t="s">
        <v>110</v>
      </c>
      <c r="K338" t="s">
        <v>99</v>
      </c>
      <c r="L338" t="s">
        <v>112</v>
      </c>
      <c r="M338">
        <v>665.56227894000006</v>
      </c>
      <c r="N338">
        <v>0</v>
      </c>
      <c r="O338" t="s">
        <v>89</v>
      </c>
      <c r="P338" s="44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93</v>
      </c>
      <c r="AD338" s="44">
        <v>43647</v>
      </c>
    </row>
    <row r="339" spans="1:30" x14ac:dyDescent="0.25">
      <c r="A339">
        <v>257193</v>
      </c>
      <c r="B339" t="s">
        <v>155</v>
      </c>
      <c r="C339">
        <v>2019</v>
      </c>
      <c r="D339">
        <v>7</v>
      </c>
      <c r="E339" t="s">
        <v>97</v>
      </c>
      <c r="F339" t="s">
        <v>93</v>
      </c>
      <c r="G339" t="s">
        <v>93</v>
      </c>
      <c r="H339" t="s">
        <v>25</v>
      </c>
      <c r="I339" t="s">
        <v>25</v>
      </c>
      <c r="J339" t="s">
        <v>110</v>
      </c>
      <c r="K339" t="s">
        <v>97</v>
      </c>
      <c r="L339" t="s">
        <v>112</v>
      </c>
      <c r="M339">
        <v>259.70617061000002</v>
      </c>
      <c r="N339">
        <v>0</v>
      </c>
      <c r="O339" t="s">
        <v>89</v>
      </c>
      <c r="P339" s="44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93</v>
      </c>
      <c r="AD339" s="44">
        <v>43647</v>
      </c>
    </row>
    <row r="340" spans="1:30" x14ac:dyDescent="0.25">
      <c r="A340">
        <v>257166</v>
      </c>
      <c r="B340" t="s">
        <v>155</v>
      </c>
      <c r="C340">
        <v>2019</v>
      </c>
      <c r="D340">
        <v>7</v>
      </c>
      <c r="E340" t="s">
        <v>95</v>
      </c>
      <c r="F340" t="s">
        <v>93</v>
      </c>
      <c r="G340" t="s">
        <v>93</v>
      </c>
      <c r="H340" t="s">
        <v>25</v>
      </c>
      <c r="I340" t="s">
        <v>25</v>
      </c>
      <c r="J340" t="s">
        <v>110</v>
      </c>
      <c r="K340" t="s">
        <v>95</v>
      </c>
      <c r="L340" t="s">
        <v>112</v>
      </c>
      <c r="M340">
        <v>1240.59596756</v>
      </c>
      <c r="N340">
        <v>0</v>
      </c>
      <c r="O340" t="s">
        <v>89</v>
      </c>
      <c r="P340" s="44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93</v>
      </c>
      <c r="AD340" s="44">
        <v>43647</v>
      </c>
    </row>
    <row r="341" spans="1:30" x14ac:dyDescent="0.25">
      <c r="A341">
        <v>257220</v>
      </c>
      <c r="B341" t="s">
        <v>155</v>
      </c>
      <c r="C341">
        <v>2019</v>
      </c>
      <c r="D341">
        <v>7</v>
      </c>
      <c r="E341" t="s">
        <v>99</v>
      </c>
      <c r="F341" t="s">
        <v>93</v>
      </c>
      <c r="G341" t="s">
        <v>93</v>
      </c>
      <c r="H341" t="s">
        <v>25</v>
      </c>
      <c r="I341" t="s">
        <v>25</v>
      </c>
      <c r="J341" t="s">
        <v>110</v>
      </c>
      <c r="K341" t="s">
        <v>99</v>
      </c>
      <c r="L341" t="s">
        <v>112</v>
      </c>
      <c r="M341">
        <v>665.56227894000006</v>
      </c>
      <c r="N341">
        <v>0</v>
      </c>
      <c r="O341" t="s">
        <v>89</v>
      </c>
      <c r="P341" s="44">
        <v>44269.868006446763</v>
      </c>
      <c r="Q341">
        <v>2439801</v>
      </c>
      <c r="R341" t="s">
        <v>90</v>
      </c>
      <c r="S341">
        <v>67.536665429999999</v>
      </c>
      <c r="W341"/>
      <c r="X341">
        <v>0</v>
      </c>
      <c r="AC341" t="s">
        <v>93</v>
      </c>
      <c r="AD341" s="44">
        <v>43647</v>
      </c>
    </row>
    <row r="342" spans="1:30" x14ac:dyDescent="0.25">
      <c r="A342">
        <v>257193</v>
      </c>
      <c r="B342" t="s">
        <v>155</v>
      </c>
      <c r="C342">
        <v>2019</v>
      </c>
      <c r="D342">
        <v>7</v>
      </c>
      <c r="E342" t="s">
        <v>97</v>
      </c>
      <c r="F342" t="s">
        <v>93</v>
      </c>
      <c r="G342" t="s">
        <v>93</v>
      </c>
      <c r="H342" t="s">
        <v>25</v>
      </c>
      <c r="I342" t="s">
        <v>25</v>
      </c>
      <c r="J342" t="s">
        <v>110</v>
      </c>
      <c r="K342" t="s">
        <v>97</v>
      </c>
      <c r="L342" t="s">
        <v>112</v>
      </c>
      <c r="M342">
        <v>259.70617061000002</v>
      </c>
      <c r="N342">
        <v>0</v>
      </c>
      <c r="O342" t="s">
        <v>89</v>
      </c>
      <c r="P342" s="44">
        <v>44269.868005127311</v>
      </c>
      <c r="Q342">
        <v>2439666</v>
      </c>
      <c r="R342" t="s">
        <v>90</v>
      </c>
      <c r="S342">
        <v>26.29917069</v>
      </c>
      <c r="W342"/>
      <c r="X342">
        <v>0</v>
      </c>
      <c r="AC342" t="s">
        <v>93</v>
      </c>
      <c r="AD342" s="44">
        <v>43647</v>
      </c>
    </row>
    <row r="343" spans="1:30" x14ac:dyDescent="0.25">
      <c r="A343">
        <v>257166</v>
      </c>
      <c r="B343" t="s">
        <v>155</v>
      </c>
      <c r="C343">
        <v>2019</v>
      </c>
      <c r="D343">
        <v>7</v>
      </c>
      <c r="E343" t="s">
        <v>95</v>
      </c>
      <c r="F343" t="s">
        <v>93</v>
      </c>
      <c r="G343" t="s">
        <v>93</v>
      </c>
      <c r="H343" t="s">
        <v>25</v>
      </c>
      <c r="I343" t="s">
        <v>25</v>
      </c>
      <c r="J343" t="s">
        <v>110</v>
      </c>
      <c r="K343" t="s">
        <v>95</v>
      </c>
      <c r="L343" t="s">
        <v>112</v>
      </c>
      <c r="M343">
        <v>1240.59596756</v>
      </c>
      <c r="N343">
        <v>0</v>
      </c>
      <c r="O343" t="s">
        <v>89</v>
      </c>
      <c r="P343" s="44">
        <v>44269.868003854157</v>
      </c>
      <c r="Q343">
        <v>2439531</v>
      </c>
      <c r="R343" t="s">
        <v>90</v>
      </c>
      <c r="S343">
        <v>147.70958109</v>
      </c>
      <c r="W343"/>
      <c r="X343">
        <v>0</v>
      </c>
      <c r="AC343" t="s">
        <v>93</v>
      </c>
      <c r="AD343" s="44">
        <v>43647</v>
      </c>
    </row>
    <row r="344" spans="1:30" x14ac:dyDescent="0.25">
      <c r="A344">
        <v>257166</v>
      </c>
      <c r="B344" t="s">
        <v>155</v>
      </c>
      <c r="C344">
        <v>2019</v>
      </c>
      <c r="D344">
        <v>7</v>
      </c>
      <c r="E344" t="s">
        <v>95</v>
      </c>
      <c r="F344" t="s">
        <v>93</v>
      </c>
      <c r="G344" t="s">
        <v>93</v>
      </c>
      <c r="H344" t="s">
        <v>25</v>
      </c>
      <c r="I344" t="s">
        <v>25</v>
      </c>
      <c r="J344" t="s">
        <v>110</v>
      </c>
      <c r="K344" t="s">
        <v>95</v>
      </c>
      <c r="L344" t="s">
        <v>112</v>
      </c>
      <c r="M344">
        <v>1240.59596756</v>
      </c>
      <c r="N344">
        <v>0</v>
      </c>
      <c r="O344" t="s">
        <v>89</v>
      </c>
      <c r="P344" s="44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93</v>
      </c>
      <c r="AD344" s="44">
        <v>43647</v>
      </c>
    </row>
    <row r="345" spans="1:30" x14ac:dyDescent="0.25">
      <c r="A345">
        <v>257193</v>
      </c>
      <c r="B345" t="s">
        <v>155</v>
      </c>
      <c r="C345">
        <v>2019</v>
      </c>
      <c r="D345">
        <v>7</v>
      </c>
      <c r="E345" t="s">
        <v>97</v>
      </c>
      <c r="F345" t="s">
        <v>93</v>
      </c>
      <c r="G345" t="s">
        <v>93</v>
      </c>
      <c r="H345" t="s">
        <v>25</v>
      </c>
      <c r="I345" t="s">
        <v>25</v>
      </c>
      <c r="J345" t="s">
        <v>110</v>
      </c>
      <c r="K345" t="s">
        <v>97</v>
      </c>
      <c r="L345" t="s">
        <v>112</v>
      </c>
      <c r="M345">
        <v>259.70617061000002</v>
      </c>
      <c r="N345">
        <v>0</v>
      </c>
      <c r="O345" t="s">
        <v>89</v>
      </c>
      <c r="P345" s="44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93</v>
      </c>
      <c r="AD345" s="44">
        <v>43647</v>
      </c>
    </row>
    <row r="346" spans="1:30" x14ac:dyDescent="0.25">
      <c r="A346">
        <v>257220</v>
      </c>
      <c r="B346" t="s">
        <v>155</v>
      </c>
      <c r="C346">
        <v>2019</v>
      </c>
      <c r="D346">
        <v>7</v>
      </c>
      <c r="E346" t="s">
        <v>99</v>
      </c>
      <c r="F346" t="s">
        <v>93</v>
      </c>
      <c r="G346" t="s">
        <v>93</v>
      </c>
      <c r="H346" t="s">
        <v>25</v>
      </c>
      <c r="I346" t="s">
        <v>25</v>
      </c>
      <c r="J346" t="s">
        <v>110</v>
      </c>
      <c r="K346" t="s">
        <v>99</v>
      </c>
      <c r="L346" t="s">
        <v>112</v>
      </c>
      <c r="M346">
        <v>665.56227894000006</v>
      </c>
      <c r="N346">
        <v>0</v>
      </c>
      <c r="O346" t="s">
        <v>89</v>
      </c>
      <c r="P346" s="44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93</v>
      </c>
      <c r="AD346" s="44">
        <v>43647</v>
      </c>
    </row>
    <row r="347" spans="1:30" x14ac:dyDescent="0.25">
      <c r="A347">
        <v>257193</v>
      </c>
      <c r="B347" t="s">
        <v>155</v>
      </c>
      <c r="C347">
        <v>2019</v>
      </c>
      <c r="D347">
        <v>7</v>
      </c>
      <c r="E347" t="s">
        <v>97</v>
      </c>
      <c r="F347" t="s">
        <v>93</v>
      </c>
      <c r="G347" t="s">
        <v>93</v>
      </c>
      <c r="H347" t="s">
        <v>25</v>
      </c>
      <c r="I347" t="s">
        <v>25</v>
      </c>
      <c r="J347" t="s">
        <v>110</v>
      </c>
      <c r="K347" t="s">
        <v>97</v>
      </c>
      <c r="L347" t="s">
        <v>112</v>
      </c>
      <c r="M347">
        <v>259.70617061000002</v>
      </c>
      <c r="N347">
        <v>0</v>
      </c>
      <c r="O347" t="s">
        <v>89</v>
      </c>
      <c r="P347" s="44">
        <v>44269.868005127311</v>
      </c>
      <c r="Q347">
        <v>2439662</v>
      </c>
      <c r="R347" t="s">
        <v>100</v>
      </c>
      <c r="S347">
        <v>0</v>
      </c>
      <c r="W347"/>
      <c r="X347">
        <v>0</v>
      </c>
      <c r="AC347" t="s">
        <v>93</v>
      </c>
      <c r="AD347" s="44">
        <v>43647</v>
      </c>
    </row>
    <row r="348" spans="1:30" x14ac:dyDescent="0.25">
      <c r="A348">
        <v>257220</v>
      </c>
      <c r="B348" t="s">
        <v>155</v>
      </c>
      <c r="C348">
        <v>2019</v>
      </c>
      <c r="D348">
        <v>7</v>
      </c>
      <c r="E348" t="s">
        <v>99</v>
      </c>
      <c r="F348" t="s">
        <v>93</v>
      </c>
      <c r="G348" t="s">
        <v>93</v>
      </c>
      <c r="H348" t="s">
        <v>25</v>
      </c>
      <c r="I348" t="s">
        <v>25</v>
      </c>
      <c r="J348" t="s">
        <v>110</v>
      </c>
      <c r="K348" t="s">
        <v>99</v>
      </c>
      <c r="L348" t="s">
        <v>112</v>
      </c>
      <c r="M348">
        <v>665.56227894000006</v>
      </c>
      <c r="N348">
        <v>0</v>
      </c>
      <c r="O348" t="s">
        <v>89</v>
      </c>
      <c r="P348" s="44">
        <v>44269.868006446763</v>
      </c>
      <c r="Q348">
        <v>2439797</v>
      </c>
      <c r="R348" t="s">
        <v>100</v>
      </c>
      <c r="S348">
        <v>1.7361734</v>
      </c>
      <c r="W348"/>
      <c r="X348">
        <v>0</v>
      </c>
      <c r="AC348" t="s">
        <v>93</v>
      </c>
      <c r="AD348" s="44">
        <v>43647</v>
      </c>
    </row>
    <row r="349" spans="1:30" x14ac:dyDescent="0.25">
      <c r="A349">
        <v>257166</v>
      </c>
      <c r="B349" t="s">
        <v>155</v>
      </c>
      <c r="C349">
        <v>2019</v>
      </c>
      <c r="D349">
        <v>7</v>
      </c>
      <c r="E349" t="s">
        <v>95</v>
      </c>
      <c r="F349" t="s">
        <v>93</v>
      </c>
      <c r="G349" t="s">
        <v>93</v>
      </c>
      <c r="H349" t="s">
        <v>25</v>
      </c>
      <c r="I349" t="s">
        <v>25</v>
      </c>
      <c r="J349" t="s">
        <v>110</v>
      </c>
      <c r="K349" t="s">
        <v>95</v>
      </c>
      <c r="L349" t="s">
        <v>112</v>
      </c>
      <c r="M349">
        <v>1240.59596756</v>
      </c>
      <c r="N349">
        <v>0</v>
      </c>
      <c r="O349" t="s">
        <v>89</v>
      </c>
      <c r="P349" s="44">
        <v>44269.868003854157</v>
      </c>
      <c r="Q349">
        <v>2439527</v>
      </c>
      <c r="R349" t="s">
        <v>100</v>
      </c>
      <c r="S349">
        <v>3.3442477500000001</v>
      </c>
      <c r="W349"/>
      <c r="X349">
        <v>0</v>
      </c>
      <c r="AC349" t="s">
        <v>93</v>
      </c>
      <c r="AD349" s="44">
        <v>43647</v>
      </c>
    </row>
    <row r="350" spans="1:30" x14ac:dyDescent="0.25">
      <c r="A350">
        <v>257220</v>
      </c>
      <c r="B350" t="s">
        <v>155</v>
      </c>
      <c r="C350">
        <v>2019</v>
      </c>
      <c r="D350">
        <v>7</v>
      </c>
      <c r="E350" t="s">
        <v>99</v>
      </c>
      <c r="F350" t="s">
        <v>93</v>
      </c>
      <c r="G350" t="s">
        <v>93</v>
      </c>
      <c r="H350" t="s">
        <v>25</v>
      </c>
      <c r="I350" t="s">
        <v>25</v>
      </c>
      <c r="J350" t="s">
        <v>110</v>
      </c>
      <c r="K350" t="s">
        <v>99</v>
      </c>
      <c r="L350" t="s">
        <v>112</v>
      </c>
      <c r="M350">
        <v>665.56227894000006</v>
      </c>
      <c r="N350">
        <v>0</v>
      </c>
      <c r="O350" t="s">
        <v>89</v>
      </c>
      <c r="P350" s="44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93</v>
      </c>
      <c r="AD350" s="44">
        <v>43647</v>
      </c>
    </row>
    <row r="351" spans="1:30" x14ac:dyDescent="0.25">
      <c r="A351">
        <v>257166</v>
      </c>
      <c r="B351" t="s">
        <v>155</v>
      </c>
      <c r="C351">
        <v>2019</v>
      </c>
      <c r="D351">
        <v>7</v>
      </c>
      <c r="E351" t="s">
        <v>95</v>
      </c>
      <c r="F351" t="s">
        <v>93</v>
      </c>
      <c r="G351" t="s">
        <v>93</v>
      </c>
      <c r="H351" t="s">
        <v>25</v>
      </c>
      <c r="I351" t="s">
        <v>25</v>
      </c>
      <c r="J351" t="s">
        <v>110</v>
      </c>
      <c r="K351" t="s">
        <v>95</v>
      </c>
      <c r="L351" t="s">
        <v>112</v>
      </c>
      <c r="M351">
        <v>1240.59596756</v>
      </c>
      <c r="N351">
        <v>0</v>
      </c>
      <c r="O351" t="s">
        <v>89</v>
      </c>
      <c r="P351" s="44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93</v>
      </c>
      <c r="AD351" s="44">
        <v>43647</v>
      </c>
    </row>
    <row r="352" spans="1:30" x14ac:dyDescent="0.25">
      <c r="A352">
        <v>257193</v>
      </c>
      <c r="B352" t="s">
        <v>155</v>
      </c>
      <c r="C352">
        <v>2019</v>
      </c>
      <c r="D352">
        <v>7</v>
      </c>
      <c r="E352" t="s">
        <v>97</v>
      </c>
      <c r="F352" t="s">
        <v>93</v>
      </c>
      <c r="G352" t="s">
        <v>93</v>
      </c>
      <c r="H352" t="s">
        <v>25</v>
      </c>
      <c r="I352" t="s">
        <v>25</v>
      </c>
      <c r="J352" t="s">
        <v>110</v>
      </c>
      <c r="K352" t="s">
        <v>97</v>
      </c>
      <c r="L352" t="s">
        <v>112</v>
      </c>
      <c r="M352">
        <v>259.70617061000002</v>
      </c>
      <c r="N352">
        <v>0</v>
      </c>
      <c r="O352" t="s">
        <v>89</v>
      </c>
      <c r="P352" s="44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93</v>
      </c>
      <c r="AD352" s="44">
        <v>43647</v>
      </c>
    </row>
    <row r="353" spans="1:30" x14ac:dyDescent="0.25">
      <c r="A353">
        <v>270966</v>
      </c>
      <c r="B353" t="s">
        <v>160</v>
      </c>
      <c r="C353">
        <v>2019</v>
      </c>
      <c r="D353">
        <v>8</v>
      </c>
      <c r="E353" t="s">
        <v>97</v>
      </c>
      <c r="F353" t="s">
        <v>93</v>
      </c>
      <c r="G353" t="s">
        <v>93</v>
      </c>
      <c r="H353" t="s">
        <v>25</v>
      </c>
      <c r="I353" t="s">
        <v>25</v>
      </c>
      <c r="J353" t="s">
        <v>110</v>
      </c>
      <c r="K353" t="s">
        <v>97</v>
      </c>
      <c r="L353" t="s">
        <v>112</v>
      </c>
      <c r="M353">
        <v>293.74292012000001</v>
      </c>
      <c r="N353">
        <v>0</v>
      </c>
      <c r="O353" t="s">
        <v>89</v>
      </c>
      <c r="P353" s="44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93</v>
      </c>
      <c r="AD353" s="44">
        <v>43678</v>
      </c>
    </row>
    <row r="354" spans="1:30" x14ac:dyDescent="0.25">
      <c r="A354">
        <v>270993</v>
      </c>
      <c r="B354" t="s">
        <v>160</v>
      </c>
      <c r="C354">
        <v>2019</v>
      </c>
      <c r="D354">
        <v>8</v>
      </c>
      <c r="E354" t="s">
        <v>99</v>
      </c>
      <c r="F354" t="s">
        <v>93</v>
      </c>
      <c r="G354" t="s">
        <v>93</v>
      </c>
      <c r="H354" t="s">
        <v>25</v>
      </c>
      <c r="I354" t="s">
        <v>25</v>
      </c>
      <c r="J354" t="s">
        <v>110</v>
      </c>
      <c r="K354" t="s">
        <v>99</v>
      </c>
      <c r="L354" t="s">
        <v>112</v>
      </c>
      <c r="M354">
        <v>553.34695345</v>
      </c>
      <c r="N354">
        <v>0</v>
      </c>
      <c r="O354" t="s">
        <v>89</v>
      </c>
      <c r="P354" s="44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93</v>
      </c>
      <c r="AD354" s="44">
        <v>43678</v>
      </c>
    </row>
    <row r="355" spans="1:30" x14ac:dyDescent="0.25">
      <c r="A355">
        <v>270939</v>
      </c>
      <c r="B355" t="s">
        <v>160</v>
      </c>
      <c r="C355">
        <v>2019</v>
      </c>
      <c r="D355">
        <v>8</v>
      </c>
      <c r="E355" t="s">
        <v>95</v>
      </c>
      <c r="F355" t="s">
        <v>93</v>
      </c>
      <c r="G355" t="s">
        <v>93</v>
      </c>
      <c r="H355" t="s">
        <v>25</v>
      </c>
      <c r="I355" t="s">
        <v>25</v>
      </c>
      <c r="J355" t="s">
        <v>110</v>
      </c>
      <c r="K355" t="s">
        <v>95</v>
      </c>
      <c r="L355" t="s">
        <v>112</v>
      </c>
      <c r="M355">
        <v>1193.87028252</v>
      </c>
      <c r="N355">
        <v>0</v>
      </c>
      <c r="O355" t="s">
        <v>89</v>
      </c>
      <c r="P355" s="44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93</v>
      </c>
      <c r="AD355" s="44">
        <v>43678</v>
      </c>
    </row>
    <row r="356" spans="1:30" x14ac:dyDescent="0.25">
      <c r="A356">
        <v>270966</v>
      </c>
      <c r="B356" t="s">
        <v>160</v>
      </c>
      <c r="C356">
        <v>2019</v>
      </c>
      <c r="D356">
        <v>8</v>
      </c>
      <c r="E356" t="s">
        <v>97</v>
      </c>
      <c r="F356" t="s">
        <v>93</v>
      </c>
      <c r="G356" t="s">
        <v>93</v>
      </c>
      <c r="H356" t="s">
        <v>25</v>
      </c>
      <c r="I356" t="s">
        <v>25</v>
      </c>
      <c r="J356" t="s">
        <v>110</v>
      </c>
      <c r="K356" t="s">
        <v>97</v>
      </c>
      <c r="L356" t="s">
        <v>112</v>
      </c>
      <c r="M356">
        <v>293.74292012000001</v>
      </c>
      <c r="N356">
        <v>0</v>
      </c>
      <c r="O356" t="s">
        <v>89</v>
      </c>
      <c r="P356" s="44">
        <v>44269.869631712972</v>
      </c>
      <c r="Q356">
        <v>2570058</v>
      </c>
      <c r="R356" t="s">
        <v>90</v>
      </c>
      <c r="S356">
        <v>29.745905449999999</v>
      </c>
      <c r="W356"/>
      <c r="X356">
        <v>0</v>
      </c>
      <c r="AC356" t="s">
        <v>93</v>
      </c>
      <c r="AD356" s="44">
        <v>43678</v>
      </c>
    </row>
    <row r="357" spans="1:30" x14ac:dyDescent="0.25">
      <c r="A357">
        <v>270993</v>
      </c>
      <c r="B357" t="s">
        <v>160</v>
      </c>
      <c r="C357">
        <v>2019</v>
      </c>
      <c r="D357">
        <v>8</v>
      </c>
      <c r="E357" t="s">
        <v>99</v>
      </c>
      <c r="F357" t="s">
        <v>93</v>
      </c>
      <c r="G357" t="s">
        <v>93</v>
      </c>
      <c r="H357" t="s">
        <v>25</v>
      </c>
      <c r="I357" t="s">
        <v>25</v>
      </c>
      <c r="J357" t="s">
        <v>110</v>
      </c>
      <c r="K357" t="s">
        <v>99</v>
      </c>
      <c r="L357" t="s">
        <v>112</v>
      </c>
      <c r="M357">
        <v>553.34695345</v>
      </c>
      <c r="N357">
        <v>0</v>
      </c>
      <c r="O357" t="s">
        <v>89</v>
      </c>
      <c r="P357" s="44">
        <v>44269.869632986112</v>
      </c>
      <c r="Q357">
        <v>2570193</v>
      </c>
      <c r="R357" t="s">
        <v>90</v>
      </c>
      <c r="S357">
        <v>56.14982887</v>
      </c>
      <c r="W357"/>
      <c r="X357">
        <v>0</v>
      </c>
      <c r="AC357" t="s">
        <v>93</v>
      </c>
      <c r="AD357" s="44">
        <v>43678</v>
      </c>
    </row>
    <row r="358" spans="1:30" x14ac:dyDescent="0.25">
      <c r="A358">
        <v>270939</v>
      </c>
      <c r="B358" t="s">
        <v>160</v>
      </c>
      <c r="C358">
        <v>2019</v>
      </c>
      <c r="D358">
        <v>8</v>
      </c>
      <c r="E358" t="s">
        <v>95</v>
      </c>
      <c r="F358" t="s">
        <v>93</v>
      </c>
      <c r="G358" t="s">
        <v>93</v>
      </c>
      <c r="H358" t="s">
        <v>25</v>
      </c>
      <c r="I358" t="s">
        <v>25</v>
      </c>
      <c r="J358" t="s">
        <v>110</v>
      </c>
      <c r="K358" t="s">
        <v>95</v>
      </c>
      <c r="L358" t="s">
        <v>112</v>
      </c>
      <c r="M358">
        <v>1193.87028252</v>
      </c>
      <c r="N358">
        <v>0</v>
      </c>
      <c r="O358" t="s">
        <v>89</v>
      </c>
      <c r="P358" s="44">
        <v>44269.869630439818</v>
      </c>
      <c r="Q358">
        <v>2569923</v>
      </c>
      <c r="R358" t="s">
        <v>90</v>
      </c>
      <c r="S358">
        <v>142.14626189000001</v>
      </c>
      <c r="W358"/>
      <c r="X358">
        <v>0</v>
      </c>
      <c r="AC358" t="s">
        <v>93</v>
      </c>
      <c r="AD358" s="44">
        <v>43678</v>
      </c>
    </row>
    <row r="359" spans="1:30" x14ac:dyDescent="0.25">
      <c r="A359">
        <v>270993</v>
      </c>
      <c r="B359" t="s">
        <v>160</v>
      </c>
      <c r="C359">
        <v>2019</v>
      </c>
      <c r="D359">
        <v>8</v>
      </c>
      <c r="E359" t="s">
        <v>99</v>
      </c>
      <c r="F359" t="s">
        <v>93</v>
      </c>
      <c r="G359" t="s">
        <v>93</v>
      </c>
      <c r="H359" t="s">
        <v>25</v>
      </c>
      <c r="I359" t="s">
        <v>25</v>
      </c>
      <c r="J359" t="s">
        <v>110</v>
      </c>
      <c r="K359" t="s">
        <v>99</v>
      </c>
      <c r="L359" t="s">
        <v>112</v>
      </c>
      <c r="M359">
        <v>553.34695345</v>
      </c>
      <c r="N359">
        <v>0</v>
      </c>
      <c r="O359" t="s">
        <v>89</v>
      </c>
      <c r="P359" s="44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93</v>
      </c>
      <c r="AD359" s="44">
        <v>43678</v>
      </c>
    </row>
    <row r="360" spans="1:30" x14ac:dyDescent="0.25">
      <c r="A360">
        <v>270939</v>
      </c>
      <c r="B360" t="s">
        <v>160</v>
      </c>
      <c r="C360">
        <v>2019</v>
      </c>
      <c r="D360">
        <v>8</v>
      </c>
      <c r="E360" t="s">
        <v>95</v>
      </c>
      <c r="F360" t="s">
        <v>93</v>
      </c>
      <c r="G360" t="s">
        <v>93</v>
      </c>
      <c r="H360" t="s">
        <v>25</v>
      </c>
      <c r="I360" t="s">
        <v>25</v>
      </c>
      <c r="J360" t="s">
        <v>110</v>
      </c>
      <c r="K360" t="s">
        <v>95</v>
      </c>
      <c r="L360" t="s">
        <v>112</v>
      </c>
      <c r="M360">
        <v>1193.87028252</v>
      </c>
      <c r="N360">
        <v>0</v>
      </c>
      <c r="O360" t="s">
        <v>89</v>
      </c>
      <c r="P360" s="44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93</v>
      </c>
      <c r="AD360" s="44">
        <v>43678</v>
      </c>
    </row>
    <row r="361" spans="1:30" x14ac:dyDescent="0.25">
      <c r="A361">
        <v>270966</v>
      </c>
      <c r="B361" t="s">
        <v>160</v>
      </c>
      <c r="C361">
        <v>2019</v>
      </c>
      <c r="D361">
        <v>8</v>
      </c>
      <c r="E361" t="s">
        <v>97</v>
      </c>
      <c r="F361" t="s">
        <v>93</v>
      </c>
      <c r="G361" t="s">
        <v>93</v>
      </c>
      <c r="H361" t="s">
        <v>25</v>
      </c>
      <c r="I361" t="s">
        <v>25</v>
      </c>
      <c r="J361" t="s">
        <v>110</v>
      </c>
      <c r="K361" t="s">
        <v>97</v>
      </c>
      <c r="L361" t="s">
        <v>112</v>
      </c>
      <c r="M361">
        <v>293.74292012000001</v>
      </c>
      <c r="N361">
        <v>0</v>
      </c>
      <c r="O361" t="s">
        <v>89</v>
      </c>
      <c r="P361" s="44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93</v>
      </c>
      <c r="AD361" s="44">
        <v>43678</v>
      </c>
    </row>
    <row r="362" spans="1:30" x14ac:dyDescent="0.25">
      <c r="A362">
        <v>270966</v>
      </c>
      <c r="B362" t="s">
        <v>160</v>
      </c>
      <c r="C362">
        <v>2019</v>
      </c>
      <c r="D362">
        <v>8</v>
      </c>
      <c r="E362" t="s">
        <v>97</v>
      </c>
      <c r="F362" t="s">
        <v>93</v>
      </c>
      <c r="G362" t="s">
        <v>93</v>
      </c>
      <c r="H362" t="s">
        <v>25</v>
      </c>
      <c r="I362" t="s">
        <v>25</v>
      </c>
      <c r="J362" t="s">
        <v>110</v>
      </c>
      <c r="K362" t="s">
        <v>97</v>
      </c>
      <c r="L362" t="s">
        <v>112</v>
      </c>
      <c r="M362">
        <v>293.74292012000001</v>
      </c>
      <c r="N362">
        <v>0</v>
      </c>
      <c r="O362" t="s">
        <v>89</v>
      </c>
      <c r="P362" s="44">
        <v>44269.869631712972</v>
      </c>
      <c r="Q362">
        <v>2570054</v>
      </c>
      <c r="R362" t="s">
        <v>100</v>
      </c>
      <c r="S362">
        <v>0</v>
      </c>
      <c r="W362"/>
      <c r="X362">
        <v>0</v>
      </c>
      <c r="AC362" t="s">
        <v>93</v>
      </c>
      <c r="AD362" s="44">
        <v>43678</v>
      </c>
    </row>
    <row r="363" spans="1:30" x14ac:dyDescent="0.25">
      <c r="A363">
        <v>270939</v>
      </c>
      <c r="B363" t="s">
        <v>160</v>
      </c>
      <c r="C363">
        <v>2019</v>
      </c>
      <c r="D363">
        <v>8</v>
      </c>
      <c r="E363" t="s">
        <v>95</v>
      </c>
      <c r="F363" t="s">
        <v>93</v>
      </c>
      <c r="G363" t="s">
        <v>93</v>
      </c>
      <c r="H363" t="s">
        <v>25</v>
      </c>
      <c r="I363" t="s">
        <v>25</v>
      </c>
      <c r="J363" t="s">
        <v>110</v>
      </c>
      <c r="K363" t="s">
        <v>95</v>
      </c>
      <c r="L363" t="s">
        <v>112</v>
      </c>
      <c r="M363">
        <v>1193.87028252</v>
      </c>
      <c r="N363">
        <v>0</v>
      </c>
      <c r="O363" t="s">
        <v>89</v>
      </c>
      <c r="P363" s="44">
        <v>44269.869630439818</v>
      </c>
      <c r="Q363">
        <v>2569919</v>
      </c>
      <c r="R363" t="s">
        <v>100</v>
      </c>
      <c r="S363">
        <v>3.2182903299999999</v>
      </c>
      <c r="W363"/>
      <c r="X363">
        <v>0</v>
      </c>
      <c r="AC363" t="s">
        <v>93</v>
      </c>
      <c r="AD363" s="44">
        <v>43678</v>
      </c>
    </row>
    <row r="364" spans="1:30" x14ac:dyDescent="0.25">
      <c r="A364">
        <v>270993</v>
      </c>
      <c r="B364" t="s">
        <v>160</v>
      </c>
      <c r="C364">
        <v>2019</v>
      </c>
      <c r="D364">
        <v>8</v>
      </c>
      <c r="E364" t="s">
        <v>99</v>
      </c>
      <c r="F364" t="s">
        <v>93</v>
      </c>
      <c r="G364" t="s">
        <v>93</v>
      </c>
      <c r="H364" t="s">
        <v>25</v>
      </c>
      <c r="I364" t="s">
        <v>25</v>
      </c>
      <c r="J364" t="s">
        <v>110</v>
      </c>
      <c r="K364" t="s">
        <v>99</v>
      </c>
      <c r="L364" t="s">
        <v>112</v>
      </c>
      <c r="M364">
        <v>553.34695345</v>
      </c>
      <c r="N364">
        <v>0</v>
      </c>
      <c r="O364" t="s">
        <v>89</v>
      </c>
      <c r="P364" s="44">
        <v>44269.869632986112</v>
      </c>
      <c r="Q364">
        <v>2570189</v>
      </c>
      <c r="R364" t="s">
        <v>100</v>
      </c>
      <c r="S364">
        <v>1.4434505799999999</v>
      </c>
      <c r="W364"/>
      <c r="X364">
        <v>0</v>
      </c>
      <c r="AC364" t="s">
        <v>93</v>
      </c>
      <c r="AD364" s="44">
        <v>43678</v>
      </c>
    </row>
    <row r="365" spans="1:30" x14ac:dyDescent="0.25">
      <c r="A365">
        <v>270966</v>
      </c>
      <c r="B365" t="s">
        <v>160</v>
      </c>
      <c r="C365">
        <v>2019</v>
      </c>
      <c r="D365">
        <v>8</v>
      </c>
      <c r="E365" t="s">
        <v>97</v>
      </c>
      <c r="F365" t="s">
        <v>93</v>
      </c>
      <c r="G365" t="s">
        <v>93</v>
      </c>
      <c r="H365" t="s">
        <v>25</v>
      </c>
      <c r="I365" t="s">
        <v>25</v>
      </c>
      <c r="J365" t="s">
        <v>110</v>
      </c>
      <c r="K365" t="s">
        <v>97</v>
      </c>
      <c r="L365" t="s">
        <v>112</v>
      </c>
      <c r="M365">
        <v>293.74292012000001</v>
      </c>
      <c r="N365">
        <v>0</v>
      </c>
      <c r="O365" t="s">
        <v>89</v>
      </c>
      <c r="P365" s="44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93</v>
      </c>
      <c r="AD365" s="44">
        <v>43678</v>
      </c>
    </row>
    <row r="366" spans="1:30" x14ac:dyDescent="0.25">
      <c r="A366">
        <v>270939</v>
      </c>
      <c r="B366" t="s">
        <v>160</v>
      </c>
      <c r="C366">
        <v>2019</v>
      </c>
      <c r="D366">
        <v>8</v>
      </c>
      <c r="E366" t="s">
        <v>95</v>
      </c>
      <c r="F366" t="s">
        <v>93</v>
      </c>
      <c r="G366" t="s">
        <v>93</v>
      </c>
      <c r="H366" t="s">
        <v>25</v>
      </c>
      <c r="I366" t="s">
        <v>25</v>
      </c>
      <c r="J366" t="s">
        <v>110</v>
      </c>
      <c r="K366" t="s">
        <v>95</v>
      </c>
      <c r="L366" t="s">
        <v>112</v>
      </c>
      <c r="M366">
        <v>1193.87028252</v>
      </c>
      <c r="N366">
        <v>0</v>
      </c>
      <c r="O366" t="s">
        <v>89</v>
      </c>
      <c r="P366" s="44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93</v>
      </c>
      <c r="AD366" s="44">
        <v>43678</v>
      </c>
    </row>
    <row r="367" spans="1:30" x14ac:dyDescent="0.25">
      <c r="A367">
        <v>270993</v>
      </c>
      <c r="B367" t="s">
        <v>160</v>
      </c>
      <c r="C367">
        <v>2019</v>
      </c>
      <c r="D367">
        <v>8</v>
      </c>
      <c r="E367" t="s">
        <v>99</v>
      </c>
      <c r="F367" t="s">
        <v>93</v>
      </c>
      <c r="G367" t="s">
        <v>93</v>
      </c>
      <c r="H367" t="s">
        <v>25</v>
      </c>
      <c r="I367" t="s">
        <v>25</v>
      </c>
      <c r="J367" t="s">
        <v>110</v>
      </c>
      <c r="K367" t="s">
        <v>99</v>
      </c>
      <c r="L367" t="s">
        <v>112</v>
      </c>
      <c r="M367">
        <v>553.34695345</v>
      </c>
      <c r="N367">
        <v>0</v>
      </c>
      <c r="O367" t="s">
        <v>89</v>
      </c>
      <c r="P367" s="44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93</v>
      </c>
      <c r="AD367" s="44">
        <v>43678</v>
      </c>
    </row>
    <row r="368" spans="1:30" x14ac:dyDescent="0.25">
      <c r="A368">
        <v>273480</v>
      </c>
      <c r="B368" t="s">
        <v>163</v>
      </c>
      <c r="C368">
        <v>2019</v>
      </c>
      <c r="D368">
        <v>9</v>
      </c>
      <c r="E368" t="s">
        <v>97</v>
      </c>
      <c r="F368" t="s">
        <v>93</v>
      </c>
      <c r="G368" t="s">
        <v>93</v>
      </c>
      <c r="H368" t="s">
        <v>25</v>
      </c>
      <c r="I368" t="s">
        <v>25</v>
      </c>
      <c r="J368" t="s">
        <v>110</v>
      </c>
      <c r="K368" t="s">
        <v>97</v>
      </c>
      <c r="L368" t="s">
        <v>112</v>
      </c>
      <c r="M368">
        <v>254.44613530000001</v>
      </c>
      <c r="N368">
        <v>0</v>
      </c>
      <c r="O368" t="s">
        <v>89</v>
      </c>
      <c r="P368" s="44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93</v>
      </c>
      <c r="AD368" s="44">
        <v>43709</v>
      </c>
    </row>
    <row r="369" spans="1:30" x14ac:dyDescent="0.25">
      <c r="A369">
        <v>273453</v>
      </c>
      <c r="B369" t="s">
        <v>163</v>
      </c>
      <c r="C369">
        <v>2019</v>
      </c>
      <c r="D369">
        <v>9</v>
      </c>
      <c r="E369" t="s">
        <v>95</v>
      </c>
      <c r="F369" t="s">
        <v>93</v>
      </c>
      <c r="G369" t="s">
        <v>93</v>
      </c>
      <c r="H369" t="s">
        <v>25</v>
      </c>
      <c r="I369" t="s">
        <v>25</v>
      </c>
      <c r="J369" t="s">
        <v>110</v>
      </c>
      <c r="K369" t="s">
        <v>95</v>
      </c>
      <c r="L369" t="s">
        <v>112</v>
      </c>
      <c r="M369">
        <v>1168.3183385699999</v>
      </c>
      <c r="N369">
        <v>0</v>
      </c>
      <c r="O369" t="s">
        <v>89</v>
      </c>
      <c r="P369" s="44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93</v>
      </c>
      <c r="AD369" s="44">
        <v>43709</v>
      </c>
    </row>
    <row r="370" spans="1:30" x14ac:dyDescent="0.25">
      <c r="A370">
        <v>273507</v>
      </c>
      <c r="B370" t="s">
        <v>163</v>
      </c>
      <c r="C370">
        <v>2019</v>
      </c>
      <c r="D370">
        <v>9</v>
      </c>
      <c r="E370" t="s">
        <v>99</v>
      </c>
      <c r="F370" t="s">
        <v>93</v>
      </c>
      <c r="G370" t="s">
        <v>93</v>
      </c>
      <c r="H370" t="s">
        <v>25</v>
      </c>
      <c r="I370" t="s">
        <v>25</v>
      </c>
      <c r="J370" t="s">
        <v>110</v>
      </c>
      <c r="K370" t="s">
        <v>99</v>
      </c>
      <c r="L370" t="s">
        <v>112</v>
      </c>
      <c r="M370">
        <v>533.50070271000004</v>
      </c>
      <c r="N370">
        <v>0</v>
      </c>
      <c r="O370" t="s">
        <v>89</v>
      </c>
      <c r="P370" s="44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93</v>
      </c>
      <c r="AD370" s="44">
        <v>43709</v>
      </c>
    </row>
    <row r="371" spans="1:30" x14ac:dyDescent="0.25">
      <c r="A371">
        <v>273507</v>
      </c>
      <c r="B371" t="s">
        <v>163</v>
      </c>
      <c r="C371">
        <v>2019</v>
      </c>
      <c r="D371">
        <v>9</v>
      </c>
      <c r="E371" t="s">
        <v>99</v>
      </c>
      <c r="F371" t="s">
        <v>93</v>
      </c>
      <c r="G371" t="s">
        <v>93</v>
      </c>
      <c r="H371" t="s">
        <v>25</v>
      </c>
      <c r="I371" t="s">
        <v>25</v>
      </c>
      <c r="J371" t="s">
        <v>110</v>
      </c>
      <c r="K371" t="s">
        <v>99</v>
      </c>
      <c r="L371" t="s">
        <v>112</v>
      </c>
      <c r="M371">
        <v>533.50070271000004</v>
      </c>
      <c r="N371">
        <v>0</v>
      </c>
      <c r="O371" t="s">
        <v>89</v>
      </c>
      <c r="P371" s="44">
        <v>44269.870334027779</v>
      </c>
      <c r="Q371">
        <v>2587012</v>
      </c>
      <c r="R371" t="s">
        <v>90</v>
      </c>
      <c r="S371">
        <v>54.135968349999999</v>
      </c>
      <c r="W371"/>
      <c r="X371">
        <v>0</v>
      </c>
      <c r="AC371" t="s">
        <v>93</v>
      </c>
      <c r="AD371" s="44">
        <v>43709</v>
      </c>
    </row>
    <row r="372" spans="1:30" x14ac:dyDescent="0.25">
      <c r="A372">
        <v>273480</v>
      </c>
      <c r="B372" t="s">
        <v>163</v>
      </c>
      <c r="C372">
        <v>2019</v>
      </c>
      <c r="D372">
        <v>9</v>
      </c>
      <c r="E372" t="s">
        <v>97</v>
      </c>
      <c r="F372" t="s">
        <v>93</v>
      </c>
      <c r="G372" t="s">
        <v>93</v>
      </c>
      <c r="H372" t="s">
        <v>25</v>
      </c>
      <c r="I372" t="s">
        <v>25</v>
      </c>
      <c r="J372" t="s">
        <v>110</v>
      </c>
      <c r="K372" t="s">
        <v>97</v>
      </c>
      <c r="L372" t="s">
        <v>112</v>
      </c>
      <c r="M372">
        <v>254.44613530000001</v>
      </c>
      <c r="N372">
        <v>0</v>
      </c>
      <c r="O372" t="s">
        <v>89</v>
      </c>
      <c r="P372" s="44">
        <v>44269.870332719911</v>
      </c>
      <c r="Q372">
        <v>2586877</v>
      </c>
      <c r="R372" t="s">
        <v>90</v>
      </c>
      <c r="S372">
        <v>25.7665127</v>
      </c>
      <c r="W372"/>
      <c r="X372">
        <v>0</v>
      </c>
      <c r="AC372" t="s">
        <v>93</v>
      </c>
      <c r="AD372" s="44">
        <v>43709</v>
      </c>
    </row>
    <row r="373" spans="1:30" x14ac:dyDescent="0.25">
      <c r="A373">
        <v>273453</v>
      </c>
      <c r="B373" t="s">
        <v>163</v>
      </c>
      <c r="C373">
        <v>2019</v>
      </c>
      <c r="D373">
        <v>9</v>
      </c>
      <c r="E373" t="s">
        <v>95</v>
      </c>
      <c r="F373" t="s">
        <v>93</v>
      </c>
      <c r="G373" t="s">
        <v>93</v>
      </c>
      <c r="H373" t="s">
        <v>25</v>
      </c>
      <c r="I373" t="s">
        <v>25</v>
      </c>
      <c r="J373" t="s">
        <v>110</v>
      </c>
      <c r="K373" t="s">
        <v>95</v>
      </c>
      <c r="L373" t="s">
        <v>112</v>
      </c>
      <c r="M373">
        <v>1168.3183385699999</v>
      </c>
      <c r="N373">
        <v>0</v>
      </c>
      <c r="O373" t="s">
        <v>89</v>
      </c>
      <c r="P373" s="44">
        <v>44269.870331331018</v>
      </c>
      <c r="Q373">
        <v>2586742</v>
      </c>
      <c r="R373" t="s">
        <v>90</v>
      </c>
      <c r="S373">
        <v>139.10396041999999</v>
      </c>
      <c r="W373"/>
      <c r="X373">
        <v>0</v>
      </c>
      <c r="AC373" t="s">
        <v>93</v>
      </c>
      <c r="AD373" s="44">
        <v>43709</v>
      </c>
    </row>
    <row r="374" spans="1:30" x14ac:dyDescent="0.25">
      <c r="A374">
        <v>273480</v>
      </c>
      <c r="B374" t="s">
        <v>163</v>
      </c>
      <c r="C374">
        <v>2019</v>
      </c>
      <c r="D374">
        <v>9</v>
      </c>
      <c r="E374" t="s">
        <v>97</v>
      </c>
      <c r="F374" t="s">
        <v>93</v>
      </c>
      <c r="G374" t="s">
        <v>93</v>
      </c>
      <c r="H374" t="s">
        <v>25</v>
      </c>
      <c r="I374" t="s">
        <v>25</v>
      </c>
      <c r="J374" t="s">
        <v>110</v>
      </c>
      <c r="K374" t="s">
        <v>97</v>
      </c>
      <c r="L374" t="s">
        <v>112</v>
      </c>
      <c r="M374">
        <v>254.44613530000001</v>
      </c>
      <c r="N374">
        <v>0</v>
      </c>
      <c r="O374" t="s">
        <v>89</v>
      </c>
      <c r="P374" s="44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93</v>
      </c>
      <c r="AD374" s="44">
        <v>43709</v>
      </c>
    </row>
    <row r="375" spans="1:30" x14ac:dyDescent="0.25">
      <c r="A375">
        <v>273507</v>
      </c>
      <c r="B375" t="s">
        <v>163</v>
      </c>
      <c r="C375">
        <v>2019</v>
      </c>
      <c r="D375">
        <v>9</v>
      </c>
      <c r="E375" t="s">
        <v>99</v>
      </c>
      <c r="F375" t="s">
        <v>93</v>
      </c>
      <c r="G375" t="s">
        <v>93</v>
      </c>
      <c r="H375" t="s">
        <v>25</v>
      </c>
      <c r="I375" t="s">
        <v>25</v>
      </c>
      <c r="J375" t="s">
        <v>110</v>
      </c>
      <c r="K375" t="s">
        <v>99</v>
      </c>
      <c r="L375" t="s">
        <v>112</v>
      </c>
      <c r="M375">
        <v>533.50070271000004</v>
      </c>
      <c r="N375">
        <v>0</v>
      </c>
      <c r="O375" t="s">
        <v>89</v>
      </c>
      <c r="P375" s="44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93</v>
      </c>
      <c r="AD375" s="44">
        <v>43709</v>
      </c>
    </row>
    <row r="376" spans="1:30" x14ac:dyDescent="0.25">
      <c r="A376">
        <v>273453</v>
      </c>
      <c r="B376" t="s">
        <v>163</v>
      </c>
      <c r="C376">
        <v>2019</v>
      </c>
      <c r="D376">
        <v>9</v>
      </c>
      <c r="E376" t="s">
        <v>95</v>
      </c>
      <c r="F376" t="s">
        <v>93</v>
      </c>
      <c r="G376" t="s">
        <v>93</v>
      </c>
      <c r="H376" t="s">
        <v>25</v>
      </c>
      <c r="I376" t="s">
        <v>25</v>
      </c>
      <c r="J376" t="s">
        <v>110</v>
      </c>
      <c r="K376" t="s">
        <v>95</v>
      </c>
      <c r="L376" t="s">
        <v>112</v>
      </c>
      <c r="M376">
        <v>1168.3183385699999</v>
      </c>
      <c r="N376">
        <v>0</v>
      </c>
      <c r="O376" t="s">
        <v>89</v>
      </c>
      <c r="P376" s="44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93</v>
      </c>
      <c r="AD376" s="44">
        <v>43709</v>
      </c>
    </row>
    <row r="377" spans="1:30" x14ac:dyDescent="0.25">
      <c r="A377">
        <v>273480</v>
      </c>
      <c r="B377" t="s">
        <v>163</v>
      </c>
      <c r="C377">
        <v>2019</v>
      </c>
      <c r="D377">
        <v>9</v>
      </c>
      <c r="E377" t="s">
        <v>97</v>
      </c>
      <c r="F377" t="s">
        <v>93</v>
      </c>
      <c r="G377" t="s">
        <v>93</v>
      </c>
      <c r="H377" t="s">
        <v>25</v>
      </c>
      <c r="I377" t="s">
        <v>25</v>
      </c>
      <c r="J377" t="s">
        <v>110</v>
      </c>
      <c r="K377" t="s">
        <v>97</v>
      </c>
      <c r="L377" t="s">
        <v>112</v>
      </c>
      <c r="M377">
        <v>254.44613530000001</v>
      </c>
      <c r="N377">
        <v>0</v>
      </c>
      <c r="O377" t="s">
        <v>89</v>
      </c>
      <c r="P377" s="44">
        <v>44269.870332719911</v>
      </c>
      <c r="Q377">
        <v>2586873</v>
      </c>
      <c r="R377" t="s">
        <v>100</v>
      </c>
      <c r="S377">
        <v>0</v>
      </c>
      <c r="W377"/>
      <c r="X377">
        <v>0</v>
      </c>
      <c r="AC377" t="s">
        <v>93</v>
      </c>
      <c r="AD377" s="44">
        <v>43709</v>
      </c>
    </row>
    <row r="378" spans="1:30" x14ac:dyDescent="0.25">
      <c r="A378">
        <v>273507</v>
      </c>
      <c r="B378" t="s">
        <v>163</v>
      </c>
      <c r="C378">
        <v>2019</v>
      </c>
      <c r="D378">
        <v>9</v>
      </c>
      <c r="E378" t="s">
        <v>99</v>
      </c>
      <c r="F378" t="s">
        <v>93</v>
      </c>
      <c r="G378" t="s">
        <v>93</v>
      </c>
      <c r="H378" t="s">
        <v>25</v>
      </c>
      <c r="I378" t="s">
        <v>25</v>
      </c>
      <c r="J378" t="s">
        <v>110</v>
      </c>
      <c r="K378" t="s">
        <v>99</v>
      </c>
      <c r="L378" t="s">
        <v>112</v>
      </c>
      <c r="M378">
        <v>533.50070271000004</v>
      </c>
      <c r="N378">
        <v>0</v>
      </c>
      <c r="O378" t="s">
        <v>89</v>
      </c>
      <c r="P378" s="44">
        <v>44269.870334027779</v>
      </c>
      <c r="Q378">
        <v>2587008</v>
      </c>
      <c r="R378" t="s">
        <v>100</v>
      </c>
      <c r="S378">
        <v>1.3916800199999999</v>
      </c>
      <c r="W378"/>
      <c r="X378">
        <v>0</v>
      </c>
      <c r="AC378" t="s">
        <v>93</v>
      </c>
      <c r="AD378" s="44">
        <v>43709</v>
      </c>
    </row>
    <row r="379" spans="1:30" x14ac:dyDescent="0.25">
      <c r="A379">
        <v>273453</v>
      </c>
      <c r="B379" t="s">
        <v>163</v>
      </c>
      <c r="C379">
        <v>2019</v>
      </c>
      <c r="D379">
        <v>9</v>
      </c>
      <c r="E379" t="s">
        <v>95</v>
      </c>
      <c r="F379" t="s">
        <v>93</v>
      </c>
      <c r="G379" t="s">
        <v>93</v>
      </c>
      <c r="H379" t="s">
        <v>25</v>
      </c>
      <c r="I379" t="s">
        <v>25</v>
      </c>
      <c r="J379" t="s">
        <v>110</v>
      </c>
      <c r="K379" t="s">
        <v>95</v>
      </c>
      <c r="L379" t="s">
        <v>112</v>
      </c>
      <c r="M379">
        <v>1168.3183385699999</v>
      </c>
      <c r="N379">
        <v>0</v>
      </c>
      <c r="O379" t="s">
        <v>89</v>
      </c>
      <c r="P379" s="44">
        <v>44269.870331331018</v>
      </c>
      <c r="Q379">
        <v>2586738</v>
      </c>
      <c r="R379" t="s">
        <v>100</v>
      </c>
      <c r="S379">
        <v>3.1494105100000001</v>
      </c>
      <c r="W379"/>
      <c r="X379">
        <v>0</v>
      </c>
      <c r="AC379" t="s">
        <v>93</v>
      </c>
      <c r="AD379" s="44">
        <v>43709</v>
      </c>
    </row>
    <row r="380" spans="1:30" x14ac:dyDescent="0.25">
      <c r="A380">
        <v>273507</v>
      </c>
      <c r="B380" t="s">
        <v>163</v>
      </c>
      <c r="C380">
        <v>2019</v>
      </c>
      <c r="D380">
        <v>9</v>
      </c>
      <c r="E380" t="s">
        <v>99</v>
      </c>
      <c r="F380" t="s">
        <v>93</v>
      </c>
      <c r="G380" t="s">
        <v>93</v>
      </c>
      <c r="H380" t="s">
        <v>25</v>
      </c>
      <c r="I380" t="s">
        <v>25</v>
      </c>
      <c r="J380" t="s">
        <v>110</v>
      </c>
      <c r="K380" t="s">
        <v>99</v>
      </c>
      <c r="L380" t="s">
        <v>112</v>
      </c>
      <c r="M380">
        <v>533.50070271000004</v>
      </c>
      <c r="N380">
        <v>0</v>
      </c>
      <c r="O380" t="s">
        <v>89</v>
      </c>
      <c r="P380" s="44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93</v>
      </c>
      <c r="AD380" s="44">
        <v>43709</v>
      </c>
    </row>
    <row r="381" spans="1:30" x14ac:dyDescent="0.25">
      <c r="A381">
        <v>273453</v>
      </c>
      <c r="B381" t="s">
        <v>163</v>
      </c>
      <c r="C381">
        <v>2019</v>
      </c>
      <c r="D381">
        <v>9</v>
      </c>
      <c r="E381" t="s">
        <v>95</v>
      </c>
      <c r="F381" t="s">
        <v>93</v>
      </c>
      <c r="G381" t="s">
        <v>93</v>
      </c>
      <c r="H381" t="s">
        <v>25</v>
      </c>
      <c r="I381" t="s">
        <v>25</v>
      </c>
      <c r="J381" t="s">
        <v>110</v>
      </c>
      <c r="K381" t="s">
        <v>95</v>
      </c>
      <c r="L381" t="s">
        <v>112</v>
      </c>
      <c r="M381">
        <v>1168.3183385699999</v>
      </c>
      <c r="N381">
        <v>0</v>
      </c>
      <c r="O381" t="s">
        <v>89</v>
      </c>
      <c r="P381" s="44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93</v>
      </c>
      <c r="AD381" s="44">
        <v>43709</v>
      </c>
    </row>
    <row r="382" spans="1:30" x14ac:dyDescent="0.25">
      <c r="A382">
        <v>273480</v>
      </c>
      <c r="B382" t="s">
        <v>163</v>
      </c>
      <c r="C382">
        <v>2019</v>
      </c>
      <c r="D382">
        <v>9</v>
      </c>
      <c r="E382" t="s">
        <v>97</v>
      </c>
      <c r="F382" t="s">
        <v>93</v>
      </c>
      <c r="G382" t="s">
        <v>93</v>
      </c>
      <c r="H382" t="s">
        <v>25</v>
      </c>
      <c r="I382" t="s">
        <v>25</v>
      </c>
      <c r="J382" t="s">
        <v>110</v>
      </c>
      <c r="K382" t="s">
        <v>97</v>
      </c>
      <c r="L382" t="s">
        <v>112</v>
      </c>
      <c r="M382">
        <v>254.44613530000001</v>
      </c>
      <c r="N382">
        <v>0</v>
      </c>
      <c r="O382" t="s">
        <v>89</v>
      </c>
      <c r="P382" s="44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93</v>
      </c>
      <c r="AD382" s="44">
        <v>43709</v>
      </c>
    </row>
    <row r="383" spans="1:30" x14ac:dyDescent="0.25">
      <c r="A383">
        <v>287325</v>
      </c>
      <c r="B383" t="s">
        <v>165</v>
      </c>
      <c r="C383">
        <v>2019</v>
      </c>
      <c r="D383">
        <v>10</v>
      </c>
      <c r="E383" t="s">
        <v>99</v>
      </c>
      <c r="F383" t="s">
        <v>93</v>
      </c>
      <c r="G383" t="s">
        <v>93</v>
      </c>
      <c r="H383" t="s">
        <v>25</v>
      </c>
      <c r="I383" t="s">
        <v>25</v>
      </c>
      <c r="J383" t="s">
        <v>110</v>
      </c>
      <c r="K383" t="s">
        <v>99</v>
      </c>
      <c r="L383" t="s">
        <v>112</v>
      </c>
      <c r="M383">
        <v>576.31545115999995</v>
      </c>
      <c r="N383">
        <v>0</v>
      </c>
      <c r="O383" t="s">
        <v>89</v>
      </c>
      <c r="P383" s="44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93</v>
      </c>
      <c r="AD383" s="44">
        <v>43739</v>
      </c>
    </row>
    <row r="384" spans="1:30" x14ac:dyDescent="0.25">
      <c r="A384">
        <v>287271</v>
      </c>
      <c r="B384" t="s">
        <v>165</v>
      </c>
      <c r="C384">
        <v>2019</v>
      </c>
      <c r="D384">
        <v>10</v>
      </c>
      <c r="E384" t="s">
        <v>95</v>
      </c>
      <c r="F384" t="s">
        <v>93</v>
      </c>
      <c r="G384" t="s">
        <v>93</v>
      </c>
      <c r="H384" t="s">
        <v>25</v>
      </c>
      <c r="I384" t="s">
        <v>25</v>
      </c>
      <c r="J384" t="s">
        <v>110</v>
      </c>
      <c r="K384" t="s">
        <v>95</v>
      </c>
      <c r="L384" t="s">
        <v>112</v>
      </c>
      <c r="M384">
        <v>1469.1859072899999</v>
      </c>
      <c r="N384">
        <v>0</v>
      </c>
      <c r="O384" t="s">
        <v>89</v>
      </c>
      <c r="P384" s="44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93</v>
      </c>
      <c r="AD384" s="44">
        <v>43739</v>
      </c>
    </row>
    <row r="385" spans="1:30" x14ac:dyDescent="0.25">
      <c r="A385">
        <v>287298</v>
      </c>
      <c r="B385" t="s">
        <v>165</v>
      </c>
      <c r="C385">
        <v>2019</v>
      </c>
      <c r="D385">
        <v>10</v>
      </c>
      <c r="E385" t="s">
        <v>97</v>
      </c>
      <c r="F385" t="s">
        <v>93</v>
      </c>
      <c r="G385" t="s">
        <v>93</v>
      </c>
      <c r="H385" t="s">
        <v>25</v>
      </c>
      <c r="I385" t="s">
        <v>25</v>
      </c>
      <c r="J385" t="s">
        <v>110</v>
      </c>
      <c r="K385" t="s">
        <v>97</v>
      </c>
      <c r="L385" t="s">
        <v>112</v>
      </c>
      <c r="M385">
        <v>290.75618709000003</v>
      </c>
      <c r="N385">
        <v>0</v>
      </c>
      <c r="O385" t="s">
        <v>89</v>
      </c>
      <c r="P385" s="44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93</v>
      </c>
      <c r="AD385" s="44">
        <v>43739</v>
      </c>
    </row>
    <row r="386" spans="1:30" x14ac:dyDescent="0.25">
      <c r="A386">
        <v>287325</v>
      </c>
      <c r="B386" t="s">
        <v>165</v>
      </c>
      <c r="C386">
        <v>2019</v>
      </c>
      <c r="D386">
        <v>10</v>
      </c>
      <c r="E386" t="s">
        <v>99</v>
      </c>
      <c r="F386" t="s">
        <v>93</v>
      </c>
      <c r="G386" t="s">
        <v>93</v>
      </c>
      <c r="H386" t="s">
        <v>25</v>
      </c>
      <c r="I386" t="s">
        <v>25</v>
      </c>
      <c r="J386" t="s">
        <v>110</v>
      </c>
      <c r="K386" t="s">
        <v>99</v>
      </c>
      <c r="L386" t="s">
        <v>112</v>
      </c>
      <c r="M386">
        <v>576.31545115999995</v>
      </c>
      <c r="N386">
        <v>0</v>
      </c>
      <c r="O386" t="s">
        <v>89</v>
      </c>
      <c r="P386" s="44">
        <v>44269.87196944443</v>
      </c>
      <c r="Q386">
        <v>2717719</v>
      </c>
      <c r="R386" t="s">
        <v>90</v>
      </c>
      <c r="S386">
        <v>58.480513459999997</v>
      </c>
      <c r="W386"/>
      <c r="X386">
        <v>0</v>
      </c>
      <c r="AC386" t="s">
        <v>93</v>
      </c>
      <c r="AD386" s="44">
        <v>43739</v>
      </c>
    </row>
    <row r="387" spans="1:30" x14ac:dyDescent="0.25">
      <c r="A387">
        <v>287298</v>
      </c>
      <c r="B387" t="s">
        <v>165</v>
      </c>
      <c r="C387">
        <v>2019</v>
      </c>
      <c r="D387">
        <v>10</v>
      </c>
      <c r="E387" t="s">
        <v>97</v>
      </c>
      <c r="F387" t="s">
        <v>93</v>
      </c>
      <c r="G387" t="s">
        <v>93</v>
      </c>
      <c r="H387" t="s">
        <v>25</v>
      </c>
      <c r="I387" t="s">
        <v>25</v>
      </c>
      <c r="J387" t="s">
        <v>110</v>
      </c>
      <c r="K387" t="s">
        <v>97</v>
      </c>
      <c r="L387" t="s">
        <v>112</v>
      </c>
      <c r="M387">
        <v>290.75618709000003</v>
      </c>
      <c r="N387">
        <v>0</v>
      </c>
      <c r="O387" t="s">
        <v>89</v>
      </c>
      <c r="P387" s="44">
        <v>44269.871968136576</v>
      </c>
      <c r="Q387">
        <v>2717584</v>
      </c>
      <c r="R387" t="s">
        <v>90</v>
      </c>
      <c r="S387">
        <v>29.443453640000001</v>
      </c>
      <c r="W387"/>
      <c r="X387">
        <v>0</v>
      </c>
      <c r="AC387" t="s">
        <v>93</v>
      </c>
      <c r="AD387" s="44">
        <v>43739</v>
      </c>
    </row>
    <row r="388" spans="1:30" x14ac:dyDescent="0.25">
      <c r="A388">
        <v>287271</v>
      </c>
      <c r="B388" t="s">
        <v>165</v>
      </c>
      <c r="C388">
        <v>2019</v>
      </c>
      <c r="D388">
        <v>10</v>
      </c>
      <c r="E388" t="s">
        <v>95</v>
      </c>
      <c r="F388" t="s">
        <v>93</v>
      </c>
      <c r="G388" t="s">
        <v>93</v>
      </c>
      <c r="H388" t="s">
        <v>25</v>
      </c>
      <c r="I388" t="s">
        <v>25</v>
      </c>
      <c r="J388" t="s">
        <v>110</v>
      </c>
      <c r="K388" t="s">
        <v>95</v>
      </c>
      <c r="L388" t="s">
        <v>112</v>
      </c>
      <c r="M388">
        <v>1469.1859072899999</v>
      </c>
      <c r="N388">
        <v>0</v>
      </c>
      <c r="O388" t="s">
        <v>89</v>
      </c>
      <c r="P388" s="44">
        <v>44269.871966747683</v>
      </c>
      <c r="Q388">
        <v>2717449</v>
      </c>
      <c r="R388" t="s">
        <v>90</v>
      </c>
      <c r="S388">
        <v>174.92627784000001</v>
      </c>
      <c r="W388"/>
      <c r="X388">
        <v>0</v>
      </c>
      <c r="AC388" t="s">
        <v>93</v>
      </c>
      <c r="AD388" s="44">
        <v>43739</v>
      </c>
    </row>
    <row r="389" spans="1:30" x14ac:dyDescent="0.25">
      <c r="A389">
        <v>287298</v>
      </c>
      <c r="B389" t="s">
        <v>165</v>
      </c>
      <c r="C389">
        <v>2019</v>
      </c>
      <c r="D389">
        <v>10</v>
      </c>
      <c r="E389" t="s">
        <v>97</v>
      </c>
      <c r="F389" t="s">
        <v>93</v>
      </c>
      <c r="G389" t="s">
        <v>93</v>
      </c>
      <c r="H389" t="s">
        <v>25</v>
      </c>
      <c r="I389" t="s">
        <v>25</v>
      </c>
      <c r="J389" t="s">
        <v>110</v>
      </c>
      <c r="K389" t="s">
        <v>97</v>
      </c>
      <c r="L389" t="s">
        <v>112</v>
      </c>
      <c r="M389">
        <v>290.75618709000003</v>
      </c>
      <c r="N389">
        <v>0</v>
      </c>
      <c r="O389" t="s">
        <v>89</v>
      </c>
      <c r="P389" s="44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93</v>
      </c>
      <c r="AD389" s="44">
        <v>43739</v>
      </c>
    </row>
    <row r="390" spans="1:30" x14ac:dyDescent="0.25">
      <c r="A390">
        <v>287271</v>
      </c>
      <c r="B390" t="s">
        <v>165</v>
      </c>
      <c r="C390">
        <v>2019</v>
      </c>
      <c r="D390">
        <v>10</v>
      </c>
      <c r="E390" t="s">
        <v>95</v>
      </c>
      <c r="F390" t="s">
        <v>93</v>
      </c>
      <c r="G390" t="s">
        <v>93</v>
      </c>
      <c r="H390" t="s">
        <v>25</v>
      </c>
      <c r="I390" t="s">
        <v>25</v>
      </c>
      <c r="J390" t="s">
        <v>110</v>
      </c>
      <c r="K390" t="s">
        <v>95</v>
      </c>
      <c r="L390" t="s">
        <v>112</v>
      </c>
      <c r="M390">
        <v>1469.1859072899999</v>
      </c>
      <c r="N390">
        <v>0</v>
      </c>
      <c r="O390" t="s">
        <v>89</v>
      </c>
      <c r="P390" s="44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93</v>
      </c>
      <c r="AD390" s="44">
        <v>43739</v>
      </c>
    </row>
    <row r="391" spans="1:30" x14ac:dyDescent="0.25">
      <c r="A391">
        <v>287325</v>
      </c>
      <c r="B391" t="s">
        <v>165</v>
      </c>
      <c r="C391">
        <v>2019</v>
      </c>
      <c r="D391">
        <v>10</v>
      </c>
      <c r="E391" t="s">
        <v>99</v>
      </c>
      <c r="F391" t="s">
        <v>93</v>
      </c>
      <c r="G391" t="s">
        <v>93</v>
      </c>
      <c r="H391" t="s">
        <v>25</v>
      </c>
      <c r="I391" t="s">
        <v>25</v>
      </c>
      <c r="J391" t="s">
        <v>110</v>
      </c>
      <c r="K391" t="s">
        <v>99</v>
      </c>
      <c r="L391" t="s">
        <v>112</v>
      </c>
      <c r="M391">
        <v>576.31545115999995</v>
      </c>
      <c r="N391">
        <v>0</v>
      </c>
      <c r="O391" t="s">
        <v>89</v>
      </c>
      <c r="P391" s="44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93</v>
      </c>
      <c r="AD391" s="44">
        <v>43739</v>
      </c>
    </row>
    <row r="392" spans="1:30" x14ac:dyDescent="0.25">
      <c r="A392">
        <v>287298</v>
      </c>
      <c r="B392" t="s">
        <v>165</v>
      </c>
      <c r="C392">
        <v>2019</v>
      </c>
      <c r="D392">
        <v>10</v>
      </c>
      <c r="E392" t="s">
        <v>97</v>
      </c>
      <c r="F392" t="s">
        <v>93</v>
      </c>
      <c r="G392" t="s">
        <v>93</v>
      </c>
      <c r="H392" t="s">
        <v>25</v>
      </c>
      <c r="I392" t="s">
        <v>25</v>
      </c>
      <c r="J392" t="s">
        <v>110</v>
      </c>
      <c r="K392" t="s">
        <v>97</v>
      </c>
      <c r="L392" t="s">
        <v>112</v>
      </c>
      <c r="M392">
        <v>290.75618709000003</v>
      </c>
      <c r="N392">
        <v>0</v>
      </c>
      <c r="O392" t="s">
        <v>89</v>
      </c>
      <c r="P392" s="44">
        <v>44269.871968136576</v>
      </c>
      <c r="Q392">
        <v>2717580</v>
      </c>
      <c r="R392" t="s">
        <v>100</v>
      </c>
      <c r="S392">
        <v>0</v>
      </c>
      <c r="W392"/>
      <c r="X392">
        <v>0</v>
      </c>
      <c r="AC392" t="s">
        <v>93</v>
      </c>
      <c r="AD392" s="44">
        <v>43739</v>
      </c>
    </row>
    <row r="393" spans="1:30" x14ac:dyDescent="0.25">
      <c r="A393">
        <v>287325</v>
      </c>
      <c r="B393" t="s">
        <v>165</v>
      </c>
      <c r="C393">
        <v>2019</v>
      </c>
      <c r="D393">
        <v>10</v>
      </c>
      <c r="E393" t="s">
        <v>99</v>
      </c>
      <c r="F393" t="s">
        <v>93</v>
      </c>
      <c r="G393" t="s">
        <v>93</v>
      </c>
      <c r="H393" t="s">
        <v>25</v>
      </c>
      <c r="I393" t="s">
        <v>25</v>
      </c>
      <c r="J393" t="s">
        <v>110</v>
      </c>
      <c r="K393" t="s">
        <v>99</v>
      </c>
      <c r="L393" t="s">
        <v>112</v>
      </c>
      <c r="M393">
        <v>576.31545115999995</v>
      </c>
      <c r="N393">
        <v>0</v>
      </c>
      <c r="O393" t="s">
        <v>89</v>
      </c>
      <c r="P393" s="44">
        <v>44269.87196944443</v>
      </c>
      <c r="Q393">
        <v>2717715</v>
      </c>
      <c r="R393" t="s">
        <v>100</v>
      </c>
      <c r="S393">
        <v>1.50336578</v>
      </c>
      <c r="W393"/>
      <c r="X393">
        <v>0</v>
      </c>
      <c r="AC393" t="s">
        <v>93</v>
      </c>
      <c r="AD393" s="44">
        <v>43739</v>
      </c>
    </row>
    <row r="394" spans="1:30" x14ac:dyDescent="0.25">
      <c r="A394">
        <v>287271</v>
      </c>
      <c r="B394" t="s">
        <v>165</v>
      </c>
      <c r="C394">
        <v>2019</v>
      </c>
      <c r="D394">
        <v>10</v>
      </c>
      <c r="E394" t="s">
        <v>95</v>
      </c>
      <c r="F394" t="s">
        <v>93</v>
      </c>
      <c r="G394" t="s">
        <v>93</v>
      </c>
      <c r="H394" t="s">
        <v>25</v>
      </c>
      <c r="I394" t="s">
        <v>25</v>
      </c>
      <c r="J394" t="s">
        <v>110</v>
      </c>
      <c r="K394" t="s">
        <v>95</v>
      </c>
      <c r="L394" t="s">
        <v>112</v>
      </c>
      <c r="M394">
        <v>1469.1859072899999</v>
      </c>
      <c r="N394">
        <v>0</v>
      </c>
      <c r="O394" t="s">
        <v>89</v>
      </c>
      <c r="P394" s="44">
        <v>44269.871966747683</v>
      </c>
      <c r="Q394">
        <v>2717445</v>
      </c>
      <c r="R394" t="s">
        <v>100</v>
      </c>
      <c r="S394">
        <v>3.9604527200000001</v>
      </c>
      <c r="W394"/>
      <c r="X394">
        <v>0</v>
      </c>
      <c r="AC394" t="s">
        <v>93</v>
      </c>
      <c r="AD394" s="44">
        <v>43739</v>
      </c>
    </row>
    <row r="395" spans="1:30" x14ac:dyDescent="0.25">
      <c r="A395">
        <v>287298</v>
      </c>
      <c r="B395" t="s">
        <v>165</v>
      </c>
      <c r="C395">
        <v>2019</v>
      </c>
      <c r="D395">
        <v>10</v>
      </c>
      <c r="E395" t="s">
        <v>97</v>
      </c>
      <c r="F395" t="s">
        <v>93</v>
      </c>
      <c r="G395" t="s">
        <v>93</v>
      </c>
      <c r="H395" t="s">
        <v>25</v>
      </c>
      <c r="I395" t="s">
        <v>25</v>
      </c>
      <c r="J395" t="s">
        <v>110</v>
      </c>
      <c r="K395" t="s">
        <v>97</v>
      </c>
      <c r="L395" t="s">
        <v>112</v>
      </c>
      <c r="M395">
        <v>290.75618709000003</v>
      </c>
      <c r="N395">
        <v>0</v>
      </c>
      <c r="O395" t="s">
        <v>89</v>
      </c>
      <c r="P395" s="44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93</v>
      </c>
      <c r="AD395" s="44">
        <v>43739</v>
      </c>
    </row>
    <row r="396" spans="1:30" x14ac:dyDescent="0.25">
      <c r="A396">
        <v>287271</v>
      </c>
      <c r="B396" t="s">
        <v>165</v>
      </c>
      <c r="C396">
        <v>2019</v>
      </c>
      <c r="D396">
        <v>10</v>
      </c>
      <c r="E396" t="s">
        <v>95</v>
      </c>
      <c r="F396" t="s">
        <v>93</v>
      </c>
      <c r="G396" t="s">
        <v>93</v>
      </c>
      <c r="H396" t="s">
        <v>25</v>
      </c>
      <c r="I396" t="s">
        <v>25</v>
      </c>
      <c r="J396" t="s">
        <v>110</v>
      </c>
      <c r="K396" t="s">
        <v>95</v>
      </c>
      <c r="L396" t="s">
        <v>112</v>
      </c>
      <c r="M396">
        <v>1469.1859072899999</v>
      </c>
      <c r="N396">
        <v>0</v>
      </c>
      <c r="O396" t="s">
        <v>89</v>
      </c>
      <c r="P396" s="44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93</v>
      </c>
      <c r="AD396" s="44">
        <v>43739</v>
      </c>
    </row>
    <row r="397" spans="1:30" x14ac:dyDescent="0.25">
      <c r="A397">
        <v>287325</v>
      </c>
      <c r="B397" t="s">
        <v>165</v>
      </c>
      <c r="C397">
        <v>2019</v>
      </c>
      <c r="D397">
        <v>10</v>
      </c>
      <c r="E397" t="s">
        <v>99</v>
      </c>
      <c r="F397" t="s">
        <v>93</v>
      </c>
      <c r="G397" t="s">
        <v>93</v>
      </c>
      <c r="H397" t="s">
        <v>25</v>
      </c>
      <c r="I397" t="s">
        <v>25</v>
      </c>
      <c r="J397" t="s">
        <v>110</v>
      </c>
      <c r="K397" t="s">
        <v>99</v>
      </c>
      <c r="L397" t="s">
        <v>112</v>
      </c>
      <c r="M397">
        <v>576.31545115999995</v>
      </c>
      <c r="N397">
        <v>0</v>
      </c>
      <c r="O397" t="s">
        <v>89</v>
      </c>
      <c r="P397" s="44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93</v>
      </c>
      <c r="AD397" s="44">
        <v>43739</v>
      </c>
    </row>
    <row r="398" spans="1:30" x14ac:dyDescent="0.25">
      <c r="A398">
        <v>301116</v>
      </c>
      <c r="B398" t="s">
        <v>164</v>
      </c>
      <c r="C398">
        <v>2019</v>
      </c>
      <c r="D398">
        <v>11</v>
      </c>
      <c r="E398" t="s">
        <v>97</v>
      </c>
      <c r="F398" t="s">
        <v>93</v>
      </c>
      <c r="G398" t="s">
        <v>93</v>
      </c>
      <c r="H398" t="s">
        <v>25</v>
      </c>
      <c r="I398" t="s">
        <v>25</v>
      </c>
      <c r="J398" t="s">
        <v>110</v>
      </c>
      <c r="K398" t="s">
        <v>97</v>
      </c>
      <c r="L398" t="s">
        <v>112</v>
      </c>
      <c r="M398">
        <v>633.19527639</v>
      </c>
      <c r="N398">
        <v>0</v>
      </c>
      <c r="O398" t="s">
        <v>89</v>
      </c>
      <c r="P398" s="44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93</v>
      </c>
      <c r="AD398" s="44">
        <v>43770</v>
      </c>
    </row>
    <row r="399" spans="1:30" x14ac:dyDescent="0.25">
      <c r="A399">
        <v>301089</v>
      </c>
      <c r="B399" t="s">
        <v>164</v>
      </c>
      <c r="C399">
        <v>2019</v>
      </c>
      <c r="D399">
        <v>11</v>
      </c>
      <c r="E399" t="s">
        <v>95</v>
      </c>
      <c r="F399" t="s">
        <v>93</v>
      </c>
      <c r="G399" t="s">
        <v>93</v>
      </c>
      <c r="H399" t="s">
        <v>25</v>
      </c>
      <c r="I399" t="s">
        <v>25</v>
      </c>
      <c r="J399" t="s">
        <v>110</v>
      </c>
      <c r="K399" t="s">
        <v>95</v>
      </c>
      <c r="L399" t="s">
        <v>112</v>
      </c>
      <c r="M399">
        <v>1777.6837430800001</v>
      </c>
      <c r="N399">
        <v>0</v>
      </c>
      <c r="O399" t="s">
        <v>89</v>
      </c>
      <c r="P399" s="44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93</v>
      </c>
      <c r="AD399" s="44">
        <v>43770</v>
      </c>
    </row>
    <row r="400" spans="1:30" x14ac:dyDescent="0.25">
      <c r="A400">
        <v>301143</v>
      </c>
      <c r="B400" t="s">
        <v>164</v>
      </c>
      <c r="C400">
        <v>2019</v>
      </c>
      <c r="D400">
        <v>11</v>
      </c>
      <c r="E400" t="s">
        <v>99</v>
      </c>
      <c r="F400" t="s">
        <v>93</v>
      </c>
      <c r="G400" t="s">
        <v>93</v>
      </c>
      <c r="H400" t="s">
        <v>25</v>
      </c>
      <c r="I400" t="s">
        <v>25</v>
      </c>
      <c r="J400" t="s">
        <v>110</v>
      </c>
      <c r="K400" t="s">
        <v>99</v>
      </c>
      <c r="L400" t="s">
        <v>112</v>
      </c>
      <c r="M400">
        <v>555.24552490999997</v>
      </c>
      <c r="N400">
        <v>0</v>
      </c>
      <c r="O400" t="s">
        <v>89</v>
      </c>
      <c r="P400" s="44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93</v>
      </c>
      <c r="AD400" s="44">
        <v>43770</v>
      </c>
    </row>
    <row r="401" spans="1:30" x14ac:dyDescent="0.25">
      <c r="A401">
        <v>301143</v>
      </c>
      <c r="B401" t="s">
        <v>164</v>
      </c>
      <c r="C401">
        <v>2019</v>
      </c>
      <c r="D401">
        <v>11</v>
      </c>
      <c r="E401" t="s">
        <v>99</v>
      </c>
      <c r="F401" t="s">
        <v>93</v>
      </c>
      <c r="G401" t="s">
        <v>93</v>
      </c>
      <c r="H401" t="s">
        <v>25</v>
      </c>
      <c r="I401" t="s">
        <v>25</v>
      </c>
      <c r="J401" t="s">
        <v>110</v>
      </c>
      <c r="K401" t="s">
        <v>99</v>
      </c>
      <c r="L401" t="s">
        <v>112</v>
      </c>
      <c r="M401">
        <v>555.24552490999997</v>
      </c>
      <c r="N401">
        <v>0</v>
      </c>
      <c r="O401" t="s">
        <v>89</v>
      </c>
      <c r="P401" s="44">
        <v>44269.873619479164</v>
      </c>
      <c r="Q401">
        <v>2848426</v>
      </c>
      <c r="R401" t="s">
        <v>90</v>
      </c>
      <c r="S401">
        <v>56.342482789999998</v>
      </c>
      <c r="W401"/>
      <c r="X401">
        <v>0</v>
      </c>
      <c r="AC401" t="s">
        <v>93</v>
      </c>
      <c r="AD401" s="44">
        <v>43770</v>
      </c>
    </row>
    <row r="402" spans="1:30" x14ac:dyDescent="0.25">
      <c r="A402">
        <v>301116</v>
      </c>
      <c r="B402" t="s">
        <v>164</v>
      </c>
      <c r="C402">
        <v>2019</v>
      </c>
      <c r="D402">
        <v>11</v>
      </c>
      <c r="E402" t="s">
        <v>97</v>
      </c>
      <c r="F402" t="s">
        <v>93</v>
      </c>
      <c r="G402" t="s">
        <v>93</v>
      </c>
      <c r="H402" t="s">
        <v>25</v>
      </c>
      <c r="I402" t="s">
        <v>25</v>
      </c>
      <c r="J402" t="s">
        <v>110</v>
      </c>
      <c r="K402" t="s">
        <v>97</v>
      </c>
      <c r="L402" t="s">
        <v>112</v>
      </c>
      <c r="M402">
        <v>633.19527639</v>
      </c>
      <c r="N402">
        <v>0</v>
      </c>
      <c r="O402" t="s">
        <v>89</v>
      </c>
      <c r="P402" s="44">
        <v>44269.873618055557</v>
      </c>
      <c r="Q402">
        <v>2848291</v>
      </c>
      <c r="R402" t="s">
        <v>90</v>
      </c>
      <c r="S402">
        <v>64.120581400000006</v>
      </c>
      <c r="W402"/>
      <c r="X402">
        <v>0</v>
      </c>
      <c r="AC402" t="s">
        <v>93</v>
      </c>
      <c r="AD402" s="44">
        <v>43770</v>
      </c>
    </row>
    <row r="403" spans="1:30" x14ac:dyDescent="0.25">
      <c r="A403">
        <v>301089</v>
      </c>
      <c r="B403" t="s">
        <v>164</v>
      </c>
      <c r="C403">
        <v>2019</v>
      </c>
      <c r="D403">
        <v>11</v>
      </c>
      <c r="E403" t="s">
        <v>95</v>
      </c>
      <c r="F403" t="s">
        <v>93</v>
      </c>
      <c r="G403" t="s">
        <v>93</v>
      </c>
      <c r="H403" t="s">
        <v>25</v>
      </c>
      <c r="I403" t="s">
        <v>25</v>
      </c>
      <c r="J403" t="s">
        <v>110</v>
      </c>
      <c r="K403" t="s">
        <v>95</v>
      </c>
      <c r="L403" t="s">
        <v>112</v>
      </c>
      <c r="M403">
        <v>1777.6837430800001</v>
      </c>
      <c r="N403">
        <v>0</v>
      </c>
      <c r="O403" t="s">
        <v>89</v>
      </c>
      <c r="P403" s="44">
        <v>44269.873616666657</v>
      </c>
      <c r="Q403">
        <v>2848156</v>
      </c>
      <c r="R403" t="s">
        <v>90</v>
      </c>
      <c r="S403">
        <v>211.65708083999999</v>
      </c>
      <c r="W403"/>
      <c r="X403">
        <v>0</v>
      </c>
      <c r="AC403" t="s">
        <v>93</v>
      </c>
      <c r="AD403" s="44">
        <v>43770</v>
      </c>
    </row>
    <row r="404" spans="1:30" x14ac:dyDescent="0.25">
      <c r="A404">
        <v>301116</v>
      </c>
      <c r="B404" t="s">
        <v>164</v>
      </c>
      <c r="C404">
        <v>2019</v>
      </c>
      <c r="D404">
        <v>11</v>
      </c>
      <c r="E404" t="s">
        <v>97</v>
      </c>
      <c r="F404" t="s">
        <v>93</v>
      </c>
      <c r="G404" t="s">
        <v>93</v>
      </c>
      <c r="H404" t="s">
        <v>25</v>
      </c>
      <c r="I404" t="s">
        <v>25</v>
      </c>
      <c r="J404" t="s">
        <v>110</v>
      </c>
      <c r="K404" t="s">
        <v>97</v>
      </c>
      <c r="L404" t="s">
        <v>112</v>
      </c>
      <c r="M404">
        <v>633.19527639</v>
      </c>
      <c r="N404">
        <v>0</v>
      </c>
      <c r="O404" t="s">
        <v>89</v>
      </c>
      <c r="P404" s="44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93</v>
      </c>
      <c r="AD404" s="44">
        <v>43770</v>
      </c>
    </row>
    <row r="405" spans="1:30" x14ac:dyDescent="0.25">
      <c r="A405">
        <v>301143</v>
      </c>
      <c r="B405" t="s">
        <v>164</v>
      </c>
      <c r="C405">
        <v>2019</v>
      </c>
      <c r="D405">
        <v>11</v>
      </c>
      <c r="E405" t="s">
        <v>99</v>
      </c>
      <c r="F405" t="s">
        <v>93</v>
      </c>
      <c r="G405" t="s">
        <v>93</v>
      </c>
      <c r="H405" t="s">
        <v>25</v>
      </c>
      <c r="I405" t="s">
        <v>25</v>
      </c>
      <c r="J405" t="s">
        <v>110</v>
      </c>
      <c r="K405" t="s">
        <v>99</v>
      </c>
      <c r="L405" t="s">
        <v>112</v>
      </c>
      <c r="M405">
        <v>555.24552490999997</v>
      </c>
      <c r="N405">
        <v>0</v>
      </c>
      <c r="O405" t="s">
        <v>89</v>
      </c>
      <c r="P405" s="44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93</v>
      </c>
      <c r="AD405" s="44">
        <v>43770</v>
      </c>
    </row>
    <row r="406" spans="1:30" x14ac:dyDescent="0.25">
      <c r="A406">
        <v>301089</v>
      </c>
      <c r="B406" t="s">
        <v>164</v>
      </c>
      <c r="C406">
        <v>2019</v>
      </c>
      <c r="D406">
        <v>11</v>
      </c>
      <c r="E406" t="s">
        <v>95</v>
      </c>
      <c r="F406" t="s">
        <v>93</v>
      </c>
      <c r="G406" t="s">
        <v>93</v>
      </c>
      <c r="H406" t="s">
        <v>25</v>
      </c>
      <c r="I406" t="s">
        <v>25</v>
      </c>
      <c r="J406" t="s">
        <v>110</v>
      </c>
      <c r="K406" t="s">
        <v>95</v>
      </c>
      <c r="L406" t="s">
        <v>112</v>
      </c>
      <c r="M406">
        <v>1777.6837430800001</v>
      </c>
      <c r="N406">
        <v>0</v>
      </c>
      <c r="O406" t="s">
        <v>89</v>
      </c>
      <c r="P406" s="44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93</v>
      </c>
      <c r="AD406" s="44">
        <v>43770</v>
      </c>
    </row>
    <row r="407" spans="1:30" x14ac:dyDescent="0.25">
      <c r="A407">
        <v>301089</v>
      </c>
      <c r="B407" t="s">
        <v>164</v>
      </c>
      <c r="C407">
        <v>2019</v>
      </c>
      <c r="D407">
        <v>11</v>
      </c>
      <c r="E407" t="s">
        <v>95</v>
      </c>
      <c r="F407" t="s">
        <v>93</v>
      </c>
      <c r="G407" t="s">
        <v>93</v>
      </c>
      <c r="H407" t="s">
        <v>25</v>
      </c>
      <c r="I407" t="s">
        <v>25</v>
      </c>
      <c r="J407" t="s">
        <v>110</v>
      </c>
      <c r="K407" t="s">
        <v>95</v>
      </c>
      <c r="L407" t="s">
        <v>112</v>
      </c>
      <c r="M407">
        <v>1777.6837430800001</v>
      </c>
      <c r="N407">
        <v>0</v>
      </c>
      <c r="O407" t="s">
        <v>89</v>
      </c>
      <c r="P407" s="44">
        <v>44269.873616666657</v>
      </c>
      <c r="Q407">
        <v>2848152</v>
      </c>
      <c r="R407" t="s">
        <v>100</v>
      </c>
      <c r="S407">
        <v>4.7920636700000001</v>
      </c>
      <c r="W407"/>
      <c r="X407">
        <v>0</v>
      </c>
      <c r="AC407" t="s">
        <v>93</v>
      </c>
      <c r="AD407" s="44">
        <v>43770</v>
      </c>
    </row>
    <row r="408" spans="1:30" x14ac:dyDescent="0.25">
      <c r="A408">
        <v>301143</v>
      </c>
      <c r="B408" t="s">
        <v>164</v>
      </c>
      <c r="C408">
        <v>2019</v>
      </c>
      <c r="D408">
        <v>11</v>
      </c>
      <c r="E408" t="s">
        <v>99</v>
      </c>
      <c r="F408" t="s">
        <v>93</v>
      </c>
      <c r="G408" t="s">
        <v>93</v>
      </c>
      <c r="H408" t="s">
        <v>25</v>
      </c>
      <c r="I408" t="s">
        <v>25</v>
      </c>
      <c r="J408" t="s">
        <v>110</v>
      </c>
      <c r="K408" t="s">
        <v>99</v>
      </c>
      <c r="L408" t="s">
        <v>112</v>
      </c>
      <c r="M408">
        <v>555.24552490999997</v>
      </c>
      <c r="N408">
        <v>0</v>
      </c>
      <c r="O408" t="s">
        <v>89</v>
      </c>
      <c r="P408" s="44">
        <v>44269.873619479164</v>
      </c>
      <c r="Q408">
        <v>2848422</v>
      </c>
      <c r="R408" t="s">
        <v>100</v>
      </c>
      <c r="S408">
        <v>1.44840316</v>
      </c>
      <c r="W408"/>
      <c r="X408">
        <v>0</v>
      </c>
      <c r="AC408" t="s">
        <v>93</v>
      </c>
      <c r="AD408" s="44">
        <v>43770</v>
      </c>
    </row>
    <row r="409" spans="1:30" x14ac:dyDescent="0.25">
      <c r="A409">
        <v>301116</v>
      </c>
      <c r="B409" t="s">
        <v>164</v>
      </c>
      <c r="C409">
        <v>2019</v>
      </c>
      <c r="D409">
        <v>11</v>
      </c>
      <c r="E409" t="s">
        <v>97</v>
      </c>
      <c r="F409" t="s">
        <v>93</v>
      </c>
      <c r="G409" t="s">
        <v>93</v>
      </c>
      <c r="H409" t="s">
        <v>25</v>
      </c>
      <c r="I409" t="s">
        <v>25</v>
      </c>
      <c r="J409" t="s">
        <v>110</v>
      </c>
      <c r="K409" t="s">
        <v>97</v>
      </c>
      <c r="L409" t="s">
        <v>112</v>
      </c>
      <c r="M409">
        <v>633.19527639</v>
      </c>
      <c r="N409">
        <v>0</v>
      </c>
      <c r="O409" t="s">
        <v>89</v>
      </c>
      <c r="P409" s="44">
        <v>44269.873618055557</v>
      </c>
      <c r="Q409">
        <v>2848287</v>
      </c>
      <c r="R409" t="s">
        <v>100</v>
      </c>
      <c r="S409">
        <v>0</v>
      </c>
      <c r="W409"/>
      <c r="X409">
        <v>0</v>
      </c>
      <c r="AC409" t="s">
        <v>93</v>
      </c>
      <c r="AD409" s="44">
        <v>43770</v>
      </c>
    </row>
    <row r="410" spans="1:30" x14ac:dyDescent="0.25">
      <c r="A410">
        <v>301089</v>
      </c>
      <c r="B410" t="s">
        <v>164</v>
      </c>
      <c r="C410">
        <v>2019</v>
      </c>
      <c r="D410">
        <v>11</v>
      </c>
      <c r="E410" t="s">
        <v>95</v>
      </c>
      <c r="F410" t="s">
        <v>93</v>
      </c>
      <c r="G410" t="s">
        <v>93</v>
      </c>
      <c r="H410" t="s">
        <v>25</v>
      </c>
      <c r="I410" t="s">
        <v>25</v>
      </c>
      <c r="J410" t="s">
        <v>110</v>
      </c>
      <c r="K410" t="s">
        <v>95</v>
      </c>
      <c r="L410" t="s">
        <v>112</v>
      </c>
      <c r="M410">
        <v>1777.6837430800001</v>
      </c>
      <c r="N410">
        <v>0</v>
      </c>
      <c r="O410" t="s">
        <v>89</v>
      </c>
      <c r="P410" s="44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93</v>
      </c>
      <c r="AD410" s="44">
        <v>43770</v>
      </c>
    </row>
    <row r="411" spans="1:30" x14ac:dyDescent="0.25">
      <c r="A411">
        <v>301143</v>
      </c>
      <c r="B411" t="s">
        <v>164</v>
      </c>
      <c r="C411">
        <v>2019</v>
      </c>
      <c r="D411">
        <v>11</v>
      </c>
      <c r="E411" t="s">
        <v>99</v>
      </c>
      <c r="F411" t="s">
        <v>93</v>
      </c>
      <c r="G411" t="s">
        <v>93</v>
      </c>
      <c r="H411" t="s">
        <v>25</v>
      </c>
      <c r="I411" t="s">
        <v>25</v>
      </c>
      <c r="J411" t="s">
        <v>110</v>
      </c>
      <c r="K411" t="s">
        <v>99</v>
      </c>
      <c r="L411" t="s">
        <v>112</v>
      </c>
      <c r="M411">
        <v>555.24552490999997</v>
      </c>
      <c r="N411">
        <v>0</v>
      </c>
      <c r="O411" t="s">
        <v>89</v>
      </c>
      <c r="P411" s="44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93</v>
      </c>
      <c r="AD411" s="44">
        <v>43770</v>
      </c>
    </row>
    <row r="412" spans="1:30" x14ac:dyDescent="0.25">
      <c r="A412">
        <v>301116</v>
      </c>
      <c r="B412" t="s">
        <v>164</v>
      </c>
      <c r="C412">
        <v>2019</v>
      </c>
      <c r="D412">
        <v>11</v>
      </c>
      <c r="E412" t="s">
        <v>97</v>
      </c>
      <c r="F412" t="s">
        <v>93</v>
      </c>
      <c r="G412" t="s">
        <v>93</v>
      </c>
      <c r="H412" t="s">
        <v>25</v>
      </c>
      <c r="I412" t="s">
        <v>25</v>
      </c>
      <c r="J412" t="s">
        <v>110</v>
      </c>
      <c r="K412" t="s">
        <v>97</v>
      </c>
      <c r="L412" t="s">
        <v>112</v>
      </c>
      <c r="M412">
        <v>633.19527639</v>
      </c>
      <c r="N412">
        <v>0</v>
      </c>
      <c r="O412" t="s">
        <v>89</v>
      </c>
      <c r="P412" s="44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93</v>
      </c>
      <c r="AD412" s="44">
        <v>43770</v>
      </c>
    </row>
    <row r="413" spans="1:30" x14ac:dyDescent="0.25">
      <c r="A413">
        <v>314988</v>
      </c>
      <c r="B413" t="s">
        <v>157</v>
      </c>
      <c r="C413">
        <v>2019</v>
      </c>
      <c r="D413">
        <v>12</v>
      </c>
      <c r="E413" t="s">
        <v>95</v>
      </c>
      <c r="F413" t="s">
        <v>93</v>
      </c>
      <c r="G413" t="s">
        <v>93</v>
      </c>
      <c r="H413" t="s">
        <v>25</v>
      </c>
      <c r="I413" t="s">
        <v>25</v>
      </c>
      <c r="J413" t="s">
        <v>110</v>
      </c>
      <c r="K413" t="s">
        <v>95</v>
      </c>
      <c r="L413" t="s">
        <v>112</v>
      </c>
      <c r="M413">
        <v>2155.3283754300001</v>
      </c>
      <c r="N413">
        <v>0</v>
      </c>
      <c r="O413" t="s">
        <v>89</v>
      </c>
      <c r="P413" s="44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93</v>
      </c>
      <c r="AD413" s="44">
        <v>43800</v>
      </c>
    </row>
    <row r="414" spans="1:30" x14ac:dyDescent="0.25">
      <c r="A414">
        <v>315042</v>
      </c>
      <c r="B414" t="s">
        <v>157</v>
      </c>
      <c r="C414">
        <v>2019</v>
      </c>
      <c r="D414">
        <v>12</v>
      </c>
      <c r="E414" t="s">
        <v>99</v>
      </c>
      <c r="F414" t="s">
        <v>93</v>
      </c>
      <c r="G414" t="s">
        <v>93</v>
      </c>
      <c r="H414" t="s">
        <v>25</v>
      </c>
      <c r="I414" t="s">
        <v>25</v>
      </c>
      <c r="J414" t="s">
        <v>110</v>
      </c>
      <c r="K414" t="s">
        <v>99</v>
      </c>
      <c r="L414" t="s">
        <v>112</v>
      </c>
      <c r="M414">
        <v>491.15728963999999</v>
      </c>
      <c r="N414">
        <v>0</v>
      </c>
      <c r="O414" t="s">
        <v>89</v>
      </c>
      <c r="P414" s="44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93</v>
      </c>
      <c r="AD414" s="44">
        <v>43800</v>
      </c>
    </row>
    <row r="415" spans="1:30" x14ac:dyDescent="0.25">
      <c r="A415">
        <v>315015</v>
      </c>
      <c r="B415" t="s">
        <v>157</v>
      </c>
      <c r="C415">
        <v>2019</v>
      </c>
      <c r="D415">
        <v>12</v>
      </c>
      <c r="E415" t="s">
        <v>97</v>
      </c>
      <c r="F415" t="s">
        <v>93</v>
      </c>
      <c r="G415" t="s">
        <v>93</v>
      </c>
      <c r="H415" t="s">
        <v>25</v>
      </c>
      <c r="I415" t="s">
        <v>25</v>
      </c>
      <c r="J415" t="s">
        <v>110</v>
      </c>
      <c r="K415" t="s">
        <v>97</v>
      </c>
      <c r="L415" t="s">
        <v>112</v>
      </c>
      <c r="M415">
        <v>1168.3792061199999</v>
      </c>
      <c r="N415">
        <v>0</v>
      </c>
      <c r="O415" t="s">
        <v>89</v>
      </c>
      <c r="P415" s="44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93</v>
      </c>
      <c r="AD415" s="44">
        <v>43800</v>
      </c>
    </row>
    <row r="416" spans="1:30" x14ac:dyDescent="0.25">
      <c r="A416">
        <v>314988</v>
      </c>
      <c r="B416" t="s">
        <v>157</v>
      </c>
      <c r="C416">
        <v>2019</v>
      </c>
      <c r="D416">
        <v>12</v>
      </c>
      <c r="E416" t="s">
        <v>95</v>
      </c>
      <c r="F416" t="s">
        <v>93</v>
      </c>
      <c r="G416" t="s">
        <v>93</v>
      </c>
      <c r="H416" t="s">
        <v>25</v>
      </c>
      <c r="I416" t="s">
        <v>25</v>
      </c>
      <c r="J416" t="s">
        <v>110</v>
      </c>
      <c r="K416" t="s">
        <v>95</v>
      </c>
      <c r="L416" t="s">
        <v>112</v>
      </c>
      <c r="M416">
        <v>2155.3283754300001</v>
      </c>
      <c r="N416">
        <v>0</v>
      </c>
      <c r="O416" t="s">
        <v>89</v>
      </c>
      <c r="P416" s="44">
        <v>44269.875250428238</v>
      </c>
      <c r="Q416">
        <v>2979367</v>
      </c>
      <c r="R416" t="s">
        <v>90</v>
      </c>
      <c r="S416">
        <v>256.62073693999997</v>
      </c>
      <c r="W416"/>
      <c r="X416">
        <v>0</v>
      </c>
      <c r="AC416" t="s">
        <v>93</v>
      </c>
      <c r="AD416" s="44">
        <v>43800</v>
      </c>
    </row>
    <row r="417" spans="1:30" x14ac:dyDescent="0.25">
      <c r="A417">
        <v>315042</v>
      </c>
      <c r="B417" t="s">
        <v>157</v>
      </c>
      <c r="C417">
        <v>2019</v>
      </c>
      <c r="D417">
        <v>12</v>
      </c>
      <c r="E417" t="s">
        <v>99</v>
      </c>
      <c r="F417" t="s">
        <v>93</v>
      </c>
      <c r="G417" t="s">
        <v>93</v>
      </c>
      <c r="H417" t="s">
        <v>25</v>
      </c>
      <c r="I417" t="s">
        <v>25</v>
      </c>
      <c r="J417" t="s">
        <v>110</v>
      </c>
      <c r="K417" t="s">
        <v>99</v>
      </c>
      <c r="L417" t="s">
        <v>112</v>
      </c>
      <c r="M417">
        <v>491.15728963999999</v>
      </c>
      <c r="N417">
        <v>0</v>
      </c>
      <c r="O417" t="s">
        <v>89</v>
      </c>
      <c r="P417" s="44">
        <v>44269.875253009261</v>
      </c>
      <c r="Q417">
        <v>2979637</v>
      </c>
      <c r="R417" t="s">
        <v>90</v>
      </c>
      <c r="S417">
        <v>49.839251099999998</v>
      </c>
      <c r="W417"/>
      <c r="X417">
        <v>0</v>
      </c>
      <c r="AC417" t="s">
        <v>93</v>
      </c>
      <c r="AD417" s="44">
        <v>43800</v>
      </c>
    </row>
    <row r="418" spans="1:30" x14ac:dyDescent="0.25">
      <c r="A418">
        <v>315015</v>
      </c>
      <c r="B418" t="s">
        <v>157</v>
      </c>
      <c r="C418">
        <v>2019</v>
      </c>
      <c r="D418">
        <v>12</v>
      </c>
      <c r="E418" t="s">
        <v>97</v>
      </c>
      <c r="F418" t="s">
        <v>93</v>
      </c>
      <c r="G418" t="s">
        <v>93</v>
      </c>
      <c r="H418" t="s">
        <v>25</v>
      </c>
      <c r="I418" t="s">
        <v>25</v>
      </c>
      <c r="J418" t="s">
        <v>110</v>
      </c>
      <c r="K418" t="s">
        <v>97</v>
      </c>
      <c r="L418" t="s">
        <v>112</v>
      </c>
      <c r="M418">
        <v>1168.3792061199999</v>
      </c>
      <c r="N418">
        <v>0</v>
      </c>
      <c r="O418" t="s">
        <v>89</v>
      </c>
      <c r="P418" s="44">
        <v>44269.875251701393</v>
      </c>
      <c r="Q418">
        <v>2979502</v>
      </c>
      <c r="R418" t="s">
        <v>90</v>
      </c>
      <c r="S418">
        <v>118.31603423</v>
      </c>
      <c r="W418"/>
      <c r="X418">
        <v>0</v>
      </c>
      <c r="AC418" t="s">
        <v>93</v>
      </c>
      <c r="AD418" s="44">
        <v>43800</v>
      </c>
    </row>
    <row r="419" spans="1:30" x14ac:dyDescent="0.25">
      <c r="A419">
        <v>315015</v>
      </c>
      <c r="B419" t="s">
        <v>157</v>
      </c>
      <c r="C419">
        <v>2019</v>
      </c>
      <c r="D419">
        <v>12</v>
      </c>
      <c r="E419" t="s">
        <v>97</v>
      </c>
      <c r="F419" t="s">
        <v>93</v>
      </c>
      <c r="G419" t="s">
        <v>93</v>
      </c>
      <c r="H419" t="s">
        <v>25</v>
      </c>
      <c r="I419" t="s">
        <v>25</v>
      </c>
      <c r="J419" t="s">
        <v>110</v>
      </c>
      <c r="K419" t="s">
        <v>97</v>
      </c>
      <c r="L419" t="s">
        <v>112</v>
      </c>
      <c r="M419">
        <v>1168.3792061199999</v>
      </c>
      <c r="N419">
        <v>0</v>
      </c>
      <c r="O419" t="s">
        <v>89</v>
      </c>
      <c r="P419" s="44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93</v>
      </c>
      <c r="AD419" s="44">
        <v>43800</v>
      </c>
    </row>
    <row r="420" spans="1:30" x14ac:dyDescent="0.25">
      <c r="A420">
        <v>314988</v>
      </c>
      <c r="B420" t="s">
        <v>157</v>
      </c>
      <c r="C420">
        <v>2019</v>
      </c>
      <c r="D420">
        <v>12</v>
      </c>
      <c r="E420" t="s">
        <v>95</v>
      </c>
      <c r="F420" t="s">
        <v>93</v>
      </c>
      <c r="G420" t="s">
        <v>93</v>
      </c>
      <c r="H420" t="s">
        <v>25</v>
      </c>
      <c r="I420" t="s">
        <v>25</v>
      </c>
      <c r="J420" t="s">
        <v>110</v>
      </c>
      <c r="K420" t="s">
        <v>95</v>
      </c>
      <c r="L420" t="s">
        <v>112</v>
      </c>
      <c r="M420">
        <v>2155.3283754300001</v>
      </c>
      <c r="N420">
        <v>0</v>
      </c>
      <c r="O420" t="s">
        <v>89</v>
      </c>
      <c r="P420" s="44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93</v>
      </c>
      <c r="AD420" s="44">
        <v>43800</v>
      </c>
    </row>
    <row r="421" spans="1:30" x14ac:dyDescent="0.25">
      <c r="A421">
        <v>315042</v>
      </c>
      <c r="B421" t="s">
        <v>157</v>
      </c>
      <c r="C421">
        <v>2019</v>
      </c>
      <c r="D421">
        <v>12</v>
      </c>
      <c r="E421" t="s">
        <v>99</v>
      </c>
      <c r="F421" t="s">
        <v>93</v>
      </c>
      <c r="G421" t="s">
        <v>93</v>
      </c>
      <c r="H421" t="s">
        <v>25</v>
      </c>
      <c r="I421" t="s">
        <v>25</v>
      </c>
      <c r="J421" t="s">
        <v>110</v>
      </c>
      <c r="K421" t="s">
        <v>99</v>
      </c>
      <c r="L421" t="s">
        <v>112</v>
      </c>
      <c r="M421">
        <v>491.15728963999999</v>
      </c>
      <c r="N421">
        <v>0</v>
      </c>
      <c r="O421" t="s">
        <v>89</v>
      </c>
      <c r="P421" s="44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93</v>
      </c>
      <c r="AD421" s="44">
        <v>43800</v>
      </c>
    </row>
    <row r="422" spans="1:30" x14ac:dyDescent="0.25">
      <c r="A422">
        <v>315042</v>
      </c>
      <c r="B422" t="s">
        <v>157</v>
      </c>
      <c r="C422">
        <v>2019</v>
      </c>
      <c r="D422">
        <v>12</v>
      </c>
      <c r="E422" t="s">
        <v>99</v>
      </c>
      <c r="F422" t="s">
        <v>93</v>
      </c>
      <c r="G422" t="s">
        <v>93</v>
      </c>
      <c r="H422" t="s">
        <v>25</v>
      </c>
      <c r="I422" t="s">
        <v>25</v>
      </c>
      <c r="J422" t="s">
        <v>110</v>
      </c>
      <c r="K422" t="s">
        <v>99</v>
      </c>
      <c r="L422" t="s">
        <v>112</v>
      </c>
      <c r="M422">
        <v>491.15728963999999</v>
      </c>
      <c r="N422">
        <v>0</v>
      </c>
      <c r="O422" t="s">
        <v>89</v>
      </c>
      <c r="P422" s="44">
        <v>44269.875253009261</v>
      </c>
      <c r="Q422">
        <v>2979633</v>
      </c>
      <c r="R422" t="s">
        <v>100</v>
      </c>
      <c r="S422">
        <v>1.2812237799999999</v>
      </c>
      <c r="W422"/>
      <c r="X422">
        <v>0</v>
      </c>
      <c r="AC422" t="s">
        <v>93</v>
      </c>
      <c r="AD422" s="44">
        <v>43800</v>
      </c>
    </row>
    <row r="423" spans="1:30" x14ac:dyDescent="0.25">
      <c r="A423">
        <v>314988</v>
      </c>
      <c r="B423" t="s">
        <v>157</v>
      </c>
      <c r="C423">
        <v>2019</v>
      </c>
      <c r="D423">
        <v>12</v>
      </c>
      <c r="E423" t="s">
        <v>95</v>
      </c>
      <c r="F423" t="s">
        <v>93</v>
      </c>
      <c r="G423" t="s">
        <v>93</v>
      </c>
      <c r="H423" t="s">
        <v>25</v>
      </c>
      <c r="I423" t="s">
        <v>25</v>
      </c>
      <c r="J423" t="s">
        <v>110</v>
      </c>
      <c r="K423" t="s">
        <v>95</v>
      </c>
      <c r="L423" t="s">
        <v>112</v>
      </c>
      <c r="M423">
        <v>2155.3283754300001</v>
      </c>
      <c r="N423">
        <v>0</v>
      </c>
      <c r="O423" t="s">
        <v>89</v>
      </c>
      <c r="P423" s="44">
        <v>44269.875250428238</v>
      </c>
      <c r="Q423">
        <v>2979363</v>
      </c>
      <c r="R423" t="s">
        <v>100</v>
      </c>
      <c r="S423">
        <v>5.8100721499999999</v>
      </c>
      <c r="W423"/>
      <c r="X423">
        <v>0</v>
      </c>
      <c r="AC423" t="s">
        <v>93</v>
      </c>
      <c r="AD423" s="44">
        <v>43800</v>
      </c>
    </row>
    <row r="424" spans="1:30" x14ac:dyDescent="0.25">
      <c r="A424">
        <v>315015</v>
      </c>
      <c r="B424" t="s">
        <v>157</v>
      </c>
      <c r="C424">
        <v>2019</v>
      </c>
      <c r="D424">
        <v>12</v>
      </c>
      <c r="E424" t="s">
        <v>97</v>
      </c>
      <c r="F424" t="s">
        <v>93</v>
      </c>
      <c r="G424" t="s">
        <v>93</v>
      </c>
      <c r="H424" t="s">
        <v>25</v>
      </c>
      <c r="I424" t="s">
        <v>25</v>
      </c>
      <c r="J424" t="s">
        <v>110</v>
      </c>
      <c r="K424" t="s">
        <v>97</v>
      </c>
      <c r="L424" t="s">
        <v>112</v>
      </c>
      <c r="M424">
        <v>1168.3792061199999</v>
      </c>
      <c r="N424">
        <v>0</v>
      </c>
      <c r="O424" t="s">
        <v>89</v>
      </c>
      <c r="P424" s="44">
        <v>44269.875251701393</v>
      </c>
      <c r="Q424">
        <v>2979498</v>
      </c>
      <c r="R424" t="s">
        <v>100</v>
      </c>
      <c r="S424">
        <v>0</v>
      </c>
      <c r="W424"/>
      <c r="X424">
        <v>0</v>
      </c>
      <c r="AC424" t="s">
        <v>93</v>
      </c>
      <c r="AD424" s="44">
        <v>43800</v>
      </c>
    </row>
    <row r="425" spans="1:30" x14ac:dyDescent="0.25">
      <c r="A425">
        <v>315015</v>
      </c>
      <c r="B425" t="s">
        <v>157</v>
      </c>
      <c r="C425">
        <v>2019</v>
      </c>
      <c r="D425">
        <v>12</v>
      </c>
      <c r="E425" t="s">
        <v>97</v>
      </c>
      <c r="F425" t="s">
        <v>93</v>
      </c>
      <c r="G425" t="s">
        <v>93</v>
      </c>
      <c r="H425" t="s">
        <v>25</v>
      </c>
      <c r="I425" t="s">
        <v>25</v>
      </c>
      <c r="J425" t="s">
        <v>110</v>
      </c>
      <c r="K425" t="s">
        <v>97</v>
      </c>
      <c r="L425" t="s">
        <v>112</v>
      </c>
      <c r="M425">
        <v>1168.3792061199999</v>
      </c>
      <c r="N425">
        <v>0</v>
      </c>
      <c r="O425" t="s">
        <v>89</v>
      </c>
      <c r="P425" s="44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93</v>
      </c>
      <c r="AD425" s="44">
        <v>43800</v>
      </c>
    </row>
    <row r="426" spans="1:30" x14ac:dyDescent="0.25">
      <c r="A426">
        <v>314988</v>
      </c>
      <c r="B426" t="s">
        <v>157</v>
      </c>
      <c r="C426">
        <v>2019</v>
      </c>
      <c r="D426">
        <v>12</v>
      </c>
      <c r="E426" t="s">
        <v>95</v>
      </c>
      <c r="F426" t="s">
        <v>93</v>
      </c>
      <c r="G426" t="s">
        <v>93</v>
      </c>
      <c r="H426" t="s">
        <v>25</v>
      </c>
      <c r="I426" t="s">
        <v>25</v>
      </c>
      <c r="J426" t="s">
        <v>110</v>
      </c>
      <c r="K426" t="s">
        <v>95</v>
      </c>
      <c r="L426" t="s">
        <v>112</v>
      </c>
      <c r="M426">
        <v>2155.3283754300001</v>
      </c>
      <c r="N426">
        <v>0</v>
      </c>
      <c r="O426" t="s">
        <v>89</v>
      </c>
      <c r="P426" s="44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93</v>
      </c>
      <c r="AD426" s="44">
        <v>43800</v>
      </c>
    </row>
    <row r="427" spans="1:30" x14ac:dyDescent="0.25">
      <c r="A427">
        <v>315042</v>
      </c>
      <c r="B427" t="s">
        <v>157</v>
      </c>
      <c r="C427">
        <v>2019</v>
      </c>
      <c r="D427">
        <v>12</v>
      </c>
      <c r="E427" t="s">
        <v>99</v>
      </c>
      <c r="F427" t="s">
        <v>93</v>
      </c>
      <c r="G427" t="s">
        <v>93</v>
      </c>
      <c r="H427" t="s">
        <v>25</v>
      </c>
      <c r="I427" t="s">
        <v>25</v>
      </c>
      <c r="J427" t="s">
        <v>110</v>
      </c>
      <c r="K427" t="s">
        <v>99</v>
      </c>
      <c r="L427" t="s">
        <v>112</v>
      </c>
      <c r="M427">
        <v>491.15728963999999</v>
      </c>
      <c r="N427">
        <v>0</v>
      </c>
      <c r="O427" t="s">
        <v>89</v>
      </c>
      <c r="P427" s="44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93</v>
      </c>
      <c r="AD427" s="44">
        <v>43800</v>
      </c>
    </row>
    <row r="428" spans="1:30" x14ac:dyDescent="0.25">
      <c r="A428">
        <v>354556</v>
      </c>
      <c r="B428" t="s">
        <v>259</v>
      </c>
      <c r="C428">
        <v>2020</v>
      </c>
      <c r="D428">
        <v>1</v>
      </c>
      <c r="E428" t="s">
        <v>97</v>
      </c>
      <c r="F428" t="s">
        <v>93</v>
      </c>
      <c r="G428" t="s">
        <v>93</v>
      </c>
      <c r="H428" t="s">
        <v>25</v>
      </c>
      <c r="I428" t="s">
        <v>25</v>
      </c>
      <c r="J428" t="s">
        <v>110</v>
      </c>
      <c r="K428" t="s">
        <v>97</v>
      </c>
      <c r="L428" t="s">
        <v>112</v>
      </c>
      <c r="M428">
        <v>2001.48077276</v>
      </c>
      <c r="N428">
        <v>0</v>
      </c>
      <c r="O428" t="s">
        <v>89</v>
      </c>
      <c r="P428" s="44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93</v>
      </c>
      <c r="AD428" s="44">
        <v>43831</v>
      </c>
    </row>
    <row r="429" spans="1:30" x14ac:dyDescent="0.25">
      <c r="A429">
        <v>354580</v>
      </c>
      <c r="B429" t="s">
        <v>259</v>
      </c>
      <c r="C429">
        <v>2020</v>
      </c>
      <c r="D429">
        <v>1</v>
      </c>
      <c r="E429" t="s">
        <v>99</v>
      </c>
      <c r="F429" t="s">
        <v>93</v>
      </c>
      <c r="G429" t="s">
        <v>93</v>
      </c>
      <c r="H429" t="s">
        <v>25</v>
      </c>
      <c r="I429" t="s">
        <v>25</v>
      </c>
      <c r="J429" t="s">
        <v>110</v>
      </c>
      <c r="K429" t="s">
        <v>99</v>
      </c>
      <c r="L429" t="s">
        <v>112</v>
      </c>
      <c r="M429">
        <v>1639.6683604499999</v>
      </c>
      <c r="N429">
        <v>0</v>
      </c>
      <c r="O429" t="s">
        <v>89</v>
      </c>
      <c r="P429" s="44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93</v>
      </c>
      <c r="AD429" s="44">
        <v>43831</v>
      </c>
    </row>
    <row r="430" spans="1:30" x14ac:dyDescent="0.25">
      <c r="A430">
        <v>354532</v>
      </c>
      <c r="B430" t="s">
        <v>259</v>
      </c>
      <c r="C430">
        <v>2020</v>
      </c>
      <c r="D430">
        <v>1</v>
      </c>
      <c r="E430" t="s">
        <v>95</v>
      </c>
      <c r="F430" t="s">
        <v>93</v>
      </c>
      <c r="G430" t="s">
        <v>93</v>
      </c>
      <c r="H430" t="s">
        <v>25</v>
      </c>
      <c r="I430" t="s">
        <v>25</v>
      </c>
      <c r="J430" t="s">
        <v>110</v>
      </c>
      <c r="K430" t="s">
        <v>95</v>
      </c>
      <c r="L430" t="s">
        <v>112</v>
      </c>
      <c r="M430">
        <v>4821.9581158499996</v>
      </c>
      <c r="N430">
        <v>0</v>
      </c>
      <c r="O430" t="s">
        <v>89</v>
      </c>
      <c r="P430" s="44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93</v>
      </c>
      <c r="AD430" s="44">
        <v>43831</v>
      </c>
    </row>
    <row r="431" spans="1:30" x14ac:dyDescent="0.25">
      <c r="A431">
        <v>354580</v>
      </c>
      <c r="B431" t="s">
        <v>259</v>
      </c>
      <c r="C431">
        <v>2020</v>
      </c>
      <c r="D431">
        <v>1</v>
      </c>
      <c r="E431" t="s">
        <v>99</v>
      </c>
      <c r="F431" t="s">
        <v>93</v>
      </c>
      <c r="G431" t="s">
        <v>93</v>
      </c>
      <c r="H431" t="s">
        <v>25</v>
      </c>
      <c r="I431" t="s">
        <v>25</v>
      </c>
      <c r="J431" t="s">
        <v>110</v>
      </c>
      <c r="K431" t="s">
        <v>99</v>
      </c>
      <c r="L431" t="s">
        <v>112</v>
      </c>
      <c r="M431">
        <v>1639.6683604499999</v>
      </c>
      <c r="N431">
        <v>0</v>
      </c>
      <c r="O431" t="s">
        <v>89</v>
      </c>
      <c r="P431" s="44">
        <v>44277.577237650461</v>
      </c>
      <c r="Q431">
        <v>3346733</v>
      </c>
      <c r="R431" t="s">
        <v>90</v>
      </c>
      <c r="S431">
        <v>99.612631500000006</v>
      </c>
      <c r="W431"/>
      <c r="X431">
        <v>0</v>
      </c>
      <c r="AC431" t="s">
        <v>93</v>
      </c>
      <c r="AD431" s="44">
        <v>43831</v>
      </c>
    </row>
    <row r="432" spans="1:30" x14ac:dyDescent="0.25">
      <c r="A432">
        <v>354556</v>
      </c>
      <c r="B432" t="s">
        <v>259</v>
      </c>
      <c r="C432">
        <v>2020</v>
      </c>
      <c r="D432">
        <v>1</v>
      </c>
      <c r="E432" t="s">
        <v>97</v>
      </c>
      <c r="F432" t="s">
        <v>93</v>
      </c>
      <c r="G432" t="s">
        <v>93</v>
      </c>
      <c r="H432" t="s">
        <v>25</v>
      </c>
      <c r="I432" t="s">
        <v>25</v>
      </c>
      <c r="J432" t="s">
        <v>110</v>
      </c>
      <c r="K432" t="s">
        <v>97</v>
      </c>
      <c r="L432" t="s">
        <v>112</v>
      </c>
      <c r="M432">
        <v>2001.48077276</v>
      </c>
      <c r="N432">
        <v>0</v>
      </c>
      <c r="O432" t="s">
        <v>89</v>
      </c>
      <c r="P432" s="44">
        <v>44277.57723599537</v>
      </c>
      <c r="Q432">
        <v>3346613</v>
      </c>
      <c r="R432" t="s">
        <v>90</v>
      </c>
      <c r="S432">
        <v>110.03143731</v>
      </c>
      <c r="W432"/>
      <c r="X432">
        <v>0</v>
      </c>
      <c r="AC432" t="s">
        <v>93</v>
      </c>
      <c r="AD432" s="44">
        <v>43831</v>
      </c>
    </row>
    <row r="433" spans="1:30" x14ac:dyDescent="0.25">
      <c r="A433">
        <v>354532</v>
      </c>
      <c r="B433" t="s">
        <v>259</v>
      </c>
      <c r="C433">
        <v>2020</v>
      </c>
      <c r="D433">
        <v>1</v>
      </c>
      <c r="E433" t="s">
        <v>95</v>
      </c>
      <c r="F433" t="s">
        <v>93</v>
      </c>
      <c r="G433" t="s">
        <v>93</v>
      </c>
      <c r="H433" t="s">
        <v>25</v>
      </c>
      <c r="I433" t="s">
        <v>25</v>
      </c>
      <c r="J433" t="s">
        <v>110</v>
      </c>
      <c r="K433" t="s">
        <v>95</v>
      </c>
      <c r="L433" t="s">
        <v>112</v>
      </c>
      <c r="M433">
        <v>4821.9581158499996</v>
      </c>
      <c r="N433">
        <v>0</v>
      </c>
      <c r="O433" t="s">
        <v>89</v>
      </c>
      <c r="P433" s="44">
        <v>44277.577233530094</v>
      </c>
      <c r="Q433">
        <v>3346493</v>
      </c>
      <c r="R433" t="s">
        <v>90</v>
      </c>
      <c r="S433">
        <v>396.49751971000001</v>
      </c>
      <c r="W433"/>
      <c r="X433">
        <v>0</v>
      </c>
      <c r="AC433" t="s">
        <v>93</v>
      </c>
      <c r="AD433" s="44">
        <v>43831</v>
      </c>
    </row>
    <row r="434" spans="1:30" x14ac:dyDescent="0.25">
      <c r="A434">
        <v>354580</v>
      </c>
      <c r="B434" t="s">
        <v>259</v>
      </c>
      <c r="C434">
        <v>2020</v>
      </c>
      <c r="D434">
        <v>1</v>
      </c>
      <c r="E434" t="s">
        <v>99</v>
      </c>
      <c r="F434" t="s">
        <v>93</v>
      </c>
      <c r="G434" t="s">
        <v>93</v>
      </c>
      <c r="H434" t="s">
        <v>25</v>
      </c>
      <c r="I434" t="s">
        <v>25</v>
      </c>
      <c r="J434" t="s">
        <v>110</v>
      </c>
      <c r="K434" t="s">
        <v>99</v>
      </c>
      <c r="L434" t="s">
        <v>112</v>
      </c>
      <c r="M434">
        <v>1639.6683604499999</v>
      </c>
      <c r="N434">
        <v>0</v>
      </c>
      <c r="O434" t="s">
        <v>89</v>
      </c>
      <c r="P434" s="44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93</v>
      </c>
      <c r="AD434" s="44">
        <v>43831</v>
      </c>
    </row>
    <row r="435" spans="1:30" x14ac:dyDescent="0.25">
      <c r="A435">
        <v>354532</v>
      </c>
      <c r="B435" t="s">
        <v>259</v>
      </c>
      <c r="C435">
        <v>2020</v>
      </c>
      <c r="D435">
        <v>1</v>
      </c>
      <c r="E435" t="s">
        <v>95</v>
      </c>
      <c r="F435" t="s">
        <v>93</v>
      </c>
      <c r="G435" t="s">
        <v>93</v>
      </c>
      <c r="H435" t="s">
        <v>25</v>
      </c>
      <c r="I435" t="s">
        <v>25</v>
      </c>
      <c r="J435" t="s">
        <v>110</v>
      </c>
      <c r="K435" t="s">
        <v>95</v>
      </c>
      <c r="L435" t="s">
        <v>112</v>
      </c>
      <c r="M435">
        <v>4821.9581158499996</v>
      </c>
      <c r="N435">
        <v>0</v>
      </c>
      <c r="O435" t="s">
        <v>89</v>
      </c>
      <c r="P435" s="44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93</v>
      </c>
      <c r="AD435" s="44">
        <v>43831</v>
      </c>
    </row>
    <row r="436" spans="1:30" x14ac:dyDescent="0.25">
      <c r="A436">
        <v>354556</v>
      </c>
      <c r="B436" t="s">
        <v>259</v>
      </c>
      <c r="C436">
        <v>2020</v>
      </c>
      <c r="D436">
        <v>1</v>
      </c>
      <c r="E436" t="s">
        <v>97</v>
      </c>
      <c r="F436" t="s">
        <v>93</v>
      </c>
      <c r="G436" t="s">
        <v>93</v>
      </c>
      <c r="H436" t="s">
        <v>25</v>
      </c>
      <c r="I436" t="s">
        <v>25</v>
      </c>
      <c r="J436" t="s">
        <v>110</v>
      </c>
      <c r="K436" t="s">
        <v>97</v>
      </c>
      <c r="L436" t="s">
        <v>112</v>
      </c>
      <c r="M436">
        <v>2001.48077276</v>
      </c>
      <c r="N436">
        <v>0</v>
      </c>
      <c r="O436" t="s">
        <v>89</v>
      </c>
      <c r="P436" s="44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93</v>
      </c>
      <c r="AD436" s="44">
        <v>43831</v>
      </c>
    </row>
    <row r="437" spans="1:30" x14ac:dyDescent="0.25">
      <c r="A437">
        <v>354580</v>
      </c>
      <c r="B437" t="s">
        <v>259</v>
      </c>
      <c r="C437">
        <v>2020</v>
      </c>
      <c r="D437">
        <v>1</v>
      </c>
      <c r="E437" t="s">
        <v>99</v>
      </c>
      <c r="F437" t="s">
        <v>93</v>
      </c>
      <c r="G437" t="s">
        <v>93</v>
      </c>
      <c r="H437" t="s">
        <v>25</v>
      </c>
      <c r="I437" t="s">
        <v>25</v>
      </c>
      <c r="J437" t="s">
        <v>110</v>
      </c>
      <c r="K437" t="s">
        <v>99</v>
      </c>
      <c r="L437" t="s">
        <v>112</v>
      </c>
      <c r="M437">
        <v>1639.6683604499999</v>
      </c>
      <c r="N437">
        <v>0</v>
      </c>
      <c r="O437" t="s">
        <v>89</v>
      </c>
      <c r="P437" s="44">
        <v>44277.577237650461</v>
      </c>
      <c r="Q437">
        <v>3346729</v>
      </c>
      <c r="R437" t="s">
        <v>100</v>
      </c>
      <c r="S437">
        <v>0.85902349</v>
      </c>
      <c r="W437"/>
      <c r="X437">
        <v>0</v>
      </c>
      <c r="AC437" t="s">
        <v>93</v>
      </c>
      <c r="AD437" s="44">
        <v>43831</v>
      </c>
    </row>
    <row r="438" spans="1:30" x14ac:dyDescent="0.25">
      <c r="A438">
        <v>354532</v>
      </c>
      <c r="B438" t="s">
        <v>259</v>
      </c>
      <c r="C438">
        <v>2020</v>
      </c>
      <c r="D438">
        <v>1</v>
      </c>
      <c r="E438" t="s">
        <v>95</v>
      </c>
      <c r="F438" t="s">
        <v>93</v>
      </c>
      <c r="G438" t="s">
        <v>93</v>
      </c>
      <c r="H438" t="s">
        <v>25</v>
      </c>
      <c r="I438" t="s">
        <v>25</v>
      </c>
      <c r="J438" t="s">
        <v>110</v>
      </c>
      <c r="K438" t="s">
        <v>95</v>
      </c>
      <c r="L438" t="s">
        <v>112</v>
      </c>
      <c r="M438">
        <v>4821.9581158499996</v>
      </c>
      <c r="N438">
        <v>0</v>
      </c>
      <c r="O438" t="s">
        <v>89</v>
      </c>
      <c r="P438" s="44">
        <v>44277.577233530094</v>
      </c>
      <c r="Q438">
        <v>3346489</v>
      </c>
      <c r="R438" t="s">
        <v>100</v>
      </c>
      <c r="S438">
        <v>7.3349707899999999</v>
      </c>
      <c r="W438"/>
      <c r="X438">
        <v>0</v>
      </c>
      <c r="AC438" t="s">
        <v>93</v>
      </c>
      <c r="AD438" s="44">
        <v>43831</v>
      </c>
    </row>
    <row r="439" spans="1:30" x14ac:dyDescent="0.25">
      <c r="A439">
        <v>354556</v>
      </c>
      <c r="B439" t="s">
        <v>259</v>
      </c>
      <c r="C439">
        <v>2020</v>
      </c>
      <c r="D439">
        <v>1</v>
      </c>
      <c r="E439" t="s">
        <v>97</v>
      </c>
      <c r="F439" t="s">
        <v>93</v>
      </c>
      <c r="G439" t="s">
        <v>93</v>
      </c>
      <c r="H439" t="s">
        <v>25</v>
      </c>
      <c r="I439" t="s">
        <v>25</v>
      </c>
      <c r="J439" t="s">
        <v>110</v>
      </c>
      <c r="K439" t="s">
        <v>97</v>
      </c>
      <c r="L439" t="s">
        <v>112</v>
      </c>
      <c r="M439">
        <v>2001.48077276</v>
      </c>
      <c r="N439">
        <v>0</v>
      </c>
      <c r="O439" t="s">
        <v>89</v>
      </c>
      <c r="P439" s="44">
        <v>44277.57723599537</v>
      </c>
      <c r="Q439">
        <v>3346609</v>
      </c>
      <c r="R439" t="s">
        <v>100</v>
      </c>
      <c r="S439">
        <v>0</v>
      </c>
      <c r="W439"/>
      <c r="X439">
        <v>0</v>
      </c>
      <c r="AC439" t="s">
        <v>93</v>
      </c>
      <c r="AD439" s="44">
        <v>43831</v>
      </c>
    </row>
    <row r="440" spans="1:30" x14ac:dyDescent="0.25">
      <c r="A440">
        <v>354556</v>
      </c>
      <c r="B440" t="s">
        <v>259</v>
      </c>
      <c r="C440">
        <v>2020</v>
      </c>
      <c r="D440">
        <v>1</v>
      </c>
      <c r="E440" t="s">
        <v>97</v>
      </c>
      <c r="F440" t="s">
        <v>93</v>
      </c>
      <c r="G440" t="s">
        <v>93</v>
      </c>
      <c r="H440" t="s">
        <v>25</v>
      </c>
      <c r="I440" t="s">
        <v>25</v>
      </c>
      <c r="J440" t="s">
        <v>110</v>
      </c>
      <c r="K440" t="s">
        <v>97</v>
      </c>
      <c r="L440" t="s">
        <v>112</v>
      </c>
      <c r="M440">
        <v>2001.48077276</v>
      </c>
      <c r="N440">
        <v>0</v>
      </c>
      <c r="O440" t="s">
        <v>89</v>
      </c>
      <c r="P440" s="44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93</v>
      </c>
      <c r="AD440" s="44">
        <v>43831</v>
      </c>
    </row>
    <row r="441" spans="1:30" x14ac:dyDescent="0.25">
      <c r="A441">
        <v>354580</v>
      </c>
      <c r="B441" t="s">
        <v>259</v>
      </c>
      <c r="C441">
        <v>2020</v>
      </c>
      <c r="D441">
        <v>1</v>
      </c>
      <c r="E441" t="s">
        <v>99</v>
      </c>
      <c r="F441" t="s">
        <v>93</v>
      </c>
      <c r="G441" t="s">
        <v>93</v>
      </c>
      <c r="H441" t="s">
        <v>25</v>
      </c>
      <c r="I441" t="s">
        <v>25</v>
      </c>
      <c r="J441" t="s">
        <v>110</v>
      </c>
      <c r="K441" t="s">
        <v>99</v>
      </c>
      <c r="L441" t="s">
        <v>112</v>
      </c>
      <c r="M441">
        <v>1639.6683604499999</v>
      </c>
      <c r="N441">
        <v>0</v>
      </c>
      <c r="O441" t="s">
        <v>89</v>
      </c>
      <c r="P441" s="44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93</v>
      </c>
      <c r="AD441" s="44">
        <v>43831</v>
      </c>
    </row>
    <row r="442" spans="1:30" x14ac:dyDescent="0.25">
      <c r="A442">
        <v>354532</v>
      </c>
      <c r="B442" t="s">
        <v>259</v>
      </c>
      <c r="C442">
        <v>2020</v>
      </c>
      <c r="D442">
        <v>1</v>
      </c>
      <c r="E442" t="s">
        <v>95</v>
      </c>
      <c r="F442" t="s">
        <v>93</v>
      </c>
      <c r="G442" t="s">
        <v>93</v>
      </c>
      <c r="H442" t="s">
        <v>25</v>
      </c>
      <c r="I442" t="s">
        <v>25</v>
      </c>
      <c r="J442" t="s">
        <v>110</v>
      </c>
      <c r="K442" t="s">
        <v>95</v>
      </c>
      <c r="L442" t="s">
        <v>112</v>
      </c>
      <c r="M442">
        <v>4821.9581158499996</v>
      </c>
      <c r="N442">
        <v>0</v>
      </c>
      <c r="O442" t="s">
        <v>89</v>
      </c>
      <c r="P442" s="44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93</v>
      </c>
      <c r="AD442" s="44">
        <v>43831</v>
      </c>
    </row>
    <row r="443" spans="1:30" x14ac:dyDescent="0.25">
      <c r="A443">
        <v>367680</v>
      </c>
      <c r="B443" t="s">
        <v>268</v>
      </c>
      <c r="C443">
        <v>2020</v>
      </c>
      <c r="D443">
        <v>2</v>
      </c>
      <c r="E443" t="s">
        <v>95</v>
      </c>
      <c r="F443" t="s">
        <v>93</v>
      </c>
      <c r="G443" t="s">
        <v>93</v>
      </c>
      <c r="H443" t="s">
        <v>25</v>
      </c>
      <c r="I443" t="s">
        <v>25</v>
      </c>
      <c r="J443" t="s">
        <v>110</v>
      </c>
      <c r="K443" t="s">
        <v>95</v>
      </c>
      <c r="L443" t="s">
        <v>112</v>
      </c>
      <c r="M443">
        <v>4817.7602658300002</v>
      </c>
      <c r="N443">
        <v>0</v>
      </c>
      <c r="O443" t="s">
        <v>89</v>
      </c>
      <c r="P443" s="44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93</v>
      </c>
      <c r="AD443" s="44">
        <v>43862</v>
      </c>
    </row>
    <row r="444" spans="1:30" x14ac:dyDescent="0.25">
      <c r="A444">
        <v>367704</v>
      </c>
      <c r="B444" t="s">
        <v>268</v>
      </c>
      <c r="C444">
        <v>2020</v>
      </c>
      <c r="D444">
        <v>2</v>
      </c>
      <c r="E444" t="s">
        <v>97</v>
      </c>
      <c r="F444" t="s">
        <v>93</v>
      </c>
      <c r="G444" t="s">
        <v>93</v>
      </c>
      <c r="H444" t="s">
        <v>25</v>
      </c>
      <c r="I444" t="s">
        <v>25</v>
      </c>
      <c r="J444" t="s">
        <v>110</v>
      </c>
      <c r="K444" t="s">
        <v>97</v>
      </c>
      <c r="L444" t="s">
        <v>112</v>
      </c>
      <c r="M444">
        <v>1964.2184333</v>
      </c>
      <c r="N444">
        <v>0</v>
      </c>
      <c r="O444" t="s">
        <v>89</v>
      </c>
      <c r="P444" s="44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93</v>
      </c>
      <c r="AD444" s="44">
        <v>43862</v>
      </c>
    </row>
    <row r="445" spans="1:30" x14ac:dyDescent="0.25">
      <c r="A445">
        <v>367728</v>
      </c>
      <c r="B445" t="s">
        <v>268</v>
      </c>
      <c r="C445">
        <v>2020</v>
      </c>
      <c r="D445">
        <v>2</v>
      </c>
      <c r="E445" t="s">
        <v>99</v>
      </c>
      <c r="F445" t="s">
        <v>93</v>
      </c>
      <c r="G445" t="s">
        <v>93</v>
      </c>
      <c r="H445" t="s">
        <v>25</v>
      </c>
      <c r="I445" t="s">
        <v>25</v>
      </c>
      <c r="J445" t="s">
        <v>110</v>
      </c>
      <c r="K445" t="s">
        <v>99</v>
      </c>
      <c r="L445" t="s">
        <v>112</v>
      </c>
      <c r="M445">
        <v>1505.0158114400001</v>
      </c>
      <c r="N445">
        <v>0</v>
      </c>
      <c r="O445" t="s">
        <v>89</v>
      </c>
      <c r="P445" s="44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93</v>
      </c>
      <c r="AD445" s="44">
        <v>43862</v>
      </c>
    </row>
    <row r="446" spans="1:30" x14ac:dyDescent="0.25">
      <c r="A446">
        <v>367704</v>
      </c>
      <c r="B446" t="s">
        <v>268</v>
      </c>
      <c r="C446">
        <v>2020</v>
      </c>
      <c r="D446">
        <v>2</v>
      </c>
      <c r="E446" t="s">
        <v>97</v>
      </c>
      <c r="F446" t="s">
        <v>93</v>
      </c>
      <c r="G446" t="s">
        <v>93</v>
      </c>
      <c r="H446" t="s">
        <v>25</v>
      </c>
      <c r="I446" t="s">
        <v>25</v>
      </c>
      <c r="J446" t="s">
        <v>110</v>
      </c>
      <c r="K446" t="s">
        <v>97</v>
      </c>
      <c r="L446" t="s">
        <v>112</v>
      </c>
      <c r="M446">
        <v>1964.2184333</v>
      </c>
      <c r="N446">
        <v>0</v>
      </c>
      <c r="O446" t="s">
        <v>89</v>
      </c>
      <c r="P446" s="44">
        <v>44277.578843750001</v>
      </c>
      <c r="Q446">
        <v>3473064</v>
      </c>
      <c r="R446" t="s">
        <v>90</v>
      </c>
      <c r="S446">
        <v>107.98293959999999</v>
      </c>
      <c r="W446"/>
      <c r="X446">
        <v>0</v>
      </c>
      <c r="AC446" t="s">
        <v>93</v>
      </c>
      <c r="AD446" s="44">
        <v>43862</v>
      </c>
    </row>
    <row r="447" spans="1:30" x14ac:dyDescent="0.25">
      <c r="A447">
        <v>367728</v>
      </c>
      <c r="B447" t="s">
        <v>268</v>
      </c>
      <c r="C447">
        <v>2020</v>
      </c>
      <c r="D447">
        <v>2</v>
      </c>
      <c r="E447" t="s">
        <v>99</v>
      </c>
      <c r="F447" t="s">
        <v>93</v>
      </c>
      <c r="G447" t="s">
        <v>93</v>
      </c>
      <c r="H447" t="s">
        <v>25</v>
      </c>
      <c r="I447" t="s">
        <v>25</v>
      </c>
      <c r="J447" t="s">
        <v>110</v>
      </c>
      <c r="K447" t="s">
        <v>99</v>
      </c>
      <c r="L447" t="s">
        <v>112</v>
      </c>
      <c r="M447">
        <v>1505.0158114400001</v>
      </c>
      <c r="N447">
        <v>0</v>
      </c>
      <c r="O447" t="s">
        <v>89</v>
      </c>
      <c r="P447" s="44">
        <v>44277.578845023148</v>
      </c>
      <c r="Q447">
        <v>3473184</v>
      </c>
      <c r="R447" t="s">
        <v>90</v>
      </c>
      <c r="S447">
        <v>91.432260959999994</v>
      </c>
      <c r="W447"/>
      <c r="X447">
        <v>0</v>
      </c>
      <c r="AC447" t="s">
        <v>93</v>
      </c>
      <c r="AD447" s="44">
        <v>43862</v>
      </c>
    </row>
    <row r="448" spans="1:30" x14ac:dyDescent="0.25">
      <c r="A448">
        <v>367680</v>
      </c>
      <c r="B448" t="s">
        <v>268</v>
      </c>
      <c r="C448">
        <v>2020</v>
      </c>
      <c r="D448">
        <v>2</v>
      </c>
      <c r="E448" t="s">
        <v>95</v>
      </c>
      <c r="F448" t="s">
        <v>93</v>
      </c>
      <c r="G448" t="s">
        <v>93</v>
      </c>
      <c r="H448" t="s">
        <v>25</v>
      </c>
      <c r="I448" t="s">
        <v>25</v>
      </c>
      <c r="J448" t="s">
        <v>110</v>
      </c>
      <c r="K448" t="s">
        <v>95</v>
      </c>
      <c r="L448" t="s">
        <v>112</v>
      </c>
      <c r="M448">
        <v>4817.7602658300002</v>
      </c>
      <c r="N448">
        <v>0</v>
      </c>
      <c r="O448" t="s">
        <v>89</v>
      </c>
      <c r="P448" s="44">
        <v>44277.578842361108</v>
      </c>
      <c r="Q448">
        <v>3472944</v>
      </c>
      <c r="R448" t="s">
        <v>90</v>
      </c>
      <c r="S448">
        <v>396.15234104000001</v>
      </c>
      <c r="W448"/>
      <c r="X448">
        <v>0</v>
      </c>
      <c r="AC448" t="s">
        <v>93</v>
      </c>
      <c r="AD448" s="44">
        <v>43862</v>
      </c>
    </row>
    <row r="449" spans="1:30" x14ac:dyDescent="0.25">
      <c r="A449">
        <v>367704</v>
      </c>
      <c r="B449" t="s">
        <v>268</v>
      </c>
      <c r="C449">
        <v>2020</v>
      </c>
      <c r="D449">
        <v>2</v>
      </c>
      <c r="E449" t="s">
        <v>97</v>
      </c>
      <c r="F449" t="s">
        <v>93</v>
      </c>
      <c r="G449" t="s">
        <v>93</v>
      </c>
      <c r="H449" t="s">
        <v>25</v>
      </c>
      <c r="I449" t="s">
        <v>25</v>
      </c>
      <c r="J449" t="s">
        <v>110</v>
      </c>
      <c r="K449" t="s">
        <v>97</v>
      </c>
      <c r="L449" t="s">
        <v>112</v>
      </c>
      <c r="M449">
        <v>1964.2184333</v>
      </c>
      <c r="N449">
        <v>0</v>
      </c>
      <c r="O449" t="s">
        <v>89</v>
      </c>
      <c r="P449" s="44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93</v>
      </c>
      <c r="AD449" s="44">
        <v>43862</v>
      </c>
    </row>
    <row r="450" spans="1:30" x14ac:dyDescent="0.25">
      <c r="A450">
        <v>367728</v>
      </c>
      <c r="B450" t="s">
        <v>268</v>
      </c>
      <c r="C450">
        <v>2020</v>
      </c>
      <c r="D450">
        <v>2</v>
      </c>
      <c r="E450" t="s">
        <v>99</v>
      </c>
      <c r="F450" t="s">
        <v>93</v>
      </c>
      <c r="G450" t="s">
        <v>93</v>
      </c>
      <c r="H450" t="s">
        <v>25</v>
      </c>
      <c r="I450" t="s">
        <v>25</v>
      </c>
      <c r="J450" t="s">
        <v>110</v>
      </c>
      <c r="K450" t="s">
        <v>99</v>
      </c>
      <c r="L450" t="s">
        <v>112</v>
      </c>
      <c r="M450">
        <v>1505.0158114400001</v>
      </c>
      <c r="N450">
        <v>0</v>
      </c>
      <c r="O450" t="s">
        <v>89</v>
      </c>
      <c r="P450" s="44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93</v>
      </c>
      <c r="AD450" s="44">
        <v>43862</v>
      </c>
    </row>
    <row r="451" spans="1:30" x14ac:dyDescent="0.25">
      <c r="A451">
        <v>367680</v>
      </c>
      <c r="B451" t="s">
        <v>268</v>
      </c>
      <c r="C451">
        <v>2020</v>
      </c>
      <c r="D451">
        <v>2</v>
      </c>
      <c r="E451" t="s">
        <v>95</v>
      </c>
      <c r="F451" t="s">
        <v>93</v>
      </c>
      <c r="G451" t="s">
        <v>93</v>
      </c>
      <c r="H451" t="s">
        <v>25</v>
      </c>
      <c r="I451" t="s">
        <v>25</v>
      </c>
      <c r="J451" t="s">
        <v>110</v>
      </c>
      <c r="K451" t="s">
        <v>95</v>
      </c>
      <c r="L451" t="s">
        <v>112</v>
      </c>
      <c r="M451">
        <v>4817.7602658300002</v>
      </c>
      <c r="N451">
        <v>0</v>
      </c>
      <c r="O451" t="s">
        <v>89</v>
      </c>
      <c r="P451" s="44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93</v>
      </c>
      <c r="AD451" s="44">
        <v>43862</v>
      </c>
    </row>
    <row r="452" spans="1:30" x14ac:dyDescent="0.25">
      <c r="A452">
        <v>367728</v>
      </c>
      <c r="B452" t="s">
        <v>268</v>
      </c>
      <c r="C452">
        <v>2020</v>
      </c>
      <c r="D452">
        <v>2</v>
      </c>
      <c r="E452" t="s">
        <v>99</v>
      </c>
      <c r="F452" t="s">
        <v>93</v>
      </c>
      <c r="G452" t="s">
        <v>93</v>
      </c>
      <c r="H452" t="s">
        <v>25</v>
      </c>
      <c r="I452" t="s">
        <v>25</v>
      </c>
      <c r="J452" t="s">
        <v>110</v>
      </c>
      <c r="K452" t="s">
        <v>99</v>
      </c>
      <c r="L452" t="s">
        <v>112</v>
      </c>
      <c r="M452">
        <v>1505.0158114400001</v>
      </c>
      <c r="N452">
        <v>0</v>
      </c>
      <c r="O452" t="s">
        <v>89</v>
      </c>
      <c r="P452" s="44">
        <v>44277.578845023148</v>
      </c>
      <c r="Q452">
        <v>3473180</v>
      </c>
      <c r="R452" t="s">
        <v>100</v>
      </c>
      <c r="S452">
        <v>0.78847891000000003</v>
      </c>
      <c r="W452"/>
      <c r="X452">
        <v>0</v>
      </c>
      <c r="AC452" t="s">
        <v>93</v>
      </c>
      <c r="AD452" s="44">
        <v>43862</v>
      </c>
    </row>
    <row r="453" spans="1:30" x14ac:dyDescent="0.25">
      <c r="A453">
        <v>367704</v>
      </c>
      <c r="B453" t="s">
        <v>268</v>
      </c>
      <c r="C453">
        <v>2020</v>
      </c>
      <c r="D453">
        <v>2</v>
      </c>
      <c r="E453" t="s">
        <v>97</v>
      </c>
      <c r="F453" t="s">
        <v>93</v>
      </c>
      <c r="G453" t="s">
        <v>93</v>
      </c>
      <c r="H453" t="s">
        <v>25</v>
      </c>
      <c r="I453" t="s">
        <v>25</v>
      </c>
      <c r="J453" t="s">
        <v>110</v>
      </c>
      <c r="K453" t="s">
        <v>97</v>
      </c>
      <c r="L453" t="s">
        <v>112</v>
      </c>
      <c r="M453">
        <v>1964.2184333</v>
      </c>
      <c r="N453">
        <v>0</v>
      </c>
      <c r="O453" t="s">
        <v>89</v>
      </c>
      <c r="P453" s="44">
        <v>44277.578843750001</v>
      </c>
      <c r="Q453">
        <v>3473060</v>
      </c>
      <c r="R453" t="s">
        <v>100</v>
      </c>
      <c r="S453">
        <v>0</v>
      </c>
      <c r="W453"/>
      <c r="X453">
        <v>0</v>
      </c>
      <c r="AC453" t="s">
        <v>93</v>
      </c>
      <c r="AD453" s="44">
        <v>43862</v>
      </c>
    </row>
    <row r="454" spans="1:30" x14ac:dyDescent="0.25">
      <c r="A454">
        <v>367680</v>
      </c>
      <c r="B454" t="s">
        <v>268</v>
      </c>
      <c r="C454">
        <v>2020</v>
      </c>
      <c r="D454">
        <v>2</v>
      </c>
      <c r="E454" t="s">
        <v>95</v>
      </c>
      <c r="F454" t="s">
        <v>93</v>
      </c>
      <c r="G454" t="s">
        <v>93</v>
      </c>
      <c r="H454" t="s">
        <v>25</v>
      </c>
      <c r="I454" t="s">
        <v>25</v>
      </c>
      <c r="J454" t="s">
        <v>110</v>
      </c>
      <c r="K454" t="s">
        <v>95</v>
      </c>
      <c r="L454" t="s">
        <v>112</v>
      </c>
      <c r="M454">
        <v>4817.7602658300002</v>
      </c>
      <c r="N454">
        <v>0</v>
      </c>
      <c r="O454" t="s">
        <v>89</v>
      </c>
      <c r="P454" s="44">
        <v>44277.578842361108</v>
      </c>
      <c r="Q454">
        <v>3472940</v>
      </c>
      <c r="R454" t="s">
        <v>100</v>
      </c>
      <c r="S454">
        <v>7.3285851800000001</v>
      </c>
      <c r="W454"/>
      <c r="X454">
        <v>0</v>
      </c>
      <c r="AC454" t="s">
        <v>93</v>
      </c>
      <c r="AD454" s="44">
        <v>43862</v>
      </c>
    </row>
    <row r="455" spans="1:30" x14ac:dyDescent="0.25">
      <c r="A455">
        <v>367704</v>
      </c>
      <c r="B455" t="s">
        <v>268</v>
      </c>
      <c r="C455">
        <v>2020</v>
      </c>
      <c r="D455">
        <v>2</v>
      </c>
      <c r="E455" t="s">
        <v>97</v>
      </c>
      <c r="F455" t="s">
        <v>93</v>
      </c>
      <c r="G455" t="s">
        <v>93</v>
      </c>
      <c r="H455" t="s">
        <v>25</v>
      </c>
      <c r="I455" t="s">
        <v>25</v>
      </c>
      <c r="J455" t="s">
        <v>110</v>
      </c>
      <c r="K455" t="s">
        <v>97</v>
      </c>
      <c r="L455" t="s">
        <v>112</v>
      </c>
      <c r="M455">
        <v>1964.2184333</v>
      </c>
      <c r="N455">
        <v>0</v>
      </c>
      <c r="O455" t="s">
        <v>89</v>
      </c>
      <c r="P455" s="44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93</v>
      </c>
      <c r="AD455" s="44">
        <v>43862</v>
      </c>
    </row>
    <row r="456" spans="1:30" x14ac:dyDescent="0.25">
      <c r="A456">
        <v>367728</v>
      </c>
      <c r="B456" t="s">
        <v>268</v>
      </c>
      <c r="C456">
        <v>2020</v>
      </c>
      <c r="D456">
        <v>2</v>
      </c>
      <c r="E456" t="s">
        <v>99</v>
      </c>
      <c r="F456" t="s">
        <v>93</v>
      </c>
      <c r="G456" t="s">
        <v>93</v>
      </c>
      <c r="H456" t="s">
        <v>25</v>
      </c>
      <c r="I456" t="s">
        <v>25</v>
      </c>
      <c r="J456" t="s">
        <v>110</v>
      </c>
      <c r="K456" t="s">
        <v>99</v>
      </c>
      <c r="L456" t="s">
        <v>112</v>
      </c>
      <c r="M456">
        <v>1505.0158114400001</v>
      </c>
      <c r="N456">
        <v>0</v>
      </c>
      <c r="O456" t="s">
        <v>89</v>
      </c>
      <c r="P456" s="44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93</v>
      </c>
      <c r="AD456" s="44">
        <v>43862</v>
      </c>
    </row>
    <row r="457" spans="1:30" x14ac:dyDescent="0.25">
      <c r="A457">
        <v>367680</v>
      </c>
      <c r="B457" t="s">
        <v>268</v>
      </c>
      <c r="C457">
        <v>2020</v>
      </c>
      <c r="D457">
        <v>2</v>
      </c>
      <c r="E457" t="s">
        <v>95</v>
      </c>
      <c r="F457" t="s">
        <v>93</v>
      </c>
      <c r="G457" t="s">
        <v>93</v>
      </c>
      <c r="H457" t="s">
        <v>25</v>
      </c>
      <c r="I457" t="s">
        <v>25</v>
      </c>
      <c r="J457" t="s">
        <v>110</v>
      </c>
      <c r="K457" t="s">
        <v>95</v>
      </c>
      <c r="L457" t="s">
        <v>112</v>
      </c>
      <c r="M457">
        <v>4817.7602658300002</v>
      </c>
      <c r="N457">
        <v>0</v>
      </c>
      <c r="O457" t="s">
        <v>89</v>
      </c>
      <c r="P457" s="44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93</v>
      </c>
      <c r="AD457" s="44">
        <v>43862</v>
      </c>
    </row>
    <row r="458" spans="1:30" x14ac:dyDescent="0.25">
      <c r="A458">
        <v>380901</v>
      </c>
      <c r="B458" t="s">
        <v>277</v>
      </c>
      <c r="C458">
        <v>2020</v>
      </c>
      <c r="D458">
        <v>3</v>
      </c>
      <c r="E458" t="s">
        <v>99</v>
      </c>
      <c r="F458" t="s">
        <v>93</v>
      </c>
      <c r="G458" t="s">
        <v>93</v>
      </c>
      <c r="H458" t="s">
        <v>25</v>
      </c>
      <c r="I458" t="s">
        <v>25</v>
      </c>
      <c r="J458" t="s">
        <v>110</v>
      </c>
      <c r="K458" t="s">
        <v>99</v>
      </c>
      <c r="L458" t="s">
        <v>112</v>
      </c>
      <c r="M458">
        <v>1368.2888326899999</v>
      </c>
      <c r="N458">
        <v>0</v>
      </c>
      <c r="O458" t="s">
        <v>89</v>
      </c>
      <c r="P458" s="44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93</v>
      </c>
      <c r="AD458" s="44">
        <v>43891</v>
      </c>
    </row>
    <row r="459" spans="1:30" x14ac:dyDescent="0.25">
      <c r="A459">
        <v>380853</v>
      </c>
      <c r="B459" t="s">
        <v>277</v>
      </c>
      <c r="C459">
        <v>2020</v>
      </c>
      <c r="D459">
        <v>3</v>
      </c>
      <c r="E459" t="s">
        <v>95</v>
      </c>
      <c r="F459" t="s">
        <v>93</v>
      </c>
      <c r="G459" t="s">
        <v>93</v>
      </c>
      <c r="H459" t="s">
        <v>25</v>
      </c>
      <c r="I459" t="s">
        <v>25</v>
      </c>
      <c r="J459" t="s">
        <v>110</v>
      </c>
      <c r="K459" t="s">
        <v>95</v>
      </c>
      <c r="L459" t="s">
        <v>112</v>
      </c>
      <c r="M459">
        <v>4596.1657269400002</v>
      </c>
      <c r="N459">
        <v>0</v>
      </c>
      <c r="O459" t="s">
        <v>89</v>
      </c>
      <c r="P459" s="44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93</v>
      </c>
      <c r="AD459" s="44">
        <v>43891</v>
      </c>
    </row>
    <row r="460" spans="1:30" x14ac:dyDescent="0.25">
      <c r="A460">
        <v>380877</v>
      </c>
      <c r="B460" t="s">
        <v>277</v>
      </c>
      <c r="C460">
        <v>2020</v>
      </c>
      <c r="D460">
        <v>3</v>
      </c>
      <c r="E460" t="s">
        <v>97</v>
      </c>
      <c r="F460" t="s">
        <v>93</v>
      </c>
      <c r="G460" t="s">
        <v>93</v>
      </c>
      <c r="H460" t="s">
        <v>25</v>
      </c>
      <c r="I460" t="s">
        <v>25</v>
      </c>
      <c r="J460" t="s">
        <v>110</v>
      </c>
      <c r="K460" t="s">
        <v>97</v>
      </c>
      <c r="L460" t="s">
        <v>112</v>
      </c>
      <c r="M460">
        <v>1932.0776825</v>
      </c>
      <c r="N460">
        <v>0</v>
      </c>
      <c r="O460" t="s">
        <v>89</v>
      </c>
      <c r="P460" s="44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93</v>
      </c>
      <c r="AD460" s="44">
        <v>43891</v>
      </c>
    </row>
    <row r="461" spans="1:30" x14ac:dyDescent="0.25">
      <c r="A461">
        <v>380901</v>
      </c>
      <c r="B461" t="s">
        <v>277</v>
      </c>
      <c r="C461">
        <v>2020</v>
      </c>
      <c r="D461">
        <v>3</v>
      </c>
      <c r="E461" t="s">
        <v>99</v>
      </c>
      <c r="F461" t="s">
        <v>93</v>
      </c>
      <c r="G461" t="s">
        <v>93</v>
      </c>
      <c r="H461" t="s">
        <v>25</v>
      </c>
      <c r="I461" t="s">
        <v>25</v>
      </c>
      <c r="J461" t="s">
        <v>110</v>
      </c>
      <c r="K461" t="s">
        <v>99</v>
      </c>
      <c r="L461" t="s">
        <v>112</v>
      </c>
      <c r="M461">
        <v>1368.2888326899999</v>
      </c>
      <c r="N461">
        <v>0</v>
      </c>
      <c r="O461" t="s">
        <v>89</v>
      </c>
      <c r="P461" s="44">
        <v>44277.58045115741</v>
      </c>
      <c r="Q461">
        <v>3600035</v>
      </c>
      <c r="R461" t="s">
        <v>90</v>
      </c>
      <c r="S461">
        <v>83.125865300000001</v>
      </c>
      <c r="W461"/>
      <c r="X461">
        <v>0</v>
      </c>
      <c r="AC461" t="s">
        <v>93</v>
      </c>
      <c r="AD461" s="44">
        <v>43891</v>
      </c>
    </row>
    <row r="462" spans="1:30" x14ac:dyDescent="0.25">
      <c r="A462">
        <v>380853</v>
      </c>
      <c r="B462" t="s">
        <v>277</v>
      </c>
      <c r="C462">
        <v>2020</v>
      </c>
      <c r="D462">
        <v>3</v>
      </c>
      <c r="E462" t="s">
        <v>95</v>
      </c>
      <c r="F462" t="s">
        <v>93</v>
      </c>
      <c r="G462" t="s">
        <v>93</v>
      </c>
      <c r="H462" t="s">
        <v>25</v>
      </c>
      <c r="I462" t="s">
        <v>25</v>
      </c>
      <c r="J462" t="s">
        <v>110</v>
      </c>
      <c r="K462" t="s">
        <v>95</v>
      </c>
      <c r="L462" t="s">
        <v>112</v>
      </c>
      <c r="M462">
        <v>4596.1657269400002</v>
      </c>
      <c r="N462">
        <v>0</v>
      </c>
      <c r="O462" t="s">
        <v>89</v>
      </c>
      <c r="P462" s="44">
        <v>44277.580443599538</v>
      </c>
      <c r="Q462">
        <v>3599795</v>
      </c>
      <c r="R462" t="s">
        <v>90</v>
      </c>
      <c r="S462">
        <v>377.93117798999998</v>
      </c>
      <c r="W462"/>
      <c r="X462">
        <v>0</v>
      </c>
      <c r="AC462" t="s">
        <v>93</v>
      </c>
      <c r="AD462" s="44">
        <v>43891</v>
      </c>
    </row>
    <row r="463" spans="1:30" x14ac:dyDescent="0.25">
      <c r="A463">
        <v>380877</v>
      </c>
      <c r="B463" t="s">
        <v>277</v>
      </c>
      <c r="C463">
        <v>2020</v>
      </c>
      <c r="D463">
        <v>3</v>
      </c>
      <c r="E463" t="s">
        <v>97</v>
      </c>
      <c r="F463" t="s">
        <v>93</v>
      </c>
      <c r="G463" t="s">
        <v>93</v>
      </c>
      <c r="H463" t="s">
        <v>25</v>
      </c>
      <c r="I463" t="s">
        <v>25</v>
      </c>
      <c r="J463" t="s">
        <v>110</v>
      </c>
      <c r="K463" t="s">
        <v>97</v>
      </c>
      <c r="L463" t="s">
        <v>112</v>
      </c>
      <c r="M463">
        <v>1932.0776825</v>
      </c>
      <c r="N463">
        <v>0</v>
      </c>
      <c r="O463" t="s">
        <v>89</v>
      </c>
      <c r="P463" s="44">
        <v>44277.580448298613</v>
      </c>
      <c r="Q463">
        <v>3599915</v>
      </c>
      <c r="R463" t="s">
        <v>90</v>
      </c>
      <c r="S463">
        <v>106.21600132</v>
      </c>
      <c r="W463"/>
      <c r="X463">
        <v>0</v>
      </c>
      <c r="AC463" t="s">
        <v>93</v>
      </c>
      <c r="AD463" s="44">
        <v>43891</v>
      </c>
    </row>
    <row r="464" spans="1:30" x14ac:dyDescent="0.25">
      <c r="A464">
        <v>380901</v>
      </c>
      <c r="B464" t="s">
        <v>277</v>
      </c>
      <c r="C464">
        <v>2020</v>
      </c>
      <c r="D464">
        <v>3</v>
      </c>
      <c r="E464" t="s">
        <v>99</v>
      </c>
      <c r="F464" t="s">
        <v>93</v>
      </c>
      <c r="G464" t="s">
        <v>93</v>
      </c>
      <c r="H464" t="s">
        <v>25</v>
      </c>
      <c r="I464" t="s">
        <v>25</v>
      </c>
      <c r="J464" t="s">
        <v>110</v>
      </c>
      <c r="K464" t="s">
        <v>99</v>
      </c>
      <c r="L464" t="s">
        <v>112</v>
      </c>
      <c r="M464">
        <v>1368.2888326899999</v>
      </c>
      <c r="N464">
        <v>0</v>
      </c>
      <c r="O464" t="s">
        <v>89</v>
      </c>
      <c r="P464" s="44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93</v>
      </c>
      <c r="AD464" s="44">
        <v>43891</v>
      </c>
    </row>
    <row r="465" spans="1:30" x14ac:dyDescent="0.25">
      <c r="A465">
        <v>380877</v>
      </c>
      <c r="B465" t="s">
        <v>277</v>
      </c>
      <c r="C465">
        <v>2020</v>
      </c>
      <c r="D465">
        <v>3</v>
      </c>
      <c r="E465" t="s">
        <v>97</v>
      </c>
      <c r="F465" t="s">
        <v>93</v>
      </c>
      <c r="G465" t="s">
        <v>93</v>
      </c>
      <c r="H465" t="s">
        <v>25</v>
      </c>
      <c r="I465" t="s">
        <v>25</v>
      </c>
      <c r="J465" t="s">
        <v>110</v>
      </c>
      <c r="K465" t="s">
        <v>97</v>
      </c>
      <c r="L465" t="s">
        <v>112</v>
      </c>
      <c r="M465">
        <v>1932.0776825</v>
      </c>
      <c r="N465">
        <v>0</v>
      </c>
      <c r="O465" t="s">
        <v>89</v>
      </c>
      <c r="P465" s="44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93</v>
      </c>
      <c r="AD465" s="44">
        <v>43891</v>
      </c>
    </row>
    <row r="466" spans="1:30" x14ac:dyDescent="0.25">
      <c r="A466">
        <v>380853</v>
      </c>
      <c r="B466" t="s">
        <v>277</v>
      </c>
      <c r="C466">
        <v>2020</v>
      </c>
      <c r="D466">
        <v>3</v>
      </c>
      <c r="E466" t="s">
        <v>95</v>
      </c>
      <c r="F466" t="s">
        <v>93</v>
      </c>
      <c r="G466" t="s">
        <v>93</v>
      </c>
      <c r="H466" t="s">
        <v>25</v>
      </c>
      <c r="I466" t="s">
        <v>25</v>
      </c>
      <c r="J466" t="s">
        <v>110</v>
      </c>
      <c r="K466" t="s">
        <v>95</v>
      </c>
      <c r="L466" t="s">
        <v>112</v>
      </c>
      <c r="M466">
        <v>4596.1657269400002</v>
      </c>
      <c r="N466">
        <v>0</v>
      </c>
      <c r="O466" t="s">
        <v>89</v>
      </c>
      <c r="P466" s="44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93</v>
      </c>
      <c r="AD466" s="44">
        <v>43891</v>
      </c>
    </row>
    <row r="467" spans="1:30" x14ac:dyDescent="0.25">
      <c r="A467">
        <v>380901</v>
      </c>
      <c r="B467" t="s">
        <v>277</v>
      </c>
      <c r="C467">
        <v>2020</v>
      </c>
      <c r="D467">
        <v>3</v>
      </c>
      <c r="E467" t="s">
        <v>99</v>
      </c>
      <c r="F467" t="s">
        <v>93</v>
      </c>
      <c r="G467" t="s">
        <v>93</v>
      </c>
      <c r="H467" t="s">
        <v>25</v>
      </c>
      <c r="I467" t="s">
        <v>25</v>
      </c>
      <c r="J467" t="s">
        <v>110</v>
      </c>
      <c r="K467" t="s">
        <v>99</v>
      </c>
      <c r="L467" t="s">
        <v>112</v>
      </c>
      <c r="M467">
        <v>1368.2888326899999</v>
      </c>
      <c r="N467">
        <v>0</v>
      </c>
      <c r="O467" t="s">
        <v>89</v>
      </c>
      <c r="P467" s="44">
        <v>44277.58045115741</v>
      </c>
      <c r="Q467">
        <v>3600031</v>
      </c>
      <c r="R467" t="s">
        <v>100</v>
      </c>
      <c r="S467">
        <v>0.71684755</v>
      </c>
      <c r="W467"/>
      <c r="X467">
        <v>0</v>
      </c>
      <c r="AC467" t="s">
        <v>93</v>
      </c>
      <c r="AD467" s="44">
        <v>43891</v>
      </c>
    </row>
    <row r="468" spans="1:30" x14ac:dyDescent="0.25">
      <c r="A468">
        <v>380877</v>
      </c>
      <c r="B468" t="s">
        <v>277</v>
      </c>
      <c r="C468">
        <v>2020</v>
      </c>
      <c r="D468">
        <v>3</v>
      </c>
      <c r="E468" t="s">
        <v>97</v>
      </c>
      <c r="F468" t="s">
        <v>93</v>
      </c>
      <c r="G468" t="s">
        <v>93</v>
      </c>
      <c r="H468" t="s">
        <v>25</v>
      </c>
      <c r="I468" t="s">
        <v>25</v>
      </c>
      <c r="J468" t="s">
        <v>110</v>
      </c>
      <c r="K468" t="s">
        <v>97</v>
      </c>
      <c r="L468" t="s">
        <v>112</v>
      </c>
      <c r="M468">
        <v>1932.0776825</v>
      </c>
      <c r="N468">
        <v>0</v>
      </c>
      <c r="O468" t="s">
        <v>89</v>
      </c>
      <c r="P468" s="44">
        <v>44277.580448298613</v>
      </c>
      <c r="Q468">
        <v>3599911</v>
      </c>
      <c r="R468" t="s">
        <v>100</v>
      </c>
      <c r="S468">
        <v>0</v>
      </c>
      <c r="W468"/>
      <c r="X468">
        <v>0</v>
      </c>
      <c r="AC468" t="s">
        <v>93</v>
      </c>
      <c r="AD468" s="44">
        <v>43891</v>
      </c>
    </row>
    <row r="469" spans="1:30" x14ac:dyDescent="0.25">
      <c r="A469">
        <v>380853</v>
      </c>
      <c r="B469" t="s">
        <v>277</v>
      </c>
      <c r="C469">
        <v>2020</v>
      </c>
      <c r="D469">
        <v>3</v>
      </c>
      <c r="E469" t="s">
        <v>95</v>
      </c>
      <c r="F469" t="s">
        <v>93</v>
      </c>
      <c r="G469" t="s">
        <v>93</v>
      </c>
      <c r="H469" t="s">
        <v>25</v>
      </c>
      <c r="I469" t="s">
        <v>25</v>
      </c>
      <c r="J469" t="s">
        <v>110</v>
      </c>
      <c r="K469" t="s">
        <v>95</v>
      </c>
      <c r="L469" t="s">
        <v>112</v>
      </c>
      <c r="M469">
        <v>4596.1657269400002</v>
      </c>
      <c r="N469">
        <v>0</v>
      </c>
      <c r="O469" t="s">
        <v>89</v>
      </c>
      <c r="P469" s="44">
        <v>44277.580443599538</v>
      </c>
      <c r="Q469">
        <v>3599791</v>
      </c>
      <c r="R469" t="s">
        <v>100</v>
      </c>
      <c r="S469">
        <v>6.9915043900000002</v>
      </c>
      <c r="W469"/>
      <c r="X469">
        <v>0</v>
      </c>
      <c r="AC469" t="s">
        <v>93</v>
      </c>
      <c r="AD469" s="44">
        <v>43891</v>
      </c>
    </row>
    <row r="470" spans="1:30" x14ac:dyDescent="0.25">
      <c r="A470">
        <v>380877</v>
      </c>
      <c r="B470" t="s">
        <v>277</v>
      </c>
      <c r="C470">
        <v>2020</v>
      </c>
      <c r="D470">
        <v>3</v>
      </c>
      <c r="E470" t="s">
        <v>97</v>
      </c>
      <c r="F470" t="s">
        <v>93</v>
      </c>
      <c r="G470" t="s">
        <v>93</v>
      </c>
      <c r="H470" t="s">
        <v>25</v>
      </c>
      <c r="I470" t="s">
        <v>25</v>
      </c>
      <c r="J470" t="s">
        <v>110</v>
      </c>
      <c r="K470" t="s">
        <v>97</v>
      </c>
      <c r="L470" t="s">
        <v>112</v>
      </c>
      <c r="M470">
        <v>1932.0776825</v>
      </c>
      <c r="N470">
        <v>0</v>
      </c>
      <c r="O470" t="s">
        <v>89</v>
      </c>
      <c r="P470" s="44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93</v>
      </c>
      <c r="AD470" s="44">
        <v>43891</v>
      </c>
    </row>
    <row r="471" spans="1:30" x14ac:dyDescent="0.25">
      <c r="A471">
        <v>380853</v>
      </c>
      <c r="B471" t="s">
        <v>277</v>
      </c>
      <c r="C471">
        <v>2020</v>
      </c>
      <c r="D471">
        <v>3</v>
      </c>
      <c r="E471" t="s">
        <v>95</v>
      </c>
      <c r="F471" t="s">
        <v>93</v>
      </c>
      <c r="G471" t="s">
        <v>93</v>
      </c>
      <c r="H471" t="s">
        <v>25</v>
      </c>
      <c r="I471" t="s">
        <v>25</v>
      </c>
      <c r="J471" t="s">
        <v>110</v>
      </c>
      <c r="K471" t="s">
        <v>95</v>
      </c>
      <c r="L471" t="s">
        <v>112</v>
      </c>
      <c r="M471">
        <v>4596.1657269400002</v>
      </c>
      <c r="N471">
        <v>0</v>
      </c>
      <c r="O471" t="s">
        <v>89</v>
      </c>
      <c r="P471" s="44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93</v>
      </c>
      <c r="AD471" s="44">
        <v>43891</v>
      </c>
    </row>
    <row r="472" spans="1:30" x14ac:dyDescent="0.25">
      <c r="A472">
        <v>380901</v>
      </c>
      <c r="B472" t="s">
        <v>277</v>
      </c>
      <c r="C472">
        <v>2020</v>
      </c>
      <c r="D472">
        <v>3</v>
      </c>
      <c r="E472" t="s">
        <v>99</v>
      </c>
      <c r="F472" t="s">
        <v>93</v>
      </c>
      <c r="G472" t="s">
        <v>93</v>
      </c>
      <c r="H472" t="s">
        <v>25</v>
      </c>
      <c r="I472" t="s">
        <v>25</v>
      </c>
      <c r="J472" t="s">
        <v>110</v>
      </c>
      <c r="K472" t="s">
        <v>99</v>
      </c>
      <c r="L472" t="s">
        <v>112</v>
      </c>
      <c r="M472">
        <v>1368.2888326899999</v>
      </c>
      <c r="N472">
        <v>0</v>
      </c>
      <c r="O472" t="s">
        <v>89</v>
      </c>
      <c r="P472" s="44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93</v>
      </c>
      <c r="AD472" s="44">
        <v>43891</v>
      </c>
    </row>
    <row r="473" spans="1:30" x14ac:dyDescent="0.25">
      <c r="A473">
        <v>394026</v>
      </c>
      <c r="B473" t="s">
        <v>286</v>
      </c>
      <c r="C473">
        <v>2020</v>
      </c>
      <c r="D473">
        <v>4</v>
      </c>
      <c r="E473" t="s">
        <v>95</v>
      </c>
      <c r="F473" t="s">
        <v>93</v>
      </c>
      <c r="G473" t="s">
        <v>93</v>
      </c>
      <c r="H473" t="s">
        <v>25</v>
      </c>
      <c r="I473" t="s">
        <v>25</v>
      </c>
      <c r="J473" t="s">
        <v>110</v>
      </c>
      <c r="K473" t="s">
        <v>95</v>
      </c>
      <c r="L473" t="s">
        <v>112</v>
      </c>
      <c r="M473">
        <v>3484.5644192300001</v>
      </c>
      <c r="N473">
        <v>0</v>
      </c>
      <c r="O473" t="s">
        <v>89</v>
      </c>
      <c r="P473" s="44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93</v>
      </c>
      <c r="AD473" s="44">
        <v>43922</v>
      </c>
    </row>
    <row r="474" spans="1:30" x14ac:dyDescent="0.25">
      <c r="A474">
        <v>394050</v>
      </c>
      <c r="B474" t="s">
        <v>286</v>
      </c>
      <c r="C474">
        <v>2020</v>
      </c>
      <c r="D474">
        <v>4</v>
      </c>
      <c r="E474" t="s">
        <v>97</v>
      </c>
      <c r="F474" t="s">
        <v>93</v>
      </c>
      <c r="G474" t="s">
        <v>93</v>
      </c>
      <c r="H474" t="s">
        <v>25</v>
      </c>
      <c r="I474" t="s">
        <v>25</v>
      </c>
      <c r="J474" t="s">
        <v>110</v>
      </c>
      <c r="K474" t="s">
        <v>97</v>
      </c>
      <c r="L474" t="s">
        <v>112</v>
      </c>
      <c r="M474">
        <v>823.93457666999996</v>
      </c>
      <c r="N474">
        <v>0</v>
      </c>
      <c r="O474" t="s">
        <v>89</v>
      </c>
      <c r="P474" s="44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93</v>
      </c>
      <c r="AD474" s="44">
        <v>43922</v>
      </c>
    </row>
    <row r="475" spans="1:30" x14ac:dyDescent="0.25">
      <c r="A475">
        <v>394074</v>
      </c>
      <c r="B475" t="s">
        <v>286</v>
      </c>
      <c r="C475">
        <v>2020</v>
      </c>
      <c r="D475">
        <v>4</v>
      </c>
      <c r="E475" t="s">
        <v>99</v>
      </c>
      <c r="F475" t="s">
        <v>93</v>
      </c>
      <c r="G475" t="s">
        <v>93</v>
      </c>
      <c r="H475" t="s">
        <v>25</v>
      </c>
      <c r="I475" t="s">
        <v>25</v>
      </c>
      <c r="J475" t="s">
        <v>110</v>
      </c>
      <c r="K475" t="s">
        <v>99</v>
      </c>
      <c r="L475" t="s">
        <v>112</v>
      </c>
      <c r="M475">
        <v>1607.7261362300001</v>
      </c>
      <c r="N475">
        <v>0</v>
      </c>
      <c r="O475" t="s">
        <v>89</v>
      </c>
      <c r="P475" s="44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93</v>
      </c>
      <c r="AD475" s="44">
        <v>43922</v>
      </c>
    </row>
    <row r="476" spans="1:30" x14ac:dyDescent="0.25">
      <c r="A476">
        <v>394050</v>
      </c>
      <c r="B476" t="s">
        <v>286</v>
      </c>
      <c r="C476">
        <v>2020</v>
      </c>
      <c r="D476">
        <v>4</v>
      </c>
      <c r="E476" t="s">
        <v>97</v>
      </c>
      <c r="F476" t="s">
        <v>93</v>
      </c>
      <c r="G476" t="s">
        <v>93</v>
      </c>
      <c r="H476" t="s">
        <v>25</v>
      </c>
      <c r="I476" t="s">
        <v>25</v>
      </c>
      <c r="J476" t="s">
        <v>110</v>
      </c>
      <c r="K476" t="s">
        <v>97</v>
      </c>
      <c r="L476" t="s">
        <v>112</v>
      </c>
      <c r="M476">
        <v>823.93457666999996</v>
      </c>
      <c r="N476">
        <v>0</v>
      </c>
      <c r="O476" t="s">
        <v>89</v>
      </c>
      <c r="P476" s="44">
        <v>44277.582317094908</v>
      </c>
      <c r="Q476">
        <v>3726766</v>
      </c>
      <c r="R476" t="s">
        <v>90</v>
      </c>
      <c r="S476">
        <v>45.295816449999997</v>
      </c>
      <c r="W476"/>
      <c r="X476">
        <v>0</v>
      </c>
      <c r="AC476" t="s">
        <v>93</v>
      </c>
      <c r="AD476" s="44">
        <v>43922</v>
      </c>
    </row>
    <row r="477" spans="1:30" x14ac:dyDescent="0.25">
      <c r="A477">
        <v>394074</v>
      </c>
      <c r="B477" t="s">
        <v>286</v>
      </c>
      <c r="C477">
        <v>2020</v>
      </c>
      <c r="D477">
        <v>4</v>
      </c>
      <c r="E477" t="s">
        <v>99</v>
      </c>
      <c r="F477" t="s">
        <v>93</v>
      </c>
      <c r="G477" t="s">
        <v>93</v>
      </c>
      <c r="H477" t="s">
        <v>25</v>
      </c>
      <c r="I477" t="s">
        <v>25</v>
      </c>
      <c r="J477" t="s">
        <v>110</v>
      </c>
      <c r="K477" t="s">
        <v>99</v>
      </c>
      <c r="L477" t="s">
        <v>112</v>
      </c>
      <c r="M477">
        <v>1607.7261362300001</v>
      </c>
      <c r="N477">
        <v>0</v>
      </c>
      <c r="O477" t="s">
        <v>89</v>
      </c>
      <c r="P477" s="44">
        <v>44277.582318402783</v>
      </c>
      <c r="Q477">
        <v>3726886</v>
      </c>
      <c r="R477" t="s">
        <v>90</v>
      </c>
      <c r="S477">
        <v>97.672087250000004</v>
      </c>
      <c r="W477"/>
      <c r="X477">
        <v>0</v>
      </c>
      <c r="AC477" t="s">
        <v>93</v>
      </c>
      <c r="AD477" s="44">
        <v>43922</v>
      </c>
    </row>
    <row r="478" spans="1:30" x14ac:dyDescent="0.25">
      <c r="A478">
        <v>394026</v>
      </c>
      <c r="B478" t="s">
        <v>286</v>
      </c>
      <c r="C478">
        <v>2020</v>
      </c>
      <c r="D478">
        <v>4</v>
      </c>
      <c r="E478" t="s">
        <v>95</v>
      </c>
      <c r="F478" t="s">
        <v>93</v>
      </c>
      <c r="G478" t="s">
        <v>93</v>
      </c>
      <c r="H478" t="s">
        <v>25</v>
      </c>
      <c r="I478" t="s">
        <v>25</v>
      </c>
      <c r="J478" t="s">
        <v>110</v>
      </c>
      <c r="K478" t="s">
        <v>95</v>
      </c>
      <c r="L478" t="s">
        <v>112</v>
      </c>
      <c r="M478">
        <v>3484.5644192300001</v>
      </c>
      <c r="N478">
        <v>0</v>
      </c>
      <c r="O478" t="s">
        <v>89</v>
      </c>
      <c r="P478" s="44">
        <v>44277.582315590284</v>
      </c>
      <c r="Q478">
        <v>3726646</v>
      </c>
      <c r="R478" t="s">
        <v>90</v>
      </c>
      <c r="S478">
        <v>286.52699096999999</v>
      </c>
      <c r="W478"/>
      <c r="X478">
        <v>0</v>
      </c>
      <c r="AC478" t="s">
        <v>93</v>
      </c>
      <c r="AD478" s="44">
        <v>43922</v>
      </c>
    </row>
    <row r="479" spans="1:30" x14ac:dyDescent="0.25">
      <c r="A479">
        <v>394026</v>
      </c>
      <c r="B479" t="s">
        <v>286</v>
      </c>
      <c r="C479">
        <v>2020</v>
      </c>
      <c r="D479">
        <v>4</v>
      </c>
      <c r="E479" t="s">
        <v>95</v>
      </c>
      <c r="F479" t="s">
        <v>93</v>
      </c>
      <c r="G479" t="s">
        <v>93</v>
      </c>
      <c r="H479" t="s">
        <v>25</v>
      </c>
      <c r="I479" t="s">
        <v>25</v>
      </c>
      <c r="J479" t="s">
        <v>110</v>
      </c>
      <c r="K479" t="s">
        <v>95</v>
      </c>
      <c r="L479" t="s">
        <v>112</v>
      </c>
      <c r="M479">
        <v>3484.5644192300001</v>
      </c>
      <c r="N479">
        <v>0</v>
      </c>
      <c r="O479" t="s">
        <v>89</v>
      </c>
      <c r="P479" s="44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93</v>
      </c>
      <c r="AD479" s="44">
        <v>43922</v>
      </c>
    </row>
    <row r="480" spans="1:30" x14ac:dyDescent="0.25">
      <c r="A480">
        <v>394074</v>
      </c>
      <c r="B480" t="s">
        <v>286</v>
      </c>
      <c r="C480">
        <v>2020</v>
      </c>
      <c r="D480">
        <v>4</v>
      </c>
      <c r="E480" t="s">
        <v>99</v>
      </c>
      <c r="F480" t="s">
        <v>93</v>
      </c>
      <c r="G480" t="s">
        <v>93</v>
      </c>
      <c r="H480" t="s">
        <v>25</v>
      </c>
      <c r="I480" t="s">
        <v>25</v>
      </c>
      <c r="J480" t="s">
        <v>110</v>
      </c>
      <c r="K480" t="s">
        <v>99</v>
      </c>
      <c r="L480" t="s">
        <v>112</v>
      </c>
      <c r="M480">
        <v>1607.7261362300001</v>
      </c>
      <c r="N480">
        <v>0</v>
      </c>
      <c r="O480" t="s">
        <v>89</v>
      </c>
      <c r="P480" s="44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93</v>
      </c>
      <c r="AD480" s="44">
        <v>43922</v>
      </c>
    </row>
    <row r="481" spans="1:30" x14ac:dyDescent="0.25">
      <c r="A481">
        <v>394050</v>
      </c>
      <c r="B481" t="s">
        <v>286</v>
      </c>
      <c r="C481">
        <v>2020</v>
      </c>
      <c r="D481">
        <v>4</v>
      </c>
      <c r="E481" t="s">
        <v>97</v>
      </c>
      <c r="F481" t="s">
        <v>93</v>
      </c>
      <c r="G481" t="s">
        <v>93</v>
      </c>
      <c r="H481" t="s">
        <v>25</v>
      </c>
      <c r="I481" t="s">
        <v>25</v>
      </c>
      <c r="J481" t="s">
        <v>110</v>
      </c>
      <c r="K481" t="s">
        <v>97</v>
      </c>
      <c r="L481" t="s">
        <v>112</v>
      </c>
      <c r="M481">
        <v>823.93457666999996</v>
      </c>
      <c r="N481">
        <v>0</v>
      </c>
      <c r="O481" t="s">
        <v>89</v>
      </c>
      <c r="P481" s="44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93</v>
      </c>
      <c r="AD481" s="44">
        <v>43922</v>
      </c>
    </row>
    <row r="482" spans="1:30" x14ac:dyDescent="0.25">
      <c r="A482">
        <v>394026</v>
      </c>
      <c r="B482" t="s">
        <v>286</v>
      </c>
      <c r="C482">
        <v>2020</v>
      </c>
      <c r="D482">
        <v>4</v>
      </c>
      <c r="E482" t="s">
        <v>95</v>
      </c>
      <c r="F482" t="s">
        <v>93</v>
      </c>
      <c r="G482" t="s">
        <v>93</v>
      </c>
      <c r="H482" t="s">
        <v>25</v>
      </c>
      <c r="I482" t="s">
        <v>25</v>
      </c>
      <c r="J482" t="s">
        <v>110</v>
      </c>
      <c r="K482" t="s">
        <v>95</v>
      </c>
      <c r="L482" t="s">
        <v>112</v>
      </c>
      <c r="M482">
        <v>3484.5644192300001</v>
      </c>
      <c r="N482">
        <v>0</v>
      </c>
      <c r="O482" t="s">
        <v>89</v>
      </c>
      <c r="P482" s="44">
        <v>44277.582315590284</v>
      </c>
      <c r="Q482">
        <v>3726642</v>
      </c>
      <c r="R482" t="s">
        <v>100</v>
      </c>
      <c r="S482">
        <v>5.3005807200000001</v>
      </c>
      <c r="W482"/>
      <c r="X482">
        <v>0</v>
      </c>
      <c r="AC482" t="s">
        <v>93</v>
      </c>
      <c r="AD482" s="44">
        <v>43922</v>
      </c>
    </row>
    <row r="483" spans="1:30" x14ac:dyDescent="0.25">
      <c r="A483">
        <v>394050</v>
      </c>
      <c r="B483" t="s">
        <v>286</v>
      </c>
      <c r="C483">
        <v>2020</v>
      </c>
      <c r="D483">
        <v>4</v>
      </c>
      <c r="E483" t="s">
        <v>97</v>
      </c>
      <c r="F483" t="s">
        <v>93</v>
      </c>
      <c r="G483" t="s">
        <v>93</v>
      </c>
      <c r="H483" t="s">
        <v>25</v>
      </c>
      <c r="I483" t="s">
        <v>25</v>
      </c>
      <c r="J483" t="s">
        <v>110</v>
      </c>
      <c r="K483" t="s">
        <v>97</v>
      </c>
      <c r="L483" t="s">
        <v>112</v>
      </c>
      <c r="M483">
        <v>823.93457666999996</v>
      </c>
      <c r="N483">
        <v>0</v>
      </c>
      <c r="O483" t="s">
        <v>89</v>
      </c>
      <c r="P483" s="44">
        <v>44277.582317094908</v>
      </c>
      <c r="Q483">
        <v>3726762</v>
      </c>
      <c r="R483" t="s">
        <v>100</v>
      </c>
      <c r="S483">
        <v>0</v>
      </c>
      <c r="W483"/>
      <c r="X483">
        <v>0</v>
      </c>
      <c r="AC483" t="s">
        <v>93</v>
      </c>
      <c r="AD483" s="44">
        <v>43922</v>
      </c>
    </row>
    <row r="484" spans="1:30" x14ac:dyDescent="0.25">
      <c r="A484">
        <v>394074</v>
      </c>
      <c r="B484" t="s">
        <v>286</v>
      </c>
      <c r="C484">
        <v>2020</v>
      </c>
      <c r="D484">
        <v>4</v>
      </c>
      <c r="E484" t="s">
        <v>99</v>
      </c>
      <c r="F484" t="s">
        <v>93</v>
      </c>
      <c r="G484" t="s">
        <v>93</v>
      </c>
      <c r="H484" t="s">
        <v>25</v>
      </c>
      <c r="I484" t="s">
        <v>25</v>
      </c>
      <c r="J484" t="s">
        <v>110</v>
      </c>
      <c r="K484" t="s">
        <v>99</v>
      </c>
      <c r="L484" t="s">
        <v>112</v>
      </c>
      <c r="M484">
        <v>1607.7261362300001</v>
      </c>
      <c r="N484">
        <v>0</v>
      </c>
      <c r="O484" t="s">
        <v>89</v>
      </c>
      <c r="P484" s="44">
        <v>44277.582318402783</v>
      </c>
      <c r="Q484">
        <v>3726882</v>
      </c>
      <c r="R484" t="s">
        <v>100</v>
      </c>
      <c r="S484">
        <v>0.84228893000000005</v>
      </c>
      <c r="W484"/>
      <c r="X484">
        <v>0</v>
      </c>
      <c r="AC484" t="s">
        <v>93</v>
      </c>
      <c r="AD484" s="44">
        <v>43922</v>
      </c>
    </row>
    <row r="485" spans="1:30" x14ac:dyDescent="0.25">
      <c r="A485">
        <v>394074</v>
      </c>
      <c r="B485" t="s">
        <v>286</v>
      </c>
      <c r="C485">
        <v>2020</v>
      </c>
      <c r="D485">
        <v>4</v>
      </c>
      <c r="E485" t="s">
        <v>99</v>
      </c>
      <c r="F485" t="s">
        <v>93</v>
      </c>
      <c r="G485" t="s">
        <v>93</v>
      </c>
      <c r="H485" t="s">
        <v>25</v>
      </c>
      <c r="I485" t="s">
        <v>25</v>
      </c>
      <c r="J485" t="s">
        <v>110</v>
      </c>
      <c r="K485" t="s">
        <v>99</v>
      </c>
      <c r="L485" t="s">
        <v>112</v>
      </c>
      <c r="M485">
        <v>1607.7261362300001</v>
      </c>
      <c r="N485">
        <v>0</v>
      </c>
      <c r="O485" t="s">
        <v>89</v>
      </c>
      <c r="P485" s="44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93</v>
      </c>
      <c r="AD485" s="44">
        <v>43922</v>
      </c>
    </row>
    <row r="486" spans="1:30" x14ac:dyDescent="0.25">
      <c r="A486">
        <v>394026</v>
      </c>
      <c r="B486" t="s">
        <v>286</v>
      </c>
      <c r="C486">
        <v>2020</v>
      </c>
      <c r="D486">
        <v>4</v>
      </c>
      <c r="E486" t="s">
        <v>95</v>
      </c>
      <c r="F486" t="s">
        <v>93</v>
      </c>
      <c r="G486" t="s">
        <v>93</v>
      </c>
      <c r="H486" t="s">
        <v>25</v>
      </c>
      <c r="I486" t="s">
        <v>25</v>
      </c>
      <c r="J486" t="s">
        <v>110</v>
      </c>
      <c r="K486" t="s">
        <v>95</v>
      </c>
      <c r="L486" t="s">
        <v>112</v>
      </c>
      <c r="M486">
        <v>3484.5644192300001</v>
      </c>
      <c r="N486">
        <v>0</v>
      </c>
      <c r="O486" t="s">
        <v>89</v>
      </c>
      <c r="P486" s="44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93</v>
      </c>
      <c r="AD486" s="44">
        <v>43922</v>
      </c>
    </row>
    <row r="487" spans="1:30" x14ac:dyDescent="0.25">
      <c r="A487">
        <v>394050</v>
      </c>
      <c r="B487" t="s">
        <v>286</v>
      </c>
      <c r="C487">
        <v>2020</v>
      </c>
      <c r="D487">
        <v>4</v>
      </c>
      <c r="E487" t="s">
        <v>97</v>
      </c>
      <c r="F487" t="s">
        <v>93</v>
      </c>
      <c r="G487" t="s">
        <v>93</v>
      </c>
      <c r="H487" t="s">
        <v>25</v>
      </c>
      <c r="I487" t="s">
        <v>25</v>
      </c>
      <c r="J487" t="s">
        <v>110</v>
      </c>
      <c r="K487" t="s">
        <v>97</v>
      </c>
      <c r="L487" t="s">
        <v>112</v>
      </c>
      <c r="M487">
        <v>823.93457666999996</v>
      </c>
      <c r="N487">
        <v>0</v>
      </c>
      <c r="O487" t="s">
        <v>89</v>
      </c>
      <c r="P487" s="44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93</v>
      </c>
      <c r="AD487" s="44">
        <v>43922</v>
      </c>
    </row>
    <row r="488" spans="1:30" x14ac:dyDescent="0.25">
      <c r="A488">
        <v>407266</v>
      </c>
      <c r="B488" t="s">
        <v>295</v>
      </c>
      <c r="C488">
        <v>2020</v>
      </c>
      <c r="D488">
        <v>5</v>
      </c>
      <c r="E488" t="s">
        <v>95</v>
      </c>
      <c r="F488" t="s">
        <v>93</v>
      </c>
      <c r="G488" t="s">
        <v>93</v>
      </c>
      <c r="H488" t="s">
        <v>25</v>
      </c>
      <c r="I488" t="s">
        <v>25</v>
      </c>
      <c r="J488" t="s">
        <v>110</v>
      </c>
      <c r="K488" t="s">
        <v>95</v>
      </c>
      <c r="L488" t="s">
        <v>112</v>
      </c>
      <c r="M488">
        <v>3354.2577029700001</v>
      </c>
      <c r="N488">
        <v>0</v>
      </c>
      <c r="O488" t="s">
        <v>89</v>
      </c>
      <c r="P488" s="44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93</v>
      </c>
      <c r="AD488" s="44">
        <v>43952</v>
      </c>
    </row>
    <row r="489" spans="1:30" x14ac:dyDescent="0.25">
      <c r="A489">
        <v>407314</v>
      </c>
      <c r="B489" t="s">
        <v>295</v>
      </c>
      <c r="C489">
        <v>2020</v>
      </c>
      <c r="D489">
        <v>5</v>
      </c>
      <c r="E489" t="s">
        <v>99</v>
      </c>
      <c r="F489" t="s">
        <v>93</v>
      </c>
      <c r="G489" t="s">
        <v>93</v>
      </c>
      <c r="H489" t="s">
        <v>25</v>
      </c>
      <c r="I489" t="s">
        <v>25</v>
      </c>
      <c r="J489" t="s">
        <v>110</v>
      </c>
      <c r="K489" t="s">
        <v>99</v>
      </c>
      <c r="L489" t="s">
        <v>112</v>
      </c>
      <c r="M489">
        <v>1619.1342777699999</v>
      </c>
      <c r="N489">
        <v>0</v>
      </c>
      <c r="O489" t="s">
        <v>89</v>
      </c>
      <c r="P489" s="44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93</v>
      </c>
      <c r="AD489" s="44">
        <v>43952</v>
      </c>
    </row>
    <row r="490" spans="1:30" x14ac:dyDescent="0.25">
      <c r="A490">
        <v>407290</v>
      </c>
      <c r="B490" t="s">
        <v>295</v>
      </c>
      <c r="C490">
        <v>2020</v>
      </c>
      <c r="D490">
        <v>5</v>
      </c>
      <c r="E490" t="s">
        <v>97</v>
      </c>
      <c r="F490" t="s">
        <v>93</v>
      </c>
      <c r="G490" t="s">
        <v>93</v>
      </c>
      <c r="H490" t="s">
        <v>25</v>
      </c>
      <c r="I490" t="s">
        <v>25</v>
      </c>
      <c r="J490" t="s">
        <v>110</v>
      </c>
      <c r="K490" t="s">
        <v>97</v>
      </c>
      <c r="L490" t="s">
        <v>112</v>
      </c>
      <c r="M490">
        <v>687.81619663000004</v>
      </c>
      <c r="N490">
        <v>0</v>
      </c>
      <c r="O490" t="s">
        <v>89</v>
      </c>
      <c r="P490" s="44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93</v>
      </c>
      <c r="AD490" s="44">
        <v>43952</v>
      </c>
    </row>
    <row r="491" spans="1:30" x14ac:dyDescent="0.25">
      <c r="A491">
        <v>407314</v>
      </c>
      <c r="B491" t="s">
        <v>295</v>
      </c>
      <c r="C491">
        <v>2020</v>
      </c>
      <c r="D491">
        <v>5</v>
      </c>
      <c r="E491" t="s">
        <v>99</v>
      </c>
      <c r="F491" t="s">
        <v>93</v>
      </c>
      <c r="G491" t="s">
        <v>93</v>
      </c>
      <c r="H491" t="s">
        <v>25</v>
      </c>
      <c r="I491" t="s">
        <v>25</v>
      </c>
      <c r="J491" t="s">
        <v>110</v>
      </c>
      <c r="K491" t="s">
        <v>99</v>
      </c>
      <c r="L491" t="s">
        <v>112</v>
      </c>
      <c r="M491">
        <v>1619.1342777699999</v>
      </c>
      <c r="N491">
        <v>0</v>
      </c>
      <c r="O491" t="s">
        <v>89</v>
      </c>
      <c r="P491" s="44">
        <v>44277.58402881943</v>
      </c>
      <c r="Q491">
        <v>3853958</v>
      </c>
      <c r="R491" t="s">
        <v>90</v>
      </c>
      <c r="S491">
        <v>98.365151179999998</v>
      </c>
      <c r="W491"/>
      <c r="X491">
        <v>0</v>
      </c>
      <c r="AC491" t="s">
        <v>93</v>
      </c>
      <c r="AD491" s="44">
        <v>43952</v>
      </c>
    </row>
    <row r="492" spans="1:30" x14ac:dyDescent="0.25">
      <c r="A492">
        <v>407290</v>
      </c>
      <c r="B492" t="s">
        <v>295</v>
      </c>
      <c r="C492">
        <v>2020</v>
      </c>
      <c r="D492">
        <v>5</v>
      </c>
      <c r="E492" t="s">
        <v>97</v>
      </c>
      <c r="F492" t="s">
        <v>93</v>
      </c>
      <c r="G492" t="s">
        <v>93</v>
      </c>
      <c r="H492" t="s">
        <v>25</v>
      </c>
      <c r="I492" t="s">
        <v>25</v>
      </c>
      <c r="J492" t="s">
        <v>110</v>
      </c>
      <c r="K492" t="s">
        <v>97</v>
      </c>
      <c r="L492" t="s">
        <v>112</v>
      </c>
      <c r="M492">
        <v>687.81619663000004</v>
      </c>
      <c r="N492">
        <v>0</v>
      </c>
      <c r="O492" t="s">
        <v>89</v>
      </c>
      <c r="P492" s="44">
        <v>44277.584027546298</v>
      </c>
      <c r="Q492">
        <v>3853838</v>
      </c>
      <c r="R492" t="s">
        <v>90</v>
      </c>
      <c r="S492">
        <v>37.812706349999999</v>
      </c>
      <c r="W492"/>
      <c r="X492">
        <v>0</v>
      </c>
      <c r="AC492" t="s">
        <v>93</v>
      </c>
      <c r="AD492" s="44">
        <v>43952</v>
      </c>
    </row>
    <row r="493" spans="1:30" x14ac:dyDescent="0.25">
      <c r="A493">
        <v>407266</v>
      </c>
      <c r="B493" t="s">
        <v>295</v>
      </c>
      <c r="C493">
        <v>2020</v>
      </c>
      <c r="D493">
        <v>5</v>
      </c>
      <c r="E493" t="s">
        <v>95</v>
      </c>
      <c r="F493" t="s">
        <v>93</v>
      </c>
      <c r="G493" t="s">
        <v>93</v>
      </c>
      <c r="H493" t="s">
        <v>25</v>
      </c>
      <c r="I493" t="s">
        <v>25</v>
      </c>
      <c r="J493" t="s">
        <v>110</v>
      </c>
      <c r="K493" t="s">
        <v>95</v>
      </c>
      <c r="L493" t="s">
        <v>112</v>
      </c>
      <c r="M493">
        <v>3354.2577029700001</v>
      </c>
      <c r="N493">
        <v>0</v>
      </c>
      <c r="O493" t="s">
        <v>89</v>
      </c>
      <c r="P493" s="44">
        <v>44277.584026157398</v>
      </c>
      <c r="Q493">
        <v>3853718</v>
      </c>
      <c r="R493" t="s">
        <v>90</v>
      </c>
      <c r="S493">
        <v>275.81219657000003</v>
      </c>
      <c r="W493"/>
      <c r="X493">
        <v>0</v>
      </c>
      <c r="AC493" t="s">
        <v>93</v>
      </c>
      <c r="AD493" s="44">
        <v>43952</v>
      </c>
    </row>
    <row r="494" spans="1:30" x14ac:dyDescent="0.25">
      <c r="A494">
        <v>407266</v>
      </c>
      <c r="B494" t="s">
        <v>295</v>
      </c>
      <c r="C494">
        <v>2020</v>
      </c>
      <c r="D494">
        <v>5</v>
      </c>
      <c r="E494" t="s">
        <v>95</v>
      </c>
      <c r="F494" t="s">
        <v>93</v>
      </c>
      <c r="G494" t="s">
        <v>93</v>
      </c>
      <c r="H494" t="s">
        <v>25</v>
      </c>
      <c r="I494" t="s">
        <v>25</v>
      </c>
      <c r="J494" t="s">
        <v>110</v>
      </c>
      <c r="K494" t="s">
        <v>95</v>
      </c>
      <c r="L494" t="s">
        <v>112</v>
      </c>
      <c r="M494">
        <v>3354.2577029700001</v>
      </c>
      <c r="N494">
        <v>0</v>
      </c>
      <c r="O494" t="s">
        <v>89</v>
      </c>
      <c r="P494" s="44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93</v>
      </c>
      <c r="AD494" s="44">
        <v>43952</v>
      </c>
    </row>
    <row r="495" spans="1:30" x14ac:dyDescent="0.25">
      <c r="A495">
        <v>407290</v>
      </c>
      <c r="B495" t="s">
        <v>295</v>
      </c>
      <c r="C495">
        <v>2020</v>
      </c>
      <c r="D495">
        <v>5</v>
      </c>
      <c r="E495" t="s">
        <v>97</v>
      </c>
      <c r="F495" t="s">
        <v>93</v>
      </c>
      <c r="G495" t="s">
        <v>93</v>
      </c>
      <c r="H495" t="s">
        <v>25</v>
      </c>
      <c r="I495" t="s">
        <v>25</v>
      </c>
      <c r="J495" t="s">
        <v>110</v>
      </c>
      <c r="K495" t="s">
        <v>97</v>
      </c>
      <c r="L495" t="s">
        <v>112</v>
      </c>
      <c r="M495">
        <v>687.81619663000004</v>
      </c>
      <c r="N495">
        <v>0</v>
      </c>
      <c r="O495" t="s">
        <v>89</v>
      </c>
      <c r="P495" s="44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93</v>
      </c>
      <c r="AD495" s="44">
        <v>43952</v>
      </c>
    </row>
    <row r="496" spans="1:30" x14ac:dyDescent="0.25">
      <c r="A496">
        <v>407314</v>
      </c>
      <c r="B496" t="s">
        <v>295</v>
      </c>
      <c r="C496">
        <v>2020</v>
      </c>
      <c r="D496">
        <v>5</v>
      </c>
      <c r="E496" t="s">
        <v>99</v>
      </c>
      <c r="F496" t="s">
        <v>93</v>
      </c>
      <c r="G496" t="s">
        <v>93</v>
      </c>
      <c r="H496" t="s">
        <v>25</v>
      </c>
      <c r="I496" t="s">
        <v>25</v>
      </c>
      <c r="J496" t="s">
        <v>110</v>
      </c>
      <c r="K496" t="s">
        <v>99</v>
      </c>
      <c r="L496" t="s">
        <v>112</v>
      </c>
      <c r="M496">
        <v>1619.1342777699999</v>
      </c>
      <c r="N496">
        <v>0</v>
      </c>
      <c r="O496" t="s">
        <v>89</v>
      </c>
      <c r="P496" s="44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93</v>
      </c>
      <c r="AD496" s="44">
        <v>43952</v>
      </c>
    </row>
    <row r="497" spans="1:30" x14ac:dyDescent="0.25">
      <c r="A497">
        <v>407290</v>
      </c>
      <c r="B497" t="s">
        <v>295</v>
      </c>
      <c r="C497">
        <v>2020</v>
      </c>
      <c r="D497">
        <v>5</v>
      </c>
      <c r="E497" t="s">
        <v>97</v>
      </c>
      <c r="F497" t="s">
        <v>93</v>
      </c>
      <c r="G497" t="s">
        <v>93</v>
      </c>
      <c r="H497" t="s">
        <v>25</v>
      </c>
      <c r="I497" t="s">
        <v>25</v>
      </c>
      <c r="J497" t="s">
        <v>110</v>
      </c>
      <c r="K497" t="s">
        <v>97</v>
      </c>
      <c r="L497" t="s">
        <v>112</v>
      </c>
      <c r="M497">
        <v>687.81619663000004</v>
      </c>
      <c r="N497">
        <v>0</v>
      </c>
      <c r="O497" t="s">
        <v>89</v>
      </c>
      <c r="P497" s="44">
        <v>44277.584027546298</v>
      </c>
      <c r="Q497">
        <v>3853834</v>
      </c>
      <c r="R497" t="s">
        <v>100</v>
      </c>
      <c r="S497">
        <v>0</v>
      </c>
      <c r="W497"/>
      <c r="X497">
        <v>0</v>
      </c>
      <c r="AC497" t="s">
        <v>93</v>
      </c>
      <c r="AD497" s="44">
        <v>43952</v>
      </c>
    </row>
    <row r="498" spans="1:30" x14ac:dyDescent="0.25">
      <c r="A498">
        <v>407314</v>
      </c>
      <c r="B498" t="s">
        <v>295</v>
      </c>
      <c r="C498">
        <v>2020</v>
      </c>
      <c r="D498">
        <v>5</v>
      </c>
      <c r="E498" t="s">
        <v>99</v>
      </c>
      <c r="F498" t="s">
        <v>93</v>
      </c>
      <c r="G498" t="s">
        <v>93</v>
      </c>
      <c r="H498" t="s">
        <v>25</v>
      </c>
      <c r="I498" t="s">
        <v>25</v>
      </c>
      <c r="J498" t="s">
        <v>110</v>
      </c>
      <c r="K498" t="s">
        <v>99</v>
      </c>
      <c r="L498" t="s">
        <v>112</v>
      </c>
      <c r="M498">
        <v>1619.1342777699999</v>
      </c>
      <c r="N498">
        <v>0</v>
      </c>
      <c r="O498" t="s">
        <v>89</v>
      </c>
      <c r="P498" s="44">
        <v>44277.58402881943</v>
      </c>
      <c r="Q498">
        <v>3853954</v>
      </c>
      <c r="R498" t="s">
        <v>100</v>
      </c>
      <c r="S498">
        <v>0.84826566000000003</v>
      </c>
      <c r="W498"/>
      <c r="X498">
        <v>0</v>
      </c>
      <c r="AC498" t="s">
        <v>93</v>
      </c>
      <c r="AD498" s="44">
        <v>43952</v>
      </c>
    </row>
    <row r="499" spans="1:30" x14ac:dyDescent="0.25">
      <c r="A499">
        <v>407266</v>
      </c>
      <c r="B499" t="s">
        <v>295</v>
      </c>
      <c r="C499">
        <v>2020</v>
      </c>
      <c r="D499">
        <v>5</v>
      </c>
      <c r="E499" t="s">
        <v>95</v>
      </c>
      <c r="F499" t="s">
        <v>93</v>
      </c>
      <c r="G499" t="s">
        <v>93</v>
      </c>
      <c r="H499" t="s">
        <v>25</v>
      </c>
      <c r="I499" t="s">
        <v>25</v>
      </c>
      <c r="J499" t="s">
        <v>110</v>
      </c>
      <c r="K499" t="s">
        <v>95</v>
      </c>
      <c r="L499" t="s">
        <v>112</v>
      </c>
      <c r="M499">
        <v>3354.2577029700001</v>
      </c>
      <c r="N499">
        <v>0</v>
      </c>
      <c r="O499" t="s">
        <v>89</v>
      </c>
      <c r="P499" s="44">
        <v>44277.584026157398</v>
      </c>
      <c r="Q499">
        <v>3853714</v>
      </c>
      <c r="R499" t="s">
        <v>100</v>
      </c>
      <c r="S499">
        <v>5.1023633300000002</v>
      </c>
      <c r="W499"/>
      <c r="X499">
        <v>0</v>
      </c>
      <c r="AC499" t="s">
        <v>93</v>
      </c>
      <c r="AD499" s="44">
        <v>43952</v>
      </c>
    </row>
    <row r="500" spans="1:30" x14ac:dyDescent="0.25">
      <c r="A500">
        <v>407314</v>
      </c>
      <c r="B500" t="s">
        <v>295</v>
      </c>
      <c r="C500">
        <v>2020</v>
      </c>
      <c r="D500">
        <v>5</v>
      </c>
      <c r="E500" t="s">
        <v>99</v>
      </c>
      <c r="F500" t="s">
        <v>93</v>
      </c>
      <c r="G500" t="s">
        <v>93</v>
      </c>
      <c r="H500" t="s">
        <v>25</v>
      </c>
      <c r="I500" t="s">
        <v>25</v>
      </c>
      <c r="J500" t="s">
        <v>110</v>
      </c>
      <c r="K500" t="s">
        <v>99</v>
      </c>
      <c r="L500" t="s">
        <v>112</v>
      </c>
      <c r="M500">
        <v>1619.1342777699999</v>
      </c>
      <c r="N500">
        <v>0</v>
      </c>
      <c r="O500" t="s">
        <v>89</v>
      </c>
      <c r="P500" s="44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93</v>
      </c>
      <c r="AD500" s="44">
        <v>43952</v>
      </c>
    </row>
    <row r="501" spans="1:30" x14ac:dyDescent="0.25">
      <c r="A501">
        <v>407290</v>
      </c>
      <c r="B501" t="s">
        <v>295</v>
      </c>
      <c r="C501">
        <v>2020</v>
      </c>
      <c r="D501">
        <v>5</v>
      </c>
      <c r="E501" t="s">
        <v>97</v>
      </c>
      <c r="F501" t="s">
        <v>93</v>
      </c>
      <c r="G501" t="s">
        <v>93</v>
      </c>
      <c r="H501" t="s">
        <v>25</v>
      </c>
      <c r="I501" t="s">
        <v>25</v>
      </c>
      <c r="J501" t="s">
        <v>110</v>
      </c>
      <c r="K501" t="s">
        <v>97</v>
      </c>
      <c r="L501" t="s">
        <v>112</v>
      </c>
      <c r="M501">
        <v>687.81619663000004</v>
      </c>
      <c r="N501">
        <v>0</v>
      </c>
      <c r="O501" t="s">
        <v>89</v>
      </c>
      <c r="P501" s="44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93</v>
      </c>
      <c r="AD501" s="44">
        <v>43952</v>
      </c>
    </row>
    <row r="502" spans="1:30" x14ac:dyDescent="0.25">
      <c r="A502">
        <v>407266</v>
      </c>
      <c r="B502" t="s">
        <v>295</v>
      </c>
      <c r="C502">
        <v>2020</v>
      </c>
      <c r="D502">
        <v>5</v>
      </c>
      <c r="E502" t="s">
        <v>95</v>
      </c>
      <c r="F502" t="s">
        <v>93</v>
      </c>
      <c r="G502" t="s">
        <v>93</v>
      </c>
      <c r="H502" t="s">
        <v>25</v>
      </c>
      <c r="I502" t="s">
        <v>25</v>
      </c>
      <c r="J502" t="s">
        <v>110</v>
      </c>
      <c r="K502" t="s">
        <v>95</v>
      </c>
      <c r="L502" t="s">
        <v>112</v>
      </c>
      <c r="M502">
        <v>3354.2577029700001</v>
      </c>
      <c r="N502">
        <v>0</v>
      </c>
      <c r="O502" t="s">
        <v>89</v>
      </c>
      <c r="P502" s="44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93</v>
      </c>
      <c r="AD502" s="44">
        <v>43952</v>
      </c>
    </row>
    <row r="503" spans="1:30" x14ac:dyDescent="0.25">
      <c r="A503">
        <v>420554</v>
      </c>
      <c r="B503" t="s">
        <v>304</v>
      </c>
      <c r="C503">
        <v>2020</v>
      </c>
      <c r="D503">
        <v>6</v>
      </c>
      <c r="E503" t="s">
        <v>99</v>
      </c>
      <c r="F503" t="s">
        <v>93</v>
      </c>
      <c r="G503" t="s">
        <v>93</v>
      </c>
      <c r="H503" t="s">
        <v>25</v>
      </c>
      <c r="I503" t="s">
        <v>25</v>
      </c>
      <c r="J503" t="s">
        <v>110</v>
      </c>
      <c r="K503" t="s">
        <v>99</v>
      </c>
      <c r="L503" t="s">
        <v>112</v>
      </c>
      <c r="M503">
        <v>1684.49839561</v>
      </c>
      <c r="N503">
        <v>0</v>
      </c>
      <c r="O503" t="s">
        <v>89</v>
      </c>
      <c r="P503" s="44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93</v>
      </c>
      <c r="AD503" s="44">
        <v>43983</v>
      </c>
    </row>
    <row r="504" spans="1:30" x14ac:dyDescent="0.25">
      <c r="A504">
        <v>420530</v>
      </c>
      <c r="B504" t="s">
        <v>304</v>
      </c>
      <c r="C504">
        <v>2020</v>
      </c>
      <c r="D504">
        <v>6</v>
      </c>
      <c r="E504" t="s">
        <v>97</v>
      </c>
      <c r="F504" t="s">
        <v>93</v>
      </c>
      <c r="G504" t="s">
        <v>93</v>
      </c>
      <c r="H504" t="s">
        <v>25</v>
      </c>
      <c r="I504" t="s">
        <v>25</v>
      </c>
      <c r="J504" t="s">
        <v>110</v>
      </c>
      <c r="K504" t="s">
        <v>97</v>
      </c>
      <c r="L504" t="s">
        <v>112</v>
      </c>
      <c r="M504">
        <v>573.77343242999996</v>
      </c>
      <c r="N504">
        <v>0</v>
      </c>
      <c r="O504" t="s">
        <v>89</v>
      </c>
      <c r="P504" s="44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93</v>
      </c>
      <c r="AD504" s="44">
        <v>43983</v>
      </c>
    </row>
    <row r="505" spans="1:30" x14ac:dyDescent="0.25">
      <c r="A505">
        <v>420506</v>
      </c>
      <c r="B505" t="s">
        <v>304</v>
      </c>
      <c r="C505">
        <v>2020</v>
      </c>
      <c r="D505">
        <v>6</v>
      </c>
      <c r="E505" t="s">
        <v>95</v>
      </c>
      <c r="F505" t="s">
        <v>93</v>
      </c>
      <c r="G505" t="s">
        <v>93</v>
      </c>
      <c r="H505" t="s">
        <v>25</v>
      </c>
      <c r="I505" t="s">
        <v>25</v>
      </c>
      <c r="J505" t="s">
        <v>110</v>
      </c>
      <c r="K505" t="s">
        <v>95</v>
      </c>
      <c r="L505" t="s">
        <v>112</v>
      </c>
      <c r="M505">
        <v>2681.58003254</v>
      </c>
      <c r="N505">
        <v>0</v>
      </c>
      <c r="O505" t="s">
        <v>89</v>
      </c>
      <c r="P505" s="44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93</v>
      </c>
      <c r="AD505" s="44">
        <v>43983</v>
      </c>
    </row>
    <row r="506" spans="1:30" x14ac:dyDescent="0.25">
      <c r="A506">
        <v>420530</v>
      </c>
      <c r="B506" t="s">
        <v>304</v>
      </c>
      <c r="C506">
        <v>2020</v>
      </c>
      <c r="D506">
        <v>6</v>
      </c>
      <c r="E506" t="s">
        <v>97</v>
      </c>
      <c r="F506" t="s">
        <v>93</v>
      </c>
      <c r="G506" t="s">
        <v>93</v>
      </c>
      <c r="H506" t="s">
        <v>25</v>
      </c>
      <c r="I506" t="s">
        <v>25</v>
      </c>
      <c r="J506" t="s">
        <v>110</v>
      </c>
      <c r="K506" t="s">
        <v>97</v>
      </c>
      <c r="L506" t="s">
        <v>112</v>
      </c>
      <c r="M506">
        <v>573.77343242999996</v>
      </c>
      <c r="N506">
        <v>0</v>
      </c>
      <c r="O506" t="s">
        <v>89</v>
      </c>
      <c r="P506" s="44">
        <v>44277.585712268519</v>
      </c>
      <c r="Q506">
        <v>3980910</v>
      </c>
      <c r="R506" t="s">
        <v>90</v>
      </c>
      <c r="S506">
        <v>31.543203569999999</v>
      </c>
      <c r="W506"/>
      <c r="X506">
        <v>0</v>
      </c>
      <c r="AC506" t="s">
        <v>93</v>
      </c>
      <c r="AD506" s="44">
        <v>43983</v>
      </c>
    </row>
    <row r="507" spans="1:30" x14ac:dyDescent="0.25">
      <c r="A507">
        <v>420554</v>
      </c>
      <c r="B507" t="s">
        <v>304</v>
      </c>
      <c r="C507">
        <v>2020</v>
      </c>
      <c r="D507">
        <v>6</v>
      </c>
      <c r="E507" t="s">
        <v>99</v>
      </c>
      <c r="F507" t="s">
        <v>93</v>
      </c>
      <c r="G507" t="s">
        <v>93</v>
      </c>
      <c r="H507" t="s">
        <v>25</v>
      </c>
      <c r="I507" t="s">
        <v>25</v>
      </c>
      <c r="J507" t="s">
        <v>110</v>
      </c>
      <c r="K507" t="s">
        <v>99</v>
      </c>
      <c r="L507" t="s">
        <v>112</v>
      </c>
      <c r="M507">
        <v>1684.49839561</v>
      </c>
      <c r="N507">
        <v>0</v>
      </c>
      <c r="O507" t="s">
        <v>89</v>
      </c>
      <c r="P507" s="44">
        <v>44277.585713425928</v>
      </c>
      <c r="Q507">
        <v>3981030</v>
      </c>
      <c r="R507" t="s">
        <v>90</v>
      </c>
      <c r="S507">
        <v>102.3361321</v>
      </c>
      <c r="W507"/>
      <c r="X507">
        <v>0</v>
      </c>
      <c r="AC507" t="s">
        <v>93</v>
      </c>
      <c r="AD507" s="44">
        <v>43983</v>
      </c>
    </row>
    <row r="508" spans="1:30" x14ac:dyDescent="0.25">
      <c r="A508">
        <v>420506</v>
      </c>
      <c r="B508" t="s">
        <v>304</v>
      </c>
      <c r="C508">
        <v>2020</v>
      </c>
      <c r="D508">
        <v>6</v>
      </c>
      <c r="E508" t="s">
        <v>95</v>
      </c>
      <c r="F508" t="s">
        <v>93</v>
      </c>
      <c r="G508" t="s">
        <v>93</v>
      </c>
      <c r="H508" t="s">
        <v>25</v>
      </c>
      <c r="I508" t="s">
        <v>25</v>
      </c>
      <c r="J508" t="s">
        <v>110</v>
      </c>
      <c r="K508" t="s">
        <v>95</v>
      </c>
      <c r="L508" t="s">
        <v>112</v>
      </c>
      <c r="M508">
        <v>2681.58003254</v>
      </c>
      <c r="N508">
        <v>0</v>
      </c>
      <c r="O508" t="s">
        <v>89</v>
      </c>
      <c r="P508" s="44">
        <v>44277.585711030093</v>
      </c>
      <c r="Q508">
        <v>3980790</v>
      </c>
      <c r="R508" t="s">
        <v>90</v>
      </c>
      <c r="S508">
        <v>220.49959917999999</v>
      </c>
      <c r="W508"/>
      <c r="X508">
        <v>0</v>
      </c>
      <c r="AC508" t="s">
        <v>93</v>
      </c>
      <c r="AD508" s="44">
        <v>43983</v>
      </c>
    </row>
    <row r="509" spans="1:30" x14ac:dyDescent="0.25">
      <c r="A509">
        <v>420554</v>
      </c>
      <c r="B509" t="s">
        <v>304</v>
      </c>
      <c r="C509">
        <v>2020</v>
      </c>
      <c r="D509">
        <v>6</v>
      </c>
      <c r="E509" t="s">
        <v>99</v>
      </c>
      <c r="F509" t="s">
        <v>93</v>
      </c>
      <c r="G509" t="s">
        <v>93</v>
      </c>
      <c r="H509" t="s">
        <v>25</v>
      </c>
      <c r="I509" t="s">
        <v>25</v>
      </c>
      <c r="J509" t="s">
        <v>110</v>
      </c>
      <c r="K509" t="s">
        <v>99</v>
      </c>
      <c r="L509" t="s">
        <v>112</v>
      </c>
      <c r="M509">
        <v>1684.49839561</v>
      </c>
      <c r="N509">
        <v>0</v>
      </c>
      <c r="O509" t="s">
        <v>89</v>
      </c>
      <c r="P509" s="44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93</v>
      </c>
      <c r="AD509" s="44">
        <v>43983</v>
      </c>
    </row>
    <row r="510" spans="1:30" x14ac:dyDescent="0.25">
      <c r="A510">
        <v>420506</v>
      </c>
      <c r="B510" t="s">
        <v>304</v>
      </c>
      <c r="C510">
        <v>2020</v>
      </c>
      <c r="D510">
        <v>6</v>
      </c>
      <c r="E510" t="s">
        <v>95</v>
      </c>
      <c r="F510" t="s">
        <v>93</v>
      </c>
      <c r="G510" t="s">
        <v>93</v>
      </c>
      <c r="H510" t="s">
        <v>25</v>
      </c>
      <c r="I510" t="s">
        <v>25</v>
      </c>
      <c r="J510" t="s">
        <v>110</v>
      </c>
      <c r="K510" t="s">
        <v>95</v>
      </c>
      <c r="L510" t="s">
        <v>112</v>
      </c>
      <c r="M510">
        <v>2681.58003254</v>
      </c>
      <c r="N510">
        <v>0</v>
      </c>
      <c r="O510" t="s">
        <v>89</v>
      </c>
      <c r="P510" s="44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93</v>
      </c>
      <c r="AD510" s="44">
        <v>43983</v>
      </c>
    </row>
    <row r="511" spans="1:30" x14ac:dyDescent="0.25">
      <c r="A511">
        <v>420530</v>
      </c>
      <c r="B511" t="s">
        <v>304</v>
      </c>
      <c r="C511">
        <v>2020</v>
      </c>
      <c r="D511">
        <v>6</v>
      </c>
      <c r="E511" t="s">
        <v>97</v>
      </c>
      <c r="F511" t="s">
        <v>93</v>
      </c>
      <c r="G511" t="s">
        <v>93</v>
      </c>
      <c r="H511" t="s">
        <v>25</v>
      </c>
      <c r="I511" t="s">
        <v>25</v>
      </c>
      <c r="J511" t="s">
        <v>110</v>
      </c>
      <c r="K511" t="s">
        <v>97</v>
      </c>
      <c r="L511" t="s">
        <v>112</v>
      </c>
      <c r="M511">
        <v>573.77343242999996</v>
      </c>
      <c r="N511">
        <v>0</v>
      </c>
      <c r="O511" t="s">
        <v>89</v>
      </c>
      <c r="P511" s="44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93</v>
      </c>
      <c r="AD511" s="44">
        <v>43983</v>
      </c>
    </row>
    <row r="512" spans="1:30" x14ac:dyDescent="0.25">
      <c r="A512">
        <v>420554</v>
      </c>
      <c r="B512" t="s">
        <v>304</v>
      </c>
      <c r="C512">
        <v>2020</v>
      </c>
      <c r="D512">
        <v>6</v>
      </c>
      <c r="E512" t="s">
        <v>99</v>
      </c>
      <c r="F512" t="s">
        <v>93</v>
      </c>
      <c r="G512" t="s">
        <v>93</v>
      </c>
      <c r="H512" t="s">
        <v>25</v>
      </c>
      <c r="I512" t="s">
        <v>25</v>
      </c>
      <c r="J512" t="s">
        <v>110</v>
      </c>
      <c r="K512" t="s">
        <v>99</v>
      </c>
      <c r="L512" t="s">
        <v>112</v>
      </c>
      <c r="M512">
        <v>1684.49839561</v>
      </c>
      <c r="N512">
        <v>0</v>
      </c>
      <c r="O512" t="s">
        <v>89</v>
      </c>
      <c r="P512" s="44">
        <v>44277.585713425928</v>
      </c>
      <c r="Q512">
        <v>3981026</v>
      </c>
      <c r="R512" t="s">
        <v>100</v>
      </c>
      <c r="S512">
        <v>0.88250996999999998</v>
      </c>
      <c r="W512"/>
      <c r="X512">
        <v>0</v>
      </c>
      <c r="AC512" t="s">
        <v>93</v>
      </c>
      <c r="AD512" s="44">
        <v>43983</v>
      </c>
    </row>
    <row r="513" spans="1:30" x14ac:dyDescent="0.25">
      <c r="A513">
        <v>420530</v>
      </c>
      <c r="B513" t="s">
        <v>304</v>
      </c>
      <c r="C513">
        <v>2020</v>
      </c>
      <c r="D513">
        <v>6</v>
      </c>
      <c r="E513" t="s">
        <v>97</v>
      </c>
      <c r="F513" t="s">
        <v>93</v>
      </c>
      <c r="G513" t="s">
        <v>93</v>
      </c>
      <c r="H513" t="s">
        <v>25</v>
      </c>
      <c r="I513" t="s">
        <v>25</v>
      </c>
      <c r="J513" t="s">
        <v>110</v>
      </c>
      <c r="K513" t="s">
        <v>97</v>
      </c>
      <c r="L513" t="s">
        <v>112</v>
      </c>
      <c r="M513">
        <v>573.77343242999996</v>
      </c>
      <c r="N513">
        <v>0</v>
      </c>
      <c r="O513" t="s">
        <v>89</v>
      </c>
      <c r="P513" s="44">
        <v>44277.585712268519</v>
      </c>
      <c r="Q513">
        <v>3980906</v>
      </c>
      <c r="R513" t="s">
        <v>100</v>
      </c>
      <c r="S513">
        <v>0</v>
      </c>
      <c r="W513"/>
      <c r="X513">
        <v>0</v>
      </c>
      <c r="AC513" t="s">
        <v>93</v>
      </c>
      <c r="AD513" s="44">
        <v>43983</v>
      </c>
    </row>
    <row r="514" spans="1:30" x14ac:dyDescent="0.25">
      <c r="A514">
        <v>420506</v>
      </c>
      <c r="B514" t="s">
        <v>304</v>
      </c>
      <c r="C514">
        <v>2020</v>
      </c>
      <c r="D514">
        <v>6</v>
      </c>
      <c r="E514" t="s">
        <v>95</v>
      </c>
      <c r="F514" t="s">
        <v>93</v>
      </c>
      <c r="G514" t="s">
        <v>93</v>
      </c>
      <c r="H514" t="s">
        <v>25</v>
      </c>
      <c r="I514" t="s">
        <v>25</v>
      </c>
      <c r="J514" t="s">
        <v>110</v>
      </c>
      <c r="K514" t="s">
        <v>95</v>
      </c>
      <c r="L514" t="s">
        <v>112</v>
      </c>
      <c r="M514">
        <v>2681.58003254</v>
      </c>
      <c r="N514">
        <v>0</v>
      </c>
      <c r="O514" t="s">
        <v>89</v>
      </c>
      <c r="P514" s="44">
        <v>44277.585711030093</v>
      </c>
      <c r="Q514">
        <v>3980786</v>
      </c>
      <c r="R514" t="s">
        <v>100</v>
      </c>
      <c r="S514">
        <v>4.0791128299999997</v>
      </c>
      <c r="W514"/>
      <c r="X514">
        <v>0</v>
      </c>
      <c r="AC514" t="s">
        <v>93</v>
      </c>
      <c r="AD514" s="44">
        <v>43983</v>
      </c>
    </row>
    <row r="515" spans="1:30" x14ac:dyDescent="0.25">
      <c r="A515">
        <v>420530</v>
      </c>
      <c r="B515" t="s">
        <v>304</v>
      </c>
      <c r="C515">
        <v>2020</v>
      </c>
      <c r="D515">
        <v>6</v>
      </c>
      <c r="E515" t="s">
        <v>97</v>
      </c>
      <c r="F515" t="s">
        <v>93</v>
      </c>
      <c r="G515" t="s">
        <v>93</v>
      </c>
      <c r="H515" t="s">
        <v>25</v>
      </c>
      <c r="I515" t="s">
        <v>25</v>
      </c>
      <c r="J515" t="s">
        <v>110</v>
      </c>
      <c r="K515" t="s">
        <v>97</v>
      </c>
      <c r="L515" t="s">
        <v>112</v>
      </c>
      <c r="M515">
        <v>573.77343242999996</v>
      </c>
      <c r="N515">
        <v>0</v>
      </c>
      <c r="O515" t="s">
        <v>89</v>
      </c>
      <c r="P515" s="44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93</v>
      </c>
      <c r="AD515" s="44">
        <v>43983</v>
      </c>
    </row>
    <row r="516" spans="1:30" x14ac:dyDescent="0.25">
      <c r="A516">
        <v>420554</v>
      </c>
      <c r="B516" t="s">
        <v>304</v>
      </c>
      <c r="C516">
        <v>2020</v>
      </c>
      <c r="D516">
        <v>6</v>
      </c>
      <c r="E516" t="s">
        <v>99</v>
      </c>
      <c r="F516" t="s">
        <v>93</v>
      </c>
      <c r="G516" t="s">
        <v>93</v>
      </c>
      <c r="H516" t="s">
        <v>25</v>
      </c>
      <c r="I516" t="s">
        <v>25</v>
      </c>
      <c r="J516" t="s">
        <v>110</v>
      </c>
      <c r="K516" t="s">
        <v>99</v>
      </c>
      <c r="L516" t="s">
        <v>112</v>
      </c>
      <c r="M516">
        <v>1684.49839561</v>
      </c>
      <c r="N516">
        <v>0</v>
      </c>
      <c r="O516" t="s">
        <v>89</v>
      </c>
      <c r="P516" s="44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93</v>
      </c>
      <c r="AD516" s="44">
        <v>43983</v>
      </c>
    </row>
    <row r="517" spans="1:30" x14ac:dyDescent="0.25">
      <c r="A517">
        <v>420506</v>
      </c>
      <c r="B517" t="s">
        <v>304</v>
      </c>
      <c r="C517">
        <v>2020</v>
      </c>
      <c r="D517">
        <v>6</v>
      </c>
      <c r="E517" t="s">
        <v>95</v>
      </c>
      <c r="F517" t="s">
        <v>93</v>
      </c>
      <c r="G517" t="s">
        <v>93</v>
      </c>
      <c r="H517" t="s">
        <v>25</v>
      </c>
      <c r="I517" t="s">
        <v>25</v>
      </c>
      <c r="J517" t="s">
        <v>110</v>
      </c>
      <c r="K517" t="s">
        <v>95</v>
      </c>
      <c r="L517" t="s">
        <v>112</v>
      </c>
      <c r="M517">
        <v>2681.58003254</v>
      </c>
      <c r="N517">
        <v>0</v>
      </c>
      <c r="O517" t="s">
        <v>89</v>
      </c>
      <c r="P517" s="44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93</v>
      </c>
      <c r="AD517" s="44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"/>
  <sheetViews>
    <sheetView workbookViewId="0">
      <selection activeCell="C7" sqref="C7:J7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91" zoomScale="85" zoomScaleNormal="85" workbookViewId="0">
      <selection sqref="A1:AD235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A2">
        <v>600911</v>
      </c>
      <c r="B2" t="s">
        <v>108</v>
      </c>
      <c r="C2">
        <v>2016</v>
      </c>
      <c r="D2">
        <v>4</v>
      </c>
      <c r="E2" t="s">
        <v>94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111</v>
      </c>
      <c r="L2" t="s">
        <v>112</v>
      </c>
      <c r="M2">
        <v>4919.3408924699997</v>
      </c>
      <c r="N2">
        <v>0</v>
      </c>
      <c r="O2" t="s">
        <v>88</v>
      </c>
      <c r="P2" s="44">
        <v>44330.488381134259</v>
      </c>
      <c r="Q2">
        <v>5423000</v>
      </c>
      <c r="R2" t="s">
        <v>83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93</v>
      </c>
      <c r="AD2" s="44">
        <v>42461</v>
      </c>
    </row>
    <row r="3" spans="1:30" x14ac:dyDescent="0.25">
      <c r="A3">
        <v>600929</v>
      </c>
      <c r="B3" t="s">
        <v>108</v>
      </c>
      <c r="C3">
        <v>2016</v>
      </c>
      <c r="D3">
        <v>4</v>
      </c>
      <c r="E3" t="s">
        <v>96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113</v>
      </c>
      <c r="L3" t="s">
        <v>112</v>
      </c>
      <c r="M3">
        <v>1317.6215099999999</v>
      </c>
      <c r="N3">
        <v>0</v>
      </c>
      <c r="O3" t="s">
        <v>88</v>
      </c>
      <c r="P3" s="44">
        <v>44330.488381793977</v>
      </c>
      <c r="Q3">
        <v>5423034</v>
      </c>
      <c r="R3" t="s">
        <v>83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93</v>
      </c>
      <c r="AD3" s="44">
        <v>42461</v>
      </c>
    </row>
    <row r="4" spans="1:30" x14ac:dyDescent="0.25">
      <c r="A4">
        <v>607827</v>
      </c>
      <c r="B4" t="s">
        <v>114</v>
      </c>
      <c r="C4">
        <v>2016</v>
      </c>
      <c r="D4">
        <v>3</v>
      </c>
      <c r="E4" t="s">
        <v>96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113</v>
      </c>
      <c r="L4" t="s">
        <v>112</v>
      </c>
      <c r="M4">
        <v>1703.6853574199999</v>
      </c>
      <c r="N4">
        <v>0</v>
      </c>
      <c r="O4" t="s">
        <v>88</v>
      </c>
      <c r="P4" s="44">
        <v>44330.494940509263</v>
      </c>
      <c r="Q4">
        <v>5439222</v>
      </c>
      <c r="R4" t="s">
        <v>83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93</v>
      </c>
      <c r="AD4" s="44">
        <v>42430</v>
      </c>
    </row>
    <row r="5" spans="1:30" x14ac:dyDescent="0.25">
      <c r="A5">
        <v>600947</v>
      </c>
      <c r="B5" t="s">
        <v>108</v>
      </c>
      <c r="C5">
        <v>2016</v>
      </c>
      <c r="D5">
        <v>4</v>
      </c>
      <c r="E5" t="s">
        <v>63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115</v>
      </c>
      <c r="L5" t="s">
        <v>112</v>
      </c>
      <c r="M5">
        <v>2065.7815005799998</v>
      </c>
      <c r="N5">
        <v>0</v>
      </c>
      <c r="O5" t="s">
        <v>88</v>
      </c>
      <c r="P5" s="44">
        <v>44330.488382442127</v>
      </c>
      <c r="Q5">
        <v>5423068</v>
      </c>
      <c r="R5" t="s">
        <v>83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93</v>
      </c>
      <c r="AD5" s="44">
        <v>42461</v>
      </c>
    </row>
    <row r="6" spans="1:30" x14ac:dyDescent="0.25">
      <c r="A6">
        <v>607809</v>
      </c>
      <c r="B6" t="s">
        <v>114</v>
      </c>
      <c r="C6">
        <v>2016</v>
      </c>
      <c r="D6">
        <v>3</v>
      </c>
      <c r="E6" t="s">
        <v>94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111</v>
      </c>
      <c r="L6" t="s">
        <v>112</v>
      </c>
      <c r="M6">
        <v>6396.77665523</v>
      </c>
      <c r="N6">
        <v>0</v>
      </c>
      <c r="O6" t="s">
        <v>88</v>
      </c>
      <c r="P6" s="44">
        <v>44330.494939849537</v>
      </c>
      <c r="Q6">
        <v>5439188</v>
      </c>
      <c r="R6" t="s">
        <v>83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93</v>
      </c>
      <c r="AD6" s="44">
        <v>42430</v>
      </c>
    </row>
    <row r="7" spans="1:30" x14ac:dyDescent="0.25">
      <c r="A7">
        <v>607845</v>
      </c>
      <c r="B7" t="s">
        <v>114</v>
      </c>
      <c r="C7">
        <v>2016</v>
      </c>
      <c r="D7">
        <v>3</v>
      </c>
      <c r="E7" t="s">
        <v>63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115</v>
      </c>
      <c r="L7" t="s">
        <v>112</v>
      </c>
      <c r="M7">
        <v>2312.6677555199999</v>
      </c>
      <c r="N7">
        <v>0</v>
      </c>
      <c r="O7" t="s">
        <v>88</v>
      </c>
      <c r="P7" s="44">
        <v>44330.494941122677</v>
      </c>
      <c r="Q7">
        <v>5439256</v>
      </c>
      <c r="R7" t="s">
        <v>83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93</v>
      </c>
      <c r="AD7" s="44">
        <v>42430</v>
      </c>
    </row>
    <row r="8" spans="1:30" x14ac:dyDescent="0.25">
      <c r="A8">
        <v>607809</v>
      </c>
      <c r="B8" t="s">
        <v>114</v>
      </c>
      <c r="C8">
        <v>2016</v>
      </c>
      <c r="D8">
        <v>3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6396.77665523</v>
      </c>
      <c r="N8">
        <v>0</v>
      </c>
      <c r="O8" t="s">
        <v>88</v>
      </c>
      <c r="P8" s="44">
        <v>44330.494939849537</v>
      </c>
      <c r="Q8">
        <v>5439187</v>
      </c>
      <c r="R8" t="s">
        <v>91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93</v>
      </c>
      <c r="AD8" s="44">
        <v>42430</v>
      </c>
    </row>
    <row r="9" spans="1:30" x14ac:dyDescent="0.25">
      <c r="A9">
        <v>607845</v>
      </c>
      <c r="B9" t="s">
        <v>114</v>
      </c>
      <c r="C9">
        <v>2016</v>
      </c>
      <c r="D9">
        <v>3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2312.6677555199999</v>
      </c>
      <c r="N9">
        <v>0</v>
      </c>
      <c r="O9" t="s">
        <v>88</v>
      </c>
      <c r="P9" s="44">
        <v>44330.494941122677</v>
      </c>
      <c r="Q9">
        <v>5439255</v>
      </c>
      <c r="R9" t="s">
        <v>91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93</v>
      </c>
      <c r="AD9" s="44">
        <v>42430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5423033</v>
      </c>
      <c r="R10" t="s">
        <v>91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93</v>
      </c>
      <c r="AD10" s="44">
        <v>42461</v>
      </c>
    </row>
    <row r="11" spans="1:30" x14ac:dyDescent="0.25">
      <c r="A11">
        <v>600947</v>
      </c>
      <c r="B11" t="s">
        <v>108</v>
      </c>
      <c r="C11">
        <v>2016</v>
      </c>
      <c r="D11">
        <v>4</v>
      </c>
      <c r="E11" t="s">
        <v>63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115</v>
      </c>
      <c r="L11" t="s">
        <v>112</v>
      </c>
      <c r="M11">
        <v>2065.7815005799998</v>
      </c>
      <c r="N11">
        <v>0</v>
      </c>
      <c r="O11" t="s">
        <v>88</v>
      </c>
      <c r="P11" s="44">
        <v>44330.488382442127</v>
      </c>
      <c r="Q11">
        <v>5423067</v>
      </c>
      <c r="R11" t="s">
        <v>91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93</v>
      </c>
      <c r="AD11" s="44">
        <v>42461</v>
      </c>
    </row>
    <row r="12" spans="1:30" x14ac:dyDescent="0.25">
      <c r="A12">
        <v>607827</v>
      </c>
      <c r="B12" t="s">
        <v>114</v>
      </c>
      <c r="C12">
        <v>2016</v>
      </c>
      <c r="D12">
        <v>3</v>
      </c>
      <c r="E12" t="s">
        <v>96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113</v>
      </c>
      <c r="L12" t="s">
        <v>112</v>
      </c>
      <c r="M12">
        <v>1703.6853574199999</v>
      </c>
      <c r="N12">
        <v>0</v>
      </c>
      <c r="O12" t="s">
        <v>88</v>
      </c>
      <c r="P12" s="44">
        <v>44330.494940509263</v>
      </c>
      <c r="Q12">
        <v>5439221</v>
      </c>
      <c r="R12" t="s">
        <v>91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93</v>
      </c>
      <c r="AD12" s="44">
        <v>42430</v>
      </c>
    </row>
    <row r="13" spans="1:30" x14ac:dyDescent="0.25">
      <c r="A13">
        <v>600911</v>
      </c>
      <c r="B13" t="s">
        <v>108</v>
      </c>
      <c r="C13">
        <v>2016</v>
      </c>
      <c r="D13">
        <v>4</v>
      </c>
      <c r="E13" t="s">
        <v>94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111</v>
      </c>
      <c r="L13" t="s">
        <v>112</v>
      </c>
      <c r="M13">
        <v>4919.3408924699997</v>
      </c>
      <c r="N13">
        <v>0</v>
      </c>
      <c r="O13" t="s">
        <v>88</v>
      </c>
      <c r="P13" s="44">
        <v>44330.488381134259</v>
      </c>
      <c r="Q13">
        <v>5422999</v>
      </c>
      <c r="R13" t="s">
        <v>91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93</v>
      </c>
      <c r="AD13" s="44">
        <v>42461</v>
      </c>
    </row>
    <row r="14" spans="1:30" x14ac:dyDescent="0.25">
      <c r="A14">
        <v>747847</v>
      </c>
      <c r="B14" t="s">
        <v>116</v>
      </c>
      <c r="C14">
        <v>2016</v>
      </c>
      <c r="D14">
        <v>1</v>
      </c>
      <c r="E14" t="s">
        <v>94</v>
      </c>
      <c r="F14" t="s">
        <v>93</v>
      </c>
      <c r="G14" t="s">
        <v>93</v>
      </c>
      <c r="H14" t="s">
        <v>109</v>
      </c>
      <c r="I14" t="s">
        <v>109</v>
      </c>
      <c r="J14" t="s">
        <v>117</v>
      </c>
      <c r="K14" t="s">
        <v>111</v>
      </c>
      <c r="L14" t="s">
        <v>118</v>
      </c>
      <c r="M14">
        <v>4067.4409494400002</v>
      </c>
      <c r="N14">
        <v>0</v>
      </c>
      <c r="O14" t="s">
        <v>88</v>
      </c>
      <c r="P14" s="44">
        <v>44350.694832986112</v>
      </c>
      <c r="Q14">
        <v>6409298</v>
      </c>
      <c r="R14" t="s">
        <v>83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93</v>
      </c>
      <c r="AD14" s="44">
        <v>42370</v>
      </c>
    </row>
    <row r="15" spans="1:30" x14ac:dyDescent="0.25">
      <c r="A15">
        <v>747883</v>
      </c>
      <c r="B15" t="s">
        <v>116</v>
      </c>
      <c r="C15">
        <v>2016</v>
      </c>
      <c r="D15">
        <v>1</v>
      </c>
      <c r="E15" t="s">
        <v>63</v>
      </c>
      <c r="F15" t="s">
        <v>93</v>
      </c>
      <c r="G15" t="s">
        <v>93</v>
      </c>
      <c r="H15" t="s">
        <v>109</v>
      </c>
      <c r="I15" t="s">
        <v>109</v>
      </c>
      <c r="J15" t="s">
        <v>117</v>
      </c>
      <c r="K15" t="s">
        <v>115</v>
      </c>
      <c r="L15" t="s">
        <v>118</v>
      </c>
      <c r="M15">
        <v>1749.0648298200001</v>
      </c>
      <c r="N15">
        <v>0</v>
      </c>
      <c r="O15" t="s">
        <v>88</v>
      </c>
      <c r="P15" s="44">
        <v>44350.694834374997</v>
      </c>
      <c r="Q15">
        <v>6409370</v>
      </c>
      <c r="R15" t="s">
        <v>83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93</v>
      </c>
      <c r="AD15" s="44">
        <v>42370</v>
      </c>
    </row>
    <row r="16" spans="1:30" x14ac:dyDescent="0.25">
      <c r="A16">
        <v>747865</v>
      </c>
      <c r="B16" t="s">
        <v>116</v>
      </c>
      <c r="C16">
        <v>2016</v>
      </c>
      <c r="D16">
        <v>1</v>
      </c>
      <c r="E16" t="s">
        <v>96</v>
      </c>
      <c r="F16" t="s">
        <v>93</v>
      </c>
      <c r="G16" t="s">
        <v>93</v>
      </c>
      <c r="H16" t="s">
        <v>109</v>
      </c>
      <c r="I16" t="s">
        <v>109</v>
      </c>
      <c r="J16" t="s">
        <v>117</v>
      </c>
      <c r="K16" t="s">
        <v>113</v>
      </c>
      <c r="L16" t="s">
        <v>118</v>
      </c>
      <c r="M16">
        <v>897.34483422000005</v>
      </c>
      <c r="N16">
        <v>0</v>
      </c>
      <c r="O16" t="s">
        <v>88</v>
      </c>
      <c r="P16" s="44">
        <v>44350.694833680558</v>
      </c>
      <c r="Q16">
        <v>6409334</v>
      </c>
      <c r="R16" t="s">
        <v>83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93</v>
      </c>
      <c r="AD16" s="44">
        <v>42370</v>
      </c>
    </row>
    <row r="17" spans="1:30" x14ac:dyDescent="0.25">
      <c r="A17">
        <v>747847</v>
      </c>
      <c r="B17" t="s">
        <v>116</v>
      </c>
      <c r="C17">
        <v>2016</v>
      </c>
      <c r="D17">
        <v>1</v>
      </c>
      <c r="E17" t="s">
        <v>94</v>
      </c>
      <c r="F17" t="s">
        <v>93</v>
      </c>
      <c r="G17" t="s">
        <v>93</v>
      </c>
      <c r="H17" t="s">
        <v>109</v>
      </c>
      <c r="I17" t="s">
        <v>109</v>
      </c>
      <c r="J17" t="s">
        <v>117</v>
      </c>
      <c r="K17" t="s">
        <v>111</v>
      </c>
      <c r="L17" t="s">
        <v>118</v>
      </c>
      <c r="M17">
        <v>4067.4409494400002</v>
      </c>
      <c r="N17">
        <v>0</v>
      </c>
      <c r="O17" t="s">
        <v>88</v>
      </c>
      <c r="P17" s="44">
        <v>44350.694832986112</v>
      </c>
      <c r="Q17">
        <v>6409297</v>
      </c>
      <c r="R17" t="s">
        <v>91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93</v>
      </c>
      <c r="AD17" s="44">
        <v>42370</v>
      </c>
    </row>
    <row r="18" spans="1:30" x14ac:dyDescent="0.25">
      <c r="A18">
        <v>747883</v>
      </c>
      <c r="B18" t="s">
        <v>116</v>
      </c>
      <c r="C18">
        <v>2016</v>
      </c>
      <c r="D18">
        <v>1</v>
      </c>
      <c r="E18" t="s">
        <v>63</v>
      </c>
      <c r="F18" t="s">
        <v>93</v>
      </c>
      <c r="G18" t="s">
        <v>93</v>
      </c>
      <c r="H18" t="s">
        <v>109</v>
      </c>
      <c r="I18" t="s">
        <v>109</v>
      </c>
      <c r="J18" t="s">
        <v>117</v>
      </c>
      <c r="K18" t="s">
        <v>115</v>
      </c>
      <c r="L18" t="s">
        <v>118</v>
      </c>
      <c r="M18">
        <v>1749.0648298200001</v>
      </c>
      <c r="N18">
        <v>0</v>
      </c>
      <c r="O18" t="s">
        <v>88</v>
      </c>
      <c r="P18" s="44">
        <v>44350.694834374997</v>
      </c>
      <c r="Q18">
        <v>6409369</v>
      </c>
      <c r="R18" t="s">
        <v>91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93</v>
      </c>
      <c r="AD18" s="44">
        <v>42370</v>
      </c>
    </row>
    <row r="19" spans="1:30" x14ac:dyDescent="0.25">
      <c r="A19">
        <v>747865</v>
      </c>
      <c r="B19" t="s">
        <v>116</v>
      </c>
      <c r="C19">
        <v>2016</v>
      </c>
      <c r="D19">
        <v>1</v>
      </c>
      <c r="E19" t="s">
        <v>96</v>
      </c>
      <c r="F19" t="s">
        <v>93</v>
      </c>
      <c r="G19" t="s">
        <v>93</v>
      </c>
      <c r="H19" t="s">
        <v>109</v>
      </c>
      <c r="I19" t="s">
        <v>109</v>
      </c>
      <c r="J19" t="s">
        <v>117</v>
      </c>
      <c r="K19" t="s">
        <v>113</v>
      </c>
      <c r="L19" t="s">
        <v>118</v>
      </c>
      <c r="M19">
        <v>897.34483422000005</v>
      </c>
      <c r="N19">
        <v>0</v>
      </c>
      <c r="O19" t="s">
        <v>88</v>
      </c>
      <c r="P19" s="44">
        <v>44350.694833680558</v>
      </c>
      <c r="Q19">
        <v>6409333</v>
      </c>
      <c r="R19" t="s">
        <v>91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93</v>
      </c>
      <c r="AD19" s="44">
        <v>42370</v>
      </c>
    </row>
    <row r="20" spans="1:30" x14ac:dyDescent="0.25">
      <c r="A20">
        <v>755003</v>
      </c>
      <c r="B20" t="s">
        <v>119</v>
      </c>
      <c r="C20">
        <v>2016</v>
      </c>
      <c r="D20">
        <v>2</v>
      </c>
      <c r="E20" t="s">
        <v>94</v>
      </c>
      <c r="F20" t="s">
        <v>93</v>
      </c>
      <c r="G20" t="s">
        <v>93</v>
      </c>
      <c r="H20" t="s">
        <v>109</v>
      </c>
      <c r="I20" t="s">
        <v>109</v>
      </c>
      <c r="J20" t="s">
        <v>120</v>
      </c>
      <c r="K20" t="s">
        <v>111</v>
      </c>
      <c r="L20" t="s">
        <v>118</v>
      </c>
      <c r="M20">
        <v>5278.3353200499996</v>
      </c>
      <c r="N20">
        <v>0</v>
      </c>
      <c r="O20" t="s">
        <v>88</v>
      </c>
      <c r="P20" s="44">
        <v>44350.700936655092</v>
      </c>
      <c r="Q20">
        <v>6425847</v>
      </c>
      <c r="R20" t="s">
        <v>83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93</v>
      </c>
      <c r="AD20" s="44">
        <v>42401</v>
      </c>
    </row>
    <row r="21" spans="1:30" x14ac:dyDescent="0.25">
      <c r="A21">
        <v>755021</v>
      </c>
      <c r="B21" t="s">
        <v>119</v>
      </c>
      <c r="C21">
        <v>2016</v>
      </c>
      <c r="D21">
        <v>2</v>
      </c>
      <c r="E21" t="s">
        <v>96</v>
      </c>
      <c r="F21" t="s">
        <v>93</v>
      </c>
      <c r="G21" t="s">
        <v>93</v>
      </c>
      <c r="H21" t="s">
        <v>109</v>
      </c>
      <c r="I21" t="s">
        <v>109</v>
      </c>
      <c r="J21" t="s">
        <v>120</v>
      </c>
      <c r="K21" t="s">
        <v>113</v>
      </c>
      <c r="L21" t="s">
        <v>118</v>
      </c>
      <c r="M21">
        <v>1241.48702998</v>
      </c>
      <c r="N21">
        <v>0</v>
      </c>
      <c r="O21" t="s">
        <v>88</v>
      </c>
      <c r="P21" s="44">
        <v>44350.700937118047</v>
      </c>
      <c r="Q21">
        <v>6425881</v>
      </c>
      <c r="R21" t="s">
        <v>83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93</v>
      </c>
      <c r="AD21" s="44">
        <v>42401</v>
      </c>
    </row>
    <row r="22" spans="1:30" x14ac:dyDescent="0.25">
      <c r="A22">
        <v>755039</v>
      </c>
      <c r="B22" t="s">
        <v>119</v>
      </c>
      <c r="C22">
        <v>2016</v>
      </c>
      <c r="D22">
        <v>2</v>
      </c>
      <c r="E22" t="s">
        <v>63</v>
      </c>
      <c r="F22" t="s">
        <v>93</v>
      </c>
      <c r="G22" t="s">
        <v>93</v>
      </c>
      <c r="H22" t="s">
        <v>109</v>
      </c>
      <c r="I22" t="s">
        <v>109</v>
      </c>
      <c r="J22" t="s">
        <v>120</v>
      </c>
      <c r="K22" t="s">
        <v>115</v>
      </c>
      <c r="L22" t="s">
        <v>118</v>
      </c>
      <c r="M22">
        <v>1904.6034659100001</v>
      </c>
      <c r="N22">
        <v>0</v>
      </c>
      <c r="O22" t="s">
        <v>88</v>
      </c>
      <c r="P22" s="44">
        <v>44350.700937847221</v>
      </c>
      <c r="Q22">
        <v>6425915</v>
      </c>
      <c r="R22" t="s">
        <v>83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93</v>
      </c>
      <c r="AD22" s="44">
        <v>42401</v>
      </c>
    </row>
    <row r="23" spans="1:30" x14ac:dyDescent="0.25">
      <c r="A23">
        <v>755039</v>
      </c>
      <c r="B23" t="s">
        <v>119</v>
      </c>
      <c r="C23">
        <v>2016</v>
      </c>
      <c r="D23">
        <v>2</v>
      </c>
      <c r="E23" t="s">
        <v>63</v>
      </c>
      <c r="F23" t="s">
        <v>93</v>
      </c>
      <c r="G23" t="s">
        <v>93</v>
      </c>
      <c r="H23" t="s">
        <v>109</v>
      </c>
      <c r="I23" t="s">
        <v>109</v>
      </c>
      <c r="J23" t="s">
        <v>120</v>
      </c>
      <c r="K23" t="s">
        <v>115</v>
      </c>
      <c r="L23" t="s">
        <v>118</v>
      </c>
      <c r="M23">
        <v>1904.6034659100001</v>
      </c>
      <c r="N23">
        <v>0</v>
      </c>
      <c r="O23" t="s">
        <v>88</v>
      </c>
      <c r="P23" s="44">
        <v>44350.700937847221</v>
      </c>
      <c r="Q23">
        <v>6425914</v>
      </c>
      <c r="R23" t="s">
        <v>91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93</v>
      </c>
      <c r="AD23" s="44">
        <v>42401</v>
      </c>
    </row>
    <row r="24" spans="1:30" x14ac:dyDescent="0.25">
      <c r="A24">
        <v>755003</v>
      </c>
      <c r="B24" t="s">
        <v>119</v>
      </c>
      <c r="C24">
        <v>2016</v>
      </c>
      <c r="D24">
        <v>2</v>
      </c>
      <c r="E24" t="s">
        <v>94</v>
      </c>
      <c r="F24" t="s">
        <v>93</v>
      </c>
      <c r="G24" t="s">
        <v>93</v>
      </c>
      <c r="H24" t="s">
        <v>109</v>
      </c>
      <c r="I24" t="s">
        <v>109</v>
      </c>
      <c r="J24" t="s">
        <v>120</v>
      </c>
      <c r="K24" t="s">
        <v>111</v>
      </c>
      <c r="L24" t="s">
        <v>118</v>
      </c>
      <c r="M24">
        <v>5278.3353200499996</v>
      </c>
      <c r="N24">
        <v>0</v>
      </c>
      <c r="O24" t="s">
        <v>88</v>
      </c>
      <c r="P24" s="44">
        <v>44350.700936655092</v>
      </c>
      <c r="Q24">
        <v>6425846</v>
      </c>
      <c r="R24" t="s">
        <v>91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93</v>
      </c>
      <c r="AD24" s="44">
        <v>42401</v>
      </c>
    </row>
    <row r="25" spans="1:30" x14ac:dyDescent="0.25">
      <c r="A25">
        <v>755021</v>
      </c>
      <c r="B25" t="s">
        <v>119</v>
      </c>
      <c r="C25">
        <v>2016</v>
      </c>
      <c r="D25">
        <v>2</v>
      </c>
      <c r="E25" t="s">
        <v>96</v>
      </c>
      <c r="F25" t="s">
        <v>93</v>
      </c>
      <c r="G25" t="s">
        <v>93</v>
      </c>
      <c r="H25" t="s">
        <v>109</v>
      </c>
      <c r="I25" t="s">
        <v>109</v>
      </c>
      <c r="J25" t="s">
        <v>120</v>
      </c>
      <c r="K25" t="s">
        <v>113</v>
      </c>
      <c r="L25" t="s">
        <v>118</v>
      </c>
      <c r="M25">
        <v>1241.48702998</v>
      </c>
      <c r="N25">
        <v>0</v>
      </c>
      <c r="O25" t="s">
        <v>88</v>
      </c>
      <c r="P25" s="44">
        <v>44350.700937118047</v>
      </c>
      <c r="Q25">
        <v>6425880</v>
      </c>
      <c r="R25" t="s">
        <v>91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93</v>
      </c>
      <c r="AD25" s="44">
        <v>42401</v>
      </c>
    </row>
    <row r="26" spans="1:30" x14ac:dyDescent="0.25">
      <c r="A26">
        <v>339874</v>
      </c>
      <c r="B26" t="s">
        <v>121</v>
      </c>
      <c r="C26">
        <v>2018</v>
      </c>
      <c r="D26">
        <v>4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97</v>
      </c>
      <c r="L26" t="s">
        <v>112</v>
      </c>
      <c r="M26">
        <v>395.73036543000001</v>
      </c>
      <c r="N26">
        <v>0</v>
      </c>
      <c r="O26" t="s">
        <v>88</v>
      </c>
      <c r="P26" s="44">
        <v>44269.883115474528</v>
      </c>
      <c r="Q26">
        <v>3217183</v>
      </c>
      <c r="R26" t="s">
        <v>83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93</v>
      </c>
      <c r="AD26" s="44">
        <v>43191</v>
      </c>
    </row>
    <row r="27" spans="1:30" x14ac:dyDescent="0.25">
      <c r="A27">
        <v>339897</v>
      </c>
      <c r="B27" t="s">
        <v>121</v>
      </c>
      <c r="C27">
        <v>2018</v>
      </c>
      <c r="D27">
        <v>4</v>
      </c>
      <c r="E27" t="s">
        <v>98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99</v>
      </c>
      <c r="L27" t="s">
        <v>112</v>
      </c>
      <c r="M27">
        <v>912.57738198000004</v>
      </c>
      <c r="N27">
        <v>0</v>
      </c>
      <c r="O27" t="s">
        <v>88</v>
      </c>
      <c r="P27" s="44">
        <v>44269.883116168981</v>
      </c>
      <c r="Q27">
        <v>3217229</v>
      </c>
      <c r="R27" t="s">
        <v>83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93</v>
      </c>
      <c r="AD27" s="44">
        <v>43191</v>
      </c>
    </row>
    <row r="28" spans="1:30" x14ac:dyDescent="0.25">
      <c r="A28">
        <v>339851</v>
      </c>
      <c r="B28" t="s">
        <v>121</v>
      </c>
      <c r="C28">
        <v>2018</v>
      </c>
      <c r="D28">
        <v>4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95</v>
      </c>
      <c r="L28" t="s">
        <v>112</v>
      </c>
      <c r="M28">
        <v>2217.9983667299998</v>
      </c>
      <c r="N28">
        <v>0</v>
      </c>
      <c r="O28" t="s">
        <v>88</v>
      </c>
      <c r="P28" s="44">
        <v>44269.88311489582</v>
      </c>
      <c r="Q28">
        <v>3217137</v>
      </c>
      <c r="R28" t="s">
        <v>83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93</v>
      </c>
      <c r="AD28" s="44">
        <v>43191</v>
      </c>
    </row>
    <row r="29" spans="1:30" x14ac:dyDescent="0.25">
      <c r="A29">
        <v>119638</v>
      </c>
      <c r="B29" t="s">
        <v>122</v>
      </c>
      <c r="C29">
        <v>2018</v>
      </c>
      <c r="D29">
        <v>9</v>
      </c>
      <c r="E29" t="s">
        <v>96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97</v>
      </c>
      <c r="L29" t="s">
        <v>112</v>
      </c>
      <c r="M29">
        <v>316.65874517999998</v>
      </c>
      <c r="N29">
        <v>0</v>
      </c>
      <c r="O29" t="s">
        <v>89</v>
      </c>
      <c r="P29" s="44">
        <v>44269.85110659722</v>
      </c>
      <c r="Q29">
        <v>1081733</v>
      </c>
      <c r="R29" t="s">
        <v>90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93</v>
      </c>
      <c r="AD29" s="44">
        <v>43344</v>
      </c>
    </row>
    <row r="30" spans="1:30" x14ac:dyDescent="0.25">
      <c r="A30">
        <v>130294</v>
      </c>
      <c r="B30" t="s">
        <v>123</v>
      </c>
      <c r="C30">
        <v>2018</v>
      </c>
      <c r="D30">
        <v>10</v>
      </c>
      <c r="E30" t="s">
        <v>94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95</v>
      </c>
      <c r="L30" t="s">
        <v>112</v>
      </c>
      <c r="M30">
        <v>1428.8615156599999</v>
      </c>
      <c r="N30">
        <v>0</v>
      </c>
      <c r="O30" t="s">
        <v>89</v>
      </c>
      <c r="P30" s="44">
        <v>44269.8525723727</v>
      </c>
      <c r="Q30">
        <v>1192985</v>
      </c>
      <c r="R30" t="s">
        <v>90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93</v>
      </c>
      <c r="AD30" s="44">
        <v>43374</v>
      </c>
    </row>
    <row r="31" spans="1:30" x14ac:dyDescent="0.25">
      <c r="A31">
        <v>144832</v>
      </c>
      <c r="B31" t="s">
        <v>124</v>
      </c>
      <c r="C31">
        <v>2018</v>
      </c>
      <c r="D31">
        <v>11</v>
      </c>
      <c r="E31" t="s">
        <v>94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95</v>
      </c>
      <c r="L31" t="s">
        <v>112</v>
      </c>
      <c r="M31">
        <v>1939.5207746900001</v>
      </c>
      <c r="N31">
        <v>0</v>
      </c>
      <c r="O31" t="s">
        <v>89</v>
      </c>
      <c r="P31" s="44">
        <v>44269.854262534733</v>
      </c>
      <c r="Q31">
        <v>1336945</v>
      </c>
      <c r="R31" t="s">
        <v>90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93</v>
      </c>
      <c r="AD31" s="44">
        <v>43405</v>
      </c>
    </row>
    <row r="32" spans="1:30" x14ac:dyDescent="0.25">
      <c r="A32">
        <v>130318</v>
      </c>
      <c r="B32" t="s">
        <v>123</v>
      </c>
      <c r="C32">
        <v>2018</v>
      </c>
      <c r="D32">
        <v>10</v>
      </c>
      <c r="E32" t="s">
        <v>96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97</v>
      </c>
      <c r="L32" t="s">
        <v>112</v>
      </c>
      <c r="M32">
        <v>333.40243543999998</v>
      </c>
      <c r="N32">
        <v>0</v>
      </c>
      <c r="O32" t="s">
        <v>89</v>
      </c>
      <c r="P32" s="44">
        <v>44269.852573611111</v>
      </c>
      <c r="Q32">
        <v>1193105</v>
      </c>
      <c r="R32" t="s">
        <v>90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93</v>
      </c>
      <c r="AD32" s="44">
        <v>43374</v>
      </c>
    </row>
    <row r="33" spans="1:30" x14ac:dyDescent="0.25">
      <c r="A33">
        <v>119662</v>
      </c>
      <c r="B33" t="s">
        <v>122</v>
      </c>
      <c r="C33">
        <v>2018</v>
      </c>
      <c r="D33">
        <v>9</v>
      </c>
      <c r="E33" t="s">
        <v>98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99</v>
      </c>
      <c r="L33" t="s">
        <v>112</v>
      </c>
      <c r="M33">
        <v>843.05591856000001</v>
      </c>
      <c r="N33">
        <v>0</v>
      </c>
      <c r="O33" t="s">
        <v>89</v>
      </c>
      <c r="P33" s="44">
        <v>44269.851107986113</v>
      </c>
      <c r="Q33">
        <v>1081853</v>
      </c>
      <c r="R33" t="s">
        <v>90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93</v>
      </c>
      <c r="AD33" s="44">
        <v>43344</v>
      </c>
    </row>
    <row r="34" spans="1:30" x14ac:dyDescent="0.25">
      <c r="A34">
        <v>443785</v>
      </c>
      <c r="B34" t="s">
        <v>125</v>
      </c>
      <c r="C34">
        <v>2018</v>
      </c>
      <c r="D34">
        <v>12</v>
      </c>
      <c r="E34" t="s">
        <v>94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95</v>
      </c>
      <c r="L34" t="s">
        <v>112</v>
      </c>
      <c r="M34">
        <v>3041.3129330199999</v>
      </c>
      <c r="N34">
        <v>0</v>
      </c>
      <c r="O34" t="s">
        <v>89</v>
      </c>
      <c r="P34" s="44">
        <v>44284.514579629627</v>
      </c>
      <c r="Q34">
        <v>4215244</v>
      </c>
      <c r="R34" t="s">
        <v>90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93</v>
      </c>
      <c r="AD34" s="44">
        <v>43435</v>
      </c>
    </row>
    <row r="35" spans="1:30" x14ac:dyDescent="0.25">
      <c r="A35">
        <v>119614</v>
      </c>
      <c r="B35" t="s">
        <v>122</v>
      </c>
      <c r="C35">
        <v>2018</v>
      </c>
      <c r="D35">
        <v>9</v>
      </c>
      <c r="E35" t="s">
        <v>94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95</v>
      </c>
      <c r="L35" t="s">
        <v>112</v>
      </c>
      <c r="M35">
        <v>1439.52704135</v>
      </c>
      <c r="N35">
        <v>0</v>
      </c>
      <c r="O35" t="s">
        <v>89</v>
      </c>
      <c r="P35" s="44">
        <v>44269.851105011578</v>
      </c>
      <c r="Q35">
        <v>1081613</v>
      </c>
      <c r="R35" t="s">
        <v>90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93</v>
      </c>
      <c r="AD35" s="44">
        <v>43344</v>
      </c>
    </row>
    <row r="36" spans="1:30" x14ac:dyDescent="0.25">
      <c r="A36">
        <v>144856</v>
      </c>
      <c r="B36" t="s">
        <v>124</v>
      </c>
      <c r="C36">
        <v>2018</v>
      </c>
      <c r="D36">
        <v>11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97</v>
      </c>
      <c r="L36" t="s">
        <v>112</v>
      </c>
      <c r="M36">
        <v>527.43779992999998</v>
      </c>
      <c r="N36">
        <v>0</v>
      </c>
      <c r="O36" t="s">
        <v>89</v>
      </c>
      <c r="P36" s="44">
        <v>44269.854263738423</v>
      </c>
      <c r="Q36">
        <v>1337065</v>
      </c>
      <c r="R36" t="s">
        <v>90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93</v>
      </c>
      <c r="AD36" s="44">
        <v>43405</v>
      </c>
    </row>
    <row r="37" spans="1:30" x14ac:dyDescent="0.25">
      <c r="A37">
        <v>443809</v>
      </c>
      <c r="B37" t="s">
        <v>125</v>
      </c>
      <c r="C37">
        <v>2018</v>
      </c>
      <c r="D37">
        <v>12</v>
      </c>
      <c r="E37" t="s">
        <v>96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97</v>
      </c>
      <c r="L37" t="s">
        <v>112</v>
      </c>
      <c r="M37">
        <v>824.95046656</v>
      </c>
      <c r="N37">
        <v>0</v>
      </c>
      <c r="O37" t="s">
        <v>89</v>
      </c>
      <c r="P37" s="44">
        <v>44284.514580937503</v>
      </c>
      <c r="Q37">
        <v>4215364</v>
      </c>
      <c r="R37" t="s">
        <v>90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93</v>
      </c>
      <c r="AD37" s="44">
        <v>43435</v>
      </c>
    </row>
    <row r="38" spans="1:30" x14ac:dyDescent="0.25">
      <c r="A38">
        <v>144880</v>
      </c>
      <c r="B38" t="s">
        <v>124</v>
      </c>
      <c r="C38">
        <v>2018</v>
      </c>
      <c r="D38">
        <v>11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1036.3887642100001</v>
      </c>
      <c r="N38">
        <v>0</v>
      </c>
      <c r="O38" t="s">
        <v>89</v>
      </c>
      <c r="P38" s="44">
        <v>44269.854264965281</v>
      </c>
      <c r="Q38">
        <v>1337185</v>
      </c>
      <c r="R38" t="s">
        <v>90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93</v>
      </c>
      <c r="AD38" s="44">
        <v>43405</v>
      </c>
    </row>
    <row r="39" spans="1:30" x14ac:dyDescent="0.25">
      <c r="A39">
        <v>130342</v>
      </c>
      <c r="B39" t="s">
        <v>123</v>
      </c>
      <c r="C39">
        <v>2018</v>
      </c>
      <c r="D39">
        <v>10</v>
      </c>
      <c r="E39" t="s">
        <v>98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99</v>
      </c>
      <c r="L39" t="s">
        <v>112</v>
      </c>
      <c r="M39">
        <v>879.43208655000001</v>
      </c>
      <c r="N39">
        <v>0</v>
      </c>
      <c r="O39" t="s">
        <v>89</v>
      </c>
      <c r="P39" s="44">
        <v>44269.852574803241</v>
      </c>
      <c r="Q39">
        <v>1193225</v>
      </c>
      <c r="R39" t="s">
        <v>90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93</v>
      </c>
      <c r="AD39" s="44">
        <v>43374</v>
      </c>
    </row>
    <row r="40" spans="1:30" x14ac:dyDescent="0.25">
      <c r="A40">
        <v>443833</v>
      </c>
      <c r="B40" t="s">
        <v>125</v>
      </c>
      <c r="C40">
        <v>2018</v>
      </c>
      <c r="D40">
        <v>12</v>
      </c>
      <c r="E40" t="s">
        <v>98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99</v>
      </c>
      <c r="L40" t="s">
        <v>112</v>
      </c>
      <c r="M40">
        <v>1153.4816149200001</v>
      </c>
      <c r="N40">
        <v>0</v>
      </c>
      <c r="O40" t="s">
        <v>89</v>
      </c>
      <c r="P40" s="44">
        <v>44284.51458221065</v>
      </c>
      <c r="Q40">
        <v>4215484</v>
      </c>
      <c r="R40" t="s">
        <v>90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93</v>
      </c>
      <c r="AD40" s="44">
        <v>43435</v>
      </c>
    </row>
    <row r="41" spans="1:30" x14ac:dyDescent="0.25">
      <c r="A41">
        <v>339897</v>
      </c>
      <c r="B41" t="s">
        <v>121</v>
      </c>
      <c r="C41">
        <v>2018</v>
      </c>
      <c r="D41">
        <v>4</v>
      </c>
      <c r="E41" t="s">
        <v>98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99</v>
      </c>
      <c r="L41" t="s">
        <v>112</v>
      </c>
      <c r="M41">
        <v>912.57738198000004</v>
      </c>
      <c r="N41">
        <v>0</v>
      </c>
      <c r="O41" t="s">
        <v>88</v>
      </c>
      <c r="P41" s="44">
        <v>44269.883116168981</v>
      </c>
      <c r="Q41">
        <v>3217228</v>
      </c>
      <c r="R41" t="s">
        <v>91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93</v>
      </c>
      <c r="AD41" s="44">
        <v>43191</v>
      </c>
    </row>
    <row r="42" spans="1:30" x14ac:dyDescent="0.25">
      <c r="A42">
        <v>339851</v>
      </c>
      <c r="B42" t="s">
        <v>121</v>
      </c>
      <c r="C42">
        <v>2018</v>
      </c>
      <c r="D42">
        <v>4</v>
      </c>
      <c r="E42" t="s">
        <v>94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95</v>
      </c>
      <c r="L42" t="s">
        <v>112</v>
      </c>
      <c r="M42">
        <v>2217.9983667299998</v>
      </c>
      <c r="N42">
        <v>0</v>
      </c>
      <c r="O42" t="s">
        <v>88</v>
      </c>
      <c r="P42" s="44">
        <v>44269.88311489582</v>
      </c>
      <c r="Q42">
        <v>3217136</v>
      </c>
      <c r="R42" t="s">
        <v>91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93</v>
      </c>
      <c r="AD42" s="44">
        <v>43191</v>
      </c>
    </row>
    <row r="43" spans="1:30" x14ac:dyDescent="0.25">
      <c r="A43">
        <v>339874</v>
      </c>
      <c r="B43" t="s">
        <v>121</v>
      </c>
      <c r="C43">
        <v>2018</v>
      </c>
      <c r="D43">
        <v>4</v>
      </c>
      <c r="E43" t="s">
        <v>96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97</v>
      </c>
      <c r="L43" t="s">
        <v>112</v>
      </c>
      <c r="M43">
        <v>395.73036543000001</v>
      </c>
      <c r="N43">
        <v>0</v>
      </c>
      <c r="O43" t="s">
        <v>88</v>
      </c>
      <c r="P43" s="44">
        <v>44269.883115474528</v>
      </c>
      <c r="Q43">
        <v>3217182</v>
      </c>
      <c r="R43" t="s">
        <v>91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93</v>
      </c>
      <c r="AD43" s="44">
        <v>43191</v>
      </c>
    </row>
    <row r="44" spans="1:30" x14ac:dyDescent="0.25">
      <c r="A44">
        <v>51320</v>
      </c>
      <c r="B44" t="s">
        <v>126</v>
      </c>
      <c r="C44">
        <v>2018</v>
      </c>
      <c r="D44">
        <v>2</v>
      </c>
      <c r="E44" t="s">
        <v>94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95</v>
      </c>
      <c r="L44" t="s">
        <v>112</v>
      </c>
      <c r="M44">
        <v>2992.3278786400001</v>
      </c>
      <c r="N44">
        <v>0</v>
      </c>
      <c r="O44" t="s">
        <v>88</v>
      </c>
      <c r="P44" s="44">
        <v>44269.843124270832</v>
      </c>
      <c r="Q44">
        <v>446370</v>
      </c>
      <c r="R44" t="s">
        <v>83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93</v>
      </c>
      <c r="AD44" s="44">
        <v>43132</v>
      </c>
    </row>
    <row r="45" spans="1:30" x14ac:dyDescent="0.25">
      <c r="A45">
        <v>51342</v>
      </c>
      <c r="B45" t="s">
        <v>126</v>
      </c>
      <c r="C45">
        <v>2018</v>
      </c>
      <c r="D45">
        <v>2</v>
      </c>
      <c r="E45" t="s">
        <v>96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97</v>
      </c>
      <c r="L45" t="s">
        <v>112</v>
      </c>
      <c r="M45">
        <v>828.89142677999996</v>
      </c>
      <c r="N45">
        <v>0</v>
      </c>
      <c r="O45" t="s">
        <v>88</v>
      </c>
      <c r="P45" s="44">
        <v>44269.843124965279</v>
      </c>
      <c r="Q45">
        <v>446414</v>
      </c>
      <c r="R45" t="s">
        <v>83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93</v>
      </c>
      <c r="AD45" s="44">
        <v>43132</v>
      </c>
    </row>
    <row r="46" spans="1:30" x14ac:dyDescent="0.25">
      <c r="A46">
        <v>51364</v>
      </c>
      <c r="B46" t="s">
        <v>126</v>
      </c>
      <c r="C46">
        <v>2018</v>
      </c>
      <c r="D46">
        <v>2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1043.8948492300001</v>
      </c>
      <c r="N46">
        <v>0</v>
      </c>
      <c r="O46" t="s">
        <v>88</v>
      </c>
      <c r="P46" s="44">
        <v>44269.843125613428</v>
      </c>
      <c r="Q46">
        <v>446458</v>
      </c>
      <c r="R46" t="s">
        <v>83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93</v>
      </c>
      <c r="AD46" s="44">
        <v>43132</v>
      </c>
    </row>
    <row r="47" spans="1:30" x14ac:dyDescent="0.25">
      <c r="A47">
        <v>144880</v>
      </c>
      <c r="B47" t="s">
        <v>124</v>
      </c>
      <c r="C47">
        <v>2018</v>
      </c>
      <c r="D47">
        <v>11</v>
      </c>
      <c r="E47" t="s">
        <v>98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99</v>
      </c>
      <c r="L47" t="s">
        <v>112</v>
      </c>
      <c r="M47">
        <v>1036.3887642100001</v>
      </c>
      <c r="N47">
        <v>0</v>
      </c>
      <c r="O47" t="s">
        <v>89</v>
      </c>
      <c r="P47" s="44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93</v>
      </c>
      <c r="AD47" s="44">
        <v>43405</v>
      </c>
    </row>
    <row r="48" spans="1:30" x14ac:dyDescent="0.25">
      <c r="A48">
        <v>119662</v>
      </c>
      <c r="B48" t="s">
        <v>122</v>
      </c>
      <c r="C48">
        <v>2018</v>
      </c>
      <c r="D48">
        <v>9</v>
      </c>
      <c r="E48" t="s">
        <v>98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99</v>
      </c>
      <c r="L48" t="s">
        <v>112</v>
      </c>
      <c r="M48">
        <v>843.05591856000001</v>
      </c>
      <c r="N48">
        <v>0</v>
      </c>
      <c r="O48" t="s">
        <v>89</v>
      </c>
      <c r="P48" s="44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93</v>
      </c>
      <c r="AD48" s="44">
        <v>43344</v>
      </c>
    </row>
    <row r="49" spans="1:30" x14ac:dyDescent="0.25">
      <c r="A49">
        <v>119614</v>
      </c>
      <c r="B49" t="s">
        <v>122</v>
      </c>
      <c r="C49">
        <v>2018</v>
      </c>
      <c r="D49">
        <v>9</v>
      </c>
      <c r="E49" t="s">
        <v>94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95</v>
      </c>
      <c r="L49" t="s">
        <v>112</v>
      </c>
      <c r="M49">
        <v>1439.52704135</v>
      </c>
      <c r="N49">
        <v>0</v>
      </c>
      <c r="O49" t="s">
        <v>89</v>
      </c>
      <c r="P49" s="44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93</v>
      </c>
      <c r="AD49" s="44">
        <v>43344</v>
      </c>
    </row>
    <row r="50" spans="1:30" x14ac:dyDescent="0.25">
      <c r="A50">
        <v>130294</v>
      </c>
      <c r="B50" t="s">
        <v>123</v>
      </c>
      <c r="C50">
        <v>2018</v>
      </c>
      <c r="D50">
        <v>10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1428.8615156599999</v>
      </c>
      <c r="N50">
        <v>0</v>
      </c>
      <c r="O50" t="s">
        <v>89</v>
      </c>
      <c r="P50" s="44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93</v>
      </c>
      <c r="AD50" s="44">
        <v>43374</v>
      </c>
    </row>
    <row r="51" spans="1:30" x14ac:dyDescent="0.25">
      <c r="A51">
        <v>443809</v>
      </c>
      <c r="B51" t="s">
        <v>125</v>
      </c>
      <c r="C51">
        <v>2018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824.95046656</v>
      </c>
      <c r="N51">
        <v>0</v>
      </c>
      <c r="O51" t="s">
        <v>89</v>
      </c>
      <c r="P51" s="44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93</v>
      </c>
      <c r="AD51" s="44">
        <v>43435</v>
      </c>
    </row>
    <row r="52" spans="1:30" x14ac:dyDescent="0.25">
      <c r="A52">
        <v>144832</v>
      </c>
      <c r="B52" t="s">
        <v>124</v>
      </c>
      <c r="C52">
        <v>2018</v>
      </c>
      <c r="D52">
        <v>11</v>
      </c>
      <c r="E52" t="s">
        <v>94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95</v>
      </c>
      <c r="L52" t="s">
        <v>112</v>
      </c>
      <c r="M52">
        <v>1939.5207746900001</v>
      </c>
      <c r="N52">
        <v>0</v>
      </c>
      <c r="O52" t="s">
        <v>89</v>
      </c>
      <c r="P52" s="44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93</v>
      </c>
      <c r="AD52" s="44">
        <v>43405</v>
      </c>
    </row>
    <row r="53" spans="1:30" x14ac:dyDescent="0.25">
      <c r="A53">
        <v>119638</v>
      </c>
      <c r="B53" t="s">
        <v>122</v>
      </c>
      <c r="C53">
        <v>2018</v>
      </c>
      <c r="D53">
        <v>9</v>
      </c>
      <c r="E53" t="s">
        <v>96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97</v>
      </c>
      <c r="L53" t="s">
        <v>112</v>
      </c>
      <c r="M53">
        <v>316.65874517999998</v>
      </c>
      <c r="N53">
        <v>0</v>
      </c>
      <c r="O53" t="s">
        <v>89</v>
      </c>
      <c r="P53" s="44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93</v>
      </c>
      <c r="AD53" s="44">
        <v>43344</v>
      </c>
    </row>
    <row r="54" spans="1:30" x14ac:dyDescent="0.25">
      <c r="A54">
        <v>443833</v>
      </c>
      <c r="B54" t="s">
        <v>125</v>
      </c>
      <c r="C54">
        <v>2018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1153.4816149200001</v>
      </c>
      <c r="N54">
        <v>0</v>
      </c>
      <c r="O54" t="s">
        <v>89</v>
      </c>
      <c r="P54" s="44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93</v>
      </c>
      <c r="AD54" s="44">
        <v>43435</v>
      </c>
    </row>
    <row r="55" spans="1:30" x14ac:dyDescent="0.25">
      <c r="A55">
        <v>443785</v>
      </c>
      <c r="B55" t="s">
        <v>125</v>
      </c>
      <c r="C55">
        <v>2018</v>
      </c>
      <c r="D55">
        <v>12</v>
      </c>
      <c r="E55" t="s">
        <v>94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95</v>
      </c>
      <c r="L55" t="s">
        <v>112</v>
      </c>
      <c r="M55">
        <v>3041.3129330199999</v>
      </c>
      <c r="N55">
        <v>0</v>
      </c>
      <c r="O55" t="s">
        <v>89</v>
      </c>
      <c r="P55" s="44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93</v>
      </c>
      <c r="AD55" s="44">
        <v>43435</v>
      </c>
    </row>
    <row r="56" spans="1:30" x14ac:dyDescent="0.25">
      <c r="A56">
        <v>130342</v>
      </c>
      <c r="B56" t="s">
        <v>123</v>
      </c>
      <c r="C56">
        <v>2018</v>
      </c>
      <c r="D56">
        <v>10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879.43208655000001</v>
      </c>
      <c r="N56">
        <v>0</v>
      </c>
      <c r="O56" t="s">
        <v>89</v>
      </c>
      <c r="P56" s="44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93</v>
      </c>
      <c r="AD56" s="44">
        <v>43374</v>
      </c>
    </row>
    <row r="57" spans="1:30" x14ac:dyDescent="0.25">
      <c r="A57">
        <v>130318</v>
      </c>
      <c r="B57" t="s">
        <v>123</v>
      </c>
      <c r="C57">
        <v>2018</v>
      </c>
      <c r="D57">
        <v>10</v>
      </c>
      <c r="E57" t="s">
        <v>96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97</v>
      </c>
      <c r="L57" t="s">
        <v>112</v>
      </c>
      <c r="M57">
        <v>333.40243543999998</v>
      </c>
      <c r="N57">
        <v>0</v>
      </c>
      <c r="O57" t="s">
        <v>89</v>
      </c>
      <c r="P57" s="44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93</v>
      </c>
      <c r="AD57" s="44">
        <v>43374</v>
      </c>
    </row>
    <row r="58" spans="1:30" x14ac:dyDescent="0.25">
      <c r="A58">
        <v>144856</v>
      </c>
      <c r="B58" t="s">
        <v>124</v>
      </c>
      <c r="C58">
        <v>2018</v>
      </c>
      <c r="D58">
        <v>11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527.43779992999998</v>
      </c>
      <c r="N58">
        <v>0</v>
      </c>
      <c r="O58" t="s">
        <v>89</v>
      </c>
      <c r="P58" s="44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93</v>
      </c>
      <c r="AD58" s="44">
        <v>43405</v>
      </c>
    </row>
    <row r="59" spans="1:30" x14ac:dyDescent="0.25">
      <c r="A59">
        <v>63558</v>
      </c>
      <c r="B59" t="s">
        <v>127</v>
      </c>
      <c r="C59">
        <v>2018</v>
      </c>
      <c r="D59">
        <v>3</v>
      </c>
      <c r="E59" t="s">
        <v>94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95</v>
      </c>
      <c r="L59" t="s">
        <v>112</v>
      </c>
      <c r="M59">
        <v>2918.7091952800001</v>
      </c>
      <c r="N59">
        <v>0</v>
      </c>
      <c r="O59" t="s">
        <v>88</v>
      </c>
      <c r="P59" s="44">
        <v>44269.844469872682</v>
      </c>
      <c r="Q59">
        <v>560913</v>
      </c>
      <c r="R59" t="s">
        <v>83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93</v>
      </c>
      <c r="AD59" s="44">
        <v>43160</v>
      </c>
    </row>
    <row r="60" spans="1:30" x14ac:dyDescent="0.25">
      <c r="A60">
        <v>63604</v>
      </c>
      <c r="B60" t="s">
        <v>127</v>
      </c>
      <c r="C60">
        <v>2018</v>
      </c>
      <c r="D60">
        <v>3</v>
      </c>
      <c r="E60" t="s">
        <v>98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99</v>
      </c>
      <c r="L60" t="s">
        <v>112</v>
      </c>
      <c r="M60">
        <v>1101.95310419</v>
      </c>
      <c r="N60">
        <v>0</v>
      </c>
      <c r="O60" t="s">
        <v>88</v>
      </c>
      <c r="P60" s="44">
        <v>44269.844471643519</v>
      </c>
      <c r="Q60">
        <v>561005</v>
      </c>
      <c r="R60" t="s">
        <v>83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93</v>
      </c>
      <c r="AD60" s="44">
        <v>43160</v>
      </c>
    </row>
    <row r="61" spans="1:30" x14ac:dyDescent="0.25">
      <c r="A61">
        <v>63581</v>
      </c>
      <c r="B61" t="s">
        <v>127</v>
      </c>
      <c r="C61">
        <v>2018</v>
      </c>
      <c r="D61">
        <v>3</v>
      </c>
      <c r="E61" t="s">
        <v>96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97</v>
      </c>
      <c r="L61" t="s">
        <v>112</v>
      </c>
      <c r="M61">
        <v>681.39686511000002</v>
      </c>
      <c r="N61">
        <v>0</v>
      </c>
      <c r="O61" t="s">
        <v>88</v>
      </c>
      <c r="P61" s="44">
        <v>44269.844470682867</v>
      </c>
      <c r="Q61">
        <v>560959</v>
      </c>
      <c r="R61" t="s">
        <v>83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93</v>
      </c>
      <c r="AD61" s="44">
        <v>43160</v>
      </c>
    </row>
    <row r="62" spans="1:30" x14ac:dyDescent="0.25">
      <c r="A62">
        <v>38545</v>
      </c>
      <c r="B62" t="s">
        <v>128</v>
      </c>
      <c r="C62">
        <v>2018</v>
      </c>
      <c r="D62">
        <v>1</v>
      </c>
      <c r="E62" t="s">
        <v>94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95</v>
      </c>
      <c r="L62" t="s">
        <v>112</v>
      </c>
      <c r="M62">
        <v>2934.8747129799999</v>
      </c>
      <c r="N62">
        <v>0</v>
      </c>
      <c r="O62" t="s">
        <v>88</v>
      </c>
      <c r="P62" s="44">
        <v>44269.841712766203</v>
      </c>
      <c r="Q62">
        <v>327738</v>
      </c>
      <c r="R62" t="s">
        <v>83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93</v>
      </c>
      <c r="AD62" s="44">
        <v>43101</v>
      </c>
    </row>
    <row r="63" spans="1:30" x14ac:dyDescent="0.25">
      <c r="A63">
        <v>38568</v>
      </c>
      <c r="B63" t="s">
        <v>128</v>
      </c>
      <c r="C63">
        <v>2018</v>
      </c>
      <c r="D63">
        <v>1</v>
      </c>
      <c r="E63" t="s">
        <v>96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97</v>
      </c>
      <c r="L63" t="s">
        <v>112</v>
      </c>
      <c r="M63">
        <v>892.08334261000005</v>
      </c>
      <c r="N63">
        <v>0</v>
      </c>
      <c r="O63" t="s">
        <v>88</v>
      </c>
      <c r="P63" s="44">
        <v>44269.841713576388</v>
      </c>
      <c r="Q63">
        <v>327784</v>
      </c>
      <c r="R63" t="s">
        <v>83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93</v>
      </c>
      <c r="AD63" s="44">
        <v>43101</v>
      </c>
    </row>
    <row r="64" spans="1:30" x14ac:dyDescent="0.25">
      <c r="A64">
        <v>38591</v>
      </c>
      <c r="B64" t="s">
        <v>128</v>
      </c>
      <c r="C64">
        <v>2018</v>
      </c>
      <c r="D64">
        <v>1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1063.1400695499999</v>
      </c>
      <c r="N64">
        <v>0</v>
      </c>
      <c r="O64" t="s">
        <v>88</v>
      </c>
      <c r="P64" s="44">
        <v>44269.841714548609</v>
      </c>
      <c r="Q64">
        <v>327830</v>
      </c>
      <c r="R64" t="s">
        <v>83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93</v>
      </c>
      <c r="AD64" s="44">
        <v>43101</v>
      </c>
    </row>
    <row r="65" spans="1:30" x14ac:dyDescent="0.25">
      <c r="A65">
        <v>352684</v>
      </c>
      <c r="B65" t="s">
        <v>129</v>
      </c>
      <c r="C65">
        <v>2018</v>
      </c>
      <c r="D65">
        <v>5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2108.0789959600002</v>
      </c>
      <c r="N65">
        <v>0</v>
      </c>
      <c r="O65" t="s">
        <v>88</v>
      </c>
      <c r="P65" s="44">
        <v>44269.884373807872</v>
      </c>
      <c r="Q65">
        <v>3336167</v>
      </c>
      <c r="R65" t="s">
        <v>83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93</v>
      </c>
      <c r="AD65" s="44">
        <v>43221</v>
      </c>
    </row>
    <row r="66" spans="1:30" x14ac:dyDescent="0.25">
      <c r="A66">
        <v>352730</v>
      </c>
      <c r="B66" t="s">
        <v>129</v>
      </c>
      <c r="C66">
        <v>2018</v>
      </c>
      <c r="D66">
        <v>5</v>
      </c>
      <c r="E66" t="s">
        <v>98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99</v>
      </c>
      <c r="L66" t="s">
        <v>112</v>
      </c>
      <c r="M66">
        <v>932.17317322999997</v>
      </c>
      <c r="N66">
        <v>0</v>
      </c>
      <c r="O66" t="s">
        <v>88</v>
      </c>
      <c r="P66" s="44">
        <v>44269.884375000001</v>
      </c>
      <c r="Q66">
        <v>3336259</v>
      </c>
      <c r="R66" t="s">
        <v>83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93</v>
      </c>
      <c r="AD66" s="44">
        <v>43221</v>
      </c>
    </row>
    <row r="67" spans="1:30" x14ac:dyDescent="0.25">
      <c r="A67">
        <v>352707</v>
      </c>
      <c r="B67" t="s">
        <v>129</v>
      </c>
      <c r="C67">
        <v>2018</v>
      </c>
      <c r="D67">
        <v>5</v>
      </c>
      <c r="E67" t="s">
        <v>96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97</v>
      </c>
      <c r="L67" t="s">
        <v>112</v>
      </c>
      <c r="M67">
        <v>393.55599067000003</v>
      </c>
      <c r="N67">
        <v>0</v>
      </c>
      <c r="O67" t="s">
        <v>88</v>
      </c>
      <c r="P67" s="44">
        <v>44269.884374386573</v>
      </c>
      <c r="Q67">
        <v>3336213</v>
      </c>
      <c r="R67" t="s">
        <v>83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93</v>
      </c>
      <c r="AD67" s="44">
        <v>43221</v>
      </c>
    </row>
    <row r="68" spans="1:30" x14ac:dyDescent="0.25">
      <c r="A68">
        <v>23</v>
      </c>
      <c r="B68" t="s">
        <v>130</v>
      </c>
      <c r="C68">
        <v>2017</v>
      </c>
      <c r="D68">
        <v>9</v>
      </c>
      <c r="E68" t="s">
        <v>96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97</v>
      </c>
      <c r="L68" t="s">
        <v>112</v>
      </c>
      <c r="M68">
        <v>317.51694221999998</v>
      </c>
      <c r="N68">
        <v>0</v>
      </c>
      <c r="O68" t="s">
        <v>88</v>
      </c>
      <c r="P68" s="44">
        <v>44269.837767013887</v>
      </c>
      <c r="Q68">
        <v>46</v>
      </c>
      <c r="R68" t="s">
        <v>83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93</v>
      </c>
      <c r="AD68" s="44">
        <v>42979</v>
      </c>
    </row>
    <row r="69" spans="1:30" x14ac:dyDescent="0.25">
      <c r="A69">
        <v>2</v>
      </c>
      <c r="B69" t="s">
        <v>130</v>
      </c>
      <c r="C69">
        <v>2017</v>
      </c>
      <c r="D69">
        <v>9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1525.35760676</v>
      </c>
      <c r="N69">
        <v>0</v>
      </c>
      <c r="O69" t="s">
        <v>88</v>
      </c>
      <c r="P69" s="44">
        <v>44269.837765891207</v>
      </c>
      <c r="Q69">
        <v>4</v>
      </c>
      <c r="R69" t="s">
        <v>83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93</v>
      </c>
      <c r="AD69" s="44">
        <v>42979</v>
      </c>
    </row>
    <row r="70" spans="1:30" x14ac:dyDescent="0.25">
      <c r="A70">
        <v>44</v>
      </c>
      <c r="B70" t="s">
        <v>130</v>
      </c>
      <c r="C70">
        <v>2017</v>
      </c>
      <c r="D70">
        <v>9</v>
      </c>
      <c r="E70" t="s">
        <v>98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99</v>
      </c>
      <c r="L70" t="s">
        <v>112</v>
      </c>
      <c r="M70">
        <v>1160.3236436</v>
      </c>
      <c r="N70">
        <v>0</v>
      </c>
      <c r="O70" t="s">
        <v>88</v>
      </c>
      <c r="P70" s="44">
        <v>44269.837768090278</v>
      </c>
      <c r="Q70">
        <v>88</v>
      </c>
      <c r="R70" t="s">
        <v>83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93</v>
      </c>
      <c r="AD70" s="44">
        <v>42979</v>
      </c>
    </row>
    <row r="71" spans="1:30" x14ac:dyDescent="0.25">
      <c r="A71">
        <v>655461</v>
      </c>
      <c r="B71" t="s">
        <v>131</v>
      </c>
      <c r="C71">
        <v>2017</v>
      </c>
      <c r="D71">
        <v>1</v>
      </c>
      <c r="E71" t="s">
        <v>63</v>
      </c>
      <c r="F71" t="s">
        <v>93</v>
      </c>
      <c r="G71" t="s">
        <v>93</v>
      </c>
      <c r="H71" t="s">
        <v>25</v>
      </c>
      <c r="I71" t="s">
        <v>25</v>
      </c>
      <c r="J71" t="s">
        <v>132</v>
      </c>
      <c r="K71" t="s">
        <v>115</v>
      </c>
      <c r="L71" t="s">
        <v>112</v>
      </c>
      <c r="M71">
        <v>1996.11345764</v>
      </c>
      <c r="N71">
        <v>0</v>
      </c>
      <c r="O71" t="s">
        <v>88</v>
      </c>
      <c r="P71" s="44">
        <v>44334.054137187501</v>
      </c>
      <c r="Q71">
        <v>5805247</v>
      </c>
      <c r="R71" t="s">
        <v>83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93</v>
      </c>
      <c r="AD71" s="44">
        <v>42736</v>
      </c>
    </row>
    <row r="72" spans="1:30" x14ac:dyDescent="0.25">
      <c r="A72">
        <v>655417</v>
      </c>
      <c r="B72" t="s">
        <v>131</v>
      </c>
      <c r="C72">
        <v>2017</v>
      </c>
      <c r="D72">
        <v>1</v>
      </c>
      <c r="E72" t="s">
        <v>94</v>
      </c>
      <c r="F72" t="s">
        <v>93</v>
      </c>
      <c r="G72" t="s">
        <v>93</v>
      </c>
      <c r="H72" t="s">
        <v>25</v>
      </c>
      <c r="I72" t="s">
        <v>25</v>
      </c>
      <c r="J72" t="s">
        <v>132</v>
      </c>
      <c r="K72" t="s">
        <v>111</v>
      </c>
      <c r="L72" t="s">
        <v>112</v>
      </c>
      <c r="M72">
        <v>4925.9076084899998</v>
      </c>
      <c r="N72">
        <v>0</v>
      </c>
      <c r="O72" t="s">
        <v>88</v>
      </c>
      <c r="P72" s="44">
        <v>44334.054136030092</v>
      </c>
      <c r="Q72">
        <v>5805159</v>
      </c>
      <c r="R72" t="s">
        <v>83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93</v>
      </c>
      <c r="AD72" s="44">
        <v>42736</v>
      </c>
    </row>
    <row r="73" spans="1:30" x14ac:dyDescent="0.25">
      <c r="A73">
        <v>655439</v>
      </c>
      <c r="B73" t="s">
        <v>131</v>
      </c>
      <c r="C73">
        <v>2017</v>
      </c>
      <c r="D73">
        <v>1</v>
      </c>
      <c r="E73" t="s">
        <v>96</v>
      </c>
      <c r="F73" t="s">
        <v>93</v>
      </c>
      <c r="G73" t="s">
        <v>93</v>
      </c>
      <c r="H73" t="s">
        <v>25</v>
      </c>
      <c r="I73" t="s">
        <v>25</v>
      </c>
      <c r="J73" t="s">
        <v>132</v>
      </c>
      <c r="K73" t="s">
        <v>113</v>
      </c>
      <c r="L73" t="s">
        <v>112</v>
      </c>
      <c r="M73">
        <v>1242.4683375</v>
      </c>
      <c r="N73">
        <v>0</v>
      </c>
      <c r="O73" t="s">
        <v>88</v>
      </c>
      <c r="P73" s="44">
        <v>44334.054136608793</v>
      </c>
      <c r="Q73">
        <v>5805203</v>
      </c>
      <c r="R73" t="s">
        <v>83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93</v>
      </c>
      <c r="AD73" s="44">
        <v>42736</v>
      </c>
    </row>
    <row r="74" spans="1:30" x14ac:dyDescent="0.25">
      <c r="A74">
        <v>520721</v>
      </c>
      <c r="B74" t="s">
        <v>133</v>
      </c>
      <c r="C74">
        <v>2017</v>
      </c>
      <c r="D74">
        <v>2</v>
      </c>
      <c r="E74" t="s">
        <v>96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97</v>
      </c>
      <c r="L74" t="s">
        <v>112</v>
      </c>
      <c r="M74">
        <v>1561.42030755</v>
      </c>
      <c r="N74">
        <v>0</v>
      </c>
      <c r="O74" t="s">
        <v>88</v>
      </c>
      <c r="P74" s="44">
        <v>44330.100813923607</v>
      </c>
      <c r="Q74">
        <v>4802848</v>
      </c>
      <c r="R74" t="s">
        <v>83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93</v>
      </c>
      <c r="AD74" s="44">
        <v>42767</v>
      </c>
    </row>
    <row r="75" spans="1:30" x14ac:dyDescent="0.25">
      <c r="A75">
        <v>530744</v>
      </c>
      <c r="B75" t="s">
        <v>134</v>
      </c>
      <c r="C75">
        <v>2017</v>
      </c>
      <c r="D75">
        <v>3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1611.96951592</v>
      </c>
      <c r="N75">
        <v>0</v>
      </c>
      <c r="O75" t="s">
        <v>88</v>
      </c>
      <c r="P75" s="44">
        <v>44330.101799884258</v>
      </c>
      <c r="Q75">
        <v>4888357</v>
      </c>
      <c r="R75" t="s">
        <v>83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93</v>
      </c>
      <c r="AD75" s="44">
        <v>42795</v>
      </c>
    </row>
    <row r="76" spans="1:30" x14ac:dyDescent="0.25">
      <c r="A76">
        <v>520699</v>
      </c>
      <c r="B76" t="s">
        <v>133</v>
      </c>
      <c r="C76">
        <v>2017</v>
      </c>
      <c r="D76">
        <v>2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5836.6764009500002</v>
      </c>
      <c r="N76">
        <v>0</v>
      </c>
      <c r="O76" t="s">
        <v>88</v>
      </c>
      <c r="P76" s="44">
        <v>44330.100813229168</v>
      </c>
      <c r="Q76">
        <v>4802804</v>
      </c>
      <c r="R76" t="s">
        <v>83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93</v>
      </c>
      <c r="AD76" s="44">
        <v>42767</v>
      </c>
    </row>
    <row r="77" spans="1:30" x14ac:dyDescent="0.25">
      <c r="A77">
        <v>520743</v>
      </c>
      <c r="B77" t="s">
        <v>133</v>
      </c>
      <c r="C77">
        <v>2017</v>
      </c>
      <c r="D77">
        <v>2</v>
      </c>
      <c r="E77" t="s">
        <v>98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99</v>
      </c>
      <c r="L77" t="s">
        <v>112</v>
      </c>
      <c r="M77">
        <v>1936.6982957099999</v>
      </c>
      <c r="N77">
        <v>0</v>
      </c>
      <c r="O77" t="s">
        <v>88</v>
      </c>
      <c r="P77" s="44">
        <v>44330.100814583333</v>
      </c>
      <c r="Q77">
        <v>4802892</v>
      </c>
      <c r="R77" t="s">
        <v>83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93</v>
      </c>
      <c r="AD77" s="44">
        <v>42767</v>
      </c>
    </row>
    <row r="78" spans="1:30" x14ac:dyDescent="0.25">
      <c r="A78">
        <v>530722</v>
      </c>
      <c r="B78" t="s">
        <v>134</v>
      </c>
      <c r="C78">
        <v>2017</v>
      </c>
      <c r="D78">
        <v>3</v>
      </c>
      <c r="E78" t="s">
        <v>94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95</v>
      </c>
      <c r="L78" t="s">
        <v>112</v>
      </c>
      <c r="M78">
        <v>6064.1041034099999</v>
      </c>
      <c r="N78">
        <v>0</v>
      </c>
      <c r="O78" t="s">
        <v>88</v>
      </c>
      <c r="P78" s="44">
        <v>44330.101799189812</v>
      </c>
      <c r="Q78">
        <v>4888313</v>
      </c>
      <c r="R78" t="s">
        <v>83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93</v>
      </c>
      <c r="AD78" s="44">
        <v>42795</v>
      </c>
    </row>
    <row r="79" spans="1:30" x14ac:dyDescent="0.25">
      <c r="A79">
        <v>530766</v>
      </c>
      <c r="B79" t="s">
        <v>134</v>
      </c>
      <c r="C79">
        <v>2017</v>
      </c>
      <c r="D79">
        <v>3</v>
      </c>
      <c r="E79" t="s">
        <v>98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99</v>
      </c>
      <c r="L79" t="s">
        <v>112</v>
      </c>
      <c r="M79">
        <v>1971.01751208</v>
      </c>
      <c r="N79">
        <v>0</v>
      </c>
      <c r="O79" t="s">
        <v>88</v>
      </c>
      <c r="P79" s="44">
        <v>44330.101800497687</v>
      </c>
      <c r="Q79">
        <v>4888401</v>
      </c>
      <c r="R79" t="s">
        <v>83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93</v>
      </c>
      <c r="AD79" s="44">
        <v>42795</v>
      </c>
    </row>
    <row r="80" spans="1:30" x14ac:dyDescent="0.25">
      <c r="A80">
        <v>51320</v>
      </c>
      <c r="B80" t="s">
        <v>126</v>
      </c>
      <c r="C80">
        <v>2018</v>
      </c>
      <c r="D80">
        <v>2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2992.3278786400001</v>
      </c>
      <c r="N80">
        <v>0</v>
      </c>
      <c r="O80" t="s">
        <v>88</v>
      </c>
      <c r="P80" s="44">
        <v>44269.843124270832</v>
      </c>
      <c r="Q80">
        <v>446369</v>
      </c>
      <c r="R80" t="s">
        <v>91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93</v>
      </c>
      <c r="AD80" s="44">
        <v>43132</v>
      </c>
    </row>
    <row r="81" spans="1:30" x14ac:dyDescent="0.25">
      <c r="A81">
        <v>51364</v>
      </c>
      <c r="B81" t="s">
        <v>126</v>
      </c>
      <c r="C81">
        <v>2018</v>
      </c>
      <c r="D81">
        <v>2</v>
      </c>
      <c r="E81" t="s">
        <v>98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99</v>
      </c>
      <c r="L81" t="s">
        <v>112</v>
      </c>
      <c r="M81">
        <v>1043.8948492300001</v>
      </c>
      <c r="N81">
        <v>0</v>
      </c>
      <c r="O81" t="s">
        <v>88</v>
      </c>
      <c r="P81" s="44">
        <v>44269.843125613428</v>
      </c>
      <c r="Q81">
        <v>446457</v>
      </c>
      <c r="R81" t="s">
        <v>91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93</v>
      </c>
      <c r="AD81" s="44">
        <v>43132</v>
      </c>
    </row>
    <row r="82" spans="1:30" x14ac:dyDescent="0.25">
      <c r="A82">
        <v>51342</v>
      </c>
      <c r="B82" t="s">
        <v>126</v>
      </c>
      <c r="C82">
        <v>2018</v>
      </c>
      <c r="D82">
        <v>2</v>
      </c>
      <c r="E82" t="s">
        <v>96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97</v>
      </c>
      <c r="L82" t="s">
        <v>112</v>
      </c>
      <c r="M82">
        <v>828.89142677999996</v>
      </c>
      <c r="N82">
        <v>0</v>
      </c>
      <c r="O82" t="s">
        <v>88</v>
      </c>
      <c r="P82" s="44">
        <v>44269.843124965279</v>
      </c>
      <c r="Q82">
        <v>446413</v>
      </c>
      <c r="R82" t="s">
        <v>91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93</v>
      </c>
      <c r="AD82" s="44">
        <v>43132</v>
      </c>
    </row>
    <row r="83" spans="1:30" x14ac:dyDescent="0.25">
      <c r="A83">
        <v>86397</v>
      </c>
      <c r="B83" t="s">
        <v>135</v>
      </c>
      <c r="C83">
        <v>2018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915.94283647999998</v>
      </c>
      <c r="N83">
        <v>0</v>
      </c>
      <c r="O83" t="s">
        <v>88</v>
      </c>
      <c r="P83" s="44">
        <v>44269.847218599527</v>
      </c>
      <c r="Q83">
        <v>783298</v>
      </c>
      <c r="R83" t="s">
        <v>83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93</v>
      </c>
      <c r="AD83" s="44">
        <v>43252</v>
      </c>
    </row>
    <row r="84" spans="1:30" x14ac:dyDescent="0.25">
      <c r="A84">
        <v>86373</v>
      </c>
      <c r="B84" t="s">
        <v>135</v>
      </c>
      <c r="C84">
        <v>2018</v>
      </c>
      <c r="D84">
        <v>6</v>
      </c>
      <c r="E84" t="s">
        <v>96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97</v>
      </c>
      <c r="L84" t="s">
        <v>112</v>
      </c>
      <c r="M84">
        <v>349.81857975999998</v>
      </c>
      <c r="N84">
        <v>0</v>
      </c>
      <c r="O84" t="s">
        <v>88</v>
      </c>
      <c r="P84" s="44">
        <v>44269.847217708331</v>
      </c>
      <c r="Q84">
        <v>783250</v>
      </c>
      <c r="R84" t="s">
        <v>83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93</v>
      </c>
      <c r="AD84" s="44">
        <v>43252</v>
      </c>
    </row>
    <row r="85" spans="1:30" x14ac:dyDescent="0.25">
      <c r="A85">
        <v>86349</v>
      </c>
      <c r="B85" t="s">
        <v>135</v>
      </c>
      <c r="C85">
        <v>2018</v>
      </c>
      <c r="D85">
        <v>6</v>
      </c>
      <c r="E85" t="s">
        <v>94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95</v>
      </c>
      <c r="L85" t="s">
        <v>112</v>
      </c>
      <c r="M85">
        <v>1943.0653741900001</v>
      </c>
      <c r="N85">
        <v>0</v>
      </c>
      <c r="O85" t="s">
        <v>88</v>
      </c>
      <c r="P85" s="44">
        <v>44269.847216898153</v>
      </c>
      <c r="Q85">
        <v>783202</v>
      </c>
      <c r="R85" t="s">
        <v>83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93</v>
      </c>
      <c r="AD85" s="44">
        <v>43252</v>
      </c>
    </row>
    <row r="86" spans="1:30" x14ac:dyDescent="0.25">
      <c r="A86">
        <v>352730</v>
      </c>
      <c r="B86" t="s">
        <v>129</v>
      </c>
      <c r="C86">
        <v>2018</v>
      </c>
      <c r="D86">
        <v>5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932.17317322999997</v>
      </c>
      <c r="N86">
        <v>0</v>
      </c>
      <c r="O86" t="s">
        <v>88</v>
      </c>
      <c r="P86" s="44">
        <v>44269.884375000001</v>
      </c>
      <c r="Q86">
        <v>3336258</v>
      </c>
      <c r="R86" t="s">
        <v>91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93</v>
      </c>
      <c r="AD86" s="44">
        <v>43221</v>
      </c>
    </row>
    <row r="87" spans="1:30" x14ac:dyDescent="0.25">
      <c r="A87">
        <v>352707</v>
      </c>
      <c r="B87" t="s">
        <v>129</v>
      </c>
      <c r="C87">
        <v>2018</v>
      </c>
      <c r="D87">
        <v>5</v>
      </c>
      <c r="E87" t="s">
        <v>96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97</v>
      </c>
      <c r="L87" t="s">
        <v>112</v>
      </c>
      <c r="M87">
        <v>393.55599067000003</v>
      </c>
      <c r="N87">
        <v>0</v>
      </c>
      <c r="O87" t="s">
        <v>88</v>
      </c>
      <c r="P87" s="44">
        <v>44269.884374386573</v>
      </c>
      <c r="Q87">
        <v>3336212</v>
      </c>
      <c r="R87" t="s">
        <v>91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93</v>
      </c>
      <c r="AD87" s="44">
        <v>43221</v>
      </c>
    </row>
    <row r="88" spans="1:30" x14ac:dyDescent="0.25">
      <c r="A88">
        <v>352684</v>
      </c>
      <c r="B88" t="s">
        <v>129</v>
      </c>
      <c r="C88">
        <v>2018</v>
      </c>
      <c r="D88">
        <v>5</v>
      </c>
      <c r="E88" t="s">
        <v>94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95</v>
      </c>
      <c r="L88" t="s">
        <v>112</v>
      </c>
      <c r="M88">
        <v>2108.0789959600002</v>
      </c>
      <c r="N88">
        <v>0</v>
      </c>
      <c r="O88" t="s">
        <v>88</v>
      </c>
      <c r="P88" s="44">
        <v>44269.884373807872</v>
      </c>
      <c r="Q88">
        <v>3336166</v>
      </c>
      <c r="R88" t="s">
        <v>91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93</v>
      </c>
      <c r="AD88" s="44">
        <v>43221</v>
      </c>
    </row>
    <row r="89" spans="1:30" x14ac:dyDescent="0.25">
      <c r="A89">
        <v>144856</v>
      </c>
      <c r="B89" t="s">
        <v>124</v>
      </c>
      <c r="C89">
        <v>2018</v>
      </c>
      <c r="D89">
        <v>11</v>
      </c>
      <c r="E89" t="s">
        <v>96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97</v>
      </c>
      <c r="L89" t="s">
        <v>112</v>
      </c>
      <c r="M89">
        <v>527.43779992999998</v>
      </c>
      <c r="N89">
        <v>0</v>
      </c>
      <c r="O89" t="s">
        <v>89</v>
      </c>
      <c r="P89" s="44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93</v>
      </c>
      <c r="AD89" s="44">
        <v>43405</v>
      </c>
    </row>
    <row r="90" spans="1:30" x14ac:dyDescent="0.25">
      <c r="A90">
        <v>144832</v>
      </c>
      <c r="B90" t="s">
        <v>124</v>
      </c>
      <c r="C90">
        <v>2018</v>
      </c>
      <c r="D90">
        <v>11</v>
      </c>
      <c r="E90" t="s">
        <v>94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95</v>
      </c>
      <c r="L90" t="s">
        <v>112</v>
      </c>
      <c r="M90">
        <v>1939.5207746900001</v>
      </c>
      <c r="N90">
        <v>0</v>
      </c>
      <c r="O90" t="s">
        <v>89</v>
      </c>
      <c r="P90" s="44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93</v>
      </c>
      <c r="AD90" s="44">
        <v>43405</v>
      </c>
    </row>
    <row r="91" spans="1:30" x14ac:dyDescent="0.25">
      <c r="A91">
        <v>119662</v>
      </c>
      <c r="B91" t="s">
        <v>122</v>
      </c>
      <c r="C91">
        <v>2018</v>
      </c>
      <c r="D91">
        <v>9</v>
      </c>
      <c r="E91" t="s">
        <v>98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99</v>
      </c>
      <c r="L91" t="s">
        <v>112</v>
      </c>
      <c r="M91">
        <v>843.05591856000001</v>
      </c>
      <c r="N91">
        <v>0</v>
      </c>
      <c r="O91" t="s">
        <v>89</v>
      </c>
      <c r="P91" s="44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93</v>
      </c>
      <c r="AD91" s="44">
        <v>43344</v>
      </c>
    </row>
    <row r="92" spans="1:30" x14ac:dyDescent="0.25">
      <c r="A92">
        <v>119614</v>
      </c>
      <c r="B92" t="s">
        <v>122</v>
      </c>
      <c r="C92">
        <v>2018</v>
      </c>
      <c r="D92">
        <v>9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1439.52704135</v>
      </c>
      <c r="N92">
        <v>0</v>
      </c>
      <c r="O92" t="s">
        <v>89</v>
      </c>
      <c r="P92" s="44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93</v>
      </c>
      <c r="AD92" s="44">
        <v>43344</v>
      </c>
    </row>
    <row r="93" spans="1:30" x14ac:dyDescent="0.25">
      <c r="A93">
        <v>119638</v>
      </c>
      <c r="B93" t="s">
        <v>122</v>
      </c>
      <c r="C93">
        <v>2018</v>
      </c>
      <c r="D93">
        <v>9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316.65874517999998</v>
      </c>
      <c r="N93">
        <v>0</v>
      </c>
      <c r="O93" t="s">
        <v>89</v>
      </c>
      <c r="P93" s="44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93</v>
      </c>
      <c r="AD93" s="44">
        <v>43344</v>
      </c>
    </row>
    <row r="94" spans="1:30" x14ac:dyDescent="0.25">
      <c r="A94">
        <v>130318</v>
      </c>
      <c r="B94" t="s">
        <v>123</v>
      </c>
      <c r="C94">
        <v>2018</v>
      </c>
      <c r="D94">
        <v>10</v>
      </c>
      <c r="E94" t="s">
        <v>96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97</v>
      </c>
      <c r="L94" t="s">
        <v>112</v>
      </c>
      <c r="M94">
        <v>333.40243543999998</v>
      </c>
      <c r="N94">
        <v>0</v>
      </c>
      <c r="O94" t="s">
        <v>89</v>
      </c>
      <c r="P94" s="44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93</v>
      </c>
      <c r="AD94" s="44">
        <v>43374</v>
      </c>
    </row>
    <row r="95" spans="1:30" x14ac:dyDescent="0.25">
      <c r="A95">
        <v>144880</v>
      </c>
      <c r="B95" t="s">
        <v>124</v>
      </c>
      <c r="C95">
        <v>2018</v>
      </c>
      <c r="D95">
        <v>11</v>
      </c>
      <c r="E95" t="s">
        <v>98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99</v>
      </c>
      <c r="L95" t="s">
        <v>112</v>
      </c>
      <c r="M95">
        <v>1036.3887642100001</v>
      </c>
      <c r="N95">
        <v>0</v>
      </c>
      <c r="O95" t="s">
        <v>89</v>
      </c>
      <c r="P95" s="44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93</v>
      </c>
      <c r="AD95" s="44">
        <v>43405</v>
      </c>
    </row>
    <row r="96" spans="1:30" x14ac:dyDescent="0.25">
      <c r="A96">
        <v>443785</v>
      </c>
      <c r="B96" t="s">
        <v>125</v>
      </c>
      <c r="C96">
        <v>2018</v>
      </c>
      <c r="D96">
        <v>12</v>
      </c>
      <c r="E96" t="s">
        <v>94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95</v>
      </c>
      <c r="L96" t="s">
        <v>112</v>
      </c>
      <c r="M96">
        <v>3041.3129330199999</v>
      </c>
      <c r="N96">
        <v>0</v>
      </c>
      <c r="O96" t="s">
        <v>89</v>
      </c>
      <c r="P96" s="44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93</v>
      </c>
      <c r="AD96" s="44">
        <v>43435</v>
      </c>
    </row>
    <row r="97" spans="1:30" x14ac:dyDescent="0.25">
      <c r="A97">
        <v>130294</v>
      </c>
      <c r="B97" t="s">
        <v>123</v>
      </c>
      <c r="C97">
        <v>2018</v>
      </c>
      <c r="D97">
        <v>10</v>
      </c>
      <c r="E97" t="s">
        <v>94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95</v>
      </c>
      <c r="L97" t="s">
        <v>112</v>
      </c>
      <c r="M97">
        <v>1428.8615156599999</v>
      </c>
      <c r="N97">
        <v>0</v>
      </c>
      <c r="O97" t="s">
        <v>89</v>
      </c>
      <c r="P97" s="44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93</v>
      </c>
      <c r="AD97" s="44">
        <v>43374</v>
      </c>
    </row>
    <row r="98" spans="1:30" x14ac:dyDescent="0.25">
      <c r="A98">
        <v>443833</v>
      </c>
      <c r="B98" t="s">
        <v>125</v>
      </c>
      <c r="C98">
        <v>2018</v>
      </c>
      <c r="D98">
        <v>12</v>
      </c>
      <c r="E98" t="s">
        <v>98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99</v>
      </c>
      <c r="L98" t="s">
        <v>112</v>
      </c>
      <c r="M98">
        <v>1153.4816149200001</v>
      </c>
      <c r="N98">
        <v>0</v>
      </c>
      <c r="O98" t="s">
        <v>89</v>
      </c>
      <c r="P98" s="44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93</v>
      </c>
      <c r="AD98" s="44">
        <v>43435</v>
      </c>
    </row>
    <row r="99" spans="1:30" x14ac:dyDescent="0.25">
      <c r="A99">
        <v>130342</v>
      </c>
      <c r="B99" t="s">
        <v>123</v>
      </c>
      <c r="C99">
        <v>2018</v>
      </c>
      <c r="D99">
        <v>10</v>
      </c>
      <c r="E99" t="s">
        <v>98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99</v>
      </c>
      <c r="L99" t="s">
        <v>112</v>
      </c>
      <c r="M99">
        <v>879.43208655000001</v>
      </c>
      <c r="N99">
        <v>0</v>
      </c>
      <c r="O99" t="s">
        <v>89</v>
      </c>
      <c r="P99" s="44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93</v>
      </c>
      <c r="AD99" s="44">
        <v>43374</v>
      </c>
    </row>
    <row r="100" spans="1:30" x14ac:dyDescent="0.25">
      <c r="A100">
        <v>443809</v>
      </c>
      <c r="B100" t="s">
        <v>125</v>
      </c>
      <c r="C100">
        <v>2018</v>
      </c>
      <c r="D100">
        <v>12</v>
      </c>
      <c r="E100" t="s">
        <v>96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97</v>
      </c>
      <c r="L100" t="s">
        <v>112</v>
      </c>
      <c r="M100">
        <v>824.95046656</v>
      </c>
      <c r="N100">
        <v>0</v>
      </c>
      <c r="O100" t="s">
        <v>89</v>
      </c>
      <c r="P100" s="44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93</v>
      </c>
      <c r="AD100" s="44">
        <v>43435</v>
      </c>
    </row>
    <row r="101" spans="1:30" x14ac:dyDescent="0.25">
      <c r="A101">
        <v>63558</v>
      </c>
      <c r="B101" t="s">
        <v>127</v>
      </c>
      <c r="C101">
        <v>2018</v>
      </c>
      <c r="D101">
        <v>3</v>
      </c>
      <c r="E101" t="s">
        <v>94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95</v>
      </c>
      <c r="L101" t="s">
        <v>112</v>
      </c>
      <c r="M101">
        <v>2918.7091952800001</v>
      </c>
      <c r="N101">
        <v>0</v>
      </c>
      <c r="O101" t="s">
        <v>88</v>
      </c>
      <c r="P101" s="44">
        <v>44269.844469872682</v>
      </c>
      <c r="Q101">
        <v>560912</v>
      </c>
      <c r="R101" t="s">
        <v>91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93</v>
      </c>
      <c r="AD101" s="44">
        <v>43160</v>
      </c>
    </row>
    <row r="102" spans="1:30" x14ac:dyDescent="0.25">
      <c r="A102">
        <v>63604</v>
      </c>
      <c r="B102" t="s">
        <v>127</v>
      </c>
      <c r="C102">
        <v>2018</v>
      </c>
      <c r="D102">
        <v>3</v>
      </c>
      <c r="E102" t="s">
        <v>98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99</v>
      </c>
      <c r="L102" t="s">
        <v>112</v>
      </c>
      <c r="M102">
        <v>1101.95310419</v>
      </c>
      <c r="N102">
        <v>0</v>
      </c>
      <c r="O102" t="s">
        <v>88</v>
      </c>
      <c r="P102" s="44">
        <v>44269.844471643519</v>
      </c>
      <c r="Q102">
        <v>561004</v>
      </c>
      <c r="R102" t="s">
        <v>91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93</v>
      </c>
      <c r="AD102" s="44">
        <v>43160</v>
      </c>
    </row>
    <row r="103" spans="1:30" x14ac:dyDescent="0.25">
      <c r="A103">
        <v>63581</v>
      </c>
      <c r="B103" t="s">
        <v>127</v>
      </c>
      <c r="C103">
        <v>2018</v>
      </c>
      <c r="D103">
        <v>3</v>
      </c>
      <c r="E103" t="s">
        <v>96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97</v>
      </c>
      <c r="L103" t="s">
        <v>112</v>
      </c>
      <c r="M103">
        <v>681.39686511000002</v>
      </c>
      <c r="N103">
        <v>0</v>
      </c>
      <c r="O103" t="s">
        <v>88</v>
      </c>
      <c r="P103" s="44">
        <v>44269.844470682867</v>
      </c>
      <c r="Q103">
        <v>560958</v>
      </c>
      <c r="R103" t="s">
        <v>91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93</v>
      </c>
      <c r="AD103" s="44">
        <v>43160</v>
      </c>
    </row>
    <row r="104" spans="1:30" x14ac:dyDescent="0.25">
      <c r="A104">
        <v>9842</v>
      </c>
      <c r="B104" t="s">
        <v>136</v>
      </c>
      <c r="C104">
        <v>2017</v>
      </c>
      <c r="D104">
        <v>10</v>
      </c>
      <c r="E104" t="s">
        <v>98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99</v>
      </c>
      <c r="L104" t="s">
        <v>112</v>
      </c>
      <c r="M104">
        <v>1325.6322066800001</v>
      </c>
      <c r="N104">
        <v>0</v>
      </c>
      <c r="O104" t="s">
        <v>88</v>
      </c>
      <c r="P104" s="44">
        <v>44269.838788229157</v>
      </c>
      <c r="Q104">
        <v>83969</v>
      </c>
      <c r="R104" t="s">
        <v>83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93</v>
      </c>
      <c r="AD104" s="44">
        <v>43009</v>
      </c>
    </row>
    <row r="105" spans="1:30" x14ac:dyDescent="0.25">
      <c r="A105">
        <v>9800</v>
      </c>
      <c r="B105" t="s">
        <v>136</v>
      </c>
      <c r="C105">
        <v>2017</v>
      </c>
      <c r="D105">
        <v>10</v>
      </c>
      <c r="E105" t="s">
        <v>94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95</v>
      </c>
      <c r="L105" t="s">
        <v>112</v>
      </c>
      <c r="M105">
        <v>1690.9131185399999</v>
      </c>
      <c r="N105">
        <v>0</v>
      </c>
      <c r="O105" t="s">
        <v>88</v>
      </c>
      <c r="P105" s="44">
        <v>44269.83878622685</v>
      </c>
      <c r="Q105">
        <v>83885</v>
      </c>
      <c r="R105" t="s">
        <v>83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93</v>
      </c>
      <c r="AD105" s="44">
        <v>43009</v>
      </c>
    </row>
    <row r="106" spans="1:30" x14ac:dyDescent="0.25">
      <c r="A106">
        <v>9821</v>
      </c>
      <c r="B106" t="s">
        <v>136</v>
      </c>
      <c r="C106">
        <v>2017</v>
      </c>
      <c r="D106">
        <v>10</v>
      </c>
      <c r="E106" t="s">
        <v>96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97</v>
      </c>
      <c r="L106" t="s">
        <v>112</v>
      </c>
      <c r="M106">
        <v>345.79406583999997</v>
      </c>
      <c r="N106">
        <v>0</v>
      </c>
      <c r="O106" t="s">
        <v>88</v>
      </c>
      <c r="P106" s="44">
        <v>44269.83878726852</v>
      </c>
      <c r="Q106">
        <v>83927</v>
      </c>
      <c r="R106" t="s">
        <v>83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93</v>
      </c>
      <c r="AD106" s="44">
        <v>43009</v>
      </c>
    </row>
    <row r="107" spans="1:30" x14ac:dyDescent="0.25">
      <c r="A107">
        <v>38545</v>
      </c>
      <c r="B107" t="s">
        <v>128</v>
      </c>
      <c r="C107">
        <v>2018</v>
      </c>
      <c r="D107">
        <v>1</v>
      </c>
      <c r="E107" t="s">
        <v>94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95</v>
      </c>
      <c r="L107" t="s">
        <v>112</v>
      </c>
      <c r="M107">
        <v>2934.8747129799999</v>
      </c>
      <c r="N107">
        <v>0</v>
      </c>
      <c r="O107" t="s">
        <v>88</v>
      </c>
      <c r="P107" s="44">
        <v>44269.841712766203</v>
      </c>
      <c r="Q107">
        <v>327737</v>
      </c>
      <c r="R107" t="s">
        <v>91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93</v>
      </c>
      <c r="AD107" s="44">
        <v>43101</v>
      </c>
    </row>
    <row r="108" spans="1:30" x14ac:dyDescent="0.25">
      <c r="A108">
        <v>38591</v>
      </c>
      <c r="B108" t="s">
        <v>128</v>
      </c>
      <c r="C108">
        <v>2018</v>
      </c>
      <c r="D108">
        <v>1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1063.1400695499999</v>
      </c>
      <c r="N108">
        <v>0</v>
      </c>
      <c r="O108" t="s">
        <v>88</v>
      </c>
      <c r="P108" s="44">
        <v>44269.841714548609</v>
      </c>
      <c r="Q108">
        <v>327829</v>
      </c>
      <c r="R108" t="s">
        <v>91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93</v>
      </c>
      <c r="AD108" s="44">
        <v>43101</v>
      </c>
    </row>
    <row r="109" spans="1:30" x14ac:dyDescent="0.25">
      <c r="A109">
        <v>38568</v>
      </c>
      <c r="B109" t="s">
        <v>128</v>
      </c>
      <c r="C109">
        <v>2018</v>
      </c>
      <c r="D109">
        <v>1</v>
      </c>
      <c r="E109" t="s">
        <v>96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97</v>
      </c>
      <c r="L109" t="s">
        <v>112</v>
      </c>
      <c r="M109">
        <v>892.08334261000005</v>
      </c>
      <c r="N109">
        <v>0</v>
      </c>
      <c r="O109" t="s">
        <v>88</v>
      </c>
      <c r="P109" s="44">
        <v>44269.841713576388</v>
      </c>
      <c r="Q109">
        <v>327783</v>
      </c>
      <c r="R109" t="s">
        <v>91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93</v>
      </c>
      <c r="AD109" s="44">
        <v>43101</v>
      </c>
    </row>
    <row r="110" spans="1:30" x14ac:dyDescent="0.25">
      <c r="A110">
        <v>119614</v>
      </c>
      <c r="B110" t="s">
        <v>122</v>
      </c>
      <c r="C110">
        <v>2018</v>
      </c>
      <c r="D110">
        <v>9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1439.52704135</v>
      </c>
      <c r="N110">
        <v>0</v>
      </c>
      <c r="O110" t="s">
        <v>89</v>
      </c>
      <c r="P110" s="44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93</v>
      </c>
      <c r="AD110" s="44">
        <v>43344</v>
      </c>
    </row>
    <row r="111" spans="1:30" x14ac:dyDescent="0.25">
      <c r="A111">
        <v>119662</v>
      </c>
      <c r="B111" t="s">
        <v>122</v>
      </c>
      <c r="C111">
        <v>2018</v>
      </c>
      <c r="D111">
        <v>9</v>
      </c>
      <c r="E111" t="s">
        <v>98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99</v>
      </c>
      <c r="L111" t="s">
        <v>112</v>
      </c>
      <c r="M111">
        <v>843.05591856000001</v>
      </c>
      <c r="N111">
        <v>0</v>
      </c>
      <c r="O111" t="s">
        <v>89</v>
      </c>
      <c r="P111" s="44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93</v>
      </c>
      <c r="AD111" s="44">
        <v>43344</v>
      </c>
    </row>
    <row r="112" spans="1:30" x14ac:dyDescent="0.25">
      <c r="A112">
        <v>443785</v>
      </c>
      <c r="B112" t="s">
        <v>125</v>
      </c>
      <c r="C112">
        <v>2018</v>
      </c>
      <c r="D112">
        <v>12</v>
      </c>
      <c r="E112" t="s">
        <v>94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95</v>
      </c>
      <c r="L112" t="s">
        <v>112</v>
      </c>
      <c r="M112">
        <v>3041.3129330199999</v>
      </c>
      <c r="N112">
        <v>0</v>
      </c>
      <c r="O112" t="s">
        <v>89</v>
      </c>
      <c r="P112" s="44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93</v>
      </c>
      <c r="AD112" s="44">
        <v>43435</v>
      </c>
    </row>
    <row r="113" spans="1:30" x14ac:dyDescent="0.25">
      <c r="A113">
        <v>144832</v>
      </c>
      <c r="B113" t="s">
        <v>124</v>
      </c>
      <c r="C113">
        <v>2018</v>
      </c>
      <c r="D113">
        <v>11</v>
      </c>
      <c r="E113" t="s">
        <v>94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95</v>
      </c>
      <c r="L113" t="s">
        <v>112</v>
      </c>
      <c r="M113">
        <v>1939.5207746900001</v>
      </c>
      <c r="N113">
        <v>0</v>
      </c>
      <c r="O113" t="s">
        <v>89</v>
      </c>
      <c r="P113" s="44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93</v>
      </c>
      <c r="AD113" s="44">
        <v>43405</v>
      </c>
    </row>
    <row r="114" spans="1:30" x14ac:dyDescent="0.25">
      <c r="A114">
        <v>119638</v>
      </c>
      <c r="B114" t="s">
        <v>122</v>
      </c>
      <c r="C114">
        <v>2018</v>
      </c>
      <c r="D114">
        <v>9</v>
      </c>
      <c r="E114" t="s">
        <v>96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97</v>
      </c>
      <c r="L114" t="s">
        <v>112</v>
      </c>
      <c r="M114">
        <v>316.65874517999998</v>
      </c>
      <c r="N114">
        <v>0</v>
      </c>
      <c r="O114" t="s">
        <v>89</v>
      </c>
      <c r="P114" s="44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93</v>
      </c>
      <c r="AD114" s="44">
        <v>43344</v>
      </c>
    </row>
    <row r="115" spans="1:30" x14ac:dyDescent="0.25">
      <c r="A115">
        <v>130342</v>
      </c>
      <c r="B115" t="s">
        <v>123</v>
      </c>
      <c r="C115">
        <v>2018</v>
      </c>
      <c r="D115">
        <v>10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879.43208655000001</v>
      </c>
      <c r="N115">
        <v>0</v>
      </c>
      <c r="O115" t="s">
        <v>89</v>
      </c>
      <c r="P115" s="44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93</v>
      </c>
      <c r="AD115" s="44">
        <v>43374</v>
      </c>
    </row>
    <row r="116" spans="1:30" x14ac:dyDescent="0.25">
      <c r="A116">
        <v>130318</v>
      </c>
      <c r="B116" t="s">
        <v>123</v>
      </c>
      <c r="C116">
        <v>2018</v>
      </c>
      <c r="D116">
        <v>10</v>
      </c>
      <c r="E116" t="s">
        <v>96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97</v>
      </c>
      <c r="L116" t="s">
        <v>112</v>
      </c>
      <c r="M116">
        <v>333.40243543999998</v>
      </c>
      <c r="N116">
        <v>0</v>
      </c>
      <c r="O116" t="s">
        <v>89</v>
      </c>
      <c r="P116" s="44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93</v>
      </c>
      <c r="AD116" s="44">
        <v>43374</v>
      </c>
    </row>
    <row r="117" spans="1:30" x14ac:dyDescent="0.25">
      <c r="A117">
        <v>144856</v>
      </c>
      <c r="B117" t="s">
        <v>124</v>
      </c>
      <c r="C117">
        <v>2018</v>
      </c>
      <c r="D117">
        <v>11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527.43779992999998</v>
      </c>
      <c r="N117">
        <v>0</v>
      </c>
      <c r="O117" t="s">
        <v>89</v>
      </c>
      <c r="P117" s="44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93</v>
      </c>
      <c r="AD117" s="44">
        <v>43405</v>
      </c>
    </row>
    <row r="118" spans="1:30" x14ac:dyDescent="0.25">
      <c r="A118">
        <v>130294</v>
      </c>
      <c r="B118" t="s">
        <v>123</v>
      </c>
      <c r="C118">
        <v>2018</v>
      </c>
      <c r="D118">
        <v>10</v>
      </c>
      <c r="E118" t="s">
        <v>94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95</v>
      </c>
      <c r="L118" t="s">
        <v>112</v>
      </c>
      <c r="M118">
        <v>1428.8615156599999</v>
      </c>
      <c r="N118">
        <v>0</v>
      </c>
      <c r="O118" t="s">
        <v>89</v>
      </c>
      <c r="P118" s="44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93</v>
      </c>
      <c r="AD118" s="44">
        <v>43374</v>
      </c>
    </row>
    <row r="119" spans="1:30" x14ac:dyDescent="0.25">
      <c r="A119">
        <v>443833</v>
      </c>
      <c r="B119" t="s">
        <v>125</v>
      </c>
      <c r="C119">
        <v>2018</v>
      </c>
      <c r="D119">
        <v>12</v>
      </c>
      <c r="E119" t="s">
        <v>98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99</v>
      </c>
      <c r="L119" t="s">
        <v>112</v>
      </c>
      <c r="M119">
        <v>1153.4816149200001</v>
      </c>
      <c r="N119">
        <v>0</v>
      </c>
      <c r="O119" t="s">
        <v>89</v>
      </c>
      <c r="P119" s="44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93</v>
      </c>
      <c r="AD119" s="44">
        <v>43435</v>
      </c>
    </row>
    <row r="120" spans="1:30" x14ac:dyDescent="0.25">
      <c r="A120">
        <v>443809</v>
      </c>
      <c r="B120" t="s">
        <v>125</v>
      </c>
      <c r="C120">
        <v>2018</v>
      </c>
      <c r="D120">
        <v>12</v>
      </c>
      <c r="E120" t="s">
        <v>96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97</v>
      </c>
      <c r="L120" t="s">
        <v>112</v>
      </c>
      <c r="M120">
        <v>824.95046656</v>
      </c>
      <c r="N120">
        <v>0</v>
      </c>
      <c r="O120" t="s">
        <v>89</v>
      </c>
      <c r="P120" s="44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93</v>
      </c>
      <c r="AD120" s="44">
        <v>43435</v>
      </c>
    </row>
    <row r="121" spans="1:30" x14ac:dyDescent="0.25">
      <c r="A121">
        <v>144880</v>
      </c>
      <c r="B121" t="s">
        <v>124</v>
      </c>
      <c r="C121">
        <v>2018</v>
      </c>
      <c r="D121">
        <v>11</v>
      </c>
      <c r="E121" t="s">
        <v>98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99</v>
      </c>
      <c r="L121" t="s">
        <v>112</v>
      </c>
      <c r="M121">
        <v>1036.3887642100001</v>
      </c>
      <c r="N121">
        <v>0</v>
      </c>
      <c r="O121" t="s">
        <v>89</v>
      </c>
      <c r="P121" s="44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93</v>
      </c>
      <c r="AD121" s="44">
        <v>43405</v>
      </c>
    </row>
    <row r="122" spans="1:30" x14ac:dyDescent="0.25">
      <c r="A122">
        <v>446664</v>
      </c>
      <c r="B122" t="s">
        <v>137</v>
      </c>
      <c r="C122">
        <v>2017</v>
      </c>
      <c r="D122">
        <v>11</v>
      </c>
      <c r="E122" t="s">
        <v>94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95</v>
      </c>
      <c r="L122" t="s">
        <v>112</v>
      </c>
      <c r="M122">
        <v>2041.4187845900001</v>
      </c>
      <c r="N122">
        <v>0</v>
      </c>
      <c r="O122" t="s">
        <v>88</v>
      </c>
      <c r="P122" s="44">
        <v>44284.5259379977</v>
      </c>
      <c r="Q122">
        <v>4237044</v>
      </c>
      <c r="R122" t="s">
        <v>83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93</v>
      </c>
      <c r="AD122" s="44">
        <v>43040</v>
      </c>
    </row>
    <row r="123" spans="1:30" x14ac:dyDescent="0.25">
      <c r="A123">
        <v>446686</v>
      </c>
      <c r="B123" t="s">
        <v>137</v>
      </c>
      <c r="C123">
        <v>2017</v>
      </c>
      <c r="D123">
        <v>11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547.58038690000001</v>
      </c>
      <c r="N123">
        <v>0</v>
      </c>
      <c r="O123" t="s">
        <v>88</v>
      </c>
      <c r="P123" s="44">
        <v>44284.525938576393</v>
      </c>
      <c r="Q123">
        <v>4237088</v>
      </c>
      <c r="R123" t="s">
        <v>83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93</v>
      </c>
      <c r="AD123" s="44">
        <v>43040</v>
      </c>
    </row>
    <row r="124" spans="1:30" x14ac:dyDescent="0.25">
      <c r="A124">
        <v>446708</v>
      </c>
      <c r="B124" t="s">
        <v>137</v>
      </c>
      <c r="C124">
        <v>2017</v>
      </c>
      <c r="D124">
        <v>11</v>
      </c>
      <c r="E124" t="s">
        <v>98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99</v>
      </c>
      <c r="L124" t="s">
        <v>112</v>
      </c>
      <c r="M124">
        <v>1364.6638703399999</v>
      </c>
      <c r="N124">
        <v>0</v>
      </c>
      <c r="O124" t="s">
        <v>88</v>
      </c>
      <c r="P124" s="44">
        <v>44284.525939120373</v>
      </c>
      <c r="Q124">
        <v>4237132</v>
      </c>
      <c r="R124" t="s">
        <v>83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93</v>
      </c>
      <c r="AD124" s="44">
        <v>43040</v>
      </c>
    </row>
    <row r="125" spans="1:30" x14ac:dyDescent="0.25">
      <c r="A125">
        <v>714746</v>
      </c>
      <c r="B125" t="s">
        <v>138</v>
      </c>
      <c r="C125">
        <v>2016</v>
      </c>
      <c r="D125">
        <v>8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132</v>
      </c>
      <c r="K125" t="s">
        <v>113</v>
      </c>
      <c r="L125" t="s">
        <v>112</v>
      </c>
      <c r="M125">
        <v>935.63531867999995</v>
      </c>
      <c r="N125">
        <v>0</v>
      </c>
      <c r="O125" t="s">
        <v>88</v>
      </c>
      <c r="P125" s="44">
        <v>44334.103428159717</v>
      </c>
      <c r="Q125">
        <v>6248098</v>
      </c>
      <c r="R125" t="s">
        <v>83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93</v>
      </c>
      <c r="AD125" s="44">
        <v>42583</v>
      </c>
    </row>
    <row r="126" spans="1:30" x14ac:dyDescent="0.25">
      <c r="A126">
        <v>714728</v>
      </c>
      <c r="B126" t="s">
        <v>138</v>
      </c>
      <c r="C126">
        <v>2016</v>
      </c>
      <c r="D126">
        <v>8</v>
      </c>
      <c r="E126" t="s">
        <v>94</v>
      </c>
      <c r="F126" t="s">
        <v>93</v>
      </c>
      <c r="G126" t="s">
        <v>93</v>
      </c>
      <c r="H126" t="s">
        <v>25</v>
      </c>
      <c r="I126" t="s">
        <v>25</v>
      </c>
      <c r="J126" t="s">
        <v>132</v>
      </c>
      <c r="K126" t="s">
        <v>111</v>
      </c>
      <c r="L126" t="s">
        <v>112</v>
      </c>
      <c r="M126">
        <v>2647.0276601700002</v>
      </c>
      <c r="N126">
        <v>0</v>
      </c>
      <c r="O126" t="s">
        <v>88</v>
      </c>
      <c r="P126" s="44">
        <v>44334.103427696762</v>
      </c>
      <c r="Q126">
        <v>6248062</v>
      </c>
      <c r="R126" t="s">
        <v>83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93</v>
      </c>
      <c r="AD126" s="44">
        <v>42583</v>
      </c>
    </row>
    <row r="127" spans="1:30" x14ac:dyDescent="0.25">
      <c r="A127">
        <v>714764</v>
      </c>
      <c r="B127" t="s">
        <v>138</v>
      </c>
      <c r="C127">
        <v>2016</v>
      </c>
      <c r="D127">
        <v>8</v>
      </c>
      <c r="E127" t="s">
        <v>63</v>
      </c>
      <c r="F127" t="s">
        <v>93</v>
      </c>
      <c r="G127" t="s">
        <v>93</v>
      </c>
      <c r="H127" t="s">
        <v>25</v>
      </c>
      <c r="I127" t="s">
        <v>25</v>
      </c>
      <c r="J127" t="s">
        <v>132</v>
      </c>
      <c r="K127" t="s">
        <v>115</v>
      </c>
      <c r="L127" t="s">
        <v>112</v>
      </c>
      <c r="M127">
        <v>1612.5415291500001</v>
      </c>
      <c r="N127">
        <v>0</v>
      </c>
      <c r="O127" t="s">
        <v>88</v>
      </c>
      <c r="P127" s="44">
        <v>44334.103428622693</v>
      </c>
      <c r="Q127">
        <v>6248134</v>
      </c>
      <c r="R127" t="s">
        <v>83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93</v>
      </c>
      <c r="AD127" s="44">
        <v>42583</v>
      </c>
    </row>
    <row r="128" spans="1:30" x14ac:dyDescent="0.25">
      <c r="A128">
        <v>505299</v>
      </c>
      <c r="B128" t="s">
        <v>139</v>
      </c>
      <c r="C128">
        <v>2016</v>
      </c>
      <c r="D128">
        <v>11</v>
      </c>
      <c r="E128" t="s">
        <v>96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97</v>
      </c>
      <c r="L128" t="s">
        <v>112</v>
      </c>
      <c r="M128">
        <v>3.0402221699999998</v>
      </c>
      <c r="N128">
        <v>0</v>
      </c>
      <c r="O128" t="s">
        <v>88</v>
      </c>
      <c r="P128" s="44">
        <v>44330.099023298608</v>
      </c>
      <c r="Q128">
        <v>4677104</v>
      </c>
      <c r="R128" t="s">
        <v>83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93</v>
      </c>
      <c r="AD128" s="44">
        <v>42675</v>
      </c>
    </row>
    <row r="129" spans="1:30" x14ac:dyDescent="0.25">
      <c r="A129">
        <v>490499</v>
      </c>
      <c r="B129" t="s">
        <v>140</v>
      </c>
      <c r="C129">
        <v>2016</v>
      </c>
      <c r="D129">
        <v>9</v>
      </c>
      <c r="E129" t="s">
        <v>96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113</v>
      </c>
      <c r="L129" t="s">
        <v>112</v>
      </c>
      <c r="M129">
        <v>672.74702771</v>
      </c>
      <c r="N129">
        <v>0</v>
      </c>
      <c r="O129" t="s">
        <v>88</v>
      </c>
      <c r="P129" s="44">
        <v>44330.097784641213</v>
      </c>
      <c r="Q129">
        <v>4588298</v>
      </c>
      <c r="R129" t="s">
        <v>83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93</v>
      </c>
      <c r="AD129" s="44">
        <v>42614</v>
      </c>
    </row>
    <row r="130" spans="1:30" x14ac:dyDescent="0.25">
      <c r="A130">
        <v>518451</v>
      </c>
      <c r="B130" t="s">
        <v>141</v>
      </c>
      <c r="C130">
        <v>2016</v>
      </c>
      <c r="D130">
        <v>12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5.24655E-3</v>
      </c>
      <c r="N130">
        <v>0</v>
      </c>
      <c r="O130" t="s">
        <v>88</v>
      </c>
      <c r="P130" s="44">
        <v>44330.100235682869</v>
      </c>
      <c r="Q130">
        <v>4792710</v>
      </c>
      <c r="R130" t="s">
        <v>83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93</v>
      </c>
      <c r="AD130" s="44">
        <v>42705</v>
      </c>
    </row>
    <row r="131" spans="1:30" x14ac:dyDescent="0.25">
      <c r="A131">
        <v>490481</v>
      </c>
      <c r="B131" t="s">
        <v>140</v>
      </c>
      <c r="C131">
        <v>2016</v>
      </c>
      <c r="D131">
        <v>9</v>
      </c>
      <c r="E131" t="s">
        <v>94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95</v>
      </c>
      <c r="L131" t="s">
        <v>112</v>
      </c>
      <c r="M131">
        <v>2263.3159081700001</v>
      </c>
      <c r="N131">
        <v>0</v>
      </c>
      <c r="O131" t="s">
        <v>88</v>
      </c>
      <c r="P131" s="44">
        <v>44330.097784143523</v>
      </c>
      <c r="Q131">
        <v>4588262</v>
      </c>
      <c r="R131" t="s">
        <v>83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93</v>
      </c>
      <c r="AD131" s="44">
        <v>42614</v>
      </c>
    </row>
    <row r="132" spans="1:30" x14ac:dyDescent="0.25">
      <c r="A132">
        <v>490517</v>
      </c>
      <c r="B132" t="s">
        <v>140</v>
      </c>
      <c r="C132">
        <v>2016</v>
      </c>
      <c r="D132">
        <v>9</v>
      </c>
      <c r="E132" t="s">
        <v>98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99</v>
      </c>
      <c r="L132" t="s">
        <v>112</v>
      </c>
      <c r="M132">
        <v>1264.39372551</v>
      </c>
      <c r="N132">
        <v>0</v>
      </c>
      <c r="O132" t="s">
        <v>88</v>
      </c>
      <c r="P132" s="44">
        <v>44330.097785150458</v>
      </c>
      <c r="Q132">
        <v>4588334</v>
      </c>
      <c r="R132" t="s">
        <v>83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93</v>
      </c>
      <c r="AD132" s="44">
        <v>42614</v>
      </c>
    </row>
    <row r="133" spans="1:30" x14ac:dyDescent="0.25">
      <c r="A133">
        <v>505281</v>
      </c>
      <c r="B133" t="s">
        <v>139</v>
      </c>
      <c r="C133">
        <v>2016</v>
      </c>
      <c r="D133">
        <v>11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10.93651025</v>
      </c>
      <c r="N133">
        <v>0</v>
      </c>
      <c r="O133" t="s">
        <v>88</v>
      </c>
      <c r="P133" s="44">
        <v>44330.09902276619</v>
      </c>
      <c r="Q133">
        <v>4677068</v>
      </c>
      <c r="R133" t="s">
        <v>83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93</v>
      </c>
      <c r="AD133" s="44">
        <v>42675</v>
      </c>
    </row>
    <row r="134" spans="1:30" x14ac:dyDescent="0.25">
      <c r="A134">
        <v>496212</v>
      </c>
      <c r="B134" t="s">
        <v>142</v>
      </c>
      <c r="C134">
        <v>2016</v>
      </c>
      <c r="D134">
        <v>10</v>
      </c>
      <c r="E134" t="s">
        <v>98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99</v>
      </c>
      <c r="L134" t="s">
        <v>112</v>
      </c>
      <c r="M134">
        <v>717.31728549000002</v>
      </c>
      <c r="N134">
        <v>0</v>
      </c>
      <c r="O134" t="s">
        <v>88</v>
      </c>
      <c r="P134" s="44">
        <v>44330.098264814813</v>
      </c>
      <c r="Q134">
        <v>4615654</v>
      </c>
      <c r="R134" t="s">
        <v>83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93</v>
      </c>
      <c r="AD134" s="44">
        <v>42644</v>
      </c>
    </row>
    <row r="135" spans="1:30" x14ac:dyDescent="0.25">
      <c r="A135">
        <v>518469</v>
      </c>
      <c r="B135" t="s">
        <v>141</v>
      </c>
      <c r="C135">
        <v>2016</v>
      </c>
      <c r="D135">
        <v>12</v>
      </c>
      <c r="E135" t="s">
        <v>98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99</v>
      </c>
      <c r="L135" t="s">
        <v>112</v>
      </c>
      <c r="M135">
        <v>7.6207699999999998E-3</v>
      </c>
      <c r="N135">
        <v>0</v>
      </c>
      <c r="O135" t="s">
        <v>88</v>
      </c>
      <c r="P135" s="44">
        <v>44330.100236226863</v>
      </c>
      <c r="Q135">
        <v>4792746</v>
      </c>
      <c r="R135" t="s">
        <v>83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93</v>
      </c>
      <c r="AD135" s="44">
        <v>42705</v>
      </c>
    </row>
    <row r="136" spans="1:30" x14ac:dyDescent="0.25">
      <c r="A136">
        <v>672470</v>
      </c>
      <c r="B136" t="s">
        <v>143</v>
      </c>
      <c r="C136">
        <v>2016</v>
      </c>
      <c r="D136">
        <v>5</v>
      </c>
      <c r="E136" t="s">
        <v>96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113</v>
      </c>
      <c r="L136" t="s">
        <v>112</v>
      </c>
      <c r="M136">
        <v>1352.1891427099999</v>
      </c>
      <c r="N136">
        <v>0</v>
      </c>
      <c r="O136" t="s">
        <v>88</v>
      </c>
      <c r="P136" s="44">
        <v>44334.07016489582</v>
      </c>
      <c r="Q136">
        <v>5939551</v>
      </c>
      <c r="R136" t="s">
        <v>83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93</v>
      </c>
      <c r="AD136" s="44">
        <v>42491</v>
      </c>
    </row>
    <row r="137" spans="1:30" x14ac:dyDescent="0.25">
      <c r="A137">
        <v>518433</v>
      </c>
      <c r="B137" t="s">
        <v>141</v>
      </c>
      <c r="C137">
        <v>2016</v>
      </c>
      <c r="D137">
        <v>12</v>
      </c>
      <c r="E137" t="s">
        <v>94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95</v>
      </c>
      <c r="L137" t="s">
        <v>112</v>
      </c>
      <c r="M137">
        <v>2.1233140000000001E-2</v>
      </c>
      <c r="N137">
        <v>0</v>
      </c>
      <c r="O137" t="s">
        <v>88</v>
      </c>
      <c r="P137" s="44">
        <v>44330.1002351852</v>
      </c>
      <c r="Q137">
        <v>4792674</v>
      </c>
      <c r="R137" t="s">
        <v>83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93</v>
      </c>
      <c r="AD137" s="44">
        <v>42705</v>
      </c>
    </row>
    <row r="138" spans="1:30" x14ac:dyDescent="0.25">
      <c r="A138">
        <v>672452</v>
      </c>
      <c r="B138" t="s">
        <v>143</v>
      </c>
      <c r="C138">
        <v>2016</v>
      </c>
      <c r="D138">
        <v>5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111</v>
      </c>
      <c r="L138" t="s">
        <v>112</v>
      </c>
      <c r="M138">
        <v>4669.0953959799999</v>
      </c>
      <c r="N138">
        <v>0</v>
      </c>
      <c r="O138" t="s">
        <v>88</v>
      </c>
      <c r="P138" s="44">
        <v>44334.070164432873</v>
      </c>
      <c r="Q138">
        <v>5939515</v>
      </c>
      <c r="R138" t="s">
        <v>83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93</v>
      </c>
      <c r="AD138" s="44">
        <v>42491</v>
      </c>
    </row>
    <row r="139" spans="1:30" x14ac:dyDescent="0.25">
      <c r="A139">
        <v>730808</v>
      </c>
      <c r="B139" t="s">
        <v>144</v>
      </c>
      <c r="C139">
        <v>2016</v>
      </c>
      <c r="D139">
        <v>7</v>
      </c>
      <c r="E139" t="s">
        <v>63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115</v>
      </c>
      <c r="L139" t="s">
        <v>112</v>
      </c>
      <c r="M139">
        <v>2027.083069</v>
      </c>
      <c r="N139">
        <v>0</v>
      </c>
      <c r="O139" t="s">
        <v>88</v>
      </c>
      <c r="P139" s="44">
        <v>44334.10707554398</v>
      </c>
      <c r="Q139">
        <v>6360147</v>
      </c>
      <c r="R139" t="s">
        <v>83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93</v>
      </c>
      <c r="AD139" s="44">
        <v>42552</v>
      </c>
    </row>
    <row r="140" spans="1:30" x14ac:dyDescent="0.25">
      <c r="A140">
        <v>496176</v>
      </c>
      <c r="B140" t="s">
        <v>142</v>
      </c>
      <c r="C140">
        <v>2016</v>
      </c>
      <c r="D140">
        <v>10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1382.4463402700001</v>
      </c>
      <c r="N140">
        <v>0</v>
      </c>
      <c r="O140" t="s">
        <v>88</v>
      </c>
      <c r="P140" s="44">
        <v>44330.098263807871</v>
      </c>
      <c r="Q140">
        <v>4615582</v>
      </c>
      <c r="R140" t="s">
        <v>83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93</v>
      </c>
      <c r="AD140" s="44">
        <v>42644</v>
      </c>
    </row>
    <row r="141" spans="1:30" x14ac:dyDescent="0.25">
      <c r="A141">
        <v>505317</v>
      </c>
      <c r="B141" t="s">
        <v>139</v>
      </c>
      <c r="C141">
        <v>2016</v>
      </c>
      <c r="D141">
        <v>11</v>
      </c>
      <c r="E141" t="s">
        <v>98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99</v>
      </c>
      <c r="L141" t="s">
        <v>112</v>
      </c>
      <c r="M141">
        <v>4.6410682200000002</v>
      </c>
      <c r="N141">
        <v>0</v>
      </c>
      <c r="O141" t="s">
        <v>88</v>
      </c>
      <c r="P141" s="44">
        <v>44330.099023842587</v>
      </c>
      <c r="Q141">
        <v>4677140</v>
      </c>
      <c r="R141" t="s">
        <v>83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93</v>
      </c>
      <c r="AD141" s="44">
        <v>42675</v>
      </c>
    </row>
    <row r="142" spans="1:30" x14ac:dyDescent="0.25">
      <c r="A142">
        <v>672488</v>
      </c>
      <c r="B142" t="s">
        <v>143</v>
      </c>
      <c r="C142">
        <v>2016</v>
      </c>
      <c r="D142">
        <v>5</v>
      </c>
      <c r="E142" t="s">
        <v>63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115</v>
      </c>
      <c r="L142" t="s">
        <v>112</v>
      </c>
      <c r="M142">
        <v>2057.3166490100002</v>
      </c>
      <c r="N142">
        <v>0</v>
      </c>
      <c r="O142" t="s">
        <v>88</v>
      </c>
      <c r="P142" s="44">
        <v>44334.070165358797</v>
      </c>
      <c r="Q142">
        <v>5939587</v>
      </c>
      <c r="R142" t="s">
        <v>83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93</v>
      </c>
      <c r="AD142" s="44">
        <v>42491</v>
      </c>
    </row>
    <row r="143" spans="1:30" x14ac:dyDescent="0.25">
      <c r="A143">
        <v>723860</v>
      </c>
      <c r="B143" t="s">
        <v>145</v>
      </c>
      <c r="C143">
        <v>2016</v>
      </c>
      <c r="D143">
        <v>6</v>
      </c>
      <c r="E143" t="s">
        <v>96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113</v>
      </c>
      <c r="L143" t="s">
        <v>112</v>
      </c>
      <c r="M143">
        <v>1074.09600742</v>
      </c>
      <c r="N143">
        <v>0</v>
      </c>
      <c r="O143" t="s">
        <v>88</v>
      </c>
      <c r="P143" s="44">
        <v>44334.10644262733</v>
      </c>
      <c r="Q143">
        <v>6309599</v>
      </c>
      <c r="R143" t="s">
        <v>83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93</v>
      </c>
      <c r="AD143" s="44">
        <v>42522</v>
      </c>
    </row>
    <row r="144" spans="1:30" x14ac:dyDescent="0.25">
      <c r="A144">
        <v>723842</v>
      </c>
      <c r="B144" t="s">
        <v>145</v>
      </c>
      <c r="C144">
        <v>2016</v>
      </c>
      <c r="D144">
        <v>6</v>
      </c>
      <c r="E144" t="s">
        <v>94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111</v>
      </c>
      <c r="L144" t="s">
        <v>112</v>
      </c>
      <c r="M144">
        <v>3755.8750081799999</v>
      </c>
      <c r="N144">
        <v>0</v>
      </c>
      <c r="O144" t="s">
        <v>88</v>
      </c>
      <c r="P144" s="44">
        <v>44334.106442164353</v>
      </c>
      <c r="Q144">
        <v>6309563</v>
      </c>
      <c r="R144" t="s">
        <v>83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93</v>
      </c>
      <c r="AD144" s="44">
        <v>42522</v>
      </c>
    </row>
    <row r="145" spans="1:30" x14ac:dyDescent="0.25">
      <c r="A145">
        <v>496194</v>
      </c>
      <c r="B145" t="s">
        <v>142</v>
      </c>
      <c r="C145">
        <v>2016</v>
      </c>
      <c r="D145">
        <v>10</v>
      </c>
      <c r="E145" t="s">
        <v>96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97</v>
      </c>
      <c r="L145" t="s">
        <v>112</v>
      </c>
      <c r="M145">
        <v>420.24133938</v>
      </c>
      <c r="N145">
        <v>0</v>
      </c>
      <c r="O145" t="s">
        <v>88</v>
      </c>
      <c r="P145" s="44">
        <v>44330.098264351851</v>
      </c>
      <c r="Q145">
        <v>4615618</v>
      </c>
      <c r="R145" t="s">
        <v>83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93</v>
      </c>
      <c r="AD145" s="44">
        <v>42644</v>
      </c>
    </row>
    <row r="146" spans="1:30" x14ac:dyDescent="0.25">
      <c r="A146">
        <v>723878</v>
      </c>
      <c r="B146" t="s">
        <v>145</v>
      </c>
      <c r="C146">
        <v>2016</v>
      </c>
      <c r="D146">
        <v>6</v>
      </c>
      <c r="E146" t="s">
        <v>63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115</v>
      </c>
      <c r="L146" t="s">
        <v>112</v>
      </c>
      <c r="M146">
        <v>1810.25289694</v>
      </c>
      <c r="N146">
        <v>0</v>
      </c>
      <c r="O146" t="s">
        <v>88</v>
      </c>
      <c r="P146" s="44">
        <v>44334.106443090277</v>
      </c>
      <c r="Q146">
        <v>6309635</v>
      </c>
      <c r="R146" t="s">
        <v>83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93</v>
      </c>
      <c r="AD146" s="44">
        <v>42522</v>
      </c>
    </row>
    <row r="147" spans="1:30" x14ac:dyDescent="0.25">
      <c r="A147">
        <v>730772</v>
      </c>
      <c r="B147" t="s">
        <v>144</v>
      </c>
      <c r="C147">
        <v>2016</v>
      </c>
      <c r="D147">
        <v>7</v>
      </c>
      <c r="E147" t="s">
        <v>94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111</v>
      </c>
      <c r="L147" t="s">
        <v>112</v>
      </c>
      <c r="M147">
        <v>3778.6930292400002</v>
      </c>
      <c r="N147">
        <v>0</v>
      </c>
      <c r="O147" t="s">
        <v>88</v>
      </c>
      <c r="P147" s="44">
        <v>44334.107074571759</v>
      </c>
      <c r="Q147">
        <v>6360075</v>
      </c>
      <c r="R147" t="s">
        <v>83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93</v>
      </c>
      <c r="AD147" s="44">
        <v>42552</v>
      </c>
    </row>
    <row r="148" spans="1:30" x14ac:dyDescent="0.25">
      <c r="A148">
        <v>730790</v>
      </c>
      <c r="B148" t="s">
        <v>144</v>
      </c>
      <c r="C148">
        <v>2016</v>
      </c>
      <c r="D148">
        <v>7</v>
      </c>
      <c r="E148" t="s">
        <v>96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113</v>
      </c>
      <c r="L148" t="s">
        <v>112</v>
      </c>
      <c r="M148">
        <v>1169.0560399599999</v>
      </c>
      <c r="N148">
        <v>0</v>
      </c>
      <c r="O148" t="s">
        <v>88</v>
      </c>
      <c r="P148" s="44">
        <v>44334.107075081018</v>
      </c>
      <c r="Q148">
        <v>6360111</v>
      </c>
      <c r="R148" t="s">
        <v>83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93</v>
      </c>
      <c r="AD148" s="44">
        <v>42552</v>
      </c>
    </row>
    <row r="149" spans="1:30" x14ac:dyDescent="0.25">
      <c r="A149">
        <v>580771</v>
      </c>
      <c r="B149" t="s">
        <v>146</v>
      </c>
      <c r="C149">
        <v>2017</v>
      </c>
      <c r="D149">
        <v>8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1825.75210223</v>
      </c>
      <c r="N149">
        <v>0</v>
      </c>
      <c r="O149" t="s">
        <v>88</v>
      </c>
      <c r="P149" s="44">
        <v>44330.106720752323</v>
      </c>
      <c r="Q149">
        <v>5313253</v>
      </c>
      <c r="R149" t="s">
        <v>83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93</v>
      </c>
      <c r="AD149" s="44">
        <v>42948</v>
      </c>
    </row>
    <row r="150" spans="1:30" x14ac:dyDescent="0.25">
      <c r="A150">
        <v>580793</v>
      </c>
      <c r="B150" t="s">
        <v>146</v>
      </c>
      <c r="C150">
        <v>2017</v>
      </c>
      <c r="D150">
        <v>8</v>
      </c>
      <c r="E150" t="s">
        <v>96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97</v>
      </c>
      <c r="L150" t="s">
        <v>112</v>
      </c>
      <c r="M150">
        <v>317.95009379999999</v>
      </c>
      <c r="N150">
        <v>0</v>
      </c>
      <c r="O150" t="s">
        <v>88</v>
      </c>
      <c r="P150" s="44">
        <v>44330.106721331023</v>
      </c>
      <c r="Q150">
        <v>5313297</v>
      </c>
      <c r="R150" t="s">
        <v>83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93</v>
      </c>
      <c r="AD150" s="44">
        <v>42948</v>
      </c>
    </row>
    <row r="151" spans="1:30" x14ac:dyDescent="0.25">
      <c r="A151">
        <v>580815</v>
      </c>
      <c r="B151" t="s">
        <v>146</v>
      </c>
      <c r="C151">
        <v>2017</v>
      </c>
      <c r="D151">
        <v>8</v>
      </c>
      <c r="E151" t="s">
        <v>98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99</v>
      </c>
      <c r="L151" t="s">
        <v>112</v>
      </c>
      <c r="M151">
        <v>1252.6346749899999</v>
      </c>
      <c r="N151">
        <v>0</v>
      </c>
      <c r="O151" t="s">
        <v>88</v>
      </c>
      <c r="P151" s="44">
        <v>44330.106721909717</v>
      </c>
      <c r="Q151">
        <v>5313341</v>
      </c>
      <c r="R151" t="s">
        <v>83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93</v>
      </c>
      <c r="AD151" s="44">
        <v>42948</v>
      </c>
    </row>
    <row r="152" spans="1:30" x14ac:dyDescent="0.25">
      <c r="A152">
        <v>456438</v>
      </c>
      <c r="B152" t="s">
        <v>147</v>
      </c>
      <c r="C152">
        <v>2017</v>
      </c>
      <c r="D152">
        <v>12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326.92489831</v>
      </c>
      <c r="N152">
        <v>0</v>
      </c>
      <c r="O152" t="s">
        <v>88</v>
      </c>
      <c r="P152" s="44">
        <v>44284.5268440625</v>
      </c>
      <c r="Q152">
        <v>4320961</v>
      </c>
      <c r="R152" t="s">
        <v>83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93</v>
      </c>
      <c r="AD152" s="44">
        <v>43070</v>
      </c>
    </row>
    <row r="153" spans="1:30" x14ac:dyDescent="0.25">
      <c r="A153">
        <v>456416</v>
      </c>
      <c r="B153" t="s">
        <v>147</v>
      </c>
      <c r="C153">
        <v>2017</v>
      </c>
      <c r="D153">
        <v>12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1221.88235865</v>
      </c>
      <c r="N153">
        <v>0</v>
      </c>
      <c r="O153" t="s">
        <v>88</v>
      </c>
      <c r="P153" s="44">
        <v>44284.526843402768</v>
      </c>
      <c r="Q153">
        <v>4320917</v>
      </c>
      <c r="R153" t="s">
        <v>83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93</v>
      </c>
      <c r="AD153" s="44">
        <v>43070</v>
      </c>
    </row>
    <row r="154" spans="1:30" x14ac:dyDescent="0.25">
      <c r="A154">
        <v>456460</v>
      </c>
      <c r="B154" t="s">
        <v>147</v>
      </c>
      <c r="C154">
        <v>2017</v>
      </c>
      <c r="D154">
        <v>12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577.39533010000002</v>
      </c>
      <c r="N154">
        <v>0</v>
      </c>
      <c r="O154" t="s">
        <v>88</v>
      </c>
      <c r="P154" s="44">
        <v>44284.52684471065</v>
      </c>
      <c r="Q154">
        <v>4321005</v>
      </c>
      <c r="R154" t="s">
        <v>83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93</v>
      </c>
      <c r="AD154" s="44">
        <v>43070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913753</v>
      </c>
      <c r="R158" t="s">
        <v>90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93</v>
      </c>
      <c r="AD158" s="44">
        <v>43282</v>
      </c>
    </row>
    <row r="159" spans="1:30" x14ac:dyDescent="0.25">
      <c r="A159">
        <v>100218</v>
      </c>
      <c r="B159" t="s">
        <v>148</v>
      </c>
      <c r="C159">
        <v>2018</v>
      </c>
      <c r="D159">
        <v>7</v>
      </c>
      <c r="E159" t="s">
        <v>96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97</v>
      </c>
      <c r="L159" t="s">
        <v>112</v>
      </c>
      <c r="M159">
        <v>347.46938798999997</v>
      </c>
      <c r="N159">
        <v>0</v>
      </c>
      <c r="O159" t="s">
        <v>89</v>
      </c>
      <c r="P159" s="44">
        <v>44269.848709224527</v>
      </c>
      <c r="Q159">
        <v>913633</v>
      </c>
      <c r="R159" t="s">
        <v>90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93</v>
      </c>
      <c r="AD159" s="44">
        <v>43282</v>
      </c>
    </row>
    <row r="160" spans="1:30" x14ac:dyDescent="0.25">
      <c r="A160">
        <v>100194</v>
      </c>
      <c r="B160" t="s">
        <v>148</v>
      </c>
      <c r="C160">
        <v>2018</v>
      </c>
      <c r="D160">
        <v>7</v>
      </c>
      <c r="E160" t="s">
        <v>94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95</v>
      </c>
      <c r="L160" t="s">
        <v>112</v>
      </c>
      <c r="M160">
        <v>1870.62563673</v>
      </c>
      <c r="N160">
        <v>0</v>
      </c>
      <c r="O160" t="s">
        <v>89</v>
      </c>
      <c r="P160" s="44">
        <v>44269.848707986108</v>
      </c>
      <c r="Q160">
        <v>913513</v>
      </c>
      <c r="R160" t="s">
        <v>90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93</v>
      </c>
      <c r="AD160" s="44">
        <v>43282</v>
      </c>
    </row>
    <row r="161" spans="1:30" x14ac:dyDescent="0.25">
      <c r="A161">
        <v>130342</v>
      </c>
      <c r="B161" t="s">
        <v>123</v>
      </c>
      <c r="C161">
        <v>2018</v>
      </c>
      <c r="D161">
        <v>10</v>
      </c>
      <c r="E161" t="s">
        <v>98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99</v>
      </c>
      <c r="L161" t="s">
        <v>112</v>
      </c>
      <c r="M161">
        <v>879.43208655000001</v>
      </c>
      <c r="N161">
        <v>0</v>
      </c>
      <c r="O161" t="s">
        <v>89</v>
      </c>
      <c r="P161" s="44">
        <v>44269.852574803241</v>
      </c>
      <c r="Q161">
        <v>1193221</v>
      </c>
      <c r="R161" t="s">
        <v>100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93</v>
      </c>
      <c r="AD161" s="44">
        <v>43374</v>
      </c>
    </row>
    <row r="162" spans="1:30" x14ac:dyDescent="0.25">
      <c r="A162">
        <v>130318</v>
      </c>
      <c r="B162" t="s">
        <v>123</v>
      </c>
      <c r="C162">
        <v>2018</v>
      </c>
      <c r="D162">
        <v>10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333.40243543999998</v>
      </c>
      <c r="N162">
        <v>0</v>
      </c>
      <c r="O162" t="s">
        <v>89</v>
      </c>
      <c r="P162" s="44">
        <v>44269.852573611111</v>
      </c>
      <c r="Q162">
        <v>1193101</v>
      </c>
      <c r="R162" t="s">
        <v>100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93</v>
      </c>
      <c r="AD162" s="44">
        <v>43374</v>
      </c>
    </row>
    <row r="163" spans="1:30" x14ac:dyDescent="0.25">
      <c r="A163">
        <v>144880</v>
      </c>
      <c r="B163" t="s">
        <v>124</v>
      </c>
      <c r="C163">
        <v>2018</v>
      </c>
      <c r="D163">
        <v>11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1036.3887642100001</v>
      </c>
      <c r="N163">
        <v>0</v>
      </c>
      <c r="O163" t="s">
        <v>89</v>
      </c>
      <c r="P163" s="44">
        <v>44269.854264965281</v>
      </c>
      <c r="Q163">
        <v>1337181</v>
      </c>
      <c r="R163" t="s">
        <v>100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93</v>
      </c>
      <c r="AD163" s="44">
        <v>43405</v>
      </c>
    </row>
    <row r="164" spans="1:30" x14ac:dyDescent="0.25">
      <c r="A164">
        <v>144832</v>
      </c>
      <c r="B164" t="s">
        <v>124</v>
      </c>
      <c r="C164">
        <v>2018</v>
      </c>
      <c r="D164">
        <v>11</v>
      </c>
      <c r="E164" t="s">
        <v>94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95</v>
      </c>
      <c r="L164" t="s">
        <v>112</v>
      </c>
      <c r="M164">
        <v>1939.5207746900001</v>
      </c>
      <c r="N164">
        <v>0</v>
      </c>
      <c r="O164" t="s">
        <v>89</v>
      </c>
      <c r="P164" s="44">
        <v>44269.854262534733</v>
      </c>
      <c r="Q164">
        <v>1336941</v>
      </c>
      <c r="R164" t="s">
        <v>100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93</v>
      </c>
      <c r="AD164" s="44">
        <v>43405</v>
      </c>
    </row>
    <row r="165" spans="1:30" x14ac:dyDescent="0.25">
      <c r="A165">
        <v>119638</v>
      </c>
      <c r="B165" t="s">
        <v>122</v>
      </c>
      <c r="C165">
        <v>2018</v>
      </c>
      <c r="D165">
        <v>9</v>
      </c>
      <c r="E165" t="s">
        <v>96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97</v>
      </c>
      <c r="L165" t="s">
        <v>112</v>
      </c>
      <c r="M165">
        <v>316.65874517999998</v>
      </c>
      <c r="N165">
        <v>0</v>
      </c>
      <c r="O165" t="s">
        <v>89</v>
      </c>
      <c r="P165" s="44">
        <v>44269.85110659722</v>
      </c>
      <c r="Q165">
        <v>1081729</v>
      </c>
      <c r="R165" t="s">
        <v>100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93</v>
      </c>
      <c r="AD165" s="44">
        <v>43344</v>
      </c>
    </row>
    <row r="166" spans="1:30" x14ac:dyDescent="0.25">
      <c r="A166">
        <v>130294</v>
      </c>
      <c r="B166" t="s">
        <v>123</v>
      </c>
      <c r="C166">
        <v>2018</v>
      </c>
      <c r="D166">
        <v>10</v>
      </c>
      <c r="E166" t="s">
        <v>94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95</v>
      </c>
      <c r="L166" t="s">
        <v>112</v>
      </c>
      <c r="M166">
        <v>1428.8615156599999</v>
      </c>
      <c r="N166">
        <v>0</v>
      </c>
      <c r="O166" t="s">
        <v>89</v>
      </c>
      <c r="P166" s="44">
        <v>44269.8525723727</v>
      </c>
      <c r="Q166">
        <v>1192981</v>
      </c>
      <c r="R166" t="s">
        <v>100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93</v>
      </c>
      <c r="AD166" s="44">
        <v>43374</v>
      </c>
    </row>
    <row r="167" spans="1:30" x14ac:dyDescent="0.25">
      <c r="A167">
        <v>443833</v>
      </c>
      <c r="B167" t="s">
        <v>125</v>
      </c>
      <c r="C167">
        <v>2018</v>
      </c>
      <c r="D167">
        <v>12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1153.4816149200001</v>
      </c>
      <c r="N167">
        <v>0</v>
      </c>
      <c r="O167" t="s">
        <v>89</v>
      </c>
      <c r="P167" s="44">
        <v>44284.51458221065</v>
      </c>
      <c r="Q167">
        <v>4215480</v>
      </c>
      <c r="R167" t="s">
        <v>100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93</v>
      </c>
      <c r="AD167" s="44">
        <v>43435</v>
      </c>
    </row>
    <row r="168" spans="1:30" x14ac:dyDescent="0.25">
      <c r="A168">
        <v>119614</v>
      </c>
      <c r="B168" t="s">
        <v>122</v>
      </c>
      <c r="C168">
        <v>2018</v>
      </c>
      <c r="D168">
        <v>9</v>
      </c>
      <c r="E168" t="s">
        <v>94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95</v>
      </c>
      <c r="L168" t="s">
        <v>112</v>
      </c>
      <c r="M168">
        <v>1439.52704135</v>
      </c>
      <c r="N168">
        <v>0</v>
      </c>
      <c r="O168" t="s">
        <v>89</v>
      </c>
      <c r="P168" s="44">
        <v>44269.851105011578</v>
      </c>
      <c r="Q168">
        <v>1081609</v>
      </c>
      <c r="R168" t="s">
        <v>100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93</v>
      </c>
      <c r="AD168" s="44">
        <v>43344</v>
      </c>
    </row>
    <row r="169" spans="1:30" x14ac:dyDescent="0.25">
      <c r="A169">
        <v>119662</v>
      </c>
      <c r="B169" t="s">
        <v>122</v>
      </c>
      <c r="C169">
        <v>2018</v>
      </c>
      <c r="D169">
        <v>9</v>
      </c>
      <c r="E169" t="s">
        <v>98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99</v>
      </c>
      <c r="L169" t="s">
        <v>112</v>
      </c>
      <c r="M169">
        <v>843.05591856000001</v>
      </c>
      <c r="N169">
        <v>0</v>
      </c>
      <c r="O169" t="s">
        <v>89</v>
      </c>
      <c r="P169" s="44">
        <v>44269.851107986113</v>
      </c>
      <c r="Q169">
        <v>1081849</v>
      </c>
      <c r="R169" t="s">
        <v>100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93</v>
      </c>
      <c r="AD169" s="44">
        <v>43344</v>
      </c>
    </row>
    <row r="170" spans="1:30" x14ac:dyDescent="0.25">
      <c r="A170">
        <v>443809</v>
      </c>
      <c r="B170" t="s">
        <v>125</v>
      </c>
      <c r="C170">
        <v>2018</v>
      </c>
      <c r="D170">
        <v>12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824.95046656</v>
      </c>
      <c r="N170">
        <v>0</v>
      </c>
      <c r="O170" t="s">
        <v>89</v>
      </c>
      <c r="P170" s="44">
        <v>44284.514580937503</v>
      </c>
      <c r="Q170">
        <v>4215360</v>
      </c>
      <c r="R170" t="s">
        <v>100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93</v>
      </c>
      <c r="AD170" s="44">
        <v>43435</v>
      </c>
    </row>
    <row r="171" spans="1:30" x14ac:dyDescent="0.25">
      <c r="A171">
        <v>144856</v>
      </c>
      <c r="B171" t="s">
        <v>124</v>
      </c>
      <c r="C171">
        <v>2018</v>
      </c>
      <c r="D171">
        <v>11</v>
      </c>
      <c r="E171" t="s">
        <v>96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97</v>
      </c>
      <c r="L171" t="s">
        <v>112</v>
      </c>
      <c r="M171">
        <v>527.43779992999998</v>
      </c>
      <c r="N171">
        <v>0</v>
      </c>
      <c r="O171" t="s">
        <v>89</v>
      </c>
      <c r="P171" s="44">
        <v>44269.854263738423</v>
      </c>
      <c r="Q171">
        <v>1337061</v>
      </c>
      <c r="R171" t="s">
        <v>100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93</v>
      </c>
      <c r="AD171" s="44">
        <v>43405</v>
      </c>
    </row>
    <row r="172" spans="1:30" x14ac:dyDescent="0.25">
      <c r="A172">
        <v>443785</v>
      </c>
      <c r="B172" t="s">
        <v>125</v>
      </c>
      <c r="C172">
        <v>2018</v>
      </c>
      <c r="D172">
        <v>12</v>
      </c>
      <c r="E172" t="s">
        <v>94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95</v>
      </c>
      <c r="L172" t="s">
        <v>112</v>
      </c>
      <c r="M172">
        <v>3041.3129330199999</v>
      </c>
      <c r="N172">
        <v>0</v>
      </c>
      <c r="O172" t="s">
        <v>89</v>
      </c>
      <c r="P172" s="44">
        <v>44284.514579629627</v>
      </c>
      <c r="Q172">
        <v>4215240</v>
      </c>
      <c r="R172" t="s">
        <v>100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93</v>
      </c>
      <c r="AD172" s="44">
        <v>43435</v>
      </c>
    </row>
    <row r="173" spans="1:30" x14ac:dyDescent="0.25">
      <c r="A173">
        <v>113076</v>
      </c>
      <c r="B173" t="s">
        <v>149</v>
      </c>
      <c r="C173">
        <v>2018</v>
      </c>
      <c r="D173">
        <v>8</v>
      </c>
      <c r="E173" t="s">
        <v>96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97</v>
      </c>
      <c r="L173" t="s">
        <v>112</v>
      </c>
      <c r="M173">
        <v>336.78904151</v>
      </c>
      <c r="N173">
        <v>0</v>
      </c>
      <c r="O173" t="s">
        <v>89</v>
      </c>
      <c r="P173" s="44">
        <v>44269.850222337962</v>
      </c>
      <c r="Q173">
        <v>1042162</v>
      </c>
      <c r="R173" t="s">
        <v>90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93</v>
      </c>
      <c r="AD173" s="44">
        <v>43313</v>
      </c>
    </row>
    <row r="174" spans="1:30" x14ac:dyDescent="0.25">
      <c r="A174">
        <v>113100</v>
      </c>
      <c r="B174" t="s">
        <v>149</v>
      </c>
      <c r="C174">
        <v>2018</v>
      </c>
      <c r="D174">
        <v>8</v>
      </c>
      <c r="E174" t="s">
        <v>98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99</v>
      </c>
      <c r="L174" t="s">
        <v>112</v>
      </c>
      <c r="M174">
        <v>901.42463836000002</v>
      </c>
      <c r="N174">
        <v>0</v>
      </c>
      <c r="O174" t="s">
        <v>89</v>
      </c>
      <c r="P174" s="44">
        <v>44269.850223530091</v>
      </c>
      <c r="Q174">
        <v>1042282</v>
      </c>
      <c r="R174" t="s">
        <v>90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93</v>
      </c>
      <c r="AD174" s="44">
        <v>43313</v>
      </c>
    </row>
    <row r="175" spans="1:30" x14ac:dyDescent="0.25">
      <c r="A175">
        <v>113052</v>
      </c>
      <c r="B175" t="s">
        <v>149</v>
      </c>
      <c r="C175">
        <v>2018</v>
      </c>
      <c r="D175">
        <v>8</v>
      </c>
      <c r="E175" t="s">
        <v>94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95</v>
      </c>
      <c r="L175" t="s">
        <v>112</v>
      </c>
      <c r="M175">
        <v>1702.89201288</v>
      </c>
      <c r="N175">
        <v>0</v>
      </c>
      <c r="O175" t="s">
        <v>89</v>
      </c>
      <c r="P175" s="44">
        <v>44269.85022109955</v>
      </c>
      <c r="Q175">
        <v>1042042</v>
      </c>
      <c r="R175" t="s">
        <v>90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93</v>
      </c>
      <c r="AD175" s="44">
        <v>43313</v>
      </c>
    </row>
    <row r="176" spans="1:30" x14ac:dyDescent="0.25">
      <c r="A176">
        <v>628657</v>
      </c>
      <c r="B176" t="s">
        <v>150</v>
      </c>
      <c r="C176">
        <v>2017</v>
      </c>
      <c r="D176">
        <v>4</v>
      </c>
      <c r="E176" t="s">
        <v>98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99</v>
      </c>
      <c r="L176" t="s">
        <v>112</v>
      </c>
      <c r="M176">
        <v>1712.75377718</v>
      </c>
      <c r="N176">
        <v>0</v>
      </c>
      <c r="O176" t="s">
        <v>88</v>
      </c>
      <c r="P176" s="44">
        <v>44334.047875810182</v>
      </c>
      <c r="Q176">
        <v>5584410</v>
      </c>
      <c r="R176" t="s">
        <v>83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93</v>
      </c>
      <c r="AD176" s="44">
        <v>42826</v>
      </c>
    </row>
    <row r="177" spans="1:30" x14ac:dyDescent="0.25">
      <c r="A177">
        <v>628613</v>
      </c>
      <c r="B177" t="s">
        <v>150</v>
      </c>
      <c r="C177">
        <v>2017</v>
      </c>
      <c r="D177">
        <v>4</v>
      </c>
      <c r="E177" t="s">
        <v>94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95</v>
      </c>
      <c r="L177" t="s">
        <v>112</v>
      </c>
      <c r="M177">
        <v>4420.2930050699997</v>
      </c>
      <c r="N177">
        <v>0</v>
      </c>
      <c r="O177" t="s">
        <v>88</v>
      </c>
      <c r="P177" s="44">
        <v>44334.04787422454</v>
      </c>
      <c r="Q177">
        <v>5584322</v>
      </c>
      <c r="R177" t="s">
        <v>83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93</v>
      </c>
      <c r="AD177" s="44">
        <v>42826</v>
      </c>
    </row>
    <row r="178" spans="1:30" x14ac:dyDescent="0.25">
      <c r="A178">
        <v>628635</v>
      </c>
      <c r="B178" t="s">
        <v>150</v>
      </c>
      <c r="C178">
        <v>2017</v>
      </c>
      <c r="D178">
        <v>4</v>
      </c>
      <c r="E178" t="s">
        <v>96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97</v>
      </c>
      <c r="L178" t="s">
        <v>112</v>
      </c>
      <c r="M178">
        <v>1117.7193056399999</v>
      </c>
      <c r="N178">
        <v>0</v>
      </c>
      <c r="O178" t="s">
        <v>88</v>
      </c>
      <c r="P178" s="44">
        <v>44334.047875034717</v>
      </c>
      <c r="Q178">
        <v>5584366</v>
      </c>
      <c r="R178" t="s">
        <v>83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93</v>
      </c>
      <c r="AD178" s="44">
        <v>42826</v>
      </c>
    </row>
    <row r="179" spans="1:30" x14ac:dyDescent="0.25">
      <c r="A179">
        <v>570927</v>
      </c>
      <c r="B179" t="s">
        <v>151</v>
      </c>
      <c r="C179">
        <v>2017</v>
      </c>
      <c r="D179">
        <v>7</v>
      </c>
      <c r="E179" t="s">
        <v>98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99</v>
      </c>
      <c r="L179" t="s">
        <v>112</v>
      </c>
      <c r="M179">
        <v>1241.0892522700001</v>
      </c>
      <c r="N179">
        <v>0</v>
      </c>
      <c r="O179" t="s">
        <v>88</v>
      </c>
      <c r="P179" s="44">
        <v>44330.105698263891</v>
      </c>
      <c r="Q179">
        <v>5229297</v>
      </c>
      <c r="R179" t="s">
        <v>83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93</v>
      </c>
      <c r="AD179" s="44">
        <v>42917</v>
      </c>
    </row>
    <row r="180" spans="1:30" x14ac:dyDescent="0.25">
      <c r="A180">
        <v>570906</v>
      </c>
      <c r="B180" t="s">
        <v>151</v>
      </c>
      <c r="C180">
        <v>2017</v>
      </c>
      <c r="D180">
        <v>7</v>
      </c>
      <c r="E180" t="s">
        <v>96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97</v>
      </c>
      <c r="L180" t="s">
        <v>112</v>
      </c>
      <c r="M180">
        <v>331.86459323999998</v>
      </c>
      <c r="N180">
        <v>0</v>
      </c>
      <c r="O180" t="s">
        <v>88</v>
      </c>
      <c r="P180" s="44">
        <v>44330.105697719897</v>
      </c>
      <c r="Q180">
        <v>5229255</v>
      </c>
      <c r="R180" t="s">
        <v>83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93</v>
      </c>
      <c r="AD180" s="44">
        <v>42917</v>
      </c>
    </row>
    <row r="181" spans="1:30" x14ac:dyDescent="0.25">
      <c r="A181">
        <v>570885</v>
      </c>
      <c r="B181" t="s">
        <v>151</v>
      </c>
      <c r="C181">
        <v>2017</v>
      </c>
      <c r="D181">
        <v>7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2146.3813947499998</v>
      </c>
      <c r="N181">
        <v>0</v>
      </c>
      <c r="O181" t="s">
        <v>88</v>
      </c>
      <c r="P181" s="44">
        <v>44330.105697106483</v>
      </c>
      <c r="Q181">
        <v>5229213</v>
      </c>
      <c r="R181" t="s">
        <v>83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93</v>
      </c>
      <c r="AD181" s="44">
        <v>42917</v>
      </c>
    </row>
    <row r="182" spans="1:30" x14ac:dyDescent="0.25">
      <c r="A182">
        <v>44</v>
      </c>
      <c r="B182" t="s">
        <v>130</v>
      </c>
      <c r="C182">
        <v>2017</v>
      </c>
      <c r="D182">
        <v>9</v>
      </c>
      <c r="E182" t="s">
        <v>98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99</v>
      </c>
      <c r="L182" t="s">
        <v>112</v>
      </c>
      <c r="M182">
        <v>1160.3236436</v>
      </c>
      <c r="N182">
        <v>0</v>
      </c>
      <c r="O182" t="s">
        <v>88</v>
      </c>
      <c r="P182" s="44">
        <v>44269.837768090278</v>
      </c>
      <c r="Q182">
        <v>87</v>
      </c>
      <c r="R182" t="s">
        <v>91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93</v>
      </c>
      <c r="AD182" s="44">
        <v>42979</v>
      </c>
    </row>
    <row r="183" spans="1:30" x14ac:dyDescent="0.25">
      <c r="A183">
        <v>2</v>
      </c>
      <c r="B183" t="s">
        <v>130</v>
      </c>
      <c r="C183">
        <v>2017</v>
      </c>
      <c r="D183">
        <v>9</v>
      </c>
      <c r="E183" t="s">
        <v>94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95</v>
      </c>
      <c r="L183" t="s">
        <v>112</v>
      </c>
      <c r="M183">
        <v>1525.35760676</v>
      </c>
      <c r="N183">
        <v>0</v>
      </c>
      <c r="O183" t="s">
        <v>88</v>
      </c>
      <c r="P183" s="44">
        <v>44269.837765891207</v>
      </c>
      <c r="Q183">
        <v>3</v>
      </c>
      <c r="R183" t="s">
        <v>91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93</v>
      </c>
      <c r="AD183" s="44">
        <v>42979</v>
      </c>
    </row>
    <row r="184" spans="1:30" x14ac:dyDescent="0.25">
      <c r="A184">
        <v>23</v>
      </c>
      <c r="B184" t="s">
        <v>130</v>
      </c>
      <c r="C184">
        <v>2017</v>
      </c>
      <c r="D184">
        <v>9</v>
      </c>
      <c r="E184" t="s">
        <v>96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97</v>
      </c>
      <c r="L184" t="s">
        <v>112</v>
      </c>
      <c r="M184">
        <v>317.51694221999998</v>
      </c>
      <c r="N184">
        <v>0</v>
      </c>
      <c r="O184" t="s">
        <v>88</v>
      </c>
      <c r="P184" s="44">
        <v>44269.837767013887</v>
      </c>
      <c r="Q184">
        <v>45</v>
      </c>
      <c r="R184" t="s">
        <v>91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93</v>
      </c>
      <c r="AD184" s="44">
        <v>42979</v>
      </c>
    </row>
    <row r="185" spans="1:30" x14ac:dyDescent="0.25">
      <c r="A185">
        <v>100242</v>
      </c>
      <c r="B185" t="s">
        <v>148</v>
      </c>
      <c r="C185">
        <v>2018</v>
      </c>
      <c r="D185">
        <v>7</v>
      </c>
      <c r="E185" t="s">
        <v>98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99</v>
      </c>
      <c r="L185" t="s">
        <v>112</v>
      </c>
      <c r="M185">
        <v>953.47078386999999</v>
      </c>
      <c r="N185">
        <v>0</v>
      </c>
      <c r="O185" t="s">
        <v>89</v>
      </c>
      <c r="P185" s="44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93</v>
      </c>
      <c r="AD185" s="44">
        <v>43282</v>
      </c>
    </row>
    <row r="186" spans="1:30" x14ac:dyDescent="0.25">
      <c r="A186">
        <v>100194</v>
      </c>
      <c r="B186" t="s">
        <v>148</v>
      </c>
      <c r="C186">
        <v>2018</v>
      </c>
      <c r="D186">
        <v>7</v>
      </c>
      <c r="E186" t="s">
        <v>94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95</v>
      </c>
      <c r="L186" t="s">
        <v>112</v>
      </c>
      <c r="M186">
        <v>1870.62563673</v>
      </c>
      <c r="N186">
        <v>0</v>
      </c>
      <c r="O186" t="s">
        <v>89</v>
      </c>
      <c r="P186" s="44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93</v>
      </c>
      <c r="AD186" s="44">
        <v>43282</v>
      </c>
    </row>
    <row r="187" spans="1:30" x14ac:dyDescent="0.25">
      <c r="A187">
        <v>100218</v>
      </c>
      <c r="B187" t="s">
        <v>148</v>
      </c>
      <c r="C187">
        <v>2018</v>
      </c>
      <c r="D187">
        <v>7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347.46938798999997</v>
      </c>
      <c r="N187">
        <v>0</v>
      </c>
      <c r="O187" t="s">
        <v>89</v>
      </c>
      <c r="P187" s="44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93</v>
      </c>
      <c r="AD187" s="44">
        <v>43282</v>
      </c>
    </row>
    <row r="188" spans="1:30" x14ac:dyDescent="0.25">
      <c r="A188">
        <v>560936</v>
      </c>
      <c r="B188" t="s">
        <v>152</v>
      </c>
      <c r="C188">
        <v>2017</v>
      </c>
      <c r="D188">
        <v>6</v>
      </c>
      <c r="E188" t="s">
        <v>96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97</v>
      </c>
      <c r="L188" t="s">
        <v>112</v>
      </c>
      <c r="M188">
        <v>850.28490937000004</v>
      </c>
      <c r="N188">
        <v>0</v>
      </c>
      <c r="O188" t="s">
        <v>88</v>
      </c>
      <c r="P188" s="44">
        <v>44330.104736226851</v>
      </c>
      <c r="Q188">
        <v>5144551</v>
      </c>
      <c r="R188" t="s">
        <v>83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93</v>
      </c>
      <c r="AD188" s="44">
        <v>42887</v>
      </c>
    </row>
    <row r="189" spans="1:30" x14ac:dyDescent="0.25">
      <c r="A189">
        <v>560915</v>
      </c>
      <c r="B189" t="s">
        <v>152</v>
      </c>
      <c r="C189">
        <v>2017</v>
      </c>
      <c r="D189">
        <v>6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2370.0725542700002</v>
      </c>
      <c r="N189">
        <v>0</v>
      </c>
      <c r="O189" t="s">
        <v>88</v>
      </c>
      <c r="P189" s="44">
        <v>44330.104735567133</v>
      </c>
      <c r="Q189">
        <v>5144509</v>
      </c>
      <c r="R189" t="s">
        <v>83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93</v>
      </c>
      <c r="AD189" s="44">
        <v>42887</v>
      </c>
    </row>
    <row r="190" spans="1:30" x14ac:dyDescent="0.25">
      <c r="A190">
        <v>560957</v>
      </c>
      <c r="B190" t="s">
        <v>152</v>
      </c>
      <c r="C190">
        <v>2017</v>
      </c>
      <c r="D190">
        <v>6</v>
      </c>
      <c r="E190" t="s">
        <v>98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99</v>
      </c>
      <c r="L190" t="s">
        <v>112</v>
      </c>
      <c r="M190">
        <v>1321.58655047</v>
      </c>
      <c r="N190">
        <v>0</v>
      </c>
      <c r="O190" t="s">
        <v>88</v>
      </c>
      <c r="P190" s="44">
        <v>44330.104736770831</v>
      </c>
      <c r="Q190">
        <v>5144593</v>
      </c>
      <c r="R190" t="s">
        <v>83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93</v>
      </c>
      <c r="AD190" s="44">
        <v>42887</v>
      </c>
    </row>
    <row r="191" spans="1:30" x14ac:dyDescent="0.25">
      <c r="A191">
        <v>113100</v>
      </c>
      <c r="B191" t="s">
        <v>149</v>
      </c>
      <c r="C191">
        <v>2018</v>
      </c>
      <c r="D191">
        <v>8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901.42463836000002</v>
      </c>
      <c r="N191">
        <v>0</v>
      </c>
      <c r="O191" t="s">
        <v>89</v>
      </c>
      <c r="P191" s="44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93</v>
      </c>
      <c r="AD191" s="44">
        <v>43313</v>
      </c>
    </row>
    <row r="192" spans="1:30" x14ac:dyDescent="0.25">
      <c r="A192">
        <v>113052</v>
      </c>
      <c r="B192" t="s">
        <v>149</v>
      </c>
      <c r="C192">
        <v>2018</v>
      </c>
      <c r="D192">
        <v>8</v>
      </c>
      <c r="E192" t="s">
        <v>94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95</v>
      </c>
      <c r="L192" t="s">
        <v>112</v>
      </c>
      <c r="M192">
        <v>1702.89201288</v>
      </c>
      <c r="N192">
        <v>0</v>
      </c>
      <c r="O192" t="s">
        <v>89</v>
      </c>
      <c r="P192" s="44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93</v>
      </c>
      <c r="AD192" s="44">
        <v>43313</v>
      </c>
    </row>
    <row r="193" spans="1:30" x14ac:dyDescent="0.25">
      <c r="A193">
        <v>113076</v>
      </c>
      <c r="B193" t="s">
        <v>149</v>
      </c>
      <c r="C193">
        <v>2018</v>
      </c>
      <c r="D193">
        <v>8</v>
      </c>
      <c r="E193" t="s">
        <v>96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97</v>
      </c>
      <c r="L193" t="s">
        <v>112</v>
      </c>
      <c r="M193">
        <v>336.78904151</v>
      </c>
      <c r="N193">
        <v>0</v>
      </c>
      <c r="O193" t="s">
        <v>89</v>
      </c>
      <c r="P193" s="44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93</v>
      </c>
      <c r="AD193" s="44">
        <v>43313</v>
      </c>
    </row>
    <row r="194" spans="1:30" x14ac:dyDescent="0.25">
      <c r="A194">
        <v>550961</v>
      </c>
      <c r="B194" t="s">
        <v>153</v>
      </c>
      <c r="C194">
        <v>2017</v>
      </c>
      <c r="D194">
        <v>5</v>
      </c>
      <c r="E194" t="s">
        <v>96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97</v>
      </c>
      <c r="L194" t="s">
        <v>112</v>
      </c>
      <c r="M194">
        <v>999.01457314000004</v>
      </c>
      <c r="N194">
        <v>0</v>
      </c>
      <c r="O194" t="s">
        <v>88</v>
      </c>
      <c r="P194" s="44">
        <v>44330.10375185185</v>
      </c>
      <c r="Q194">
        <v>5059817</v>
      </c>
      <c r="R194" t="s">
        <v>83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93</v>
      </c>
      <c r="AD194" s="44">
        <v>42856</v>
      </c>
    </row>
    <row r="195" spans="1:30" x14ac:dyDescent="0.25">
      <c r="A195">
        <v>550940</v>
      </c>
      <c r="B195" t="s">
        <v>153</v>
      </c>
      <c r="C195">
        <v>2017</v>
      </c>
      <c r="D195">
        <v>5</v>
      </c>
      <c r="E195" t="s">
        <v>94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95</v>
      </c>
      <c r="L195" t="s">
        <v>112</v>
      </c>
      <c r="M195">
        <v>2827.3129987100001</v>
      </c>
      <c r="N195">
        <v>0</v>
      </c>
      <c r="O195" t="s">
        <v>88</v>
      </c>
      <c r="P195" s="44">
        <v>44330.103751238428</v>
      </c>
      <c r="Q195">
        <v>5059775</v>
      </c>
      <c r="R195" t="s">
        <v>83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93</v>
      </c>
      <c r="AD195" s="44">
        <v>42856</v>
      </c>
    </row>
    <row r="196" spans="1:30" x14ac:dyDescent="0.25">
      <c r="A196">
        <v>550982</v>
      </c>
      <c r="B196" t="s">
        <v>153</v>
      </c>
      <c r="C196">
        <v>2017</v>
      </c>
      <c r="D196">
        <v>5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1465.7128444299999</v>
      </c>
      <c r="N196">
        <v>0</v>
      </c>
      <c r="O196" t="s">
        <v>88</v>
      </c>
      <c r="P196" s="44">
        <v>44330.103752581017</v>
      </c>
      <c r="Q196">
        <v>5059859</v>
      </c>
      <c r="R196" t="s">
        <v>83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93</v>
      </c>
      <c r="AD196" s="44">
        <v>42856</v>
      </c>
    </row>
    <row r="197" spans="1:30" x14ac:dyDescent="0.25">
      <c r="A197">
        <v>9842</v>
      </c>
      <c r="B197" t="s">
        <v>136</v>
      </c>
      <c r="C197">
        <v>2017</v>
      </c>
      <c r="D197">
        <v>10</v>
      </c>
      <c r="E197" t="s">
        <v>98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99</v>
      </c>
      <c r="L197" t="s">
        <v>112</v>
      </c>
      <c r="M197">
        <v>1325.6322066800001</v>
      </c>
      <c r="N197">
        <v>0</v>
      </c>
      <c r="O197" t="s">
        <v>88</v>
      </c>
      <c r="P197" s="44">
        <v>44269.838788229157</v>
      </c>
      <c r="Q197">
        <v>83968</v>
      </c>
      <c r="R197" t="s">
        <v>91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93</v>
      </c>
      <c r="AD197" s="44">
        <v>43009</v>
      </c>
    </row>
    <row r="198" spans="1:30" x14ac:dyDescent="0.25">
      <c r="A198">
        <v>9821</v>
      </c>
      <c r="B198" t="s">
        <v>136</v>
      </c>
      <c r="C198">
        <v>2017</v>
      </c>
      <c r="D198">
        <v>10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345.79406583999997</v>
      </c>
      <c r="N198">
        <v>0</v>
      </c>
      <c r="O198" t="s">
        <v>88</v>
      </c>
      <c r="P198" s="44">
        <v>44269.83878726852</v>
      </c>
      <c r="Q198">
        <v>83926</v>
      </c>
      <c r="R198" t="s">
        <v>91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93</v>
      </c>
      <c r="AD198" s="44">
        <v>43009</v>
      </c>
    </row>
    <row r="199" spans="1:30" x14ac:dyDescent="0.25">
      <c r="A199">
        <v>9800</v>
      </c>
      <c r="B199" t="s">
        <v>136</v>
      </c>
      <c r="C199">
        <v>2017</v>
      </c>
      <c r="D199">
        <v>10</v>
      </c>
      <c r="E199" t="s">
        <v>94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95</v>
      </c>
      <c r="L199" t="s">
        <v>112</v>
      </c>
      <c r="M199">
        <v>1690.9131185399999</v>
      </c>
      <c r="N199">
        <v>0</v>
      </c>
      <c r="O199" t="s">
        <v>88</v>
      </c>
      <c r="P199" s="44">
        <v>44269.83878622685</v>
      </c>
      <c r="Q199">
        <v>83884</v>
      </c>
      <c r="R199" t="s">
        <v>91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93</v>
      </c>
      <c r="AD199" s="44">
        <v>43009</v>
      </c>
    </row>
    <row r="200" spans="1:30" x14ac:dyDescent="0.25">
      <c r="A200">
        <v>174692</v>
      </c>
      <c r="B200" t="s">
        <v>154</v>
      </c>
      <c r="C200">
        <v>2019</v>
      </c>
      <c r="D200">
        <v>1</v>
      </c>
      <c r="E200" t="s">
        <v>99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1057.08780013</v>
      </c>
      <c r="N200">
        <v>0</v>
      </c>
      <c r="O200" t="s">
        <v>89</v>
      </c>
      <c r="P200" s="44">
        <v>44269.857912731481</v>
      </c>
      <c r="Q200">
        <v>1659736</v>
      </c>
      <c r="R200" t="s">
        <v>90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93</v>
      </c>
      <c r="AD200" s="44">
        <v>43466</v>
      </c>
    </row>
    <row r="201" spans="1:30" x14ac:dyDescent="0.25">
      <c r="A201">
        <v>257193</v>
      </c>
      <c r="B201" t="s">
        <v>155</v>
      </c>
      <c r="C201">
        <v>2019</v>
      </c>
      <c r="D201">
        <v>7</v>
      </c>
      <c r="E201" t="s">
        <v>97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259.70617061000002</v>
      </c>
      <c r="N201">
        <v>0</v>
      </c>
      <c r="O201" t="s">
        <v>89</v>
      </c>
      <c r="P201" s="44">
        <v>44269.868005127311</v>
      </c>
      <c r="Q201">
        <v>2439666</v>
      </c>
      <c r="R201" t="s">
        <v>90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93</v>
      </c>
      <c r="AD201" s="44">
        <v>43647</v>
      </c>
    </row>
    <row r="202" spans="1:30" x14ac:dyDescent="0.25">
      <c r="A202">
        <v>187283</v>
      </c>
      <c r="B202" t="s">
        <v>156</v>
      </c>
      <c r="C202">
        <v>2019</v>
      </c>
      <c r="D202">
        <v>2</v>
      </c>
      <c r="E202" t="s">
        <v>99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99</v>
      </c>
      <c r="L202" t="s">
        <v>112</v>
      </c>
      <c r="M202">
        <v>1177.9328353799999</v>
      </c>
      <c r="N202">
        <v>0</v>
      </c>
      <c r="O202" t="s">
        <v>89</v>
      </c>
      <c r="P202" s="44">
        <v>44269.859437847219</v>
      </c>
      <c r="Q202">
        <v>1779150</v>
      </c>
      <c r="R202" t="s">
        <v>90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93</v>
      </c>
      <c r="AD202" s="44">
        <v>43497</v>
      </c>
    </row>
    <row r="203" spans="1:30" x14ac:dyDescent="0.25">
      <c r="A203">
        <v>187229</v>
      </c>
      <c r="B203" t="s">
        <v>156</v>
      </c>
      <c r="C203">
        <v>2019</v>
      </c>
      <c r="D203">
        <v>2</v>
      </c>
      <c r="E203" t="s">
        <v>95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95</v>
      </c>
      <c r="L203" t="s">
        <v>112</v>
      </c>
      <c r="M203">
        <v>2097.42093987</v>
      </c>
      <c r="N203">
        <v>0</v>
      </c>
      <c r="O203" t="s">
        <v>89</v>
      </c>
      <c r="P203" s="44">
        <v>44269.859435266189</v>
      </c>
      <c r="Q203">
        <v>1778880</v>
      </c>
      <c r="R203" t="s">
        <v>90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93</v>
      </c>
      <c r="AD203" s="44">
        <v>43497</v>
      </c>
    </row>
    <row r="204" spans="1:30" x14ac:dyDescent="0.25">
      <c r="A204">
        <v>174638</v>
      </c>
      <c r="B204" t="s">
        <v>154</v>
      </c>
      <c r="C204">
        <v>2019</v>
      </c>
      <c r="D204">
        <v>1</v>
      </c>
      <c r="E204" t="s">
        <v>95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95</v>
      </c>
      <c r="L204" t="s">
        <v>112</v>
      </c>
      <c r="M204">
        <v>2213.9654676300001</v>
      </c>
      <c r="N204">
        <v>0</v>
      </c>
      <c r="O204" t="s">
        <v>89</v>
      </c>
      <c r="P204" s="44">
        <v>44269.857910185186</v>
      </c>
      <c r="Q204">
        <v>1659466</v>
      </c>
      <c r="R204" t="s">
        <v>90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93</v>
      </c>
      <c r="AD204" s="44">
        <v>43466</v>
      </c>
    </row>
    <row r="205" spans="1:30" x14ac:dyDescent="0.25">
      <c r="A205">
        <v>314988</v>
      </c>
      <c r="B205" t="s">
        <v>157</v>
      </c>
      <c r="C205">
        <v>2019</v>
      </c>
      <c r="D205">
        <v>12</v>
      </c>
      <c r="E205" t="s">
        <v>95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2155.3283754300001</v>
      </c>
      <c r="N205">
        <v>0</v>
      </c>
      <c r="O205" t="s">
        <v>89</v>
      </c>
      <c r="P205" s="44">
        <v>44269.875250428238</v>
      </c>
      <c r="Q205">
        <v>2979367</v>
      </c>
      <c r="R205" t="s">
        <v>90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93</v>
      </c>
      <c r="AD205" s="44">
        <v>43800</v>
      </c>
    </row>
    <row r="206" spans="1:30" x14ac:dyDescent="0.25">
      <c r="A206">
        <v>174665</v>
      </c>
      <c r="B206" t="s">
        <v>154</v>
      </c>
      <c r="C206">
        <v>2019</v>
      </c>
      <c r="D206">
        <v>1</v>
      </c>
      <c r="E206" t="s">
        <v>97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502.14165592000001</v>
      </c>
      <c r="N206">
        <v>0</v>
      </c>
      <c r="O206" t="s">
        <v>89</v>
      </c>
      <c r="P206" s="44">
        <v>44269.857911458334</v>
      </c>
      <c r="Q206">
        <v>1659601</v>
      </c>
      <c r="R206" t="s">
        <v>90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93</v>
      </c>
      <c r="AD206" s="44">
        <v>43466</v>
      </c>
    </row>
    <row r="207" spans="1:30" x14ac:dyDescent="0.25">
      <c r="A207">
        <v>190928</v>
      </c>
      <c r="B207" t="s">
        <v>158</v>
      </c>
      <c r="C207">
        <v>2019</v>
      </c>
      <c r="D207">
        <v>3</v>
      </c>
      <c r="E207" t="s">
        <v>95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1987.4110310900001</v>
      </c>
      <c r="N207">
        <v>0</v>
      </c>
      <c r="O207" t="s">
        <v>89</v>
      </c>
      <c r="P207" s="44">
        <v>44269.860194062501</v>
      </c>
      <c r="Q207">
        <v>1806286</v>
      </c>
      <c r="R207" t="s">
        <v>90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93</v>
      </c>
      <c r="AD207" s="44">
        <v>43525</v>
      </c>
    </row>
    <row r="208" spans="1:30" x14ac:dyDescent="0.25">
      <c r="A208">
        <v>215992</v>
      </c>
      <c r="B208" t="s">
        <v>159</v>
      </c>
      <c r="C208">
        <v>2019</v>
      </c>
      <c r="D208">
        <v>4</v>
      </c>
      <c r="E208" t="s">
        <v>99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807.94171081000002</v>
      </c>
      <c r="N208">
        <v>0</v>
      </c>
      <c r="O208" t="s">
        <v>89</v>
      </c>
      <c r="P208" s="44">
        <v>44269.862962037027</v>
      </c>
      <c r="Q208">
        <v>2049902</v>
      </c>
      <c r="R208" t="s">
        <v>90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93</v>
      </c>
      <c r="AD208" s="44">
        <v>43556</v>
      </c>
    </row>
    <row r="209" spans="1:30" x14ac:dyDescent="0.25">
      <c r="A209">
        <v>315042</v>
      </c>
      <c r="B209" t="s">
        <v>157</v>
      </c>
      <c r="C209">
        <v>2019</v>
      </c>
      <c r="D209">
        <v>12</v>
      </c>
      <c r="E209" t="s">
        <v>99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99</v>
      </c>
      <c r="L209" t="s">
        <v>112</v>
      </c>
      <c r="M209">
        <v>491.15728963999999</v>
      </c>
      <c r="N209">
        <v>0</v>
      </c>
      <c r="O209" t="s">
        <v>89</v>
      </c>
      <c r="P209" s="44">
        <v>44269.875253009261</v>
      </c>
      <c r="Q209">
        <v>2979637</v>
      </c>
      <c r="R209" t="s">
        <v>90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93</v>
      </c>
      <c r="AD209" s="44">
        <v>43800</v>
      </c>
    </row>
    <row r="210" spans="1:30" x14ac:dyDescent="0.25">
      <c r="A210">
        <v>270939</v>
      </c>
      <c r="B210" t="s">
        <v>160</v>
      </c>
      <c r="C210">
        <v>2019</v>
      </c>
      <c r="D210">
        <v>8</v>
      </c>
      <c r="E210" t="s">
        <v>95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95</v>
      </c>
      <c r="L210" t="s">
        <v>112</v>
      </c>
      <c r="M210">
        <v>1193.87028252</v>
      </c>
      <c r="N210">
        <v>0</v>
      </c>
      <c r="O210" t="s">
        <v>89</v>
      </c>
      <c r="P210" s="44">
        <v>44269.869630439818</v>
      </c>
      <c r="Q210">
        <v>2569923</v>
      </c>
      <c r="R210" t="s">
        <v>90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93</v>
      </c>
      <c r="AD210" s="44">
        <v>43678</v>
      </c>
    </row>
    <row r="211" spans="1:30" x14ac:dyDescent="0.25">
      <c r="A211">
        <v>190982</v>
      </c>
      <c r="B211" t="s">
        <v>158</v>
      </c>
      <c r="C211">
        <v>2019</v>
      </c>
      <c r="D211">
        <v>3</v>
      </c>
      <c r="E211" t="s">
        <v>99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99</v>
      </c>
      <c r="L211" t="s">
        <v>112</v>
      </c>
      <c r="M211">
        <v>1048.18988866</v>
      </c>
      <c r="N211">
        <v>0</v>
      </c>
      <c r="O211" t="s">
        <v>89</v>
      </c>
      <c r="P211" s="44">
        <v>44269.860196643524</v>
      </c>
      <c r="Q211">
        <v>1806556</v>
      </c>
      <c r="R211" t="s">
        <v>90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93</v>
      </c>
      <c r="AD211" s="44">
        <v>43525</v>
      </c>
    </row>
    <row r="212" spans="1:30" x14ac:dyDescent="0.25">
      <c r="A212">
        <v>187256</v>
      </c>
      <c r="B212" t="s">
        <v>156</v>
      </c>
      <c r="C212">
        <v>2019</v>
      </c>
      <c r="D212">
        <v>2</v>
      </c>
      <c r="E212" t="s">
        <v>97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483.50924042000003</v>
      </c>
      <c r="N212">
        <v>0</v>
      </c>
      <c r="O212" t="s">
        <v>89</v>
      </c>
      <c r="P212" s="44">
        <v>44269.859436574072</v>
      </c>
      <c r="Q212">
        <v>1779015</v>
      </c>
      <c r="R212" t="s">
        <v>90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93</v>
      </c>
      <c r="AD212" s="44">
        <v>43497</v>
      </c>
    </row>
    <row r="213" spans="1:30" x14ac:dyDescent="0.25">
      <c r="A213">
        <v>215965</v>
      </c>
      <c r="B213" t="s">
        <v>159</v>
      </c>
      <c r="C213">
        <v>2019</v>
      </c>
      <c r="D213">
        <v>4</v>
      </c>
      <c r="E213" t="s">
        <v>97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97</v>
      </c>
      <c r="L213" t="s">
        <v>112</v>
      </c>
      <c r="M213">
        <v>278.00060418999999</v>
      </c>
      <c r="N213">
        <v>0</v>
      </c>
      <c r="O213" t="s">
        <v>89</v>
      </c>
      <c r="P213" s="44">
        <v>44269.862960763887</v>
      </c>
      <c r="Q213">
        <v>2049767</v>
      </c>
      <c r="R213" t="s">
        <v>90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93</v>
      </c>
      <c r="AD213" s="44">
        <v>43556</v>
      </c>
    </row>
    <row r="214" spans="1:30" x14ac:dyDescent="0.25">
      <c r="A214">
        <v>190955</v>
      </c>
      <c r="B214" t="s">
        <v>158</v>
      </c>
      <c r="C214">
        <v>2019</v>
      </c>
      <c r="D214">
        <v>3</v>
      </c>
      <c r="E214" t="s">
        <v>97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97</v>
      </c>
      <c r="L214" t="s">
        <v>112</v>
      </c>
      <c r="M214">
        <v>548.80313799999999</v>
      </c>
      <c r="N214">
        <v>0</v>
      </c>
      <c r="O214" t="s">
        <v>89</v>
      </c>
      <c r="P214" s="44">
        <v>44269.86019540509</v>
      </c>
      <c r="Q214">
        <v>1806421</v>
      </c>
      <c r="R214" t="s">
        <v>90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93</v>
      </c>
      <c r="AD214" s="44">
        <v>43525</v>
      </c>
    </row>
    <row r="215" spans="1:30" x14ac:dyDescent="0.25">
      <c r="A215">
        <v>229684</v>
      </c>
      <c r="B215" t="s">
        <v>161</v>
      </c>
      <c r="C215">
        <v>2019</v>
      </c>
      <c r="D215">
        <v>5</v>
      </c>
      <c r="E215" t="s">
        <v>97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306.35749342000003</v>
      </c>
      <c r="N215">
        <v>0</v>
      </c>
      <c r="O215" t="s">
        <v>89</v>
      </c>
      <c r="P215" s="44">
        <v>44269.864759108787</v>
      </c>
      <c r="Q215">
        <v>2179644</v>
      </c>
      <c r="R215" t="s">
        <v>90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93</v>
      </c>
      <c r="AD215" s="44">
        <v>43586</v>
      </c>
    </row>
    <row r="216" spans="1:30" x14ac:dyDescent="0.25">
      <c r="A216">
        <v>243411</v>
      </c>
      <c r="B216" t="s">
        <v>162</v>
      </c>
      <c r="C216">
        <v>2019</v>
      </c>
      <c r="D216">
        <v>6</v>
      </c>
      <c r="E216" t="s">
        <v>95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95</v>
      </c>
      <c r="L216" t="s">
        <v>112</v>
      </c>
      <c r="M216">
        <v>1258.64819612</v>
      </c>
      <c r="N216">
        <v>0</v>
      </c>
      <c r="O216" t="s">
        <v>89</v>
      </c>
      <c r="P216" s="44">
        <v>44269.866383564811</v>
      </c>
      <c r="Q216">
        <v>2309503</v>
      </c>
      <c r="R216" t="s">
        <v>90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93</v>
      </c>
      <c r="AD216" s="44">
        <v>43617</v>
      </c>
    </row>
    <row r="217" spans="1:30" x14ac:dyDescent="0.25">
      <c r="A217">
        <v>229711</v>
      </c>
      <c r="B217" t="s">
        <v>161</v>
      </c>
      <c r="C217">
        <v>2019</v>
      </c>
      <c r="D217">
        <v>5</v>
      </c>
      <c r="E217" t="s">
        <v>99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99</v>
      </c>
      <c r="L217" t="s">
        <v>112</v>
      </c>
      <c r="M217">
        <v>761.62555524000004</v>
      </c>
      <c r="N217">
        <v>0</v>
      </c>
      <c r="O217" t="s">
        <v>89</v>
      </c>
      <c r="P217" s="44">
        <v>44269.864760335651</v>
      </c>
      <c r="Q217">
        <v>2179779</v>
      </c>
      <c r="R217" t="s">
        <v>90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93</v>
      </c>
      <c r="AD217" s="44">
        <v>43586</v>
      </c>
    </row>
    <row r="218" spans="1:30" x14ac:dyDescent="0.25">
      <c r="A218">
        <v>273507</v>
      </c>
      <c r="B218" t="s">
        <v>163</v>
      </c>
      <c r="C218">
        <v>2019</v>
      </c>
      <c r="D218">
        <v>9</v>
      </c>
      <c r="E218" t="s">
        <v>99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99</v>
      </c>
      <c r="L218" t="s">
        <v>112</v>
      </c>
      <c r="M218">
        <v>533.50070271000004</v>
      </c>
      <c r="N218">
        <v>0</v>
      </c>
      <c r="O218" t="s">
        <v>89</v>
      </c>
      <c r="P218" s="44">
        <v>44269.870334027779</v>
      </c>
      <c r="Q218">
        <v>2587012</v>
      </c>
      <c r="R218" t="s">
        <v>90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93</v>
      </c>
      <c r="AD218" s="44">
        <v>43709</v>
      </c>
    </row>
    <row r="219" spans="1:30" x14ac:dyDescent="0.25">
      <c r="A219">
        <v>243438</v>
      </c>
      <c r="B219" t="s">
        <v>162</v>
      </c>
      <c r="C219">
        <v>2019</v>
      </c>
      <c r="D219">
        <v>6</v>
      </c>
      <c r="E219" t="s">
        <v>97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251.84571108</v>
      </c>
      <c r="N219">
        <v>0</v>
      </c>
      <c r="O219" t="s">
        <v>89</v>
      </c>
      <c r="P219" s="44">
        <v>44269.86638498844</v>
      </c>
      <c r="Q219">
        <v>2309638</v>
      </c>
      <c r="R219" t="s">
        <v>90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93</v>
      </c>
      <c r="AD219" s="44">
        <v>43617</v>
      </c>
    </row>
    <row r="220" spans="1:30" x14ac:dyDescent="0.25">
      <c r="A220">
        <v>257166</v>
      </c>
      <c r="B220" t="s">
        <v>155</v>
      </c>
      <c r="C220">
        <v>2019</v>
      </c>
      <c r="D220">
        <v>7</v>
      </c>
      <c r="E220" t="s">
        <v>95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95</v>
      </c>
      <c r="L220" t="s">
        <v>112</v>
      </c>
      <c r="M220">
        <v>1240.59596756</v>
      </c>
      <c r="N220">
        <v>0</v>
      </c>
      <c r="O220" t="s">
        <v>89</v>
      </c>
      <c r="P220" s="44">
        <v>44269.868003854157</v>
      </c>
      <c r="Q220">
        <v>2439531</v>
      </c>
      <c r="R220" t="s">
        <v>90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93</v>
      </c>
      <c r="AD220" s="44">
        <v>43647</v>
      </c>
    </row>
    <row r="221" spans="1:30" x14ac:dyDescent="0.25">
      <c r="A221">
        <v>301116</v>
      </c>
      <c r="B221" t="s">
        <v>164</v>
      </c>
      <c r="C221">
        <v>2019</v>
      </c>
      <c r="D221">
        <v>11</v>
      </c>
      <c r="E221" t="s">
        <v>97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97</v>
      </c>
      <c r="L221" t="s">
        <v>112</v>
      </c>
      <c r="M221">
        <v>633.19527639</v>
      </c>
      <c r="N221">
        <v>0</v>
      </c>
      <c r="O221" t="s">
        <v>89</v>
      </c>
      <c r="P221" s="44">
        <v>44269.873618055557</v>
      </c>
      <c r="Q221">
        <v>2848291</v>
      </c>
      <c r="R221" t="s">
        <v>90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93</v>
      </c>
      <c r="AD221" s="44">
        <v>43770</v>
      </c>
    </row>
    <row r="222" spans="1:30" x14ac:dyDescent="0.25">
      <c r="A222">
        <v>215938</v>
      </c>
      <c r="B222" t="s">
        <v>159</v>
      </c>
      <c r="C222">
        <v>2019</v>
      </c>
      <c r="D222">
        <v>4</v>
      </c>
      <c r="E222" t="s">
        <v>95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95</v>
      </c>
      <c r="L222" t="s">
        <v>112</v>
      </c>
      <c r="M222">
        <v>1388.5089304200001</v>
      </c>
      <c r="N222">
        <v>0</v>
      </c>
      <c r="O222" t="s">
        <v>89</v>
      </c>
      <c r="P222" s="44">
        <v>44269.862959456019</v>
      </c>
      <c r="Q222">
        <v>2049632</v>
      </c>
      <c r="R222" t="s">
        <v>90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93</v>
      </c>
      <c r="AD222" s="44">
        <v>43556</v>
      </c>
    </row>
    <row r="223" spans="1:30" x14ac:dyDescent="0.25">
      <c r="A223">
        <v>257220</v>
      </c>
      <c r="B223" t="s">
        <v>155</v>
      </c>
      <c r="C223">
        <v>2019</v>
      </c>
      <c r="D223">
        <v>7</v>
      </c>
      <c r="E223" t="s">
        <v>99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99</v>
      </c>
      <c r="L223" t="s">
        <v>112</v>
      </c>
      <c r="M223">
        <v>665.56227894000006</v>
      </c>
      <c r="N223">
        <v>0</v>
      </c>
      <c r="O223" t="s">
        <v>89</v>
      </c>
      <c r="P223" s="44">
        <v>44269.868006446763</v>
      </c>
      <c r="Q223">
        <v>2439801</v>
      </c>
      <c r="R223" t="s">
        <v>90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93</v>
      </c>
      <c r="AD223" s="44">
        <v>43647</v>
      </c>
    </row>
    <row r="224" spans="1:30" x14ac:dyDescent="0.25">
      <c r="A224">
        <v>270966</v>
      </c>
      <c r="B224" t="s">
        <v>160</v>
      </c>
      <c r="C224">
        <v>2019</v>
      </c>
      <c r="D224">
        <v>8</v>
      </c>
      <c r="E224" t="s">
        <v>97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293.74292012000001</v>
      </c>
      <c r="N224">
        <v>0</v>
      </c>
      <c r="O224" t="s">
        <v>89</v>
      </c>
      <c r="P224" s="44">
        <v>44269.869631712972</v>
      </c>
      <c r="Q224">
        <v>2570058</v>
      </c>
      <c r="R224" t="s">
        <v>90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93</v>
      </c>
      <c r="AD224" s="44">
        <v>43678</v>
      </c>
    </row>
    <row r="225" spans="1:30" x14ac:dyDescent="0.25">
      <c r="A225">
        <v>270993</v>
      </c>
      <c r="B225" t="s">
        <v>160</v>
      </c>
      <c r="C225">
        <v>2019</v>
      </c>
      <c r="D225">
        <v>8</v>
      </c>
      <c r="E225" t="s">
        <v>99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99</v>
      </c>
      <c r="L225" t="s">
        <v>112</v>
      </c>
      <c r="M225">
        <v>553.34695345</v>
      </c>
      <c r="N225">
        <v>0</v>
      </c>
      <c r="O225" t="s">
        <v>89</v>
      </c>
      <c r="P225" s="44">
        <v>44269.869632986112</v>
      </c>
      <c r="Q225">
        <v>2570193</v>
      </c>
      <c r="R225" t="s">
        <v>90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93</v>
      </c>
      <c r="AD225" s="44">
        <v>43678</v>
      </c>
    </row>
    <row r="226" spans="1:30" x14ac:dyDescent="0.25">
      <c r="A226">
        <v>315015</v>
      </c>
      <c r="B226" t="s">
        <v>157</v>
      </c>
      <c r="C226">
        <v>2019</v>
      </c>
      <c r="D226">
        <v>12</v>
      </c>
      <c r="E226" t="s">
        <v>97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97</v>
      </c>
      <c r="L226" t="s">
        <v>112</v>
      </c>
      <c r="M226">
        <v>1168.3792061199999</v>
      </c>
      <c r="N226">
        <v>0</v>
      </c>
      <c r="O226" t="s">
        <v>89</v>
      </c>
      <c r="P226" s="44">
        <v>44269.875251701393</v>
      </c>
      <c r="Q226">
        <v>2979502</v>
      </c>
      <c r="R226" t="s">
        <v>90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93</v>
      </c>
      <c r="AD226" s="44">
        <v>43800</v>
      </c>
    </row>
    <row r="227" spans="1:30" x14ac:dyDescent="0.25">
      <c r="A227">
        <v>287325</v>
      </c>
      <c r="B227" t="s">
        <v>165</v>
      </c>
      <c r="C227">
        <v>2019</v>
      </c>
      <c r="D227">
        <v>10</v>
      </c>
      <c r="E227" t="s">
        <v>99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99</v>
      </c>
      <c r="L227" t="s">
        <v>112</v>
      </c>
      <c r="M227">
        <v>576.31545115999995</v>
      </c>
      <c r="N227">
        <v>0</v>
      </c>
      <c r="O227" t="s">
        <v>89</v>
      </c>
      <c r="P227" s="44">
        <v>44269.87196944443</v>
      </c>
      <c r="Q227">
        <v>2717719</v>
      </c>
      <c r="R227" t="s">
        <v>90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93</v>
      </c>
      <c r="AD227" s="44">
        <v>43739</v>
      </c>
    </row>
    <row r="228" spans="1:30" x14ac:dyDescent="0.25">
      <c r="A228">
        <v>273480</v>
      </c>
      <c r="B228" t="s">
        <v>163</v>
      </c>
      <c r="C228">
        <v>2019</v>
      </c>
      <c r="D228">
        <v>9</v>
      </c>
      <c r="E228" t="s">
        <v>97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97</v>
      </c>
      <c r="L228" t="s">
        <v>112</v>
      </c>
      <c r="M228">
        <v>254.44613530000001</v>
      </c>
      <c r="N228">
        <v>0</v>
      </c>
      <c r="O228" t="s">
        <v>89</v>
      </c>
      <c r="P228" s="44">
        <v>44269.870332719911</v>
      </c>
      <c r="Q228">
        <v>2586877</v>
      </c>
      <c r="R228" t="s">
        <v>90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93</v>
      </c>
      <c r="AD228" s="44">
        <v>43709</v>
      </c>
    </row>
    <row r="229" spans="1:30" x14ac:dyDescent="0.25">
      <c r="A229">
        <v>301143</v>
      </c>
      <c r="B229" t="s">
        <v>164</v>
      </c>
      <c r="C229">
        <v>2019</v>
      </c>
      <c r="D229">
        <v>11</v>
      </c>
      <c r="E229" t="s">
        <v>99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99</v>
      </c>
      <c r="L229" t="s">
        <v>112</v>
      </c>
      <c r="M229">
        <v>555.24552490999997</v>
      </c>
      <c r="N229">
        <v>0</v>
      </c>
      <c r="O229" t="s">
        <v>89</v>
      </c>
      <c r="P229" s="44">
        <v>44269.873619479164</v>
      </c>
      <c r="Q229">
        <v>2848426</v>
      </c>
      <c r="R229" t="s">
        <v>90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93</v>
      </c>
      <c r="AD229" s="44">
        <v>43770</v>
      </c>
    </row>
    <row r="230" spans="1:30" x14ac:dyDescent="0.25">
      <c r="A230">
        <v>229657</v>
      </c>
      <c r="B230" t="s">
        <v>161</v>
      </c>
      <c r="C230">
        <v>2019</v>
      </c>
      <c r="D230">
        <v>5</v>
      </c>
      <c r="E230" t="s">
        <v>95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1362.84439969</v>
      </c>
      <c r="N230">
        <v>0</v>
      </c>
      <c r="O230" t="s">
        <v>89</v>
      </c>
      <c r="P230" s="44">
        <v>44269.864757754629</v>
      </c>
      <c r="Q230">
        <v>2179509</v>
      </c>
      <c r="R230" t="s">
        <v>90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93</v>
      </c>
      <c r="AD230" s="44">
        <v>43586</v>
      </c>
    </row>
    <row r="231" spans="1:30" x14ac:dyDescent="0.25">
      <c r="A231">
        <v>287271</v>
      </c>
      <c r="B231" t="s">
        <v>165</v>
      </c>
      <c r="C231">
        <v>2019</v>
      </c>
      <c r="D231">
        <v>10</v>
      </c>
      <c r="E231" t="s">
        <v>95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95</v>
      </c>
      <c r="L231" t="s">
        <v>112</v>
      </c>
      <c r="M231">
        <v>1469.1859072899999</v>
      </c>
      <c r="N231">
        <v>0</v>
      </c>
      <c r="O231" t="s">
        <v>89</v>
      </c>
      <c r="P231" s="44">
        <v>44269.871966747683</v>
      </c>
      <c r="Q231">
        <v>2717449</v>
      </c>
      <c r="R231" t="s">
        <v>90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93</v>
      </c>
      <c r="AD231" s="44">
        <v>43739</v>
      </c>
    </row>
    <row r="232" spans="1:30" x14ac:dyDescent="0.25">
      <c r="A232">
        <v>243465</v>
      </c>
      <c r="B232" t="s">
        <v>162</v>
      </c>
      <c r="C232">
        <v>2019</v>
      </c>
      <c r="D232">
        <v>6</v>
      </c>
      <c r="E232" t="s">
        <v>99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99</v>
      </c>
      <c r="L232" t="s">
        <v>112</v>
      </c>
      <c r="M232">
        <v>676.21524277000003</v>
      </c>
      <c r="N232">
        <v>0</v>
      </c>
      <c r="O232" t="s">
        <v>89</v>
      </c>
      <c r="P232" s="44">
        <v>44269.866386307869</v>
      </c>
      <c r="Q232">
        <v>2309773</v>
      </c>
      <c r="R232" t="s">
        <v>90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93</v>
      </c>
      <c r="AD232" s="44">
        <v>43617</v>
      </c>
    </row>
    <row r="233" spans="1:30" x14ac:dyDescent="0.25">
      <c r="A233">
        <v>287298</v>
      </c>
      <c r="B233" t="s">
        <v>165</v>
      </c>
      <c r="C233">
        <v>2019</v>
      </c>
      <c r="D233">
        <v>10</v>
      </c>
      <c r="E233" t="s">
        <v>97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97</v>
      </c>
      <c r="L233" t="s">
        <v>112</v>
      </c>
      <c r="M233">
        <v>290.75618709000003</v>
      </c>
      <c r="N233">
        <v>0</v>
      </c>
      <c r="O233" t="s">
        <v>89</v>
      </c>
      <c r="P233" s="44">
        <v>44269.871968136576</v>
      </c>
      <c r="Q233">
        <v>2717584</v>
      </c>
      <c r="R233" t="s">
        <v>90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93</v>
      </c>
      <c r="AD233" s="44">
        <v>43739</v>
      </c>
    </row>
    <row r="234" spans="1:30" x14ac:dyDescent="0.25">
      <c r="A234">
        <v>273453</v>
      </c>
      <c r="B234" t="s">
        <v>163</v>
      </c>
      <c r="C234">
        <v>2019</v>
      </c>
      <c r="D234">
        <v>9</v>
      </c>
      <c r="E234" t="s">
        <v>95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95</v>
      </c>
      <c r="L234" t="s">
        <v>112</v>
      </c>
      <c r="M234">
        <v>1168.3183385699999</v>
      </c>
      <c r="N234">
        <v>0</v>
      </c>
      <c r="O234" t="s">
        <v>89</v>
      </c>
      <c r="P234" s="44">
        <v>44269.870331331018</v>
      </c>
      <c r="Q234">
        <v>2586742</v>
      </c>
      <c r="R234" t="s">
        <v>90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93</v>
      </c>
      <c r="AD234" s="44">
        <v>43709</v>
      </c>
    </row>
    <row r="235" spans="1:30" x14ac:dyDescent="0.25">
      <c r="A235">
        <v>301089</v>
      </c>
      <c r="B235" t="s">
        <v>164</v>
      </c>
      <c r="C235">
        <v>2019</v>
      </c>
      <c r="D235">
        <v>11</v>
      </c>
      <c r="E235" t="s">
        <v>95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95</v>
      </c>
      <c r="L235" t="s">
        <v>112</v>
      </c>
      <c r="M235">
        <v>1777.6837430800001</v>
      </c>
      <c r="N235">
        <v>0</v>
      </c>
      <c r="O235" t="s">
        <v>89</v>
      </c>
      <c r="P235" s="44">
        <v>44269.873616666657</v>
      </c>
      <c r="Q235">
        <v>2848156</v>
      </c>
      <c r="R235" t="s">
        <v>90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93</v>
      </c>
      <c r="AD235" s="44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tabSelected="1"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B2" s="66">
        <v>42370</v>
      </c>
      <c r="P2" s="44"/>
      <c r="AD2" s="44"/>
    </row>
    <row r="3" spans="1:30" x14ac:dyDescent="0.25">
      <c r="B3" s="66">
        <v>42401</v>
      </c>
      <c r="P3" s="44"/>
      <c r="AD3" s="44"/>
    </row>
    <row r="4" spans="1:30" x14ac:dyDescent="0.25">
      <c r="B4" s="66">
        <v>42430</v>
      </c>
      <c r="P4" s="44"/>
      <c r="AD4" s="44"/>
    </row>
    <row r="5" spans="1:30" x14ac:dyDescent="0.25">
      <c r="B5" s="66">
        <v>42461</v>
      </c>
      <c r="P5" s="44"/>
      <c r="AD5" s="44"/>
    </row>
    <row r="6" spans="1:30" x14ac:dyDescent="0.25">
      <c r="B6" s="66">
        <v>42491</v>
      </c>
      <c r="P6" s="44"/>
      <c r="AD6" s="44"/>
    </row>
    <row r="7" spans="1:30" x14ac:dyDescent="0.25">
      <c r="B7" s="66">
        <v>42522</v>
      </c>
      <c r="P7" s="44"/>
      <c r="AD7" s="44"/>
    </row>
    <row r="8" spans="1:30" x14ac:dyDescent="0.25">
      <c r="B8" s="66">
        <v>42552</v>
      </c>
      <c r="P8" s="44"/>
      <c r="AD8" s="44"/>
    </row>
    <row r="9" spans="1:30" x14ac:dyDescent="0.25">
      <c r="B9" s="66">
        <v>42583</v>
      </c>
      <c r="P9" s="44"/>
      <c r="AD9" s="44"/>
    </row>
    <row r="10" spans="1:30" x14ac:dyDescent="0.25">
      <c r="B10" s="66">
        <v>42614</v>
      </c>
      <c r="P10" s="44"/>
      <c r="AD10" s="44"/>
    </row>
    <row r="11" spans="1:30" x14ac:dyDescent="0.25">
      <c r="B11" s="66">
        <v>42644</v>
      </c>
      <c r="P11" s="44"/>
      <c r="AD11" s="44"/>
    </row>
    <row r="12" spans="1:30" x14ac:dyDescent="0.25">
      <c r="B12" s="66">
        <v>42675</v>
      </c>
      <c r="P12" s="44"/>
      <c r="AD12" s="44"/>
    </row>
    <row r="13" spans="1:30" x14ac:dyDescent="0.25">
      <c r="B13" s="66">
        <v>42705</v>
      </c>
      <c r="P13" s="44"/>
      <c r="AD13" s="44"/>
    </row>
    <row r="14" spans="1:30" x14ac:dyDescent="0.25">
      <c r="B14" s="66">
        <v>42736</v>
      </c>
      <c r="P14" s="44"/>
      <c r="AD14" s="44"/>
    </row>
    <row r="15" spans="1:30" x14ac:dyDescent="0.25">
      <c r="B15" s="66">
        <v>42767</v>
      </c>
      <c r="P15" s="44"/>
      <c r="AD15" s="44"/>
    </row>
    <row r="16" spans="1:30" x14ac:dyDescent="0.25">
      <c r="B16" s="66">
        <v>42795</v>
      </c>
      <c r="P16" s="44"/>
      <c r="AD16" s="44"/>
    </row>
    <row r="17" spans="2:30" x14ac:dyDescent="0.25">
      <c r="B17" s="66">
        <v>42826</v>
      </c>
      <c r="P17" s="44"/>
      <c r="AD17" s="44"/>
    </row>
    <row r="18" spans="2:30" x14ac:dyDescent="0.25">
      <c r="B18" s="66">
        <v>42856</v>
      </c>
      <c r="P18" s="44"/>
      <c r="AD18" s="44"/>
    </row>
    <row r="19" spans="2:30" x14ac:dyDescent="0.25">
      <c r="B19" s="66">
        <v>42887</v>
      </c>
      <c r="P19" s="44"/>
      <c r="AD19" s="44"/>
    </row>
    <row r="20" spans="2:30" x14ac:dyDescent="0.25">
      <c r="B20" s="66">
        <v>42917</v>
      </c>
      <c r="P20" s="44"/>
      <c r="AD20" s="44"/>
    </row>
    <row r="21" spans="2:30" x14ac:dyDescent="0.25">
      <c r="B21" s="66">
        <v>42948</v>
      </c>
      <c r="P21" s="44"/>
      <c r="AD21" s="44"/>
    </row>
    <row r="22" spans="2:30" x14ac:dyDescent="0.25">
      <c r="B22" s="66">
        <v>42979</v>
      </c>
      <c r="P22" s="44"/>
      <c r="AD22" s="44"/>
    </row>
    <row r="23" spans="2:30" x14ac:dyDescent="0.25">
      <c r="B23" s="66">
        <v>43009</v>
      </c>
      <c r="P23" s="44"/>
      <c r="AD23" s="44"/>
    </row>
    <row r="24" spans="2:30" x14ac:dyDescent="0.25">
      <c r="B24" s="66">
        <v>43040</v>
      </c>
      <c r="P24" s="44"/>
      <c r="AD24" s="44"/>
    </row>
    <row r="25" spans="2:30" x14ac:dyDescent="0.25">
      <c r="B25" s="66">
        <v>43070</v>
      </c>
      <c r="P25" s="44"/>
      <c r="AD25" s="44"/>
    </row>
    <row r="26" spans="2:30" x14ac:dyDescent="0.25">
      <c r="B26" s="66">
        <v>43101</v>
      </c>
      <c r="P26" s="44"/>
      <c r="AD26" s="44"/>
    </row>
    <row r="27" spans="2:30" x14ac:dyDescent="0.25">
      <c r="B27" s="66">
        <v>43132</v>
      </c>
      <c r="P27" s="44"/>
      <c r="AD27" s="44"/>
    </row>
    <row r="28" spans="2:30" x14ac:dyDescent="0.25">
      <c r="B28" s="66">
        <v>43160</v>
      </c>
      <c r="P28" s="44"/>
      <c r="AD28" s="44"/>
    </row>
    <row r="29" spans="2:30" x14ac:dyDescent="0.25">
      <c r="B29" s="66">
        <v>43191</v>
      </c>
      <c r="P29" s="44"/>
      <c r="AD29" s="44"/>
    </row>
    <row r="30" spans="2:30" x14ac:dyDescent="0.25">
      <c r="B30" s="66">
        <v>43221</v>
      </c>
      <c r="P30" s="44"/>
      <c r="AD30" s="44"/>
    </row>
    <row r="31" spans="2:30" x14ac:dyDescent="0.25">
      <c r="B31" s="66">
        <v>43252</v>
      </c>
      <c r="P31" s="44"/>
      <c r="AD31" s="44"/>
    </row>
    <row r="32" spans="2:30" x14ac:dyDescent="0.25">
      <c r="B32" s="66">
        <v>43282</v>
      </c>
      <c r="P32" s="44"/>
      <c r="AD32" s="44"/>
    </row>
    <row r="33" spans="2:30" x14ac:dyDescent="0.25">
      <c r="B33" s="66">
        <v>43313</v>
      </c>
      <c r="P33" s="44"/>
      <c r="AD33" s="44"/>
    </row>
    <row r="34" spans="2:30" x14ac:dyDescent="0.25">
      <c r="B34" s="66">
        <v>43344</v>
      </c>
      <c r="P34" s="44"/>
      <c r="AD34" s="44"/>
    </row>
    <row r="35" spans="2:30" x14ac:dyDescent="0.25">
      <c r="B35" s="66">
        <v>43374</v>
      </c>
      <c r="P35" s="44"/>
      <c r="AD35" s="44"/>
    </row>
    <row r="36" spans="2:30" x14ac:dyDescent="0.25">
      <c r="B36" s="66">
        <v>43405</v>
      </c>
      <c r="P36" s="44"/>
      <c r="AD36" s="44"/>
    </row>
    <row r="37" spans="2:30" x14ac:dyDescent="0.25">
      <c r="B37" s="66">
        <v>43435</v>
      </c>
      <c r="P37" s="44"/>
      <c r="AD37" s="44"/>
    </row>
    <row r="38" spans="2:30" x14ac:dyDescent="0.25">
      <c r="B38" s="66">
        <v>43466</v>
      </c>
      <c r="P38" s="44"/>
      <c r="AD38" s="44"/>
    </row>
    <row r="39" spans="2:30" x14ac:dyDescent="0.25">
      <c r="B39" s="66">
        <v>43497</v>
      </c>
      <c r="P39" s="44"/>
      <c r="AD39" s="44"/>
    </row>
    <row r="40" spans="2:30" x14ac:dyDescent="0.25">
      <c r="B40" s="66">
        <v>43525</v>
      </c>
      <c r="P40" s="44"/>
      <c r="AD40" s="44"/>
    </row>
    <row r="41" spans="2:30" x14ac:dyDescent="0.25">
      <c r="B41" s="66">
        <v>43556</v>
      </c>
      <c r="P41" s="44"/>
      <c r="AD41" s="44"/>
    </row>
    <row r="42" spans="2:30" x14ac:dyDescent="0.25">
      <c r="B42" s="66">
        <v>43586</v>
      </c>
      <c r="P42" s="44"/>
      <c r="AD42" s="44"/>
    </row>
    <row r="43" spans="2:30" x14ac:dyDescent="0.25">
      <c r="B43" s="66">
        <v>43617</v>
      </c>
      <c r="P43" s="44"/>
      <c r="AD43" s="44"/>
    </row>
    <row r="44" spans="2:30" x14ac:dyDescent="0.25">
      <c r="B44" s="66">
        <v>43647</v>
      </c>
      <c r="P44" s="44"/>
      <c r="AD44" s="44"/>
    </row>
    <row r="45" spans="2:30" x14ac:dyDescent="0.25">
      <c r="B45" s="66">
        <v>43678</v>
      </c>
      <c r="P45" s="44"/>
      <c r="AD45" s="44"/>
    </row>
    <row r="46" spans="2:30" x14ac:dyDescent="0.25">
      <c r="B46" s="66">
        <v>43709</v>
      </c>
      <c r="P46" s="44"/>
      <c r="AD46" s="44"/>
    </row>
    <row r="47" spans="2:30" x14ac:dyDescent="0.25">
      <c r="B47" s="66">
        <v>43739</v>
      </c>
      <c r="P47" s="44"/>
      <c r="AD47" s="44"/>
    </row>
    <row r="48" spans="2:30" x14ac:dyDescent="0.25">
      <c r="B48" s="66">
        <v>43770</v>
      </c>
      <c r="P48" s="44"/>
      <c r="AD48" s="44"/>
    </row>
    <row r="49" spans="2:30" x14ac:dyDescent="0.25">
      <c r="B49" s="66">
        <v>43800</v>
      </c>
      <c r="P49" s="44"/>
      <c r="AD49" s="44"/>
    </row>
    <row r="50" spans="2:30" x14ac:dyDescent="0.25">
      <c r="B50" s="66">
        <v>43831</v>
      </c>
      <c r="P50" s="44"/>
      <c r="AD50" s="44"/>
    </row>
    <row r="51" spans="2:30" x14ac:dyDescent="0.25">
      <c r="B51" s="66">
        <v>43862</v>
      </c>
      <c r="P51" s="44"/>
      <c r="AD51" s="44"/>
    </row>
    <row r="52" spans="2:30" x14ac:dyDescent="0.25">
      <c r="B52" s="66">
        <v>43891</v>
      </c>
      <c r="P52" s="44"/>
      <c r="AD52" s="44"/>
    </row>
    <row r="53" spans="2:30" x14ac:dyDescent="0.25">
      <c r="B53" s="66">
        <v>43922</v>
      </c>
      <c r="P53" s="44"/>
      <c r="AD53" s="44"/>
    </row>
    <row r="54" spans="2:30" x14ac:dyDescent="0.25">
      <c r="B54" s="66">
        <v>43952</v>
      </c>
      <c r="P54" s="44"/>
      <c r="AD54" s="44"/>
    </row>
    <row r="55" spans="2:30" x14ac:dyDescent="0.25">
      <c r="B55" s="66">
        <v>43983</v>
      </c>
      <c r="P55" s="44"/>
      <c r="AD55" s="44"/>
    </row>
    <row r="56" spans="2:30" x14ac:dyDescent="0.25">
      <c r="B56" s="66">
        <v>44013</v>
      </c>
      <c r="P56" s="44"/>
      <c r="AD56" s="44"/>
    </row>
    <row r="57" spans="2:30" x14ac:dyDescent="0.25">
      <c r="B57" s="66">
        <v>44044</v>
      </c>
      <c r="P57" s="44"/>
      <c r="AD57" s="44"/>
    </row>
    <row r="58" spans="2:30" x14ac:dyDescent="0.25">
      <c r="B58" s="66">
        <v>44075</v>
      </c>
      <c r="P58" s="44"/>
      <c r="AD58" s="44"/>
    </row>
    <row r="59" spans="2:30" x14ac:dyDescent="0.25">
      <c r="B59" s="66">
        <v>44105</v>
      </c>
      <c r="P59" s="44"/>
      <c r="AD59" s="44"/>
    </row>
    <row r="60" spans="2:30" x14ac:dyDescent="0.25">
      <c r="B60" s="66">
        <v>44136</v>
      </c>
      <c r="P60" s="44"/>
      <c r="AD60" s="44"/>
    </row>
    <row r="61" spans="2:30" x14ac:dyDescent="0.25">
      <c r="B61" s="66">
        <v>44166</v>
      </c>
      <c r="P61" s="44"/>
      <c r="AD61" s="44"/>
    </row>
    <row r="62" spans="2:30" x14ac:dyDescent="0.25">
      <c r="B62" s="66">
        <v>44197</v>
      </c>
      <c r="P62" s="44"/>
      <c r="AD62" s="44"/>
    </row>
    <row r="63" spans="2:30" x14ac:dyDescent="0.25">
      <c r="B63" s="66">
        <v>44228</v>
      </c>
      <c r="P63" s="44"/>
      <c r="AD63" s="44"/>
    </row>
    <row r="64" spans="2:30" x14ac:dyDescent="0.25">
      <c r="B64" s="66">
        <v>44256</v>
      </c>
      <c r="P64" s="44"/>
      <c r="AD64" s="44"/>
    </row>
    <row r="65" spans="2:30" x14ac:dyDescent="0.25">
      <c r="B65" s="66">
        <v>44287</v>
      </c>
      <c r="P65" s="44"/>
      <c r="AD65" s="44"/>
    </row>
    <row r="66" spans="2:30" x14ac:dyDescent="0.25">
      <c r="B66" s="66">
        <v>44317</v>
      </c>
      <c r="P66" s="44"/>
      <c r="AD66" s="44"/>
    </row>
    <row r="67" spans="2:30" x14ac:dyDescent="0.25">
      <c r="B67" s="66">
        <v>44348</v>
      </c>
      <c r="P67" s="44"/>
      <c r="AD67" s="44"/>
    </row>
    <row r="68" spans="2:30" x14ac:dyDescent="0.25">
      <c r="B68" s="66">
        <v>44378</v>
      </c>
      <c r="P68" s="44"/>
      <c r="AD68" s="44"/>
    </row>
    <row r="69" spans="2:30" x14ac:dyDescent="0.25">
      <c r="B69" s="66">
        <v>44409</v>
      </c>
      <c r="P69" s="44"/>
      <c r="AD69" s="44"/>
    </row>
    <row r="70" spans="2:30" x14ac:dyDescent="0.25">
      <c r="B70" s="66">
        <v>44440</v>
      </c>
      <c r="P70" s="44"/>
      <c r="AD70" s="44"/>
    </row>
    <row r="71" spans="2:30" x14ac:dyDescent="0.25">
      <c r="B71" s="66">
        <v>44470</v>
      </c>
      <c r="P71" s="44"/>
      <c r="AD71" s="44"/>
    </row>
    <row r="72" spans="2:30" x14ac:dyDescent="0.25">
      <c r="B72" s="66">
        <v>44501</v>
      </c>
      <c r="P72" s="44"/>
      <c r="AD72" s="44"/>
    </row>
    <row r="73" spans="2:30" x14ac:dyDescent="0.25">
      <c r="B73" s="66">
        <v>44531</v>
      </c>
      <c r="P73" s="44"/>
      <c r="AD73" s="44"/>
    </row>
    <row r="74" spans="2:30" x14ac:dyDescent="0.25">
      <c r="B74" s="66">
        <v>44562</v>
      </c>
      <c r="P74" s="44"/>
      <c r="AD74" s="44"/>
    </row>
    <row r="75" spans="2:30" x14ac:dyDescent="0.25">
      <c r="B75" s="66">
        <v>44593</v>
      </c>
      <c r="P75" s="44"/>
      <c r="AD75" s="44"/>
    </row>
    <row r="76" spans="2:30" x14ac:dyDescent="0.25">
      <c r="B76" s="66">
        <v>44621</v>
      </c>
      <c r="P76" s="44"/>
      <c r="AD76" s="44"/>
    </row>
    <row r="77" spans="2:30" x14ac:dyDescent="0.25">
      <c r="B77" s="66">
        <v>44652</v>
      </c>
      <c r="P77" s="44"/>
      <c r="AD77" s="44"/>
    </row>
    <row r="78" spans="2:30" x14ac:dyDescent="0.25">
      <c r="B78" s="66">
        <v>44682</v>
      </c>
      <c r="P78" s="44"/>
      <c r="AD78" s="44"/>
    </row>
    <row r="79" spans="2:30" x14ac:dyDescent="0.25">
      <c r="B79" s="66">
        <v>44713</v>
      </c>
      <c r="P79" s="44"/>
      <c r="AD79" s="44"/>
    </row>
    <row r="80" spans="2:30" x14ac:dyDescent="0.25">
      <c r="B80" s="66">
        <v>44743</v>
      </c>
      <c r="P80" s="44"/>
      <c r="AD80" s="44"/>
    </row>
    <row r="81" spans="2:30" x14ac:dyDescent="0.25">
      <c r="B81" s="66">
        <v>44774</v>
      </c>
      <c r="P81" s="44"/>
      <c r="AD81" s="44"/>
    </row>
    <row r="82" spans="2:30" x14ac:dyDescent="0.25">
      <c r="B82" s="66">
        <v>44805</v>
      </c>
      <c r="P82" s="44"/>
      <c r="AD82" s="44"/>
    </row>
    <row r="83" spans="2:30" x14ac:dyDescent="0.25">
      <c r="B83" s="66">
        <v>44835</v>
      </c>
      <c r="P83" s="44"/>
      <c r="AD83" s="44"/>
    </row>
    <row r="84" spans="2:30" x14ac:dyDescent="0.25">
      <c r="B84" s="66">
        <v>44866</v>
      </c>
      <c r="P84" s="44"/>
      <c r="AD84" s="44"/>
    </row>
    <row r="85" spans="2:30" x14ac:dyDescent="0.25">
      <c r="B85" s="66">
        <v>44896</v>
      </c>
      <c r="P85" s="44"/>
      <c r="AD85" s="44"/>
    </row>
    <row r="86" spans="2:30" x14ac:dyDescent="0.25">
      <c r="B86" s="66">
        <v>44927</v>
      </c>
      <c r="P86" s="44"/>
      <c r="AD86" s="44"/>
    </row>
    <row r="87" spans="2:30" x14ac:dyDescent="0.25">
      <c r="B87" s="66">
        <v>44958</v>
      </c>
      <c r="P87" s="44"/>
      <c r="AD87" s="44"/>
    </row>
    <row r="88" spans="2:30" x14ac:dyDescent="0.25">
      <c r="B88" s="66">
        <v>44986</v>
      </c>
      <c r="P88" s="44"/>
      <c r="AD88" s="44"/>
    </row>
    <row r="89" spans="2:30" x14ac:dyDescent="0.25">
      <c r="B89" s="66">
        <v>45017</v>
      </c>
      <c r="P89" s="44"/>
      <c r="AD89" s="44"/>
    </row>
    <row r="90" spans="2:30" x14ac:dyDescent="0.25">
      <c r="B90" s="66">
        <v>45047</v>
      </c>
      <c r="P90" s="44"/>
      <c r="AD90" s="44"/>
    </row>
    <row r="91" spans="2:30" x14ac:dyDescent="0.25">
      <c r="B91" s="66">
        <v>45078</v>
      </c>
      <c r="P91" s="44"/>
      <c r="AD91" s="44"/>
    </row>
    <row r="92" spans="2:30" x14ac:dyDescent="0.25">
      <c r="B92" s="66">
        <v>45108</v>
      </c>
      <c r="P92" s="44"/>
      <c r="AD92" s="44"/>
    </row>
    <row r="93" spans="2:30" x14ac:dyDescent="0.25">
      <c r="B93" s="66">
        <v>45139</v>
      </c>
      <c r="P93" s="44"/>
      <c r="AD93" s="44"/>
    </row>
    <row r="94" spans="2:30" x14ac:dyDescent="0.25">
      <c r="B94" s="66">
        <v>45170</v>
      </c>
      <c r="P94" s="44"/>
      <c r="AD94" s="44"/>
    </row>
    <row r="95" spans="2:30" x14ac:dyDescent="0.25">
      <c r="B95" s="66">
        <v>45200</v>
      </c>
      <c r="P95" s="44"/>
      <c r="AD95" s="44"/>
    </row>
    <row r="96" spans="2:30" x14ac:dyDescent="0.25">
      <c r="B96" s="66">
        <v>45231</v>
      </c>
      <c r="P96" s="44"/>
      <c r="AD96" s="44"/>
    </row>
    <row r="97" spans="2:30" x14ac:dyDescent="0.25">
      <c r="B97" s="66">
        <v>45261</v>
      </c>
      <c r="P97" s="44"/>
      <c r="AD97" s="44"/>
    </row>
    <row r="98" spans="2:30" x14ac:dyDescent="0.25">
      <c r="B98" s="66">
        <v>45292</v>
      </c>
      <c r="P98" s="44"/>
      <c r="AD98" s="44"/>
    </row>
    <row r="99" spans="2:30" x14ac:dyDescent="0.25">
      <c r="B99" s="66">
        <v>45323</v>
      </c>
      <c r="P99" s="44"/>
      <c r="AD99" s="44"/>
    </row>
    <row r="100" spans="2:30" x14ac:dyDescent="0.25">
      <c r="B100" s="66">
        <v>45352</v>
      </c>
      <c r="P100" s="44"/>
      <c r="AD100" s="44"/>
    </row>
    <row r="101" spans="2:30" x14ac:dyDescent="0.25">
      <c r="B101" s="66">
        <v>45383</v>
      </c>
      <c r="P101" s="44"/>
      <c r="AD101" s="44"/>
    </row>
    <row r="102" spans="2:30" x14ac:dyDescent="0.25">
      <c r="B102" s="66">
        <v>45413</v>
      </c>
      <c r="P102" s="44"/>
      <c r="AD102" s="44"/>
    </row>
    <row r="103" spans="2:30" x14ac:dyDescent="0.25">
      <c r="B103" s="66">
        <v>45444</v>
      </c>
      <c r="P103" s="44"/>
      <c r="AD103" s="44"/>
    </row>
    <row r="104" spans="2:30" x14ac:dyDescent="0.25">
      <c r="B104" s="66">
        <v>45474</v>
      </c>
      <c r="P104" s="44"/>
      <c r="AD104" s="44"/>
    </row>
    <row r="105" spans="2:30" x14ac:dyDescent="0.25">
      <c r="B105" s="66">
        <v>45505</v>
      </c>
      <c r="P105" s="44"/>
      <c r="AD105" s="44"/>
    </row>
    <row r="106" spans="2:30" x14ac:dyDescent="0.25">
      <c r="B106" s="66">
        <v>45536</v>
      </c>
      <c r="P106" s="44"/>
      <c r="AD106" s="44"/>
    </row>
    <row r="107" spans="2:30" x14ac:dyDescent="0.25">
      <c r="B107" s="66">
        <v>45566</v>
      </c>
      <c r="P107" s="44"/>
      <c r="AD107" s="44"/>
    </row>
    <row r="108" spans="2:30" x14ac:dyDescent="0.25">
      <c r="B108" s="66">
        <v>45597</v>
      </c>
      <c r="P108" s="44"/>
      <c r="AD108" s="44"/>
    </row>
    <row r="109" spans="2:30" x14ac:dyDescent="0.25">
      <c r="B109" s="66">
        <v>45627</v>
      </c>
      <c r="P109" s="44"/>
      <c r="AD109" s="44"/>
    </row>
    <row r="110" spans="2:30" x14ac:dyDescent="0.25">
      <c r="B110" s="66">
        <v>45658</v>
      </c>
      <c r="P110" s="44"/>
      <c r="AD110" s="44"/>
    </row>
    <row r="111" spans="2:30" x14ac:dyDescent="0.25">
      <c r="B111" s="66">
        <v>45689</v>
      </c>
      <c r="P111" s="44"/>
      <c r="AD111" s="44"/>
    </row>
    <row r="112" spans="2:30" x14ac:dyDescent="0.25">
      <c r="B112" s="66">
        <v>45717</v>
      </c>
      <c r="P112" s="44"/>
      <c r="AD112" s="44"/>
    </row>
    <row r="113" spans="2:30" x14ac:dyDescent="0.25">
      <c r="B113" s="66">
        <v>45748</v>
      </c>
      <c r="P113" s="44"/>
      <c r="AD113" s="44"/>
    </row>
    <row r="114" spans="2:30" x14ac:dyDescent="0.25">
      <c r="B114" s="66">
        <v>45778</v>
      </c>
      <c r="P114" s="44"/>
      <c r="AD114" s="44"/>
    </row>
    <row r="115" spans="2:30" x14ac:dyDescent="0.25">
      <c r="B115" s="66">
        <v>45809</v>
      </c>
      <c r="P115" s="44"/>
      <c r="AD115" s="44"/>
    </row>
    <row r="116" spans="2:30" x14ac:dyDescent="0.25">
      <c r="B116" s="66">
        <v>45839</v>
      </c>
      <c r="P116" s="44"/>
      <c r="AD116" s="44"/>
    </row>
    <row r="117" spans="2:30" x14ac:dyDescent="0.25">
      <c r="B117" s="66">
        <v>45870</v>
      </c>
      <c r="P117" s="44"/>
      <c r="AD117" s="44"/>
    </row>
    <row r="118" spans="2:30" x14ac:dyDescent="0.25">
      <c r="B118" s="66">
        <v>45901</v>
      </c>
      <c r="P118" s="44"/>
      <c r="AD118" s="44"/>
    </row>
    <row r="119" spans="2:30" x14ac:dyDescent="0.25">
      <c r="B119" s="66">
        <v>45931</v>
      </c>
      <c r="P119" s="44"/>
      <c r="AD119" s="44"/>
    </row>
    <row r="120" spans="2:30" x14ac:dyDescent="0.25">
      <c r="B120" s="66">
        <v>45962</v>
      </c>
      <c r="P120" s="44"/>
      <c r="AD120" s="44"/>
    </row>
    <row r="121" spans="2:30" x14ac:dyDescent="0.25">
      <c r="B121" s="66">
        <v>45992</v>
      </c>
      <c r="P121" s="44"/>
      <c r="AD121" s="44"/>
    </row>
    <row r="122" spans="2:30" x14ac:dyDescent="0.25">
      <c r="B122" s="66">
        <v>46023</v>
      </c>
      <c r="P122" s="44"/>
      <c r="AD122" s="44"/>
    </row>
    <row r="123" spans="2:30" x14ac:dyDescent="0.25">
      <c r="B123" s="66">
        <v>46054</v>
      </c>
      <c r="P123" s="44"/>
      <c r="AD123" s="44"/>
    </row>
    <row r="124" spans="2:30" x14ac:dyDescent="0.25">
      <c r="B124" s="66">
        <v>46082</v>
      </c>
      <c r="P124" s="44"/>
      <c r="AD124" s="44"/>
    </row>
    <row r="125" spans="2:30" x14ac:dyDescent="0.25">
      <c r="B125" s="66">
        <v>46113</v>
      </c>
      <c r="P125" s="44"/>
      <c r="AD125" s="44"/>
    </row>
    <row r="126" spans="2:30" x14ac:dyDescent="0.25">
      <c r="B126" s="66">
        <v>46143</v>
      </c>
      <c r="P126" s="44"/>
      <c r="AD126" s="44"/>
    </row>
    <row r="127" spans="2:30" x14ac:dyDescent="0.25">
      <c r="B127" s="66">
        <v>46174</v>
      </c>
      <c r="P127" s="44"/>
      <c r="AD127" s="44"/>
    </row>
    <row r="128" spans="2:30" x14ac:dyDescent="0.25">
      <c r="B128" s="66">
        <v>46204</v>
      </c>
      <c r="P128" s="44"/>
      <c r="AD128" s="44"/>
    </row>
    <row r="129" spans="2:30" x14ac:dyDescent="0.25">
      <c r="B129" s="66">
        <v>46235</v>
      </c>
      <c r="P129" s="44"/>
      <c r="AD129" s="44"/>
    </row>
    <row r="130" spans="2:30" x14ac:dyDescent="0.25">
      <c r="B130" s="66">
        <v>46266</v>
      </c>
      <c r="P130" s="44"/>
      <c r="AD130" s="44"/>
    </row>
    <row r="131" spans="2:30" x14ac:dyDescent="0.25">
      <c r="B131" s="66">
        <v>46296</v>
      </c>
      <c r="P131" s="44"/>
      <c r="AD131" s="44"/>
    </row>
    <row r="132" spans="2:30" x14ac:dyDescent="0.25">
      <c r="B132" s="66">
        <v>46327</v>
      </c>
      <c r="P132" s="44"/>
      <c r="AD132" s="44"/>
    </row>
    <row r="133" spans="2:30" x14ac:dyDescent="0.25">
      <c r="B133" s="66">
        <v>46357</v>
      </c>
      <c r="P133" s="44"/>
      <c r="AD133" s="44"/>
    </row>
    <row r="134" spans="2:30" x14ac:dyDescent="0.25">
      <c r="B134" s="66">
        <v>46388</v>
      </c>
      <c r="P134" s="44"/>
      <c r="AD134" s="44"/>
    </row>
    <row r="135" spans="2:30" x14ac:dyDescent="0.25">
      <c r="B135" s="66">
        <v>46419</v>
      </c>
      <c r="P135" s="44"/>
      <c r="AD135" s="44"/>
    </row>
    <row r="136" spans="2:30" x14ac:dyDescent="0.25">
      <c r="B136" s="66">
        <v>46447</v>
      </c>
      <c r="P136" s="44"/>
      <c r="AD136" s="44"/>
    </row>
    <row r="137" spans="2:30" x14ac:dyDescent="0.25">
      <c r="B137" s="66">
        <v>46478</v>
      </c>
      <c r="P137" s="44"/>
      <c r="AD137" s="44"/>
    </row>
    <row r="138" spans="2:30" x14ac:dyDescent="0.25">
      <c r="B138" s="66">
        <v>46508</v>
      </c>
      <c r="P138" s="44"/>
      <c r="AD138" s="44"/>
    </row>
    <row r="139" spans="2:30" x14ac:dyDescent="0.25">
      <c r="B139" s="66">
        <v>46539</v>
      </c>
      <c r="P139" s="44"/>
      <c r="AD139" s="44"/>
    </row>
    <row r="140" spans="2:30" x14ac:dyDescent="0.25">
      <c r="B140" s="66">
        <v>46569</v>
      </c>
      <c r="P140" s="44"/>
      <c r="AD140" s="44"/>
    </row>
    <row r="141" spans="2:30" x14ac:dyDescent="0.25">
      <c r="B141" s="66">
        <v>46600</v>
      </c>
      <c r="P141" s="44"/>
      <c r="AD141" s="44"/>
    </row>
    <row r="142" spans="2:30" x14ac:dyDescent="0.25">
      <c r="B142" s="66">
        <v>46631</v>
      </c>
      <c r="P142" s="44"/>
      <c r="AD142" s="44"/>
    </row>
    <row r="143" spans="2:30" x14ac:dyDescent="0.25">
      <c r="B143" s="66">
        <v>46661</v>
      </c>
      <c r="P143" s="44"/>
      <c r="AD143" s="44"/>
    </row>
    <row r="144" spans="2:30" x14ac:dyDescent="0.25">
      <c r="B144" s="66">
        <v>46692</v>
      </c>
      <c r="P144" s="44"/>
      <c r="AD144" s="44"/>
    </row>
    <row r="145" spans="2:30" x14ac:dyDescent="0.25">
      <c r="B145" s="66">
        <v>46722</v>
      </c>
      <c r="P145" s="44"/>
      <c r="AD145" s="44"/>
    </row>
    <row r="146" spans="2:30" x14ac:dyDescent="0.25">
      <c r="B146" s="66">
        <v>46753</v>
      </c>
      <c r="P146" s="44"/>
      <c r="AD146" s="44"/>
    </row>
    <row r="147" spans="2:30" x14ac:dyDescent="0.25">
      <c r="B147" s="66">
        <v>46784</v>
      </c>
      <c r="P147" s="44"/>
      <c r="AD147" s="44"/>
    </row>
    <row r="148" spans="2:30" x14ac:dyDescent="0.25">
      <c r="B148" s="66">
        <v>46813</v>
      </c>
      <c r="P148" s="44"/>
      <c r="AD148" s="44"/>
    </row>
    <row r="149" spans="2:30" x14ac:dyDescent="0.25">
      <c r="B149" s="66">
        <v>46844</v>
      </c>
      <c r="P149" s="44"/>
      <c r="AD149" s="44"/>
    </row>
    <row r="150" spans="2:30" x14ac:dyDescent="0.25">
      <c r="B150" s="66">
        <v>46874</v>
      </c>
      <c r="P150" s="44"/>
      <c r="AD150" s="44"/>
    </row>
    <row r="151" spans="2:30" x14ac:dyDescent="0.25">
      <c r="B151" s="66">
        <v>46905</v>
      </c>
      <c r="P151" s="44"/>
      <c r="AD151" s="44"/>
    </row>
    <row r="152" spans="2:30" x14ac:dyDescent="0.25">
      <c r="B152" s="66">
        <v>46935</v>
      </c>
      <c r="P152" s="44"/>
      <c r="AD152" s="44"/>
    </row>
    <row r="153" spans="2:30" x14ac:dyDescent="0.25">
      <c r="B153" s="66">
        <v>46966</v>
      </c>
      <c r="P153" s="44"/>
      <c r="AD153" s="44"/>
    </row>
    <row r="154" spans="2:30" x14ac:dyDescent="0.25">
      <c r="B154" s="66">
        <v>46997</v>
      </c>
      <c r="P154" s="44"/>
      <c r="AD154" s="44"/>
    </row>
    <row r="155" spans="2:30" x14ac:dyDescent="0.25">
      <c r="B155" s="66">
        <v>47027</v>
      </c>
      <c r="P155" s="44"/>
      <c r="AD155" s="44"/>
    </row>
    <row r="156" spans="2:30" x14ac:dyDescent="0.25">
      <c r="B156" s="66">
        <v>47058</v>
      </c>
      <c r="P156" s="44"/>
      <c r="AD156" s="44"/>
    </row>
    <row r="157" spans="2:30" x14ac:dyDescent="0.25">
      <c r="B157" s="66">
        <v>47088</v>
      </c>
      <c r="P157" s="44"/>
      <c r="AD157" s="44"/>
    </row>
    <row r="158" spans="2:30" x14ac:dyDescent="0.25">
      <c r="B158" s="66">
        <v>47119</v>
      </c>
      <c r="P158" s="44"/>
      <c r="AD158" s="44"/>
    </row>
    <row r="159" spans="2:30" x14ac:dyDescent="0.25">
      <c r="B159" s="66">
        <v>47150</v>
      </c>
      <c r="P159" s="44"/>
      <c r="AD159" s="44"/>
    </row>
    <row r="160" spans="2:30" x14ac:dyDescent="0.25">
      <c r="B160" s="66">
        <v>47178</v>
      </c>
      <c r="P160" s="44"/>
      <c r="AD160" s="44"/>
    </row>
    <row r="161" spans="2:30" x14ac:dyDescent="0.25">
      <c r="B161" s="66">
        <v>47209</v>
      </c>
      <c r="P161" s="44"/>
      <c r="AD161" s="44"/>
    </row>
    <row r="162" spans="2:30" x14ac:dyDescent="0.25">
      <c r="B162" s="66">
        <v>47239</v>
      </c>
      <c r="P162" s="44"/>
      <c r="AD162" s="44"/>
    </row>
    <row r="163" spans="2:30" x14ac:dyDescent="0.25">
      <c r="B163" s="66">
        <v>47270</v>
      </c>
      <c r="P163" s="44"/>
      <c r="AD163" s="44"/>
    </row>
    <row r="164" spans="2:30" x14ac:dyDescent="0.25">
      <c r="B164" s="66">
        <v>47300</v>
      </c>
      <c r="P164" s="44"/>
      <c r="AD164" s="44"/>
    </row>
    <row r="165" spans="2:30" x14ac:dyDescent="0.25">
      <c r="B165" s="66">
        <v>47331</v>
      </c>
      <c r="P165" s="44"/>
      <c r="AD165" s="44"/>
    </row>
    <row r="166" spans="2:30" x14ac:dyDescent="0.25">
      <c r="B166" s="66">
        <v>47362</v>
      </c>
      <c r="P166" s="44"/>
      <c r="AD166" s="44"/>
    </row>
    <row r="167" spans="2:30" x14ac:dyDescent="0.25">
      <c r="B167" s="66">
        <v>47392</v>
      </c>
      <c r="P167" s="44"/>
      <c r="AD167" s="44"/>
    </row>
    <row r="168" spans="2:30" x14ac:dyDescent="0.25">
      <c r="B168" s="66">
        <v>47423</v>
      </c>
      <c r="P168" s="44"/>
      <c r="AD168" s="44"/>
    </row>
    <row r="169" spans="2:30" x14ac:dyDescent="0.25">
      <c r="B169" s="66">
        <v>47453</v>
      </c>
      <c r="P169" s="44"/>
      <c r="AD169" s="44"/>
    </row>
    <row r="170" spans="2:30" x14ac:dyDescent="0.25">
      <c r="B170" s="66">
        <v>47484</v>
      </c>
      <c r="P170" s="44"/>
      <c r="AD170" s="44"/>
    </row>
    <row r="171" spans="2:30" x14ac:dyDescent="0.25">
      <c r="B171" s="66">
        <v>47515</v>
      </c>
      <c r="P171" s="44"/>
      <c r="AD171" s="44"/>
    </row>
    <row r="172" spans="2:30" x14ac:dyDescent="0.25">
      <c r="B172" s="66">
        <v>47543</v>
      </c>
      <c r="P172" s="44"/>
      <c r="AD172" s="44"/>
    </row>
    <row r="173" spans="2:30" x14ac:dyDescent="0.25">
      <c r="B173" s="66">
        <v>47574</v>
      </c>
      <c r="P173" s="44"/>
      <c r="AD173" s="44"/>
    </row>
    <row r="174" spans="2:30" x14ac:dyDescent="0.25">
      <c r="B174" s="66">
        <v>47604</v>
      </c>
      <c r="P174" s="44"/>
      <c r="AD174" s="44"/>
    </row>
    <row r="175" spans="2:30" x14ac:dyDescent="0.25">
      <c r="B175" s="66">
        <v>47635</v>
      </c>
      <c r="P175" s="44"/>
      <c r="AD175" s="44"/>
    </row>
    <row r="176" spans="2:30" x14ac:dyDescent="0.25">
      <c r="B176" s="66">
        <v>47665</v>
      </c>
      <c r="P176" s="44"/>
      <c r="AD176" s="44"/>
    </row>
    <row r="177" spans="2:30" x14ac:dyDescent="0.25">
      <c r="B177" s="66">
        <v>47696</v>
      </c>
      <c r="P177" s="44"/>
      <c r="AD177" s="44"/>
    </row>
    <row r="178" spans="2:30" x14ac:dyDescent="0.25">
      <c r="B178" s="66">
        <v>47727</v>
      </c>
      <c r="P178" s="44"/>
      <c r="AD178" s="44"/>
    </row>
    <row r="179" spans="2:30" x14ac:dyDescent="0.25">
      <c r="B179" s="66">
        <v>47757</v>
      </c>
      <c r="P179" s="44"/>
      <c r="AD179" s="44"/>
    </row>
    <row r="180" spans="2:30" x14ac:dyDescent="0.25">
      <c r="B180" s="66">
        <v>47788</v>
      </c>
      <c r="P180" s="44"/>
      <c r="AD180" s="44"/>
    </row>
    <row r="181" spans="2:30" x14ac:dyDescent="0.25">
      <c r="B181" s="66">
        <v>47818</v>
      </c>
      <c r="P181" s="44"/>
      <c r="AD181" s="44"/>
    </row>
    <row r="182" spans="2:30" x14ac:dyDescent="0.25">
      <c r="B182" s="66">
        <v>47849</v>
      </c>
      <c r="P182" s="44"/>
      <c r="AD182" s="44"/>
    </row>
    <row r="183" spans="2:30" x14ac:dyDescent="0.25">
      <c r="B183" s="66">
        <v>47880</v>
      </c>
      <c r="P183" s="44"/>
      <c r="AD183" s="44"/>
    </row>
    <row r="184" spans="2:30" x14ac:dyDescent="0.25">
      <c r="B184" s="66">
        <v>47908</v>
      </c>
      <c r="P184" s="44"/>
      <c r="AD184" s="44"/>
    </row>
    <row r="185" spans="2:30" x14ac:dyDescent="0.25">
      <c r="B185" s="66">
        <v>47939</v>
      </c>
      <c r="P185" s="44"/>
      <c r="AD185" s="44"/>
    </row>
    <row r="186" spans="2:30" x14ac:dyDescent="0.25">
      <c r="B186" s="66">
        <v>47969</v>
      </c>
      <c r="P186" s="44"/>
      <c r="AD186" s="44"/>
    </row>
    <row r="187" spans="2:30" x14ac:dyDescent="0.25">
      <c r="B187" s="66">
        <v>48000</v>
      </c>
      <c r="P187" s="44"/>
      <c r="AD187" s="44"/>
    </row>
    <row r="188" spans="2:30" x14ac:dyDescent="0.25">
      <c r="B188" s="66">
        <v>48030</v>
      </c>
      <c r="P188" s="44"/>
      <c r="AD188" s="44"/>
    </row>
    <row r="189" spans="2:30" x14ac:dyDescent="0.25">
      <c r="B189" s="66">
        <v>48061</v>
      </c>
      <c r="P189" s="44"/>
      <c r="AD189" s="44"/>
    </row>
    <row r="190" spans="2:30" x14ac:dyDescent="0.25">
      <c r="B190" s="66">
        <v>48092</v>
      </c>
      <c r="P190" s="44"/>
      <c r="AD190" s="44"/>
    </row>
    <row r="191" spans="2:30" x14ac:dyDescent="0.25">
      <c r="B191" s="66">
        <v>48122</v>
      </c>
      <c r="P191" s="44"/>
      <c r="AD191" s="44"/>
    </row>
    <row r="192" spans="2:30" x14ac:dyDescent="0.25">
      <c r="B192" s="66">
        <v>48153</v>
      </c>
      <c r="P192" s="44"/>
      <c r="AD192" s="44"/>
    </row>
    <row r="193" spans="2:30" x14ac:dyDescent="0.25">
      <c r="B193" s="66">
        <v>48183</v>
      </c>
      <c r="P193" s="44"/>
      <c r="AD193" s="44"/>
    </row>
    <row r="194" spans="2:30" x14ac:dyDescent="0.25">
      <c r="B194" s="66">
        <v>48214</v>
      </c>
      <c r="P194" s="44"/>
      <c r="AD194" s="44"/>
    </row>
    <row r="195" spans="2:30" x14ac:dyDescent="0.25">
      <c r="B195" s="66">
        <v>48245</v>
      </c>
      <c r="P195" s="44"/>
      <c r="AD195" s="44"/>
    </row>
    <row r="196" spans="2:30" x14ac:dyDescent="0.25">
      <c r="B196" s="66">
        <v>48274</v>
      </c>
      <c r="P196" s="44"/>
      <c r="AD196" s="44"/>
    </row>
    <row r="197" spans="2:30" x14ac:dyDescent="0.25">
      <c r="B197" s="66">
        <v>48305</v>
      </c>
      <c r="P197" s="44"/>
      <c r="AD197" s="44"/>
    </row>
    <row r="198" spans="2:30" x14ac:dyDescent="0.25">
      <c r="B198" s="66">
        <v>48335</v>
      </c>
      <c r="P198" s="44"/>
      <c r="AD198" s="44"/>
    </row>
    <row r="199" spans="2:30" x14ac:dyDescent="0.25">
      <c r="B199" s="66">
        <v>48366</v>
      </c>
      <c r="P199" s="44"/>
      <c r="AD199" s="44"/>
    </row>
    <row r="200" spans="2:30" x14ac:dyDescent="0.25">
      <c r="B200" s="66">
        <v>48396</v>
      </c>
      <c r="P200" s="44"/>
      <c r="AD200" s="44"/>
    </row>
    <row r="201" spans="2:30" x14ac:dyDescent="0.25">
      <c r="B201" s="66">
        <v>48427</v>
      </c>
      <c r="P201" s="44"/>
      <c r="AD201" s="44"/>
    </row>
    <row r="202" spans="2:30" x14ac:dyDescent="0.25">
      <c r="B202" s="66">
        <v>48458</v>
      </c>
      <c r="P202" s="44"/>
      <c r="AD202" s="44"/>
    </row>
    <row r="203" spans="2:30" x14ac:dyDescent="0.25">
      <c r="B203" s="66">
        <v>48488</v>
      </c>
      <c r="P203" s="44"/>
      <c r="AD203" s="44"/>
    </row>
    <row r="204" spans="2:30" x14ac:dyDescent="0.25">
      <c r="B204" s="66">
        <v>48519</v>
      </c>
      <c r="P204" s="44"/>
      <c r="AD204" s="44"/>
    </row>
    <row r="205" spans="2:30" x14ac:dyDescent="0.25">
      <c r="B205" s="66">
        <v>48549</v>
      </c>
      <c r="P205" s="44"/>
      <c r="AD205" s="44"/>
    </row>
    <row r="206" spans="2:30" x14ac:dyDescent="0.25">
      <c r="B206" s="66">
        <v>48580</v>
      </c>
      <c r="P206" s="44"/>
      <c r="AD206" s="44"/>
    </row>
    <row r="207" spans="2:30" x14ac:dyDescent="0.25">
      <c r="B207" s="66">
        <v>48611</v>
      </c>
      <c r="P207" s="44"/>
      <c r="AD207" s="44"/>
    </row>
    <row r="208" spans="2:30" x14ac:dyDescent="0.25">
      <c r="B208" s="66">
        <v>48639</v>
      </c>
      <c r="P208" s="44"/>
      <c r="AD208" s="44"/>
    </row>
    <row r="209" spans="2:30" x14ac:dyDescent="0.25">
      <c r="B209" s="66">
        <v>48670</v>
      </c>
      <c r="P209" s="44"/>
      <c r="AD209" s="44"/>
    </row>
    <row r="210" spans="2:30" x14ac:dyDescent="0.25">
      <c r="B210" s="66">
        <v>48700</v>
      </c>
      <c r="P210" s="44"/>
      <c r="AD210" s="44"/>
    </row>
    <row r="211" spans="2:30" x14ac:dyDescent="0.25">
      <c r="B211" s="66">
        <v>48731</v>
      </c>
      <c r="P211" s="44"/>
      <c r="AD211" s="44"/>
    </row>
    <row r="212" spans="2:30" x14ac:dyDescent="0.25">
      <c r="B212" s="66">
        <v>48761</v>
      </c>
      <c r="P212" s="44"/>
      <c r="AD212" s="44"/>
    </row>
    <row r="213" spans="2:30" x14ac:dyDescent="0.25">
      <c r="B213" s="66">
        <v>48792</v>
      </c>
      <c r="P213" s="44"/>
      <c r="AD213" s="44"/>
    </row>
    <row r="214" spans="2:30" x14ac:dyDescent="0.25">
      <c r="B214" s="66">
        <v>48823</v>
      </c>
      <c r="P214" s="44"/>
      <c r="AD214" s="44"/>
    </row>
    <row r="215" spans="2:30" x14ac:dyDescent="0.25">
      <c r="B215" s="66">
        <v>48853</v>
      </c>
      <c r="P215" s="44"/>
      <c r="AD215" s="44"/>
    </row>
    <row r="216" spans="2:30" x14ac:dyDescent="0.25">
      <c r="B216" s="66">
        <v>48884</v>
      </c>
      <c r="P216" s="44"/>
      <c r="AD216" s="44"/>
    </row>
    <row r="217" spans="2:30" x14ac:dyDescent="0.25">
      <c r="B217" s="66">
        <v>48914</v>
      </c>
      <c r="P217" s="44"/>
      <c r="AD217" s="44"/>
    </row>
    <row r="218" spans="2:30" x14ac:dyDescent="0.25">
      <c r="B218" s="66">
        <v>48945</v>
      </c>
      <c r="P218" s="44"/>
      <c r="AD218" s="44"/>
    </row>
    <row r="219" spans="2:30" x14ac:dyDescent="0.25">
      <c r="B219" s="66">
        <v>48976</v>
      </c>
      <c r="P219" s="44"/>
      <c r="AD219" s="44"/>
    </row>
    <row r="220" spans="2:30" x14ac:dyDescent="0.25">
      <c r="B220" s="66">
        <v>49004</v>
      </c>
      <c r="P220" s="44"/>
      <c r="AD220" s="44"/>
    </row>
    <row r="221" spans="2:30" x14ac:dyDescent="0.25">
      <c r="B221" s="66">
        <v>49035</v>
      </c>
      <c r="P221" s="44"/>
      <c r="AD221" s="44"/>
    </row>
    <row r="222" spans="2:30" x14ac:dyDescent="0.25">
      <c r="B222" s="66">
        <v>49065</v>
      </c>
      <c r="P222" s="44"/>
      <c r="AD222" s="44"/>
    </row>
    <row r="223" spans="2:30" x14ac:dyDescent="0.25">
      <c r="B223" s="66">
        <v>49096</v>
      </c>
      <c r="P223" s="44"/>
      <c r="AD223" s="44"/>
    </row>
    <row r="224" spans="2:30" x14ac:dyDescent="0.25">
      <c r="B224" s="66">
        <v>49126</v>
      </c>
      <c r="P224" s="44"/>
      <c r="AD224" s="44"/>
    </row>
    <row r="225" spans="2:30" x14ac:dyDescent="0.25">
      <c r="B225" s="66">
        <v>49157</v>
      </c>
      <c r="P225" s="44"/>
      <c r="AD225" s="44"/>
    </row>
    <row r="226" spans="2:30" x14ac:dyDescent="0.25">
      <c r="B226" s="66">
        <v>49188</v>
      </c>
      <c r="P226" s="44"/>
      <c r="AD226" s="44"/>
    </row>
    <row r="227" spans="2:30" x14ac:dyDescent="0.25">
      <c r="B227" s="66">
        <v>49218</v>
      </c>
      <c r="P227" s="44"/>
      <c r="AD227" s="44"/>
    </row>
    <row r="228" spans="2:30" x14ac:dyDescent="0.25">
      <c r="B228" s="66">
        <v>49249</v>
      </c>
      <c r="P228" s="44"/>
      <c r="AD228" s="44"/>
    </row>
    <row r="229" spans="2:30" x14ac:dyDescent="0.25">
      <c r="B229" s="66">
        <v>49279</v>
      </c>
      <c r="P229" s="44"/>
      <c r="AD229" s="44"/>
    </row>
    <row r="230" spans="2:30" x14ac:dyDescent="0.25">
      <c r="B230" s="66">
        <v>49310</v>
      </c>
      <c r="P230" s="44"/>
      <c r="AD230" s="44"/>
    </row>
    <row r="231" spans="2:30" x14ac:dyDescent="0.25">
      <c r="B231" s="66">
        <v>49341</v>
      </c>
      <c r="P231" s="44"/>
      <c r="AD231" s="44"/>
    </row>
    <row r="232" spans="2:30" x14ac:dyDescent="0.25">
      <c r="B232" s="66">
        <v>49369</v>
      </c>
      <c r="P232" s="44"/>
      <c r="AD232" s="44"/>
    </row>
    <row r="233" spans="2:30" x14ac:dyDescent="0.25">
      <c r="B233" s="66">
        <v>49400</v>
      </c>
      <c r="P233" s="44"/>
      <c r="AD233" s="44"/>
    </row>
    <row r="234" spans="2:30" x14ac:dyDescent="0.25">
      <c r="B234" s="66">
        <v>49430</v>
      </c>
      <c r="P234" s="44"/>
      <c r="AD234" s="44"/>
    </row>
    <row r="235" spans="2:30" x14ac:dyDescent="0.25">
      <c r="B235" s="66">
        <v>49461</v>
      </c>
      <c r="P235" s="44"/>
      <c r="AD235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sqref="A1:XFD1048576"/>
    </sheetView>
  </sheetViews>
  <sheetFormatPr baseColWidth="10" defaultColWidth="11.5703125" defaultRowHeight="11.45" customHeight="1" x14ac:dyDescent="0.2"/>
  <cols>
    <col min="1" max="1" width="89.7109375" style="67" bestFit="1" customWidth="1"/>
    <col min="2" max="2" width="14.42578125" style="68" customWidth="1"/>
    <col min="3" max="3" width="22.28515625" style="68" customWidth="1"/>
    <col min="4" max="4" width="8.85546875" style="68" customWidth="1"/>
    <col min="5" max="5" width="11.5703125" style="68" customWidth="1"/>
    <col min="6" max="6" width="9.7109375" style="68" bestFit="1" customWidth="1"/>
    <col min="7" max="7" width="63.7109375" style="67" bestFit="1" customWidth="1"/>
    <col min="8" max="16384" width="11.5703125" style="67"/>
  </cols>
  <sheetData>
    <row r="1" spans="1:7" ht="12" x14ac:dyDescent="0.2">
      <c r="A1" s="67" t="s">
        <v>420</v>
      </c>
    </row>
    <row r="2" spans="1:7" ht="12" x14ac:dyDescent="0.2">
      <c r="A2" s="67" t="s">
        <v>421</v>
      </c>
    </row>
    <row r="5" spans="1:7" ht="12" x14ac:dyDescent="0.2">
      <c r="A5" s="69" t="s">
        <v>422</v>
      </c>
      <c r="B5" s="70" t="s">
        <v>423</v>
      </c>
      <c r="C5" s="70" t="s">
        <v>424</v>
      </c>
      <c r="D5" s="70" t="s">
        <v>425</v>
      </c>
      <c r="E5" s="70" t="s">
        <v>426</v>
      </c>
      <c r="F5" s="70" t="s">
        <v>427</v>
      </c>
      <c r="G5" s="70" t="s">
        <v>428</v>
      </c>
    </row>
    <row r="6" spans="1:7" ht="12" x14ac:dyDescent="0.2">
      <c r="A6" s="71"/>
      <c r="B6" s="72"/>
      <c r="C6" s="72"/>
      <c r="D6" s="72"/>
      <c r="E6" s="72"/>
      <c r="F6" s="72"/>
      <c r="G6" s="72"/>
    </row>
    <row r="7" spans="1:7" ht="12" x14ac:dyDescent="0.2">
      <c r="A7" s="71"/>
      <c r="B7" s="72"/>
      <c r="C7" s="72"/>
      <c r="D7" s="72"/>
      <c r="E7" s="72"/>
      <c r="F7" s="72"/>
      <c r="G7" s="72"/>
    </row>
    <row r="8" spans="1:7" ht="12" x14ac:dyDescent="0.2">
      <c r="A8" s="71"/>
      <c r="B8" s="72"/>
      <c r="C8" s="72"/>
      <c r="D8" s="72"/>
      <c r="E8" s="72"/>
      <c r="F8" s="72"/>
      <c r="G8" s="72"/>
    </row>
    <row r="9" spans="1:7" ht="12" x14ac:dyDescent="0.2">
      <c r="A9" s="71"/>
      <c r="B9" s="72"/>
      <c r="C9" s="72"/>
      <c r="D9" s="72"/>
      <c r="E9" s="72"/>
      <c r="F9" s="72"/>
      <c r="G9" s="72"/>
    </row>
    <row r="10" spans="1:7" ht="12" x14ac:dyDescent="0.2">
      <c r="A10" s="67" t="s">
        <v>76</v>
      </c>
      <c r="B10" s="73">
        <v>43371</v>
      </c>
      <c r="C10" s="68" t="s">
        <v>429</v>
      </c>
      <c r="D10" s="73">
        <v>43358</v>
      </c>
      <c r="E10" s="73">
        <v>43385</v>
      </c>
      <c r="F10" s="74">
        <v>4.3799999999999999E-2</v>
      </c>
      <c r="G10" s="67" t="s">
        <v>430</v>
      </c>
    </row>
    <row r="11" spans="1:7" ht="12" x14ac:dyDescent="0.2">
      <c r="A11" s="67" t="s">
        <v>77</v>
      </c>
      <c r="B11" s="73">
        <v>43591</v>
      </c>
      <c r="C11" s="68" t="s">
        <v>431</v>
      </c>
      <c r="D11" s="73">
        <v>43570</v>
      </c>
      <c r="E11" s="73">
        <v>43599</v>
      </c>
      <c r="F11" s="74">
        <v>4.4600000000000001E-2</v>
      </c>
      <c r="G11" s="67" t="s">
        <v>432</v>
      </c>
    </row>
    <row r="12" spans="1:7" ht="12" x14ac:dyDescent="0.2">
      <c r="A12" s="67" t="s">
        <v>78</v>
      </c>
      <c r="B12" s="73">
        <v>44137</v>
      </c>
      <c r="C12" s="68" t="s">
        <v>433</v>
      </c>
      <c r="D12" s="75">
        <v>44119</v>
      </c>
      <c r="E12" s="75">
        <v>44148</v>
      </c>
      <c r="F12" s="76">
        <v>3.61E-2</v>
      </c>
      <c r="G12" s="67" t="s">
        <v>434</v>
      </c>
    </row>
    <row r="13" spans="1:7" ht="12" x14ac:dyDescent="0.2">
      <c r="A13" s="67" t="s">
        <v>79</v>
      </c>
      <c r="B13" s="73">
        <v>44275</v>
      </c>
      <c r="C13" s="68" t="s">
        <v>435</v>
      </c>
      <c r="D13" s="73">
        <v>44270</v>
      </c>
      <c r="E13" s="73">
        <v>44300</v>
      </c>
      <c r="F13" s="77">
        <v>3.9100000000000003E-2</v>
      </c>
      <c r="G13" s="67" t="s">
        <v>436</v>
      </c>
    </row>
    <row r="14" spans="1:7" ht="12" x14ac:dyDescent="0.2">
      <c r="A14" s="67" t="s">
        <v>82</v>
      </c>
      <c r="B14" s="73">
        <v>44336</v>
      </c>
      <c r="C14" s="68" t="s">
        <v>437</v>
      </c>
      <c r="D14" s="73">
        <v>44330</v>
      </c>
      <c r="F14" s="77">
        <v>3.2800000000000003E-2</v>
      </c>
      <c r="G14" s="67" t="s">
        <v>438</v>
      </c>
    </row>
    <row r="18" spans="1:1" ht="12" x14ac:dyDescent="0.2">
      <c r="A18" s="67" t="s">
        <v>439</v>
      </c>
    </row>
    <row r="19" spans="1:1" ht="12" x14ac:dyDescent="0.2">
      <c r="A19" s="67" t="s">
        <v>440</v>
      </c>
    </row>
    <row r="20" spans="1:1" ht="12" x14ac:dyDescent="0.2">
      <c r="A20" s="67" t="s">
        <v>441</v>
      </c>
    </row>
    <row r="21" spans="1:1" ht="12" x14ac:dyDescent="0.2">
      <c r="A21" s="67" t="s">
        <v>442</v>
      </c>
    </row>
    <row r="22" spans="1:1" ht="12" x14ac:dyDescent="0.2">
      <c r="A22" s="67" t="s">
        <v>443</v>
      </c>
    </row>
    <row r="23" spans="1:1" ht="12" x14ac:dyDescent="0.2">
      <c r="A23" s="67" t="s">
        <v>444</v>
      </c>
    </row>
    <row r="24" spans="1:1" ht="12" x14ac:dyDescent="0.2">
      <c r="A24" s="67" t="s">
        <v>445</v>
      </c>
    </row>
    <row r="25" spans="1:1" ht="12" x14ac:dyDescent="0.2">
      <c r="A25" s="67" t="s">
        <v>446</v>
      </c>
    </row>
    <row r="26" spans="1:1" ht="12" x14ac:dyDescent="0.2">
      <c r="A26" s="67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Reliquidacion</vt:lpstr>
      <vt:lpstr>MAPA_DATA</vt:lpstr>
      <vt:lpstr>FACT_EMITIDA</vt:lpstr>
      <vt:lpstr>SIGGE_E</vt:lpstr>
      <vt:lpstr>SIGGE_P</vt:lpstr>
      <vt:lpstr>FACT_EST_EFACT</vt:lpstr>
      <vt:lpstr>FACT_EST_CEN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2021-06-11T03:00:55Z</dcterms:modified>
</cp:coreProperties>
</file>